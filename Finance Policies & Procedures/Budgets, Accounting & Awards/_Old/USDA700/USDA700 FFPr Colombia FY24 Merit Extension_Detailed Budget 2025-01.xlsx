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USDA700/"/>
    </mc:Choice>
  </mc:AlternateContent>
  <xr:revisionPtr revIDLastSave="21" documentId="13_ncr:1_{960689C6-1B49-4E98-8B1C-CC86A79D7E5B}" xr6:coauthVersionLast="47" xr6:coauthVersionMax="47" xr10:uidLastSave="{1FB4390C-2B1A-475C-A056-11D8A0715959}"/>
  <bookViews>
    <workbookView xWindow="11514" yWindow="2424" windowWidth="11862" windowHeight="10272" tabRatio="842" activeTab="1" xr2:uid="{00000000-000D-0000-FFFF-FFFF00000000}"/>
  </bookViews>
  <sheets>
    <sheet name="USDA Budget Summary" sheetId="28" r:id="rId1"/>
    <sheet name="Program Budget" sheetId="4" r:id="rId2"/>
    <sheet name="Project Funds Snapshots" sheetId="54" r:id="rId3"/>
    <sheet name="Detailed Budget" sheetId="42" r:id="rId4"/>
    <sheet name="Admin" sheetId="43" r:id="rId5"/>
    <sheet name="Activity 1" sheetId="44" r:id="rId6"/>
    <sheet name="Activity 2" sheetId="45" r:id="rId7"/>
    <sheet name="Activity 3" sheetId="46" r:id="rId8"/>
    <sheet name="Activity 4" sheetId="47" r:id="rId9"/>
    <sheet name="Activity 5" sheetId="50" r:id="rId10"/>
    <sheet name="Activity 6" sheetId="51" r:id="rId11"/>
    <sheet name="Activity 7" sheetId="52" r:id="rId12"/>
    <sheet name="Activity 8" sheetId="53" r:id="rId13"/>
    <sheet name="Sub Budget Fundacion IC" sheetId="49" r:id="rId14"/>
    <sheet name="Indirect Calculations" sheetId="41" r:id="rId15"/>
    <sheet name="Indirect Costs Detail" sheetId="48" r:id="rId16"/>
    <sheet name="Personnel &amp; LOE Summary" sheetId="39" r:id="rId17"/>
    <sheet name="LOE Breakdown by Year" sheetId="30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\A" localSheetId="13">#REF!</definedName>
    <definedName name="\A">#REF!</definedName>
    <definedName name="\P" localSheetId="13">#REF!</definedName>
    <definedName name="\P">#REF!</definedName>
    <definedName name="\S">#REF!</definedName>
    <definedName name="_" hidden="1">[1]IPA!#REF!</definedName>
    <definedName name="__" hidden="1">[2]IPA!#REF!</definedName>
    <definedName name="___" hidden="1">[1]IPA!#REF!</definedName>
    <definedName name="_______sho1">'[3]Detailed Budget-SAVE'!#REF!</definedName>
    <definedName name="__1_0__123Grap" localSheetId="5" hidden="1">#REF!</definedName>
    <definedName name="__1_0__123Grap" localSheetId="6" hidden="1">#REF!</definedName>
    <definedName name="__1_0__123Grap" localSheetId="7" hidden="1">#REF!</definedName>
    <definedName name="__1_0__123Grap" localSheetId="8" hidden="1">#REF!</definedName>
    <definedName name="__1_0__123Grap" localSheetId="9" hidden="1">#REF!</definedName>
    <definedName name="__1_0__123Grap" localSheetId="10" hidden="1">#REF!</definedName>
    <definedName name="__1_0__123Grap" localSheetId="11" hidden="1">#REF!</definedName>
    <definedName name="__1_0__123Grap" localSheetId="12" hidden="1">#REF!</definedName>
    <definedName name="__1_0__123Grap" localSheetId="4" hidden="1">#REF!</definedName>
    <definedName name="__1_0__123Grap" localSheetId="3" hidden="1">#REF!</definedName>
    <definedName name="__1_0__123Grap" localSheetId="13" hidden="1">#REF!</definedName>
    <definedName name="__1_0__123Grap" hidden="1">#REF!</definedName>
    <definedName name="__123Graph_A" localSheetId="13" hidden="1">[2]IPA!#REF!</definedName>
    <definedName name="__123Graph_A" hidden="1">[2]IPA!#REF!</definedName>
    <definedName name="__123Graph_B" localSheetId="13" hidden="1">[2]IPA!#REF!</definedName>
    <definedName name="__123Graph_B" hidden="1">[2]IPA!#REF!</definedName>
    <definedName name="__123Graph_C" localSheetId="13" hidden="1">[2]IPA!#REF!</definedName>
    <definedName name="__123Graph_C" hidden="1">[2]IPA!#REF!</definedName>
    <definedName name="__2DAI_1">#N/A</definedName>
    <definedName name="__3FEE">#N/A</definedName>
    <definedName name="__AFP1">#N/A</definedName>
    <definedName name="__AFP2">#N/A</definedName>
    <definedName name="__AFP3">#N/A</definedName>
    <definedName name="__AFP4">#N/A</definedName>
    <definedName name="__AMP1">#N/A</definedName>
    <definedName name="__AMP2">#N/A</definedName>
    <definedName name="__AMP3">#N/A</definedName>
    <definedName name="__AMP4">#N/A</definedName>
    <definedName name="__B" localSheetId="13" hidden="1">[2]IPA!#REF!</definedName>
    <definedName name="__B" hidden="1">[2]IPA!#REF!</definedName>
    <definedName name="__C" hidden="1">[2]IPA!#REF!</definedName>
    <definedName name="__DAI4">#N/A</definedName>
    <definedName name="__EES1">#N/A</definedName>
    <definedName name="__EES2">#N/A</definedName>
    <definedName name="__EES3">#N/A</definedName>
    <definedName name="__EES4">#N/A</definedName>
    <definedName name="__EXT1">#N/A</definedName>
    <definedName name="__EXT2">#N/A</definedName>
    <definedName name="__EXT3">#N/A</definedName>
    <definedName name="__EXT4">#N/A</definedName>
    <definedName name="__FCP1">#N/A</definedName>
    <definedName name="__FCP2">#N/A</definedName>
    <definedName name="__FCP3">#N/A</definedName>
    <definedName name="__FCP4">#N/A</definedName>
    <definedName name="__FRI1">#N/A</definedName>
    <definedName name="__FRI4">#N/A</definedName>
    <definedName name="__HRA1">#N/A</definedName>
    <definedName name="__HRA2">#N/A</definedName>
    <definedName name="__HRA3">#N/A</definedName>
    <definedName name="__HRA4">#N/A</definedName>
    <definedName name="__inf1">#REF!</definedName>
    <definedName name="__KEY2" localSheetId="5" hidden="1">#REF!</definedName>
    <definedName name="__KEY2" localSheetId="6" hidden="1">#REF!</definedName>
    <definedName name="__KEY2" localSheetId="7" hidden="1">#REF!</definedName>
    <definedName name="__KEY2" localSheetId="8" hidden="1">#REF!</definedName>
    <definedName name="__KEY2" localSheetId="9" hidden="1">#REF!</definedName>
    <definedName name="__KEY2" localSheetId="10" hidden="1">#REF!</definedName>
    <definedName name="__KEY2" localSheetId="11" hidden="1">#REF!</definedName>
    <definedName name="__KEY2" localSheetId="12" hidden="1">#REF!</definedName>
    <definedName name="__KEY2" localSheetId="4" hidden="1">#REF!</definedName>
    <definedName name="__KEY2" localSheetId="3" hidden="1">#REF!</definedName>
    <definedName name="__KEY2" localSheetId="13" hidden="1">#REF!</definedName>
    <definedName name="__KEY2" hidden="1">#REF!</definedName>
    <definedName name="__LT4">[4]Parameters!$B$40</definedName>
    <definedName name="__ODC1">#N/A</definedName>
    <definedName name="__ODC2">#N/A</definedName>
    <definedName name="__POL1">#N/A</definedName>
    <definedName name="__POL2">#N/A</definedName>
    <definedName name="__POL3">#N/A</definedName>
    <definedName name="__POL4">#N/A</definedName>
    <definedName name="__TOT1">#N/A</definedName>
    <definedName name="__TOT2">#N/A</definedName>
    <definedName name="__TRV1">#N/A</definedName>
    <definedName name="__TRV2">#N/A</definedName>
    <definedName name="_060">#REF!</definedName>
    <definedName name="_1_0__123Grap" localSheetId="5" hidden="1">#REF!</definedName>
    <definedName name="_1_0__123Grap" localSheetId="6" hidden="1">#REF!</definedName>
    <definedName name="_1_0__123Grap" localSheetId="7" hidden="1">#REF!</definedName>
    <definedName name="_1_0__123Grap" localSheetId="8" hidden="1">#REF!</definedName>
    <definedName name="_1_0__123Grap" localSheetId="9" hidden="1">#REF!</definedName>
    <definedName name="_1_0__123Grap" localSheetId="10" hidden="1">#REF!</definedName>
    <definedName name="_1_0__123Grap" localSheetId="11" hidden="1">#REF!</definedName>
    <definedName name="_1_0__123Grap" localSheetId="12" hidden="1">#REF!</definedName>
    <definedName name="_1_0__123Grap" localSheetId="4" hidden="1">#REF!</definedName>
    <definedName name="_1_0__123Grap" localSheetId="3" hidden="1">#REF!</definedName>
    <definedName name="_1_0__123Grap" localSheetId="13" hidden="1">#REF!</definedName>
    <definedName name="_1_0__123Grap" hidden="1">#REF!</definedName>
    <definedName name="_1_1">#REF!</definedName>
    <definedName name="_13th_and_14th_month">[5]Parameters!$D$62</definedName>
    <definedName name="_2__123Graph_ACHART_3" hidden="1">[6]Rates!$C$3:$P$3</definedName>
    <definedName name="_2_0__123Grap" hidden="1">#REF!</definedName>
    <definedName name="_2_1034">#REF!</definedName>
    <definedName name="_2DAI_1">#N/A</definedName>
    <definedName name="_3_0__123Grap" hidden="1">#REF!</definedName>
    <definedName name="_3_1440">#REF!</definedName>
    <definedName name="_3FEE">#N/A</definedName>
    <definedName name="_4__123Graph_BCHART_3" hidden="1">[6]Rates!$C$4:$P$4</definedName>
    <definedName name="_4_0__123Grap" hidden="1">#REF!</definedName>
    <definedName name="_4_2">#REF!</definedName>
    <definedName name="_5_3">#REF!</definedName>
    <definedName name="_6__123Graph_XCHART_3" hidden="1">[6]Rates!$C$2:$P$2</definedName>
    <definedName name="_8_0__123Grap" hidden="1">#REF!</definedName>
    <definedName name="_AFP1">#N/A</definedName>
    <definedName name="_AFP2">#N/A</definedName>
    <definedName name="_AFP3">#N/A</definedName>
    <definedName name="_AFP4">#N/A</definedName>
    <definedName name="_AMP1">#N/A</definedName>
    <definedName name="_AMP2">#N/A</definedName>
    <definedName name="_AMP3">#N/A</definedName>
    <definedName name="_AMP4">#N/A</definedName>
    <definedName name="_DAI4">#N/A</definedName>
    <definedName name="_EES1">#N/A</definedName>
    <definedName name="_EES2">#N/A</definedName>
    <definedName name="_EES3">#N/A</definedName>
    <definedName name="_EES4">#N/A</definedName>
    <definedName name="_EXT1">#N/A</definedName>
    <definedName name="_EXT2">#N/A</definedName>
    <definedName name="_EXT3">#N/A</definedName>
    <definedName name="_EXT4">#N/A</definedName>
    <definedName name="_FCP1">#N/A</definedName>
    <definedName name="_FCP2">#N/A</definedName>
    <definedName name="_FCP3">#N/A</definedName>
    <definedName name="_FCP4">#N/A</definedName>
    <definedName name="_FRI1">#N/A</definedName>
    <definedName name="_FRI4">#N/A</definedName>
    <definedName name="_hos1">[7]Parameters!$A$433</definedName>
    <definedName name="_hos10">[7]Parameters!$A$442</definedName>
    <definedName name="_hos11">[7]Parameters!$A$443</definedName>
    <definedName name="_hos12">[7]Parameters!$A$444</definedName>
    <definedName name="_hos13">[7]Parameters!$A$445</definedName>
    <definedName name="_hos14">[7]Parameters!$A$446</definedName>
    <definedName name="_hos15">[7]Parameters!$A$447</definedName>
    <definedName name="_hos16">[7]Parameters!$A$448</definedName>
    <definedName name="_hos17">[7]Parameters!$A$449</definedName>
    <definedName name="_hos18">[7]Parameters!$A$450</definedName>
    <definedName name="_hos19">[7]Parameters!$A$451</definedName>
    <definedName name="_hos2">[7]Parameters!$A$434</definedName>
    <definedName name="_hos20">[7]Parameters!$A$452</definedName>
    <definedName name="_hos21">[7]Parameters!$A$453</definedName>
    <definedName name="_hos3">[7]Parameters!$A$435</definedName>
    <definedName name="_hos4">[7]Parameters!$A$436</definedName>
    <definedName name="_hos5">[7]Parameters!$A$437</definedName>
    <definedName name="_hos6">[7]Parameters!$A$438</definedName>
    <definedName name="_hos7">[7]Parameters!$A$439</definedName>
    <definedName name="_hos8">[7]Parameters!$A$440</definedName>
    <definedName name="_hos9">[7]Parameters!$A$441</definedName>
    <definedName name="_HRA1">#N/A</definedName>
    <definedName name="_HRA2">#N/A</definedName>
    <definedName name="_HRA3">#N/A</definedName>
    <definedName name="_HRA4">#N/A</definedName>
    <definedName name="_inf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localSheetId="4" hidden="1">#REF!</definedName>
    <definedName name="_Key1" localSheetId="3" hidden="1">#REF!</definedName>
    <definedName name="_Key1" localSheetId="13" hidden="1">#REF!</definedName>
    <definedName name="_Key1" hidden="1">#REF!</definedName>
    <definedName name="_key2" hidden="1">#REF!</definedName>
    <definedName name="_ldfkjañsdl" hidden="1">'[8]sample labor calc'!#REF!</definedName>
    <definedName name="_LT4">[4]Parameters!$B$40</definedName>
    <definedName name="_no1" localSheetId="5" hidden="1">{#N/A,#N/A,FALSE,"ManLoading"}</definedName>
    <definedName name="_no1" localSheetId="6" hidden="1">{#N/A,#N/A,FALSE,"ManLoading"}</definedName>
    <definedName name="_no1" localSheetId="7" hidden="1">{#N/A,#N/A,FALSE,"ManLoading"}</definedName>
    <definedName name="_no1" localSheetId="8" hidden="1">{#N/A,#N/A,FALSE,"ManLoading"}</definedName>
    <definedName name="_no1" localSheetId="9" hidden="1">{#N/A,#N/A,FALSE,"ManLoading"}</definedName>
    <definedName name="_no1" localSheetId="10" hidden="1">{#N/A,#N/A,FALSE,"ManLoading"}</definedName>
    <definedName name="_no1" localSheetId="11" hidden="1">{#N/A,#N/A,FALSE,"ManLoading"}</definedName>
    <definedName name="_no1" localSheetId="12" hidden="1">{#N/A,#N/A,FALSE,"ManLoading"}</definedName>
    <definedName name="_no1" localSheetId="4" hidden="1">{#N/A,#N/A,FALSE,"ManLoading"}</definedName>
    <definedName name="_no1" localSheetId="13" hidden="1">{#N/A,#N/A,FALSE,"ManLoading"}</definedName>
    <definedName name="_no1" hidden="1">{#N/A,#N/A,FALSE,"ManLoading"}</definedName>
    <definedName name="_odc1" localSheetId="5" hidden="1">{#N/A,#N/A,FALSE,"ManLoading"}</definedName>
    <definedName name="_odc1" localSheetId="6" hidden="1">{#N/A,#N/A,FALSE,"ManLoading"}</definedName>
    <definedName name="_odc1" localSheetId="7" hidden="1">{#N/A,#N/A,FALSE,"ManLoading"}</definedName>
    <definedName name="_odc1" localSheetId="8" hidden="1">{#N/A,#N/A,FALSE,"ManLoading"}</definedName>
    <definedName name="_odc1" localSheetId="9" hidden="1">{#N/A,#N/A,FALSE,"ManLoading"}</definedName>
    <definedName name="_odc1" localSheetId="10" hidden="1">{#N/A,#N/A,FALSE,"ManLoading"}</definedName>
    <definedName name="_odc1" localSheetId="11" hidden="1">{#N/A,#N/A,FALSE,"ManLoading"}</definedName>
    <definedName name="_odc1" localSheetId="12" hidden="1">{#N/A,#N/A,FALSE,"ManLoading"}</definedName>
    <definedName name="_odc1" localSheetId="4" hidden="1">{#N/A,#N/A,FALSE,"ManLoading"}</definedName>
    <definedName name="_odc1" localSheetId="3" hidden="1">{#N/A,#N/A,FALSE,"ManLoading"}</definedName>
    <definedName name="_odc1" localSheetId="13" hidden="1">{#N/A,#N/A,FALSE,"ManLoading"}</definedName>
    <definedName name="_odc1" hidden="1">{#N/A,#N/A,FALSE,"ManLoading"}</definedName>
    <definedName name="_odc2" localSheetId="5" hidden="1">{#N/A,#N/A,FALSE,"ManLoading"}</definedName>
    <definedName name="_odc2" localSheetId="6" hidden="1">{#N/A,#N/A,FALSE,"ManLoading"}</definedName>
    <definedName name="_odc2" localSheetId="7" hidden="1">{#N/A,#N/A,FALSE,"ManLoading"}</definedName>
    <definedName name="_odc2" localSheetId="8" hidden="1">{#N/A,#N/A,FALSE,"ManLoading"}</definedName>
    <definedName name="_odc2" localSheetId="9" hidden="1">{#N/A,#N/A,FALSE,"ManLoading"}</definedName>
    <definedName name="_odc2" localSheetId="10" hidden="1">{#N/A,#N/A,FALSE,"ManLoading"}</definedName>
    <definedName name="_odc2" localSheetId="11" hidden="1">{#N/A,#N/A,FALSE,"ManLoading"}</definedName>
    <definedName name="_odc2" localSheetId="12" hidden="1">{#N/A,#N/A,FALSE,"ManLoading"}</definedName>
    <definedName name="_odc2" localSheetId="4" hidden="1">{#N/A,#N/A,FALSE,"ManLoading"}</definedName>
    <definedName name="_odc2" localSheetId="3" hidden="1">{#N/A,#N/A,FALSE,"ManLoading"}</definedName>
    <definedName name="_odc2" localSheetId="13" hidden="1">{#N/A,#N/A,FALSE,"ManLoading"}</definedName>
    <definedName name="_odc2" hidden="1">{#N/A,#N/A,FALSE,"ManLoading"}</definedName>
    <definedName name="_Order1" hidden="1">255</definedName>
    <definedName name="_Order2" hidden="1">255</definedName>
    <definedName name="_POL1">#N/A</definedName>
    <definedName name="_POL2">#N/A</definedName>
    <definedName name="_POL3">#N/A</definedName>
    <definedName name="_POL4">#N/A</definedName>
    <definedName name="_sho1">'[3]Detailed Budget-SAVE'!#REF!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localSheetId="4" hidden="1">#REF!</definedName>
    <definedName name="_Sort" localSheetId="3" hidden="1">#REF!</definedName>
    <definedName name="_Sort" localSheetId="13" hidden="1">#REF!</definedName>
    <definedName name="_Sort" hidden="1">#REF!</definedName>
    <definedName name="_sort1" localSheetId="5" hidden="1">#REF!</definedName>
    <definedName name="_sort1" localSheetId="6" hidden="1">#REF!</definedName>
    <definedName name="_sort1" localSheetId="7" hidden="1">#REF!</definedName>
    <definedName name="_sort1" localSheetId="8" hidden="1">#REF!</definedName>
    <definedName name="_sort1" localSheetId="9" hidden="1">#REF!</definedName>
    <definedName name="_sort1" localSheetId="10" hidden="1">#REF!</definedName>
    <definedName name="_sort1" localSheetId="11" hidden="1">#REF!</definedName>
    <definedName name="_sort1" localSheetId="12" hidden="1">#REF!</definedName>
    <definedName name="_sort1" localSheetId="4" hidden="1">#REF!</definedName>
    <definedName name="_sort1" localSheetId="3" hidden="1">#REF!</definedName>
    <definedName name="_sort1" localSheetId="13" hidden="1">#REF!</definedName>
    <definedName name="_sort1" hidden="1">#REF!</definedName>
    <definedName name="_sub10">[7]Parameters!$H$26</definedName>
    <definedName name="_tcn1">[7]Parameters!$A$117</definedName>
    <definedName name="_tcn10">[7]Parameters!$A$126</definedName>
    <definedName name="_tcn2">[7]Parameters!$A$118</definedName>
    <definedName name="_tcn3">[7]Parameters!$A$119</definedName>
    <definedName name="_tcn4">[7]Parameters!$A$120</definedName>
    <definedName name="_tcn5">[7]Parameters!$A$121</definedName>
    <definedName name="_tcn6">[7]Parameters!$A$122</definedName>
    <definedName name="_tcn7">[7]Parameters!$A$123</definedName>
    <definedName name="_tcn8">[7]Parameters!$A$124</definedName>
    <definedName name="_tcn9">[7]Parameters!$A$125</definedName>
    <definedName name="_TOT1">#N/A</definedName>
    <definedName name="_TOT2">#N/A</definedName>
    <definedName name="_TRV1">#N/A</definedName>
    <definedName name="_TRV2">#N/A</definedName>
    <definedName name="_us1">[7]Parameters!$A$39</definedName>
    <definedName name="_us10">[7]Parameters!$A$48</definedName>
    <definedName name="_us11">[7]Parameters!$A$49</definedName>
    <definedName name="_us12">[7]Parameters!$A$50</definedName>
    <definedName name="_us13">[7]Parameters!$A$51</definedName>
    <definedName name="_us14">[7]Parameters!$A$52</definedName>
    <definedName name="_us15">[7]Parameters!$A$53</definedName>
    <definedName name="_us16">[7]Parameters!$A$54</definedName>
    <definedName name="_us17">[7]Parameters!$A$55</definedName>
    <definedName name="_us18">[7]Parameters!$A$56</definedName>
    <definedName name="_us19">[7]Parameters!$A$57</definedName>
    <definedName name="_us2">[7]Parameters!$A$40</definedName>
    <definedName name="_us20">[7]Parameters!$A$58</definedName>
    <definedName name="_us21">[7]Parameters!$A$59</definedName>
    <definedName name="_us22">[7]Parameters!$A$60</definedName>
    <definedName name="_us23">[7]Parameters!$A$61</definedName>
    <definedName name="_us24">[7]Parameters!$A$62</definedName>
    <definedName name="_us25">[7]Parameters!$A$63</definedName>
    <definedName name="_us26">[7]Parameters!$A$64</definedName>
    <definedName name="_us27">[7]Parameters!$A$65</definedName>
    <definedName name="_us28">[7]Parameters!$A$66</definedName>
    <definedName name="_us29">[7]Parameters!$A$67</definedName>
    <definedName name="_us3">[7]Parameters!$A$41</definedName>
    <definedName name="_us30">[7]Parameters!$A$68</definedName>
    <definedName name="_us31">[7]Parameters!$A$69</definedName>
    <definedName name="_us32">[7]Parameters!$A$70</definedName>
    <definedName name="_us33">[7]Parameters!$A$71</definedName>
    <definedName name="_us34">[7]Parameters!$A$72</definedName>
    <definedName name="_us35">[7]Parameters!$A$73</definedName>
    <definedName name="_us36">[7]Parameters!$A$74</definedName>
    <definedName name="_us37">[7]Parameters!$A$75</definedName>
    <definedName name="_us38">[7]Parameters!$A$76</definedName>
    <definedName name="_us39">[7]Parameters!$A$77</definedName>
    <definedName name="_us4">[7]Parameters!$A$42</definedName>
    <definedName name="_us40">[7]Parameters!$A$78</definedName>
    <definedName name="_us41">[7]Parameters!$A$79</definedName>
    <definedName name="_us42">[7]Parameters!$A$80</definedName>
    <definedName name="_us43">[7]Parameters!$A$81</definedName>
    <definedName name="_us44">[7]Parameters!$A$82</definedName>
    <definedName name="_us45">[7]Parameters!$A$83</definedName>
    <definedName name="_us46">[7]Parameters!$A$84</definedName>
    <definedName name="_us47">[7]Parameters!$A$85</definedName>
    <definedName name="_us48">[7]Parameters!$A$86</definedName>
    <definedName name="_us49">[7]Parameters!$A$87</definedName>
    <definedName name="_us5">[7]Parameters!$A$43</definedName>
    <definedName name="_us50">[7]Parameters!$A$88</definedName>
    <definedName name="_us51">[7]Parameters!$A$89</definedName>
    <definedName name="_us52">[7]Parameters!$A$90</definedName>
    <definedName name="_us53">[7]Parameters!$A$91</definedName>
    <definedName name="_us54">[7]Parameters!$A$92</definedName>
    <definedName name="_us55">[7]Parameters!$A$93</definedName>
    <definedName name="_us56">[7]Parameters!$A$94</definedName>
    <definedName name="_us57">[7]Parameters!$A$95</definedName>
    <definedName name="_us58">[7]Parameters!$A$96</definedName>
    <definedName name="_us59">[7]Parameters!$A$97</definedName>
    <definedName name="_us6">[7]Parameters!$A$44</definedName>
    <definedName name="_us60">[7]Parameters!$A$98</definedName>
    <definedName name="_us61">[7]Parameters!$A$99</definedName>
    <definedName name="_us62">[7]Parameters!$A$100</definedName>
    <definedName name="_us63">[7]Parameters!$A$101</definedName>
    <definedName name="_us64">[7]Parameters!$A$102</definedName>
    <definedName name="_us65">[7]Parameters!$A$103</definedName>
    <definedName name="_us66">[7]Parameters!$A$104</definedName>
    <definedName name="_us67">[7]Parameters!$A$105</definedName>
    <definedName name="_us68">[7]Parameters!$A$106</definedName>
    <definedName name="_us69">[7]Parameters!$A$107</definedName>
    <definedName name="_us7">[7]Parameters!$A$45</definedName>
    <definedName name="_us70">[7]Parameters!$A$108</definedName>
    <definedName name="_us71">[7]Parameters!$A$109</definedName>
    <definedName name="_us72">[7]Parameters!$A$110</definedName>
    <definedName name="_us73">[7]Parameters!$A$111</definedName>
    <definedName name="_us74">[7]Parameters!$A$112</definedName>
    <definedName name="_us75">[7]Parameters!$A$113</definedName>
    <definedName name="_us8">[7]Parameters!$A$46</definedName>
    <definedName name="_us9">[7]Parameters!$A$47</definedName>
    <definedName name="a">'[9]PO 484CR'!#REF!</definedName>
    <definedName name="Abbiz51">[10]RATES!#REF!</definedName>
    <definedName name="Abbiz52">[10]RATES!#REF!</definedName>
    <definedName name="ABT">#N/A</definedName>
    <definedName name="ACC">[11]Sheet2!$B$2:$C$496</definedName>
    <definedName name="Access_Button" hidden="1">"FIGBUS_FIGBUS_List"</definedName>
    <definedName name="AccessDatabase" hidden="1">"W:\WPFILES\GB759\EXCEL\FIGBUS.mdb"</definedName>
    <definedName name="ACT">#N/A</definedName>
    <definedName name="adf" localSheetId="5" hidden="1">{"PAGE1",#N/A,FALSE,"CPFFMSTR";"PAGE2",#N/A,FALSE,"CPFFMSTR"}</definedName>
    <definedName name="adf" localSheetId="6" hidden="1">{"PAGE1",#N/A,FALSE,"CPFFMSTR";"PAGE2",#N/A,FALSE,"CPFFMSTR"}</definedName>
    <definedName name="adf" localSheetId="7" hidden="1">{"PAGE1",#N/A,FALSE,"CPFFMSTR";"PAGE2",#N/A,FALSE,"CPFFMSTR"}</definedName>
    <definedName name="adf" localSheetId="8" hidden="1">{"PAGE1",#N/A,FALSE,"CPFFMSTR";"PAGE2",#N/A,FALSE,"CPFFMSTR"}</definedName>
    <definedName name="adf" localSheetId="9" hidden="1">{"PAGE1",#N/A,FALSE,"CPFFMSTR";"PAGE2",#N/A,FALSE,"CPFFMSTR"}</definedName>
    <definedName name="adf" localSheetId="10" hidden="1">{"PAGE1",#N/A,FALSE,"CPFFMSTR";"PAGE2",#N/A,FALSE,"CPFFMSTR"}</definedName>
    <definedName name="adf" localSheetId="11" hidden="1">{"PAGE1",#N/A,FALSE,"CPFFMSTR";"PAGE2",#N/A,FALSE,"CPFFMSTR"}</definedName>
    <definedName name="adf" localSheetId="12" hidden="1">{"PAGE1",#N/A,FALSE,"CPFFMSTR";"PAGE2",#N/A,FALSE,"CPFFMSTR"}</definedName>
    <definedName name="adf" localSheetId="4" hidden="1">{"PAGE1",#N/A,FALSE,"CPFFMSTR";"PAGE2",#N/A,FALSE,"CPFFMSTR"}</definedName>
    <definedName name="adf" localSheetId="3" hidden="1">{"PAGE1",#N/A,FALSE,"CPFFMSTR";"PAGE2",#N/A,FALSE,"CPFFMSTR"}</definedName>
    <definedName name="adf" localSheetId="13" hidden="1">{"PAGE1",#N/A,FALSE,"CPFFMSTR";"PAGE2",#N/A,FALSE,"CPFFMSTR"}</definedName>
    <definedName name="adf" hidden="1">{"PAGE1",#N/A,FALSE,"CPFFMSTR";"PAGE2",#N/A,FALSE,"CPFFMSTR"}</definedName>
    <definedName name="adfsdaf" localSheetId="5" hidden="1">{"PAGE1",#N/A,FALSE,"CPFFMSTR";"PAGE2",#N/A,FALSE,"CPFFMSTR"}</definedName>
    <definedName name="adfsdaf" localSheetId="6" hidden="1">{"PAGE1",#N/A,FALSE,"CPFFMSTR";"PAGE2",#N/A,FALSE,"CPFFMSTR"}</definedName>
    <definedName name="adfsdaf" localSheetId="7" hidden="1">{"PAGE1",#N/A,FALSE,"CPFFMSTR";"PAGE2",#N/A,FALSE,"CPFFMSTR"}</definedName>
    <definedName name="adfsdaf" localSheetId="8" hidden="1">{"PAGE1",#N/A,FALSE,"CPFFMSTR";"PAGE2",#N/A,FALSE,"CPFFMSTR"}</definedName>
    <definedName name="adfsdaf" localSheetId="9" hidden="1">{"PAGE1",#N/A,FALSE,"CPFFMSTR";"PAGE2",#N/A,FALSE,"CPFFMSTR"}</definedName>
    <definedName name="adfsdaf" localSheetId="10" hidden="1">{"PAGE1",#N/A,FALSE,"CPFFMSTR";"PAGE2",#N/A,FALSE,"CPFFMSTR"}</definedName>
    <definedName name="adfsdaf" localSheetId="11" hidden="1">{"PAGE1",#N/A,FALSE,"CPFFMSTR";"PAGE2",#N/A,FALSE,"CPFFMSTR"}</definedName>
    <definedName name="adfsdaf" localSheetId="12" hidden="1">{"PAGE1",#N/A,FALSE,"CPFFMSTR";"PAGE2",#N/A,FALSE,"CPFFMSTR"}</definedName>
    <definedName name="adfsdaf" localSheetId="4" hidden="1">{"PAGE1",#N/A,FALSE,"CPFFMSTR";"PAGE2",#N/A,FALSE,"CPFFMSTR"}</definedName>
    <definedName name="adfsdaf" localSheetId="3" hidden="1">{"PAGE1",#N/A,FALSE,"CPFFMSTR";"PAGE2",#N/A,FALSE,"CPFFMSTR"}</definedName>
    <definedName name="adfsdaf" localSheetId="13" hidden="1">{"PAGE1",#N/A,FALSE,"CPFFMSTR";"PAGE2",#N/A,FALSE,"CPFFMSTR"}</definedName>
    <definedName name="adfsdaf" hidden="1">{"PAGE1",#N/A,FALSE,"CPFFMSTR";"PAGE2",#N/A,FALSE,"CPFFMSTR"}</definedName>
    <definedName name="aer" localSheetId="5" hidden="1">{"PAGE1",#N/A,FALSE,"CPFFMSTR";"PAGE2",#N/A,FALSE,"CPFFMSTR"}</definedName>
    <definedName name="aer" localSheetId="6" hidden="1">{"PAGE1",#N/A,FALSE,"CPFFMSTR";"PAGE2",#N/A,FALSE,"CPFFMSTR"}</definedName>
    <definedName name="aer" localSheetId="7" hidden="1">{"PAGE1",#N/A,FALSE,"CPFFMSTR";"PAGE2",#N/A,FALSE,"CPFFMSTR"}</definedName>
    <definedName name="aer" localSheetId="8" hidden="1">{"PAGE1",#N/A,FALSE,"CPFFMSTR";"PAGE2",#N/A,FALSE,"CPFFMSTR"}</definedName>
    <definedName name="aer" localSheetId="9" hidden="1">{"PAGE1",#N/A,FALSE,"CPFFMSTR";"PAGE2",#N/A,FALSE,"CPFFMSTR"}</definedName>
    <definedName name="aer" localSheetId="10" hidden="1">{"PAGE1",#N/A,FALSE,"CPFFMSTR";"PAGE2",#N/A,FALSE,"CPFFMSTR"}</definedName>
    <definedName name="aer" localSheetId="11" hidden="1">{"PAGE1",#N/A,FALSE,"CPFFMSTR";"PAGE2",#N/A,FALSE,"CPFFMSTR"}</definedName>
    <definedName name="aer" localSheetId="12" hidden="1">{"PAGE1",#N/A,FALSE,"CPFFMSTR";"PAGE2",#N/A,FALSE,"CPFFMSTR"}</definedName>
    <definedName name="aer" localSheetId="4" hidden="1">{"PAGE1",#N/A,FALSE,"CPFFMSTR";"PAGE2",#N/A,FALSE,"CPFFMSTR"}</definedName>
    <definedName name="aer" localSheetId="3" hidden="1">{"PAGE1",#N/A,FALSE,"CPFFMSTR";"PAGE2",#N/A,FALSE,"CPFFMSTR"}</definedName>
    <definedName name="aer" localSheetId="13" hidden="1">{"PAGE1",#N/A,FALSE,"CPFFMSTR";"PAGE2",#N/A,FALSE,"CPFFMSTR"}</definedName>
    <definedName name="aer" hidden="1">{"PAGE1",#N/A,FALSE,"CPFFMSTR";"PAGE2",#N/A,FALSE,"CPFFMSTR"}</definedName>
    <definedName name="aer3e" localSheetId="5" hidden="1">{"PAGE1",#N/A,FALSE,"CPFFMSTR";"PAGE2",#N/A,FALSE,"CPFFMSTR"}</definedName>
    <definedName name="aer3e" localSheetId="6" hidden="1">{"PAGE1",#N/A,FALSE,"CPFFMSTR";"PAGE2",#N/A,FALSE,"CPFFMSTR"}</definedName>
    <definedName name="aer3e" localSheetId="7" hidden="1">{"PAGE1",#N/A,FALSE,"CPFFMSTR";"PAGE2",#N/A,FALSE,"CPFFMSTR"}</definedName>
    <definedName name="aer3e" localSheetId="8" hidden="1">{"PAGE1",#N/A,FALSE,"CPFFMSTR";"PAGE2",#N/A,FALSE,"CPFFMSTR"}</definedName>
    <definedName name="aer3e" localSheetId="9" hidden="1">{"PAGE1",#N/A,FALSE,"CPFFMSTR";"PAGE2",#N/A,FALSE,"CPFFMSTR"}</definedName>
    <definedName name="aer3e" localSheetId="10" hidden="1">{"PAGE1",#N/A,FALSE,"CPFFMSTR";"PAGE2",#N/A,FALSE,"CPFFMSTR"}</definedName>
    <definedName name="aer3e" localSheetId="11" hidden="1">{"PAGE1",#N/A,FALSE,"CPFFMSTR";"PAGE2",#N/A,FALSE,"CPFFMSTR"}</definedName>
    <definedName name="aer3e" localSheetId="12" hidden="1">{"PAGE1",#N/A,FALSE,"CPFFMSTR";"PAGE2",#N/A,FALSE,"CPFFMSTR"}</definedName>
    <definedName name="aer3e" localSheetId="4" hidden="1">{"PAGE1",#N/A,FALSE,"CPFFMSTR";"PAGE2",#N/A,FALSE,"CPFFMSTR"}</definedName>
    <definedName name="aer3e" localSheetId="3" hidden="1">{"PAGE1",#N/A,FALSE,"CPFFMSTR";"PAGE2",#N/A,FALSE,"CPFFMSTR"}</definedName>
    <definedName name="aer3e" localSheetId="13" hidden="1">{"PAGE1",#N/A,FALSE,"CPFFMSTR";"PAGE2",#N/A,FALSE,"CPFFMSTR"}</definedName>
    <definedName name="aer3e" hidden="1">{"PAGE1",#N/A,FALSE,"CPFFMSTR";"PAGE2",#N/A,FALSE,"CPFFMSTR"}</definedName>
    <definedName name="aere" localSheetId="5" hidden="1">{"PAGE1",#N/A,FALSE,"CPFFMSTR";"PAGE2",#N/A,FALSE,"CPFFMSTR"}</definedName>
    <definedName name="aere" localSheetId="6" hidden="1">{"PAGE1",#N/A,FALSE,"CPFFMSTR";"PAGE2",#N/A,FALSE,"CPFFMSTR"}</definedName>
    <definedName name="aere" localSheetId="7" hidden="1">{"PAGE1",#N/A,FALSE,"CPFFMSTR";"PAGE2",#N/A,FALSE,"CPFFMSTR"}</definedName>
    <definedName name="aere" localSheetId="8" hidden="1">{"PAGE1",#N/A,FALSE,"CPFFMSTR";"PAGE2",#N/A,FALSE,"CPFFMSTR"}</definedName>
    <definedName name="aere" localSheetId="9" hidden="1">{"PAGE1",#N/A,FALSE,"CPFFMSTR";"PAGE2",#N/A,FALSE,"CPFFMSTR"}</definedName>
    <definedName name="aere" localSheetId="10" hidden="1">{"PAGE1",#N/A,FALSE,"CPFFMSTR";"PAGE2",#N/A,FALSE,"CPFFMSTR"}</definedName>
    <definedName name="aere" localSheetId="11" hidden="1">{"PAGE1",#N/A,FALSE,"CPFFMSTR";"PAGE2",#N/A,FALSE,"CPFFMSTR"}</definedName>
    <definedName name="aere" localSheetId="12" hidden="1">{"PAGE1",#N/A,FALSE,"CPFFMSTR";"PAGE2",#N/A,FALSE,"CPFFMSTR"}</definedName>
    <definedName name="aere" localSheetId="4" hidden="1">{"PAGE1",#N/A,FALSE,"CPFFMSTR";"PAGE2",#N/A,FALSE,"CPFFMSTR"}</definedName>
    <definedName name="aere" localSheetId="3" hidden="1">{"PAGE1",#N/A,FALSE,"CPFFMSTR";"PAGE2",#N/A,FALSE,"CPFFMSTR"}</definedName>
    <definedName name="aere" localSheetId="13" hidden="1">{"PAGE1",#N/A,FALSE,"CPFFMSTR";"PAGE2",#N/A,FALSE,"CPFFMSTR"}</definedName>
    <definedName name="aere" hidden="1">{"PAGE1",#N/A,FALSE,"CPFFMSTR";"PAGE2",#N/A,FALSE,"CPFFMSTR"}</definedName>
    <definedName name="aesre" localSheetId="5" hidden="1">{"PAGE1",#N/A,FALSE,"CPFFMSTR";"PAGE2",#N/A,FALSE,"CPFFMSTR"}</definedName>
    <definedName name="aesre" localSheetId="6" hidden="1">{"PAGE1",#N/A,FALSE,"CPFFMSTR";"PAGE2",#N/A,FALSE,"CPFFMSTR"}</definedName>
    <definedName name="aesre" localSheetId="7" hidden="1">{"PAGE1",#N/A,FALSE,"CPFFMSTR";"PAGE2",#N/A,FALSE,"CPFFMSTR"}</definedName>
    <definedName name="aesre" localSheetId="8" hidden="1">{"PAGE1",#N/A,FALSE,"CPFFMSTR";"PAGE2",#N/A,FALSE,"CPFFMSTR"}</definedName>
    <definedName name="aesre" localSheetId="9" hidden="1">{"PAGE1",#N/A,FALSE,"CPFFMSTR";"PAGE2",#N/A,FALSE,"CPFFMSTR"}</definedName>
    <definedName name="aesre" localSheetId="10" hidden="1">{"PAGE1",#N/A,FALSE,"CPFFMSTR";"PAGE2",#N/A,FALSE,"CPFFMSTR"}</definedName>
    <definedName name="aesre" localSheetId="11" hidden="1">{"PAGE1",#N/A,FALSE,"CPFFMSTR";"PAGE2",#N/A,FALSE,"CPFFMSTR"}</definedName>
    <definedName name="aesre" localSheetId="12" hidden="1">{"PAGE1",#N/A,FALSE,"CPFFMSTR";"PAGE2",#N/A,FALSE,"CPFFMSTR"}</definedName>
    <definedName name="aesre" localSheetId="4" hidden="1">{"PAGE1",#N/A,FALSE,"CPFFMSTR";"PAGE2",#N/A,FALSE,"CPFFMSTR"}</definedName>
    <definedName name="aesre" localSheetId="3" hidden="1">{"PAGE1",#N/A,FALSE,"CPFFMSTR";"PAGE2",#N/A,FALSE,"CPFFMSTR"}</definedName>
    <definedName name="aesre" localSheetId="13" hidden="1">{"PAGE1",#N/A,FALSE,"CPFFMSTR";"PAGE2",#N/A,FALSE,"CPFFMSTR"}</definedName>
    <definedName name="aesre" hidden="1">{"PAGE1",#N/A,FALSE,"CPFFMSTR";"PAGE2",#N/A,FALSE,"CPFFMSTR"}</definedName>
    <definedName name="Agbiz11">[10]RATES!#REF!</definedName>
    <definedName name="Agbiz12">[10]RATES!#REF!</definedName>
    <definedName name="Agbiz13">[10]RATES!#REF!</definedName>
    <definedName name="Agbiz41">[10]RATES!#REF!</definedName>
    <definedName name="Agbiz42">[10]RATES!#REF!</definedName>
    <definedName name="Agbiz43">[10]RATES!#REF!</definedName>
    <definedName name="Agbiz51">[10]RATES!#REF!</definedName>
    <definedName name="Agbiz52">[10]RATES!#REF!</definedName>
    <definedName name="Agbiz53">[10]RATES!#REF!</definedName>
    <definedName name="AGCOSTS">#REF!</definedName>
    <definedName name="aidmax">[5]Parameters!$D$9</definedName>
    <definedName name="Airfare_Consultants">#REF!</definedName>
    <definedName name="Airfare_Homeleave">#REF!</definedName>
    <definedName name="airshipment">[12]Sheet1!$C$41</definedName>
    <definedName name="ALL">#REF!</definedName>
    <definedName name="Allowances">'[13]INPUTS Year 1'!$A$96:$A$96</definedName>
    <definedName name="ANAL">#REF!</definedName>
    <definedName name="Appointments">IF(LEN([14]calcs!$C$7:$N$43),COUNTIFS([14]!tblAppointments[DATE],[14]calcs!$C$7:$N$43,[14]!tblAppointments[DATE],"&gt;0"),0)</definedName>
    <definedName name="asd" hidden="1">[2]IPA!#REF!</definedName>
    <definedName name="asdf" localSheetId="5" hidden="1">{"PAGE1",#N/A,FALSE,"CPFFMSTR";"PAGE2",#N/A,FALSE,"CPFFMSTR"}</definedName>
    <definedName name="asdf" localSheetId="6" hidden="1">{"PAGE1",#N/A,FALSE,"CPFFMSTR";"PAGE2",#N/A,FALSE,"CPFFMSTR"}</definedName>
    <definedName name="asdf" localSheetId="7" hidden="1">{"PAGE1",#N/A,FALSE,"CPFFMSTR";"PAGE2",#N/A,FALSE,"CPFFMSTR"}</definedName>
    <definedName name="asdf" localSheetId="8" hidden="1">{"PAGE1",#N/A,FALSE,"CPFFMSTR";"PAGE2",#N/A,FALSE,"CPFFMSTR"}</definedName>
    <definedName name="asdf" localSheetId="9" hidden="1">{"PAGE1",#N/A,FALSE,"CPFFMSTR";"PAGE2",#N/A,FALSE,"CPFFMSTR"}</definedName>
    <definedName name="asdf" localSheetId="10" hidden="1">{"PAGE1",#N/A,FALSE,"CPFFMSTR";"PAGE2",#N/A,FALSE,"CPFFMSTR"}</definedName>
    <definedName name="asdf" localSheetId="11" hidden="1">{"PAGE1",#N/A,FALSE,"CPFFMSTR";"PAGE2",#N/A,FALSE,"CPFFMSTR"}</definedName>
    <definedName name="asdf" localSheetId="12" hidden="1">{"PAGE1",#N/A,FALSE,"CPFFMSTR";"PAGE2",#N/A,FALSE,"CPFFMSTR"}</definedName>
    <definedName name="asdf" localSheetId="4" hidden="1">{"PAGE1",#N/A,FALSE,"CPFFMSTR";"PAGE2",#N/A,FALSE,"CPFFMSTR"}</definedName>
    <definedName name="asdf" localSheetId="3" hidden="1">{"PAGE1",#N/A,FALSE,"CPFFMSTR";"PAGE2",#N/A,FALSE,"CPFFMSTR"}</definedName>
    <definedName name="asdf" localSheetId="13" hidden="1">{"PAGE1",#N/A,FALSE,"CPFFMSTR";"PAGE2",#N/A,FALSE,"CPFFMSTR"}</definedName>
    <definedName name="asdf" hidden="1">{"PAGE1",#N/A,FALSE,"CPFFMSTR";"PAGE2",#N/A,FALSE,"CPFFMSTR"}</definedName>
    <definedName name="asf">#REF!</definedName>
    <definedName name="ASI_Dec_1">#REF!</definedName>
    <definedName name="ASI_Dec_2">#REF!</definedName>
    <definedName name="ASI_Dec_3">#REF!</definedName>
    <definedName name="ASI_Dec_4">#REF!</definedName>
    <definedName name="ASI_Dec_5">#REF!</definedName>
    <definedName name="ASI_May_1">#REF!</definedName>
    <definedName name="ASI_May_2">#REF!</definedName>
    <definedName name="ASI_May_3">#REF!</definedName>
    <definedName name="ASI_May_4">#REF!</definedName>
    <definedName name="ASI_May_5">#REF!</definedName>
    <definedName name="ASI_Nov_1">#REF!</definedName>
    <definedName name="ASI_Nov_2">#REF!</definedName>
    <definedName name="ASI_nov_3">#REF!</definedName>
    <definedName name="ASI_Nov_4">#REF!</definedName>
    <definedName name="ASI_Nov_5">#REF!</definedName>
    <definedName name="ASU">#N/A</definedName>
    <definedName name="awardfee">#REF!</definedName>
    <definedName name="AWI_FACTOR_OPTION_YR1">[15]INDIRECTS!#REF!</definedName>
    <definedName name="AWI_FACTOR_OPTION_YR2">[15]INDIRECTS!#REF!</definedName>
    <definedName name="AWI_FACTOR_OPTION_YR3">[15]INDIRECTS!#REF!</definedName>
    <definedName name="AWI_FACTOR_OPTION_YR4">[15]INDIRECTS!#REF!</definedName>
    <definedName name="AWI_FACTOR_TABLE">[15]INDIRECTS!#REF!</definedName>
    <definedName name="AWU_FACTOR_OPTION_YR1B">[15]INDIRECTS!#REF!</definedName>
    <definedName name="bank_transfer">#REF!</definedName>
    <definedName name="BASA">#REF!</definedName>
    <definedName name="BASA1">#REF!</definedName>
    <definedName name="basefee">#REF!</definedName>
    <definedName name="BI">[16]Assumptions!$H$12</definedName>
    <definedName name="big">#REF!</definedName>
    <definedName name="bkodc">[12]Sheet1!$C$32</definedName>
    <definedName name="BRANTRAV">#REF!</definedName>
    <definedName name="budget">#REF!</definedName>
    <definedName name="Budget_years">#REF!</definedName>
    <definedName name="bver" localSheetId="5" hidden="1">{"PAGE1",#N/A,FALSE,"CPFFMSTR";"PAGE2",#N/A,FALSE,"CPFFMSTR"}</definedName>
    <definedName name="bver" localSheetId="6" hidden="1">{"PAGE1",#N/A,FALSE,"CPFFMSTR";"PAGE2",#N/A,FALSE,"CPFFMSTR"}</definedName>
    <definedName name="bver" localSheetId="7" hidden="1">{"PAGE1",#N/A,FALSE,"CPFFMSTR";"PAGE2",#N/A,FALSE,"CPFFMSTR"}</definedName>
    <definedName name="bver" localSheetId="8" hidden="1">{"PAGE1",#N/A,FALSE,"CPFFMSTR";"PAGE2",#N/A,FALSE,"CPFFMSTR"}</definedName>
    <definedName name="bver" localSheetId="9" hidden="1">{"PAGE1",#N/A,FALSE,"CPFFMSTR";"PAGE2",#N/A,FALSE,"CPFFMSTR"}</definedName>
    <definedName name="bver" localSheetId="10" hidden="1">{"PAGE1",#N/A,FALSE,"CPFFMSTR";"PAGE2",#N/A,FALSE,"CPFFMSTR"}</definedName>
    <definedName name="bver" localSheetId="11" hidden="1">{"PAGE1",#N/A,FALSE,"CPFFMSTR";"PAGE2",#N/A,FALSE,"CPFFMSTR"}</definedName>
    <definedName name="bver" localSheetId="12" hidden="1">{"PAGE1",#N/A,FALSE,"CPFFMSTR";"PAGE2",#N/A,FALSE,"CPFFMSTR"}</definedName>
    <definedName name="bver" localSheetId="4" hidden="1">{"PAGE1",#N/A,FALSE,"CPFFMSTR";"PAGE2",#N/A,FALSE,"CPFFMSTR"}</definedName>
    <definedName name="bver" localSheetId="3" hidden="1">{"PAGE1",#N/A,FALSE,"CPFFMSTR";"PAGE2",#N/A,FALSE,"CPFFMSTR"}</definedName>
    <definedName name="bver" localSheetId="13" hidden="1">{"PAGE1",#N/A,FALSE,"CPFFMSTR";"PAGE2",#N/A,FALSE,"CPFFMSTR"}</definedName>
    <definedName name="bver" hidden="1">{"PAGE1",#N/A,FALSE,"CPFFMSTR";"PAGE2",#N/A,FALSE,"CPFFMSTR"}</definedName>
    <definedName name="capital">[17]Parameters!$B$35</definedName>
    <definedName name="Cash_Table">'[18]Cash Receipt by Project'!$A:$EA</definedName>
    <definedName name="CCN">#N/A</definedName>
    <definedName name="CCN_Disount">#REF!</definedName>
    <definedName name="CGHY" localSheetId="5" hidden="1">{"PAGE1",#N/A,FALSE,"CPFFMSTR";"PAGE2",#N/A,FALSE,"CPFFMSTR"}</definedName>
    <definedName name="CGHY" localSheetId="6" hidden="1">{"PAGE1",#N/A,FALSE,"CPFFMSTR";"PAGE2",#N/A,FALSE,"CPFFMSTR"}</definedName>
    <definedName name="CGHY" localSheetId="7" hidden="1">{"PAGE1",#N/A,FALSE,"CPFFMSTR";"PAGE2",#N/A,FALSE,"CPFFMSTR"}</definedName>
    <definedName name="CGHY" localSheetId="8" hidden="1">{"PAGE1",#N/A,FALSE,"CPFFMSTR";"PAGE2",#N/A,FALSE,"CPFFMSTR"}</definedName>
    <definedName name="CGHY" localSheetId="9" hidden="1">{"PAGE1",#N/A,FALSE,"CPFFMSTR";"PAGE2",#N/A,FALSE,"CPFFMSTR"}</definedName>
    <definedName name="CGHY" localSheetId="10" hidden="1">{"PAGE1",#N/A,FALSE,"CPFFMSTR";"PAGE2",#N/A,FALSE,"CPFFMSTR"}</definedName>
    <definedName name="CGHY" localSheetId="11" hidden="1">{"PAGE1",#N/A,FALSE,"CPFFMSTR";"PAGE2",#N/A,FALSE,"CPFFMSTR"}</definedName>
    <definedName name="CGHY" localSheetId="12" hidden="1">{"PAGE1",#N/A,FALSE,"CPFFMSTR";"PAGE2",#N/A,FALSE,"CPFFMSTR"}</definedName>
    <definedName name="CGHY" localSheetId="4" hidden="1">{"PAGE1",#N/A,FALSE,"CPFFMSTR";"PAGE2",#N/A,FALSE,"CPFFMSTR"}</definedName>
    <definedName name="CGHY" localSheetId="3" hidden="1">{"PAGE1",#N/A,FALSE,"CPFFMSTR";"PAGE2",#N/A,FALSE,"CPFFMSTR"}</definedName>
    <definedName name="CGHY" localSheetId="13" hidden="1">{"PAGE1",#N/A,FALSE,"CPFFMSTR";"PAGE2",#N/A,FALSE,"CPFFMSTR"}</definedName>
    <definedName name="CGHY" hidden="1">{"PAGE1",#N/A,FALSE,"CPFFMSTR";"PAGE2",#N/A,FALSE,"CPFFMSTR"}</definedName>
    <definedName name="Chart_of_accounts">#REF!</definedName>
    <definedName name="ci">[5]Parameters!$B$2</definedName>
    <definedName name="CII">[12]Sheet1!$C$13</definedName>
    <definedName name="CLASS">[19]Classes!$B$2:$C$29</definedName>
    <definedName name="clin1">[7]Parameters!$B$10</definedName>
    <definedName name="clin1base">#REF!</definedName>
    <definedName name="clin1factor">'[5]CLIN factor'!$E$73</definedName>
    <definedName name="clin1oy1">#REF!</definedName>
    <definedName name="clin1oy2">#REF!</definedName>
    <definedName name="clin1oy3">#REF!</definedName>
    <definedName name="clin1oy4">#REF!</definedName>
    <definedName name="clin2">[7]Parameters!$B$11</definedName>
    <definedName name="clin2base">#REF!</definedName>
    <definedName name="clin2factor">'[5]CLIN factor'!$H$73</definedName>
    <definedName name="clin2oy1">#REF!</definedName>
    <definedName name="clin2oy2">#REF!</definedName>
    <definedName name="clin2oy3">#REF!</definedName>
    <definedName name="clin2oy4">#REF!</definedName>
    <definedName name="clin3">[7]Parameters!$B$12</definedName>
    <definedName name="clin3base">#REF!</definedName>
    <definedName name="clin3factor">'[5]CLIN factor'!$K$73</definedName>
    <definedName name="clin3oy1">#REF!</definedName>
    <definedName name="clin3oy2">#REF!</definedName>
    <definedName name="clin3oy3">#REF!</definedName>
    <definedName name="clin3oy4">#REF!</definedName>
    <definedName name="clin4">[7]Parameters!$B$13</definedName>
    <definedName name="clin5">[7]Parameters!$B$14</definedName>
    <definedName name="CoLA">'[20]Payroll August '!#REF!</definedName>
    <definedName name="comm">[5]Parameters!#REF!</definedName>
    <definedName name="Composite_Indirect_Rates_Year_1">[15]INDIRECTS!$T$3:$Y$15</definedName>
    <definedName name="Composite_Indirect_Rates_Year_2">[15]INDIRECTS!#REF!</definedName>
    <definedName name="Composite_Indirect_Rates_Year_3">[15]INDIRECTS!#REF!</definedName>
    <definedName name="Composite_Indirect_Rates_Year_4">[15]INDIRECTS!#REF!</definedName>
    <definedName name="Composite_Indirect_Rates_Year_5">[15]INDIRECTS!#REF!</definedName>
    <definedName name="COMSO" localSheetId="5" hidden="1">{#N/A,#N/A,FALSE,"Proposal"}</definedName>
    <definedName name="COMSO" localSheetId="6" hidden="1">{#N/A,#N/A,FALSE,"Proposal"}</definedName>
    <definedName name="COMSO" localSheetId="7" hidden="1">{#N/A,#N/A,FALSE,"Proposal"}</definedName>
    <definedName name="COMSO" localSheetId="8" hidden="1">{#N/A,#N/A,FALSE,"Proposal"}</definedName>
    <definedName name="COMSO" localSheetId="9" hidden="1">{#N/A,#N/A,FALSE,"Proposal"}</definedName>
    <definedName name="COMSO" localSheetId="10" hidden="1">{#N/A,#N/A,FALSE,"Proposal"}</definedName>
    <definedName name="COMSO" localSheetId="11" hidden="1">{#N/A,#N/A,FALSE,"Proposal"}</definedName>
    <definedName name="COMSO" localSheetId="12" hidden="1">{#N/A,#N/A,FALSE,"Proposal"}</definedName>
    <definedName name="COMSO" localSheetId="4" hidden="1">{#N/A,#N/A,FALSE,"Proposal"}</definedName>
    <definedName name="COMSO" localSheetId="13" hidden="1">{#N/A,#N/A,FALSE,"Proposal"}</definedName>
    <definedName name="COMSO" hidden="1">{#N/A,#N/A,FALSE,"Proposal"}</definedName>
    <definedName name="confperdiem">#REF!</definedName>
    <definedName name="Connscenario">'[21]Summary Budget'!$O$12:$V$12</definedName>
    <definedName name="Connscenariodata">'[21]Summary Budget'!$O$12:$V$13</definedName>
    <definedName name="Cons">[10]RATES!#REF!</definedName>
    <definedName name="ConsolidatedOld">#REF!</definedName>
    <definedName name="CONST">#REF!</definedName>
    <definedName name="CONSULT">#N/A</definedName>
    <definedName name="consumables">[12]Sheet1!$C$42</definedName>
    <definedName name="COOPERATIVE_LEAGUE_OF_THE_USA">#REF!</definedName>
    <definedName name="coptrip">[5]Parameters!$D$27</definedName>
    <definedName name="coptriplength">[5]Parameters!$D$28</definedName>
    <definedName name="Cost_Elements">[15]INDIRECTS!$T$2:$Y$2</definedName>
    <definedName name="COSTS">#N/A</definedName>
    <definedName name="COUNTRY">#N/A</definedName>
    <definedName name="countryinf">#REF!</definedName>
    <definedName name="cts">[5]Parameters!$D$63</definedName>
    <definedName name="currency2">#REF!</definedName>
    <definedName name="CurrencyCode">#REF!</definedName>
    <definedName name="Cut">#REF!</definedName>
    <definedName name="DAI">#N/A</definedName>
    <definedName name="daiInd">1.4*1.5*1.09</definedName>
    <definedName name="danger">[7]Parameters!$B$522</definedName>
    <definedName name="dangerpay">[5]Parameters!$D$57</definedName>
    <definedName name="Dartotalpd">[17]Parameters!$B$29</definedName>
    <definedName name="DATA">#REF!</definedName>
    <definedName name="_xlnm.Database">#REF!</definedName>
    <definedName name="dataI3R">#REF!</definedName>
    <definedName name="Date">#REF!</definedName>
    <definedName name="Days">[10]RATES!#REF!</definedName>
    <definedName name="daysinKabul">[7]Parameters!$B$512</definedName>
    <definedName name="daysinPeshawar">[7]Parameters!$B$514</definedName>
    <definedName name="daysinTravel">[7]Parameters!$B$515</definedName>
    <definedName name="daysoutKabul">[7]Parameters!$B$513</definedName>
    <definedName name="dayspertrip">#REF!</definedName>
    <definedName name="dba">[5]Parameters!$D$16</definedName>
    <definedName name="ddd">'[22]Data-in process'!$C$2:$K$60</definedName>
    <definedName name="dereje">'[3]Detailed Budget-SAVE'!#REF!</definedName>
    <definedName name="Dereje_123">#REF!</definedName>
    <definedName name="DETAIL">#REF!</definedName>
    <definedName name="DFTY" localSheetId="5" hidden="1">{"PAGE1",#N/A,FALSE,"CPFFMSTR";"PAGE2",#N/A,FALSE,"CPFFMSTR"}</definedName>
    <definedName name="DFTY" localSheetId="6" hidden="1">{"PAGE1",#N/A,FALSE,"CPFFMSTR";"PAGE2",#N/A,FALSE,"CPFFMSTR"}</definedName>
    <definedName name="DFTY" localSheetId="7" hidden="1">{"PAGE1",#N/A,FALSE,"CPFFMSTR";"PAGE2",#N/A,FALSE,"CPFFMSTR"}</definedName>
    <definedName name="DFTY" localSheetId="8" hidden="1">{"PAGE1",#N/A,FALSE,"CPFFMSTR";"PAGE2",#N/A,FALSE,"CPFFMSTR"}</definedName>
    <definedName name="DFTY" localSheetId="9" hidden="1">{"PAGE1",#N/A,FALSE,"CPFFMSTR";"PAGE2",#N/A,FALSE,"CPFFMSTR"}</definedName>
    <definedName name="DFTY" localSheetId="10" hidden="1">{"PAGE1",#N/A,FALSE,"CPFFMSTR";"PAGE2",#N/A,FALSE,"CPFFMSTR"}</definedName>
    <definedName name="DFTY" localSheetId="11" hidden="1">{"PAGE1",#N/A,FALSE,"CPFFMSTR";"PAGE2",#N/A,FALSE,"CPFFMSTR"}</definedName>
    <definedName name="DFTY" localSheetId="12" hidden="1">{"PAGE1",#N/A,FALSE,"CPFFMSTR";"PAGE2",#N/A,FALSE,"CPFFMSTR"}</definedName>
    <definedName name="DFTY" localSheetId="4" hidden="1">{"PAGE1",#N/A,FALSE,"CPFFMSTR";"PAGE2",#N/A,FALSE,"CPFFMSTR"}</definedName>
    <definedName name="DFTY" localSheetId="3" hidden="1">{"PAGE1",#N/A,FALSE,"CPFFMSTR";"PAGE2",#N/A,FALSE,"CPFFMSTR"}</definedName>
    <definedName name="DFTY" localSheetId="13" hidden="1">{"PAGE1",#N/A,FALSE,"CPFFMSTR";"PAGE2",#N/A,FALSE,"CPFFMSTR"}</definedName>
    <definedName name="DFTY" hidden="1">{"PAGE1",#N/A,FALSE,"CPFFMSTR";"PAGE2",#N/A,FALSE,"CPFFMSTR"}</definedName>
    <definedName name="differential">[23]formulas!#REF!</definedName>
    <definedName name="Dinominator">#REF!</definedName>
    <definedName name="discCCN">0.77</definedName>
    <definedName name="discCCNLT">(1-0)</definedName>
    <definedName name="discCCNst">(1-0.75)</definedName>
    <definedName name="discExpat">0.15</definedName>
    <definedName name="DON">#N/A</definedName>
    <definedName name="dpt">#REF!</definedName>
    <definedName name="dsfa" localSheetId="5" hidden="1">{"PAGE1",#N/A,FALSE,"CPFFMSTR";"PAGE2",#N/A,FALSE,"CPFFMSTR"}</definedName>
    <definedName name="dsfa" localSheetId="6" hidden="1">{"PAGE1",#N/A,FALSE,"CPFFMSTR";"PAGE2",#N/A,FALSE,"CPFFMSTR"}</definedName>
    <definedName name="dsfa" localSheetId="7" hidden="1">{"PAGE1",#N/A,FALSE,"CPFFMSTR";"PAGE2",#N/A,FALSE,"CPFFMSTR"}</definedName>
    <definedName name="dsfa" localSheetId="8" hidden="1">{"PAGE1",#N/A,FALSE,"CPFFMSTR";"PAGE2",#N/A,FALSE,"CPFFMSTR"}</definedName>
    <definedName name="dsfa" localSheetId="9" hidden="1">{"PAGE1",#N/A,FALSE,"CPFFMSTR";"PAGE2",#N/A,FALSE,"CPFFMSTR"}</definedName>
    <definedName name="dsfa" localSheetId="10" hidden="1">{"PAGE1",#N/A,FALSE,"CPFFMSTR";"PAGE2",#N/A,FALSE,"CPFFMSTR"}</definedName>
    <definedName name="dsfa" localSheetId="11" hidden="1">{"PAGE1",#N/A,FALSE,"CPFFMSTR";"PAGE2",#N/A,FALSE,"CPFFMSTR"}</definedName>
    <definedName name="dsfa" localSheetId="12" hidden="1">{"PAGE1",#N/A,FALSE,"CPFFMSTR";"PAGE2",#N/A,FALSE,"CPFFMSTR"}</definedName>
    <definedName name="dsfa" localSheetId="4" hidden="1">{"PAGE1",#N/A,FALSE,"CPFFMSTR";"PAGE2",#N/A,FALSE,"CPFFMSTR"}</definedName>
    <definedName name="dsfa" localSheetId="3" hidden="1">{"PAGE1",#N/A,FALSE,"CPFFMSTR";"PAGE2",#N/A,FALSE,"CPFFMSTR"}</definedName>
    <definedName name="dsfa" localSheetId="13" hidden="1">{"PAGE1",#N/A,FALSE,"CPFFMSTR";"PAGE2",#N/A,FALSE,"CPFFMSTR"}</definedName>
    <definedName name="dsfa" hidden="1">{"PAGE1",#N/A,FALSE,"CPFFMSTR";"PAGE2",#N/A,FALSE,"CPFFMSTR"}</definedName>
    <definedName name="dtys" localSheetId="5" hidden="1">{"PAGE1",#N/A,FALSE,"CPFFMSTR";"PAGE2",#N/A,FALSE,"CPFFMSTR"}</definedName>
    <definedName name="dtys" localSheetId="6" hidden="1">{"PAGE1",#N/A,FALSE,"CPFFMSTR";"PAGE2",#N/A,FALSE,"CPFFMSTR"}</definedName>
    <definedName name="dtys" localSheetId="7" hidden="1">{"PAGE1",#N/A,FALSE,"CPFFMSTR";"PAGE2",#N/A,FALSE,"CPFFMSTR"}</definedName>
    <definedName name="dtys" localSheetId="8" hidden="1">{"PAGE1",#N/A,FALSE,"CPFFMSTR";"PAGE2",#N/A,FALSE,"CPFFMSTR"}</definedName>
    <definedName name="dtys" localSheetId="9" hidden="1">{"PAGE1",#N/A,FALSE,"CPFFMSTR";"PAGE2",#N/A,FALSE,"CPFFMSTR"}</definedName>
    <definedName name="dtys" localSheetId="10" hidden="1">{"PAGE1",#N/A,FALSE,"CPFFMSTR";"PAGE2",#N/A,FALSE,"CPFFMSTR"}</definedName>
    <definedName name="dtys" localSheetId="11" hidden="1">{"PAGE1",#N/A,FALSE,"CPFFMSTR";"PAGE2",#N/A,FALSE,"CPFFMSTR"}</definedName>
    <definedName name="dtys" localSheetId="12" hidden="1">{"PAGE1",#N/A,FALSE,"CPFFMSTR";"PAGE2",#N/A,FALSE,"CPFFMSTR"}</definedName>
    <definedName name="dtys" localSheetId="4" hidden="1">{"PAGE1",#N/A,FALSE,"CPFFMSTR";"PAGE2",#N/A,FALSE,"CPFFMSTR"}</definedName>
    <definedName name="dtys" localSheetId="3" hidden="1">{"PAGE1",#N/A,FALSE,"CPFFMSTR";"PAGE2",#N/A,FALSE,"CPFFMSTR"}</definedName>
    <definedName name="dtys" localSheetId="13" hidden="1">{"PAGE1",#N/A,FALSE,"CPFFMSTR";"PAGE2",#N/A,FALSE,"CPFFMSTR"}</definedName>
    <definedName name="dtys" hidden="1">{"PAGE1",#N/A,FALSE,"CPFFMSTR";"PAGE2",#N/A,FALSE,"CPFFMSTR"}</definedName>
    <definedName name="eafo" localSheetId="5" hidden="1">{"ACC_Cars_125K_PA",#N/A,FALSE,"ACC Cars Co1 125K ";"ACC_Cars_125K_Prop",#N/A,FALSE,"ACC Cars Co1 125K "}</definedName>
    <definedName name="eafo" localSheetId="6" hidden="1">{"ACC_Cars_125K_PA",#N/A,FALSE,"ACC Cars Co1 125K ";"ACC_Cars_125K_Prop",#N/A,FALSE,"ACC Cars Co1 125K "}</definedName>
    <definedName name="eafo" localSheetId="7" hidden="1">{"ACC_Cars_125K_PA",#N/A,FALSE,"ACC Cars Co1 125K ";"ACC_Cars_125K_Prop",#N/A,FALSE,"ACC Cars Co1 125K "}</definedName>
    <definedName name="eafo" localSheetId="8" hidden="1">{"ACC_Cars_125K_PA",#N/A,FALSE,"ACC Cars Co1 125K ";"ACC_Cars_125K_Prop",#N/A,FALSE,"ACC Cars Co1 125K "}</definedName>
    <definedName name="eafo" localSheetId="9" hidden="1">{"ACC_Cars_125K_PA",#N/A,FALSE,"ACC Cars Co1 125K ";"ACC_Cars_125K_Prop",#N/A,FALSE,"ACC Cars Co1 125K "}</definedName>
    <definedName name="eafo" localSheetId="10" hidden="1">{"ACC_Cars_125K_PA",#N/A,FALSE,"ACC Cars Co1 125K ";"ACC_Cars_125K_Prop",#N/A,FALSE,"ACC Cars Co1 125K "}</definedName>
    <definedName name="eafo" localSheetId="11" hidden="1">{"ACC_Cars_125K_PA",#N/A,FALSE,"ACC Cars Co1 125K ";"ACC_Cars_125K_Prop",#N/A,FALSE,"ACC Cars Co1 125K "}</definedName>
    <definedName name="eafo" localSheetId="12" hidden="1">{"ACC_Cars_125K_PA",#N/A,FALSE,"ACC Cars Co1 125K ";"ACC_Cars_125K_Prop",#N/A,FALSE,"ACC Cars Co1 125K "}</definedName>
    <definedName name="eafo" localSheetId="4" hidden="1">{"ACC_Cars_125K_PA",#N/A,FALSE,"ACC Cars Co1 125K ";"ACC_Cars_125K_Prop",#N/A,FALSE,"ACC Cars Co1 125K "}</definedName>
    <definedName name="eafo" localSheetId="3" hidden="1">{"ACC_Cars_125K_PA",#N/A,FALSE,"ACC Cars Co1 125K ";"ACC_Cars_125K_Prop",#N/A,FALSE,"ACC Cars Co1 125K "}</definedName>
    <definedName name="eafo" localSheetId="13" hidden="1">{"ACC_Cars_125K_PA",#N/A,FALSE,"ACC Cars Co1 125K ";"ACC_Cars_125K_Prop",#N/A,FALSE,"ACC Cars Co1 125K "}</definedName>
    <definedName name="eafo" hidden="1">{"ACC_Cars_125K_PA",#N/A,FALSE,"ACC Cars Co1 125K ";"ACC_Cars_125K_Prop",#N/A,FALSE,"ACC Cars Co1 125K "}</definedName>
    <definedName name="eafo1" localSheetId="5" hidden="1">{"ACC_Cars_400K_PA",#N/A,FALSE,"ACC Cars Co1 400K";"ACC_Cars_400K_Prop",#N/A,FALSE,"ACC Cars Co1 400K"}</definedName>
    <definedName name="eafo1" localSheetId="6" hidden="1">{"ACC_Cars_400K_PA",#N/A,FALSE,"ACC Cars Co1 400K";"ACC_Cars_400K_Prop",#N/A,FALSE,"ACC Cars Co1 400K"}</definedName>
    <definedName name="eafo1" localSheetId="7" hidden="1">{"ACC_Cars_400K_PA",#N/A,FALSE,"ACC Cars Co1 400K";"ACC_Cars_400K_Prop",#N/A,FALSE,"ACC Cars Co1 400K"}</definedName>
    <definedName name="eafo1" localSheetId="8" hidden="1">{"ACC_Cars_400K_PA",#N/A,FALSE,"ACC Cars Co1 400K";"ACC_Cars_400K_Prop",#N/A,FALSE,"ACC Cars Co1 400K"}</definedName>
    <definedName name="eafo1" localSheetId="9" hidden="1">{"ACC_Cars_400K_PA",#N/A,FALSE,"ACC Cars Co1 400K";"ACC_Cars_400K_Prop",#N/A,FALSE,"ACC Cars Co1 400K"}</definedName>
    <definedName name="eafo1" localSheetId="10" hidden="1">{"ACC_Cars_400K_PA",#N/A,FALSE,"ACC Cars Co1 400K";"ACC_Cars_400K_Prop",#N/A,FALSE,"ACC Cars Co1 400K"}</definedName>
    <definedName name="eafo1" localSheetId="11" hidden="1">{"ACC_Cars_400K_PA",#N/A,FALSE,"ACC Cars Co1 400K";"ACC_Cars_400K_Prop",#N/A,FALSE,"ACC Cars Co1 400K"}</definedName>
    <definedName name="eafo1" localSheetId="12" hidden="1">{"ACC_Cars_400K_PA",#N/A,FALSE,"ACC Cars Co1 400K";"ACC_Cars_400K_Prop",#N/A,FALSE,"ACC Cars Co1 400K"}</definedName>
    <definedName name="eafo1" localSheetId="4" hidden="1">{"ACC_Cars_400K_PA",#N/A,FALSE,"ACC Cars Co1 400K";"ACC_Cars_400K_Prop",#N/A,FALSE,"ACC Cars Co1 400K"}</definedName>
    <definedName name="eafo1" localSheetId="3" hidden="1">{"ACC_Cars_400K_PA",#N/A,FALSE,"ACC Cars Co1 400K";"ACC_Cars_400K_Prop",#N/A,FALSE,"ACC Cars Co1 400K"}</definedName>
    <definedName name="eafo1" localSheetId="13" hidden="1">{"ACC_Cars_400K_PA",#N/A,FALSE,"ACC Cars Co1 400K";"ACC_Cars_400K_Prop",#N/A,FALSE,"ACC Cars Co1 400K"}</definedName>
    <definedName name="eafo1" hidden="1">{"ACC_Cars_400K_PA",#N/A,FALSE,"ACC Cars Co1 400K";"ACC_Cars_400K_Prop",#N/A,FALSE,"ACC Cars Co1 400K"}</definedName>
    <definedName name="eafo10" localSheetId="5" hidden="1">{"PearsonCo1_Prop",#N/A,FALSE,"Pearsons Task Co1";"PearsonCo1_PA",#N/A,FALSE,"Pearsons Task Co1"}</definedName>
    <definedName name="eafo10" localSheetId="6" hidden="1">{"PearsonCo1_Prop",#N/A,FALSE,"Pearsons Task Co1";"PearsonCo1_PA",#N/A,FALSE,"Pearsons Task Co1"}</definedName>
    <definedName name="eafo10" localSheetId="7" hidden="1">{"PearsonCo1_Prop",#N/A,FALSE,"Pearsons Task Co1";"PearsonCo1_PA",#N/A,FALSE,"Pearsons Task Co1"}</definedName>
    <definedName name="eafo10" localSheetId="8" hidden="1">{"PearsonCo1_Prop",#N/A,FALSE,"Pearsons Task Co1";"PearsonCo1_PA",#N/A,FALSE,"Pearsons Task Co1"}</definedName>
    <definedName name="eafo10" localSheetId="9" hidden="1">{"PearsonCo1_Prop",#N/A,FALSE,"Pearsons Task Co1";"PearsonCo1_PA",#N/A,FALSE,"Pearsons Task Co1"}</definedName>
    <definedName name="eafo10" localSheetId="10" hidden="1">{"PearsonCo1_Prop",#N/A,FALSE,"Pearsons Task Co1";"PearsonCo1_PA",#N/A,FALSE,"Pearsons Task Co1"}</definedName>
    <definedName name="eafo10" localSheetId="11" hidden="1">{"PearsonCo1_Prop",#N/A,FALSE,"Pearsons Task Co1";"PearsonCo1_PA",#N/A,FALSE,"Pearsons Task Co1"}</definedName>
    <definedName name="eafo10" localSheetId="12" hidden="1">{"PearsonCo1_Prop",#N/A,FALSE,"Pearsons Task Co1";"PearsonCo1_PA",#N/A,FALSE,"Pearsons Task Co1"}</definedName>
    <definedName name="eafo10" localSheetId="4" hidden="1">{"PearsonCo1_Prop",#N/A,FALSE,"Pearsons Task Co1";"PearsonCo1_PA",#N/A,FALSE,"Pearsons Task Co1"}</definedName>
    <definedName name="eafo10" localSheetId="3" hidden="1">{"PearsonCo1_Prop",#N/A,FALSE,"Pearsons Task Co1";"PearsonCo1_PA",#N/A,FALSE,"Pearsons Task Co1"}</definedName>
    <definedName name="eafo10" localSheetId="13" hidden="1">{"PearsonCo1_Prop",#N/A,FALSE,"Pearsons Task Co1";"PearsonCo1_PA",#N/A,FALSE,"Pearsons Task Co1"}</definedName>
    <definedName name="eafo10" hidden="1">{"PearsonCo1_Prop",#N/A,FALSE,"Pearsons Task Co1";"PearsonCo1_PA",#N/A,FALSE,"Pearsons Task Co1"}</definedName>
    <definedName name="eafo11" localSheetId="5" hidden="1">{"PearsonCo5_Prop",#N/A,FALSE,"Pearsons Task Co5";"PearsonCo5_PA",#N/A,FALSE,"Pearsons Task Co5"}</definedName>
    <definedName name="eafo11" localSheetId="6" hidden="1">{"PearsonCo5_Prop",#N/A,FALSE,"Pearsons Task Co5";"PearsonCo5_PA",#N/A,FALSE,"Pearsons Task Co5"}</definedName>
    <definedName name="eafo11" localSheetId="7" hidden="1">{"PearsonCo5_Prop",#N/A,FALSE,"Pearsons Task Co5";"PearsonCo5_PA",#N/A,FALSE,"Pearsons Task Co5"}</definedName>
    <definedName name="eafo11" localSheetId="8" hidden="1">{"PearsonCo5_Prop",#N/A,FALSE,"Pearsons Task Co5";"PearsonCo5_PA",#N/A,FALSE,"Pearsons Task Co5"}</definedName>
    <definedName name="eafo11" localSheetId="9" hidden="1">{"PearsonCo5_Prop",#N/A,FALSE,"Pearsons Task Co5";"PearsonCo5_PA",#N/A,FALSE,"Pearsons Task Co5"}</definedName>
    <definedName name="eafo11" localSheetId="10" hidden="1">{"PearsonCo5_Prop",#N/A,FALSE,"Pearsons Task Co5";"PearsonCo5_PA",#N/A,FALSE,"Pearsons Task Co5"}</definedName>
    <definedName name="eafo11" localSheetId="11" hidden="1">{"PearsonCo5_Prop",#N/A,FALSE,"Pearsons Task Co5";"PearsonCo5_PA",#N/A,FALSE,"Pearsons Task Co5"}</definedName>
    <definedName name="eafo11" localSheetId="12" hidden="1">{"PearsonCo5_Prop",#N/A,FALSE,"Pearsons Task Co5";"PearsonCo5_PA",#N/A,FALSE,"Pearsons Task Co5"}</definedName>
    <definedName name="eafo11" localSheetId="4" hidden="1">{"PearsonCo5_Prop",#N/A,FALSE,"Pearsons Task Co5";"PearsonCo5_PA",#N/A,FALSE,"Pearsons Task Co5"}</definedName>
    <definedName name="eafo11" localSheetId="3" hidden="1">{"PearsonCo5_Prop",#N/A,FALSE,"Pearsons Task Co5";"PearsonCo5_PA",#N/A,FALSE,"Pearsons Task Co5"}</definedName>
    <definedName name="eafo11" localSheetId="13" hidden="1">{"PearsonCo5_Prop",#N/A,FALSE,"Pearsons Task Co5";"PearsonCo5_PA",#N/A,FALSE,"Pearsons Task Co5"}</definedName>
    <definedName name="eafo11" hidden="1">{"PearsonCo5_Prop",#N/A,FALSE,"Pearsons Task Co5";"PearsonCo5_PA",#N/A,FALSE,"Pearsons Task Co5"}</definedName>
    <definedName name="eafo12" localSheetId="5" hidden="1">{"Seal Team J6 Sum",#N/A,FALSE,"Seal Team Summary";"Seal Team J6",#N/A,FALSE,"Seal Team ";"Seal Team ODC J6",#N/A,FALSE,"Seal Team ODCs";"Seal Team Trvl J6",#N/A,FALSE," Seal Team Trvl"}</definedName>
    <definedName name="eafo12" localSheetId="6" hidden="1">{"Seal Team J6 Sum",#N/A,FALSE,"Seal Team Summary";"Seal Team J6",#N/A,FALSE,"Seal Team ";"Seal Team ODC J6",#N/A,FALSE,"Seal Team ODCs";"Seal Team Trvl J6",#N/A,FALSE," Seal Team Trvl"}</definedName>
    <definedName name="eafo12" localSheetId="7" hidden="1">{"Seal Team J6 Sum",#N/A,FALSE,"Seal Team Summary";"Seal Team J6",#N/A,FALSE,"Seal Team ";"Seal Team ODC J6",#N/A,FALSE,"Seal Team ODCs";"Seal Team Trvl J6",#N/A,FALSE," Seal Team Trvl"}</definedName>
    <definedName name="eafo12" localSheetId="8" hidden="1">{"Seal Team J6 Sum",#N/A,FALSE,"Seal Team Summary";"Seal Team J6",#N/A,FALSE,"Seal Team ";"Seal Team ODC J6",#N/A,FALSE,"Seal Team ODCs";"Seal Team Trvl J6",#N/A,FALSE," Seal Team Trvl"}</definedName>
    <definedName name="eafo12" localSheetId="9" hidden="1">{"Seal Team J6 Sum",#N/A,FALSE,"Seal Team Summary";"Seal Team J6",#N/A,FALSE,"Seal Team ";"Seal Team ODC J6",#N/A,FALSE,"Seal Team ODCs";"Seal Team Trvl J6",#N/A,FALSE," Seal Team Trvl"}</definedName>
    <definedName name="eafo12" localSheetId="10" hidden="1">{"Seal Team J6 Sum",#N/A,FALSE,"Seal Team Summary";"Seal Team J6",#N/A,FALSE,"Seal Team ";"Seal Team ODC J6",#N/A,FALSE,"Seal Team ODCs";"Seal Team Trvl J6",#N/A,FALSE," Seal Team Trvl"}</definedName>
    <definedName name="eafo12" localSheetId="11" hidden="1">{"Seal Team J6 Sum",#N/A,FALSE,"Seal Team Summary";"Seal Team J6",#N/A,FALSE,"Seal Team ";"Seal Team ODC J6",#N/A,FALSE,"Seal Team ODCs";"Seal Team Trvl J6",#N/A,FALSE," Seal Team Trvl"}</definedName>
    <definedName name="eafo12" localSheetId="12" hidden="1">{"Seal Team J6 Sum",#N/A,FALSE,"Seal Team Summary";"Seal Team J6",#N/A,FALSE,"Seal Team ";"Seal Team ODC J6",#N/A,FALSE,"Seal Team ODCs";"Seal Team Trvl J6",#N/A,FALSE," Seal Team Trvl"}</definedName>
    <definedName name="eafo12" localSheetId="4" hidden="1">{"Seal Team J6 Sum",#N/A,FALSE,"Seal Team Summary";"Seal Team J6",#N/A,FALSE,"Seal Team ";"Seal Team ODC J6",#N/A,FALSE,"Seal Team ODCs";"Seal Team Trvl J6",#N/A,FALSE," Seal Team Trvl"}</definedName>
    <definedName name="eafo12" localSheetId="3" hidden="1">{"Seal Team J6 Sum",#N/A,FALSE,"Seal Team Summary";"Seal Team J6",#N/A,FALSE,"Seal Team ";"Seal Team ODC J6",#N/A,FALSE,"Seal Team ODCs";"Seal Team Trvl J6",#N/A,FALSE," Seal Team Trvl"}</definedName>
    <definedName name="eafo12" localSheetId="13" hidden="1">{"Seal Team J6 Sum",#N/A,FALSE,"Seal Team Summary";"Seal Team J6",#N/A,FALSE,"Seal Team ";"Seal Team ODC J6",#N/A,FALSE,"Seal Team ODCs";"Seal Team Trvl J6",#N/A,FALSE," Seal Team Trvl"}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localSheetId="5" hidden="1">{"ACC_Cars_125K_PA",#N/A,FALSE,"ACC Cars Co1 125K ";"ACC_Cars_125K_Prop",#N/A,FALSE,"ACC Cars Co1 125K "}</definedName>
    <definedName name="eafo15" localSheetId="6" hidden="1">{"ACC_Cars_125K_PA",#N/A,FALSE,"ACC Cars Co1 125K ";"ACC_Cars_125K_Prop",#N/A,FALSE,"ACC Cars Co1 125K "}</definedName>
    <definedName name="eafo15" localSheetId="7" hidden="1">{"ACC_Cars_125K_PA",#N/A,FALSE,"ACC Cars Co1 125K ";"ACC_Cars_125K_Prop",#N/A,FALSE,"ACC Cars Co1 125K "}</definedName>
    <definedName name="eafo15" localSheetId="8" hidden="1">{"ACC_Cars_125K_PA",#N/A,FALSE,"ACC Cars Co1 125K ";"ACC_Cars_125K_Prop",#N/A,FALSE,"ACC Cars Co1 125K "}</definedName>
    <definedName name="eafo15" localSheetId="9" hidden="1">{"ACC_Cars_125K_PA",#N/A,FALSE,"ACC Cars Co1 125K ";"ACC_Cars_125K_Prop",#N/A,FALSE,"ACC Cars Co1 125K "}</definedName>
    <definedName name="eafo15" localSheetId="10" hidden="1">{"ACC_Cars_125K_PA",#N/A,FALSE,"ACC Cars Co1 125K ";"ACC_Cars_125K_Prop",#N/A,FALSE,"ACC Cars Co1 125K "}</definedName>
    <definedName name="eafo15" localSheetId="11" hidden="1">{"ACC_Cars_125K_PA",#N/A,FALSE,"ACC Cars Co1 125K ";"ACC_Cars_125K_Prop",#N/A,FALSE,"ACC Cars Co1 125K "}</definedName>
    <definedName name="eafo15" localSheetId="12" hidden="1">{"ACC_Cars_125K_PA",#N/A,FALSE,"ACC Cars Co1 125K ";"ACC_Cars_125K_Prop",#N/A,FALSE,"ACC Cars Co1 125K "}</definedName>
    <definedName name="eafo15" localSheetId="4" hidden="1">{"ACC_Cars_125K_PA",#N/A,FALSE,"ACC Cars Co1 125K ";"ACC_Cars_125K_Prop",#N/A,FALSE,"ACC Cars Co1 125K "}</definedName>
    <definedName name="eafo15" localSheetId="3" hidden="1">{"ACC_Cars_125K_PA",#N/A,FALSE,"ACC Cars Co1 125K ";"ACC_Cars_125K_Prop",#N/A,FALSE,"ACC Cars Co1 125K "}</definedName>
    <definedName name="eafo15" localSheetId="13" hidden="1">{"ACC_Cars_125K_PA",#N/A,FALSE,"ACC Cars Co1 125K ";"ACC_Cars_125K_Prop",#N/A,FALSE,"ACC Cars Co1 125K "}</definedName>
    <definedName name="eafo15" hidden="1">{"ACC_Cars_125K_PA",#N/A,FALSE,"ACC Cars Co1 125K ";"ACC_Cars_125K_Prop",#N/A,FALSE,"ACC Cars Co1 125K "}</definedName>
    <definedName name="eafo16" localSheetId="5" hidden="1">{"ACC_Cars_400K_PA",#N/A,FALSE,"ACC Cars Co1 400K";"ACC_Cars_400K_Prop",#N/A,FALSE,"ACC Cars Co1 400K"}</definedName>
    <definedName name="eafo16" localSheetId="6" hidden="1">{"ACC_Cars_400K_PA",#N/A,FALSE,"ACC Cars Co1 400K";"ACC_Cars_400K_Prop",#N/A,FALSE,"ACC Cars Co1 400K"}</definedName>
    <definedName name="eafo16" localSheetId="7" hidden="1">{"ACC_Cars_400K_PA",#N/A,FALSE,"ACC Cars Co1 400K";"ACC_Cars_400K_Prop",#N/A,FALSE,"ACC Cars Co1 400K"}</definedName>
    <definedName name="eafo16" localSheetId="8" hidden="1">{"ACC_Cars_400K_PA",#N/A,FALSE,"ACC Cars Co1 400K";"ACC_Cars_400K_Prop",#N/A,FALSE,"ACC Cars Co1 400K"}</definedName>
    <definedName name="eafo16" localSheetId="9" hidden="1">{"ACC_Cars_400K_PA",#N/A,FALSE,"ACC Cars Co1 400K";"ACC_Cars_400K_Prop",#N/A,FALSE,"ACC Cars Co1 400K"}</definedName>
    <definedName name="eafo16" localSheetId="10" hidden="1">{"ACC_Cars_400K_PA",#N/A,FALSE,"ACC Cars Co1 400K";"ACC_Cars_400K_Prop",#N/A,FALSE,"ACC Cars Co1 400K"}</definedName>
    <definedName name="eafo16" localSheetId="11" hidden="1">{"ACC_Cars_400K_PA",#N/A,FALSE,"ACC Cars Co1 400K";"ACC_Cars_400K_Prop",#N/A,FALSE,"ACC Cars Co1 400K"}</definedName>
    <definedName name="eafo16" localSheetId="12" hidden="1">{"ACC_Cars_400K_PA",#N/A,FALSE,"ACC Cars Co1 400K";"ACC_Cars_400K_Prop",#N/A,FALSE,"ACC Cars Co1 400K"}</definedName>
    <definedName name="eafo16" localSheetId="4" hidden="1">{"ACC_Cars_400K_PA",#N/A,FALSE,"ACC Cars Co1 400K";"ACC_Cars_400K_Prop",#N/A,FALSE,"ACC Cars Co1 400K"}</definedName>
    <definedName name="eafo16" localSheetId="3" hidden="1">{"ACC_Cars_400K_PA",#N/A,FALSE,"ACC Cars Co1 400K";"ACC_Cars_400K_Prop",#N/A,FALSE,"ACC Cars Co1 400K"}</definedName>
    <definedName name="eafo16" localSheetId="13" hidden="1">{"ACC_Cars_400K_PA",#N/A,FALSE,"ACC Cars Co1 400K";"ACC_Cars_400K_Prop",#N/A,FALSE,"ACC Cars Co1 400K"}</definedName>
    <definedName name="eafo16" hidden="1">{"ACC_Cars_400K_PA",#N/A,FALSE,"ACC Cars Co1 400K";"ACC_Cars_400K_Prop",#N/A,FALSE,"ACC Cars Co1 400K"}</definedName>
    <definedName name="eafo17" localSheetId="5" hidden="1">{"PAGE1",#N/A,FALSE,"ACC_CARS Travel 125K";"PAGE2",#N/A,FALSE,"ACC_CARS Travel 125K"}</definedName>
    <definedName name="eafo17" localSheetId="6" hidden="1">{"PAGE1",#N/A,FALSE,"ACC_CARS Travel 125K";"PAGE2",#N/A,FALSE,"ACC_CARS Travel 125K"}</definedName>
    <definedName name="eafo17" localSheetId="7" hidden="1">{"PAGE1",#N/A,FALSE,"ACC_CARS Travel 125K";"PAGE2",#N/A,FALSE,"ACC_CARS Travel 125K"}</definedName>
    <definedName name="eafo17" localSheetId="8" hidden="1">{"PAGE1",#N/A,FALSE,"ACC_CARS Travel 125K";"PAGE2",#N/A,FALSE,"ACC_CARS Travel 125K"}</definedName>
    <definedName name="eafo17" localSheetId="9" hidden="1">{"PAGE1",#N/A,FALSE,"ACC_CARS Travel 125K";"PAGE2",#N/A,FALSE,"ACC_CARS Travel 125K"}</definedName>
    <definedName name="eafo17" localSheetId="10" hidden="1">{"PAGE1",#N/A,FALSE,"ACC_CARS Travel 125K";"PAGE2",#N/A,FALSE,"ACC_CARS Travel 125K"}</definedName>
    <definedName name="eafo17" localSheetId="11" hidden="1">{"PAGE1",#N/A,FALSE,"ACC_CARS Travel 125K";"PAGE2",#N/A,FALSE,"ACC_CARS Travel 125K"}</definedName>
    <definedName name="eafo17" localSheetId="12" hidden="1">{"PAGE1",#N/A,FALSE,"ACC_CARS Travel 125K";"PAGE2",#N/A,FALSE,"ACC_CARS Travel 125K"}</definedName>
    <definedName name="eafo17" localSheetId="4" hidden="1">{"PAGE1",#N/A,FALSE,"ACC_CARS Travel 125K";"PAGE2",#N/A,FALSE,"ACC_CARS Travel 125K"}</definedName>
    <definedName name="eafo17" localSheetId="3" hidden="1">{"PAGE1",#N/A,FALSE,"ACC_CARS Travel 125K";"PAGE2",#N/A,FALSE,"ACC_CARS Travel 125K"}</definedName>
    <definedName name="eafo17" localSheetId="13" hidden="1">{"PAGE1",#N/A,FALSE,"ACC_CARS Travel 125K";"PAGE2",#N/A,FALSE,"ACC_CARS Travel 125K"}</definedName>
    <definedName name="eafo17" hidden="1">{"PAGE1",#N/A,FALSE,"ACC_CARS Travel 125K";"PAGE2",#N/A,FALSE,"ACC_CARS Travel 125K"}</definedName>
    <definedName name="eafo18" localSheetId="5" hidden="1">{"Page1",#N/A,FALSE,"ACC_CARS Travel 400K";"Page2",#N/A,FALSE,"ACC_CARS Travel 400K"}</definedName>
    <definedName name="eafo18" localSheetId="6" hidden="1">{"Page1",#N/A,FALSE,"ACC_CARS Travel 400K";"Page2",#N/A,FALSE,"ACC_CARS Travel 400K"}</definedName>
    <definedName name="eafo18" localSheetId="7" hidden="1">{"Page1",#N/A,FALSE,"ACC_CARS Travel 400K";"Page2",#N/A,FALSE,"ACC_CARS Travel 400K"}</definedName>
    <definedName name="eafo18" localSheetId="8" hidden="1">{"Page1",#N/A,FALSE,"ACC_CARS Travel 400K";"Page2",#N/A,FALSE,"ACC_CARS Travel 400K"}</definedName>
    <definedName name="eafo18" localSheetId="9" hidden="1">{"Page1",#N/A,FALSE,"ACC_CARS Travel 400K";"Page2",#N/A,FALSE,"ACC_CARS Travel 400K"}</definedName>
    <definedName name="eafo18" localSheetId="10" hidden="1">{"Page1",#N/A,FALSE,"ACC_CARS Travel 400K";"Page2",#N/A,FALSE,"ACC_CARS Travel 400K"}</definedName>
    <definedName name="eafo18" localSheetId="11" hidden="1">{"Page1",#N/A,FALSE,"ACC_CARS Travel 400K";"Page2",#N/A,FALSE,"ACC_CARS Travel 400K"}</definedName>
    <definedName name="eafo18" localSheetId="12" hidden="1">{"Page1",#N/A,FALSE,"ACC_CARS Travel 400K";"Page2",#N/A,FALSE,"ACC_CARS Travel 400K"}</definedName>
    <definedName name="eafo18" localSheetId="4" hidden="1">{"Page1",#N/A,FALSE,"ACC_CARS Travel 400K";"Page2",#N/A,FALSE,"ACC_CARS Travel 400K"}</definedName>
    <definedName name="eafo18" localSheetId="3" hidden="1">{"Page1",#N/A,FALSE,"ACC_CARS Travel 400K";"Page2",#N/A,FALSE,"ACC_CARS Travel 400K"}</definedName>
    <definedName name="eafo18" localSheetId="13" hidden="1">{"Page1",#N/A,FALSE,"ACC_CARS Travel 400K";"Page2",#N/A,FALSE,"ACC_CARS Travel 400K"}</definedName>
    <definedName name="eafo18" hidden="1">{"Page1",#N/A,FALSE,"ACC_CARS Travel 400K";"Page2",#N/A,FALSE,"ACC_CARS Travel 400K"}</definedName>
    <definedName name="eafo19" localSheetId="5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6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7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8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1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1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12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1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localSheetId="5" hidden="1">{"PAGE1",#N/A,FALSE,"ACC_CARS Travel 125K";"PAGE2",#N/A,FALSE,"ACC_CARS Travel 125K"}</definedName>
    <definedName name="eafo2" localSheetId="6" hidden="1">{"PAGE1",#N/A,FALSE,"ACC_CARS Travel 125K";"PAGE2",#N/A,FALSE,"ACC_CARS Travel 125K"}</definedName>
    <definedName name="eafo2" localSheetId="7" hidden="1">{"PAGE1",#N/A,FALSE,"ACC_CARS Travel 125K";"PAGE2",#N/A,FALSE,"ACC_CARS Travel 125K"}</definedName>
    <definedName name="eafo2" localSheetId="8" hidden="1">{"PAGE1",#N/A,FALSE,"ACC_CARS Travel 125K";"PAGE2",#N/A,FALSE,"ACC_CARS Travel 125K"}</definedName>
    <definedName name="eafo2" localSheetId="9" hidden="1">{"PAGE1",#N/A,FALSE,"ACC_CARS Travel 125K";"PAGE2",#N/A,FALSE,"ACC_CARS Travel 125K"}</definedName>
    <definedName name="eafo2" localSheetId="10" hidden="1">{"PAGE1",#N/A,FALSE,"ACC_CARS Travel 125K";"PAGE2",#N/A,FALSE,"ACC_CARS Travel 125K"}</definedName>
    <definedName name="eafo2" localSheetId="11" hidden="1">{"PAGE1",#N/A,FALSE,"ACC_CARS Travel 125K";"PAGE2",#N/A,FALSE,"ACC_CARS Travel 125K"}</definedName>
    <definedName name="eafo2" localSheetId="12" hidden="1">{"PAGE1",#N/A,FALSE,"ACC_CARS Travel 125K";"PAGE2",#N/A,FALSE,"ACC_CARS Travel 125K"}</definedName>
    <definedName name="eafo2" localSheetId="4" hidden="1">{"PAGE1",#N/A,FALSE,"ACC_CARS Travel 125K";"PAGE2",#N/A,FALSE,"ACC_CARS Travel 125K"}</definedName>
    <definedName name="eafo2" localSheetId="3" hidden="1">{"PAGE1",#N/A,FALSE,"ACC_CARS Travel 125K";"PAGE2",#N/A,FALSE,"ACC_CARS Travel 125K"}</definedName>
    <definedName name="eafo2" localSheetId="13" hidden="1">{"PAGE1",#N/A,FALSE,"ACC_CARS Travel 125K";"PAGE2",#N/A,FALSE,"ACC_CARS Travel 125K"}</definedName>
    <definedName name="eafo2" hidden="1">{"PAGE1",#N/A,FALSE,"ACC_CARS Travel 125K";"PAGE2",#N/A,FALSE,"ACC_CARS Travel 125K"}</definedName>
    <definedName name="eafo20" localSheetId="5" hidden="1">{"DolanCo1_PA",#N/A,FALSE,"Tina Dolan";"DolanCo1_Prop",#N/A,FALSE,"Tina Dolan"}</definedName>
    <definedName name="eafo20" localSheetId="6" hidden="1">{"DolanCo1_PA",#N/A,FALSE,"Tina Dolan";"DolanCo1_Prop",#N/A,FALSE,"Tina Dolan"}</definedName>
    <definedName name="eafo20" localSheetId="7" hidden="1">{"DolanCo1_PA",#N/A,FALSE,"Tina Dolan";"DolanCo1_Prop",#N/A,FALSE,"Tina Dolan"}</definedName>
    <definedName name="eafo20" localSheetId="8" hidden="1">{"DolanCo1_PA",#N/A,FALSE,"Tina Dolan";"DolanCo1_Prop",#N/A,FALSE,"Tina Dolan"}</definedName>
    <definedName name="eafo20" localSheetId="9" hidden="1">{"DolanCo1_PA",#N/A,FALSE,"Tina Dolan";"DolanCo1_Prop",#N/A,FALSE,"Tina Dolan"}</definedName>
    <definedName name="eafo20" localSheetId="10" hidden="1">{"DolanCo1_PA",#N/A,FALSE,"Tina Dolan";"DolanCo1_Prop",#N/A,FALSE,"Tina Dolan"}</definedName>
    <definedName name="eafo20" localSheetId="11" hidden="1">{"DolanCo1_PA",#N/A,FALSE,"Tina Dolan";"DolanCo1_Prop",#N/A,FALSE,"Tina Dolan"}</definedName>
    <definedName name="eafo20" localSheetId="12" hidden="1">{"DolanCo1_PA",#N/A,FALSE,"Tina Dolan";"DolanCo1_Prop",#N/A,FALSE,"Tina Dolan"}</definedName>
    <definedName name="eafo20" localSheetId="4" hidden="1">{"DolanCo1_PA",#N/A,FALSE,"Tina Dolan";"DolanCo1_Prop",#N/A,FALSE,"Tina Dolan"}</definedName>
    <definedName name="eafo20" localSheetId="3" hidden="1">{"DolanCo1_PA",#N/A,FALSE,"Tina Dolan";"DolanCo1_Prop",#N/A,FALSE,"Tina Dolan"}</definedName>
    <definedName name="eafo20" localSheetId="13" hidden="1">{"DolanCo1_PA",#N/A,FALSE,"Tina Dolan";"DolanCo1_Prop",#N/A,FALSE,"Tina Dolan"}</definedName>
    <definedName name="eafo20" hidden="1">{"DolanCo1_PA",#N/A,FALSE,"Tina Dolan";"DolanCo1_Prop",#N/A,FALSE,"Tina Dolan"}</definedName>
    <definedName name="eafo21" localSheetId="5" hidden="1">{"Prop_350K",#N/A,FALSE,"Ebron-350K";"PA_350K",#N/A,FALSE,"Ebron-350K";"Ebron350KTrvl",#N/A,FALSE,"Ebrons Travel 350k"}</definedName>
    <definedName name="eafo21" localSheetId="6" hidden="1">{"Prop_350K",#N/A,FALSE,"Ebron-350K";"PA_350K",#N/A,FALSE,"Ebron-350K";"Ebron350KTrvl",#N/A,FALSE,"Ebrons Travel 350k"}</definedName>
    <definedName name="eafo21" localSheetId="7" hidden="1">{"Prop_350K",#N/A,FALSE,"Ebron-350K";"PA_350K",#N/A,FALSE,"Ebron-350K";"Ebron350KTrvl",#N/A,FALSE,"Ebrons Travel 350k"}</definedName>
    <definedName name="eafo21" localSheetId="8" hidden="1">{"Prop_350K",#N/A,FALSE,"Ebron-350K";"PA_350K",#N/A,FALSE,"Ebron-350K";"Ebron350KTrvl",#N/A,FALSE,"Ebrons Travel 350k"}</definedName>
    <definedName name="eafo21" localSheetId="9" hidden="1">{"Prop_350K",#N/A,FALSE,"Ebron-350K";"PA_350K",#N/A,FALSE,"Ebron-350K";"Ebron350KTrvl",#N/A,FALSE,"Ebrons Travel 350k"}</definedName>
    <definedName name="eafo21" localSheetId="10" hidden="1">{"Prop_350K",#N/A,FALSE,"Ebron-350K";"PA_350K",#N/A,FALSE,"Ebron-350K";"Ebron350KTrvl",#N/A,FALSE,"Ebrons Travel 350k"}</definedName>
    <definedName name="eafo21" localSheetId="11" hidden="1">{"Prop_350K",#N/A,FALSE,"Ebron-350K";"PA_350K",#N/A,FALSE,"Ebron-350K";"Ebron350KTrvl",#N/A,FALSE,"Ebrons Travel 350k"}</definedName>
    <definedName name="eafo21" localSheetId="12" hidden="1">{"Prop_350K",#N/A,FALSE,"Ebron-350K";"PA_350K",#N/A,FALSE,"Ebron-350K";"Ebron350KTrvl",#N/A,FALSE,"Ebrons Travel 350k"}</definedName>
    <definedName name="eafo21" localSheetId="4" hidden="1">{"Prop_350K",#N/A,FALSE,"Ebron-350K";"PA_350K",#N/A,FALSE,"Ebron-350K";"Ebron350KTrvl",#N/A,FALSE,"Ebrons Travel 350k"}</definedName>
    <definedName name="eafo21" localSheetId="3" hidden="1">{"Prop_350K",#N/A,FALSE,"Ebron-350K";"PA_350K",#N/A,FALSE,"Ebron-350K";"Ebron350KTrvl",#N/A,FALSE,"Ebrons Travel 350k"}</definedName>
    <definedName name="eafo21" localSheetId="13" hidden="1">{"Prop_350K",#N/A,FALSE,"Ebron-350K";"PA_350K",#N/A,FALSE,"Ebron-350K";"Ebron350KTrvl",#N/A,FALSE,"Ebrons Travel 350k"}</definedName>
    <definedName name="eafo21" hidden="1">{"Prop_350K",#N/A,FALSE,"Ebron-350K";"PA_350K",#N/A,FALSE,"Ebron-350K";"Ebron350KTrvl",#N/A,FALSE,"Ebrons Travel 350k"}</definedName>
    <definedName name="eafo22" localSheetId="5" hidden="1">{"EbronCo1_PA",#N/A,FALSE,"Ebrons Task Co1";"EbronCo1_Prop",#N/A,FALSE,"Ebrons Task Co1";"Ebron316KTrvl",#N/A,FALSE,"Ebrons Travel 316k"}</definedName>
    <definedName name="eafo22" localSheetId="6" hidden="1">{"EbronCo1_PA",#N/A,FALSE,"Ebrons Task Co1";"EbronCo1_Prop",#N/A,FALSE,"Ebrons Task Co1";"Ebron316KTrvl",#N/A,FALSE,"Ebrons Travel 316k"}</definedName>
    <definedName name="eafo22" localSheetId="7" hidden="1">{"EbronCo1_PA",#N/A,FALSE,"Ebrons Task Co1";"EbronCo1_Prop",#N/A,FALSE,"Ebrons Task Co1";"Ebron316KTrvl",#N/A,FALSE,"Ebrons Travel 316k"}</definedName>
    <definedName name="eafo22" localSheetId="8" hidden="1">{"EbronCo1_PA",#N/A,FALSE,"Ebrons Task Co1";"EbronCo1_Prop",#N/A,FALSE,"Ebrons Task Co1";"Ebron316KTrvl",#N/A,FALSE,"Ebrons Travel 316k"}</definedName>
    <definedName name="eafo22" localSheetId="9" hidden="1">{"EbronCo1_PA",#N/A,FALSE,"Ebrons Task Co1";"EbronCo1_Prop",#N/A,FALSE,"Ebrons Task Co1";"Ebron316KTrvl",#N/A,FALSE,"Ebrons Travel 316k"}</definedName>
    <definedName name="eafo22" localSheetId="10" hidden="1">{"EbronCo1_PA",#N/A,FALSE,"Ebrons Task Co1";"EbronCo1_Prop",#N/A,FALSE,"Ebrons Task Co1";"Ebron316KTrvl",#N/A,FALSE,"Ebrons Travel 316k"}</definedName>
    <definedName name="eafo22" localSheetId="11" hidden="1">{"EbronCo1_PA",#N/A,FALSE,"Ebrons Task Co1";"EbronCo1_Prop",#N/A,FALSE,"Ebrons Task Co1";"Ebron316KTrvl",#N/A,FALSE,"Ebrons Travel 316k"}</definedName>
    <definedName name="eafo22" localSheetId="12" hidden="1">{"EbronCo1_PA",#N/A,FALSE,"Ebrons Task Co1";"EbronCo1_Prop",#N/A,FALSE,"Ebrons Task Co1";"Ebron316KTrvl",#N/A,FALSE,"Ebrons Travel 316k"}</definedName>
    <definedName name="eafo22" localSheetId="4" hidden="1">{"EbronCo1_PA",#N/A,FALSE,"Ebrons Task Co1";"EbronCo1_Prop",#N/A,FALSE,"Ebrons Task Co1";"Ebron316KTrvl",#N/A,FALSE,"Ebrons Travel 316k"}</definedName>
    <definedName name="eafo22" localSheetId="3" hidden="1">{"EbronCo1_PA",#N/A,FALSE,"Ebrons Task Co1";"EbronCo1_Prop",#N/A,FALSE,"Ebrons Task Co1";"Ebron316KTrvl",#N/A,FALSE,"Ebrons Travel 316k"}</definedName>
    <definedName name="eafo22" localSheetId="13" hidden="1">{"EbronCo1_PA",#N/A,FALSE,"Ebrons Task Co1";"EbronCo1_Prop",#N/A,FALSE,"Ebrons Task Co1";"Ebron316KTrvl",#N/A,FALSE,"Ebrons Travel 316k"}</definedName>
    <definedName name="eafo22" hidden="1">{"EbronCo1_PA",#N/A,FALSE,"Ebrons Task Co1";"EbronCo1_Prop",#N/A,FALSE,"Ebrons Task Co1";"Ebron316KTrvl",#N/A,FALSE,"Ebrons Travel 316k"}</definedName>
    <definedName name="eafo23" localSheetId="5" hidden="1">{"EbronCo5_PA",#N/A,FALSE,"Ebrons Task Co5";"EbronCo5_Prop",#N/A,FALSE,"Ebrons Task Co5"}</definedName>
    <definedName name="eafo23" localSheetId="6" hidden="1">{"EbronCo5_PA",#N/A,FALSE,"Ebrons Task Co5";"EbronCo5_Prop",#N/A,FALSE,"Ebrons Task Co5"}</definedName>
    <definedName name="eafo23" localSheetId="7" hidden="1">{"EbronCo5_PA",#N/A,FALSE,"Ebrons Task Co5";"EbronCo5_Prop",#N/A,FALSE,"Ebrons Task Co5"}</definedName>
    <definedName name="eafo23" localSheetId="8" hidden="1">{"EbronCo5_PA",#N/A,FALSE,"Ebrons Task Co5";"EbronCo5_Prop",#N/A,FALSE,"Ebrons Task Co5"}</definedName>
    <definedName name="eafo23" localSheetId="9" hidden="1">{"EbronCo5_PA",#N/A,FALSE,"Ebrons Task Co5";"EbronCo5_Prop",#N/A,FALSE,"Ebrons Task Co5"}</definedName>
    <definedName name="eafo23" localSheetId="10" hidden="1">{"EbronCo5_PA",#N/A,FALSE,"Ebrons Task Co5";"EbronCo5_Prop",#N/A,FALSE,"Ebrons Task Co5"}</definedName>
    <definedName name="eafo23" localSheetId="11" hidden="1">{"EbronCo5_PA",#N/A,FALSE,"Ebrons Task Co5";"EbronCo5_Prop",#N/A,FALSE,"Ebrons Task Co5"}</definedName>
    <definedName name="eafo23" localSheetId="12" hidden="1">{"EbronCo5_PA",#N/A,FALSE,"Ebrons Task Co5";"EbronCo5_Prop",#N/A,FALSE,"Ebrons Task Co5"}</definedName>
    <definedName name="eafo23" localSheetId="4" hidden="1">{"EbronCo5_PA",#N/A,FALSE,"Ebrons Task Co5";"EbronCo5_Prop",#N/A,FALSE,"Ebrons Task Co5"}</definedName>
    <definedName name="eafo23" localSheetId="3" hidden="1">{"EbronCo5_PA",#N/A,FALSE,"Ebrons Task Co5";"EbronCo5_Prop",#N/A,FALSE,"Ebrons Task Co5"}</definedName>
    <definedName name="eafo23" localSheetId="13" hidden="1">{"EbronCo5_PA",#N/A,FALSE,"Ebrons Task Co5";"EbronCo5_Prop",#N/A,FALSE,"Ebrons Task Co5"}</definedName>
    <definedName name="eafo23" hidden="1">{"EbronCo5_PA",#N/A,FALSE,"Ebrons Task Co5";"EbronCo5_Prop",#N/A,FALSE,"Ebrons Task Co5"}</definedName>
    <definedName name="eafo24" localSheetId="5" hidden="1">{"JDISS_Co1",#N/A,FALSE,"JDISS_Co1";"JDISSCo1_PA",#N/A,FALSE,"JDISS_Co1"}</definedName>
    <definedName name="eafo24" localSheetId="6" hidden="1">{"JDISS_Co1",#N/A,FALSE,"JDISS_Co1";"JDISSCo1_PA",#N/A,FALSE,"JDISS_Co1"}</definedName>
    <definedName name="eafo24" localSheetId="7" hidden="1">{"JDISS_Co1",#N/A,FALSE,"JDISS_Co1";"JDISSCo1_PA",#N/A,FALSE,"JDISS_Co1"}</definedName>
    <definedName name="eafo24" localSheetId="8" hidden="1">{"JDISS_Co1",#N/A,FALSE,"JDISS_Co1";"JDISSCo1_PA",#N/A,FALSE,"JDISS_Co1"}</definedName>
    <definedName name="eafo24" localSheetId="9" hidden="1">{"JDISS_Co1",#N/A,FALSE,"JDISS_Co1";"JDISSCo1_PA",#N/A,FALSE,"JDISS_Co1"}</definedName>
    <definedName name="eafo24" localSheetId="10" hidden="1">{"JDISS_Co1",#N/A,FALSE,"JDISS_Co1";"JDISSCo1_PA",#N/A,FALSE,"JDISS_Co1"}</definedName>
    <definedName name="eafo24" localSheetId="11" hidden="1">{"JDISS_Co1",#N/A,FALSE,"JDISS_Co1";"JDISSCo1_PA",#N/A,FALSE,"JDISS_Co1"}</definedName>
    <definedName name="eafo24" localSheetId="12" hidden="1">{"JDISS_Co1",#N/A,FALSE,"JDISS_Co1";"JDISSCo1_PA",#N/A,FALSE,"JDISS_Co1"}</definedName>
    <definedName name="eafo24" localSheetId="4" hidden="1">{"JDISS_Co1",#N/A,FALSE,"JDISS_Co1";"JDISSCo1_PA",#N/A,FALSE,"JDISS_Co1"}</definedName>
    <definedName name="eafo24" localSheetId="3" hidden="1">{"JDISS_Co1",#N/A,FALSE,"JDISS_Co1";"JDISSCo1_PA",#N/A,FALSE,"JDISS_Co1"}</definedName>
    <definedName name="eafo24" localSheetId="13" hidden="1">{"JDISS_Co1",#N/A,FALSE,"JDISS_Co1";"JDISSCo1_PA",#N/A,FALSE,"JDISS_Co1"}</definedName>
    <definedName name="eafo24" hidden="1">{"JDISS_Co1",#N/A,FALSE,"JDISS_Co1";"JDISSCo1_PA",#N/A,FALSE,"JDISS_Co1"}</definedName>
    <definedName name="eafo26" localSheetId="5" hidden="1">{"PearsonCo5_Prop",#N/A,FALSE,"Pearsons Task Co5";"PearsonCo5_PA",#N/A,FALSE,"Pearsons Task Co5"}</definedName>
    <definedName name="eafo26" localSheetId="6" hidden="1">{"PearsonCo5_Prop",#N/A,FALSE,"Pearsons Task Co5";"PearsonCo5_PA",#N/A,FALSE,"Pearsons Task Co5"}</definedName>
    <definedName name="eafo26" localSheetId="7" hidden="1">{"PearsonCo5_Prop",#N/A,FALSE,"Pearsons Task Co5";"PearsonCo5_PA",#N/A,FALSE,"Pearsons Task Co5"}</definedName>
    <definedName name="eafo26" localSheetId="8" hidden="1">{"PearsonCo5_Prop",#N/A,FALSE,"Pearsons Task Co5";"PearsonCo5_PA",#N/A,FALSE,"Pearsons Task Co5"}</definedName>
    <definedName name="eafo26" localSheetId="9" hidden="1">{"PearsonCo5_Prop",#N/A,FALSE,"Pearsons Task Co5";"PearsonCo5_PA",#N/A,FALSE,"Pearsons Task Co5"}</definedName>
    <definedName name="eafo26" localSheetId="10" hidden="1">{"PearsonCo5_Prop",#N/A,FALSE,"Pearsons Task Co5";"PearsonCo5_PA",#N/A,FALSE,"Pearsons Task Co5"}</definedName>
    <definedName name="eafo26" localSheetId="11" hidden="1">{"PearsonCo5_Prop",#N/A,FALSE,"Pearsons Task Co5";"PearsonCo5_PA",#N/A,FALSE,"Pearsons Task Co5"}</definedName>
    <definedName name="eafo26" localSheetId="12" hidden="1">{"PearsonCo5_Prop",#N/A,FALSE,"Pearsons Task Co5";"PearsonCo5_PA",#N/A,FALSE,"Pearsons Task Co5"}</definedName>
    <definedName name="eafo26" localSheetId="4" hidden="1">{"PearsonCo5_Prop",#N/A,FALSE,"Pearsons Task Co5";"PearsonCo5_PA",#N/A,FALSE,"Pearsons Task Co5"}</definedName>
    <definedName name="eafo26" localSheetId="3" hidden="1">{"PearsonCo5_Prop",#N/A,FALSE,"Pearsons Task Co5";"PearsonCo5_PA",#N/A,FALSE,"Pearsons Task Co5"}</definedName>
    <definedName name="eafo26" localSheetId="13" hidden="1">{"PearsonCo5_Prop",#N/A,FALSE,"Pearsons Task Co5";"PearsonCo5_PA",#N/A,FALSE,"Pearsons Task Co5"}</definedName>
    <definedName name="eafo26" hidden="1">{"PearsonCo5_Prop",#N/A,FALSE,"Pearsons Task Co5";"PearsonCo5_PA",#N/A,FALSE,"Pearsons Task Co5"}</definedName>
    <definedName name="eafo27" localSheetId="5" hidden="1">{"Seal Team J6 Sum",#N/A,FALSE,"Seal Team Summary";"Seal Team J6",#N/A,FALSE,"Seal Team ";"Seal Team ODC J6",#N/A,FALSE,"Seal Team ODCs";"Seal Team Trvl J6",#N/A,FALSE," Seal Team Trvl"}</definedName>
    <definedName name="eafo27" localSheetId="6" hidden="1">{"Seal Team J6 Sum",#N/A,FALSE,"Seal Team Summary";"Seal Team J6",#N/A,FALSE,"Seal Team ";"Seal Team ODC J6",#N/A,FALSE,"Seal Team ODCs";"Seal Team Trvl J6",#N/A,FALSE," Seal Team Trvl"}</definedName>
    <definedName name="eafo27" localSheetId="7" hidden="1">{"Seal Team J6 Sum",#N/A,FALSE,"Seal Team Summary";"Seal Team J6",#N/A,FALSE,"Seal Team ";"Seal Team ODC J6",#N/A,FALSE,"Seal Team ODCs";"Seal Team Trvl J6",#N/A,FALSE," Seal Team Trvl"}</definedName>
    <definedName name="eafo27" localSheetId="8" hidden="1">{"Seal Team J6 Sum",#N/A,FALSE,"Seal Team Summary";"Seal Team J6",#N/A,FALSE,"Seal Team ";"Seal Team ODC J6",#N/A,FALSE,"Seal Team ODCs";"Seal Team Trvl J6",#N/A,FALSE," Seal Team Trvl"}</definedName>
    <definedName name="eafo27" localSheetId="9" hidden="1">{"Seal Team J6 Sum",#N/A,FALSE,"Seal Team Summary";"Seal Team J6",#N/A,FALSE,"Seal Team ";"Seal Team ODC J6",#N/A,FALSE,"Seal Team ODCs";"Seal Team Trvl J6",#N/A,FALSE," Seal Team Trvl"}</definedName>
    <definedName name="eafo27" localSheetId="10" hidden="1">{"Seal Team J6 Sum",#N/A,FALSE,"Seal Team Summary";"Seal Team J6",#N/A,FALSE,"Seal Team ";"Seal Team ODC J6",#N/A,FALSE,"Seal Team ODCs";"Seal Team Trvl J6",#N/A,FALSE," Seal Team Trvl"}</definedName>
    <definedName name="eafo27" localSheetId="11" hidden="1">{"Seal Team J6 Sum",#N/A,FALSE,"Seal Team Summary";"Seal Team J6",#N/A,FALSE,"Seal Team ";"Seal Team ODC J6",#N/A,FALSE,"Seal Team ODCs";"Seal Team Trvl J6",#N/A,FALSE," Seal Team Trvl"}</definedName>
    <definedName name="eafo27" localSheetId="12" hidden="1">{"Seal Team J6 Sum",#N/A,FALSE,"Seal Team Summary";"Seal Team J6",#N/A,FALSE,"Seal Team ";"Seal Team ODC J6",#N/A,FALSE,"Seal Team ODCs";"Seal Team Trvl J6",#N/A,FALSE," Seal Team Trvl"}</definedName>
    <definedName name="eafo27" localSheetId="4" hidden="1">{"Seal Team J6 Sum",#N/A,FALSE,"Seal Team Summary";"Seal Team J6",#N/A,FALSE,"Seal Team ";"Seal Team ODC J6",#N/A,FALSE,"Seal Team ODCs";"Seal Team Trvl J6",#N/A,FALSE," Seal Team Trvl"}</definedName>
    <definedName name="eafo27" localSheetId="3" hidden="1">{"Seal Team J6 Sum",#N/A,FALSE,"Seal Team Summary";"Seal Team J6",#N/A,FALSE,"Seal Team ";"Seal Team ODC J6",#N/A,FALSE,"Seal Team ODCs";"Seal Team Trvl J6",#N/A,FALSE," Seal Team Trvl"}</definedName>
    <definedName name="eafo27" localSheetId="13" hidden="1">{"Seal Team J6 Sum",#N/A,FALSE,"Seal Team Summary";"Seal Team J6",#N/A,FALSE,"Seal Team ";"Seal Team ODC J6",#N/A,FALSE,"Seal Team ODCs";"Seal Team Trvl J6",#N/A,FALSE," Seal Team Trvl"}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localSheetId="5" hidden="1">{"Page1",#N/A,FALSE,"ACC_CARS Travel 400K";"Page2",#N/A,FALSE,"ACC_CARS Travel 400K"}</definedName>
    <definedName name="eafo3" localSheetId="6" hidden="1">{"Page1",#N/A,FALSE,"ACC_CARS Travel 400K";"Page2",#N/A,FALSE,"ACC_CARS Travel 400K"}</definedName>
    <definedName name="eafo3" localSheetId="7" hidden="1">{"Page1",#N/A,FALSE,"ACC_CARS Travel 400K";"Page2",#N/A,FALSE,"ACC_CARS Travel 400K"}</definedName>
    <definedName name="eafo3" localSheetId="8" hidden="1">{"Page1",#N/A,FALSE,"ACC_CARS Travel 400K";"Page2",#N/A,FALSE,"ACC_CARS Travel 400K"}</definedName>
    <definedName name="eafo3" localSheetId="9" hidden="1">{"Page1",#N/A,FALSE,"ACC_CARS Travel 400K";"Page2",#N/A,FALSE,"ACC_CARS Travel 400K"}</definedName>
    <definedName name="eafo3" localSheetId="10" hidden="1">{"Page1",#N/A,FALSE,"ACC_CARS Travel 400K";"Page2",#N/A,FALSE,"ACC_CARS Travel 400K"}</definedName>
    <definedName name="eafo3" localSheetId="11" hidden="1">{"Page1",#N/A,FALSE,"ACC_CARS Travel 400K";"Page2",#N/A,FALSE,"ACC_CARS Travel 400K"}</definedName>
    <definedName name="eafo3" localSheetId="12" hidden="1">{"Page1",#N/A,FALSE,"ACC_CARS Travel 400K";"Page2",#N/A,FALSE,"ACC_CARS Travel 400K"}</definedName>
    <definedName name="eafo3" localSheetId="4" hidden="1">{"Page1",#N/A,FALSE,"ACC_CARS Travel 400K";"Page2",#N/A,FALSE,"ACC_CARS Travel 400K"}</definedName>
    <definedName name="eafo3" localSheetId="3" hidden="1">{"Page1",#N/A,FALSE,"ACC_CARS Travel 400K";"Page2",#N/A,FALSE,"ACC_CARS Travel 400K"}</definedName>
    <definedName name="eafo3" localSheetId="13" hidden="1">{"Page1",#N/A,FALSE,"ACC_CARS Travel 400K";"Page2",#N/A,FALSE,"ACC_CARS Travel 400K"}</definedName>
    <definedName name="eafo3" hidden="1">{"Page1",#N/A,FALSE,"ACC_CARS Travel 400K";"Page2",#N/A,FALSE,"ACC_CARS Travel 400K"}</definedName>
    <definedName name="eafo4" localSheetId="5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6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7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8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1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1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12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1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localSheetId="5" hidden="1">{"DolanCo1_PA",#N/A,FALSE,"Tina Dolan";"DolanCo1_Prop",#N/A,FALSE,"Tina Dolan"}</definedName>
    <definedName name="eafo5" localSheetId="6" hidden="1">{"DolanCo1_PA",#N/A,FALSE,"Tina Dolan";"DolanCo1_Prop",#N/A,FALSE,"Tina Dolan"}</definedName>
    <definedName name="eafo5" localSheetId="7" hidden="1">{"DolanCo1_PA",#N/A,FALSE,"Tina Dolan";"DolanCo1_Prop",#N/A,FALSE,"Tina Dolan"}</definedName>
    <definedName name="eafo5" localSheetId="8" hidden="1">{"DolanCo1_PA",#N/A,FALSE,"Tina Dolan";"DolanCo1_Prop",#N/A,FALSE,"Tina Dolan"}</definedName>
    <definedName name="eafo5" localSheetId="9" hidden="1">{"DolanCo1_PA",#N/A,FALSE,"Tina Dolan";"DolanCo1_Prop",#N/A,FALSE,"Tina Dolan"}</definedName>
    <definedName name="eafo5" localSheetId="10" hidden="1">{"DolanCo1_PA",#N/A,FALSE,"Tina Dolan";"DolanCo1_Prop",#N/A,FALSE,"Tina Dolan"}</definedName>
    <definedName name="eafo5" localSheetId="11" hidden="1">{"DolanCo1_PA",#N/A,FALSE,"Tina Dolan";"DolanCo1_Prop",#N/A,FALSE,"Tina Dolan"}</definedName>
    <definedName name="eafo5" localSheetId="12" hidden="1">{"DolanCo1_PA",#N/A,FALSE,"Tina Dolan";"DolanCo1_Prop",#N/A,FALSE,"Tina Dolan"}</definedName>
    <definedName name="eafo5" localSheetId="4" hidden="1">{"DolanCo1_PA",#N/A,FALSE,"Tina Dolan";"DolanCo1_Prop",#N/A,FALSE,"Tina Dolan"}</definedName>
    <definedName name="eafo5" localSheetId="3" hidden="1">{"DolanCo1_PA",#N/A,FALSE,"Tina Dolan";"DolanCo1_Prop",#N/A,FALSE,"Tina Dolan"}</definedName>
    <definedName name="eafo5" localSheetId="13" hidden="1">{"DolanCo1_PA",#N/A,FALSE,"Tina Dolan";"DolanCo1_Prop",#N/A,FALSE,"Tina Dolan"}</definedName>
    <definedName name="eafo5" hidden="1">{"DolanCo1_PA",#N/A,FALSE,"Tina Dolan";"DolanCo1_Prop",#N/A,FALSE,"Tina Dolan"}</definedName>
    <definedName name="eafo6" localSheetId="5" hidden="1">{"Prop_350K",#N/A,FALSE,"Ebron-350K";"PA_350K",#N/A,FALSE,"Ebron-350K";"Ebron350KTrvl",#N/A,FALSE,"Ebrons Travel 350k"}</definedName>
    <definedName name="eafo6" localSheetId="6" hidden="1">{"Prop_350K",#N/A,FALSE,"Ebron-350K";"PA_350K",#N/A,FALSE,"Ebron-350K";"Ebron350KTrvl",#N/A,FALSE,"Ebrons Travel 350k"}</definedName>
    <definedName name="eafo6" localSheetId="7" hidden="1">{"Prop_350K",#N/A,FALSE,"Ebron-350K";"PA_350K",#N/A,FALSE,"Ebron-350K";"Ebron350KTrvl",#N/A,FALSE,"Ebrons Travel 350k"}</definedName>
    <definedName name="eafo6" localSheetId="8" hidden="1">{"Prop_350K",#N/A,FALSE,"Ebron-350K";"PA_350K",#N/A,FALSE,"Ebron-350K";"Ebron350KTrvl",#N/A,FALSE,"Ebrons Travel 350k"}</definedName>
    <definedName name="eafo6" localSheetId="9" hidden="1">{"Prop_350K",#N/A,FALSE,"Ebron-350K";"PA_350K",#N/A,FALSE,"Ebron-350K";"Ebron350KTrvl",#N/A,FALSE,"Ebrons Travel 350k"}</definedName>
    <definedName name="eafo6" localSheetId="10" hidden="1">{"Prop_350K",#N/A,FALSE,"Ebron-350K";"PA_350K",#N/A,FALSE,"Ebron-350K";"Ebron350KTrvl",#N/A,FALSE,"Ebrons Travel 350k"}</definedName>
    <definedName name="eafo6" localSheetId="11" hidden="1">{"Prop_350K",#N/A,FALSE,"Ebron-350K";"PA_350K",#N/A,FALSE,"Ebron-350K";"Ebron350KTrvl",#N/A,FALSE,"Ebrons Travel 350k"}</definedName>
    <definedName name="eafo6" localSheetId="12" hidden="1">{"Prop_350K",#N/A,FALSE,"Ebron-350K";"PA_350K",#N/A,FALSE,"Ebron-350K";"Ebron350KTrvl",#N/A,FALSE,"Ebrons Travel 350k"}</definedName>
    <definedName name="eafo6" localSheetId="4" hidden="1">{"Prop_350K",#N/A,FALSE,"Ebron-350K";"PA_350K",#N/A,FALSE,"Ebron-350K";"Ebron350KTrvl",#N/A,FALSE,"Ebrons Travel 350k"}</definedName>
    <definedName name="eafo6" localSheetId="3" hidden="1">{"Prop_350K",#N/A,FALSE,"Ebron-350K";"PA_350K",#N/A,FALSE,"Ebron-350K";"Ebron350KTrvl",#N/A,FALSE,"Ebrons Travel 350k"}</definedName>
    <definedName name="eafo6" localSheetId="13" hidden="1">{"Prop_350K",#N/A,FALSE,"Ebron-350K";"PA_350K",#N/A,FALSE,"Ebron-350K";"Ebron350KTrvl",#N/A,FALSE,"Ebrons Travel 350k"}</definedName>
    <definedName name="eafo6" hidden="1">{"Prop_350K",#N/A,FALSE,"Ebron-350K";"PA_350K",#N/A,FALSE,"Ebron-350K";"Ebron350KTrvl",#N/A,FALSE,"Ebrons Travel 350k"}</definedName>
    <definedName name="eafo7" localSheetId="5" hidden="1">{"EbronCo1_PA",#N/A,FALSE,"Ebrons Task Co1";"EbronCo1_Prop",#N/A,FALSE,"Ebrons Task Co1";"Ebron316KTrvl",#N/A,FALSE,"Ebrons Travel 316k"}</definedName>
    <definedName name="eafo7" localSheetId="6" hidden="1">{"EbronCo1_PA",#N/A,FALSE,"Ebrons Task Co1";"EbronCo1_Prop",#N/A,FALSE,"Ebrons Task Co1";"Ebron316KTrvl",#N/A,FALSE,"Ebrons Travel 316k"}</definedName>
    <definedName name="eafo7" localSheetId="7" hidden="1">{"EbronCo1_PA",#N/A,FALSE,"Ebrons Task Co1";"EbronCo1_Prop",#N/A,FALSE,"Ebrons Task Co1";"Ebron316KTrvl",#N/A,FALSE,"Ebrons Travel 316k"}</definedName>
    <definedName name="eafo7" localSheetId="8" hidden="1">{"EbronCo1_PA",#N/A,FALSE,"Ebrons Task Co1";"EbronCo1_Prop",#N/A,FALSE,"Ebrons Task Co1";"Ebron316KTrvl",#N/A,FALSE,"Ebrons Travel 316k"}</definedName>
    <definedName name="eafo7" localSheetId="9" hidden="1">{"EbronCo1_PA",#N/A,FALSE,"Ebrons Task Co1";"EbronCo1_Prop",#N/A,FALSE,"Ebrons Task Co1";"Ebron316KTrvl",#N/A,FALSE,"Ebrons Travel 316k"}</definedName>
    <definedName name="eafo7" localSheetId="10" hidden="1">{"EbronCo1_PA",#N/A,FALSE,"Ebrons Task Co1";"EbronCo1_Prop",#N/A,FALSE,"Ebrons Task Co1";"Ebron316KTrvl",#N/A,FALSE,"Ebrons Travel 316k"}</definedName>
    <definedName name="eafo7" localSheetId="11" hidden="1">{"EbronCo1_PA",#N/A,FALSE,"Ebrons Task Co1";"EbronCo1_Prop",#N/A,FALSE,"Ebrons Task Co1";"Ebron316KTrvl",#N/A,FALSE,"Ebrons Travel 316k"}</definedName>
    <definedName name="eafo7" localSheetId="12" hidden="1">{"EbronCo1_PA",#N/A,FALSE,"Ebrons Task Co1";"EbronCo1_Prop",#N/A,FALSE,"Ebrons Task Co1";"Ebron316KTrvl",#N/A,FALSE,"Ebrons Travel 316k"}</definedName>
    <definedName name="eafo7" localSheetId="4" hidden="1">{"EbronCo1_PA",#N/A,FALSE,"Ebrons Task Co1";"EbronCo1_Prop",#N/A,FALSE,"Ebrons Task Co1";"Ebron316KTrvl",#N/A,FALSE,"Ebrons Travel 316k"}</definedName>
    <definedName name="eafo7" localSheetId="3" hidden="1">{"EbronCo1_PA",#N/A,FALSE,"Ebrons Task Co1";"EbronCo1_Prop",#N/A,FALSE,"Ebrons Task Co1";"Ebron316KTrvl",#N/A,FALSE,"Ebrons Travel 316k"}</definedName>
    <definedName name="eafo7" localSheetId="13" hidden="1">{"EbronCo1_PA",#N/A,FALSE,"Ebrons Task Co1";"EbronCo1_Prop",#N/A,FALSE,"Ebrons Task Co1";"Ebron316KTrvl",#N/A,FALSE,"Ebrons Travel 316k"}</definedName>
    <definedName name="eafo7" hidden="1">{"EbronCo1_PA",#N/A,FALSE,"Ebrons Task Co1";"EbronCo1_Prop",#N/A,FALSE,"Ebrons Task Co1";"Ebron316KTrvl",#N/A,FALSE,"Ebrons Travel 316k"}</definedName>
    <definedName name="eafo8" localSheetId="5" hidden="1">{"EbronCo5_PA",#N/A,FALSE,"Ebrons Task Co5";"EbronCo5_Prop",#N/A,FALSE,"Ebrons Task Co5"}</definedName>
    <definedName name="eafo8" localSheetId="6" hidden="1">{"EbronCo5_PA",#N/A,FALSE,"Ebrons Task Co5";"EbronCo5_Prop",#N/A,FALSE,"Ebrons Task Co5"}</definedName>
    <definedName name="eafo8" localSheetId="7" hidden="1">{"EbronCo5_PA",#N/A,FALSE,"Ebrons Task Co5";"EbronCo5_Prop",#N/A,FALSE,"Ebrons Task Co5"}</definedName>
    <definedName name="eafo8" localSheetId="8" hidden="1">{"EbronCo5_PA",#N/A,FALSE,"Ebrons Task Co5";"EbronCo5_Prop",#N/A,FALSE,"Ebrons Task Co5"}</definedName>
    <definedName name="eafo8" localSheetId="9" hidden="1">{"EbronCo5_PA",#N/A,FALSE,"Ebrons Task Co5";"EbronCo5_Prop",#N/A,FALSE,"Ebrons Task Co5"}</definedName>
    <definedName name="eafo8" localSheetId="10" hidden="1">{"EbronCo5_PA",#N/A,FALSE,"Ebrons Task Co5";"EbronCo5_Prop",#N/A,FALSE,"Ebrons Task Co5"}</definedName>
    <definedName name="eafo8" localSheetId="11" hidden="1">{"EbronCo5_PA",#N/A,FALSE,"Ebrons Task Co5";"EbronCo5_Prop",#N/A,FALSE,"Ebrons Task Co5"}</definedName>
    <definedName name="eafo8" localSheetId="12" hidden="1">{"EbronCo5_PA",#N/A,FALSE,"Ebrons Task Co5";"EbronCo5_Prop",#N/A,FALSE,"Ebrons Task Co5"}</definedName>
    <definedName name="eafo8" localSheetId="4" hidden="1">{"EbronCo5_PA",#N/A,FALSE,"Ebrons Task Co5";"EbronCo5_Prop",#N/A,FALSE,"Ebrons Task Co5"}</definedName>
    <definedName name="eafo8" localSheetId="3" hidden="1">{"EbronCo5_PA",#N/A,FALSE,"Ebrons Task Co5";"EbronCo5_Prop",#N/A,FALSE,"Ebrons Task Co5"}</definedName>
    <definedName name="eafo8" localSheetId="13" hidden="1">{"EbronCo5_PA",#N/A,FALSE,"Ebrons Task Co5";"EbronCo5_Prop",#N/A,FALSE,"Ebrons Task Co5"}</definedName>
    <definedName name="eafo8" hidden="1">{"EbronCo5_PA",#N/A,FALSE,"Ebrons Task Co5";"EbronCo5_Prop",#N/A,FALSE,"Ebrons Task Co5"}</definedName>
    <definedName name="eafo9" localSheetId="5" hidden="1">{"JDISS_Co1",#N/A,FALSE,"JDISS_Co1";"JDISSCo1_PA",#N/A,FALSE,"JDISS_Co1"}</definedName>
    <definedName name="eafo9" localSheetId="6" hidden="1">{"JDISS_Co1",#N/A,FALSE,"JDISS_Co1";"JDISSCo1_PA",#N/A,FALSE,"JDISS_Co1"}</definedName>
    <definedName name="eafo9" localSheetId="7" hidden="1">{"JDISS_Co1",#N/A,FALSE,"JDISS_Co1";"JDISSCo1_PA",#N/A,FALSE,"JDISS_Co1"}</definedName>
    <definedName name="eafo9" localSheetId="8" hidden="1">{"JDISS_Co1",#N/A,FALSE,"JDISS_Co1";"JDISSCo1_PA",#N/A,FALSE,"JDISS_Co1"}</definedName>
    <definedName name="eafo9" localSheetId="9" hidden="1">{"JDISS_Co1",#N/A,FALSE,"JDISS_Co1";"JDISSCo1_PA",#N/A,FALSE,"JDISS_Co1"}</definedName>
    <definedName name="eafo9" localSheetId="10" hidden="1">{"JDISS_Co1",#N/A,FALSE,"JDISS_Co1";"JDISSCo1_PA",#N/A,FALSE,"JDISS_Co1"}</definedName>
    <definedName name="eafo9" localSheetId="11" hidden="1">{"JDISS_Co1",#N/A,FALSE,"JDISS_Co1";"JDISSCo1_PA",#N/A,FALSE,"JDISS_Co1"}</definedName>
    <definedName name="eafo9" localSheetId="12" hidden="1">{"JDISS_Co1",#N/A,FALSE,"JDISS_Co1";"JDISSCo1_PA",#N/A,FALSE,"JDISS_Co1"}</definedName>
    <definedName name="eafo9" localSheetId="4" hidden="1">{"JDISS_Co1",#N/A,FALSE,"JDISS_Co1";"JDISSCo1_PA",#N/A,FALSE,"JDISS_Co1"}</definedName>
    <definedName name="eafo9" localSheetId="3" hidden="1">{"JDISS_Co1",#N/A,FALSE,"JDISS_Co1";"JDISSCo1_PA",#N/A,FALSE,"JDISS_Co1"}</definedName>
    <definedName name="eafo9" localSheetId="13" hidden="1">{"JDISS_Co1",#N/A,FALSE,"JDISS_Co1";"JDISSCo1_PA",#N/A,FALSE,"JDISS_Co1"}</definedName>
    <definedName name="eafo9" hidden="1">{"JDISS_Co1",#N/A,FALSE,"JDISS_Co1";"JDISSCo1_PA",#N/A,FALSE,"JDISS_Co1"}</definedName>
    <definedName name="earo25" localSheetId="5" hidden="1">{"PearsonCo1_Prop",#N/A,FALSE,"Pearsons Task Co1";"PearsonCo1_PA",#N/A,FALSE,"Pearsons Task Co1"}</definedName>
    <definedName name="earo25" localSheetId="6" hidden="1">{"PearsonCo1_Prop",#N/A,FALSE,"Pearsons Task Co1";"PearsonCo1_PA",#N/A,FALSE,"Pearsons Task Co1"}</definedName>
    <definedName name="earo25" localSheetId="7" hidden="1">{"PearsonCo1_Prop",#N/A,FALSE,"Pearsons Task Co1";"PearsonCo1_PA",#N/A,FALSE,"Pearsons Task Co1"}</definedName>
    <definedName name="earo25" localSheetId="8" hidden="1">{"PearsonCo1_Prop",#N/A,FALSE,"Pearsons Task Co1";"PearsonCo1_PA",#N/A,FALSE,"Pearsons Task Co1"}</definedName>
    <definedName name="earo25" localSheetId="9" hidden="1">{"PearsonCo1_Prop",#N/A,FALSE,"Pearsons Task Co1";"PearsonCo1_PA",#N/A,FALSE,"Pearsons Task Co1"}</definedName>
    <definedName name="earo25" localSheetId="10" hidden="1">{"PearsonCo1_Prop",#N/A,FALSE,"Pearsons Task Co1";"PearsonCo1_PA",#N/A,FALSE,"Pearsons Task Co1"}</definedName>
    <definedName name="earo25" localSheetId="11" hidden="1">{"PearsonCo1_Prop",#N/A,FALSE,"Pearsons Task Co1";"PearsonCo1_PA",#N/A,FALSE,"Pearsons Task Co1"}</definedName>
    <definedName name="earo25" localSheetId="12" hidden="1">{"PearsonCo1_Prop",#N/A,FALSE,"Pearsons Task Co1";"PearsonCo1_PA",#N/A,FALSE,"Pearsons Task Co1"}</definedName>
    <definedName name="earo25" localSheetId="4" hidden="1">{"PearsonCo1_Prop",#N/A,FALSE,"Pearsons Task Co1";"PearsonCo1_PA",#N/A,FALSE,"Pearsons Task Co1"}</definedName>
    <definedName name="earo25" localSheetId="3" hidden="1">{"PearsonCo1_Prop",#N/A,FALSE,"Pearsons Task Co1";"PearsonCo1_PA",#N/A,FALSE,"Pearsons Task Co1"}</definedName>
    <definedName name="earo25" localSheetId="13" hidden="1">{"PearsonCo1_Prop",#N/A,FALSE,"Pearsons Task Co1";"PearsonCo1_PA",#N/A,FALSE,"Pearsons Task Co1"}</definedName>
    <definedName name="earo25" hidden="1">{"PearsonCo1_Prop",#N/A,FALSE,"Pearsons Task Co1";"PearsonCo1_PA",#N/A,FALSE,"Pearsons Task Co1"}</definedName>
    <definedName name="ed6_8">[7]Parameters!$B$526</definedName>
    <definedName name="ed9_12">[7]Parameters!$B$527</definedName>
    <definedName name="edk_5">[7]Parameters!$B$525</definedName>
    <definedName name="EETYPE">#REF!</definedName>
    <definedName name="EEwithAmounts">#REF!</definedName>
    <definedName name="EMPLOYEECURRENTSTATUS">#REF!</definedName>
    <definedName name="END">#N/A</definedName>
    <definedName name="eras" localSheetId="5" hidden="1">{"PAGE1",#N/A,FALSE,"CPFFMSTR";"PAGE2",#N/A,FALSE,"CPFFMSTR"}</definedName>
    <definedName name="eras" localSheetId="6" hidden="1">{"PAGE1",#N/A,FALSE,"CPFFMSTR";"PAGE2",#N/A,FALSE,"CPFFMSTR"}</definedName>
    <definedName name="eras" localSheetId="7" hidden="1">{"PAGE1",#N/A,FALSE,"CPFFMSTR";"PAGE2",#N/A,FALSE,"CPFFMSTR"}</definedName>
    <definedName name="eras" localSheetId="8" hidden="1">{"PAGE1",#N/A,FALSE,"CPFFMSTR";"PAGE2",#N/A,FALSE,"CPFFMSTR"}</definedName>
    <definedName name="eras" localSheetId="9" hidden="1">{"PAGE1",#N/A,FALSE,"CPFFMSTR";"PAGE2",#N/A,FALSE,"CPFFMSTR"}</definedName>
    <definedName name="eras" localSheetId="10" hidden="1">{"PAGE1",#N/A,FALSE,"CPFFMSTR";"PAGE2",#N/A,FALSE,"CPFFMSTR"}</definedName>
    <definedName name="eras" localSheetId="11" hidden="1">{"PAGE1",#N/A,FALSE,"CPFFMSTR";"PAGE2",#N/A,FALSE,"CPFFMSTR"}</definedName>
    <definedName name="eras" localSheetId="12" hidden="1">{"PAGE1",#N/A,FALSE,"CPFFMSTR";"PAGE2",#N/A,FALSE,"CPFFMSTR"}</definedName>
    <definedName name="eras" localSheetId="4" hidden="1">{"PAGE1",#N/A,FALSE,"CPFFMSTR";"PAGE2",#N/A,FALSE,"CPFFMSTR"}</definedName>
    <definedName name="eras" localSheetId="3" hidden="1">{"PAGE1",#N/A,FALSE,"CPFFMSTR";"PAGE2",#N/A,FALSE,"CPFFMSTR"}</definedName>
    <definedName name="eras" localSheetId="13" hidden="1">{"PAGE1",#N/A,FALSE,"CPFFMSTR";"PAGE2",#N/A,FALSE,"CPFFMSTR"}</definedName>
    <definedName name="eras" hidden="1">{"PAGE1",#N/A,FALSE,"CPFFMSTR";"PAGE2",#N/A,FALSE,"CPFFMSTR"}</definedName>
    <definedName name="erwe" localSheetId="5" hidden="1">{"PAGE1",#N/A,FALSE,"CPFFMSTR";"PAGE2",#N/A,FALSE,"CPFFMSTR"}</definedName>
    <definedName name="erwe" localSheetId="6" hidden="1">{"PAGE1",#N/A,FALSE,"CPFFMSTR";"PAGE2",#N/A,FALSE,"CPFFMSTR"}</definedName>
    <definedName name="erwe" localSheetId="7" hidden="1">{"PAGE1",#N/A,FALSE,"CPFFMSTR";"PAGE2",#N/A,FALSE,"CPFFMSTR"}</definedName>
    <definedName name="erwe" localSheetId="8" hidden="1">{"PAGE1",#N/A,FALSE,"CPFFMSTR";"PAGE2",#N/A,FALSE,"CPFFMSTR"}</definedName>
    <definedName name="erwe" localSheetId="9" hidden="1">{"PAGE1",#N/A,FALSE,"CPFFMSTR";"PAGE2",#N/A,FALSE,"CPFFMSTR"}</definedName>
    <definedName name="erwe" localSheetId="10" hidden="1">{"PAGE1",#N/A,FALSE,"CPFFMSTR";"PAGE2",#N/A,FALSE,"CPFFMSTR"}</definedName>
    <definedName name="erwe" localSheetId="11" hidden="1">{"PAGE1",#N/A,FALSE,"CPFFMSTR";"PAGE2",#N/A,FALSE,"CPFFMSTR"}</definedName>
    <definedName name="erwe" localSheetId="12" hidden="1">{"PAGE1",#N/A,FALSE,"CPFFMSTR";"PAGE2",#N/A,FALSE,"CPFFMSTR"}</definedName>
    <definedName name="erwe" localSheetId="4" hidden="1">{"PAGE1",#N/A,FALSE,"CPFFMSTR";"PAGE2",#N/A,FALSE,"CPFFMSTR"}</definedName>
    <definedName name="erwe" localSheetId="3" hidden="1">{"PAGE1",#N/A,FALSE,"CPFFMSTR";"PAGE2",#N/A,FALSE,"CPFFMSTR"}</definedName>
    <definedName name="erwe" localSheetId="13" hidden="1">{"PAGE1",#N/A,FALSE,"CPFFMSTR";"PAGE2",#N/A,FALSE,"CPFFMSTR"}</definedName>
    <definedName name="erwe" hidden="1">{"PAGE1",#N/A,FALSE,"CPFFMSTR";"PAGE2",#N/A,FALSE,"CPFFMSTR"}</definedName>
    <definedName name="esc">0.035</definedName>
    <definedName name="ETHNICID">#REF!</definedName>
    <definedName name="EXC">#REF!</definedName>
    <definedName name="exch">[5]Parameters!$D$19</definedName>
    <definedName name="Exchange">#REF!</definedName>
    <definedName name="ExchangeRate">#REF!</definedName>
    <definedName name="Expat_Discount">#REF!</definedName>
    <definedName name="Expat_Fringe">#REF!</definedName>
    <definedName name="expatsalinc">[12]Sheet1!$C$7</definedName>
    <definedName name="expatsttasal">[12]Sheet1!$C$29</definedName>
    <definedName name="Expense">'[24]Drp Down Menu lists '!$B$1:$B$10</definedName>
    <definedName name="fasdf" localSheetId="5" hidden="1">{"PAGE1",#N/A,FALSE,"CPFFMSTR";"PAGE2",#N/A,FALSE,"CPFFMSTR"}</definedName>
    <definedName name="fasdf" localSheetId="6" hidden="1">{"PAGE1",#N/A,FALSE,"CPFFMSTR";"PAGE2",#N/A,FALSE,"CPFFMSTR"}</definedName>
    <definedName name="fasdf" localSheetId="7" hidden="1">{"PAGE1",#N/A,FALSE,"CPFFMSTR";"PAGE2",#N/A,FALSE,"CPFFMSTR"}</definedName>
    <definedName name="fasdf" localSheetId="8" hidden="1">{"PAGE1",#N/A,FALSE,"CPFFMSTR";"PAGE2",#N/A,FALSE,"CPFFMSTR"}</definedName>
    <definedName name="fasdf" localSheetId="9" hidden="1">{"PAGE1",#N/A,FALSE,"CPFFMSTR";"PAGE2",#N/A,FALSE,"CPFFMSTR"}</definedName>
    <definedName name="fasdf" localSheetId="10" hidden="1">{"PAGE1",#N/A,FALSE,"CPFFMSTR";"PAGE2",#N/A,FALSE,"CPFFMSTR"}</definedName>
    <definedName name="fasdf" localSheetId="11" hidden="1">{"PAGE1",#N/A,FALSE,"CPFFMSTR";"PAGE2",#N/A,FALSE,"CPFFMSTR"}</definedName>
    <definedName name="fasdf" localSheetId="12" hidden="1">{"PAGE1",#N/A,FALSE,"CPFFMSTR";"PAGE2",#N/A,FALSE,"CPFFMSTR"}</definedName>
    <definedName name="fasdf" localSheetId="4" hidden="1">{"PAGE1",#N/A,FALSE,"CPFFMSTR";"PAGE2",#N/A,FALSE,"CPFFMSTR"}</definedName>
    <definedName name="fasdf" localSheetId="3" hidden="1">{"PAGE1",#N/A,FALSE,"CPFFMSTR";"PAGE2",#N/A,FALSE,"CPFFMSTR"}</definedName>
    <definedName name="fasdf" localSheetId="13" hidden="1">{"PAGE1",#N/A,FALSE,"CPFFMSTR";"PAGE2",#N/A,FALSE,"CPFFMSTR"}</definedName>
    <definedName name="fasdf" hidden="1">{"PAGE1",#N/A,FALSE,"CPFFMSTR";"PAGE2",#N/A,FALSE,"CPFFMSTR"}</definedName>
    <definedName name="fasfas" hidden="1">[2]IPA!#REF!</definedName>
    <definedName name="FB">#REF!</definedName>
    <definedName name="FB_T">#REF!</definedName>
    <definedName name="FCCM_GA">#REF!</definedName>
    <definedName name="FCCM_lab">#REF!</definedName>
    <definedName name="FCCM_MSE">#REF!</definedName>
    <definedName name="FCCM_Office">#REF!</definedName>
    <definedName name="FCCM_OfficeOther">#REF!</definedName>
    <definedName name="fdfdf" hidden="1">#REF!</definedName>
    <definedName name="fdfdfdfddfdfdfdf">#REF!</definedName>
    <definedName name="fdfdfdfdf">#REF!</definedName>
    <definedName name="fdfdfdfdfd" hidden="1">#REF!</definedName>
    <definedName name="FDRs">#REF!</definedName>
    <definedName name="FEDEX">#REF!</definedName>
    <definedName name="fee">[5]Parameters!$D$15</definedName>
    <definedName name="FGH" localSheetId="5" hidden="1">{"PAGE1",#N/A,FALSE,"CPFFMSTR";"PAGE2",#N/A,FALSE,"CPFFMSTR"}</definedName>
    <definedName name="FGH" localSheetId="6" hidden="1">{"PAGE1",#N/A,FALSE,"CPFFMSTR";"PAGE2",#N/A,FALSE,"CPFFMSTR"}</definedName>
    <definedName name="FGH" localSheetId="7" hidden="1">{"PAGE1",#N/A,FALSE,"CPFFMSTR";"PAGE2",#N/A,FALSE,"CPFFMSTR"}</definedName>
    <definedName name="FGH" localSheetId="8" hidden="1">{"PAGE1",#N/A,FALSE,"CPFFMSTR";"PAGE2",#N/A,FALSE,"CPFFMSTR"}</definedName>
    <definedName name="FGH" localSheetId="9" hidden="1">{"PAGE1",#N/A,FALSE,"CPFFMSTR";"PAGE2",#N/A,FALSE,"CPFFMSTR"}</definedName>
    <definedName name="FGH" localSheetId="10" hidden="1">{"PAGE1",#N/A,FALSE,"CPFFMSTR";"PAGE2",#N/A,FALSE,"CPFFMSTR"}</definedName>
    <definedName name="FGH" localSheetId="11" hidden="1">{"PAGE1",#N/A,FALSE,"CPFFMSTR";"PAGE2",#N/A,FALSE,"CPFFMSTR"}</definedName>
    <definedName name="FGH" localSheetId="12" hidden="1">{"PAGE1",#N/A,FALSE,"CPFFMSTR";"PAGE2",#N/A,FALSE,"CPFFMSTR"}</definedName>
    <definedName name="FGH" localSheetId="4" hidden="1">{"PAGE1",#N/A,FALSE,"CPFFMSTR";"PAGE2",#N/A,FALSE,"CPFFMSTR"}</definedName>
    <definedName name="FGH" localSheetId="3" hidden="1">{"PAGE1",#N/A,FALSE,"CPFFMSTR";"PAGE2",#N/A,FALSE,"CPFFMSTR"}</definedName>
    <definedName name="FGH" localSheetId="13" hidden="1">{"PAGE1",#N/A,FALSE,"CPFFMSTR";"PAGE2",#N/A,FALSE,"CPFFMSTR"}</definedName>
    <definedName name="FGH" hidden="1">{"PAGE1",#N/A,FALSE,"CPFFMSTR";"PAGE2",#N/A,FALSE,"CPFFMSTR"}</definedName>
    <definedName name="field_fringe">#REF!</definedName>
    <definedName name="fieldfringe">#REF!</definedName>
    <definedName name="Firms">#REF!</definedName>
    <definedName name="Fixed_Fee">#REF!</definedName>
    <definedName name="FMI">#N/A</definedName>
    <definedName name="fo">[25]Training!$N$3</definedName>
    <definedName name="fooh">[5]Parameters!$D$13</definedName>
    <definedName name="FORM">#REF!</definedName>
    <definedName name="FORM1">#REF!</definedName>
    <definedName name="FORM3">#REF!</definedName>
    <definedName name="FPMSA">#N/A</definedName>
    <definedName name="fr">[5]Parameters!$D$10</definedName>
    <definedName name="fringe">0.405</definedName>
    <definedName name="fringedir">[7]Parameters!$B$488</definedName>
    <definedName name="fsnmax">[5]Parameters!#REF!</definedName>
    <definedName name="FTE_All">#REF!</definedName>
    <definedName name="FTE_M">#REF!</definedName>
    <definedName name="FTE_Y">#REF!</definedName>
    <definedName name="FTE_Year1">#REF!</definedName>
    <definedName name="FTE_Year2">#REF!</definedName>
    <definedName name="FTE_Year3">#REF!</definedName>
    <definedName name="FTE_Year4">#REF!</definedName>
    <definedName name="FTE_Year5">#REF!</definedName>
    <definedName name="Full_time_Regular_Query">#REF!</definedName>
    <definedName name="FULLORPARTTIME">#REF!</definedName>
    <definedName name="g_a">#REF!</definedName>
    <definedName name="ga">[5]Parameters!$D$14</definedName>
    <definedName name="GandA_by_firm">#REF!</definedName>
    <definedName name="gandamult">[26]formulas!$B$6</definedName>
    <definedName name="GENDER">#REF!</definedName>
    <definedName name="ghghghtghg" hidden="1">#REF!</definedName>
    <definedName name="GR">'[19]Tx-Acc'!$D$2:$E$483</definedName>
    <definedName name="Grand_Total">'[27]Schedule Items-Labor'!#REF!</definedName>
    <definedName name="grantfee">0.02</definedName>
    <definedName name="GRP">#REF!</definedName>
    <definedName name="GSDFG" localSheetId="5" hidden="1">{"PAGE1",#N/A,FALSE,"CPFFMSTR";"PAGE2",#N/A,FALSE,"CPFFMSTR"}</definedName>
    <definedName name="GSDFG" localSheetId="6" hidden="1">{"PAGE1",#N/A,FALSE,"CPFFMSTR";"PAGE2",#N/A,FALSE,"CPFFMSTR"}</definedName>
    <definedName name="GSDFG" localSheetId="7" hidden="1">{"PAGE1",#N/A,FALSE,"CPFFMSTR";"PAGE2",#N/A,FALSE,"CPFFMSTR"}</definedName>
    <definedName name="GSDFG" localSheetId="8" hidden="1">{"PAGE1",#N/A,FALSE,"CPFFMSTR";"PAGE2",#N/A,FALSE,"CPFFMSTR"}</definedName>
    <definedName name="GSDFG" localSheetId="9" hidden="1">{"PAGE1",#N/A,FALSE,"CPFFMSTR";"PAGE2",#N/A,FALSE,"CPFFMSTR"}</definedName>
    <definedName name="GSDFG" localSheetId="10" hidden="1">{"PAGE1",#N/A,FALSE,"CPFFMSTR";"PAGE2",#N/A,FALSE,"CPFFMSTR"}</definedName>
    <definedName name="GSDFG" localSheetId="11" hidden="1">{"PAGE1",#N/A,FALSE,"CPFFMSTR";"PAGE2",#N/A,FALSE,"CPFFMSTR"}</definedName>
    <definedName name="GSDFG" localSheetId="12" hidden="1">{"PAGE1",#N/A,FALSE,"CPFFMSTR";"PAGE2",#N/A,FALSE,"CPFFMSTR"}</definedName>
    <definedName name="GSDFG" localSheetId="4" hidden="1">{"PAGE1",#N/A,FALSE,"CPFFMSTR";"PAGE2",#N/A,FALSE,"CPFFMSTR"}</definedName>
    <definedName name="GSDFG" localSheetId="3" hidden="1">{"PAGE1",#N/A,FALSE,"CPFFMSTR";"PAGE2",#N/A,FALSE,"CPFFMSTR"}</definedName>
    <definedName name="GSDFG" localSheetId="13" hidden="1">{"PAGE1",#N/A,FALSE,"CPFFMSTR";"PAGE2",#N/A,FALSE,"CPFFMSTR"}</definedName>
    <definedName name="GSDFG" hidden="1">{"PAGE1",#N/A,FALSE,"CPFFMSTR";"PAGE2",#N/A,FALSE,"CPFFMSTR"}</definedName>
    <definedName name="guard">[12]Sheet1!$C$46</definedName>
    <definedName name="guatemala">#REF!</definedName>
    <definedName name="HEAD">#REF!</definedName>
    <definedName name="heading">#N/A</definedName>
    <definedName name="health_insurance">[5]Parameters!$D$60</definedName>
    <definedName name="HGJ" localSheetId="5" hidden="1">{"PAGE1",#N/A,FALSE,"CPFFMSTR";"PAGE2",#N/A,FALSE,"CPFFMSTR"}</definedName>
    <definedName name="HGJ" localSheetId="6" hidden="1">{"PAGE1",#N/A,FALSE,"CPFFMSTR";"PAGE2",#N/A,FALSE,"CPFFMSTR"}</definedName>
    <definedName name="HGJ" localSheetId="7" hidden="1">{"PAGE1",#N/A,FALSE,"CPFFMSTR";"PAGE2",#N/A,FALSE,"CPFFMSTR"}</definedName>
    <definedName name="HGJ" localSheetId="8" hidden="1">{"PAGE1",#N/A,FALSE,"CPFFMSTR";"PAGE2",#N/A,FALSE,"CPFFMSTR"}</definedName>
    <definedName name="HGJ" localSheetId="9" hidden="1">{"PAGE1",#N/A,FALSE,"CPFFMSTR";"PAGE2",#N/A,FALSE,"CPFFMSTR"}</definedName>
    <definedName name="HGJ" localSheetId="10" hidden="1">{"PAGE1",#N/A,FALSE,"CPFFMSTR";"PAGE2",#N/A,FALSE,"CPFFMSTR"}</definedName>
    <definedName name="HGJ" localSheetId="11" hidden="1">{"PAGE1",#N/A,FALSE,"CPFFMSTR";"PAGE2",#N/A,FALSE,"CPFFMSTR"}</definedName>
    <definedName name="HGJ" localSheetId="12" hidden="1">{"PAGE1",#N/A,FALSE,"CPFFMSTR";"PAGE2",#N/A,FALSE,"CPFFMSTR"}</definedName>
    <definedName name="HGJ" localSheetId="4" hidden="1">{"PAGE1",#N/A,FALSE,"CPFFMSTR";"PAGE2",#N/A,FALSE,"CPFFMSTR"}</definedName>
    <definedName name="HGJ" localSheetId="3" hidden="1">{"PAGE1",#N/A,FALSE,"CPFFMSTR";"PAGE2",#N/A,FALSE,"CPFFMSTR"}</definedName>
    <definedName name="HGJ" localSheetId="13" hidden="1">{"PAGE1",#N/A,FALSE,"CPFFMSTR";"PAGE2",#N/A,FALSE,"CPFFMSTR"}</definedName>
    <definedName name="HGJ" hidden="1">{"PAGE1",#N/A,FALSE,"CPFFMSTR";"PAGE2",#N/A,FALSE,"CPFFMSTR"}</definedName>
    <definedName name="hhehandling">[12]Sheet1!$C$40</definedName>
    <definedName name="hheorigin">[12]Sheet1!$C$39</definedName>
    <definedName name="hheshipment">[12]Sheet1!$C$37</definedName>
    <definedName name="hhestorage">[12]Sheet1!$C$38</definedName>
    <definedName name="HIID1">#N/A</definedName>
    <definedName name="HIID4">#N/A</definedName>
    <definedName name="HISTORY">#REF!</definedName>
    <definedName name="ho">[7]Parameters!$A$431</definedName>
    <definedName name="hofa">[5]Parameters!#REF!</definedName>
    <definedName name="Hola" hidden="1">'[8]sample labor calc'!#REF!</definedName>
    <definedName name="hooh">[5]Parameters!$D$12</definedName>
    <definedName name="Horas">#REF!</definedName>
    <definedName name="hos10co">[7]Parameters!$G$442</definedName>
    <definedName name="hos10name">[7]Parameters!$C$442</definedName>
    <definedName name="hos10sal1">[7]Parameters!$E$442</definedName>
    <definedName name="hos1co">[7]Parameters!$G$433</definedName>
    <definedName name="hos1name">[7]Parameters!$C$433</definedName>
    <definedName name="hos1sal1">[7]Parameters!$E$433</definedName>
    <definedName name="hos2co">[7]Parameters!$G$434</definedName>
    <definedName name="hos2name">[7]Parameters!$C$434</definedName>
    <definedName name="hos2sal1">[7]Parameters!$E$434</definedName>
    <definedName name="hos3co">[7]Parameters!$G$435</definedName>
    <definedName name="hos3name">[7]Parameters!$C$435</definedName>
    <definedName name="hos3sal1">[7]Parameters!$E$435</definedName>
    <definedName name="hos4co">[7]Parameters!$G$436</definedName>
    <definedName name="hos4name">[7]Parameters!$C$436</definedName>
    <definedName name="hos4sal1">[7]Parameters!$E$436</definedName>
    <definedName name="hos5co">[7]Parameters!$G$437</definedName>
    <definedName name="hos5name">[7]Parameters!$C$437</definedName>
    <definedName name="hos5sal1">[7]Parameters!$E$437</definedName>
    <definedName name="hos6co">[7]Parameters!$G$438</definedName>
    <definedName name="hos6name">[7]Parameters!$C$438</definedName>
    <definedName name="hos6sal1">[7]Parameters!$E$438</definedName>
    <definedName name="hos7co">[7]Parameters!$G$439</definedName>
    <definedName name="hos7name">[7]Parameters!$C$439</definedName>
    <definedName name="hos7sal1">[7]Parameters!$E$439</definedName>
    <definedName name="hos8co">[7]Parameters!$G$440</definedName>
    <definedName name="hos8name">[7]Parameters!$C$440</definedName>
    <definedName name="hos8sal1">[7]Parameters!$E$440</definedName>
    <definedName name="hos9co">[7]Parameters!$G$441</definedName>
    <definedName name="hos9name">[7]Parameters!$C$441</definedName>
    <definedName name="hos9sal1">[7]Parameters!$E$441</definedName>
    <definedName name="hosco11">[7]Parameters!$G$443</definedName>
    <definedName name="hosco12">[7]Parameters!$G$444</definedName>
    <definedName name="hosco13">[7]Parameters!$G$445</definedName>
    <definedName name="hosco14">[7]Parameters!$G$446</definedName>
    <definedName name="hosco15">[7]Parameters!$G$447</definedName>
    <definedName name="hosco16">[7]Parameters!$G$448</definedName>
    <definedName name="hosco17">[7]Parameters!$G$449</definedName>
    <definedName name="hosco18">[7]Parameters!$G$450</definedName>
    <definedName name="hosco19">[7]Parameters!$G$451</definedName>
    <definedName name="hosco20">[7]Parameters!$G$452</definedName>
    <definedName name="hosco21">[7]Parameters!$G$453</definedName>
    <definedName name="hosjob1">[7]Parameters!$I$433</definedName>
    <definedName name="hosjob10">[7]Parameters!$I$442</definedName>
    <definedName name="hosjob2">[7]Parameters!$I$434</definedName>
    <definedName name="hosjob3">[7]Parameters!$I$435</definedName>
    <definedName name="hosjob4">[7]Parameters!$I$436</definedName>
    <definedName name="hosjob5">[7]Parameters!$I$437</definedName>
    <definedName name="hosjob6">[7]Parameters!$I$438</definedName>
    <definedName name="hosjob7">[7]Parameters!$I$439</definedName>
    <definedName name="hosjob8">[7]Parameters!$I$440</definedName>
    <definedName name="hosjob9">[7]Parameters!$I$441</definedName>
    <definedName name="hosname11">[7]Parameters!$C$443</definedName>
    <definedName name="hosname12">[7]Parameters!$C$444</definedName>
    <definedName name="hosname13">[7]Parameters!$C$445</definedName>
    <definedName name="hosname14">[7]Parameters!$C$446</definedName>
    <definedName name="hosname15">[7]Parameters!$C$447</definedName>
    <definedName name="hosname16">[7]Parameters!$C$448</definedName>
    <definedName name="hosname17">[7]Parameters!$C$449</definedName>
    <definedName name="hosname18">[7]Parameters!$C$450</definedName>
    <definedName name="hosname19">[7]Parameters!$C$451</definedName>
    <definedName name="hosname20">[7]Parameters!$C$452</definedName>
    <definedName name="hosname21">[7]Parameters!$C$453</definedName>
    <definedName name="hossal11">[7]Parameters!$E$443</definedName>
    <definedName name="hossal12">[7]Parameters!$E$444</definedName>
    <definedName name="hossal13">[7]Parameters!$E$445</definedName>
    <definedName name="hossal14">[7]Parameters!$E$446</definedName>
    <definedName name="hossal15">[7]Parameters!$E$447</definedName>
    <definedName name="hossal16">[7]Parameters!$E$448</definedName>
    <definedName name="hossal17">[7]Parameters!$E$449</definedName>
    <definedName name="hossal18">[7]Parameters!$E$450</definedName>
    <definedName name="hossal19">[7]Parameters!$E$451</definedName>
    <definedName name="hossal20">[7]Parameters!$E$452</definedName>
    <definedName name="hossal21">[7]Parameters!$E$453</definedName>
    <definedName name="hours_m">166.67</definedName>
    <definedName name="hours_y">1833</definedName>
    <definedName name="HQ_Fringe">#REF!</definedName>
    <definedName name="huehuetenango">#REF!</definedName>
    <definedName name="iff">0.0075</definedName>
    <definedName name="IIEclin1">#REF!</definedName>
    <definedName name="iieclin2">#REF!</definedName>
    <definedName name="iieclin3">#REF!</definedName>
    <definedName name="IMCC">#N/A</definedName>
    <definedName name="IN">'[25]DETAIL Burkina Faso'!$R$3</definedName>
    <definedName name="Indirect1">#REF!</definedName>
    <definedName name="inf" localSheetId="5">#REF!</definedName>
    <definedName name="inf" localSheetId="6">#REF!</definedName>
    <definedName name="inf" localSheetId="7">#REF!</definedName>
    <definedName name="inf" localSheetId="8">#REF!</definedName>
    <definedName name="inf" localSheetId="9">#REF!</definedName>
    <definedName name="inf" localSheetId="10">#REF!</definedName>
    <definedName name="inf" localSheetId="11">#REF!</definedName>
    <definedName name="inf" localSheetId="12">#REF!</definedName>
    <definedName name="inf" localSheetId="4">#REF!</definedName>
    <definedName name="inf" localSheetId="3">#REF!</definedName>
    <definedName name="inf" localSheetId="2">#REF!</definedName>
    <definedName name="inf" localSheetId="13">#REF!</definedName>
    <definedName name="inf">#REF!</definedName>
    <definedName name="infl">[5]Parameters!$D$8</definedName>
    <definedName name="INFLATE">[10]RATES!#REF!</definedName>
    <definedName name="Inflation">'[28]Detail-1'!$J$2</definedName>
    <definedName name="Inflation_factor_year_1">#REF!</definedName>
    <definedName name="Inflation_factor_year_2">#REF!</definedName>
    <definedName name="Inflation_factor_year_3">#REF!</definedName>
    <definedName name="Inflation_factor_year_4">#REF!</definedName>
    <definedName name="Inflation_factor_year_5">#REF!</definedName>
    <definedName name="INODC">'[25]DETAIL Burkina Faso'!$R$4</definedName>
    <definedName name="Insti11">[10]RATES!#REF!</definedName>
    <definedName name="Insti12">[10]RATES!#REF!</definedName>
    <definedName name="Insti13">[10]RATES!#REF!</definedName>
    <definedName name="Insti41">[10]RATES!#REF!</definedName>
    <definedName name="Insti42">[10]RATES!#REF!</definedName>
    <definedName name="Insti43">[10]RATES!#REF!</definedName>
    <definedName name="Insti51">[10]RATES!#REF!</definedName>
    <definedName name="Insti52">[10]RATES!#REF!</definedName>
    <definedName name="Insti53">[10]RATES!#REF!</definedName>
    <definedName name="INSTRUCT">#REF!</definedName>
    <definedName name="INTERMIT">#N/A</definedName>
    <definedName name="interregion">[5]Parameters!$D$42</definedName>
    <definedName name="intlrtecon">[5]Parameters!$D$26</definedName>
    <definedName name="intraregion">[5]Parameters!$D$43</definedName>
    <definedName name="ird">#REF!</definedName>
    <definedName name="ISTI1">#N/A</definedName>
    <definedName name="ISTI4">#N/A</definedName>
    <definedName name="ITE_Client">#REF!</definedName>
    <definedName name="ITE_Int">#REF!</definedName>
    <definedName name="ITE_lab">#REF!</definedName>
    <definedName name="ITE_Off">#REF!</definedName>
    <definedName name="ITE_OffOther">#REF!</definedName>
    <definedName name="ITE_on">#REF!</definedName>
    <definedName name="ITE_OnOther">#REF!</definedName>
    <definedName name="ITSH">'[24]Drp Down Menu lists '!$C$1:$C$3</definedName>
    <definedName name="JAAscenariodata">'[21]Summary Budget'!$O$6:$V$7</definedName>
    <definedName name="jea" localSheetId="5" hidden="1">{#N/A,#N/A,FALSE,"ManLoading"}</definedName>
    <definedName name="jea" localSheetId="6" hidden="1">{#N/A,#N/A,FALSE,"ManLoading"}</definedName>
    <definedName name="jea" localSheetId="7" hidden="1">{#N/A,#N/A,FALSE,"ManLoading"}</definedName>
    <definedName name="jea" localSheetId="8" hidden="1">{#N/A,#N/A,FALSE,"ManLoading"}</definedName>
    <definedName name="jea" localSheetId="9" hidden="1">{#N/A,#N/A,FALSE,"ManLoading"}</definedName>
    <definedName name="jea" localSheetId="10" hidden="1">{#N/A,#N/A,FALSE,"ManLoading"}</definedName>
    <definedName name="jea" localSheetId="11" hidden="1">{#N/A,#N/A,FALSE,"ManLoading"}</definedName>
    <definedName name="jea" localSheetId="12" hidden="1">{#N/A,#N/A,FALSE,"ManLoading"}</definedName>
    <definedName name="jea" localSheetId="4" hidden="1">{#N/A,#N/A,FALSE,"ManLoading"}</definedName>
    <definedName name="jea" localSheetId="13" hidden="1">{#N/A,#N/A,FALSE,"ManLoading"}</definedName>
    <definedName name="jea" hidden="1">{#N/A,#N/A,FALSE,"ManLoading"}</definedName>
    <definedName name="JH" localSheetId="5" hidden="1">{"PAGE1",#N/A,FALSE,"CPFFMSTR";"PAGE2",#N/A,FALSE,"CPFFMSTR"}</definedName>
    <definedName name="JH" localSheetId="6" hidden="1">{"PAGE1",#N/A,FALSE,"CPFFMSTR";"PAGE2",#N/A,FALSE,"CPFFMSTR"}</definedName>
    <definedName name="JH" localSheetId="7" hidden="1">{"PAGE1",#N/A,FALSE,"CPFFMSTR";"PAGE2",#N/A,FALSE,"CPFFMSTR"}</definedName>
    <definedName name="JH" localSheetId="8" hidden="1">{"PAGE1",#N/A,FALSE,"CPFFMSTR";"PAGE2",#N/A,FALSE,"CPFFMSTR"}</definedName>
    <definedName name="JH" localSheetId="9" hidden="1">{"PAGE1",#N/A,FALSE,"CPFFMSTR";"PAGE2",#N/A,FALSE,"CPFFMSTR"}</definedName>
    <definedName name="JH" localSheetId="10" hidden="1">{"PAGE1",#N/A,FALSE,"CPFFMSTR";"PAGE2",#N/A,FALSE,"CPFFMSTR"}</definedName>
    <definedName name="JH" localSheetId="11" hidden="1">{"PAGE1",#N/A,FALSE,"CPFFMSTR";"PAGE2",#N/A,FALSE,"CPFFMSTR"}</definedName>
    <definedName name="JH" localSheetId="12" hidden="1">{"PAGE1",#N/A,FALSE,"CPFFMSTR";"PAGE2",#N/A,FALSE,"CPFFMSTR"}</definedName>
    <definedName name="JH" localSheetId="4" hidden="1">{"PAGE1",#N/A,FALSE,"CPFFMSTR";"PAGE2",#N/A,FALSE,"CPFFMSTR"}</definedName>
    <definedName name="JH" localSheetId="3" hidden="1">{"PAGE1",#N/A,FALSE,"CPFFMSTR";"PAGE2",#N/A,FALSE,"CPFFMSTR"}</definedName>
    <definedName name="JH" localSheetId="13" hidden="1">{"PAGE1",#N/A,FALSE,"CPFFMSTR";"PAGE2",#N/A,FALSE,"CPFFMSTR"}</definedName>
    <definedName name="JH" hidden="1">{"PAGE1",#N/A,FALSE,"CPFFMSTR";"PAGE2",#N/A,FALSE,"CPFFMSTR"}</definedName>
    <definedName name="JKHJ" localSheetId="5" hidden="1">{"PAGE1",#N/A,FALSE,"CPFFMSTR";"PAGE2",#N/A,FALSE,"CPFFMSTR"}</definedName>
    <definedName name="JKHJ" localSheetId="6" hidden="1">{"PAGE1",#N/A,FALSE,"CPFFMSTR";"PAGE2",#N/A,FALSE,"CPFFMSTR"}</definedName>
    <definedName name="JKHJ" localSheetId="7" hidden="1">{"PAGE1",#N/A,FALSE,"CPFFMSTR";"PAGE2",#N/A,FALSE,"CPFFMSTR"}</definedName>
    <definedName name="JKHJ" localSheetId="8" hidden="1">{"PAGE1",#N/A,FALSE,"CPFFMSTR";"PAGE2",#N/A,FALSE,"CPFFMSTR"}</definedName>
    <definedName name="JKHJ" localSheetId="9" hidden="1">{"PAGE1",#N/A,FALSE,"CPFFMSTR";"PAGE2",#N/A,FALSE,"CPFFMSTR"}</definedName>
    <definedName name="JKHJ" localSheetId="10" hidden="1">{"PAGE1",#N/A,FALSE,"CPFFMSTR";"PAGE2",#N/A,FALSE,"CPFFMSTR"}</definedName>
    <definedName name="JKHJ" localSheetId="11" hidden="1">{"PAGE1",#N/A,FALSE,"CPFFMSTR";"PAGE2",#N/A,FALSE,"CPFFMSTR"}</definedName>
    <definedName name="JKHJ" localSheetId="12" hidden="1">{"PAGE1",#N/A,FALSE,"CPFFMSTR";"PAGE2",#N/A,FALSE,"CPFFMSTR"}</definedName>
    <definedName name="JKHJ" localSheetId="4" hidden="1">{"PAGE1",#N/A,FALSE,"CPFFMSTR";"PAGE2",#N/A,FALSE,"CPFFMSTR"}</definedName>
    <definedName name="JKHJ" localSheetId="3" hidden="1">{"PAGE1",#N/A,FALSE,"CPFFMSTR";"PAGE2",#N/A,FALSE,"CPFFMSTR"}</definedName>
    <definedName name="JKHJ" localSheetId="13" hidden="1">{"PAGE1",#N/A,FALSE,"CPFFMSTR";"PAGE2",#N/A,FALSE,"CPFFMSTR"}</definedName>
    <definedName name="JKHJ" hidden="1">{"PAGE1",#N/A,FALSE,"CPFFMSTR";"PAGE2",#N/A,FALSE,"CPFFMSTR"}</definedName>
    <definedName name="kkk">'[9]Data-in process'!$C$3:$C$67</definedName>
    <definedName name="Labor">'[29]DAI Budget '!$A$12:$Y$63</definedName>
    <definedName name="Labor_Categories">#REF!</definedName>
    <definedName name="Labor_categories_and_levels">'[30]AMAP-MF'!$K$9:$K$33</definedName>
    <definedName name="Labor_category_and_level">'[31]AMAP-MF'!#REF!</definedName>
    <definedName name="Labor_Escalation">#REF!</definedName>
    <definedName name="Labor_Escalation_DPK">[32]Assumptions!$B$9</definedName>
    <definedName name="LABOR1">#N/A</definedName>
    <definedName name="LABOR2">#N/A</definedName>
    <definedName name="LBI">[16]Assumptions!$H$13</definedName>
    <definedName name="Lease" hidden="1">#REF!</definedName>
    <definedName name="lieclin4">#REF!</definedName>
    <definedName name="limaregion">[5]Parameters!$D$41</definedName>
    <definedName name="Local_Fringe">#REF!</definedName>
    <definedName name="Localclin1">#REF!</definedName>
    <definedName name="localclin2">#REF!</definedName>
    <definedName name="localclin3">#REF!</definedName>
    <definedName name="localfr">[5]Parameters!$D$11</definedName>
    <definedName name="localperdiem">#REF!</definedName>
    <definedName name="localsalinc">[12]Sheet1!$C$9</definedName>
    <definedName name="localsalincrease">#REF!</definedName>
    <definedName name="localsstpercent">[5]Parameters!$D$32</definedName>
    <definedName name="localsttrip">[5]Parameters!$D$33</definedName>
    <definedName name="localtravel">[16]Assumptions!$G$36:$J$46</definedName>
    <definedName name="localtripfactor">[12]Sheet1!$C$20</definedName>
    <definedName name="LOE">#N/A</definedName>
    <definedName name="lqa">[5]Parameters!$D$48</definedName>
    <definedName name="LQA2wf">[17]Parameters!$B$15</definedName>
    <definedName name="LRA">#REF!</definedName>
    <definedName name="ltlp">[7]Parameters!$A$128</definedName>
    <definedName name="ltlp1">[7]Parameters!$A$130</definedName>
    <definedName name="ltlp10">[7]Parameters!$A$139</definedName>
    <definedName name="ltlp10co">[7]Parameters!$G$139</definedName>
    <definedName name="ltlp10name">[7]Parameters!$C$139</definedName>
    <definedName name="ltlp10sal1">[7]Parameters!$E$139</definedName>
    <definedName name="ltlp11">[7]Parameters!$A$140</definedName>
    <definedName name="ltlp11co">[7]Parameters!$G$140</definedName>
    <definedName name="ltlp11name">[7]Parameters!$C$140</definedName>
    <definedName name="ltlp11sal1">[7]Parameters!$E$140</definedName>
    <definedName name="ltlp12">[7]Parameters!$A$141</definedName>
    <definedName name="ltlp12co">[7]Parameters!$G$141</definedName>
    <definedName name="ltlp12name">[7]Parameters!$C$141</definedName>
    <definedName name="ltlp12sal1">[7]Parameters!$E$141</definedName>
    <definedName name="ltlp13">[7]Parameters!$A$142</definedName>
    <definedName name="ltlp13co">[7]Parameters!$G$142</definedName>
    <definedName name="ltlp13name">[7]Parameters!$C$142</definedName>
    <definedName name="ltlp13sal1">[7]Parameters!$E$142</definedName>
    <definedName name="ltlp14">[7]Parameters!$A$143</definedName>
    <definedName name="ltlp14co">[7]Parameters!$G$143</definedName>
    <definedName name="ltlp14name">[7]Parameters!$C$143</definedName>
    <definedName name="ltlp14sal1">[7]Parameters!$E$143</definedName>
    <definedName name="ltlp15">[7]Parameters!$A$144</definedName>
    <definedName name="ltlp15co">[7]Parameters!$G$144</definedName>
    <definedName name="ltlp15name">[7]Parameters!$C$144</definedName>
    <definedName name="ltlp15sal1">[7]Parameters!$E$144</definedName>
    <definedName name="ltlp16">[7]Parameters!$A$145</definedName>
    <definedName name="ltlp16co">[7]Parameters!$G$145</definedName>
    <definedName name="ltlp16name">[7]Parameters!$C$145</definedName>
    <definedName name="ltlp16sal1">[7]Parameters!$E$145</definedName>
    <definedName name="ltlp17">[7]Parameters!$A$146</definedName>
    <definedName name="ltlp17co">[7]Parameters!$G$146</definedName>
    <definedName name="ltlp17name">[7]Parameters!$C$146</definedName>
    <definedName name="ltlp17sal1">[7]Parameters!$E$146</definedName>
    <definedName name="ltlp18">[7]Parameters!$A$147</definedName>
    <definedName name="ltlp18co">[7]Parameters!$G$147</definedName>
    <definedName name="ltlp18name">[7]Parameters!$C$147</definedName>
    <definedName name="ltlp18sal1">[7]Parameters!$E$147</definedName>
    <definedName name="ltlp19">[7]Parameters!$A$148</definedName>
    <definedName name="ltlp19co">[7]Parameters!$G$148</definedName>
    <definedName name="ltlp19name">[7]Parameters!$C$148</definedName>
    <definedName name="ltlp19sal1">[7]Parameters!$E$148</definedName>
    <definedName name="ltlp1co">[7]Parameters!$G$130</definedName>
    <definedName name="ltlp1name">[7]Parameters!$C$130</definedName>
    <definedName name="ltlp1sal1">[7]Parameters!$E$130</definedName>
    <definedName name="ltlp2">[7]Parameters!$A$131</definedName>
    <definedName name="ltlp20">[7]Parameters!$A$149</definedName>
    <definedName name="ltlp20co">[7]Parameters!$G$149</definedName>
    <definedName name="ltlp20name">[7]Parameters!$C$149</definedName>
    <definedName name="ltlp20sal1">[7]Parameters!$E$149</definedName>
    <definedName name="ltlp21">[7]Parameters!$A$150</definedName>
    <definedName name="ltlp21co">[7]Parameters!$G$150</definedName>
    <definedName name="ltlp21name">[7]Parameters!$C$150</definedName>
    <definedName name="ltlp21sal1">[7]Parameters!$E$150</definedName>
    <definedName name="ltlp22">[7]Parameters!$A$151</definedName>
    <definedName name="ltlp22co">[7]Parameters!$G$151</definedName>
    <definedName name="ltlp22name">[7]Parameters!$C$151</definedName>
    <definedName name="ltlp22sal1">[7]Parameters!$E$151</definedName>
    <definedName name="ltlp23">[7]Parameters!$A$152</definedName>
    <definedName name="ltlp23co">[7]Parameters!$G$152</definedName>
    <definedName name="ltlp23name">[7]Parameters!$C$152</definedName>
    <definedName name="ltlp23sal1">[7]Parameters!$E$152</definedName>
    <definedName name="ltlp24">[7]Parameters!$A$153</definedName>
    <definedName name="ltlp24co">[7]Parameters!$G$153</definedName>
    <definedName name="ltlp24name">[7]Parameters!$C$153</definedName>
    <definedName name="ltlp24sal1">[7]Parameters!$E$153</definedName>
    <definedName name="ltlp25">[7]Parameters!$A$154</definedName>
    <definedName name="ltlp26">[7]Parameters!$A$155</definedName>
    <definedName name="ltlp27">[7]Parameters!$A$156</definedName>
    <definedName name="ltlp28">[7]Parameters!$A$157</definedName>
    <definedName name="ltlp29">[7]Parameters!$A$158</definedName>
    <definedName name="ltlp2co">[7]Parameters!$G$131</definedName>
    <definedName name="ltlp2name">[7]Parameters!$C$131</definedName>
    <definedName name="ltlp2sal1">[7]Parameters!$E$131</definedName>
    <definedName name="ltlp3">[7]Parameters!$A$132</definedName>
    <definedName name="ltlp30">[7]Parameters!$A$159</definedName>
    <definedName name="ltlp31">[7]Parameters!$A$160</definedName>
    <definedName name="ltlp32">[7]Parameters!$A$161</definedName>
    <definedName name="ltlp33">[7]Parameters!$A$162</definedName>
    <definedName name="ltlp34">[7]Parameters!$A$163</definedName>
    <definedName name="ltlp35">[7]Parameters!$A$164</definedName>
    <definedName name="ltlp36">[7]Parameters!$A$165</definedName>
    <definedName name="ltlp37">[7]Parameters!$A$166</definedName>
    <definedName name="ltlp38">[7]Parameters!$A$167</definedName>
    <definedName name="ltlp39">[7]Parameters!$A$168</definedName>
    <definedName name="ltlp3co">[7]Parameters!$G$132</definedName>
    <definedName name="ltlp3name">[7]Parameters!$C$132</definedName>
    <definedName name="ltlp3sal1">[7]Parameters!$E$132</definedName>
    <definedName name="ltlp4">[7]Parameters!$A$133</definedName>
    <definedName name="ltlp40">[7]Parameters!$A$169</definedName>
    <definedName name="ltlp41">[7]Parameters!$A$170</definedName>
    <definedName name="ltlp42">[7]Parameters!$A$171</definedName>
    <definedName name="ltlp43">[7]Parameters!$A$172</definedName>
    <definedName name="ltlp44">[7]Parameters!$A$173</definedName>
    <definedName name="ltlp45">[7]Parameters!$A$174</definedName>
    <definedName name="ltlp46">[7]Parameters!$A$175</definedName>
    <definedName name="ltlp47">[7]Parameters!$A$176</definedName>
    <definedName name="ltlp48">[7]Parameters!$A$177</definedName>
    <definedName name="ltlp49">[7]Parameters!$A$178</definedName>
    <definedName name="ltlp4co">[7]Parameters!$G$133</definedName>
    <definedName name="ltlp4name">[7]Parameters!$C$133</definedName>
    <definedName name="ltlp4sal1">[7]Parameters!$E$133</definedName>
    <definedName name="ltlp5">[7]Parameters!$A$134</definedName>
    <definedName name="ltlp50">[7]Parameters!$A$179</definedName>
    <definedName name="ltlp51">[7]Parameters!$A$180</definedName>
    <definedName name="ltlp52">[7]Parameters!$A$181</definedName>
    <definedName name="ltlp53">[7]Parameters!$A$182</definedName>
    <definedName name="ltlp54">[7]Parameters!$A$183</definedName>
    <definedName name="ltlp55">[7]Parameters!$A$184</definedName>
    <definedName name="ltlp56">[7]Parameters!$A$185</definedName>
    <definedName name="ltlp57">[7]Parameters!$A$186</definedName>
    <definedName name="ltlp58">[7]Parameters!$A$187</definedName>
    <definedName name="ltlp59">[7]Parameters!$A$188</definedName>
    <definedName name="ltlp5co">[7]Parameters!$G$134</definedName>
    <definedName name="ltlp5name">[7]Parameters!$C$134</definedName>
    <definedName name="ltlp5sal1">[7]Parameters!$E$134</definedName>
    <definedName name="ltlp6">[7]Parameters!$A$135</definedName>
    <definedName name="ltlp60">[7]Parameters!$A$189</definedName>
    <definedName name="ltlp61">[7]Parameters!$A$190</definedName>
    <definedName name="ltlp62">[7]Parameters!$A$191</definedName>
    <definedName name="ltlp63">[7]Parameters!$A$192</definedName>
    <definedName name="ltlp64">[7]Parameters!$A$193</definedName>
    <definedName name="ltlp65">[7]Parameters!$A$194</definedName>
    <definedName name="ltlp66">[7]Parameters!$A$195</definedName>
    <definedName name="ltlp67">[7]Parameters!$A$196</definedName>
    <definedName name="ltlp68">[7]Parameters!$A$197</definedName>
    <definedName name="ltlp69">[7]Parameters!$A$198</definedName>
    <definedName name="ltlp6co">[7]Parameters!$G$135</definedName>
    <definedName name="ltlp6name">[7]Parameters!$C$135</definedName>
    <definedName name="ltlp6sal1">[7]Parameters!$E$135</definedName>
    <definedName name="ltlp7">[7]Parameters!$A$136</definedName>
    <definedName name="ltlp70">[7]Parameters!$A$199</definedName>
    <definedName name="ltlp71">[7]Parameters!$A$200</definedName>
    <definedName name="ltlp72">[7]Parameters!$A$201</definedName>
    <definedName name="ltlp73">[7]Parameters!$A$202</definedName>
    <definedName name="ltlp74">[7]Parameters!$A$203</definedName>
    <definedName name="ltlp75">[7]Parameters!$A$204</definedName>
    <definedName name="ltlp76">[7]Parameters!$A$205</definedName>
    <definedName name="ltlp7co">[7]Parameters!$G$136</definedName>
    <definedName name="ltlp7name">[7]Parameters!$C$136</definedName>
    <definedName name="ltlp7sal1">[7]Parameters!$E$136</definedName>
    <definedName name="ltlp8">[7]Parameters!$A$137</definedName>
    <definedName name="ltlp8co">[7]Parameters!$G$137</definedName>
    <definedName name="ltlp8name">[7]Parameters!$C$137</definedName>
    <definedName name="ltlp8sal1">[7]Parameters!$E$137</definedName>
    <definedName name="ltlp9">[7]Parameters!$A$138</definedName>
    <definedName name="ltlp9co">[7]Parameters!$G$138</definedName>
    <definedName name="ltlp9name">[7]Parameters!$C$138</definedName>
    <definedName name="ltlp9sal1">[7]Parameters!$E$138</definedName>
    <definedName name="ltlpco25">[7]Parameters!$G$154</definedName>
    <definedName name="ltlpco26">[7]Parameters!$G$155</definedName>
    <definedName name="ltlpco27">[7]Parameters!$G$156</definedName>
    <definedName name="ltlpco28">[7]Parameters!$G$157</definedName>
    <definedName name="ltlpco29">[7]Parameters!$G$158</definedName>
    <definedName name="ltlpco30">[7]Parameters!$G$159</definedName>
    <definedName name="ltlpco31">[7]Parameters!$G$160</definedName>
    <definedName name="ltlpco32">[7]Parameters!$G$161</definedName>
    <definedName name="ltlpco33">[7]Parameters!$G$162</definedName>
    <definedName name="ltlpco34">[7]Parameters!$G$163</definedName>
    <definedName name="ltlpco35">[7]Parameters!$G$164</definedName>
    <definedName name="ltlpco36">[7]Parameters!$G$165</definedName>
    <definedName name="ltlpco37">[7]Parameters!$G$166</definedName>
    <definedName name="ltlpco38">[7]Parameters!$G$167</definedName>
    <definedName name="ltlpco39">[7]Parameters!$G$168</definedName>
    <definedName name="ltlpco40">[7]Parameters!$G$169</definedName>
    <definedName name="ltlpco41">[7]Parameters!$G$170</definedName>
    <definedName name="ltlpco42">[7]Parameters!$G$171</definedName>
    <definedName name="ltlpco43">[7]Parameters!$G$172</definedName>
    <definedName name="ltlpco44">[7]Parameters!$G$173</definedName>
    <definedName name="ltlpco45">[7]Parameters!$G$174</definedName>
    <definedName name="ltlpco46">[7]Parameters!$G$175</definedName>
    <definedName name="ltlpco47">[7]Parameters!$G$176</definedName>
    <definedName name="ltlpco48">[7]Parameters!$G$177</definedName>
    <definedName name="ltlpco49">[7]Parameters!$G$178</definedName>
    <definedName name="ltlpco50">[7]Parameters!$G$179</definedName>
    <definedName name="ltlpco51">[7]Parameters!$G$180</definedName>
    <definedName name="ltlpco52">[7]Parameters!$G$181</definedName>
    <definedName name="ltlpco53">[7]Parameters!$G$182</definedName>
    <definedName name="ltlpco54">[7]Parameters!$G$183</definedName>
    <definedName name="ltlpco55">[7]Parameters!$G$184</definedName>
    <definedName name="ltlpco56">[7]Parameters!$G$185</definedName>
    <definedName name="ltlpco57">[7]Parameters!$G$186</definedName>
    <definedName name="ltlpco58">[7]Parameters!$G$187</definedName>
    <definedName name="ltlpco59">[7]Parameters!$G$188</definedName>
    <definedName name="ltlpco60">[7]Parameters!$G$189</definedName>
    <definedName name="ltlpco61">[7]Parameters!$G$190</definedName>
    <definedName name="ltlpco62">[7]Parameters!$G$191</definedName>
    <definedName name="ltlpco63">[7]Parameters!$G$192</definedName>
    <definedName name="ltlpco64">[7]Parameters!$G$193</definedName>
    <definedName name="ltlpco65">[7]Parameters!$G$194</definedName>
    <definedName name="ltlpco66">[7]Parameters!$G$195</definedName>
    <definedName name="ltlpco67">[7]Parameters!$G$196</definedName>
    <definedName name="ltlpco68">[7]Parameters!$G$197</definedName>
    <definedName name="ltlpco69">[7]Parameters!$G$198</definedName>
    <definedName name="ltlpco70">[7]Parameters!$G$199</definedName>
    <definedName name="ltlpco71">[7]Parameters!$G$200</definedName>
    <definedName name="ltlpco72">[7]Parameters!$G$201</definedName>
    <definedName name="ltlpco73">[7]Parameters!$G$202</definedName>
    <definedName name="ltlpco74">[7]Parameters!$G$203</definedName>
    <definedName name="ltlpco75">[7]Parameters!$G$204</definedName>
    <definedName name="ltlpjob1">[7]Parameters!$I$130</definedName>
    <definedName name="ltlpjob10">[7]Parameters!$I$139</definedName>
    <definedName name="ltlpjob11">[7]Parameters!$I$140</definedName>
    <definedName name="ltlpjob12">[7]Parameters!$I$141</definedName>
    <definedName name="ltlpjob13">[7]Parameters!$I$142</definedName>
    <definedName name="ltlpjob14">[7]Parameters!$I$143</definedName>
    <definedName name="ltlpjob15">[7]Parameters!$I$144</definedName>
    <definedName name="ltlpjob16">[7]Parameters!$I$145</definedName>
    <definedName name="ltlpjob17">[7]Parameters!$I$146</definedName>
    <definedName name="ltlpjob18">[7]Parameters!$I$147</definedName>
    <definedName name="ltlpjob19">[7]Parameters!$I$148</definedName>
    <definedName name="ltlpjob2">[7]Parameters!$I$131</definedName>
    <definedName name="ltlpjob20">[7]Parameters!$I$149</definedName>
    <definedName name="ltlpjob21">[7]Parameters!$I$150</definedName>
    <definedName name="ltlpjob22">[7]Parameters!$I$151</definedName>
    <definedName name="ltlpjob23">[7]Parameters!$I$152</definedName>
    <definedName name="ltlpjob24">[7]Parameters!$I$153</definedName>
    <definedName name="ltlpjob25">[7]Parameters!$I$154</definedName>
    <definedName name="ltlpjob26">[7]Parameters!$I$155</definedName>
    <definedName name="ltlpjob27">[7]Parameters!$I$156</definedName>
    <definedName name="ltlpjob28">[7]Parameters!$I$157</definedName>
    <definedName name="ltlpjob29">[7]Parameters!$I$158</definedName>
    <definedName name="ltlpjob3">[7]Parameters!$I$132</definedName>
    <definedName name="ltlpjob30">[7]Parameters!$I$159</definedName>
    <definedName name="ltlpjob31">[7]Parameters!$I$160</definedName>
    <definedName name="ltlpjob32">[7]Parameters!$I$161</definedName>
    <definedName name="ltlpjob33">[7]Parameters!$I$162</definedName>
    <definedName name="ltlpjob34">[7]Parameters!$I$163</definedName>
    <definedName name="ltlpjob35">[7]Parameters!$I$164</definedName>
    <definedName name="ltlpjob36">[7]Parameters!$I$165</definedName>
    <definedName name="ltlpjob37">[7]Parameters!$I$166</definedName>
    <definedName name="ltlpjob38">[7]Parameters!$I$167</definedName>
    <definedName name="ltlpjob39">[7]Parameters!$I$168</definedName>
    <definedName name="ltlpjob4">[7]Parameters!$I$133</definedName>
    <definedName name="ltlpjob40">[7]Parameters!$I$169</definedName>
    <definedName name="ltlpjob41">[7]Parameters!$I$170</definedName>
    <definedName name="ltlpjob42">[7]Parameters!$I$171</definedName>
    <definedName name="ltlpjob43">[7]Parameters!$I$172</definedName>
    <definedName name="ltlpjob44">[7]Parameters!$I$173</definedName>
    <definedName name="ltlpjob45">[7]Parameters!$I$174</definedName>
    <definedName name="ltlpjob46">[7]Parameters!$I$175</definedName>
    <definedName name="ltlpjob47">[7]Parameters!$I$176</definedName>
    <definedName name="ltlpjob48">[7]Parameters!$I$177</definedName>
    <definedName name="ltlpjob49">[7]Parameters!$I$178</definedName>
    <definedName name="ltlpjob5">[7]Parameters!$I$134</definedName>
    <definedName name="ltlpjob50">[7]Parameters!$I$179</definedName>
    <definedName name="ltlpjob51">[7]Parameters!$I$180</definedName>
    <definedName name="ltlpjob52">[7]Parameters!$I$181</definedName>
    <definedName name="ltlpjob53">[7]Parameters!$I$182</definedName>
    <definedName name="ltlpjob54">[7]Parameters!$I$183</definedName>
    <definedName name="ltlpjob55">[7]Parameters!$I$184</definedName>
    <definedName name="ltlpjob56">[7]Parameters!$I$185</definedName>
    <definedName name="ltlpjob57">[7]Parameters!$I$186</definedName>
    <definedName name="ltlpjob58">[7]Parameters!$I$187</definedName>
    <definedName name="ltlpjob59">[7]Parameters!$I$188</definedName>
    <definedName name="ltlpjob6">[7]Parameters!$I$135</definedName>
    <definedName name="ltlpjob60">[7]Parameters!$I$189</definedName>
    <definedName name="ltlpjob61">[7]Parameters!$I$190</definedName>
    <definedName name="ltlpjob62">[7]Parameters!$I$191</definedName>
    <definedName name="ltlpjob63">[7]Parameters!$I$192</definedName>
    <definedName name="ltlpjob64">[7]Parameters!$I$193</definedName>
    <definedName name="ltlpjob65">[7]Parameters!$I$194</definedName>
    <definedName name="ltlpjob66">[7]Parameters!$I$195</definedName>
    <definedName name="ltlpjob67">[7]Parameters!$I$196</definedName>
    <definedName name="ltlpjob68">[7]Parameters!$I$197</definedName>
    <definedName name="ltlpjob69">[7]Parameters!$I$198</definedName>
    <definedName name="ltlpjob7">[7]Parameters!$I$136</definedName>
    <definedName name="ltlpjob70">[7]Parameters!$I$199</definedName>
    <definedName name="ltlpjob71">[7]Parameters!$I$200</definedName>
    <definedName name="ltlpjob72">[7]Parameters!$I$201</definedName>
    <definedName name="ltlpjob73">[7]Parameters!$I$202</definedName>
    <definedName name="ltlpjob74">[7]Parameters!$I$203</definedName>
    <definedName name="ltlpjob75">[7]Parameters!$I$204</definedName>
    <definedName name="ltlpjob8">[7]Parameters!$I$137</definedName>
    <definedName name="ltlpjob9">[7]Parameters!$I$138</definedName>
    <definedName name="ltlpname25">[7]Parameters!$C$154</definedName>
    <definedName name="ltlpname26">[7]Parameters!$C$155</definedName>
    <definedName name="ltlpname27">[7]Parameters!$C$156</definedName>
    <definedName name="ltlpname28">[7]Parameters!$C$157</definedName>
    <definedName name="ltlpname29">[7]Parameters!$C$158</definedName>
    <definedName name="ltlpname30">[7]Parameters!$C$159</definedName>
    <definedName name="ltlpname31">[7]Parameters!$C$160</definedName>
    <definedName name="ltlpname32">[7]Parameters!$C$161</definedName>
    <definedName name="ltlpname33">[7]Parameters!$C$162</definedName>
    <definedName name="ltlpname34">[7]Parameters!$C$163</definedName>
    <definedName name="ltlpname35">[7]Parameters!$C$164</definedName>
    <definedName name="ltlpname36">[7]Parameters!$C$165</definedName>
    <definedName name="ltlpname37">[7]Parameters!$C$166</definedName>
    <definedName name="ltlpname38">[7]Parameters!$C$167</definedName>
    <definedName name="ltlpname39">[7]Parameters!$C$168</definedName>
    <definedName name="ltlpname40">[7]Parameters!$C$169</definedName>
    <definedName name="ltlpname41">[7]Parameters!$C$170</definedName>
    <definedName name="ltlpname42">[7]Parameters!$C$171</definedName>
    <definedName name="ltlpname43">[7]Parameters!$C$172</definedName>
    <definedName name="ltlpname44">[7]Parameters!$C$173</definedName>
    <definedName name="ltlpname45">[7]Parameters!$C$174</definedName>
    <definedName name="ltlpname46">[7]Parameters!$C$175</definedName>
    <definedName name="ltlpname47">[7]Parameters!$C$176</definedName>
    <definedName name="ltlpname48">[7]Parameters!$C$177</definedName>
    <definedName name="ltlpname49">[7]Parameters!$C$178</definedName>
    <definedName name="ltlpname50">[7]Parameters!$C$179</definedName>
    <definedName name="ltlpname51">[7]Parameters!$C$180</definedName>
    <definedName name="ltlpname52">[7]Parameters!$C$181</definedName>
    <definedName name="ltlpname53">[7]Parameters!$C$182</definedName>
    <definedName name="ltlpname54">[7]Parameters!$C$183</definedName>
    <definedName name="ltlpname55">[7]Parameters!$C$184</definedName>
    <definedName name="ltlpname56">[7]Parameters!$C$185</definedName>
    <definedName name="ltlpname57">[7]Parameters!$C$186</definedName>
    <definedName name="ltlpname58">[7]Parameters!$C$187</definedName>
    <definedName name="ltlpname59">[7]Parameters!$C$188</definedName>
    <definedName name="ltlpname60">[7]Parameters!$C$189</definedName>
    <definedName name="ltlpname61">[7]Parameters!$C$190</definedName>
    <definedName name="ltlpname62">[7]Parameters!$C$191</definedName>
    <definedName name="ltlpname63">[7]Parameters!$C$192</definedName>
    <definedName name="ltlpname64">[7]Parameters!$C$193</definedName>
    <definedName name="ltlpname65">[7]Parameters!$C$194</definedName>
    <definedName name="ltlpname66">[7]Parameters!$C$195</definedName>
    <definedName name="ltlpname67">[7]Parameters!$C$196</definedName>
    <definedName name="ltlpname68">[7]Parameters!$C$197</definedName>
    <definedName name="ltlpname69">[7]Parameters!$C$198</definedName>
    <definedName name="ltlpname70">[7]Parameters!$C$199</definedName>
    <definedName name="ltlpname71">[7]Parameters!$C$200</definedName>
    <definedName name="ltlpname72">[7]Parameters!$C$201</definedName>
    <definedName name="ltlpname73">[7]Parameters!$C$202</definedName>
    <definedName name="ltlpname74">[7]Parameters!$C$203</definedName>
    <definedName name="ltlpname75">[7]Parameters!$C$204</definedName>
    <definedName name="ltlpsal25">[7]Parameters!$E$154</definedName>
    <definedName name="ltlpsal26">[7]Parameters!$E$155</definedName>
    <definedName name="ltlpsal27">[7]Parameters!$E$156</definedName>
    <definedName name="ltlpsal28">[7]Parameters!$E$157</definedName>
    <definedName name="ltlpsal29">[7]Parameters!$E$158</definedName>
    <definedName name="ltlpsal30">[7]Parameters!$E$159</definedName>
    <definedName name="ltlpsal31">[7]Parameters!$E$160</definedName>
    <definedName name="ltlpsal32">[7]Parameters!$E$161</definedName>
    <definedName name="ltlpsal33">[7]Parameters!$E$162</definedName>
    <definedName name="ltlpsal34">[7]Parameters!$E$163</definedName>
    <definedName name="ltlpsal35">[7]Parameters!$E$164</definedName>
    <definedName name="ltlpsal36">[7]Parameters!$E$165</definedName>
    <definedName name="ltlpsal37">[7]Parameters!$E$166</definedName>
    <definedName name="ltlpsal38">[7]Parameters!$E$167</definedName>
    <definedName name="ltlpsal39">[7]Parameters!$E$168</definedName>
    <definedName name="ltlpsal40">[7]Parameters!$E$169</definedName>
    <definedName name="ltlpsal41">[7]Parameters!$E$170</definedName>
    <definedName name="ltlpsal42">[7]Parameters!$E$171</definedName>
    <definedName name="ltlpsal43">[7]Parameters!$E$172</definedName>
    <definedName name="ltlpsal44">[7]Parameters!$E$173</definedName>
    <definedName name="ltlpsal45">[7]Parameters!$E$174</definedName>
    <definedName name="ltlpsal46">[7]Parameters!$E$175</definedName>
    <definedName name="ltlpsal47">[7]Parameters!$E$176</definedName>
    <definedName name="ltlpsal48">[7]Parameters!$E$177</definedName>
    <definedName name="ltlpsal49">[7]Parameters!$E$178</definedName>
    <definedName name="ltlpsal50">[7]Parameters!$E$179</definedName>
    <definedName name="ltlpsal51">[7]Parameters!$E$180</definedName>
    <definedName name="ltlpsal52">[7]Parameters!$E$181</definedName>
    <definedName name="ltlpsal53">[7]Parameters!$E$182</definedName>
    <definedName name="ltlpsal54">[7]Parameters!$E$183</definedName>
    <definedName name="ltlpsal55">[7]Parameters!$E$184</definedName>
    <definedName name="ltlpsal56">[7]Parameters!$E$185</definedName>
    <definedName name="ltlpsal57">[7]Parameters!$E$186</definedName>
    <definedName name="ltlpsal58">[7]Parameters!$E$187</definedName>
    <definedName name="ltlpsal59">[7]Parameters!$E$188</definedName>
    <definedName name="ltlpsal60">[7]Parameters!$E$189</definedName>
    <definedName name="ltlpsal61">[7]Parameters!$E$190</definedName>
    <definedName name="ltlpsal62">[7]Parameters!$E$191</definedName>
    <definedName name="ltlpsal63">[7]Parameters!$E$192</definedName>
    <definedName name="ltlpsal64">[7]Parameters!$E$193</definedName>
    <definedName name="ltlpsal65">[7]Parameters!$E$194</definedName>
    <definedName name="ltlpsal66">[7]Parameters!$E$195</definedName>
    <definedName name="ltlpsal67">[7]Parameters!$E$196</definedName>
    <definedName name="ltlpsal68">[7]Parameters!$E$197</definedName>
    <definedName name="ltlpsal69">[7]Parameters!$E$198</definedName>
    <definedName name="ltlpsal70">[7]Parameters!$E$199</definedName>
    <definedName name="ltlpsal71">[7]Parameters!$E$200</definedName>
    <definedName name="ltlpsal72">[7]Parameters!$E$201</definedName>
    <definedName name="ltlpsal73">[7]Parameters!$E$202</definedName>
    <definedName name="ltlpsal74">[7]Parameters!$E$203</definedName>
    <definedName name="ltlpsal75">[7]Parameters!$E$204</definedName>
    <definedName name="ltls">[7]Parameters!$A$376</definedName>
    <definedName name="ltls1">[7]Parameters!$A$378</definedName>
    <definedName name="ltls10">[7]Parameters!$A$387</definedName>
    <definedName name="ltls10co">[7]Parameters!$G$387</definedName>
    <definedName name="ltls10name">[7]Parameters!$C$387</definedName>
    <definedName name="ltls10sal1">[7]Parameters!$E$387</definedName>
    <definedName name="ltls11">[7]Parameters!$A$388</definedName>
    <definedName name="ltls11co">[7]Parameters!$G$388</definedName>
    <definedName name="ltls11name">[7]Parameters!$C$388</definedName>
    <definedName name="ltls11sal1">[7]Parameters!$E$388</definedName>
    <definedName name="ltls12">[7]Parameters!$A$389</definedName>
    <definedName name="ltls12co">[7]Parameters!$G$389</definedName>
    <definedName name="ltls12name">[7]Parameters!$C$389</definedName>
    <definedName name="ltls12sal1">[7]Parameters!$E$389</definedName>
    <definedName name="ltls13">[7]Parameters!$A$390</definedName>
    <definedName name="ltls13co">[7]Parameters!$G$390</definedName>
    <definedName name="ltls13name">[7]Parameters!$C$390</definedName>
    <definedName name="ltls13sal1">[7]Parameters!$E$390</definedName>
    <definedName name="ltls14">[7]Parameters!$A$391</definedName>
    <definedName name="ltls14co">[7]Parameters!$G$391</definedName>
    <definedName name="ltls14name">[7]Parameters!$C$391</definedName>
    <definedName name="ltls14sal1">[7]Parameters!$E$391</definedName>
    <definedName name="ltls15">[7]Parameters!$A$392</definedName>
    <definedName name="ltls16">[7]Parameters!$A$393</definedName>
    <definedName name="ltls17">[7]Parameters!$A$394</definedName>
    <definedName name="ltls18">[7]Parameters!$A$395</definedName>
    <definedName name="ltls19">[7]Parameters!$A$396</definedName>
    <definedName name="ltls1co">[7]Parameters!$G$378</definedName>
    <definedName name="ltls1name">[7]Parameters!$C$378</definedName>
    <definedName name="ltls1sal1">[7]Parameters!$E$378</definedName>
    <definedName name="ltls2">[7]Parameters!$A$379</definedName>
    <definedName name="ltls20">[7]Parameters!$A$397</definedName>
    <definedName name="ltls21">[7]Parameters!$A$398</definedName>
    <definedName name="ltls22">[7]Parameters!$A$399</definedName>
    <definedName name="ltls23">[7]Parameters!$A$400</definedName>
    <definedName name="ltls24">[7]Parameters!$A$401</definedName>
    <definedName name="ltls25">[7]Parameters!$A$402</definedName>
    <definedName name="ltls26">[7]Parameters!$A$403</definedName>
    <definedName name="ltls27">[7]Parameters!$A$404</definedName>
    <definedName name="ltls28">[7]Parameters!$A$405</definedName>
    <definedName name="ltls29">[7]Parameters!$A$406</definedName>
    <definedName name="ltls2co">[7]Parameters!$G$379</definedName>
    <definedName name="ltls2name">[7]Parameters!$C$379</definedName>
    <definedName name="ltls2sal1">[7]Parameters!$E$379</definedName>
    <definedName name="ltls3">[7]Parameters!$A$380</definedName>
    <definedName name="ltls30">[7]Parameters!$A$407</definedName>
    <definedName name="ltls31">[7]Parameters!$A$408</definedName>
    <definedName name="ltls32">[7]Parameters!$A$409</definedName>
    <definedName name="ltls33">[7]Parameters!$A$410</definedName>
    <definedName name="ltls34">[7]Parameters!$A$411</definedName>
    <definedName name="ltls35">[7]Parameters!$A$412</definedName>
    <definedName name="ltls36">[7]Parameters!$A$413</definedName>
    <definedName name="ltls37">[7]Parameters!$A$414</definedName>
    <definedName name="ltls38">[7]Parameters!$A$415</definedName>
    <definedName name="ltls39">[7]Parameters!$A$416</definedName>
    <definedName name="ltls3co">[7]Parameters!$G$380</definedName>
    <definedName name="ltls3name">[7]Parameters!$C$380</definedName>
    <definedName name="ltls3sal1">[7]Parameters!$E$380</definedName>
    <definedName name="ltls4">[7]Parameters!$A$381</definedName>
    <definedName name="ltls40">[7]Parameters!$A$417</definedName>
    <definedName name="ltls41">[7]Parameters!$A$418</definedName>
    <definedName name="ltls42">[7]Parameters!$A$419</definedName>
    <definedName name="ltls43">[7]Parameters!$A$420</definedName>
    <definedName name="ltls44">[7]Parameters!$A$421</definedName>
    <definedName name="ltls45">[7]Parameters!$A$422</definedName>
    <definedName name="ltls46">[7]Parameters!$A$423</definedName>
    <definedName name="ltls47">[7]Parameters!$A$424</definedName>
    <definedName name="ltls48">[7]Parameters!$A$425</definedName>
    <definedName name="ltls49">[7]Parameters!$A$426</definedName>
    <definedName name="ltls4co">[7]Parameters!$G$381</definedName>
    <definedName name="ltls4name">[7]Parameters!$C$381</definedName>
    <definedName name="ltls4sal1">[7]Parameters!$E$381</definedName>
    <definedName name="ltls5">[7]Parameters!$A$382</definedName>
    <definedName name="ltls50">[7]Parameters!$A$427</definedName>
    <definedName name="ltls51">[7]Parameters!$A$428</definedName>
    <definedName name="ltls52">[7]Parameters!$A$429</definedName>
    <definedName name="ltls5co">[7]Parameters!$G$382</definedName>
    <definedName name="ltls5name">[7]Parameters!$C$382</definedName>
    <definedName name="ltls5sal1">[7]Parameters!$E$382</definedName>
    <definedName name="ltls6">[7]Parameters!$A$383</definedName>
    <definedName name="ltls6co">[7]Parameters!$G$383</definedName>
    <definedName name="ltls6name">[7]Parameters!$C$383</definedName>
    <definedName name="ltls6sal1">[7]Parameters!$E$383</definedName>
    <definedName name="ltls7">[7]Parameters!$A$384</definedName>
    <definedName name="ltls7co">[7]Parameters!$G$384</definedName>
    <definedName name="ltls7name">[7]Parameters!$C$384</definedName>
    <definedName name="ltls7sal1">[7]Parameters!$E$384</definedName>
    <definedName name="ltls8">[7]Parameters!$A$385</definedName>
    <definedName name="ltls8co">[7]Parameters!$G$385</definedName>
    <definedName name="ltls8name">[7]Parameters!$C$385</definedName>
    <definedName name="ltls8sal1">[7]Parameters!$E$385</definedName>
    <definedName name="ltls9">[7]Parameters!$A$386</definedName>
    <definedName name="ltls9co">[7]Parameters!$G$386</definedName>
    <definedName name="ltls9name">[7]Parameters!$C$386</definedName>
    <definedName name="ltls9sal1">[7]Parameters!$E$386</definedName>
    <definedName name="ltlsco15">[7]Parameters!$G$392</definedName>
    <definedName name="ltlsco16">[7]Parameters!$G$393</definedName>
    <definedName name="ltlsco17">[7]Parameters!$G$394</definedName>
    <definedName name="ltlsco18">[7]Parameters!$G$395</definedName>
    <definedName name="ltlsco19">[7]Parameters!$G$396</definedName>
    <definedName name="ltlsco20">[7]Parameters!$G$397</definedName>
    <definedName name="ltlsco21">[7]Parameters!$G$398</definedName>
    <definedName name="ltlsco22">[7]Parameters!$G$399</definedName>
    <definedName name="ltlsco23">[7]Parameters!$G$400</definedName>
    <definedName name="ltlsco24">[7]Parameters!$G$401</definedName>
    <definedName name="ltlsco25">[7]Parameters!$G$402</definedName>
    <definedName name="ltlsco26">[7]Parameters!$G$403</definedName>
    <definedName name="ltlsco27">[7]Parameters!$G$404</definedName>
    <definedName name="ltlsco28">[7]Parameters!$G$405</definedName>
    <definedName name="ltlsco29">[7]Parameters!$G$406</definedName>
    <definedName name="ltlsco30">[7]Parameters!$G$407</definedName>
    <definedName name="ltlsco31">[7]Parameters!$G$408</definedName>
    <definedName name="ltlsco32">[7]Parameters!$G$409</definedName>
    <definedName name="ltlsco33">[7]Parameters!$G$410</definedName>
    <definedName name="ltlsco34">[7]Parameters!$G$411</definedName>
    <definedName name="ltlsco35">[7]Parameters!$G$412</definedName>
    <definedName name="ltlsco36">[7]Parameters!$G$413</definedName>
    <definedName name="ltlsco37">[7]Parameters!$G$414</definedName>
    <definedName name="ltlsco38">[7]Parameters!$G$415</definedName>
    <definedName name="ltlsco39">[7]Parameters!$G$416</definedName>
    <definedName name="ltlsco40">[7]Parameters!$G$417</definedName>
    <definedName name="ltlsco41">[7]Parameters!$G$418</definedName>
    <definedName name="ltlsco42">[7]Parameters!$G$419</definedName>
    <definedName name="ltlsco43">[7]Parameters!$G$420</definedName>
    <definedName name="ltlsco44">[7]Parameters!$G$421</definedName>
    <definedName name="ltlsco45">[7]Parameters!$G$422</definedName>
    <definedName name="ltlsco46">[7]Parameters!$G$423</definedName>
    <definedName name="ltlsco47">[7]Parameters!$G$424</definedName>
    <definedName name="ltlsco48">[7]Parameters!$G$425</definedName>
    <definedName name="ltlsco49">[7]Parameters!$G$426</definedName>
    <definedName name="ltlsco50">[7]Parameters!$G$427</definedName>
    <definedName name="ltlsco51">[7]Parameters!$G$428</definedName>
    <definedName name="ltlsjob1">[7]Parameters!$I$378</definedName>
    <definedName name="ltlsjob10">[7]Parameters!$I$387</definedName>
    <definedName name="ltlsjob11">[7]Parameters!$I$388</definedName>
    <definedName name="ltlsjob12">[7]Parameters!$I$389</definedName>
    <definedName name="ltlsjob13">[7]Parameters!$I$390</definedName>
    <definedName name="ltlsjob14">[7]Parameters!$I$391</definedName>
    <definedName name="ltlsjob15">[7]Parameters!$I$392</definedName>
    <definedName name="ltlsjob16">[7]Parameters!$I$393</definedName>
    <definedName name="ltlsjob17">[7]Parameters!$I$394</definedName>
    <definedName name="ltlsjob18">[7]Parameters!$I$395</definedName>
    <definedName name="ltlsjob19">[7]Parameters!$I$396</definedName>
    <definedName name="ltlsjob2">[7]Parameters!$I$379</definedName>
    <definedName name="ltlsjob20">[7]Parameters!$I$397</definedName>
    <definedName name="ltlsjob21">[7]Parameters!$I$398</definedName>
    <definedName name="ltlsjob22">[7]Parameters!$I$399</definedName>
    <definedName name="ltlsjob23">[7]Parameters!$I$400</definedName>
    <definedName name="ltlsjob24">[7]Parameters!$I$401</definedName>
    <definedName name="ltlsjob25">[7]Parameters!$I$402</definedName>
    <definedName name="ltlsjob26">[7]Parameters!$I$403</definedName>
    <definedName name="ltlsjob27">[7]Parameters!$I$404</definedName>
    <definedName name="ltlsjob28">[7]Parameters!$I$405</definedName>
    <definedName name="ltlsjob29">[7]Parameters!$I$406</definedName>
    <definedName name="ltlsjob3">[7]Parameters!$I$380</definedName>
    <definedName name="ltlsjob30">[7]Parameters!$I$407</definedName>
    <definedName name="ltlsjob31">[7]Parameters!$I$408</definedName>
    <definedName name="ltlsjob32">[7]Parameters!$I$409</definedName>
    <definedName name="ltlsjob33">[7]Parameters!$I$410</definedName>
    <definedName name="ltlsjob34">[7]Parameters!$I$411</definedName>
    <definedName name="ltlsjob35">[7]Parameters!$I$412</definedName>
    <definedName name="ltlsjob36">[7]Parameters!$I$413</definedName>
    <definedName name="ltlsjob37">[7]Parameters!$I$414</definedName>
    <definedName name="ltlsjob38">[7]Parameters!$I$415</definedName>
    <definedName name="ltlsjob39">[7]Parameters!$I$416</definedName>
    <definedName name="ltlsjob4">[7]Parameters!$I$381</definedName>
    <definedName name="ltlsjob40">[7]Parameters!$I$417</definedName>
    <definedName name="ltlsjob41">[7]Parameters!$I$418</definedName>
    <definedName name="ltlsjob42">[7]Parameters!$I$419</definedName>
    <definedName name="ltlsjob43">[7]Parameters!$I$420</definedName>
    <definedName name="ltlsjob44">[7]Parameters!$I$421</definedName>
    <definedName name="ltlsjob45">[7]Parameters!$I$422</definedName>
    <definedName name="ltlsjob46">[7]Parameters!$I$423</definedName>
    <definedName name="ltlsjob47">[7]Parameters!$I$424</definedName>
    <definedName name="ltlsjob48">[7]Parameters!$I$425</definedName>
    <definedName name="ltlsjob49">[7]Parameters!$I$426</definedName>
    <definedName name="ltlsjob5">[7]Parameters!$I$382</definedName>
    <definedName name="ltlsjob50">[7]Parameters!$I$427</definedName>
    <definedName name="ltlsjob51">[7]Parameters!$I$428</definedName>
    <definedName name="ltlsjob6">[7]Parameters!$I$383</definedName>
    <definedName name="ltlsjob7">[7]Parameters!$I$384</definedName>
    <definedName name="ltlsjob8">[7]Parameters!$I$385</definedName>
    <definedName name="ltlsjob9">[7]Parameters!$I$386</definedName>
    <definedName name="ltlsname15">[7]Parameters!$C$392</definedName>
    <definedName name="ltlsname16">[7]Parameters!$C$393</definedName>
    <definedName name="ltlsname17">[7]Parameters!$C$394</definedName>
    <definedName name="ltlsname18">[7]Parameters!$C$395</definedName>
    <definedName name="ltlsname19">[7]Parameters!$C$396</definedName>
    <definedName name="ltlsname20">[7]Parameters!$C$397</definedName>
    <definedName name="ltlsname21">[7]Parameters!$C$398</definedName>
    <definedName name="ltlsname22">[7]Parameters!$C$399</definedName>
    <definedName name="ltlsname23">[7]Parameters!$C$400</definedName>
    <definedName name="ltlsname24">[7]Parameters!$C$401</definedName>
    <definedName name="ltlsname25">[7]Parameters!$C$402</definedName>
    <definedName name="ltlsname26">[7]Parameters!$C$403</definedName>
    <definedName name="ltlsname27">[7]Parameters!$C$404</definedName>
    <definedName name="ltlsname28">[7]Parameters!$C$405</definedName>
    <definedName name="ltlsname29">[7]Parameters!$C$406</definedName>
    <definedName name="ltlsname30">[7]Parameters!$C$407</definedName>
    <definedName name="ltlsname31">[7]Parameters!$C$408</definedName>
    <definedName name="ltlsname32">[7]Parameters!$C$409</definedName>
    <definedName name="ltlsname33">[7]Parameters!$C$410</definedName>
    <definedName name="ltlsname34">[7]Parameters!$C$411</definedName>
    <definedName name="ltlsname35">[7]Parameters!$C$412</definedName>
    <definedName name="ltlsname36">[7]Parameters!$C$413</definedName>
    <definedName name="ltlsname37">[7]Parameters!$C$414</definedName>
    <definedName name="ltlsname38">[7]Parameters!$C$415</definedName>
    <definedName name="ltlsname39">[7]Parameters!$C$416</definedName>
    <definedName name="ltlsname40">[7]Parameters!$C$417</definedName>
    <definedName name="ltlsname41">[7]Parameters!$C$418</definedName>
    <definedName name="ltlsname42">[7]Parameters!$C$419</definedName>
    <definedName name="ltlsname43">[7]Parameters!$C$420</definedName>
    <definedName name="ltlsname44">[7]Parameters!$C$421</definedName>
    <definedName name="ltlsname45">[7]Parameters!$C$422</definedName>
    <definedName name="ltlsname46">[7]Parameters!$C$423</definedName>
    <definedName name="ltlsname47">[7]Parameters!$C$424</definedName>
    <definedName name="ltlsname48">[7]Parameters!$C$425</definedName>
    <definedName name="ltlsname49">[7]Parameters!$C$426</definedName>
    <definedName name="ltlsname50">[7]Parameters!$C$427</definedName>
    <definedName name="ltlsname51">[7]Parameters!$C$428</definedName>
    <definedName name="ltlssal15">[7]Parameters!$E$392</definedName>
    <definedName name="ltlssal16">[7]Parameters!$E$393</definedName>
    <definedName name="ltlssal17">[7]Parameters!$E$394</definedName>
    <definedName name="ltlssal18">[7]Parameters!$E$395</definedName>
    <definedName name="ltlssal19">[7]Parameters!$E$396</definedName>
    <definedName name="ltlssal20">[7]Parameters!$E$397</definedName>
    <definedName name="ltlssal21">[7]Parameters!$E$398</definedName>
    <definedName name="ltlssal22">[7]Parameters!$E$399</definedName>
    <definedName name="ltlssal23">[7]Parameters!$E$400</definedName>
    <definedName name="ltlssal24">[7]Parameters!$E$401</definedName>
    <definedName name="ltlssal25">[7]Parameters!$E$402</definedName>
    <definedName name="ltlssal26">[7]Parameters!$E$403</definedName>
    <definedName name="ltlssal27">[7]Parameters!$E$404</definedName>
    <definedName name="ltlssal28">[7]Parameters!$E$405</definedName>
    <definedName name="ltlssal29">[7]Parameters!$E$406</definedName>
    <definedName name="ltlssal30">[7]Parameters!$E$407</definedName>
    <definedName name="ltlssal31">[7]Parameters!$E$408</definedName>
    <definedName name="ltlssal32">[7]Parameters!$E$409</definedName>
    <definedName name="ltlssal33">[7]Parameters!$E$410</definedName>
    <definedName name="ltlssal34">[7]Parameters!$E$411</definedName>
    <definedName name="ltlssal35">[7]Parameters!$E$412</definedName>
    <definedName name="ltlssal36">[7]Parameters!$E$413</definedName>
    <definedName name="ltlssal37">[7]Parameters!$E$414</definedName>
    <definedName name="ltlssal38">[7]Parameters!$E$415</definedName>
    <definedName name="ltlssal39">[7]Parameters!$E$416</definedName>
    <definedName name="ltlssal40">[7]Parameters!$E$417</definedName>
    <definedName name="ltlssal41">[7]Parameters!$E$418</definedName>
    <definedName name="ltlssal42">[7]Parameters!$E$419</definedName>
    <definedName name="ltlssal43">[7]Parameters!$E$420</definedName>
    <definedName name="ltlssal44">[7]Parameters!$E$421</definedName>
    <definedName name="ltlssal45">[7]Parameters!$E$422</definedName>
    <definedName name="ltlssal46">[7]Parameters!$E$423</definedName>
    <definedName name="ltlssal47">[7]Parameters!$E$424</definedName>
    <definedName name="ltlssal48">[7]Parameters!$E$425</definedName>
    <definedName name="ltlssal49">[7]Parameters!$E$426</definedName>
    <definedName name="ltlssal50">[7]Parameters!$E$427</definedName>
    <definedName name="ltlssal51">[7]Parameters!$E$428</definedName>
    <definedName name="ltstravel">[33]Parameters!$C$53</definedName>
    <definedName name="LTTA">#REF!</definedName>
    <definedName name="lttravel">[33]Parameters!$C$52</definedName>
    <definedName name="Lttripfactor">[12]Sheet1!$C$17</definedName>
    <definedName name="mac_lg_UI_List">#REF!</definedName>
    <definedName name="MACROS">#REF!</definedName>
    <definedName name="MADAC">[23]formulas!#REF!</definedName>
    <definedName name="makeready">[12]Sheet1!$C$47</definedName>
    <definedName name="maliinflation">#REF!</definedName>
    <definedName name="malitravel">[12]Sheet1!$C$34</definedName>
    <definedName name="mapping">[34]mapping!$A$8:$I$532</definedName>
    <definedName name="MaritalStatus">#REF!</definedName>
    <definedName name="match">'[3]Detailed Budget-SAVE'!#REF!</definedName>
    <definedName name="maybe" localSheetId="5" hidden="1">{#N/A,#N/A,FALSE,"ManLoading"}</definedName>
    <definedName name="maybe" localSheetId="6" hidden="1">{#N/A,#N/A,FALSE,"ManLoading"}</definedName>
    <definedName name="maybe" localSheetId="7" hidden="1">{#N/A,#N/A,FALSE,"ManLoading"}</definedName>
    <definedName name="maybe" localSheetId="8" hidden="1">{#N/A,#N/A,FALSE,"ManLoading"}</definedName>
    <definedName name="maybe" localSheetId="9" hidden="1">{#N/A,#N/A,FALSE,"ManLoading"}</definedName>
    <definedName name="maybe" localSheetId="10" hidden="1">{#N/A,#N/A,FALSE,"ManLoading"}</definedName>
    <definedName name="maybe" localSheetId="11" hidden="1">{#N/A,#N/A,FALSE,"ManLoading"}</definedName>
    <definedName name="maybe" localSheetId="12" hidden="1">{#N/A,#N/A,FALSE,"ManLoading"}</definedName>
    <definedName name="maybe" localSheetId="4" hidden="1">{#N/A,#N/A,FALSE,"ManLoading"}</definedName>
    <definedName name="maybe" localSheetId="13" hidden="1">{#N/A,#N/A,FALSE,"ManLoading"}</definedName>
    <definedName name="maybe" hidden="1">{#N/A,#N/A,FALSE,"ManLoading"}</definedName>
    <definedName name="ME">[5]Parameters!#REF!</definedName>
    <definedName name="med">#REF!</definedName>
    <definedName name="medevac">[5]Parameters!$D$17</definedName>
    <definedName name="medex">232</definedName>
    <definedName name="Merit">'[28]Detail-1'!$J$1</definedName>
    <definedName name="mh">#REF!</definedName>
    <definedName name="Mid_Level_CCNRate">[32]Assumptions!$B$15</definedName>
    <definedName name="Mid_Level_TCNRate">[32]Assumptions!$B$13</definedName>
    <definedName name="mie">#REF!</definedName>
    <definedName name="mielima">[5]Parameters!#REF!</definedName>
    <definedName name="mieother">[5]Parameters!#REF!</definedName>
    <definedName name="MOBIS_Schedule">#REF!</definedName>
    <definedName name="Moldova">#REF!</definedName>
    <definedName name="Moldova_F2F">#REF!</definedName>
    <definedName name="MonthHeader_Values" localSheetId="5">EOMONTH(DATE('[14]Yearly Planner'!StartYear,8,1),{0,1,2,3,4,5,6,7,8,9,10,11})+1</definedName>
    <definedName name="MonthHeader_Values" localSheetId="6">EOMONTH(DATE('[14]Yearly Planner'!StartYear,8,1),{0,1,2,3,4,5,6,7,8,9,10,11})+1</definedName>
    <definedName name="MonthHeader_Values" localSheetId="7">EOMONTH(DATE('[14]Yearly Planner'!StartYear,8,1),{0,1,2,3,4,5,6,7,8,9,10,11})+1</definedName>
    <definedName name="MonthHeader_Values" localSheetId="8">EOMONTH(DATE('[14]Yearly Planner'!StartYear,8,1),{0,1,2,3,4,5,6,7,8,9,10,11})+1</definedName>
    <definedName name="MonthHeader_Values" localSheetId="9">EOMONTH(DATE('[14]Yearly Planner'!StartYear,8,1),{0,1,2,3,4,5,6,7,8,9,10,11})+1</definedName>
    <definedName name="MonthHeader_Values" localSheetId="10">EOMONTH(DATE('[14]Yearly Planner'!StartYear,8,1),{0,1,2,3,4,5,6,7,8,9,10,11})+1</definedName>
    <definedName name="MonthHeader_Values" localSheetId="11">EOMONTH(DATE('[14]Yearly Planner'!StartYear,8,1),{0,1,2,3,4,5,6,7,8,9,10,11})+1</definedName>
    <definedName name="MonthHeader_Values" localSheetId="12">EOMONTH(DATE('[14]Yearly Planner'!StartYear,8,1),{0,1,2,3,4,5,6,7,8,9,10,11})+1</definedName>
    <definedName name="MonthHeader_Values" localSheetId="4">EOMONTH(DATE('[14]Yearly Planner'!StartYear,8,1),{0,1,2,3,4,5,6,7,8,9,10,11})+1</definedName>
    <definedName name="MonthHeader_Values" localSheetId="3">EOMONTH(DATE('[14]Yearly Planner'!StartYear,8,1),{0,1,2,3,4,5,6,7,8,9,10,11})+1</definedName>
    <definedName name="MonthHeader_Values" localSheetId="15">EOMONTH(DATE('[14]Yearly Planner'!StartYear,8,1),{0,1,2,3,4,5,6,7,8,9,10,11})+1</definedName>
    <definedName name="MonthHeader_Values" localSheetId="13">EOMONTH(DATE('[14]Yearly Planner'!StartYear,8,1),{0,1,2,3,4,5,6,7,8,9,10,11})+1</definedName>
    <definedName name="MonthHeader_Values">EOMONTH(DATE('[14]Yearly Planner'!StartYear,8,1),{0,1,2,3,4,5,6,7,8,9,10,11})+1</definedName>
    <definedName name="MSE">#REF!</definedName>
    <definedName name="msicoreclin1">#REF!</definedName>
    <definedName name="msicoreclin2">#REF!</definedName>
    <definedName name="msicoreclin3">#REF!</definedName>
    <definedName name="msitaclin1">#REF!</definedName>
    <definedName name="msitaclin2">#REF!</definedName>
    <definedName name="msitaclin3">#REF!</definedName>
    <definedName name="Mult_Yr1to3">#REF!</definedName>
    <definedName name="Mult_Yr4">#REF!</definedName>
    <definedName name="Mult_Yr5">#REF!</definedName>
    <definedName name="Multipliers_by_AMAP_year">#REF!</definedName>
    <definedName name="Multiply4">[10]RATES!#REF!</definedName>
    <definedName name="Multiply5">[10]RATES!#REF!</definedName>
    <definedName name="name" localSheetId="5" hidden="1">{#N/A,#N/A,FALSE,"ManLoading"}</definedName>
    <definedName name="name" localSheetId="6" hidden="1">{#N/A,#N/A,FALSE,"ManLoading"}</definedName>
    <definedName name="name" localSheetId="7" hidden="1">{#N/A,#N/A,FALSE,"ManLoading"}</definedName>
    <definedName name="name" localSheetId="8" hidden="1">{#N/A,#N/A,FALSE,"ManLoading"}</definedName>
    <definedName name="name" localSheetId="9" hidden="1">{#N/A,#N/A,FALSE,"ManLoading"}</definedName>
    <definedName name="name" localSheetId="10" hidden="1">{#N/A,#N/A,FALSE,"ManLoading"}</definedName>
    <definedName name="name" localSheetId="11" hidden="1">{#N/A,#N/A,FALSE,"ManLoading"}</definedName>
    <definedName name="name" localSheetId="12" hidden="1">{#N/A,#N/A,FALSE,"ManLoading"}</definedName>
    <definedName name="name" localSheetId="4" hidden="1">{#N/A,#N/A,FALSE,"ManLoading"}</definedName>
    <definedName name="name" localSheetId="13" hidden="1">{#N/A,#N/A,FALSE,"ManLoading"}</definedName>
    <definedName name="name" hidden="1">{#N/A,#N/A,FALSE,"ManLoading"}</definedName>
    <definedName name="NAMEA">#REF!</definedName>
    <definedName name="napsa">#REF!</definedName>
    <definedName name="National_factor_year1">#REF!</definedName>
    <definedName name="National_factor_year2">#REF!</definedName>
    <definedName name="National_factor_year3">#REF!</definedName>
    <definedName name="National_factor_year4">#REF!</definedName>
    <definedName name="National_factor_year5">#REF!</definedName>
    <definedName name="NativeTimeline_Date">#N/A</definedName>
    <definedName name="NativeTimeline_Date1">#N/A</definedName>
    <definedName name="NatRes11">[10]RATES!#REF!</definedName>
    <definedName name="NAWGA">#N/A</definedName>
    <definedName name="New">[35]Sheet1!$M$3:$M$8</definedName>
    <definedName name="NFPA">#N/A</definedName>
    <definedName name="NICRA_GA">#REF!</definedName>
    <definedName name="NICRA_Overhead">#REF!</definedName>
    <definedName name="no" localSheetId="5" hidden="1">{#N/A,#N/A,FALSE,"ManLoading"}</definedName>
    <definedName name="no" localSheetId="6" hidden="1">{#N/A,#N/A,FALSE,"ManLoading"}</definedName>
    <definedName name="no" localSheetId="7" hidden="1">{#N/A,#N/A,FALSE,"ManLoading"}</definedName>
    <definedName name="no" localSheetId="8" hidden="1">{#N/A,#N/A,FALSE,"ManLoading"}</definedName>
    <definedName name="no" localSheetId="9" hidden="1">{#N/A,#N/A,FALSE,"ManLoading"}</definedName>
    <definedName name="no" localSheetId="10" hidden="1">{#N/A,#N/A,FALSE,"ManLoading"}</definedName>
    <definedName name="no" localSheetId="11" hidden="1">{#N/A,#N/A,FALSE,"ManLoading"}</definedName>
    <definedName name="no" localSheetId="12" hidden="1">{#N/A,#N/A,FALSE,"ManLoading"}</definedName>
    <definedName name="no" localSheetId="4" hidden="1">{#N/A,#N/A,FALSE,"ManLoading"}</definedName>
    <definedName name="no" localSheetId="13" hidden="1">{#N/A,#N/A,FALSE,"ManLoading"}</definedName>
    <definedName name="no" hidden="1">{#N/A,#N/A,FALSE,"ManLoading"}</definedName>
    <definedName name="none" localSheetId="5" hidden="1">{#N/A,#N/A,FALSE,"ManLoading"}</definedName>
    <definedName name="none" localSheetId="6" hidden="1">{#N/A,#N/A,FALSE,"ManLoading"}</definedName>
    <definedName name="none" localSheetId="7" hidden="1">{#N/A,#N/A,FALSE,"ManLoading"}</definedName>
    <definedName name="none" localSheetId="8" hidden="1">{#N/A,#N/A,FALSE,"ManLoading"}</definedName>
    <definedName name="none" localSheetId="9" hidden="1">{#N/A,#N/A,FALSE,"ManLoading"}</definedName>
    <definedName name="none" localSheetId="10" hidden="1">{#N/A,#N/A,FALSE,"ManLoading"}</definedName>
    <definedName name="none" localSheetId="11" hidden="1">{#N/A,#N/A,FALSE,"ManLoading"}</definedName>
    <definedName name="none" localSheetId="12" hidden="1">{#N/A,#N/A,FALSE,"ManLoading"}</definedName>
    <definedName name="none" localSheetId="4" hidden="1">{#N/A,#N/A,FALSE,"ManLoading"}</definedName>
    <definedName name="none" localSheetId="3" hidden="1">{#N/A,#N/A,FALSE,"ManLoading"}</definedName>
    <definedName name="none" localSheetId="13" hidden="1">{#N/A,#N/A,FALSE,"ManLoading"}</definedName>
    <definedName name="none" hidden="1">{#N/A,#N/A,FALSE,"ManLoading"}</definedName>
    <definedName name="none1" localSheetId="5" hidden="1">{#N/A,#N/A,FALSE,"ManLoading"}</definedName>
    <definedName name="none1" localSheetId="6" hidden="1">{#N/A,#N/A,FALSE,"ManLoading"}</definedName>
    <definedName name="none1" localSheetId="7" hidden="1">{#N/A,#N/A,FALSE,"ManLoading"}</definedName>
    <definedName name="none1" localSheetId="8" hidden="1">{#N/A,#N/A,FALSE,"ManLoading"}</definedName>
    <definedName name="none1" localSheetId="9" hidden="1">{#N/A,#N/A,FALSE,"ManLoading"}</definedName>
    <definedName name="none1" localSheetId="10" hidden="1">{#N/A,#N/A,FALSE,"ManLoading"}</definedName>
    <definedName name="none1" localSheetId="11" hidden="1">{#N/A,#N/A,FALSE,"ManLoading"}</definedName>
    <definedName name="none1" localSheetId="12" hidden="1">{#N/A,#N/A,FALSE,"ManLoading"}</definedName>
    <definedName name="none1" localSheetId="4" hidden="1">{#N/A,#N/A,FALSE,"ManLoading"}</definedName>
    <definedName name="none1" localSheetId="13" hidden="1">{#N/A,#N/A,FALSE,"ManLoading"}</definedName>
    <definedName name="none1" hidden="1">{#N/A,#N/A,FALSE,"ManLoading"}</definedName>
    <definedName name="ODC">[10]RATES!#REF!</definedName>
    <definedName name="ODC_Escalation">#REF!</definedName>
    <definedName name="ODC_Escalation_DPK">[32]Assumptions!$B$10</definedName>
    <definedName name="ODCesc">[16]Assumptions!$H$14</definedName>
    <definedName name="OH">#REF!</definedName>
    <definedName name="OnCNFA">#REF!</definedName>
    <definedName name="Other_Direct_Costs">'[13]INPUTS Year 1'!#REF!</definedName>
    <definedName name="Other11">[10]RATES!#REF!</definedName>
    <definedName name="Other13">[10]RATES!#REF!</definedName>
    <definedName name="Othertotalpd">[17]Parameters!$B$32</definedName>
    <definedName name="overhead">#REF!</definedName>
    <definedName name="PAGE4" localSheetId="5" hidden="1">{"actuals_1",#N/A,FALSE,"CO 1 YRS";"burden_1",#N/A,FALSE,"CO 1 YRS";"input",#N/A,FALSE,"INPUT"}</definedName>
    <definedName name="PAGE4" localSheetId="6" hidden="1">{"actuals_1",#N/A,FALSE,"CO 1 YRS";"burden_1",#N/A,FALSE,"CO 1 YRS";"input",#N/A,FALSE,"INPUT"}</definedName>
    <definedName name="PAGE4" localSheetId="7" hidden="1">{"actuals_1",#N/A,FALSE,"CO 1 YRS";"burden_1",#N/A,FALSE,"CO 1 YRS";"input",#N/A,FALSE,"INPUT"}</definedName>
    <definedName name="PAGE4" localSheetId="8" hidden="1">{"actuals_1",#N/A,FALSE,"CO 1 YRS";"burden_1",#N/A,FALSE,"CO 1 YRS";"input",#N/A,FALSE,"INPUT"}</definedName>
    <definedName name="PAGE4" localSheetId="9" hidden="1">{"actuals_1",#N/A,FALSE,"CO 1 YRS";"burden_1",#N/A,FALSE,"CO 1 YRS";"input",#N/A,FALSE,"INPUT"}</definedName>
    <definedName name="PAGE4" localSheetId="10" hidden="1">{"actuals_1",#N/A,FALSE,"CO 1 YRS";"burden_1",#N/A,FALSE,"CO 1 YRS";"input",#N/A,FALSE,"INPUT"}</definedName>
    <definedName name="PAGE4" localSheetId="11" hidden="1">{"actuals_1",#N/A,FALSE,"CO 1 YRS";"burden_1",#N/A,FALSE,"CO 1 YRS";"input",#N/A,FALSE,"INPUT"}</definedName>
    <definedName name="PAGE4" localSheetId="12" hidden="1">{"actuals_1",#N/A,FALSE,"CO 1 YRS";"burden_1",#N/A,FALSE,"CO 1 YRS";"input",#N/A,FALSE,"INPUT"}</definedName>
    <definedName name="PAGE4" localSheetId="4" hidden="1">{"actuals_1",#N/A,FALSE,"CO 1 YRS";"burden_1",#N/A,FALSE,"CO 1 YRS";"input",#N/A,FALSE,"INPUT"}</definedName>
    <definedName name="PAGE4" localSheetId="3" hidden="1">{"actuals_1",#N/A,FALSE,"CO 1 YRS";"burden_1",#N/A,FALSE,"CO 1 YRS";"input",#N/A,FALSE,"INPUT"}</definedName>
    <definedName name="PAGE4" localSheetId="13" hidden="1">{"actuals_1",#N/A,FALSE,"CO 1 YRS";"burden_1",#N/A,FALSE,"CO 1 YRS";"input",#N/A,FALSE,"INPUT"}</definedName>
    <definedName name="PAGE4" hidden="1">{"actuals_1",#N/A,FALSE,"CO 1 YRS";"burden_1",#N/A,FALSE,"CO 1 YRS";"input",#N/A,FALSE,"INPUT"}</definedName>
    <definedName name="PATTA">#REF!</definedName>
    <definedName name="paye">#REF!</definedName>
    <definedName name="payroll">#REF!</definedName>
    <definedName name="payslips">#REF!</definedName>
    <definedName name="pd">[5]Parameters!$D$49</definedName>
    <definedName name="PDDAYS">#N/A</definedName>
    <definedName name="pdintl">[7]Parameters!$B$534</definedName>
    <definedName name="pdloc">[7]Parameters!$B$535</definedName>
    <definedName name="pdother">[5]Parameters!$D$50</definedName>
    <definedName name="pdotherdos">[5]Parameters!$D$54</definedName>
    <definedName name="pdpesh">[7]Parameters!$B$537</definedName>
    <definedName name="Per_Diem1">#REF!</definedName>
    <definedName name="Per_Diem2">#REF!</definedName>
    <definedName name="Per_Diem3">#REF!</definedName>
    <definedName name="Perdiem">[16]Assumptions!$B$23:$F$25</definedName>
    <definedName name="perdiembko">[12]Sheet1!$C$22</definedName>
    <definedName name="perdiemdays">[36]Info!$C$14</definedName>
    <definedName name="perdieme">[33]Parameters!$C$33</definedName>
    <definedName name="perdiemfactor">[12]Sheet1!$C$26</definedName>
    <definedName name="perdiemintl">[12]Sheet1!$C$24</definedName>
    <definedName name="perdiemoth">[12]Sheet1!$C$25</definedName>
    <definedName name="Person_Days">#REF!</definedName>
    <definedName name="Person_Year">#REF!</definedName>
    <definedName name="PIP">#N/A</definedName>
    <definedName name="PM">[10]RATES!#REF!</definedName>
    <definedName name="pmperdiem">#REF!</definedName>
    <definedName name="Policy11">[10]RATES!#REF!</definedName>
    <definedName name="Policy12">[10]RATES!#REF!</definedName>
    <definedName name="Policy13">[10]RATES!#REF!</definedName>
    <definedName name="Post_Differential">#REF!</definedName>
    <definedName name="postdiff">[5]Parameters!$D$55</definedName>
    <definedName name="_xlnm.Print_Area" localSheetId="5">'Activity 1'!$A$2:$T$86</definedName>
    <definedName name="_xlnm.Print_Area" localSheetId="6">'Activity 2'!$A$2:$T$94</definedName>
    <definedName name="_xlnm.Print_Area" localSheetId="7">'Activity 3'!$A$2:$T$113</definedName>
    <definedName name="_xlnm.Print_Area" localSheetId="8">'Activity 4'!$A$2:$T$95</definedName>
    <definedName name="_xlnm.Print_Area" localSheetId="9">'Activity 5'!$A$2:$T$88</definedName>
    <definedName name="_xlnm.Print_Area" localSheetId="10">'Activity 6'!$A$2:$T$95</definedName>
    <definedName name="_xlnm.Print_Area" localSheetId="11">'Activity 7'!$A$2:$T$92</definedName>
    <definedName name="_xlnm.Print_Area" localSheetId="12">'Activity 8'!$A$2:$T$83</definedName>
    <definedName name="_xlnm.Print_Area" localSheetId="4">Admin!$A$2:$T$146</definedName>
    <definedName name="_xlnm.Print_Area" localSheetId="3">'Detailed Budget'!$A$2:$T$225</definedName>
    <definedName name="_xlnm.Print_Area" localSheetId="14">'Indirect Calculations'!$B$6:$I$70</definedName>
    <definedName name="_xlnm.Print_Area" localSheetId="15">'Indirect Costs Detail'!$B$6:$I$70</definedName>
    <definedName name="_xlnm.Print_Area" localSheetId="1">'Program Budget'!$D$7:$V$741</definedName>
    <definedName name="_xlnm.Print_Area" localSheetId="13">'Sub Budget Fundacion IC'!$A$3:$T$109</definedName>
    <definedName name="_xlnm.Print_Area" localSheetId="0">'USDA Budget Summary'!$A$1:$F$68</definedName>
    <definedName name="_xlnm.Print_Area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9">#REF!</definedName>
    <definedName name="Print_Area_MI" localSheetId="10">#REF!</definedName>
    <definedName name="Print_Area_MI" localSheetId="11">#REF!</definedName>
    <definedName name="Print_Area_MI" localSheetId="12">#REF!</definedName>
    <definedName name="Print_Area_MI" localSheetId="4">#REF!</definedName>
    <definedName name="Print_Area_MI" localSheetId="3">#REF!</definedName>
    <definedName name="Print_Area_MI" localSheetId="13">#REF!</definedName>
    <definedName name="Print_Area_MI">#REF!</definedName>
    <definedName name="Print_Area2">#REF!</definedName>
    <definedName name="_xlnm.Print_Titles" localSheetId="5">'Activity 1'!$2:$3</definedName>
    <definedName name="_xlnm.Print_Titles" localSheetId="6">'Activity 2'!$2:$3</definedName>
    <definedName name="_xlnm.Print_Titles" localSheetId="7">'Activity 3'!$2:$3</definedName>
    <definedName name="_xlnm.Print_Titles" localSheetId="8">'Activity 4'!$2:$3</definedName>
    <definedName name="_xlnm.Print_Titles" localSheetId="9">'Activity 5'!$2:$3</definedName>
    <definedName name="_xlnm.Print_Titles" localSheetId="10">'Activity 6'!$2:$3</definedName>
    <definedName name="_xlnm.Print_Titles" localSheetId="11">'Activity 7'!$2:$3</definedName>
    <definedName name="_xlnm.Print_Titles" localSheetId="12">'Activity 8'!$2:$3</definedName>
    <definedName name="_xlnm.Print_Titles" localSheetId="4">Admin!$2:$3</definedName>
    <definedName name="_xlnm.Print_Titles" localSheetId="3">'Detailed Budget'!$2:$3</definedName>
    <definedName name="_xlnm.Print_Titles" localSheetId="13">'Sub Budget Fundacion IC'!$3:$4</definedName>
    <definedName name="_xlnm.Print_Titles">#N/A</definedName>
    <definedName name="Print_Titles_MI" localSheetId="5">#REF!</definedName>
    <definedName name="Print_Titles_MI" localSheetId="6">#REF!</definedName>
    <definedName name="Print_Titles_MI" localSheetId="7">#REF!</definedName>
    <definedName name="Print_Titles_MI" localSheetId="8">#REF!</definedName>
    <definedName name="Print_Titles_MI" localSheetId="9">#REF!</definedName>
    <definedName name="Print_Titles_MI" localSheetId="10">#REF!</definedName>
    <definedName name="Print_Titles_MI" localSheetId="11">#REF!</definedName>
    <definedName name="Print_Titles_MI" localSheetId="12">#REF!</definedName>
    <definedName name="Print_Titles_MI" localSheetId="4">#REF!</definedName>
    <definedName name="Print_Titles_MI" localSheetId="3">#REF!</definedName>
    <definedName name="Print_Titles_MI" localSheetId="13">#REF!</definedName>
    <definedName name="Print_Titles_MI">#REF!</definedName>
    <definedName name="Profit">#REF!</definedName>
    <definedName name="project">[7]Parameters!$B$5</definedName>
    <definedName name="Project_support_costs">#REF!</definedName>
    <definedName name="proposed" localSheetId="5" hidden="1">{#N/A,#N/A,FALSE,"ManLoading"}</definedName>
    <definedName name="proposed" localSheetId="6" hidden="1">{#N/A,#N/A,FALSE,"ManLoading"}</definedName>
    <definedName name="proposed" localSheetId="7" hidden="1">{#N/A,#N/A,FALSE,"ManLoading"}</definedName>
    <definedName name="proposed" localSheetId="8" hidden="1">{#N/A,#N/A,FALSE,"ManLoading"}</definedName>
    <definedName name="proposed" localSheetId="9" hidden="1">{#N/A,#N/A,FALSE,"ManLoading"}</definedName>
    <definedName name="proposed" localSheetId="10" hidden="1">{#N/A,#N/A,FALSE,"ManLoading"}</definedName>
    <definedName name="proposed" localSheetId="11" hidden="1">{#N/A,#N/A,FALSE,"ManLoading"}</definedName>
    <definedName name="proposed" localSheetId="12" hidden="1">{#N/A,#N/A,FALSE,"ManLoading"}</definedName>
    <definedName name="proposed" localSheetId="4" hidden="1">{#N/A,#N/A,FALSE,"ManLoading"}</definedName>
    <definedName name="proposed" localSheetId="3" hidden="1">{#N/A,#N/A,FALSE,"ManLoading"}</definedName>
    <definedName name="proposed" localSheetId="13" hidden="1">{#N/A,#N/A,FALSE,"ManLoading"}</definedName>
    <definedName name="proposed" hidden="1">{#N/A,#N/A,FALSE,"ManLoading"}</definedName>
    <definedName name="PURD">#N/A</definedName>
    <definedName name="PURD1">#N/A</definedName>
    <definedName name="PURD4">#N/A</definedName>
    <definedName name="q">#REF!</definedName>
    <definedName name="quetzaltenango">#REF!</definedName>
    <definedName name="quiche">#REF!</definedName>
    <definedName name="Raises_Expat">#REF!</definedName>
    <definedName name="Raises_HCN">#REF!</definedName>
    <definedName name="Raises_TCN">#REF!</definedName>
    <definedName name="Rate1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atecos">#REF!</definedName>
    <definedName name="regina" hidden="1">[2]IPA!#REF!</definedName>
    <definedName name="Regional_Offices">'[37] Program Support Costs'!#REF!</definedName>
    <definedName name="remit_zra" localSheetId="13">#REF!</definedName>
    <definedName name="remit_zra">#REF!</definedName>
    <definedName name="RETdirectdeposit" localSheetId="13">#REF!</definedName>
    <definedName name="RETdirectdeposit">#REF!</definedName>
    <definedName name="rfp">[5]Parameters!$B$4</definedName>
    <definedName name="RFPNo">[4]Parameters!$B$2</definedName>
    <definedName name="room">#REF!</definedName>
    <definedName name="rovercost">[5]Parameters!$H$30</definedName>
    <definedName name="rr">[5]Parameters!$D$25</definedName>
    <definedName name="rrair">[17]Parameters!$B$40</definedName>
    <definedName name="rrrrr">'[38]05TRANS'!$B$7:$L$34</definedName>
    <definedName name="rsa_inflation" localSheetId="13">#REF!</definedName>
    <definedName name="rsa_inflation">#REF!</definedName>
    <definedName name="rtecon">[5]Parameters!$D$24</definedName>
    <definedName name="RYUK" localSheetId="5" hidden="1">{"PAGE1",#N/A,FALSE,"CPFFMSTR";"PAGE2",#N/A,FALSE,"CPFFMSTR"}</definedName>
    <definedName name="RYUK" localSheetId="6" hidden="1">{"PAGE1",#N/A,FALSE,"CPFFMSTR";"PAGE2",#N/A,FALSE,"CPFFMSTR"}</definedName>
    <definedName name="RYUK" localSheetId="7" hidden="1">{"PAGE1",#N/A,FALSE,"CPFFMSTR";"PAGE2",#N/A,FALSE,"CPFFMSTR"}</definedName>
    <definedName name="RYUK" localSheetId="8" hidden="1">{"PAGE1",#N/A,FALSE,"CPFFMSTR";"PAGE2",#N/A,FALSE,"CPFFMSTR"}</definedName>
    <definedName name="RYUK" localSheetId="9" hidden="1">{"PAGE1",#N/A,FALSE,"CPFFMSTR";"PAGE2",#N/A,FALSE,"CPFFMSTR"}</definedName>
    <definedName name="RYUK" localSheetId="10" hidden="1">{"PAGE1",#N/A,FALSE,"CPFFMSTR";"PAGE2",#N/A,FALSE,"CPFFMSTR"}</definedName>
    <definedName name="RYUK" localSheetId="11" hidden="1">{"PAGE1",#N/A,FALSE,"CPFFMSTR";"PAGE2",#N/A,FALSE,"CPFFMSTR"}</definedName>
    <definedName name="RYUK" localSheetId="12" hidden="1">{"PAGE1",#N/A,FALSE,"CPFFMSTR";"PAGE2",#N/A,FALSE,"CPFFMSTR"}</definedName>
    <definedName name="RYUK" localSheetId="4" hidden="1">{"PAGE1",#N/A,FALSE,"CPFFMSTR";"PAGE2",#N/A,FALSE,"CPFFMSTR"}</definedName>
    <definedName name="RYUK" localSheetId="3" hidden="1">{"PAGE1",#N/A,FALSE,"CPFFMSTR";"PAGE2",#N/A,FALSE,"CPFFMSTR"}</definedName>
    <definedName name="RYUK" localSheetId="13" hidden="1">{"PAGE1",#N/A,FALSE,"CPFFMSTR";"PAGE2",#N/A,FALSE,"CPFFMSTR"}</definedName>
    <definedName name="RYUK" hidden="1">{"PAGE1",#N/A,FALSE,"CPFFMSTR";"PAGE2",#N/A,FALSE,"CPFFMSTR"}</definedName>
    <definedName name="sa">#REF!</definedName>
    <definedName name="SAL">#REF!</definedName>
    <definedName name="salary_inflation">'[39]Formula Values'!$B$4</definedName>
    <definedName name="SALARYORHOURLY" localSheetId="13">#REF!</definedName>
    <definedName name="SALARYORHOURLY">#REF!</definedName>
    <definedName name="salesc">0.05</definedName>
    <definedName name="salinc">#REF!</definedName>
    <definedName name="salincr">[5]Parameters!$D$7</definedName>
    <definedName name="salincrease">[36]Info!$C$5</definedName>
    <definedName name="salincrloc">[7]Parameters!$B$503</definedName>
    <definedName name="salmaxes6">[7]Parameters!$B$559</definedName>
    <definedName name="salmaxfsn">[7]Parameters!$B$560</definedName>
    <definedName name="sanmarcos">#REF!</definedName>
    <definedName name="sc">[40]Sheet1!$M$3:$M$8</definedName>
    <definedName name="sda" localSheetId="5" hidden="1">{#N/A,#N/A,FALSE,"ManLoading"}</definedName>
    <definedName name="sda" localSheetId="6" hidden="1">{#N/A,#N/A,FALSE,"ManLoading"}</definedName>
    <definedName name="sda" localSheetId="7" hidden="1">{#N/A,#N/A,FALSE,"ManLoading"}</definedName>
    <definedName name="sda" localSheetId="8" hidden="1">{#N/A,#N/A,FALSE,"ManLoading"}</definedName>
    <definedName name="sda" localSheetId="9" hidden="1">{#N/A,#N/A,FALSE,"ManLoading"}</definedName>
    <definedName name="sda" localSheetId="10" hidden="1">{#N/A,#N/A,FALSE,"ManLoading"}</definedName>
    <definedName name="sda" localSheetId="11" hidden="1">{#N/A,#N/A,FALSE,"ManLoading"}</definedName>
    <definedName name="sda" localSheetId="12" hidden="1">{#N/A,#N/A,FALSE,"ManLoading"}</definedName>
    <definedName name="sda" localSheetId="4" hidden="1">{#N/A,#N/A,FALSE,"ManLoading"}</definedName>
    <definedName name="sda" localSheetId="13" hidden="1">{#N/A,#N/A,FALSE,"ManLoading"}</definedName>
    <definedName name="sda" hidden="1">{#N/A,#N/A,FALSE,"ManLoading"}</definedName>
    <definedName name="sdfg" localSheetId="5" hidden="1">{"PAGE1",#N/A,FALSE,"CPFFMSTR";"PAGE2",#N/A,FALSE,"CPFFMSTR"}</definedName>
    <definedName name="sdfg" localSheetId="6" hidden="1">{"PAGE1",#N/A,FALSE,"CPFFMSTR";"PAGE2",#N/A,FALSE,"CPFFMSTR"}</definedName>
    <definedName name="sdfg" localSheetId="7" hidden="1">{"PAGE1",#N/A,FALSE,"CPFFMSTR";"PAGE2",#N/A,FALSE,"CPFFMSTR"}</definedName>
    <definedName name="sdfg" localSheetId="8" hidden="1">{"PAGE1",#N/A,FALSE,"CPFFMSTR";"PAGE2",#N/A,FALSE,"CPFFMSTR"}</definedName>
    <definedName name="sdfg" localSheetId="9" hidden="1">{"PAGE1",#N/A,FALSE,"CPFFMSTR";"PAGE2",#N/A,FALSE,"CPFFMSTR"}</definedName>
    <definedName name="sdfg" localSheetId="10" hidden="1">{"PAGE1",#N/A,FALSE,"CPFFMSTR";"PAGE2",#N/A,FALSE,"CPFFMSTR"}</definedName>
    <definedName name="sdfg" localSheetId="11" hidden="1">{"PAGE1",#N/A,FALSE,"CPFFMSTR";"PAGE2",#N/A,FALSE,"CPFFMSTR"}</definedName>
    <definedName name="sdfg" localSheetId="12" hidden="1">{"PAGE1",#N/A,FALSE,"CPFFMSTR";"PAGE2",#N/A,FALSE,"CPFFMSTR"}</definedName>
    <definedName name="sdfg" localSheetId="4" hidden="1">{"PAGE1",#N/A,FALSE,"CPFFMSTR";"PAGE2",#N/A,FALSE,"CPFFMSTR"}</definedName>
    <definedName name="sdfg" localSheetId="3" hidden="1">{"PAGE1",#N/A,FALSE,"CPFFMSTR";"PAGE2",#N/A,FALSE,"CPFFMSTR"}</definedName>
    <definedName name="sdfg" localSheetId="13" hidden="1">{"PAGE1",#N/A,FALSE,"CPFFMSTR";"PAGE2",#N/A,FALSE,"CPFFMSTR"}</definedName>
    <definedName name="sdfg" hidden="1">{"PAGE1",#N/A,FALSE,"CPFFMSTR";"PAGE2",#N/A,FALSE,"CPFFMSTR"}</definedName>
    <definedName name="Senior_CCNRate">[32]Assumptions!$B$14</definedName>
    <definedName name="Senior_TCNRate">[32]Assumptions!$B$12</definedName>
    <definedName name="SEV">#REF!</definedName>
    <definedName name="severance">[5]Parameters!$D$64</definedName>
    <definedName name="severancedata">'[21]Summary Budget'!$O$34:$R$35</definedName>
    <definedName name="SEVPA">#REF!</definedName>
    <definedName name="SFG" localSheetId="5" hidden="1">{"PAGE1",#N/A,FALSE,"CPFFMSTR";"PAGE2",#N/A,FALSE,"CPFFMSTR"}</definedName>
    <definedName name="SFG" localSheetId="6" hidden="1">{"PAGE1",#N/A,FALSE,"CPFFMSTR";"PAGE2",#N/A,FALSE,"CPFFMSTR"}</definedName>
    <definedName name="SFG" localSheetId="7" hidden="1">{"PAGE1",#N/A,FALSE,"CPFFMSTR";"PAGE2",#N/A,FALSE,"CPFFMSTR"}</definedName>
    <definedName name="SFG" localSheetId="8" hidden="1">{"PAGE1",#N/A,FALSE,"CPFFMSTR";"PAGE2",#N/A,FALSE,"CPFFMSTR"}</definedName>
    <definedName name="SFG" localSheetId="9" hidden="1">{"PAGE1",#N/A,FALSE,"CPFFMSTR";"PAGE2",#N/A,FALSE,"CPFFMSTR"}</definedName>
    <definedName name="SFG" localSheetId="10" hidden="1">{"PAGE1",#N/A,FALSE,"CPFFMSTR";"PAGE2",#N/A,FALSE,"CPFFMSTR"}</definedName>
    <definedName name="SFG" localSheetId="11" hidden="1">{"PAGE1",#N/A,FALSE,"CPFFMSTR";"PAGE2",#N/A,FALSE,"CPFFMSTR"}</definedName>
    <definedName name="SFG" localSheetId="12" hidden="1">{"PAGE1",#N/A,FALSE,"CPFFMSTR";"PAGE2",#N/A,FALSE,"CPFFMSTR"}</definedName>
    <definedName name="SFG" localSheetId="4" hidden="1">{"PAGE1",#N/A,FALSE,"CPFFMSTR";"PAGE2",#N/A,FALSE,"CPFFMSTR"}</definedName>
    <definedName name="SFG" localSheetId="3" hidden="1">{"PAGE1",#N/A,FALSE,"CPFFMSTR";"PAGE2",#N/A,FALSE,"CPFFMSTR"}</definedName>
    <definedName name="SFG" localSheetId="13" hidden="1">{"PAGE1",#N/A,FALSE,"CPFFMSTR";"PAGE2",#N/A,FALSE,"CPFFMSTR"}</definedName>
    <definedName name="SFG" hidden="1">{"PAGE1",#N/A,FALSE,"CPFFMSTR";"PAGE2",#N/A,FALSE,"CPFFMSTR"}</definedName>
    <definedName name="sho">'[3]Detailed Budget-SAVE'!#REF!</definedName>
    <definedName name="Site">[10]RATES!#REF!</definedName>
    <definedName name="small">#REF!</definedName>
    <definedName name="staff">[41]Sheet1!$M$3:$M$8</definedName>
    <definedName name="staff_fringe" localSheetId="13">#REF!</definedName>
    <definedName name="staff_fringe">#REF!</definedName>
    <definedName name="stafffringe" localSheetId="13">#REF!</definedName>
    <definedName name="stafffringe">#REF!</definedName>
    <definedName name="staffperdiem" localSheetId="13">#REF!</definedName>
    <definedName name="staffperdiem">#REF!</definedName>
    <definedName name="START">#N/A</definedName>
    <definedName name="startdate">#REF!</definedName>
    <definedName name="stexpercent">[5]Parameters!$D$30</definedName>
    <definedName name="stlp">[7]Parameters!$A$298</definedName>
    <definedName name="stlp1">[7]Parameters!$A$300</definedName>
    <definedName name="stlp10">[7]Parameters!$A$309</definedName>
    <definedName name="stlp10co">[7]Parameters!$G$309</definedName>
    <definedName name="stlp10name">[7]Parameters!$C$309</definedName>
    <definedName name="stlp10sal1">[7]Parameters!$E$309</definedName>
    <definedName name="stlp11">[7]Parameters!$A$310</definedName>
    <definedName name="stlp12">[7]Parameters!$A$311</definedName>
    <definedName name="stlp13">[7]Parameters!$A$312</definedName>
    <definedName name="stlp14">[7]Parameters!$A$313</definedName>
    <definedName name="stlp15">[7]Parameters!$A$314</definedName>
    <definedName name="stlp16">[7]Parameters!$A$315</definedName>
    <definedName name="stlp17">[7]Parameters!$A$316</definedName>
    <definedName name="stlp18">[7]Parameters!$A$317</definedName>
    <definedName name="stlp19">[7]Parameters!$A$318</definedName>
    <definedName name="stlp1co">[7]Parameters!$G$300</definedName>
    <definedName name="stlp1name">[7]Parameters!$C$300</definedName>
    <definedName name="stlp1sal1">[7]Parameters!$E$300</definedName>
    <definedName name="stlp2">[7]Parameters!$A$301</definedName>
    <definedName name="stlp20">[7]Parameters!$A$319</definedName>
    <definedName name="stlp21">[7]Parameters!$A$320</definedName>
    <definedName name="stlp22">[7]Parameters!$A$321</definedName>
    <definedName name="stlp23">[7]Parameters!$A$322</definedName>
    <definedName name="stlp24">[7]Parameters!$A$323</definedName>
    <definedName name="stlp25">[7]Parameters!$A$324</definedName>
    <definedName name="stlp26">[7]Parameters!$A$325</definedName>
    <definedName name="stlp27">[7]Parameters!$A$326</definedName>
    <definedName name="stlp28">[7]Parameters!$A$327</definedName>
    <definedName name="stlp29">[7]Parameters!$A$328</definedName>
    <definedName name="stlp2co">[7]Parameters!$G$301</definedName>
    <definedName name="stlp2name">[7]Parameters!$C$301</definedName>
    <definedName name="stlp2sal1">[7]Parameters!$E$301</definedName>
    <definedName name="stlp3">[7]Parameters!$A$302</definedName>
    <definedName name="stlp30">[7]Parameters!$A$329</definedName>
    <definedName name="stlp31">[7]Parameters!$A$330</definedName>
    <definedName name="stlp32">[7]Parameters!$A$331</definedName>
    <definedName name="stlp33">[7]Parameters!$A$332</definedName>
    <definedName name="stlp34">[7]Parameters!$A$333</definedName>
    <definedName name="stlp35">[7]Parameters!$A$334</definedName>
    <definedName name="stlp36">[7]Parameters!$A$335</definedName>
    <definedName name="stlp37">[7]Parameters!$A$336</definedName>
    <definedName name="stlp38">[7]Parameters!$A$337</definedName>
    <definedName name="stlp39">[7]Parameters!$A$338</definedName>
    <definedName name="stlp3co">[7]Parameters!$G$302</definedName>
    <definedName name="stlp3name">[7]Parameters!$C$302</definedName>
    <definedName name="stlp3sal1">[7]Parameters!$E$302</definedName>
    <definedName name="stlp4">[7]Parameters!$A$303</definedName>
    <definedName name="stlp40">[7]Parameters!$A$339</definedName>
    <definedName name="stlp41">[7]Parameters!$A$340</definedName>
    <definedName name="stlp42">[7]Parameters!$A$341</definedName>
    <definedName name="stlp43">[7]Parameters!$A$342</definedName>
    <definedName name="stlp44">[7]Parameters!$A$343</definedName>
    <definedName name="stlp45">[7]Parameters!$A$344</definedName>
    <definedName name="stlp46">[7]Parameters!$A$345</definedName>
    <definedName name="stlp47">[7]Parameters!$A$346</definedName>
    <definedName name="stlp48">[7]Parameters!$A$347</definedName>
    <definedName name="stlp49">[7]Parameters!$A$348</definedName>
    <definedName name="stlp4co">[7]Parameters!$G$303</definedName>
    <definedName name="stlp4name">[7]Parameters!$C$303</definedName>
    <definedName name="stlp4sal1">[7]Parameters!$E$303</definedName>
    <definedName name="stlp5">[7]Parameters!$A$304</definedName>
    <definedName name="stlp50">[7]Parameters!$A$349</definedName>
    <definedName name="stlp51">[7]Parameters!$A$350</definedName>
    <definedName name="stlp52">[7]Parameters!$A$351</definedName>
    <definedName name="stlp53">[7]Parameters!$A$352</definedName>
    <definedName name="stlp54">[7]Parameters!$A$353</definedName>
    <definedName name="stlp55">[7]Parameters!$A$354</definedName>
    <definedName name="stlp56">[7]Parameters!$A$355</definedName>
    <definedName name="stlp57">[7]Parameters!$A$356</definedName>
    <definedName name="stlp58">[7]Parameters!$A$357</definedName>
    <definedName name="stlp59">[7]Parameters!$A$358</definedName>
    <definedName name="stlp5co">[7]Parameters!$G$304</definedName>
    <definedName name="stlp5name">[7]Parameters!$C$304</definedName>
    <definedName name="stlp5sal1">[7]Parameters!$E$304</definedName>
    <definedName name="stlp6">[7]Parameters!$A$305</definedName>
    <definedName name="stlp60">[7]Parameters!$A$359</definedName>
    <definedName name="stlp61">[7]Parameters!$A$360</definedName>
    <definedName name="stlp62">[7]Parameters!$A$361</definedName>
    <definedName name="stlp63">[7]Parameters!$A$362</definedName>
    <definedName name="stlp64">[7]Parameters!$A$363</definedName>
    <definedName name="stlp65">[7]Parameters!$A$364</definedName>
    <definedName name="stlp66">[7]Parameters!$A$365</definedName>
    <definedName name="stlp67">[7]Parameters!$A$366</definedName>
    <definedName name="stlp68">[7]Parameters!$A$367</definedName>
    <definedName name="stlp69">[7]Parameters!$A$368</definedName>
    <definedName name="stlp6co">[7]Parameters!$G$305</definedName>
    <definedName name="stlp6name">[7]Parameters!$C$305</definedName>
    <definedName name="stlp6sal1">[7]Parameters!$E$305</definedName>
    <definedName name="stlp7">[7]Parameters!$A$306</definedName>
    <definedName name="stlp70">[7]Parameters!$A$369</definedName>
    <definedName name="stlp71">[7]Parameters!$A$370</definedName>
    <definedName name="stlp72">[7]Parameters!$A$371</definedName>
    <definedName name="stlp73">[7]Parameters!$A$372</definedName>
    <definedName name="stlp74">[7]Parameters!$A$373</definedName>
    <definedName name="stlp75">[7]Parameters!$A$374</definedName>
    <definedName name="stlp7co">[7]Parameters!$G$306</definedName>
    <definedName name="stlp7name">[7]Parameters!$C$306</definedName>
    <definedName name="stlp7sal1">[7]Parameters!$E$306</definedName>
    <definedName name="stlp8">[7]Parameters!$A$307</definedName>
    <definedName name="stlp8co">[7]Parameters!$G$307</definedName>
    <definedName name="stlp8name">[7]Parameters!$C$307</definedName>
    <definedName name="stlp8sal1">[7]Parameters!$E$307</definedName>
    <definedName name="stlp9">[7]Parameters!$A$308</definedName>
    <definedName name="stlp9co">[7]Parameters!$G$308</definedName>
    <definedName name="stlp9name">[7]Parameters!$C$308</definedName>
    <definedName name="stlp9sal1">[7]Parameters!$E$308</definedName>
    <definedName name="stlpco11">[7]Parameters!$G$310</definedName>
    <definedName name="stlpco12">[7]Parameters!$G$311</definedName>
    <definedName name="stlpco13">[7]Parameters!$G$312</definedName>
    <definedName name="stlpco14">[7]Parameters!$G$313</definedName>
    <definedName name="stlpco15">[7]Parameters!$G$314</definedName>
    <definedName name="stlpco16">[7]Parameters!$G$315</definedName>
    <definedName name="stlpco17">[7]Parameters!$G$316</definedName>
    <definedName name="stlpco18">[7]Parameters!$G$317</definedName>
    <definedName name="stlpco19">[7]Parameters!$G$318</definedName>
    <definedName name="stlpco20">[7]Parameters!$G$319</definedName>
    <definedName name="stlpco21">[7]Parameters!$G$320</definedName>
    <definedName name="stlpco22">[7]Parameters!$G$321</definedName>
    <definedName name="stlpco23">[7]Parameters!$G$322</definedName>
    <definedName name="stlpco24">[7]Parameters!$G$323</definedName>
    <definedName name="stlpco25">[7]Parameters!$G$324</definedName>
    <definedName name="stlpco26">[7]Parameters!$G$325</definedName>
    <definedName name="stlpco27">[7]Parameters!$G$326</definedName>
    <definedName name="stlpco28">[7]Parameters!$G$327</definedName>
    <definedName name="stlpco29">[7]Parameters!$G$328</definedName>
    <definedName name="stlpco30">[7]Parameters!$G$329</definedName>
    <definedName name="stlpco31">[7]Parameters!$G$330</definedName>
    <definedName name="stlpco32">[7]Parameters!$G$331</definedName>
    <definedName name="stlpco33">[7]Parameters!$G$332</definedName>
    <definedName name="stlpco34">[7]Parameters!$G$333</definedName>
    <definedName name="stlpco35">[7]Parameters!$G$334</definedName>
    <definedName name="stlpco36">[7]Parameters!$G$335</definedName>
    <definedName name="stlpco37">[7]Parameters!$G$336</definedName>
    <definedName name="stlpco38">[7]Parameters!$G$337</definedName>
    <definedName name="stlpco39">[7]Parameters!$G$338</definedName>
    <definedName name="stlpco40">[7]Parameters!$G$339</definedName>
    <definedName name="stlpco41">[7]Parameters!$G$340</definedName>
    <definedName name="stlpco42">[7]Parameters!$G$341</definedName>
    <definedName name="stlpco43">[7]Parameters!$G$342</definedName>
    <definedName name="stlpco44">[7]Parameters!$G$343</definedName>
    <definedName name="stlpco45">[7]Parameters!$G$344</definedName>
    <definedName name="stlpco46">[7]Parameters!$G$345</definedName>
    <definedName name="stlpco47">[7]Parameters!$G$346</definedName>
    <definedName name="stlpco48">[7]Parameters!$G$347</definedName>
    <definedName name="stlpco49">[7]Parameters!$G$348</definedName>
    <definedName name="stlpco50">[7]Parameters!$G$349</definedName>
    <definedName name="stlpco51">[7]Parameters!$G$350</definedName>
    <definedName name="stlpco52">[7]Parameters!$G$351</definedName>
    <definedName name="stlpco53">[7]Parameters!$G$352</definedName>
    <definedName name="stlpco54">[7]Parameters!$G$353</definedName>
    <definedName name="stlpco55">[7]Parameters!$G$354</definedName>
    <definedName name="stlpco56">[7]Parameters!$G$355</definedName>
    <definedName name="stlpco57">[7]Parameters!$G$356</definedName>
    <definedName name="stlpco58">[7]Parameters!$G$357</definedName>
    <definedName name="stlpco59">[7]Parameters!$G$358</definedName>
    <definedName name="stlpco60">[7]Parameters!$G$359</definedName>
    <definedName name="stlpco61">[7]Parameters!$G$360</definedName>
    <definedName name="stlpco62">[7]Parameters!$G$361</definedName>
    <definedName name="stlpco63">[7]Parameters!$G$362</definedName>
    <definedName name="stlpco64">[7]Parameters!$G$363</definedName>
    <definedName name="stlpco65">[7]Parameters!$G$364</definedName>
    <definedName name="stlpco66">[7]Parameters!$G$365</definedName>
    <definedName name="stlpco67">[7]Parameters!$G$366</definedName>
    <definedName name="stlpco68">[7]Parameters!$G$367</definedName>
    <definedName name="stlpco69">[7]Parameters!$G$368</definedName>
    <definedName name="stlpco70">[7]Parameters!$G$369</definedName>
    <definedName name="stlpco71">[7]Parameters!$G$370</definedName>
    <definedName name="stlpco72">[7]Parameters!$G$371</definedName>
    <definedName name="stlpco73">[7]Parameters!$G$372</definedName>
    <definedName name="stlpco74">[7]Parameters!$G$373</definedName>
    <definedName name="stlpco75">[7]Parameters!$G$374</definedName>
    <definedName name="stlpjob1">[7]Parameters!$I$300</definedName>
    <definedName name="stlpjob10">[7]Parameters!$I$309</definedName>
    <definedName name="stlpjob11">[7]Parameters!$I$310</definedName>
    <definedName name="stlpjob12">[7]Parameters!$I$311</definedName>
    <definedName name="stlpjob13">[7]Parameters!$I$312</definedName>
    <definedName name="stlpjob14">[7]Parameters!$I$313</definedName>
    <definedName name="stlpjob15">[7]Parameters!$I$314</definedName>
    <definedName name="stlpjob16">[7]Parameters!$I$315</definedName>
    <definedName name="stlpjob17">[7]Parameters!$I$316</definedName>
    <definedName name="stlpjob18">[7]Parameters!$I$317</definedName>
    <definedName name="stlpjob19">[7]Parameters!$I$318</definedName>
    <definedName name="stlpjob2">[7]Parameters!$I$301</definedName>
    <definedName name="stlpjob20">[7]Parameters!$I$319</definedName>
    <definedName name="stlpjob21">[7]Parameters!$I$320</definedName>
    <definedName name="stlpjob22">[7]Parameters!$I$321</definedName>
    <definedName name="stlpjob23">[7]Parameters!$I$322</definedName>
    <definedName name="stlpjob24">[7]Parameters!$I$323</definedName>
    <definedName name="stlpjob25">[7]Parameters!$I$324</definedName>
    <definedName name="stlpjob26">[7]Parameters!$I$325</definedName>
    <definedName name="stlpjob27">[7]Parameters!$I$326</definedName>
    <definedName name="stlpjob28">[7]Parameters!$I$327</definedName>
    <definedName name="stlpjob29">[7]Parameters!$I$328</definedName>
    <definedName name="stlpjob3">[7]Parameters!$I$302</definedName>
    <definedName name="stlpjob30">[7]Parameters!$I$329</definedName>
    <definedName name="stlpjob31">[7]Parameters!$I$330</definedName>
    <definedName name="stlpjob32">[7]Parameters!$I$331</definedName>
    <definedName name="stlpjob33">[7]Parameters!$I$332</definedName>
    <definedName name="stlpjob34">[7]Parameters!$I$333</definedName>
    <definedName name="stlpjob35">[7]Parameters!$I$334</definedName>
    <definedName name="stlpjob36">[7]Parameters!$I$335</definedName>
    <definedName name="stlpjob37">[7]Parameters!$I$336</definedName>
    <definedName name="stlpjob38">[7]Parameters!$I$337</definedName>
    <definedName name="stlpjob39">[7]Parameters!$I$338</definedName>
    <definedName name="stlpjob4">[7]Parameters!$I$303</definedName>
    <definedName name="stlpjob40">[7]Parameters!$I$339</definedName>
    <definedName name="stlpjob41">[7]Parameters!$I$340</definedName>
    <definedName name="stlpjob42">[7]Parameters!$I$341</definedName>
    <definedName name="stlpjob43">[7]Parameters!$I$342</definedName>
    <definedName name="stlpjob44">[7]Parameters!$I$343</definedName>
    <definedName name="stlpjob45">[7]Parameters!$I$344</definedName>
    <definedName name="stlpjob46">[7]Parameters!$I$345</definedName>
    <definedName name="stlpjob47">[7]Parameters!$I$346</definedName>
    <definedName name="stlpjob48">[7]Parameters!$I$347</definedName>
    <definedName name="stlpjob49">[7]Parameters!$I$348</definedName>
    <definedName name="stlpjob5">[7]Parameters!$I$304</definedName>
    <definedName name="stlpjob50">[7]Parameters!$I$349</definedName>
    <definedName name="stlpjob51">[7]Parameters!$I$350</definedName>
    <definedName name="stlpjob52">[7]Parameters!$I$351</definedName>
    <definedName name="stlpjob53">[7]Parameters!$I$352</definedName>
    <definedName name="stlpjob54">[7]Parameters!$I$353</definedName>
    <definedName name="stlpjob55">[7]Parameters!$I$354</definedName>
    <definedName name="stlpjob56">[7]Parameters!$I$355</definedName>
    <definedName name="stlpjob57">[7]Parameters!$I$356</definedName>
    <definedName name="stlpjob58">[7]Parameters!$I$357</definedName>
    <definedName name="stlpjob59">[7]Parameters!$I$358</definedName>
    <definedName name="stlpjob6">[7]Parameters!$I$305</definedName>
    <definedName name="stlpjob60">[7]Parameters!$I$359</definedName>
    <definedName name="stlpjob61">[7]Parameters!$I$360</definedName>
    <definedName name="stlpjob62">[7]Parameters!$I$361</definedName>
    <definedName name="stlpjob63">[7]Parameters!$I$362</definedName>
    <definedName name="stlpjob64">[7]Parameters!$I$363</definedName>
    <definedName name="stlpjob65">[7]Parameters!$I$364</definedName>
    <definedName name="stlpjob66">[7]Parameters!$I$365</definedName>
    <definedName name="stlpjob67">[7]Parameters!$I$366</definedName>
    <definedName name="stlpjob68">[7]Parameters!$I$367</definedName>
    <definedName name="stlpjob69">[7]Parameters!$I$368</definedName>
    <definedName name="stlpjob7">[7]Parameters!$I$306</definedName>
    <definedName name="stlpjob70">[7]Parameters!$I$369</definedName>
    <definedName name="stlpjob71">[7]Parameters!$I$370</definedName>
    <definedName name="stlpjob72">[7]Parameters!$I$371</definedName>
    <definedName name="stlpjob73">[7]Parameters!$I$372</definedName>
    <definedName name="stlpjob74">[7]Parameters!$I$373</definedName>
    <definedName name="stlpjob75">[7]Parameters!$I$374</definedName>
    <definedName name="stlpjob8">[7]Parameters!$I$307</definedName>
    <definedName name="stlpjob9">[7]Parameters!$I$308</definedName>
    <definedName name="stlpname11">[7]Parameters!$C$310</definedName>
    <definedName name="stlpname12">[7]Parameters!$C$311</definedName>
    <definedName name="stlpname13">[7]Parameters!$C$312</definedName>
    <definedName name="stlpname14">[7]Parameters!$C$313</definedName>
    <definedName name="stlpname15">[7]Parameters!$C$314</definedName>
    <definedName name="stlpname16">[7]Parameters!$C$315</definedName>
    <definedName name="stlpname17">[7]Parameters!$C$316</definedName>
    <definedName name="stlpname18">[7]Parameters!$C$317</definedName>
    <definedName name="stlpname19">[7]Parameters!$C$318</definedName>
    <definedName name="stlpname20">[7]Parameters!$C$319</definedName>
    <definedName name="stlpname21">[7]Parameters!$C$320</definedName>
    <definedName name="stlpname22">[7]Parameters!$C$321</definedName>
    <definedName name="stlpname23">[7]Parameters!$C$322</definedName>
    <definedName name="stlpname24">[7]Parameters!$C$323</definedName>
    <definedName name="stlpname25">[7]Parameters!$C$324</definedName>
    <definedName name="stlpname26">[7]Parameters!$C$325</definedName>
    <definedName name="stlpname27">[7]Parameters!$C$326</definedName>
    <definedName name="stlpname28">[7]Parameters!$C$327</definedName>
    <definedName name="stlpname29">[7]Parameters!$C$328</definedName>
    <definedName name="stlpname30">[7]Parameters!$C$329</definedName>
    <definedName name="stlpname31">[7]Parameters!$C$330</definedName>
    <definedName name="stlpname32">[7]Parameters!$C$331</definedName>
    <definedName name="stlpname33">[7]Parameters!$C$332</definedName>
    <definedName name="stlpname34">[7]Parameters!$C$333</definedName>
    <definedName name="stlpname35">[7]Parameters!$C$334</definedName>
    <definedName name="stlpname36">[7]Parameters!$C$335</definedName>
    <definedName name="stlpname37">[7]Parameters!$C$336</definedName>
    <definedName name="stlpname38">[7]Parameters!$C$337</definedName>
    <definedName name="stlpname39">[7]Parameters!$C$338</definedName>
    <definedName name="stlpname40">[7]Parameters!$C$339</definedName>
    <definedName name="stlpname41">[7]Parameters!$C$340</definedName>
    <definedName name="stlpname42">[7]Parameters!$C$341</definedName>
    <definedName name="stlpname43">[7]Parameters!$C$342</definedName>
    <definedName name="stlpname44">[7]Parameters!$C$343</definedName>
    <definedName name="stlpname45">[7]Parameters!$C$344</definedName>
    <definedName name="stlpname46">[7]Parameters!$C$345</definedName>
    <definedName name="stlpname47">[7]Parameters!$C$346</definedName>
    <definedName name="stlpname48">[7]Parameters!$C$347</definedName>
    <definedName name="stlpname49">[7]Parameters!$C$348</definedName>
    <definedName name="stlpname50">[7]Parameters!$C$349</definedName>
    <definedName name="stlpname51">[7]Parameters!$C$350</definedName>
    <definedName name="stlpname52">[7]Parameters!$C$351</definedName>
    <definedName name="stlpname53">[7]Parameters!$C$352</definedName>
    <definedName name="stlpname54">[7]Parameters!$C$353</definedName>
    <definedName name="stlpname55">[7]Parameters!$C$354</definedName>
    <definedName name="stlpname56">[7]Parameters!$C$355</definedName>
    <definedName name="stlpname57">[7]Parameters!$C$356</definedName>
    <definedName name="stlpname58">[7]Parameters!$C$357</definedName>
    <definedName name="stlpname59">[7]Parameters!$C$358</definedName>
    <definedName name="stlpname60">[7]Parameters!$C$359</definedName>
    <definedName name="stlpname61">[7]Parameters!$C$360</definedName>
    <definedName name="stlpname62">[7]Parameters!$C$361</definedName>
    <definedName name="stlpname63">[7]Parameters!$C$362</definedName>
    <definedName name="stlpname64">[7]Parameters!$C$363</definedName>
    <definedName name="stlpname65">[7]Parameters!$C$364</definedName>
    <definedName name="stlpname66">[7]Parameters!$C$365</definedName>
    <definedName name="stlpname67">[7]Parameters!$C$366</definedName>
    <definedName name="stlpname68">[7]Parameters!$C$367</definedName>
    <definedName name="stlpname69">[7]Parameters!$C$368</definedName>
    <definedName name="stlpname70">[7]Parameters!$C$369</definedName>
    <definedName name="stlpname71">[7]Parameters!$C$370</definedName>
    <definedName name="stlpname72">[7]Parameters!$C$371</definedName>
    <definedName name="stlpname73">[7]Parameters!$C$372</definedName>
    <definedName name="stlpname74">[7]Parameters!$C$373</definedName>
    <definedName name="stlpname75">[7]Parameters!$C$374</definedName>
    <definedName name="stlpsal11">[7]Parameters!$E$310</definedName>
    <definedName name="stlpsal12">[7]Parameters!$E$311</definedName>
    <definedName name="stlpsal13">[7]Parameters!$E$312</definedName>
    <definedName name="stlpsal14">[7]Parameters!$E$313</definedName>
    <definedName name="stlpsal15">[7]Parameters!$E$314</definedName>
    <definedName name="stlpsal16">[7]Parameters!$E$315</definedName>
    <definedName name="stlpsal17">[7]Parameters!$E$316</definedName>
    <definedName name="stlpsal18">[7]Parameters!$E$317</definedName>
    <definedName name="stlpsal19">[7]Parameters!$E$318</definedName>
    <definedName name="stlpsal20">[7]Parameters!$E$319</definedName>
    <definedName name="stlpsal21">[7]Parameters!$E$320</definedName>
    <definedName name="stlpsal22">[7]Parameters!$E$321</definedName>
    <definedName name="stlpsal23">[7]Parameters!$E$322</definedName>
    <definedName name="stlpsal24">[7]Parameters!$E$323</definedName>
    <definedName name="stlpsal25">[7]Parameters!$E$324</definedName>
    <definedName name="stlpsal26">[7]Parameters!$E$325</definedName>
    <definedName name="stlpsal27">[7]Parameters!$E$326</definedName>
    <definedName name="stlpsal28">[7]Parameters!$E$327</definedName>
    <definedName name="stlpsal29">[7]Parameters!$E$328</definedName>
    <definedName name="stlpsal30">[7]Parameters!$E$329</definedName>
    <definedName name="stlpsal31">[7]Parameters!$E$330</definedName>
    <definedName name="stlpsal32">[7]Parameters!$E$331</definedName>
    <definedName name="stlpsal33">[7]Parameters!$E$332</definedName>
    <definedName name="stlpsal34">[7]Parameters!$E$333</definedName>
    <definedName name="stlpsal35">[7]Parameters!$E$334</definedName>
    <definedName name="stlpsal36">[7]Parameters!$E$335</definedName>
    <definedName name="stlpsal37">[7]Parameters!$E$336</definedName>
    <definedName name="stlpsal38">[7]Parameters!$E$337</definedName>
    <definedName name="stlpsal39">[7]Parameters!$E$338</definedName>
    <definedName name="stlpsal40">[7]Parameters!$E$339</definedName>
    <definedName name="stlpsal41">[7]Parameters!$E$340</definedName>
    <definedName name="stlpsal42">[7]Parameters!$E$341</definedName>
    <definedName name="stlpsal43">[7]Parameters!$E$342</definedName>
    <definedName name="stlpsal44">[7]Parameters!$E$343</definedName>
    <definedName name="stlpsal45">[7]Parameters!$E$344</definedName>
    <definedName name="stlpsal46">[7]Parameters!$E$345</definedName>
    <definedName name="stlpsal47">[7]Parameters!$E$346</definedName>
    <definedName name="stlpsal48">[7]Parameters!$E$347</definedName>
    <definedName name="stlpsal49">[7]Parameters!$E$348</definedName>
    <definedName name="stlpsal50">[7]Parameters!$E$349</definedName>
    <definedName name="stlpsal51">[7]Parameters!$E$350</definedName>
    <definedName name="stlpsal52">[7]Parameters!$E$351</definedName>
    <definedName name="stlpsal53">[7]Parameters!$E$352</definedName>
    <definedName name="stlpsal54">[7]Parameters!$E$353</definedName>
    <definedName name="stlpsal55">[7]Parameters!$E$354</definedName>
    <definedName name="stlpsal56">[7]Parameters!$E$355</definedName>
    <definedName name="stlpsal57">[7]Parameters!$E$356</definedName>
    <definedName name="stlpsal58">[7]Parameters!$E$357</definedName>
    <definedName name="stlpsal59">[7]Parameters!$E$358</definedName>
    <definedName name="stlpsal60">[7]Parameters!$E$359</definedName>
    <definedName name="stlpsal61">[7]Parameters!$E$360</definedName>
    <definedName name="stlpsal62">[7]Parameters!$E$361</definedName>
    <definedName name="stlpsal63">[7]Parameters!$E$362</definedName>
    <definedName name="stlpsal64">[7]Parameters!$E$363</definedName>
    <definedName name="stlpsal65">[7]Parameters!$E$364</definedName>
    <definedName name="stlpsal66">[7]Parameters!$E$365</definedName>
    <definedName name="stlpsal67">[7]Parameters!$E$366</definedName>
    <definedName name="stlpsal68">[7]Parameters!$E$367</definedName>
    <definedName name="stlpsal69">[7]Parameters!$E$368</definedName>
    <definedName name="stlpsal70">[7]Parameters!$E$369</definedName>
    <definedName name="stlpsal71">[7]Parameters!$E$370</definedName>
    <definedName name="stlpsal72">[7]Parameters!$E$371</definedName>
    <definedName name="stlpsal73">[7]Parameters!$E$372</definedName>
    <definedName name="stlpsal74">[7]Parameters!$E$373</definedName>
    <definedName name="stlpsal75">[7]Parameters!$E$374</definedName>
    <definedName name="stmedevac">[5]Parameters!$D$18</definedName>
    <definedName name="STTA_Accra">[42]Assumptions!#REF!</definedName>
    <definedName name="STTA_Dayspertrip">[32]Assumptions!$B$25</definedName>
    <definedName name="STTA_Field">[42]Assumptions!#REF!</definedName>
    <definedName name="sttaperdiembam" localSheetId="13">#REF!</definedName>
    <definedName name="sttaperdiembam">#REF!</definedName>
    <definedName name="sttaperdiemother" localSheetId="13">#REF!</definedName>
    <definedName name="sttaperdiemother">#REF!</definedName>
    <definedName name="sttcn">[7]Parameters!$A$285</definedName>
    <definedName name="sttcn1">[7]Parameters!$A$287</definedName>
    <definedName name="sttcn10">[7]Parameters!$A$296</definedName>
    <definedName name="sttcn10co">[7]Parameters!$G$296</definedName>
    <definedName name="sttcn10name">[7]Parameters!$C$296</definedName>
    <definedName name="sttcn10sal1">[7]Parameters!$E$296</definedName>
    <definedName name="sttcn1co">[7]Parameters!$G$287</definedName>
    <definedName name="sttcn1name">[7]Parameters!$C$287</definedName>
    <definedName name="sttcn1sal1">[7]Parameters!$E$287</definedName>
    <definedName name="sttcn2">[7]Parameters!$A$288</definedName>
    <definedName name="sttcn2co">[7]Parameters!$G$288</definedName>
    <definedName name="sttcn2name">[7]Parameters!$C$288</definedName>
    <definedName name="sttcn2sal1">[7]Parameters!$E$288</definedName>
    <definedName name="sttcn3">[7]Parameters!$A$289</definedName>
    <definedName name="sttcn3co">[7]Parameters!$G$289</definedName>
    <definedName name="sttcn3name">[7]Parameters!$C$289</definedName>
    <definedName name="sttcn3sal1">[7]Parameters!$E$289</definedName>
    <definedName name="sttcn4">[7]Parameters!$A$290</definedName>
    <definedName name="sttcn4co">[7]Parameters!$G$290</definedName>
    <definedName name="sttcn4name">[7]Parameters!$C$290</definedName>
    <definedName name="sttcn4sal1">[7]Parameters!$E$290</definedName>
    <definedName name="sttcn5">[7]Parameters!$A$291</definedName>
    <definedName name="sttcn5co">[7]Parameters!$G$291</definedName>
    <definedName name="sttcn5name">[7]Parameters!$C$291</definedName>
    <definedName name="sttcn5sal1">[7]Parameters!$E$291</definedName>
    <definedName name="sttcn6">[7]Parameters!$A$292</definedName>
    <definedName name="sttcn6co">[7]Parameters!$G$292</definedName>
    <definedName name="sttcn6name">[7]Parameters!$C$292</definedName>
    <definedName name="sttcn6sal1">[7]Parameters!$E$292</definedName>
    <definedName name="sttcn7">[7]Parameters!$A$293</definedName>
    <definedName name="sttcn7co">[7]Parameters!$G$293</definedName>
    <definedName name="sttcn7name">[7]Parameters!$C$293</definedName>
    <definedName name="sttcn7sal1">[7]Parameters!$E$293</definedName>
    <definedName name="sttcn8">[7]Parameters!$A$294</definedName>
    <definedName name="sttcn8co">[7]Parameters!$G$294</definedName>
    <definedName name="sttcn8name">[7]Parameters!$C$294</definedName>
    <definedName name="sttcn8sal1">[7]Parameters!$E$294</definedName>
    <definedName name="sttcn9">[7]Parameters!$A$295</definedName>
    <definedName name="sttcn9co">[7]Parameters!$G$295</definedName>
    <definedName name="sttcn9name">[7]Parameters!$C$295</definedName>
    <definedName name="sttcn9sal1">[7]Parameters!$E$295</definedName>
    <definedName name="sttcnjob1">[7]Parameters!$I$287</definedName>
    <definedName name="sttcnjob10">[7]Parameters!$I$296</definedName>
    <definedName name="sttcnjob2">[7]Parameters!$I$288</definedName>
    <definedName name="sttcnjob3">[7]Parameters!$I$289</definedName>
    <definedName name="sttcnjob4">[7]Parameters!$I$290</definedName>
    <definedName name="sttcnjob5">[7]Parameters!$I$291</definedName>
    <definedName name="sttcnjob6">[7]Parameters!$I$292</definedName>
    <definedName name="sttcnjob7">[7]Parameters!$I$293</definedName>
    <definedName name="sttcnjob8">[7]Parameters!$I$294</definedName>
    <definedName name="sttcnjob9">[7]Parameters!$I$295</definedName>
    <definedName name="sttrip">[5]Parameters!$D$29</definedName>
    <definedName name="Sttripfactor">[12]Sheet1!$C$18</definedName>
    <definedName name="stus">[7]Parameters!$A$207</definedName>
    <definedName name="stus1">[7]Parameters!$A$209</definedName>
    <definedName name="stus10">[7]Parameters!$A$218</definedName>
    <definedName name="stus10co">[7]Parameters!$G$218</definedName>
    <definedName name="stus10name">[7]Parameters!$C$218</definedName>
    <definedName name="stus10sal1">[7]Parameters!$E$218</definedName>
    <definedName name="stus11">[7]Parameters!$A$219</definedName>
    <definedName name="stus12">[7]Parameters!$A$220</definedName>
    <definedName name="stus13">[7]Parameters!$A$221</definedName>
    <definedName name="stus14">[7]Parameters!$A$222</definedName>
    <definedName name="stus15">[7]Parameters!$A$223</definedName>
    <definedName name="stus16">[7]Parameters!$A$224</definedName>
    <definedName name="stus17">[7]Parameters!$A$225</definedName>
    <definedName name="stus18">[7]Parameters!$A$226</definedName>
    <definedName name="stus19">[7]Parameters!$A$227</definedName>
    <definedName name="stus1co">[7]Parameters!$G$209</definedName>
    <definedName name="stus1name">[7]Parameters!$C$209</definedName>
    <definedName name="stus1sal1">[7]Parameters!$E$209</definedName>
    <definedName name="stus2">[7]Parameters!$A$210</definedName>
    <definedName name="stus20">[7]Parameters!$A$228</definedName>
    <definedName name="stus21">[7]Parameters!$A$229</definedName>
    <definedName name="stus22">[7]Parameters!$A$230</definedName>
    <definedName name="stus23">[7]Parameters!$A$231</definedName>
    <definedName name="stus24">[7]Parameters!$A$232</definedName>
    <definedName name="stus25">[7]Parameters!$A$233</definedName>
    <definedName name="stus26">[7]Parameters!$A$234</definedName>
    <definedName name="stus27">[7]Parameters!$A$235</definedName>
    <definedName name="stus28">[7]Parameters!$A$236</definedName>
    <definedName name="stus29">[7]Parameters!$A$237</definedName>
    <definedName name="stus2co">[7]Parameters!$G$210</definedName>
    <definedName name="stus2name">[7]Parameters!$C$210</definedName>
    <definedName name="stus2sal1">[7]Parameters!$E$210</definedName>
    <definedName name="stus3">[7]Parameters!$A$211</definedName>
    <definedName name="stus30">[7]Parameters!$A$238</definedName>
    <definedName name="stus31">[7]Parameters!$A$239</definedName>
    <definedName name="stus32">[7]Parameters!$A$240</definedName>
    <definedName name="stus33">[7]Parameters!$A$241</definedName>
    <definedName name="stus34">[7]Parameters!$A$242</definedName>
    <definedName name="stus35">[7]Parameters!$A$243</definedName>
    <definedName name="stus36">[7]Parameters!$A$244</definedName>
    <definedName name="stus37">[7]Parameters!$A$245</definedName>
    <definedName name="stus38">[7]Parameters!$A$246</definedName>
    <definedName name="stus39">[7]Parameters!$A$247</definedName>
    <definedName name="stus3co">[7]Parameters!$G$211</definedName>
    <definedName name="stus3name">[7]Parameters!$C$211</definedName>
    <definedName name="stus3sal1">[7]Parameters!$E$211</definedName>
    <definedName name="stus4">[7]Parameters!$A$212</definedName>
    <definedName name="stus40">[7]Parameters!$A$248</definedName>
    <definedName name="stus41">[7]Parameters!$A$249</definedName>
    <definedName name="stus42">[7]Parameters!$A$250</definedName>
    <definedName name="stus43">[7]Parameters!$A$251</definedName>
    <definedName name="stus44">[7]Parameters!$A$252</definedName>
    <definedName name="stus45">[7]Parameters!$A$253</definedName>
    <definedName name="stus46">[7]Parameters!$A$254</definedName>
    <definedName name="stus47">[7]Parameters!$A$255</definedName>
    <definedName name="stus48">[7]Parameters!$A$256</definedName>
    <definedName name="stus49">[7]Parameters!$A$257</definedName>
    <definedName name="stus4co">[7]Parameters!$G$212</definedName>
    <definedName name="stus4name">[7]Parameters!$C$212</definedName>
    <definedName name="stus4sal1">[7]Parameters!$E$212</definedName>
    <definedName name="stus5">[7]Parameters!$A$213</definedName>
    <definedName name="stus50">[7]Parameters!$A$258</definedName>
    <definedName name="stus51">[7]Parameters!$A$259</definedName>
    <definedName name="stus52">[7]Parameters!$A$260</definedName>
    <definedName name="stus53">[7]Parameters!$A$261</definedName>
    <definedName name="stus54">[7]Parameters!$A$262</definedName>
    <definedName name="stus55">[7]Parameters!$A$263</definedName>
    <definedName name="stus56">[7]Parameters!$A$264</definedName>
    <definedName name="stus57">[7]Parameters!$A$265</definedName>
    <definedName name="stus58">[7]Parameters!$A$266</definedName>
    <definedName name="stus59">[7]Parameters!$A$267</definedName>
    <definedName name="stus5co">[7]Parameters!$G$213</definedName>
    <definedName name="stus5name">[7]Parameters!$C$213</definedName>
    <definedName name="stus5sal1">[7]Parameters!$E$213</definedName>
    <definedName name="stus6">[7]Parameters!$A$214</definedName>
    <definedName name="stus60">[7]Parameters!$A$268</definedName>
    <definedName name="stus61">[7]Parameters!$A$269</definedName>
    <definedName name="stus62">[7]Parameters!$A$270</definedName>
    <definedName name="stus63">[7]Parameters!$A$271</definedName>
    <definedName name="stus64">[7]Parameters!$A$272</definedName>
    <definedName name="stus65">[7]Parameters!$A$273</definedName>
    <definedName name="stus66">[7]Parameters!$A$274</definedName>
    <definedName name="stus67">[7]Parameters!$A$275</definedName>
    <definedName name="stus68">[7]Parameters!$A$276</definedName>
    <definedName name="stus69">[7]Parameters!$A$277</definedName>
    <definedName name="stus6co">[7]Parameters!$G$214</definedName>
    <definedName name="stus6name">[7]Parameters!$C$214</definedName>
    <definedName name="stus6sal1">[7]Parameters!$E$214</definedName>
    <definedName name="stus7">[7]Parameters!$A$215</definedName>
    <definedName name="stus70">[7]Parameters!$A$278</definedName>
    <definedName name="stus71">[7]Parameters!$A$279</definedName>
    <definedName name="stus72">[7]Parameters!$A$280</definedName>
    <definedName name="stus73">[7]Parameters!$A$281</definedName>
    <definedName name="stus74">[7]Parameters!$A$282</definedName>
    <definedName name="stus75">[7]Parameters!$A$283</definedName>
    <definedName name="stus7co">[7]Parameters!$G$215</definedName>
    <definedName name="stus7name">[7]Parameters!$C$215</definedName>
    <definedName name="stus7sal1">[7]Parameters!$E$215</definedName>
    <definedName name="stus8">[7]Parameters!$A$216</definedName>
    <definedName name="stus8co">[7]Parameters!$G$216</definedName>
    <definedName name="stus8name">[7]Parameters!$C$216</definedName>
    <definedName name="stus8sal1">[7]Parameters!$E$216</definedName>
    <definedName name="stus9">[7]Parameters!$A$217</definedName>
    <definedName name="stus9co">[7]Parameters!$G$217</definedName>
    <definedName name="stus9name">[7]Parameters!$C$217</definedName>
    <definedName name="stus9sal1">[7]Parameters!$E$217</definedName>
    <definedName name="stusco11">[7]Parameters!$G$219</definedName>
    <definedName name="stusco12">[7]Parameters!$G$220</definedName>
    <definedName name="stusco13">[7]Parameters!$G$221</definedName>
    <definedName name="stusco14">[7]Parameters!$G$222</definedName>
    <definedName name="stusco15">[7]Parameters!$G$223</definedName>
    <definedName name="stusco16">[7]Parameters!$G$224</definedName>
    <definedName name="stusco17">[7]Parameters!$G$225</definedName>
    <definedName name="stusco18">[7]Parameters!$G$226</definedName>
    <definedName name="stusco19">[7]Parameters!$G$227</definedName>
    <definedName name="stusco20">[7]Parameters!$G$228</definedName>
    <definedName name="stusco21">[7]Parameters!$G$229</definedName>
    <definedName name="stusco22">[7]Parameters!$G$230</definedName>
    <definedName name="stusco23">[7]Parameters!$G$231</definedName>
    <definedName name="stusco24">[7]Parameters!$G$232</definedName>
    <definedName name="stusco25">[7]Parameters!$G$233</definedName>
    <definedName name="stusco26">[7]Parameters!$G$234</definedName>
    <definedName name="stusco27">[7]Parameters!$G$235</definedName>
    <definedName name="stusco28">[7]Parameters!$G$236</definedName>
    <definedName name="stusco29">[7]Parameters!$G$237</definedName>
    <definedName name="stusco30">[7]Parameters!$G$238</definedName>
    <definedName name="stusco31">[7]Parameters!$G$239</definedName>
    <definedName name="stusco32">[7]Parameters!$G$240</definedName>
    <definedName name="stusco33">[7]Parameters!$G$241</definedName>
    <definedName name="stusco34">[7]Parameters!$G$242</definedName>
    <definedName name="stusco35">[7]Parameters!$G$243</definedName>
    <definedName name="stusco36">[7]Parameters!$G$244</definedName>
    <definedName name="stusco37">[7]Parameters!$G$245</definedName>
    <definedName name="stusco38">[7]Parameters!$G$246</definedName>
    <definedName name="stusco39">[7]Parameters!$G$247</definedName>
    <definedName name="stusco40">[7]Parameters!$G$248</definedName>
    <definedName name="stusco41">[7]Parameters!$G$249</definedName>
    <definedName name="stusco42">[7]Parameters!$G$250</definedName>
    <definedName name="stusco43">[7]Parameters!$G$251</definedName>
    <definedName name="stusco44">[7]Parameters!$G$252</definedName>
    <definedName name="stusco45">[7]Parameters!$G$253</definedName>
    <definedName name="stusco46">[7]Parameters!$G$254</definedName>
    <definedName name="stusco47">[7]Parameters!$G$255</definedName>
    <definedName name="stusco48">[7]Parameters!$G$256</definedName>
    <definedName name="stusco49">[7]Parameters!$G$257</definedName>
    <definedName name="stusco50">[7]Parameters!$G$258</definedName>
    <definedName name="stusco51">[7]Parameters!$G$259</definedName>
    <definedName name="stusco52">[7]Parameters!$G$260</definedName>
    <definedName name="stusco53">[7]Parameters!$G$261</definedName>
    <definedName name="stusco54">[7]Parameters!$G$262</definedName>
    <definedName name="stusco55">[7]Parameters!$G$263</definedName>
    <definedName name="stusco56">[7]Parameters!$G$264</definedName>
    <definedName name="stusco57">[7]Parameters!$G$265</definedName>
    <definedName name="stusco58">[7]Parameters!$G$266</definedName>
    <definedName name="stusco59">[7]Parameters!$G$267</definedName>
    <definedName name="stusco60">[7]Parameters!$G$268</definedName>
    <definedName name="stusco61">[7]Parameters!$G$269</definedName>
    <definedName name="stusco62">[7]Parameters!$G$270</definedName>
    <definedName name="stusco63">[7]Parameters!$G$271</definedName>
    <definedName name="stusco64">[7]Parameters!$G$272</definedName>
    <definedName name="stusco65">[7]Parameters!$G$273</definedName>
    <definedName name="stusco66">[7]Parameters!$G$274</definedName>
    <definedName name="stusco67">[7]Parameters!$G$275</definedName>
    <definedName name="stusco68">[7]Parameters!$G$276</definedName>
    <definedName name="stusco69">[7]Parameters!$G$277</definedName>
    <definedName name="stusco70">[7]Parameters!$G$278</definedName>
    <definedName name="stusco71">[7]Parameters!$G$279</definedName>
    <definedName name="stusco72">[7]Parameters!$G$280</definedName>
    <definedName name="stusco73">[7]Parameters!$G$281</definedName>
    <definedName name="stusco74">[7]Parameters!$G$282</definedName>
    <definedName name="stusco75">[7]Parameters!$G$283</definedName>
    <definedName name="stusjob1">[7]Parameters!$I$209</definedName>
    <definedName name="stusjob10">[7]Parameters!$I$218</definedName>
    <definedName name="stusjob11">[7]Parameters!$I$219</definedName>
    <definedName name="stusjob12">[7]Parameters!$I$220</definedName>
    <definedName name="stusjob13">[7]Parameters!$I$221</definedName>
    <definedName name="stusjob14">[7]Parameters!$I$222</definedName>
    <definedName name="stusjob15">[7]Parameters!$I$223</definedName>
    <definedName name="stusjob16">[7]Parameters!$I$224</definedName>
    <definedName name="stusjob17">[7]Parameters!$I$225</definedName>
    <definedName name="stusjob18">[7]Parameters!$I$226</definedName>
    <definedName name="stusjob19">[7]Parameters!$I$227</definedName>
    <definedName name="stusjob2">[7]Parameters!$I$210</definedName>
    <definedName name="stusjob20">[7]Parameters!$I$228</definedName>
    <definedName name="stusjob21">[7]Parameters!$I$229</definedName>
    <definedName name="stusjob22">[7]Parameters!$I$230</definedName>
    <definedName name="stusjob23">[7]Parameters!$I$231</definedName>
    <definedName name="stusjob24">[7]Parameters!$I$232</definedName>
    <definedName name="stusjob25">[7]Parameters!$I$233</definedName>
    <definedName name="stusjob26">[7]Parameters!$I$234</definedName>
    <definedName name="stusjob27">[7]Parameters!$I$235</definedName>
    <definedName name="stusjob28">[7]Parameters!$I$236</definedName>
    <definedName name="stusjob29">[7]Parameters!$I$237</definedName>
    <definedName name="stusjob3">[7]Parameters!$I$211</definedName>
    <definedName name="stusjob30">[7]Parameters!$I$238</definedName>
    <definedName name="stusjob31">[7]Parameters!$I$239</definedName>
    <definedName name="stusjob32">[7]Parameters!$I$240</definedName>
    <definedName name="stusjob33">[7]Parameters!$I$241</definedName>
    <definedName name="stusjob34">[7]Parameters!$I$242</definedName>
    <definedName name="stusjob35">[7]Parameters!$I$243</definedName>
    <definedName name="stusjob36">[7]Parameters!$I$244</definedName>
    <definedName name="stusjob37">[7]Parameters!$I$245</definedName>
    <definedName name="stusjob38">[7]Parameters!$I$246</definedName>
    <definedName name="stusjob39">[7]Parameters!$I$247</definedName>
    <definedName name="stusjob4">[7]Parameters!$I$212</definedName>
    <definedName name="stusjob40">[7]Parameters!$I$248</definedName>
    <definedName name="stusjob41">[7]Parameters!$I$249</definedName>
    <definedName name="stusjob42">[7]Parameters!$I$250</definedName>
    <definedName name="stusjob43">[7]Parameters!$I$251</definedName>
    <definedName name="stusjob44">[7]Parameters!$I$252</definedName>
    <definedName name="stusjob45">[7]Parameters!$I$253</definedName>
    <definedName name="stusjob46">[7]Parameters!$I$254</definedName>
    <definedName name="stusjob47">[7]Parameters!$I$255</definedName>
    <definedName name="stusjob48">[7]Parameters!$I$256</definedName>
    <definedName name="stusjob49">[7]Parameters!$I$257</definedName>
    <definedName name="stusjob5">[7]Parameters!$I$213</definedName>
    <definedName name="stusjob51">[7]Parameters!$I$259</definedName>
    <definedName name="stusjob52">[7]Parameters!$I$260</definedName>
    <definedName name="stusjob53">[7]Parameters!$I$261</definedName>
    <definedName name="stusjob54">[7]Parameters!$I$262</definedName>
    <definedName name="stusjob55">[7]Parameters!$I$263</definedName>
    <definedName name="stusjob56">[7]Parameters!$I$264</definedName>
    <definedName name="stusjob57">[7]Parameters!$I$265</definedName>
    <definedName name="stusjob58">[7]Parameters!$I$266</definedName>
    <definedName name="stusjob59">[7]Parameters!$I$267</definedName>
    <definedName name="stusjob6">[7]Parameters!$I$214</definedName>
    <definedName name="stusjob60">[7]Parameters!$I$268</definedName>
    <definedName name="stusjob61">[7]Parameters!$I$269</definedName>
    <definedName name="stusjob62">[7]Parameters!$I$270</definedName>
    <definedName name="stusjob63">[7]Parameters!$I$271</definedName>
    <definedName name="stusjob64">[7]Parameters!$I$272</definedName>
    <definedName name="stusjob65">[7]Parameters!$I$273</definedName>
    <definedName name="stusjob66">[7]Parameters!$I$274</definedName>
    <definedName name="stusjob67">[7]Parameters!$I$275</definedName>
    <definedName name="stusjob68">[7]Parameters!$I$276</definedName>
    <definedName name="stusjob69">[7]Parameters!$I$277</definedName>
    <definedName name="stusjob7">[7]Parameters!$I$215</definedName>
    <definedName name="stusjob70">[7]Parameters!$I$278</definedName>
    <definedName name="stusjob71">[7]Parameters!$I$279</definedName>
    <definedName name="stusjob72">[7]Parameters!$I$280</definedName>
    <definedName name="stusjob73">[7]Parameters!$I$281</definedName>
    <definedName name="stusjob74">[7]Parameters!$I$282</definedName>
    <definedName name="stusjob75">[7]Parameters!$I$283</definedName>
    <definedName name="stusjob8">[7]Parameters!$I$216</definedName>
    <definedName name="stusjob9">[7]Parameters!$I$217</definedName>
    <definedName name="stusname11">[7]Parameters!$C$219</definedName>
    <definedName name="stusname12">[7]Parameters!$C$220</definedName>
    <definedName name="stusname13">[7]Parameters!$C$221</definedName>
    <definedName name="stusname14">[7]Parameters!$C$222</definedName>
    <definedName name="stusname15">[7]Parameters!$C$223</definedName>
    <definedName name="stusname16">[7]Parameters!$C$224</definedName>
    <definedName name="stusname17">[7]Parameters!$C$225</definedName>
    <definedName name="stusname18">[7]Parameters!$C$226</definedName>
    <definedName name="stusname19">[7]Parameters!$C$227</definedName>
    <definedName name="stusname20">[7]Parameters!$C$228</definedName>
    <definedName name="stusname21">[7]Parameters!$C$229</definedName>
    <definedName name="stusname22">[7]Parameters!$C$230</definedName>
    <definedName name="stusname23">[7]Parameters!$C$231</definedName>
    <definedName name="stusname24">[7]Parameters!$C$232</definedName>
    <definedName name="stusname25">[7]Parameters!$C$233</definedName>
    <definedName name="stusname26">[7]Parameters!$C$234</definedName>
    <definedName name="stusname27">[7]Parameters!$C$235</definedName>
    <definedName name="stusname28">[7]Parameters!$C$236</definedName>
    <definedName name="stusname29">[7]Parameters!$C$237</definedName>
    <definedName name="stusname30">[7]Parameters!$C$238</definedName>
    <definedName name="stusname31">[7]Parameters!$C$239</definedName>
    <definedName name="stusname32">[7]Parameters!$C$240</definedName>
    <definedName name="stusname33">[7]Parameters!$C$241</definedName>
    <definedName name="stusname34">[7]Parameters!$C$242</definedName>
    <definedName name="stusname35">[7]Parameters!$C$243</definedName>
    <definedName name="stusname36">[7]Parameters!$C$244</definedName>
    <definedName name="stusname37">[7]Parameters!$C$245</definedName>
    <definedName name="stusname38">[7]Parameters!$C$246</definedName>
    <definedName name="stusname39">[7]Parameters!$C$247</definedName>
    <definedName name="stusname40">[7]Parameters!$C$248</definedName>
    <definedName name="stusname41">[7]Parameters!$C$249</definedName>
    <definedName name="stusname42">[7]Parameters!$C$250</definedName>
    <definedName name="stusname43">[7]Parameters!$C$251</definedName>
    <definedName name="stusname44">[7]Parameters!$C$252</definedName>
    <definedName name="stusname45">[7]Parameters!$C$253</definedName>
    <definedName name="stusname46">[7]Parameters!$C$254</definedName>
    <definedName name="stusname47">[7]Parameters!$C$255</definedName>
    <definedName name="stusname48">[7]Parameters!$C$256</definedName>
    <definedName name="stusname49">[7]Parameters!$C$257</definedName>
    <definedName name="stusname50">[7]Parameters!$C$258</definedName>
    <definedName name="stusname51">[7]Parameters!$C$259</definedName>
    <definedName name="stusname52">[7]Parameters!$C$260</definedName>
    <definedName name="stusname53">[7]Parameters!$C$261</definedName>
    <definedName name="stusname54">[7]Parameters!$C$262</definedName>
    <definedName name="stusname55">[7]Parameters!$C$263</definedName>
    <definedName name="stusname56">[7]Parameters!$C$264</definedName>
    <definedName name="stusname57">[7]Parameters!$C$265</definedName>
    <definedName name="stusname58">[7]Parameters!$C$266</definedName>
    <definedName name="stusname59">[7]Parameters!$C$267</definedName>
    <definedName name="stusname60">[7]Parameters!$C$268</definedName>
    <definedName name="stusname61">[7]Parameters!$C$269</definedName>
    <definedName name="stusname62">[7]Parameters!$C$270</definedName>
    <definedName name="stusname63">[7]Parameters!$C$271</definedName>
    <definedName name="stusname64">[7]Parameters!$C$272</definedName>
    <definedName name="stusname65">[7]Parameters!$C$273</definedName>
    <definedName name="stusname66">[7]Parameters!$C$274</definedName>
    <definedName name="stusname67">[7]Parameters!$C$275</definedName>
    <definedName name="stusname68">[7]Parameters!$C$276</definedName>
    <definedName name="stusname69">[7]Parameters!$C$277</definedName>
    <definedName name="stusname70">[7]Parameters!$C$278</definedName>
    <definedName name="stusname71">[7]Parameters!$C$279</definedName>
    <definedName name="stusname72">[7]Parameters!$C$280</definedName>
    <definedName name="stusname73">[7]Parameters!$C$281</definedName>
    <definedName name="stusname74">[7]Parameters!$C$282</definedName>
    <definedName name="stusname75">[7]Parameters!$C$283</definedName>
    <definedName name="stussal11">[7]Parameters!$E$219</definedName>
    <definedName name="stussal12">[7]Parameters!$E$220</definedName>
    <definedName name="stussal13">[7]Parameters!$E$221</definedName>
    <definedName name="stussal14">[7]Parameters!$E$222</definedName>
    <definedName name="stussal15">[7]Parameters!$E$223</definedName>
    <definedName name="stussal16">[7]Parameters!$E$224</definedName>
    <definedName name="stussal17">[7]Parameters!$E$225</definedName>
    <definedName name="stussal18">[7]Parameters!$E$226</definedName>
    <definedName name="stussal19">[7]Parameters!$E$227</definedName>
    <definedName name="stussal20">[7]Parameters!$E$228</definedName>
    <definedName name="stussal21">[7]Parameters!$E$229</definedName>
    <definedName name="stussal22">[7]Parameters!$E$230</definedName>
    <definedName name="stussal23">[7]Parameters!$E$231</definedName>
    <definedName name="stussal24">[7]Parameters!$E$232</definedName>
    <definedName name="stussal25">[7]Parameters!$E$233</definedName>
    <definedName name="stussal26">[7]Parameters!$E$234</definedName>
    <definedName name="stussal27">[7]Parameters!$E$235</definedName>
    <definedName name="stussal28">[7]Parameters!$E$236</definedName>
    <definedName name="stussal29">[7]Parameters!$E$237</definedName>
    <definedName name="stussal30">[7]Parameters!$E$238</definedName>
    <definedName name="stussal31">[7]Parameters!$E$239</definedName>
    <definedName name="stussal32">[7]Parameters!$E$240</definedName>
    <definedName name="stussal33">[7]Parameters!$E$241</definedName>
    <definedName name="stussal34">[7]Parameters!$E$242</definedName>
    <definedName name="stussal35">[7]Parameters!$E$243</definedName>
    <definedName name="stussal36">[7]Parameters!$E$244</definedName>
    <definedName name="stussal37">[7]Parameters!$E$245</definedName>
    <definedName name="stussal38">[7]Parameters!$E$246</definedName>
    <definedName name="stussal39">[7]Parameters!$E$247</definedName>
    <definedName name="stussal40">[7]Parameters!$E$248</definedName>
    <definedName name="stussal41">[7]Parameters!$E$249</definedName>
    <definedName name="stussal42">[7]Parameters!$E$250</definedName>
    <definedName name="stussal43">[7]Parameters!$E$251</definedName>
    <definedName name="stussal44">[7]Parameters!$E$252</definedName>
    <definedName name="stussal45">[7]Parameters!$E$253</definedName>
    <definedName name="stussal46">[7]Parameters!$E$254</definedName>
    <definedName name="stussal47">[7]Parameters!$E$255</definedName>
    <definedName name="stussal48">[7]Parameters!$E$256</definedName>
    <definedName name="stussal49">[7]Parameters!$E$257</definedName>
    <definedName name="stussal50">[7]Parameters!$E$258</definedName>
    <definedName name="stussal51">[7]Parameters!$E$259</definedName>
    <definedName name="stussal52">[7]Parameters!$E$260</definedName>
    <definedName name="stussal53">[7]Parameters!$E$261</definedName>
    <definedName name="stussal54">[7]Parameters!$E$262</definedName>
    <definedName name="stussal55">[7]Parameters!$E$263</definedName>
    <definedName name="stussal56">[7]Parameters!$E$264</definedName>
    <definedName name="stussal57">[7]Parameters!$E$265</definedName>
    <definedName name="stussal58">[7]Parameters!$E$266</definedName>
    <definedName name="stussal59">[7]Parameters!$E$267</definedName>
    <definedName name="stussal60">[7]Parameters!$E$268</definedName>
    <definedName name="stussal61">[7]Parameters!$E$269</definedName>
    <definedName name="stussal62">[7]Parameters!$E$270</definedName>
    <definedName name="stussal63">[7]Parameters!$E$271</definedName>
    <definedName name="stussal64">[7]Parameters!$E$272</definedName>
    <definedName name="stussal65">[7]Parameters!$E$273</definedName>
    <definedName name="stussal66">[7]Parameters!$E$274</definedName>
    <definedName name="stussal67">[7]Parameters!$E$275</definedName>
    <definedName name="stussal68">[7]Parameters!$E$276</definedName>
    <definedName name="stussal69">[7]Parameters!$E$277</definedName>
    <definedName name="stussal70">[7]Parameters!$E$278</definedName>
    <definedName name="stussal71">[7]Parameters!$E$279</definedName>
    <definedName name="stussal72">[7]Parameters!$E$280</definedName>
    <definedName name="stussal73">[7]Parameters!$E$281</definedName>
    <definedName name="stussal74">[7]Parameters!$E$282</definedName>
    <definedName name="stussal75">[7]Parameters!$E$283</definedName>
    <definedName name="Sub">[10]RATES!#REF!</definedName>
    <definedName name="sub10fee">[7]Parameters!$V$497</definedName>
    <definedName name="sub10fringeexp">[7]Parameters!$V$486</definedName>
    <definedName name="sub10fringeloc">[7]Parameters!$V$487</definedName>
    <definedName name="sub10ga">[7]Parameters!$V$494</definedName>
    <definedName name="sub10ohfo">[7]Parameters!$V$491</definedName>
    <definedName name="sub1name">[7]Parameters!$B$17</definedName>
    <definedName name="sub2name">[7]Parameters!$B$18</definedName>
    <definedName name="sub3name">[7]Parameters!$B$19</definedName>
    <definedName name="sub4name">[7]Parameters!$B$20</definedName>
    <definedName name="sub5name">[7]Parameters!$B$21</definedName>
    <definedName name="SUBCONTRACOR_IDs">#REF!</definedName>
    <definedName name="subcontractor">#REF!</definedName>
    <definedName name="subfee">#REF!</definedName>
    <definedName name="subho">[7]Parameters!$A$455</definedName>
    <definedName name="subho1">[7]Parameters!$A$457</definedName>
    <definedName name="subho10">[7]Parameters!$A$466</definedName>
    <definedName name="subho10co">[7]Parameters!$G$466</definedName>
    <definedName name="subho10name">[7]Parameters!$C$466</definedName>
    <definedName name="subho10sal1">[7]Parameters!$E$466</definedName>
    <definedName name="subho1co">[7]Parameters!$G$457</definedName>
    <definedName name="subho1name">[7]Parameters!$C$457</definedName>
    <definedName name="subho1sal1">[7]Parameters!$E$457</definedName>
    <definedName name="subho2">[7]Parameters!$A$458</definedName>
    <definedName name="subho2co">[7]Parameters!$G$458</definedName>
    <definedName name="subho2name">[7]Parameters!$C$458</definedName>
    <definedName name="subho2sal1">[7]Parameters!$E$458</definedName>
    <definedName name="subho3">[7]Parameters!$A$459</definedName>
    <definedName name="subho3co">[7]Parameters!$G$459</definedName>
    <definedName name="subho3name">[7]Parameters!$C$459</definedName>
    <definedName name="subho3sal1">[7]Parameters!$E$459</definedName>
    <definedName name="subho4">[7]Parameters!$A$460</definedName>
    <definedName name="subho4co">[7]Parameters!$G$460</definedName>
    <definedName name="subho4name">[7]Parameters!$C$460</definedName>
    <definedName name="subho4sal1">[7]Parameters!$E$460</definedName>
    <definedName name="subho5">[7]Parameters!$A$461</definedName>
    <definedName name="subho5co">[7]Parameters!$G$461</definedName>
    <definedName name="subho5name">[7]Parameters!$C$461</definedName>
    <definedName name="subho5sal1">[7]Parameters!$E$461</definedName>
    <definedName name="subho6">[7]Parameters!$A$462</definedName>
    <definedName name="subho6co">[7]Parameters!$G$462</definedName>
    <definedName name="subho6name">[7]Parameters!$C$462</definedName>
    <definedName name="subho6sal1">[7]Parameters!$E$462</definedName>
    <definedName name="subho7">[7]Parameters!$A$463</definedName>
    <definedName name="subho7co">[7]Parameters!$G$463</definedName>
    <definedName name="subho7name">[7]Parameters!$C$463</definedName>
    <definedName name="subho7sal1">[7]Parameters!$E$463</definedName>
    <definedName name="subho8">[7]Parameters!$A$464</definedName>
    <definedName name="subho8co">[7]Parameters!$G$464</definedName>
    <definedName name="subho8name">[7]Parameters!$C$464</definedName>
    <definedName name="subho8sal1">[7]Parameters!$E$464</definedName>
    <definedName name="subho9">[7]Parameters!$A$465</definedName>
    <definedName name="subho9co">[7]Parameters!$G$465</definedName>
    <definedName name="subho9name">[7]Parameters!$C$465</definedName>
    <definedName name="subho9sal1">[7]Parameters!$E$465</definedName>
    <definedName name="subhojob1">[7]Parameters!$I$457</definedName>
    <definedName name="subhojob10">[7]Parameters!$I$466</definedName>
    <definedName name="subhojob2">[7]Parameters!$I$458</definedName>
    <definedName name="subhojob3">[7]Parameters!$I$459</definedName>
    <definedName name="subhojob4">[7]Parameters!$I$460</definedName>
    <definedName name="subhojob5">[7]Parameters!$I$461</definedName>
    <definedName name="subhojob6">[7]Parameters!$I$462</definedName>
    <definedName name="subhojob7">[7]Parameters!$I$463</definedName>
    <definedName name="subhojob8">[7]Parameters!$I$464</definedName>
    <definedName name="subhojob9">[7]Parameters!$I$465</definedName>
    <definedName name="submulti">1.09*1.12</definedName>
    <definedName name="subname10">[7]Parameters!$B$26</definedName>
    <definedName name="subname11">[7]Parameters!$B$27</definedName>
    <definedName name="subname12">[7]Parameters!$B$28</definedName>
    <definedName name="subname13">[7]Parameters!$B$29</definedName>
    <definedName name="subname14">[7]Parameters!$B$30</definedName>
    <definedName name="subname15">[7]Parameters!$B$31</definedName>
    <definedName name="subname6">[7]Parameters!$B$22</definedName>
    <definedName name="subname7">[7]Parameters!$B$23</definedName>
    <definedName name="subname8">[7]Parameters!$B$24</definedName>
    <definedName name="subname9">[7]Parameters!$B$25</definedName>
    <definedName name="SUMMARY">#REF!</definedName>
    <definedName name="SUMSHELL">#REF!</definedName>
    <definedName name="SV">[43]Sheet1!$M$3:$M$8</definedName>
    <definedName name="tcn">[7]Parameters!$A$115</definedName>
    <definedName name="TCN_CCN">#REF!</definedName>
    <definedName name="TCN_Fringe">#REF!</definedName>
    <definedName name="tcn10co">[7]Parameters!$G$126</definedName>
    <definedName name="tcn10name">[7]Parameters!$C$126</definedName>
    <definedName name="tcn10sal1">[7]Parameters!$E$126</definedName>
    <definedName name="tcn1co">[7]Parameters!$G$117</definedName>
    <definedName name="tcn1name">[7]Parameters!$C$117</definedName>
    <definedName name="tcn1sal1">[7]Parameters!$E$117</definedName>
    <definedName name="tcn2co">[7]Parameters!$G$118</definedName>
    <definedName name="tcn2name">[7]Parameters!$C$118</definedName>
    <definedName name="tcn2sal1">[7]Parameters!$E$118</definedName>
    <definedName name="tcn3co">[7]Parameters!$G$119</definedName>
    <definedName name="tcn3name">[7]Parameters!$C$119</definedName>
    <definedName name="tcn3sal1">[7]Parameters!$E$119</definedName>
    <definedName name="tcn4co">[7]Parameters!$G$120</definedName>
    <definedName name="tcn4name">[7]Parameters!$C$120</definedName>
    <definedName name="tcn4sal1">[7]Parameters!$E$120</definedName>
    <definedName name="tcn5co">[7]Parameters!$G$121</definedName>
    <definedName name="tcn5name">[7]Parameters!$C$121</definedName>
    <definedName name="tcn5sal1">[7]Parameters!$E$121</definedName>
    <definedName name="tcn6co">[7]Parameters!$G$122</definedName>
    <definedName name="tcn6name">[7]Parameters!$C$122</definedName>
    <definedName name="tcn6sal1">[7]Parameters!$E$122</definedName>
    <definedName name="tcn7co">[7]Parameters!$G$123</definedName>
    <definedName name="tcn7name">[7]Parameters!$C$123</definedName>
    <definedName name="tcn7sal1">[7]Parameters!$E$123</definedName>
    <definedName name="tcn8co">[7]Parameters!$G$124</definedName>
    <definedName name="tcn8name">[7]Parameters!$C$124</definedName>
    <definedName name="tcn8sal1">[7]Parameters!$E$124</definedName>
    <definedName name="tcn9co">[7]Parameters!$G$125</definedName>
    <definedName name="tcn9name">[7]Parameters!$C$125</definedName>
    <definedName name="tcn9sal1">[7]Parameters!$E$125</definedName>
    <definedName name="TCNCCNSTTA_DaysYr1">'[44]B. Local Hire and TCNs'!$I$20</definedName>
    <definedName name="TCNCCNSTTA_DaysYr2">'[44]B. Local Hire and TCNs'!$K$20</definedName>
    <definedName name="TCNCCNSTTA_DaysYr3">'[44]B. Local Hire and TCNs'!$M$20</definedName>
    <definedName name="TCNCCNSTTA_DaysYr4">'[44]B. Local Hire and TCNs'!$O$20</definedName>
    <definedName name="TCNCCNSTTA_DaysYr5">'[44]B. Local Hire and TCNs'!$Q$20</definedName>
    <definedName name="tcnjob1">[7]Parameters!$I$117</definedName>
    <definedName name="tcnjob10">[7]Parameters!$I$126</definedName>
    <definedName name="tcnjob2">[7]Parameters!$I$118</definedName>
    <definedName name="tcnjob3">[7]Parameters!$I$119</definedName>
    <definedName name="tcnjob4">[7]Parameters!$I$120</definedName>
    <definedName name="tcnjob5">[7]Parameters!$I$121</definedName>
    <definedName name="tcnjob6">[7]Parameters!$I$122</definedName>
    <definedName name="tcnjob7">[7]Parameters!$I$123</definedName>
    <definedName name="tcnjob8">[7]Parameters!$I$124</definedName>
    <definedName name="tcnjob9">[7]Parameters!$I$125</definedName>
    <definedName name="Telephone">#REF!</definedName>
    <definedName name="Temp" localSheetId="5" hidden="1">{#N/A,#N/A,FALSE,"ManLoading"}</definedName>
    <definedName name="Temp" localSheetId="6" hidden="1">{#N/A,#N/A,FALSE,"ManLoading"}</definedName>
    <definedName name="Temp" localSheetId="7" hidden="1">{#N/A,#N/A,FALSE,"ManLoading"}</definedName>
    <definedName name="Temp" localSheetId="8" hidden="1">{#N/A,#N/A,FALSE,"ManLoading"}</definedName>
    <definedName name="Temp" localSheetId="9" hidden="1">{#N/A,#N/A,FALSE,"ManLoading"}</definedName>
    <definedName name="Temp" localSheetId="10" hidden="1">{#N/A,#N/A,FALSE,"ManLoading"}</definedName>
    <definedName name="Temp" localSheetId="11" hidden="1">{#N/A,#N/A,FALSE,"ManLoading"}</definedName>
    <definedName name="Temp" localSheetId="12" hidden="1">{#N/A,#N/A,FALSE,"ManLoading"}</definedName>
    <definedName name="Temp" localSheetId="4" hidden="1">{#N/A,#N/A,FALSE,"ManLoading"}</definedName>
    <definedName name="Temp" localSheetId="3" hidden="1">{#N/A,#N/A,FALSE,"ManLoading"}</definedName>
    <definedName name="Temp" localSheetId="13" hidden="1">{#N/A,#N/A,FALSE,"ManLoading"}</definedName>
    <definedName name="Temp" hidden="1">{#N/A,#N/A,FALSE,"ManLoading"}</definedName>
    <definedName name="Test">#REF!</definedName>
    <definedName name="Title">[12]Sheet1!$C$15</definedName>
    <definedName name="TOPA">'[45]SF 1411'!#REF!</definedName>
    <definedName name="topost">[5]Parameters!$D$23</definedName>
    <definedName name="totonicapan">#REF!</definedName>
    <definedName name="Trade11">[10]RATES!#REF!</definedName>
    <definedName name="Trade12">[10]RATES!#REF!</definedName>
    <definedName name="Trade13">[10]RATES!#REF!</definedName>
    <definedName name="Trade41">[10]RATES!#REF!</definedName>
    <definedName name="Trade42">[10]RATES!#REF!</definedName>
    <definedName name="Trade43">[10]RATES!#REF!</definedName>
    <definedName name="Trade51">[10]RATES!#REF!</definedName>
    <definedName name="Trade52">[10]RATES!#REF!</definedName>
    <definedName name="Trade53">[10]RATES!#REF!</definedName>
    <definedName name="Transit">#REF!</definedName>
    <definedName name="TRAVEL">#REF!</definedName>
    <definedName name="traveldays">[16]Assumptions!$D$28</definedName>
    <definedName name="TRG">#N/A</definedName>
    <definedName name="TRIPS">#N/A</definedName>
    <definedName name="TRM">#REF!</definedName>
    <definedName name="trsty" localSheetId="5" hidden="1">{"PAGE1",#N/A,FALSE,"CPFFMSTR";"PAGE2",#N/A,FALSE,"CPFFMSTR"}</definedName>
    <definedName name="trsty" localSheetId="6" hidden="1">{"PAGE1",#N/A,FALSE,"CPFFMSTR";"PAGE2",#N/A,FALSE,"CPFFMSTR"}</definedName>
    <definedName name="trsty" localSheetId="7" hidden="1">{"PAGE1",#N/A,FALSE,"CPFFMSTR";"PAGE2",#N/A,FALSE,"CPFFMSTR"}</definedName>
    <definedName name="trsty" localSheetId="8" hidden="1">{"PAGE1",#N/A,FALSE,"CPFFMSTR";"PAGE2",#N/A,FALSE,"CPFFMSTR"}</definedName>
    <definedName name="trsty" localSheetId="9" hidden="1">{"PAGE1",#N/A,FALSE,"CPFFMSTR";"PAGE2",#N/A,FALSE,"CPFFMSTR"}</definedName>
    <definedName name="trsty" localSheetId="10" hidden="1">{"PAGE1",#N/A,FALSE,"CPFFMSTR";"PAGE2",#N/A,FALSE,"CPFFMSTR"}</definedName>
    <definedName name="trsty" localSheetId="11" hidden="1">{"PAGE1",#N/A,FALSE,"CPFFMSTR";"PAGE2",#N/A,FALSE,"CPFFMSTR"}</definedName>
    <definedName name="trsty" localSheetId="12" hidden="1">{"PAGE1",#N/A,FALSE,"CPFFMSTR";"PAGE2",#N/A,FALSE,"CPFFMSTR"}</definedName>
    <definedName name="trsty" localSheetId="4" hidden="1">{"PAGE1",#N/A,FALSE,"CPFFMSTR";"PAGE2",#N/A,FALSE,"CPFFMSTR"}</definedName>
    <definedName name="trsty" localSheetId="3" hidden="1">{"PAGE1",#N/A,FALSE,"CPFFMSTR";"PAGE2",#N/A,FALSE,"CPFFMSTR"}</definedName>
    <definedName name="trsty" localSheetId="13" hidden="1">{"PAGE1",#N/A,FALSE,"CPFFMSTR";"PAGE2",#N/A,FALSE,"CPFFMSTR"}</definedName>
    <definedName name="trsty" hidden="1">{"PAGE1",#N/A,FALSE,"CPFFMSTR";"PAGE2",#N/A,FALSE,"CPFFMSTR"}</definedName>
    <definedName name="Tulaneclin1">#REF!</definedName>
    <definedName name="tulaneclin2">#REF!</definedName>
    <definedName name="tulaneclin3">#REF!</definedName>
    <definedName name="UFFVA">#N/A</definedName>
    <definedName name="ULAB">#N/A</definedName>
    <definedName name="UNITS">#REF!</definedName>
    <definedName name="Unsure" localSheetId="5" hidden="1">{#N/A,#N/A,FALSE,"ManLoading"}</definedName>
    <definedName name="Unsure" localSheetId="6" hidden="1">{#N/A,#N/A,FALSE,"ManLoading"}</definedName>
    <definedName name="Unsure" localSheetId="7" hidden="1">{#N/A,#N/A,FALSE,"ManLoading"}</definedName>
    <definedName name="Unsure" localSheetId="8" hidden="1">{#N/A,#N/A,FALSE,"ManLoading"}</definedName>
    <definedName name="Unsure" localSheetId="9" hidden="1">{#N/A,#N/A,FALSE,"ManLoading"}</definedName>
    <definedName name="Unsure" localSheetId="10" hidden="1">{#N/A,#N/A,FALSE,"ManLoading"}</definedName>
    <definedName name="Unsure" localSheetId="11" hidden="1">{#N/A,#N/A,FALSE,"ManLoading"}</definedName>
    <definedName name="Unsure" localSheetId="12" hidden="1">{#N/A,#N/A,FALSE,"ManLoading"}</definedName>
    <definedName name="Unsure" localSheetId="4" hidden="1">{#N/A,#N/A,FALSE,"ManLoading"}</definedName>
    <definedName name="Unsure" localSheetId="13" hidden="1">{#N/A,#N/A,FALSE,"ManLoading"}</definedName>
    <definedName name="Unsure" hidden="1">{#N/A,#N/A,FALSE,"ManLoading"}</definedName>
    <definedName name="UODC">#N/A</definedName>
    <definedName name="us">[7]Parameters!$A$37</definedName>
    <definedName name="us10co">[7]Parameters!$G$48</definedName>
    <definedName name="us10name">[7]Parameters!$C$48</definedName>
    <definedName name="us10sal1">[7]Parameters!$E$48</definedName>
    <definedName name="us1co">[7]Parameters!$G$39</definedName>
    <definedName name="us1name">[7]Parameters!$C$39</definedName>
    <definedName name="us1sal1">[7]Parameters!$E$39</definedName>
    <definedName name="us2co">[7]Parameters!$G$40</definedName>
    <definedName name="us2name">[7]Parameters!$C$40</definedName>
    <definedName name="us2sal1">[7]Parameters!$E$40</definedName>
    <definedName name="us3co">[7]Parameters!$G$41</definedName>
    <definedName name="us3name">[7]Parameters!$C$41</definedName>
    <definedName name="us3sal1">[7]Parameters!$E$41</definedName>
    <definedName name="us4co">[7]Parameters!$G$42</definedName>
    <definedName name="us4name">[7]Parameters!$C$42</definedName>
    <definedName name="us4sal1">[7]Parameters!$E$42</definedName>
    <definedName name="us5co">[7]Parameters!$G$43</definedName>
    <definedName name="us5name">[7]Parameters!$C$43</definedName>
    <definedName name="us5sal1">[7]Parameters!$E$43</definedName>
    <definedName name="us6co">[7]Parameters!$G$44</definedName>
    <definedName name="us6name">[7]Parameters!$C$44</definedName>
    <definedName name="us6sal1">[7]Parameters!$E$44</definedName>
    <definedName name="us7co">[7]Parameters!$G$45</definedName>
    <definedName name="us7name">[7]Parameters!$C$45</definedName>
    <definedName name="us7sal1">[7]Parameters!$E$45</definedName>
    <definedName name="us8co">[7]Parameters!$G$46</definedName>
    <definedName name="us8name">[7]Parameters!$C$46</definedName>
    <definedName name="us8sal1">[7]Parameters!$E$46</definedName>
    <definedName name="us9co">[7]Parameters!$G$47</definedName>
    <definedName name="us9name">[7]Parameters!$C$47</definedName>
    <definedName name="us9sal1">[7]Parameters!$E$47</definedName>
    <definedName name="usco11">[7]Parameters!$G$49</definedName>
    <definedName name="usco12">[7]Parameters!$G$50</definedName>
    <definedName name="usco13">[7]Parameters!$G$51</definedName>
    <definedName name="usco14">[7]Parameters!$G$52</definedName>
    <definedName name="usco15">[7]Parameters!$G$53</definedName>
    <definedName name="usco16">[7]Parameters!$G$54</definedName>
    <definedName name="usco17">[7]Parameters!$G$55</definedName>
    <definedName name="usco18">[7]Parameters!$G$56</definedName>
    <definedName name="usco19">[7]Parameters!$G$57</definedName>
    <definedName name="usco20">[7]Parameters!$G$58</definedName>
    <definedName name="usco21">[7]Parameters!$G$59</definedName>
    <definedName name="usco22">[7]Parameters!$G$60</definedName>
    <definedName name="usco23">[7]Parameters!$G$61</definedName>
    <definedName name="usco24">[7]Parameters!$G$62</definedName>
    <definedName name="usco25">[7]Parameters!$G$63</definedName>
    <definedName name="usco26">[7]Parameters!$G$64</definedName>
    <definedName name="usco27">[7]Parameters!$G$65</definedName>
    <definedName name="usco28">[7]Parameters!$G$66</definedName>
    <definedName name="usco29">[7]Parameters!$G$67</definedName>
    <definedName name="usco30">[7]Parameters!$G$68</definedName>
    <definedName name="usco31">[7]Parameters!$G$69</definedName>
    <definedName name="usco32">[7]Parameters!$G$70</definedName>
    <definedName name="usco33">[7]Parameters!$G$71</definedName>
    <definedName name="usco34">[7]Parameters!$G$72</definedName>
    <definedName name="usco35">[7]Parameters!$G$73</definedName>
    <definedName name="usco36">[7]Parameters!$G$74</definedName>
    <definedName name="usco37">[7]Parameters!$G$75</definedName>
    <definedName name="usco38">[7]Parameters!$G$76</definedName>
    <definedName name="usco39">[7]Parameters!$G$77</definedName>
    <definedName name="usco40">[7]Parameters!$G$78</definedName>
    <definedName name="usco41">[7]Parameters!$G$79</definedName>
    <definedName name="usco42">[7]Parameters!$G$80</definedName>
    <definedName name="usco43">[7]Parameters!$G$81</definedName>
    <definedName name="usco44">[7]Parameters!$G$82</definedName>
    <definedName name="usco45">[7]Parameters!$G$83</definedName>
    <definedName name="usco46">[7]Parameters!$G$84</definedName>
    <definedName name="usco47">[7]Parameters!$G$85</definedName>
    <definedName name="usco48">[7]Parameters!$G$86</definedName>
    <definedName name="usco49">[7]Parameters!$G$87</definedName>
    <definedName name="usco50">[7]Parameters!$G$88</definedName>
    <definedName name="usco51">[7]Parameters!$G$89</definedName>
    <definedName name="usco52">[7]Parameters!$G$90</definedName>
    <definedName name="usco53">[7]Parameters!$G$91</definedName>
    <definedName name="usco54">[7]Parameters!$G$92</definedName>
    <definedName name="usco55">[7]Parameters!$G$93</definedName>
    <definedName name="usco56">[7]Parameters!$G$94</definedName>
    <definedName name="usco57">[7]Parameters!$G$95</definedName>
    <definedName name="usco58">[7]Parameters!$G$96</definedName>
    <definedName name="usco59">[7]Parameters!$G$97</definedName>
    <definedName name="usco60">[7]Parameters!$G$98</definedName>
    <definedName name="usco61">[7]Parameters!$G$99</definedName>
    <definedName name="usco62">[7]Parameters!$G$100</definedName>
    <definedName name="usco63">[7]Parameters!$G$101</definedName>
    <definedName name="usco64">[7]Parameters!$G$102</definedName>
    <definedName name="usco65">[7]Parameters!$G$103</definedName>
    <definedName name="usco66">[7]Parameters!$G$104</definedName>
    <definedName name="usco67">[7]Parameters!$G$105</definedName>
    <definedName name="usco68">[7]Parameters!$G$106</definedName>
    <definedName name="usco69">[7]Parameters!$G$107</definedName>
    <definedName name="usco70">[7]Parameters!$G$108</definedName>
    <definedName name="usco71">[7]Parameters!$G$109</definedName>
    <definedName name="usco72">[7]Parameters!$G$110</definedName>
    <definedName name="usco73">[7]Parameters!$G$111</definedName>
    <definedName name="usco74">[7]Parameters!$G$112</definedName>
    <definedName name="usco75">[7]Parameters!$G$113</definedName>
    <definedName name="usd">#REF!</definedName>
    <definedName name="usinf">0.035</definedName>
    <definedName name="usjob1">[7]Parameters!$I$39</definedName>
    <definedName name="usjob10">[7]Parameters!$I$48</definedName>
    <definedName name="usjob11">[7]Parameters!$I$49</definedName>
    <definedName name="usjob12">[7]Parameters!$I$50</definedName>
    <definedName name="usjob13">[7]Parameters!$I$51</definedName>
    <definedName name="usjob14">[7]Parameters!$I$52</definedName>
    <definedName name="usjob15">[7]Parameters!$I$53</definedName>
    <definedName name="usjob16">[7]Parameters!$I$54</definedName>
    <definedName name="usjob17">[7]Parameters!$I$55</definedName>
    <definedName name="usjob18">[7]Parameters!$I$56</definedName>
    <definedName name="usjob19">[7]Parameters!$I$57</definedName>
    <definedName name="usjob2">[7]Parameters!$I$40</definedName>
    <definedName name="usjob20">[7]Parameters!$I$58</definedName>
    <definedName name="usjob21">[7]Parameters!$I$59</definedName>
    <definedName name="usjob22">[7]Parameters!$I$60</definedName>
    <definedName name="usjob23">[7]Parameters!$I$61</definedName>
    <definedName name="usjob24">[7]Parameters!$I$62</definedName>
    <definedName name="usjob25">[7]Parameters!$I$63</definedName>
    <definedName name="usjob26">[7]Parameters!$I$64</definedName>
    <definedName name="usjob27">[7]Parameters!$I$65</definedName>
    <definedName name="usjob28">[7]Parameters!$I$66</definedName>
    <definedName name="usjob29">[7]Parameters!$I$67</definedName>
    <definedName name="usjob3">[7]Parameters!$I$41</definedName>
    <definedName name="usjob30">[7]Parameters!$I$68</definedName>
    <definedName name="usjob31">[7]Parameters!$I$69</definedName>
    <definedName name="usjob32">[7]Parameters!$I$70</definedName>
    <definedName name="usjob33">[7]Parameters!$I$71</definedName>
    <definedName name="usjob34">[7]Parameters!$I$72</definedName>
    <definedName name="usjob35">[7]Parameters!$I$73</definedName>
    <definedName name="usjob36">[7]Parameters!$I$74</definedName>
    <definedName name="usjob37">[7]Parameters!$I$75</definedName>
    <definedName name="usjob38">[7]Parameters!$I$76</definedName>
    <definedName name="usjob39">[7]Parameters!$I$77</definedName>
    <definedName name="usjob4">[7]Parameters!$I$42</definedName>
    <definedName name="usjob40">[7]Parameters!$I$78</definedName>
    <definedName name="usjob41">[7]Parameters!$I$79</definedName>
    <definedName name="usjob42">[7]Parameters!$I$80</definedName>
    <definedName name="usjob43">[7]Parameters!$I$81</definedName>
    <definedName name="usjob44">[7]Parameters!$I$82</definedName>
    <definedName name="usjob45">[7]Parameters!$I$83</definedName>
    <definedName name="usjob46">[7]Parameters!$I$84</definedName>
    <definedName name="usjob47">[7]Parameters!$I$85</definedName>
    <definedName name="usjob48">[7]Parameters!$I$86</definedName>
    <definedName name="usjob49">[7]Parameters!$I$87</definedName>
    <definedName name="usjob5">[7]Parameters!$I$43</definedName>
    <definedName name="usjob50">[7]Parameters!$I$88</definedName>
    <definedName name="usjob51">[7]Parameters!$I$89</definedName>
    <definedName name="usjob52">[7]Parameters!$I$90</definedName>
    <definedName name="usjob53">[7]Parameters!$I$91</definedName>
    <definedName name="usjob54">[7]Parameters!$I$92</definedName>
    <definedName name="usjob55">[7]Parameters!$I$93</definedName>
    <definedName name="usjob56">[7]Parameters!$I$94</definedName>
    <definedName name="usjob57">[7]Parameters!$I$95</definedName>
    <definedName name="usjob58">[7]Parameters!$I$96</definedName>
    <definedName name="usjob59">[7]Parameters!$I$97</definedName>
    <definedName name="usjob6">[7]Parameters!$I$44</definedName>
    <definedName name="usjob60">[7]Parameters!$I$98</definedName>
    <definedName name="usjob61">[7]Parameters!$I$99</definedName>
    <definedName name="usjob62">[7]Parameters!$I$100</definedName>
    <definedName name="usjob63">[7]Parameters!$I$101</definedName>
    <definedName name="usjob64">[7]Parameters!$I$102</definedName>
    <definedName name="usjob65">[7]Parameters!$I$103</definedName>
    <definedName name="usjob66">[7]Parameters!$I$104</definedName>
    <definedName name="usjob67">[7]Parameters!$I$105</definedName>
    <definedName name="usjob68">[7]Parameters!$I$106</definedName>
    <definedName name="usjob69">[7]Parameters!$I$107</definedName>
    <definedName name="usjob7">[7]Parameters!$I$45</definedName>
    <definedName name="usjob70">[7]Parameters!$I$108</definedName>
    <definedName name="usjob71">[7]Parameters!$I$109</definedName>
    <definedName name="usjob72">[7]Parameters!$I$110</definedName>
    <definedName name="usjob73">[7]Parameters!$I$111</definedName>
    <definedName name="usjob74">[7]Parameters!$I$112</definedName>
    <definedName name="usjob75">[7]Parameters!$I$113</definedName>
    <definedName name="usjob8">[7]Parameters!$I$46</definedName>
    <definedName name="usjob9">[7]Parameters!$I$47</definedName>
    <definedName name="usname11">[7]Parameters!$C$49</definedName>
    <definedName name="usname12">[7]Parameters!$C$50</definedName>
    <definedName name="usname13">[7]Parameters!$C$51</definedName>
    <definedName name="usname14">[7]Parameters!$C$52</definedName>
    <definedName name="usname15">[7]Parameters!$C$53</definedName>
    <definedName name="usname16">[7]Parameters!$C$54</definedName>
    <definedName name="usname17">[7]Parameters!$C$55</definedName>
    <definedName name="usname18">[7]Parameters!$C$56</definedName>
    <definedName name="usname19">[7]Parameters!$C$57</definedName>
    <definedName name="usname20">[7]Parameters!$C$58</definedName>
    <definedName name="usname21">[7]Parameters!$C$59</definedName>
    <definedName name="usname22">[7]Parameters!$C$60</definedName>
    <definedName name="usname23">[7]Parameters!$C$61</definedName>
    <definedName name="usname24">[7]Parameters!$C$62</definedName>
    <definedName name="usname25">[7]Parameters!$C$63</definedName>
    <definedName name="usname26">[7]Parameters!$C$64</definedName>
    <definedName name="usname27">[7]Parameters!$C$65</definedName>
    <definedName name="usname28">[7]Parameters!$C$66</definedName>
    <definedName name="usname29">[7]Parameters!$C$67</definedName>
    <definedName name="usname30">[7]Parameters!$C$68</definedName>
    <definedName name="usname31">[7]Parameters!$C$69</definedName>
    <definedName name="usname32">[7]Parameters!$C$70</definedName>
    <definedName name="usname33">[7]Parameters!$C$71</definedName>
    <definedName name="usname34">[7]Parameters!$C$72</definedName>
    <definedName name="usname35">[7]Parameters!$C$73</definedName>
    <definedName name="usname36">[7]Parameters!$C$74</definedName>
    <definedName name="usname37">[7]Parameters!$C$75</definedName>
    <definedName name="usname38">[7]Parameters!$C$76</definedName>
    <definedName name="usname39">[7]Parameters!$C$77</definedName>
    <definedName name="usname40">[7]Parameters!$C$78</definedName>
    <definedName name="usname41">[7]Parameters!$C$79</definedName>
    <definedName name="usname42">[7]Parameters!$C$80</definedName>
    <definedName name="usname43">[7]Parameters!$C$81</definedName>
    <definedName name="usname44">[7]Parameters!$C$82</definedName>
    <definedName name="usname45">[7]Parameters!$C$83</definedName>
    <definedName name="usname46">[7]Parameters!$C$84</definedName>
    <definedName name="usname47">[7]Parameters!$C$85</definedName>
    <definedName name="usname48">[7]Parameters!$C$86</definedName>
    <definedName name="usname49">[7]Parameters!$C$87</definedName>
    <definedName name="usname50">[7]Parameters!$C$88</definedName>
    <definedName name="usname51">[7]Parameters!$C$89</definedName>
    <definedName name="usname52">[7]Parameters!$C$90</definedName>
    <definedName name="usname53">[7]Parameters!$C$91</definedName>
    <definedName name="usname54">[7]Parameters!$C$92</definedName>
    <definedName name="usname55">[7]Parameters!$C$93</definedName>
    <definedName name="usname56">[7]Parameters!$C$94</definedName>
    <definedName name="usname57">[7]Parameters!$C$95</definedName>
    <definedName name="usname58">[7]Parameters!$C$96</definedName>
    <definedName name="usname59">[7]Parameters!$C$97</definedName>
    <definedName name="usname60">[7]Parameters!$C$98</definedName>
    <definedName name="usname61">[7]Parameters!$C$99</definedName>
    <definedName name="usname62">[7]Parameters!$C$100</definedName>
    <definedName name="usname63">[7]Parameters!$C$101</definedName>
    <definedName name="usname64">[7]Parameters!$C$102</definedName>
    <definedName name="usname65">[7]Parameters!$C$103</definedName>
    <definedName name="usname66">[7]Parameters!$C$104</definedName>
    <definedName name="usname67">[7]Parameters!$C$105</definedName>
    <definedName name="usname68">[7]Parameters!$C$106</definedName>
    <definedName name="usname69">[7]Parameters!$C$107</definedName>
    <definedName name="usname70">[7]Parameters!$C$108</definedName>
    <definedName name="usname71">[7]Parameters!$C$109</definedName>
    <definedName name="usname72">[7]Parameters!$C$110</definedName>
    <definedName name="usname73">[7]Parameters!$C$111</definedName>
    <definedName name="usname74">[7]Parameters!$C$112</definedName>
    <definedName name="usname75">[7]Parameters!$C$113</definedName>
    <definedName name="USperdiem">[16]Assumptions!$D$29</definedName>
    <definedName name="ussal11">[7]Parameters!$E$49</definedName>
    <definedName name="ussal12">[7]Parameters!$E$50</definedName>
    <definedName name="ussal13">[7]Parameters!$E$51</definedName>
    <definedName name="ussal14">[7]Parameters!$E$52</definedName>
    <definedName name="ussal15">[7]Parameters!$E$53</definedName>
    <definedName name="ussal16">[7]Parameters!$E$54</definedName>
    <definedName name="ussal17">[7]Parameters!$E$55</definedName>
    <definedName name="ussal18">[7]Parameters!$E$56</definedName>
    <definedName name="ussal19">[7]Parameters!$E$57</definedName>
    <definedName name="ussal20">[7]Parameters!$E$58</definedName>
    <definedName name="ussal21">[7]Parameters!$E$59</definedName>
    <definedName name="ussal22">[7]Parameters!$E$60</definedName>
    <definedName name="ussal23">[7]Parameters!$E$61</definedName>
    <definedName name="ussal24">[7]Parameters!$E$62</definedName>
    <definedName name="ussal25">[7]Parameters!$E$63</definedName>
    <definedName name="ussal26">[7]Parameters!$E$64</definedName>
    <definedName name="ussal27">[7]Parameters!$E$65</definedName>
    <definedName name="ussal28">[7]Parameters!$E$66</definedName>
    <definedName name="ussal29">[7]Parameters!$E$67</definedName>
    <definedName name="ussal30">[7]Parameters!$E$68</definedName>
    <definedName name="ussal31">[7]Parameters!$E$69</definedName>
    <definedName name="ussal32">[7]Parameters!$E$70</definedName>
    <definedName name="ussal33">[7]Parameters!$E$71</definedName>
    <definedName name="ussal34">[7]Parameters!$E$72</definedName>
    <definedName name="ussal35">[7]Parameters!$E$73</definedName>
    <definedName name="ussal36">[7]Parameters!$E$74</definedName>
    <definedName name="ussal37">[7]Parameters!$E$75</definedName>
    <definedName name="ussal38">[7]Parameters!$E$76</definedName>
    <definedName name="ussal39">[7]Parameters!$E$77</definedName>
    <definedName name="ussal40">[7]Parameters!$E$78</definedName>
    <definedName name="ussal41">[7]Parameters!$E$79</definedName>
    <definedName name="ussal42">[7]Parameters!$E$80</definedName>
    <definedName name="ussal43">[7]Parameters!$E$81</definedName>
    <definedName name="ussal44">[7]Parameters!$E$82</definedName>
    <definedName name="ussal45">[7]Parameters!$E$83</definedName>
    <definedName name="ussal46">[7]Parameters!$E$84</definedName>
    <definedName name="ussal47">[7]Parameters!$E$85</definedName>
    <definedName name="ussal48">[7]Parameters!$E$86</definedName>
    <definedName name="ussal49">[7]Parameters!$E$87</definedName>
    <definedName name="ussal50">[7]Parameters!$E$88</definedName>
    <definedName name="ussal51">[7]Parameters!$E$89</definedName>
    <definedName name="ussal52">[7]Parameters!$E$90</definedName>
    <definedName name="ussal53">[7]Parameters!$E$91</definedName>
    <definedName name="ussal54">[7]Parameters!$E$92</definedName>
    <definedName name="ussal55">[7]Parameters!$E$93</definedName>
    <definedName name="ussal56">[7]Parameters!$E$94</definedName>
    <definedName name="ussal57">[7]Parameters!$E$95</definedName>
    <definedName name="ussal58">[7]Parameters!$E$96</definedName>
    <definedName name="ussal59">[7]Parameters!$E$97</definedName>
    <definedName name="ussal60">[7]Parameters!$E$98</definedName>
    <definedName name="ussal61">[7]Parameters!$E$99</definedName>
    <definedName name="ussal62">[7]Parameters!$E$100</definedName>
    <definedName name="ussal63">[7]Parameters!$E$101</definedName>
    <definedName name="ussal64">[7]Parameters!$E$102</definedName>
    <definedName name="ussal65">[7]Parameters!$E$103</definedName>
    <definedName name="ussal66">[7]Parameters!$E$104</definedName>
    <definedName name="ussal67">[7]Parameters!$E$105</definedName>
    <definedName name="ussal68">[7]Parameters!$E$106</definedName>
    <definedName name="ussal69">[7]Parameters!$E$107</definedName>
    <definedName name="ussal70">[7]Parameters!$E$108</definedName>
    <definedName name="ussal71">[7]Parameters!$E$109</definedName>
    <definedName name="ussal72">[7]Parameters!$E$110</definedName>
    <definedName name="ussal73">[7]Parameters!$E$111</definedName>
    <definedName name="ussal74">[7]Parameters!$E$112</definedName>
    <definedName name="ussal75">[7]Parameters!$E$113</definedName>
    <definedName name="ustaxi">[12]Sheet1!$C$35</definedName>
    <definedName name="UTOT">#N/A</definedName>
    <definedName name="Vc_Days">#REF!</definedName>
    <definedName name="WD">#REF!</definedName>
    <definedName name="WDA">#N/A</definedName>
    <definedName name="WERT" localSheetId="5" hidden="1">{"PAGE1",#N/A,FALSE,"CPFFMSTR";"PAGE2",#N/A,FALSE,"CPFFMSTR"}</definedName>
    <definedName name="WERT" localSheetId="6" hidden="1">{"PAGE1",#N/A,FALSE,"CPFFMSTR";"PAGE2",#N/A,FALSE,"CPFFMSTR"}</definedName>
    <definedName name="WERT" localSheetId="7" hidden="1">{"PAGE1",#N/A,FALSE,"CPFFMSTR";"PAGE2",#N/A,FALSE,"CPFFMSTR"}</definedName>
    <definedName name="WERT" localSheetId="8" hidden="1">{"PAGE1",#N/A,FALSE,"CPFFMSTR";"PAGE2",#N/A,FALSE,"CPFFMSTR"}</definedName>
    <definedName name="WERT" localSheetId="9" hidden="1">{"PAGE1",#N/A,FALSE,"CPFFMSTR";"PAGE2",#N/A,FALSE,"CPFFMSTR"}</definedName>
    <definedName name="WERT" localSheetId="10" hidden="1">{"PAGE1",#N/A,FALSE,"CPFFMSTR";"PAGE2",#N/A,FALSE,"CPFFMSTR"}</definedName>
    <definedName name="WERT" localSheetId="11" hidden="1">{"PAGE1",#N/A,FALSE,"CPFFMSTR";"PAGE2",#N/A,FALSE,"CPFFMSTR"}</definedName>
    <definedName name="WERT" localSheetId="12" hidden="1">{"PAGE1",#N/A,FALSE,"CPFFMSTR";"PAGE2",#N/A,FALSE,"CPFFMSTR"}</definedName>
    <definedName name="WERT" localSheetId="4" hidden="1">{"PAGE1",#N/A,FALSE,"CPFFMSTR";"PAGE2",#N/A,FALSE,"CPFFMSTR"}</definedName>
    <definedName name="WERT" localSheetId="3" hidden="1">{"PAGE1",#N/A,FALSE,"CPFFMSTR";"PAGE2",#N/A,FALSE,"CPFFMSTR"}</definedName>
    <definedName name="WERT" localSheetId="13" hidden="1">{"PAGE1",#N/A,FALSE,"CPFFMSTR";"PAGE2",#N/A,FALSE,"CPFFMSTR"}</definedName>
    <definedName name="WERT" hidden="1">{"PAGE1",#N/A,FALSE,"CPFFMSTR";"PAGE2",#N/A,FALSE,"CPFFMSTR"}</definedName>
    <definedName name="Wk_Days">#REF!</definedName>
    <definedName name="workdaysLT">[7]Parameters!$B$509</definedName>
    <definedName name="workdaysST">[7]Parameters!$B$510</definedName>
    <definedName name="Works">#REF!</definedName>
    <definedName name="WORKSHEET">#REF!</definedName>
    <definedName name="WORTH">#N/A</definedName>
    <definedName name="wrn.ACC_Cars_125K_Co1." localSheetId="5" hidden="1">{"ACC_Cars_125K_PA",#N/A,FALSE,"ACC Cars Co1 125K ";"ACC_Cars_125K_Prop",#N/A,FALSE,"ACC Cars Co1 125K "}</definedName>
    <definedName name="wrn.ACC_Cars_125K_Co1." localSheetId="6" hidden="1">{"ACC_Cars_125K_PA",#N/A,FALSE,"ACC Cars Co1 125K ";"ACC_Cars_125K_Prop",#N/A,FALSE,"ACC Cars Co1 125K "}</definedName>
    <definedName name="wrn.ACC_Cars_125K_Co1." localSheetId="7" hidden="1">{"ACC_Cars_125K_PA",#N/A,FALSE,"ACC Cars Co1 125K ";"ACC_Cars_125K_Prop",#N/A,FALSE,"ACC Cars Co1 125K "}</definedName>
    <definedName name="wrn.ACC_Cars_125K_Co1." localSheetId="8" hidden="1">{"ACC_Cars_125K_PA",#N/A,FALSE,"ACC Cars Co1 125K ";"ACC_Cars_125K_Prop",#N/A,FALSE,"ACC Cars Co1 125K "}</definedName>
    <definedName name="wrn.ACC_Cars_125K_Co1." localSheetId="9" hidden="1">{"ACC_Cars_125K_PA",#N/A,FALSE,"ACC Cars Co1 125K ";"ACC_Cars_125K_Prop",#N/A,FALSE,"ACC Cars Co1 125K "}</definedName>
    <definedName name="wrn.ACC_Cars_125K_Co1." localSheetId="10" hidden="1">{"ACC_Cars_125K_PA",#N/A,FALSE,"ACC Cars Co1 125K ";"ACC_Cars_125K_Prop",#N/A,FALSE,"ACC Cars Co1 125K "}</definedName>
    <definedName name="wrn.ACC_Cars_125K_Co1." localSheetId="11" hidden="1">{"ACC_Cars_125K_PA",#N/A,FALSE,"ACC Cars Co1 125K ";"ACC_Cars_125K_Prop",#N/A,FALSE,"ACC Cars Co1 125K "}</definedName>
    <definedName name="wrn.ACC_Cars_125K_Co1." localSheetId="12" hidden="1">{"ACC_Cars_125K_PA",#N/A,FALSE,"ACC Cars Co1 125K ";"ACC_Cars_125K_Prop",#N/A,FALSE,"ACC Cars Co1 125K "}</definedName>
    <definedName name="wrn.ACC_Cars_125K_Co1." localSheetId="4" hidden="1">{"ACC_Cars_125K_PA",#N/A,FALSE,"ACC Cars Co1 125K ";"ACC_Cars_125K_Prop",#N/A,FALSE,"ACC Cars Co1 125K "}</definedName>
    <definedName name="wrn.ACC_Cars_125K_Co1." localSheetId="3" hidden="1">{"ACC_Cars_125K_PA",#N/A,FALSE,"ACC Cars Co1 125K ";"ACC_Cars_125K_Prop",#N/A,FALSE,"ACC Cars Co1 125K "}</definedName>
    <definedName name="wrn.ACC_Cars_125K_Co1." localSheetId="13" hidden="1">{"ACC_Cars_125K_PA",#N/A,FALSE,"ACC Cars Co1 125K ";"ACC_Cars_125K_Prop",#N/A,FALSE,"ACC Cars Co1 125K "}</definedName>
    <definedName name="wrn.ACC_Cars_125K_Co1." hidden="1">{"ACC_Cars_125K_PA",#N/A,FALSE,"ACC Cars Co1 125K ";"ACC_Cars_125K_Prop",#N/A,FALSE,"ACC Cars Co1 125K "}</definedName>
    <definedName name="wrn.ACC_Cars_400K_Co1." localSheetId="5" hidden="1">{"ACC_Cars_400K_PA",#N/A,FALSE,"ACC Cars Co1 400K";"ACC_Cars_400K_Prop",#N/A,FALSE,"ACC Cars Co1 400K"}</definedName>
    <definedName name="wrn.ACC_Cars_400K_Co1." localSheetId="6" hidden="1">{"ACC_Cars_400K_PA",#N/A,FALSE,"ACC Cars Co1 400K";"ACC_Cars_400K_Prop",#N/A,FALSE,"ACC Cars Co1 400K"}</definedName>
    <definedName name="wrn.ACC_Cars_400K_Co1." localSheetId="7" hidden="1">{"ACC_Cars_400K_PA",#N/A,FALSE,"ACC Cars Co1 400K";"ACC_Cars_400K_Prop",#N/A,FALSE,"ACC Cars Co1 400K"}</definedName>
    <definedName name="wrn.ACC_Cars_400K_Co1." localSheetId="8" hidden="1">{"ACC_Cars_400K_PA",#N/A,FALSE,"ACC Cars Co1 400K";"ACC_Cars_400K_Prop",#N/A,FALSE,"ACC Cars Co1 400K"}</definedName>
    <definedName name="wrn.ACC_Cars_400K_Co1." localSheetId="9" hidden="1">{"ACC_Cars_400K_PA",#N/A,FALSE,"ACC Cars Co1 400K";"ACC_Cars_400K_Prop",#N/A,FALSE,"ACC Cars Co1 400K"}</definedName>
    <definedName name="wrn.ACC_Cars_400K_Co1." localSheetId="10" hidden="1">{"ACC_Cars_400K_PA",#N/A,FALSE,"ACC Cars Co1 400K";"ACC_Cars_400K_Prop",#N/A,FALSE,"ACC Cars Co1 400K"}</definedName>
    <definedName name="wrn.ACC_Cars_400K_Co1." localSheetId="11" hidden="1">{"ACC_Cars_400K_PA",#N/A,FALSE,"ACC Cars Co1 400K";"ACC_Cars_400K_Prop",#N/A,FALSE,"ACC Cars Co1 400K"}</definedName>
    <definedName name="wrn.ACC_Cars_400K_Co1." localSheetId="12" hidden="1">{"ACC_Cars_400K_PA",#N/A,FALSE,"ACC Cars Co1 400K";"ACC_Cars_400K_Prop",#N/A,FALSE,"ACC Cars Co1 400K"}</definedName>
    <definedName name="wrn.ACC_Cars_400K_Co1." localSheetId="4" hidden="1">{"ACC_Cars_400K_PA",#N/A,FALSE,"ACC Cars Co1 400K";"ACC_Cars_400K_Prop",#N/A,FALSE,"ACC Cars Co1 400K"}</definedName>
    <definedName name="wrn.ACC_Cars_400K_Co1." localSheetId="3" hidden="1">{"ACC_Cars_400K_PA",#N/A,FALSE,"ACC Cars Co1 400K";"ACC_Cars_400K_Prop",#N/A,FALSE,"ACC Cars Co1 400K"}</definedName>
    <definedName name="wrn.ACC_Cars_400K_Co1." localSheetId="13" hidden="1">{"ACC_Cars_400K_PA",#N/A,FALSE,"ACC Cars Co1 400K";"ACC_Cars_400K_Prop",#N/A,FALSE,"ACC Cars Co1 400K"}</definedName>
    <definedName name="wrn.ACC_Cars_400K_Co1." hidden="1">{"ACC_Cars_400K_PA",#N/A,FALSE,"ACC Cars Co1 400K";"ACC_Cars_400K_Prop",#N/A,FALSE,"ACC Cars Co1 400K"}</definedName>
    <definedName name="wrn.ACC_Cars_Travel_125K." localSheetId="5" hidden="1">{"PAGE1",#N/A,FALSE,"ACC_CARS Travel 125K";"PAGE2",#N/A,FALSE,"ACC_CARS Travel 125K"}</definedName>
    <definedName name="wrn.ACC_Cars_Travel_125K." localSheetId="6" hidden="1">{"PAGE1",#N/A,FALSE,"ACC_CARS Travel 125K";"PAGE2",#N/A,FALSE,"ACC_CARS Travel 125K"}</definedName>
    <definedName name="wrn.ACC_Cars_Travel_125K." localSheetId="7" hidden="1">{"PAGE1",#N/A,FALSE,"ACC_CARS Travel 125K";"PAGE2",#N/A,FALSE,"ACC_CARS Travel 125K"}</definedName>
    <definedName name="wrn.ACC_Cars_Travel_125K." localSheetId="8" hidden="1">{"PAGE1",#N/A,FALSE,"ACC_CARS Travel 125K";"PAGE2",#N/A,FALSE,"ACC_CARS Travel 125K"}</definedName>
    <definedName name="wrn.ACC_Cars_Travel_125K." localSheetId="9" hidden="1">{"PAGE1",#N/A,FALSE,"ACC_CARS Travel 125K";"PAGE2",#N/A,FALSE,"ACC_CARS Travel 125K"}</definedName>
    <definedName name="wrn.ACC_Cars_Travel_125K." localSheetId="10" hidden="1">{"PAGE1",#N/A,FALSE,"ACC_CARS Travel 125K";"PAGE2",#N/A,FALSE,"ACC_CARS Travel 125K"}</definedName>
    <definedName name="wrn.ACC_Cars_Travel_125K." localSheetId="11" hidden="1">{"PAGE1",#N/A,FALSE,"ACC_CARS Travel 125K";"PAGE2",#N/A,FALSE,"ACC_CARS Travel 125K"}</definedName>
    <definedName name="wrn.ACC_Cars_Travel_125K." localSheetId="12" hidden="1">{"PAGE1",#N/A,FALSE,"ACC_CARS Travel 125K";"PAGE2",#N/A,FALSE,"ACC_CARS Travel 125K"}</definedName>
    <definedName name="wrn.ACC_Cars_Travel_125K." localSheetId="4" hidden="1">{"PAGE1",#N/A,FALSE,"ACC_CARS Travel 125K";"PAGE2",#N/A,FALSE,"ACC_CARS Travel 125K"}</definedName>
    <definedName name="wrn.ACC_Cars_Travel_125K." localSheetId="3" hidden="1">{"PAGE1",#N/A,FALSE,"ACC_CARS Travel 125K";"PAGE2",#N/A,FALSE,"ACC_CARS Travel 125K"}</definedName>
    <definedName name="wrn.ACC_Cars_Travel_125K." localSheetId="13" hidden="1">{"PAGE1",#N/A,FALSE,"ACC_CARS Travel 125K";"PAGE2",#N/A,FALSE,"ACC_CARS Travel 125K"}</definedName>
    <definedName name="wrn.ACC_Cars_Travel_125K." hidden="1">{"PAGE1",#N/A,FALSE,"ACC_CARS Travel 125K";"PAGE2",#N/A,FALSE,"ACC_CARS Travel 125K"}</definedName>
    <definedName name="wrn.ACC_CARS_Travel_400K." localSheetId="5" hidden="1">{"Page1",#N/A,FALSE,"ACC_CARS Travel 400K";"Page2",#N/A,FALSE,"ACC_CARS Travel 400K"}</definedName>
    <definedName name="wrn.ACC_CARS_Travel_400K." localSheetId="6" hidden="1">{"Page1",#N/A,FALSE,"ACC_CARS Travel 400K";"Page2",#N/A,FALSE,"ACC_CARS Travel 400K"}</definedName>
    <definedName name="wrn.ACC_CARS_Travel_400K." localSheetId="7" hidden="1">{"Page1",#N/A,FALSE,"ACC_CARS Travel 400K";"Page2",#N/A,FALSE,"ACC_CARS Travel 400K"}</definedName>
    <definedName name="wrn.ACC_CARS_Travel_400K." localSheetId="8" hidden="1">{"Page1",#N/A,FALSE,"ACC_CARS Travel 400K";"Page2",#N/A,FALSE,"ACC_CARS Travel 400K"}</definedName>
    <definedName name="wrn.ACC_CARS_Travel_400K." localSheetId="9" hidden="1">{"Page1",#N/A,FALSE,"ACC_CARS Travel 400K";"Page2",#N/A,FALSE,"ACC_CARS Travel 400K"}</definedName>
    <definedName name="wrn.ACC_CARS_Travel_400K." localSheetId="10" hidden="1">{"Page1",#N/A,FALSE,"ACC_CARS Travel 400K";"Page2",#N/A,FALSE,"ACC_CARS Travel 400K"}</definedName>
    <definedName name="wrn.ACC_CARS_Travel_400K." localSheetId="11" hidden="1">{"Page1",#N/A,FALSE,"ACC_CARS Travel 400K";"Page2",#N/A,FALSE,"ACC_CARS Travel 400K"}</definedName>
    <definedName name="wrn.ACC_CARS_Travel_400K." localSheetId="12" hidden="1">{"Page1",#N/A,FALSE,"ACC_CARS Travel 400K";"Page2",#N/A,FALSE,"ACC_CARS Travel 400K"}</definedName>
    <definedName name="wrn.ACC_CARS_Travel_400K." localSheetId="4" hidden="1">{"Page1",#N/A,FALSE,"ACC_CARS Travel 400K";"Page2",#N/A,FALSE,"ACC_CARS Travel 400K"}</definedName>
    <definedName name="wrn.ACC_CARS_Travel_400K." localSheetId="3" hidden="1">{"Page1",#N/A,FALSE,"ACC_CARS Travel 400K";"Page2",#N/A,FALSE,"ACC_CARS Travel 400K"}</definedName>
    <definedName name="wrn.ACC_CARS_Travel_400K." localSheetId="13" hidden="1">{"Page1",#N/A,FALSE,"ACC_CARS Travel 400K";"Page2",#N/A,FALSE,"ACC_CARS Travel 400K"}</definedName>
    <definedName name="wrn.ACC_CARS_Travel_400K." hidden="1">{"Page1",#N/A,FALSE,"ACC_CARS Travel 400K";"Page2",#N/A,FALSE,"ACC_CARS Travel 400K"}</definedName>
    <definedName name="wrn.All._.Grant._.Forms." localSheetId="5" hidden="1">{"Form DD",#N/A,FALSE,"DD";"EE",#N/A,FALSE,"EE";"Indirects",#N/A,FALSE,"DD"}</definedName>
    <definedName name="wrn.All._.Grant._.Forms." localSheetId="6" hidden="1">{"Form DD",#N/A,FALSE,"DD";"EE",#N/A,FALSE,"EE";"Indirects",#N/A,FALSE,"DD"}</definedName>
    <definedName name="wrn.All._.Grant._.Forms." localSheetId="7" hidden="1">{"Form DD",#N/A,FALSE,"DD";"EE",#N/A,FALSE,"EE";"Indirects",#N/A,FALSE,"DD"}</definedName>
    <definedName name="wrn.All._.Grant._.Forms." localSheetId="8" hidden="1">{"Form DD",#N/A,FALSE,"DD";"EE",#N/A,FALSE,"EE";"Indirects",#N/A,FALSE,"DD"}</definedName>
    <definedName name="wrn.All._.Grant._.Forms." localSheetId="9" hidden="1">{"Form DD",#N/A,FALSE,"DD";"EE",#N/A,FALSE,"EE";"Indirects",#N/A,FALSE,"DD"}</definedName>
    <definedName name="wrn.All._.Grant._.Forms." localSheetId="10" hidden="1">{"Form DD",#N/A,FALSE,"DD";"EE",#N/A,FALSE,"EE";"Indirects",#N/A,FALSE,"DD"}</definedName>
    <definedName name="wrn.All._.Grant._.Forms." localSheetId="11" hidden="1">{"Form DD",#N/A,FALSE,"DD";"EE",#N/A,FALSE,"EE";"Indirects",#N/A,FALSE,"DD"}</definedName>
    <definedName name="wrn.All._.Grant._.Forms." localSheetId="12" hidden="1">{"Form DD",#N/A,FALSE,"DD";"EE",#N/A,FALSE,"EE";"Indirects",#N/A,FALSE,"DD"}</definedName>
    <definedName name="wrn.All._.Grant._.Forms." localSheetId="4" hidden="1">{"Form DD",#N/A,FALSE,"DD";"EE",#N/A,FALSE,"EE";"Indirects",#N/A,FALSE,"DD"}</definedName>
    <definedName name="wrn.All._.Grant._.Forms." localSheetId="3" hidden="1">{"Form DD",#N/A,FALSE,"DD";"EE",#N/A,FALSE,"EE";"Indirects",#N/A,FALSE,"DD"}</definedName>
    <definedName name="wrn.All._.Grant._.Forms." localSheetId="13" hidden="1">{"Form DD",#N/A,FALSE,"DD";"EE",#N/A,FALSE,"EE";"Indirects",#N/A,FALSE,"DD"}</definedName>
    <definedName name="wrn.All._.Grant._.Forms." hidden="1">{"Form DD",#N/A,FALSE,"DD";"EE",#N/A,FALSE,"EE";"Indirects",#N/A,FALSE,"DD"}</definedName>
    <definedName name="wrn.BACKUP." localSheetId="5" hidden="1">{"actuals_1",#N/A,FALSE,"CO 1 YRS";"burden_1",#N/A,FALSE,"CO 1 YRS";"input",#N/A,FALSE,"INPUT"}</definedName>
    <definedName name="wrn.BACKUP." localSheetId="6" hidden="1">{"actuals_1",#N/A,FALSE,"CO 1 YRS";"burden_1",#N/A,FALSE,"CO 1 YRS";"input",#N/A,FALSE,"INPUT"}</definedName>
    <definedName name="wrn.BACKUP." localSheetId="7" hidden="1">{"actuals_1",#N/A,FALSE,"CO 1 YRS";"burden_1",#N/A,FALSE,"CO 1 YRS";"input",#N/A,FALSE,"INPUT"}</definedName>
    <definedName name="wrn.BACKUP." localSheetId="8" hidden="1">{"actuals_1",#N/A,FALSE,"CO 1 YRS";"burden_1",#N/A,FALSE,"CO 1 YRS";"input",#N/A,FALSE,"INPUT"}</definedName>
    <definedName name="wrn.BACKUP." localSheetId="9" hidden="1">{"actuals_1",#N/A,FALSE,"CO 1 YRS";"burden_1",#N/A,FALSE,"CO 1 YRS";"input",#N/A,FALSE,"INPUT"}</definedName>
    <definedName name="wrn.BACKUP." localSheetId="10" hidden="1">{"actuals_1",#N/A,FALSE,"CO 1 YRS";"burden_1",#N/A,FALSE,"CO 1 YRS";"input",#N/A,FALSE,"INPUT"}</definedName>
    <definedName name="wrn.BACKUP." localSheetId="11" hidden="1">{"actuals_1",#N/A,FALSE,"CO 1 YRS";"burden_1",#N/A,FALSE,"CO 1 YRS";"input",#N/A,FALSE,"INPUT"}</definedName>
    <definedName name="wrn.BACKUP." localSheetId="12" hidden="1">{"actuals_1",#N/A,FALSE,"CO 1 YRS";"burden_1",#N/A,FALSE,"CO 1 YRS";"input",#N/A,FALSE,"INPUT"}</definedName>
    <definedName name="wrn.BACKUP." localSheetId="4" hidden="1">{"actuals_1",#N/A,FALSE,"CO 1 YRS";"burden_1",#N/A,FALSE,"CO 1 YRS";"input",#N/A,FALSE,"INPUT"}</definedName>
    <definedName name="wrn.BACKUP." localSheetId="3" hidden="1">{"actuals_1",#N/A,FALSE,"CO 1 YRS";"burden_1",#N/A,FALSE,"CO 1 YRS";"input",#N/A,FALSE,"INPUT"}</definedName>
    <definedName name="wrn.BACKUP." localSheetId="13" hidden="1">{"actuals_1",#N/A,FALSE,"CO 1 YRS";"burden_1",#N/A,FALSE,"CO 1 YRS";"input",#N/A,FALSE,"INPUT"}</definedName>
    <definedName name="wrn.BACKUP." hidden="1">{"actuals_1",#N/A,FALSE,"CO 1 YRS";"burden_1",#N/A,FALSE,"CO 1 YRS";"input",#N/A,FALSE,"INPUT"}</definedName>
    <definedName name="wrn.BTables." localSheetId="5" hidden="1">{#N/A,#N/A,FALSE,"Proposal"}</definedName>
    <definedName name="wrn.BTables." localSheetId="6" hidden="1">{#N/A,#N/A,FALSE,"Proposal"}</definedName>
    <definedName name="wrn.BTables." localSheetId="7" hidden="1">{#N/A,#N/A,FALSE,"Proposal"}</definedName>
    <definedName name="wrn.BTables." localSheetId="8" hidden="1">{#N/A,#N/A,FALSE,"Proposal"}</definedName>
    <definedName name="wrn.BTables." localSheetId="9" hidden="1">{#N/A,#N/A,FALSE,"Proposal"}</definedName>
    <definedName name="wrn.BTables." localSheetId="10" hidden="1">{#N/A,#N/A,FALSE,"Proposal"}</definedName>
    <definedName name="wrn.BTables." localSheetId="11" hidden="1">{#N/A,#N/A,FALSE,"Proposal"}</definedName>
    <definedName name="wrn.BTables." localSheetId="12" hidden="1">{#N/A,#N/A,FALSE,"Proposal"}</definedName>
    <definedName name="wrn.BTables." localSheetId="4" hidden="1">{#N/A,#N/A,FALSE,"Proposal"}</definedName>
    <definedName name="wrn.BTables." localSheetId="13" hidden="1">{#N/A,#N/A,FALSE,"Proposal"}</definedName>
    <definedName name="wrn.BTables." hidden="1">{#N/A,#N/A,FALSE,"Proposal"}</definedName>
    <definedName name="wrn.CCB_JDISS." localSheetId="5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6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7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8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1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1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12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13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Dolan_Co1." localSheetId="5" hidden="1">{"DolanCo1_PA",#N/A,FALSE,"Tina Dolan";"DolanCo1_Prop",#N/A,FALSE,"Tina Dolan"}</definedName>
    <definedName name="wrn.Dolan_Co1." localSheetId="6" hidden="1">{"DolanCo1_PA",#N/A,FALSE,"Tina Dolan";"DolanCo1_Prop",#N/A,FALSE,"Tina Dolan"}</definedName>
    <definedName name="wrn.Dolan_Co1." localSheetId="7" hidden="1">{"DolanCo1_PA",#N/A,FALSE,"Tina Dolan";"DolanCo1_Prop",#N/A,FALSE,"Tina Dolan"}</definedName>
    <definedName name="wrn.Dolan_Co1." localSheetId="8" hidden="1">{"DolanCo1_PA",#N/A,FALSE,"Tina Dolan";"DolanCo1_Prop",#N/A,FALSE,"Tina Dolan"}</definedName>
    <definedName name="wrn.Dolan_Co1." localSheetId="9" hidden="1">{"DolanCo1_PA",#N/A,FALSE,"Tina Dolan";"DolanCo1_Prop",#N/A,FALSE,"Tina Dolan"}</definedName>
    <definedName name="wrn.Dolan_Co1." localSheetId="10" hidden="1">{"DolanCo1_PA",#N/A,FALSE,"Tina Dolan";"DolanCo1_Prop",#N/A,FALSE,"Tina Dolan"}</definedName>
    <definedName name="wrn.Dolan_Co1." localSheetId="11" hidden="1">{"DolanCo1_PA",#N/A,FALSE,"Tina Dolan";"DolanCo1_Prop",#N/A,FALSE,"Tina Dolan"}</definedName>
    <definedName name="wrn.Dolan_Co1." localSheetId="12" hidden="1">{"DolanCo1_PA",#N/A,FALSE,"Tina Dolan";"DolanCo1_Prop",#N/A,FALSE,"Tina Dolan"}</definedName>
    <definedName name="wrn.Dolan_Co1." localSheetId="4" hidden="1">{"DolanCo1_PA",#N/A,FALSE,"Tina Dolan";"DolanCo1_Prop",#N/A,FALSE,"Tina Dolan"}</definedName>
    <definedName name="wrn.Dolan_Co1." localSheetId="3" hidden="1">{"DolanCo1_PA",#N/A,FALSE,"Tina Dolan";"DolanCo1_Prop",#N/A,FALSE,"Tina Dolan"}</definedName>
    <definedName name="wrn.Dolan_Co1." localSheetId="13" hidden="1">{"DolanCo1_PA",#N/A,FALSE,"Tina Dolan";"DolanCo1_Prop",#N/A,FALSE,"Tina Dolan"}</definedName>
    <definedName name="wrn.Dolan_Co1." hidden="1">{"DolanCo1_PA",#N/A,FALSE,"Tina Dolan";"DolanCo1_Prop",#N/A,FALSE,"Tina Dolan"}</definedName>
    <definedName name="wrn.Ebron_350K." localSheetId="5" hidden="1">{"Prop_350K",#N/A,FALSE,"Ebron-350K";"PA_350K",#N/A,FALSE,"Ebron-350K";"Ebron350KTrvl",#N/A,FALSE,"Ebrons Travel 350k"}</definedName>
    <definedName name="wrn.Ebron_350K." localSheetId="6" hidden="1">{"Prop_350K",#N/A,FALSE,"Ebron-350K";"PA_350K",#N/A,FALSE,"Ebron-350K";"Ebron350KTrvl",#N/A,FALSE,"Ebrons Travel 350k"}</definedName>
    <definedName name="wrn.Ebron_350K." localSheetId="7" hidden="1">{"Prop_350K",#N/A,FALSE,"Ebron-350K";"PA_350K",#N/A,FALSE,"Ebron-350K";"Ebron350KTrvl",#N/A,FALSE,"Ebrons Travel 350k"}</definedName>
    <definedName name="wrn.Ebron_350K." localSheetId="8" hidden="1">{"Prop_350K",#N/A,FALSE,"Ebron-350K";"PA_350K",#N/A,FALSE,"Ebron-350K";"Ebron350KTrvl",#N/A,FALSE,"Ebrons Travel 350k"}</definedName>
    <definedName name="wrn.Ebron_350K." localSheetId="9" hidden="1">{"Prop_350K",#N/A,FALSE,"Ebron-350K";"PA_350K",#N/A,FALSE,"Ebron-350K";"Ebron350KTrvl",#N/A,FALSE,"Ebrons Travel 350k"}</definedName>
    <definedName name="wrn.Ebron_350K." localSheetId="10" hidden="1">{"Prop_350K",#N/A,FALSE,"Ebron-350K";"PA_350K",#N/A,FALSE,"Ebron-350K";"Ebron350KTrvl",#N/A,FALSE,"Ebrons Travel 350k"}</definedName>
    <definedName name="wrn.Ebron_350K." localSheetId="11" hidden="1">{"Prop_350K",#N/A,FALSE,"Ebron-350K";"PA_350K",#N/A,FALSE,"Ebron-350K";"Ebron350KTrvl",#N/A,FALSE,"Ebrons Travel 350k"}</definedName>
    <definedName name="wrn.Ebron_350K." localSheetId="12" hidden="1">{"Prop_350K",#N/A,FALSE,"Ebron-350K";"PA_350K",#N/A,FALSE,"Ebron-350K";"Ebron350KTrvl",#N/A,FALSE,"Ebrons Travel 350k"}</definedName>
    <definedName name="wrn.Ebron_350K." localSheetId="4" hidden="1">{"Prop_350K",#N/A,FALSE,"Ebron-350K";"PA_350K",#N/A,FALSE,"Ebron-350K";"Ebron350KTrvl",#N/A,FALSE,"Ebrons Travel 350k"}</definedName>
    <definedName name="wrn.Ebron_350K." localSheetId="3" hidden="1">{"Prop_350K",#N/A,FALSE,"Ebron-350K";"PA_350K",#N/A,FALSE,"Ebron-350K";"Ebron350KTrvl",#N/A,FALSE,"Ebrons Travel 350k"}</definedName>
    <definedName name="wrn.Ebron_350K." localSheetId="13" hidden="1">{"Prop_350K",#N/A,FALSE,"Ebron-350K";"PA_350K",#N/A,FALSE,"Ebron-350K";"Ebron350KTrvl",#N/A,FALSE,"Ebrons Travel 350k"}</definedName>
    <definedName name="wrn.Ebron_350K." hidden="1">{"Prop_350K",#N/A,FALSE,"Ebron-350K";"PA_350K",#N/A,FALSE,"Ebron-350K";"Ebron350KTrvl",#N/A,FALSE,"Ebrons Travel 350k"}</definedName>
    <definedName name="wrn.Ebron_Co1." localSheetId="5" hidden="1">{"EbronCo1_PA",#N/A,FALSE,"Ebrons Task Co1";"EbronCo1_Prop",#N/A,FALSE,"Ebrons Task Co1";"Ebron316KTrvl",#N/A,FALSE,"Ebrons Travel 316k"}</definedName>
    <definedName name="wrn.Ebron_Co1." localSheetId="6" hidden="1">{"EbronCo1_PA",#N/A,FALSE,"Ebrons Task Co1";"EbronCo1_Prop",#N/A,FALSE,"Ebrons Task Co1";"Ebron316KTrvl",#N/A,FALSE,"Ebrons Travel 316k"}</definedName>
    <definedName name="wrn.Ebron_Co1." localSheetId="7" hidden="1">{"EbronCo1_PA",#N/A,FALSE,"Ebrons Task Co1";"EbronCo1_Prop",#N/A,FALSE,"Ebrons Task Co1";"Ebron316KTrvl",#N/A,FALSE,"Ebrons Travel 316k"}</definedName>
    <definedName name="wrn.Ebron_Co1." localSheetId="8" hidden="1">{"EbronCo1_PA",#N/A,FALSE,"Ebrons Task Co1";"EbronCo1_Prop",#N/A,FALSE,"Ebrons Task Co1";"Ebron316KTrvl",#N/A,FALSE,"Ebrons Travel 316k"}</definedName>
    <definedName name="wrn.Ebron_Co1." localSheetId="9" hidden="1">{"EbronCo1_PA",#N/A,FALSE,"Ebrons Task Co1";"EbronCo1_Prop",#N/A,FALSE,"Ebrons Task Co1";"Ebron316KTrvl",#N/A,FALSE,"Ebrons Travel 316k"}</definedName>
    <definedName name="wrn.Ebron_Co1." localSheetId="10" hidden="1">{"EbronCo1_PA",#N/A,FALSE,"Ebrons Task Co1";"EbronCo1_Prop",#N/A,FALSE,"Ebrons Task Co1";"Ebron316KTrvl",#N/A,FALSE,"Ebrons Travel 316k"}</definedName>
    <definedName name="wrn.Ebron_Co1." localSheetId="11" hidden="1">{"EbronCo1_PA",#N/A,FALSE,"Ebrons Task Co1";"EbronCo1_Prop",#N/A,FALSE,"Ebrons Task Co1";"Ebron316KTrvl",#N/A,FALSE,"Ebrons Travel 316k"}</definedName>
    <definedName name="wrn.Ebron_Co1." localSheetId="12" hidden="1">{"EbronCo1_PA",#N/A,FALSE,"Ebrons Task Co1";"EbronCo1_Prop",#N/A,FALSE,"Ebrons Task Co1";"Ebron316KTrvl",#N/A,FALSE,"Ebrons Travel 316k"}</definedName>
    <definedName name="wrn.Ebron_Co1." localSheetId="4" hidden="1">{"EbronCo1_PA",#N/A,FALSE,"Ebrons Task Co1";"EbronCo1_Prop",#N/A,FALSE,"Ebrons Task Co1";"Ebron316KTrvl",#N/A,FALSE,"Ebrons Travel 316k"}</definedName>
    <definedName name="wrn.Ebron_Co1." localSheetId="3" hidden="1">{"EbronCo1_PA",#N/A,FALSE,"Ebrons Task Co1";"EbronCo1_Prop",#N/A,FALSE,"Ebrons Task Co1";"Ebron316KTrvl",#N/A,FALSE,"Ebrons Travel 316k"}</definedName>
    <definedName name="wrn.Ebron_Co1." localSheetId="13" hidden="1">{"EbronCo1_PA",#N/A,FALSE,"Ebrons Task Co1";"EbronCo1_Prop",#N/A,FALSE,"Ebrons Task Co1";"Ebron316KTrvl",#N/A,FALSE,"Ebrons Travel 316k"}</definedName>
    <definedName name="wrn.Ebron_Co1." hidden="1">{"EbronCo1_PA",#N/A,FALSE,"Ebrons Task Co1";"EbronCo1_Prop",#N/A,FALSE,"Ebrons Task Co1";"Ebron316KTrvl",#N/A,FALSE,"Ebrons Travel 316k"}</definedName>
    <definedName name="wrn.Ebron_Co5." localSheetId="5" hidden="1">{"EbronCo5_PA",#N/A,FALSE,"Ebrons Task Co5";"EbronCo5_Prop",#N/A,FALSE,"Ebrons Task Co5"}</definedName>
    <definedName name="wrn.Ebron_Co5." localSheetId="6" hidden="1">{"EbronCo5_PA",#N/A,FALSE,"Ebrons Task Co5";"EbronCo5_Prop",#N/A,FALSE,"Ebrons Task Co5"}</definedName>
    <definedName name="wrn.Ebron_Co5." localSheetId="7" hidden="1">{"EbronCo5_PA",#N/A,FALSE,"Ebrons Task Co5";"EbronCo5_Prop",#N/A,FALSE,"Ebrons Task Co5"}</definedName>
    <definedName name="wrn.Ebron_Co5." localSheetId="8" hidden="1">{"EbronCo5_PA",#N/A,FALSE,"Ebrons Task Co5";"EbronCo5_Prop",#N/A,FALSE,"Ebrons Task Co5"}</definedName>
    <definedName name="wrn.Ebron_Co5." localSheetId="9" hidden="1">{"EbronCo5_PA",#N/A,FALSE,"Ebrons Task Co5";"EbronCo5_Prop",#N/A,FALSE,"Ebrons Task Co5"}</definedName>
    <definedName name="wrn.Ebron_Co5." localSheetId="10" hidden="1">{"EbronCo5_PA",#N/A,FALSE,"Ebrons Task Co5";"EbronCo5_Prop",#N/A,FALSE,"Ebrons Task Co5"}</definedName>
    <definedName name="wrn.Ebron_Co5." localSheetId="11" hidden="1">{"EbronCo5_PA",#N/A,FALSE,"Ebrons Task Co5";"EbronCo5_Prop",#N/A,FALSE,"Ebrons Task Co5"}</definedName>
    <definedName name="wrn.Ebron_Co5." localSheetId="12" hidden="1">{"EbronCo5_PA",#N/A,FALSE,"Ebrons Task Co5";"EbronCo5_Prop",#N/A,FALSE,"Ebrons Task Co5"}</definedName>
    <definedName name="wrn.Ebron_Co5." localSheetId="4" hidden="1">{"EbronCo5_PA",#N/A,FALSE,"Ebrons Task Co5";"EbronCo5_Prop",#N/A,FALSE,"Ebrons Task Co5"}</definedName>
    <definedName name="wrn.Ebron_Co5." localSheetId="3" hidden="1">{"EbronCo5_PA",#N/A,FALSE,"Ebrons Task Co5";"EbronCo5_Prop",#N/A,FALSE,"Ebrons Task Co5"}</definedName>
    <definedName name="wrn.Ebron_Co5." localSheetId="13" hidden="1">{"EbronCo5_PA",#N/A,FALSE,"Ebrons Task Co5";"EbronCo5_Prop",#N/A,FALSE,"Ebrons Task Co5"}</definedName>
    <definedName name="wrn.Ebron_Co5." hidden="1">{"EbronCo5_PA",#N/A,FALSE,"Ebrons Task Co5";"EbronCo5_Prop",#N/A,FALSE,"Ebrons Task Co5"}</definedName>
    <definedName name="wrn.INVOICE." localSheetId="5" hidden="1">{"SF1034",#N/A,FALSE,"SF1034";"PAGE1",#N/A,FALSE,"SF1035-CO1-PG1";"PAGE2",#N/A,FALSE,"SF1035-CO1-PG2"}</definedName>
    <definedName name="wrn.INVOICE." localSheetId="6" hidden="1">{"SF1034",#N/A,FALSE,"SF1034";"PAGE1",#N/A,FALSE,"SF1035-CO1-PG1";"PAGE2",#N/A,FALSE,"SF1035-CO1-PG2"}</definedName>
    <definedName name="wrn.INVOICE." localSheetId="7" hidden="1">{"SF1034",#N/A,FALSE,"SF1034";"PAGE1",#N/A,FALSE,"SF1035-CO1-PG1";"PAGE2",#N/A,FALSE,"SF1035-CO1-PG2"}</definedName>
    <definedName name="wrn.INVOICE." localSheetId="8" hidden="1">{"SF1034",#N/A,FALSE,"SF1034";"PAGE1",#N/A,FALSE,"SF1035-CO1-PG1";"PAGE2",#N/A,FALSE,"SF1035-CO1-PG2"}</definedName>
    <definedName name="wrn.INVOICE." localSheetId="9" hidden="1">{"SF1034",#N/A,FALSE,"SF1034";"PAGE1",#N/A,FALSE,"SF1035-CO1-PG1";"PAGE2",#N/A,FALSE,"SF1035-CO1-PG2"}</definedName>
    <definedName name="wrn.INVOICE." localSheetId="10" hidden="1">{"SF1034",#N/A,FALSE,"SF1034";"PAGE1",#N/A,FALSE,"SF1035-CO1-PG1";"PAGE2",#N/A,FALSE,"SF1035-CO1-PG2"}</definedName>
    <definedName name="wrn.INVOICE." localSheetId="11" hidden="1">{"SF1034",#N/A,FALSE,"SF1034";"PAGE1",#N/A,FALSE,"SF1035-CO1-PG1";"PAGE2",#N/A,FALSE,"SF1035-CO1-PG2"}</definedName>
    <definedName name="wrn.INVOICE." localSheetId="12" hidden="1">{"SF1034",#N/A,FALSE,"SF1034";"PAGE1",#N/A,FALSE,"SF1035-CO1-PG1";"PAGE2",#N/A,FALSE,"SF1035-CO1-PG2"}</definedName>
    <definedName name="wrn.INVOICE." localSheetId="4" hidden="1">{"SF1034",#N/A,FALSE,"SF1034";"PAGE1",#N/A,FALSE,"SF1035-CO1-PG1";"PAGE2",#N/A,FALSE,"SF1035-CO1-PG2"}</definedName>
    <definedName name="wrn.INVOICE." localSheetId="3" hidden="1">{"SF1034",#N/A,FALSE,"SF1034";"PAGE1",#N/A,FALSE,"SF1035-CO1-PG1";"PAGE2",#N/A,FALSE,"SF1035-CO1-PG2"}</definedName>
    <definedName name="wrn.INVOICE." localSheetId="13" hidden="1">{"SF1034",#N/A,FALSE,"SF1034";"PAGE1",#N/A,FALSE,"SF1035-CO1-PG1";"PAGE2",#N/A,FALSE,"SF1035-CO1-PG2"}</definedName>
    <definedName name="wrn.INVOICE." hidden="1">{"SF1034",#N/A,FALSE,"SF1034";"PAGE1",#N/A,FALSE,"SF1035-CO1-PG1";"PAGE2",#N/A,FALSE,"SF1035-CO1-PG2"}</definedName>
    <definedName name="wrn.JDISS_Co1." localSheetId="5" hidden="1">{"JDISS_Co1",#N/A,FALSE,"JDISS_Co1";"JDISSCo1_PA",#N/A,FALSE,"JDISS_Co1"}</definedName>
    <definedName name="wrn.JDISS_Co1." localSheetId="6" hidden="1">{"JDISS_Co1",#N/A,FALSE,"JDISS_Co1";"JDISSCo1_PA",#N/A,FALSE,"JDISS_Co1"}</definedName>
    <definedName name="wrn.JDISS_Co1." localSheetId="7" hidden="1">{"JDISS_Co1",#N/A,FALSE,"JDISS_Co1";"JDISSCo1_PA",#N/A,FALSE,"JDISS_Co1"}</definedName>
    <definedName name="wrn.JDISS_Co1." localSheetId="8" hidden="1">{"JDISS_Co1",#N/A,FALSE,"JDISS_Co1";"JDISSCo1_PA",#N/A,FALSE,"JDISS_Co1"}</definedName>
    <definedName name="wrn.JDISS_Co1." localSheetId="9" hidden="1">{"JDISS_Co1",#N/A,FALSE,"JDISS_Co1";"JDISSCo1_PA",#N/A,FALSE,"JDISS_Co1"}</definedName>
    <definedName name="wrn.JDISS_Co1." localSheetId="10" hidden="1">{"JDISS_Co1",#N/A,FALSE,"JDISS_Co1";"JDISSCo1_PA",#N/A,FALSE,"JDISS_Co1"}</definedName>
    <definedName name="wrn.JDISS_Co1." localSheetId="11" hidden="1">{"JDISS_Co1",#N/A,FALSE,"JDISS_Co1";"JDISSCo1_PA",#N/A,FALSE,"JDISS_Co1"}</definedName>
    <definedName name="wrn.JDISS_Co1." localSheetId="12" hidden="1">{"JDISS_Co1",#N/A,FALSE,"JDISS_Co1";"JDISSCo1_PA",#N/A,FALSE,"JDISS_Co1"}</definedName>
    <definedName name="wrn.JDISS_Co1." localSheetId="4" hidden="1">{"JDISS_Co1",#N/A,FALSE,"JDISS_Co1";"JDISSCo1_PA",#N/A,FALSE,"JDISS_Co1"}</definedName>
    <definedName name="wrn.JDISS_Co1." localSheetId="3" hidden="1">{"JDISS_Co1",#N/A,FALSE,"JDISS_Co1";"JDISSCo1_PA",#N/A,FALSE,"JDISS_Co1"}</definedName>
    <definedName name="wrn.JDISS_Co1." localSheetId="13" hidden="1">{"JDISS_Co1",#N/A,FALSE,"JDISS_Co1";"JDISSCo1_PA",#N/A,FALSE,"JDISS_Co1"}</definedName>
    <definedName name="wrn.JDISS_Co1." hidden="1">{"JDISS_Co1",#N/A,FALSE,"JDISS_Co1";"JDISSCo1_PA",#N/A,FALSE,"JDISS_Co1"}</definedName>
    <definedName name="wrn.Man._.Loading._.Sheet." localSheetId="5" hidden="1">{#N/A,#N/A,FALSE,"ManLoading"}</definedName>
    <definedName name="wrn.Man._.Loading._.Sheet." localSheetId="6" hidden="1">{#N/A,#N/A,FALSE,"ManLoading"}</definedName>
    <definedName name="wrn.Man._.Loading._.Sheet." localSheetId="7" hidden="1">{#N/A,#N/A,FALSE,"ManLoading"}</definedName>
    <definedName name="wrn.Man._.Loading._.Sheet." localSheetId="8" hidden="1">{#N/A,#N/A,FALSE,"ManLoading"}</definedName>
    <definedName name="wrn.Man._.Loading._.Sheet." localSheetId="9" hidden="1">{#N/A,#N/A,FALSE,"ManLoading"}</definedName>
    <definedName name="wrn.Man._.Loading._.Sheet." localSheetId="10" hidden="1">{#N/A,#N/A,FALSE,"ManLoading"}</definedName>
    <definedName name="wrn.Man._.Loading._.Sheet." localSheetId="11" hidden="1">{#N/A,#N/A,FALSE,"ManLoading"}</definedName>
    <definedName name="wrn.Man._.Loading._.Sheet." localSheetId="12" hidden="1">{#N/A,#N/A,FALSE,"ManLoading"}</definedName>
    <definedName name="wrn.Man._.Loading._.Sheet." localSheetId="4" hidden="1">{#N/A,#N/A,FALSE,"ManLoading"}</definedName>
    <definedName name="wrn.Man._.Loading._.Sheet." localSheetId="3" hidden="1">{#N/A,#N/A,FALSE,"ManLoading"}</definedName>
    <definedName name="wrn.Man._.Loading._.Sheet." localSheetId="13" hidden="1">{#N/A,#N/A,FALSE,"ManLoading"}</definedName>
    <definedName name="wrn.Man._.Loading._.Sheet." hidden="1">{#N/A,#N/A,FALSE,"ManLoading"}</definedName>
    <definedName name="wrn.Pearson_Co1." localSheetId="5" hidden="1">{"PearsonCo1_Prop",#N/A,FALSE,"Pearsons Task Co1";"PearsonCo1_PA",#N/A,FALSE,"Pearsons Task Co1"}</definedName>
    <definedName name="wrn.Pearson_Co1." localSheetId="6" hidden="1">{"PearsonCo1_Prop",#N/A,FALSE,"Pearsons Task Co1";"PearsonCo1_PA",#N/A,FALSE,"Pearsons Task Co1"}</definedName>
    <definedName name="wrn.Pearson_Co1." localSheetId="7" hidden="1">{"PearsonCo1_Prop",#N/A,FALSE,"Pearsons Task Co1";"PearsonCo1_PA",#N/A,FALSE,"Pearsons Task Co1"}</definedName>
    <definedName name="wrn.Pearson_Co1." localSheetId="8" hidden="1">{"PearsonCo1_Prop",#N/A,FALSE,"Pearsons Task Co1";"PearsonCo1_PA",#N/A,FALSE,"Pearsons Task Co1"}</definedName>
    <definedName name="wrn.Pearson_Co1." localSheetId="9" hidden="1">{"PearsonCo1_Prop",#N/A,FALSE,"Pearsons Task Co1";"PearsonCo1_PA",#N/A,FALSE,"Pearsons Task Co1"}</definedName>
    <definedName name="wrn.Pearson_Co1." localSheetId="10" hidden="1">{"PearsonCo1_Prop",#N/A,FALSE,"Pearsons Task Co1";"PearsonCo1_PA",#N/A,FALSE,"Pearsons Task Co1"}</definedName>
    <definedName name="wrn.Pearson_Co1." localSheetId="11" hidden="1">{"PearsonCo1_Prop",#N/A,FALSE,"Pearsons Task Co1";"PearsonCo1_PA",#N/A,FALSE,"Pearsons Task Co1"}</definedName>
    <definedName name="wrn.Pearson_Co1." localSheetId="12" hidden="1">{"PearsonCo1_Prop",#N/A,FALSE,"Pearsons Task Co1";"PearsonCo1_PA",#N/A,FALSE,"Pearsons Task Co1"}</definedName>
    <definedName name="wrn.Pearson_Co1." localSheetId="4" hidden="1">{"PearsonCo1_Prop",#N/A,FALSE,"Pearsons Task Co1";"PearsonCo1_PA",#N/A,FALSE,"Pearsons Task Co1"}</definedName>
    <definedName name="wrn.Pearson_Co1." localSheetId="3" hidden="1">{"PearsonCo1_Prop",#N/A,FALSE,"Pearsons Task Co1";"PearsonCo1_PA",#N/A,FALSE,"Pearsons Task Co1"}</definedName>
    <definedName name="wrn.Pearson_Co1." localSheetId="13" hidden="1">{"PearsonCo1_Prop",#N/A,FALSE,"Pearsons Task Co1";"PearsonCo1_PA",#N/A,FALSE,"Pearsons Task Co1"}</definedName>
    <definedName name="wrn.Pearson_Co1." hidden="1">{"PearsonCo1_Prop",#N/A,FALSE,"Pearsons Task Co1";"PearsonCo1_PA",#N/A,FALSE,"Pearsons Task Co1"}</definedName>
    <definedName name="wrn.Pearson_Co5." localSheetId="5" hidden="1">{"PearsonCo5_Prop",#N/A,FALSE,"Pearsons Task Co5";"PearsonCo5_PA",#N/A,FALSE,"Pearsons Task Co5"}</definedName>
    <definedName name="wrn.Pearson_Co5." localSheetId="6" hidden="1">{"PearsonCo5_Prop",#N/A,FALSE,"Pearsons Task Co5";"PearsonCo5_PA",#N/A,FALSE,"Pearsons Task Co5"}</definedName>
    <definedName name="wrn.Pearson_Co5." localSheetId="7" hidden="1">{"PearsonCo5_Prop",#N/A,FALSE,"Pearsons Task Co5";"PearsonCo5_PA",#N/A,FALSE,"Pearsons Task Co5"}</definedName>
    <definedName name="wrn.Pearson_Co5." localSheetId="8" hidden="1">{"PearsonCo5_Prop",#N/A,FALSE,"Pearsons Task Co5";"PearsonCo5_PA",#N/A,FALSE,"Pearsons Task Co5"}</definedName>
    <definedName name="wrn.Pearson_Co5." localSheetId="9" hidden="1">{"PearsonCo5_Prop",#N/A,FALSE,"Pearsons Task Co5";"PearsonCo5_PA",#N/A,FALSE,"Pearsons Task Co5"}</definedName>
    <definedName name="wrn.Pearson_Co5." localSheetId="10" hidden="1">{"PearsonCo5_Prop",#N/A,FALSE,"Pearsons Task Co5";"PearsonCo5_PA",#N/A,FALSE,"Pearsons Task Co5"}</definedName>
    <definedName name="wrn.Pearson_Co5." localSheetId="11" hidden="1">{"PearsonCo5_Prop",#N/A,FALSE,"Pearsons Task Co5";"PearsonCo5_PA",#N/A,FALSE,"Pearsons Task Co5"}</definedName>
    <definedName name="wrn.Pearson_Co5." localSheetId="12" hidden="1">{"PearsonCo5_Prop",#N/A,FALSE,"Pearsons Task Co5";"PearsonCo5_PA",#N/A,FALSE,"Pearsons Task Co5"}</definedName>
    <definedName name="wrn.Pearson_Co5." localSheetId="4" hidden="1">{"PearsonCo5_Prop",#N/A,FALSE,"Pearsons Task Co5";"PearsonCo5_PA",#N/A,FALSE,"Pearsons Task Co5"}</definedName>
    <definedName name="wrn.Pearson_Co5." localSheetId="3" hidden="1">{"PearsonCo5_Prop",#N/A,FALSE,"Pearsons Task Co5";"PearsonCo5_PA",#N/A,FALSE,"Pearsons Task Co5"}</definedName>
    <definedName name="wrn.Pearson_Co5." localSheetId="13" hidden="1">{"PearsonCo5_Prop",#N/A,FALSE,"Pearsons Task Co5";"PearsonCo5_PA",#N/A,FALSE,"Pearsons Task Co5"}</definedName>
    <definedName name="wrn.Pearson_Co5." hidden="1">{"PearsonCo5_Prop",#N/A,FALSE,"Pearsons Task Co5";"PearsonCo5_PA",#N/A,FALSE,"Pearsons Task Co5"}</definedName>
    <definedName name="wrn.price." localSheetId="5" hidden="1">{"PAGE1",#N/A,FALSE,"CPFFMSTR";"PAGE2",#N/A,FALSE,"CPFFMSTR"}</definedName>
    <definedName name="wrn.price." localSheetId="6" hidden="1">{"PAGE1",#N/A,FALSE,"CPFFMSTR";"PAGE2",#N/A,FALSE,"CPFFMSTR"}</definedName>
    <definedName name="wrn.price." localSheetId="7" hidden="1">{"PAGE1",#N/A,FALSE,"CPFFMSTR";"PAGE2",#N/A,FALSE,"CPFFMSTR"}</definedName>
    <definedName name="wrn.price." localSheetId="8" hidden="1">{"PAGE1",#N/A,FALSE,"CPFFMSTR";"PAGE2",#N/A,FALSE,"CPFFMSTR"}</definedName>
    <definedName name="wrn.price." localSheetId="9" hidden="1">{"PAGE1",#N/A,FALSE,"CPFFMSTR";"PAGE2",#N/A,FALSE,"CPFFMSTR"}</definedName>
    <definedName name="wrn.price." localSheetId="10" hidden="1">{"PAGE1",#N/A,FALSE,"CPFFMSTR";"PAGE2",#N/A,FALSE,"CPFFMSTR"}</definedName>
    <definedName name="wrn.price." localSheetId="11" hidden="1">{"PAGE1",#N/A,FALSE,"CPFFMSTR";"PAGE2",#N/A,FALSE,"CPFFMSTR"}</definedName>
    <definedName name="wrn.price." localSheetId="12" hidden="1">{"PAGE1",#N/A,FALSE,"CPFFMSTR";"PAGE2",#N/A,FALSE,"CPFFMSTR"}</definedName>
    <definedName name="wrn.price." localSheetId="4" hidden="1">{"PAGE1",#N/A,FALSE,"CPFFMSTR";"PAGE2",#N/A,FALSE,"CPFFMSTR"}</definedName>
    <definedName name="wrn.price." localSheetId="3" hidden="1">{"PAGE1",#N/A,FALSE,"CPFFMSTR";"PAGE2",#N/A,FALSE,"CPFFMSTR"}</definedName>
    <definedName name="wrn.price." localSheetId="13" hidden="1">{"PAGE1",#N/A,FALSE,"CPFFMSTR";"PAGE2",#N/A,FALSE,"CPFFMSTR"}</definedName>
    <definedName name="wrn.price." hidden="1">{"PAGE1",#N/A,FALSE,"CPFFMSTR";"PAGE2",#N/A,FALSE,"CPFFMSTR"}</definedName>
    <definedName name="wrn.PRINT._.ALL." localSheetId="5" hidden="1">{"ORIG",#N/A,FALSE,"Sheet1";"GOVT LABOR",#N/A,FALSE,"Sheet1";"INT LABOR",#N/A,FALSE,"Sheet1"}</definedName>
    <definedName name="wrn.PRINT._.ALL." localSheetId="6" hidden="1">{"ORIG",#N/A,FALSE,"Sheet1";"GOVT LABOR",#N/A,FALSE,"Sheet1";"INT LABOR",#N/A,FALSE,"Sheet1"}</definedName>
    <definedName name="wrn.PRINT._.ALL." localSheetId="7" hidden="1">{"ORIG",#N/A,FALSE,"Sheet1";"GOVT LABOR",#N/A,FALSE,"Sheet1";"INT LABOR",#N/A,FALSE,"Sheet1"}</definedName>
    <definedName name="wrn.PRINT._.ALL." localSheetId="8" hidden="1">{"ORIG",#N/A,FALSE,"Sheet1";"GOVT LABOR",#N/A,FALSE,"Sheet1";"INT LABOR",#N/A,FALSE,"Sheet1"}</definedName>
    <definedName name="wrn.PRINT._.ALL." localSheetId="9" hidden="1">{"ORIG",#N/A,FALSE,"Sheet1";"GOVT LABOR",#N/A,FALSE,"Sheet1";"INT LABOR",#N/A,FALSE,"Sheet1"}</definedName>
    <definedName name="wrn.PRINT._.ALL." localSheetId="10" hidden="1">{"ORIG",#N/A,FALSE,"Sheet1";"GOVT LABOR",#N/A,FALSE,"Sheet1";"INT LABOR",#N/A,FALSE,"Sheet1"}</definedName>
    <definedName name="wrn.PRINT._.ALL." localSheetId="11" hidden="1">{"ORIG",#N/A,FALSE,"Sheet1";"GOVT LABOR",#N/A,FALSE,"Sheet1";"INT LABOR",#N/A,FALSE,"Sheet1"}</definedName>
    <definedName name="wrn.PRINT._.ALL." localSheetId="12" hidden="1">{"ORIG",#N/A,FALSE,"Sheet1";"GOVT LABOR",#N/A,FALSE,"Sheet1";"INT LABOR",#N/A,FALSE,"Sheet1"}</definedName>
    <definedName name="wrn.PRINT._.ALL." localSheetId="4" hidden="1">{"ORIG",#N/A,FALSE,"Sheet1";"GOVT LABOR",#N/A,FALSE,"Sheet1";"INT LABOR",#N/A,FALSE,"Sheet1"}</definedName>
    <definedName name="wrn.PRINT._.ALL." localSheetId="3" hidden="1">{"ORIG",#N/A,FALSE,"Sheet1";"GOVT LABOR",#N/A,FALSE,"Sheet1";"INT LABOR",#N/A,FALSE,"Sheet1"}</definedName>
    <definedName name="wrn.PRINT._.ALL." localSheetId="13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int_Detail_And_Summary." localSheetId="5" hidden="1">{"ViewPreCalc",#N/A,TRUE,"PreCalc";"ViewSummary",#N/A,TRUE,"Summary "}</definedName>
    <definedName name="wrn.Print_Detail_And_Summary." localSheetId="6" hidden="1">{"ViewPreCalc",#N/A,TRUE,"PreCalc";"ViewSummary",#N/A,TRUE,"Summary "}</definedName>
    <definedName name="wrn.Print_Detail_And_Summary." localSheetId="7" hidden="1">{"ViewPreCalc",#N/A,TRUE,"PreCalc";"ViewSummary",#N/A,TRUE,"Summary "}</definedName>
    <definedName name="wrn.Print_Detail_And_Summary." localSheetId="8" hidden="1">{"ViewPreCalc",#N/A,TRUE,"PreCalc";"ViewSummary",#N/A,TRUE,"Summary "}</definedName>
    <definedName name="wrn.Print_Detail_And_Summary." localSheetId="9" hidden="1">{"ViewPreCalc",#N/A,TRUE,"PreCalc";"ViewSummary",#N/A,TRUE,"Summary "}</definedName>
    <definedName name="wrn.Print_Detail_And_Summary." localSheetId="10" hidden="1">{"ViewPreCalc",#N/A,TRUE,"PreCalc";"ViewSummary",#N/A,TRUE,"Summary "}</definedName>
    <definedName name="wrn.Print_Detail_And_Summary." localSheetId="11" hidden="1">{"ViewPreCalc",#N/A,TRUE,"PreCalc";"ViewSummary",#N/A,TRUE,"Summary "}</definedName>
    <definedName name="wrn.Print_Detail_And_Summary." localSheetId="12" hidden="1">{"ViewPreCalc",#N/A,TRUE,"PreCalc";"ViewSummary",#N/A,TRUE,"Summary "}</definedName>
    <definedName name="wrn.Print_Detail_And_Summary." localSheetId="4" hidden="1">{"ViewPreCalc",#N/A,TRUE,"PreCalc";"ViewSummary",#N/A,TRUE,"Summary "}</definedName>
    <definedName name="wrn.Print_Detail_And_Summary." localSheetId="3" hidden="1">{"ViewPreCalc",#N/A,TRUE,"PreCalc";"ViewSummary",#N/A,TRUE,"Summary "}</definedName>
    <definedName name="wrn.Print_Detail_And_Summary." localSheetId="13" hidden="1">{"ViewPreCalc",#N/A,TRUE,"PreCalc";"ViewSummary",#N/A,TRUE,"Summary "}</definedName>
    <definedName name="wrn.Print_Detail_And_Summary." hidden="1">{"ViewPreCalc",#N/A,TRUE,"PreCalc";"ViewSummary",#N/A,TRUE,"Summary "}</definedName>
    <definedName name="wrn.Seal._.Team._.J6." localSheetId="5" hidden="1">{"Seal Team J6 Sum",#N/A,FALSE,"Seal Team Summary";"Seal Team J6",#N/A,FALSE,"Seal Team ";"Seal Team ODC J6",#N/A,FALSE,"Seal Team ODCs";"Seal Team Trvl J6",#N/A,FALSE," Seal Team Trvl"}</definedName>
    <definedName name="wrn.Seal._.Team._.J6." localSheetId="6" hidden="1">{"Seal Team J6 Sum",#N/A,FALSE,"Seal Team Summary";"Seal Team J6",#N/A,FALSE,"Seal Team ";"Seal Team ODC J6",#N/A,FALSE,"Seal Team ODCs";"Seal Team Trvl J6",#N/A,FALSE," Seal Team Trvl"}</definedName>
    <definedName name="wrn.Seal._.Team._.J6." localSheetId="7" hidden="1">{"Seal Team J6 Sum",#N/A,FALSE,"Seal Team Summary";"Seal Team J6",#N/A,FALSE,"Seal Team ";"Seal Team ODC J6",#N/A,FALSE,"Seal Team ODCs";"Seal Team Trvl J6",#N/A,FALSE," Seal Team Trvl"}</definedName>
    <definedName name="wrn.Seal._.Team._.J6." localSheetId="8" hidden="1">{"Seal Team J6 Sum",#N/A,FALSE,"Seal Team Summary";"Seal Team J6",#N/A,FALSE,"Seal Team ";"Seal Team ODC J6",#N/A,FALSE,"Seal Team ODCs";"Seal Team Trvl J6",#N/A,FALSE," Seal Team Trvl"}</definedName>
    <definedName name="wrn.Seal._.Team._.J6." localSheetId="9" hidden="1">{"Seal Team J6 Sum",#N/A,FALSE,"Seal Team Summary";"Seal Team J6",#N/A,FALSE,"Seal Team ";"Seal Team ODC J6",#N/A,FALSE,"Seal Team ODCs";"Seal Team Trvl J6",#N/A,FALSE," Seal Team Trvl"}</definedName>
    <definedName name="wrn.Seal._.Team._.J6." localSheetId="10" hidden="1">{"Seal Team J6 Sum",#N/A,FALSE,"Seal Team Summary";"Seal Team J6",#N/A,FALSE,"Seal Team ";"Seal Team ODC J6",#N/A,FALSE,"Seal Team ODCs";"Seal Team Trvl J6",#N/A,FALSE," Seal Team Trvl"}</definedName>
    <definedName name="wrn.Seal._.Team._.J6." localSheetId="11" hidden="1">{"Seal Team J6 Sum",#N/A,FALSE,"Seal Team Summary";"Seal Team J6",#N/A,FALSE,"Seal Team ";"Seal Team ODC J6",#N/A,FALSE,"Seal Team ODCs";"Seal Team Trvl J6",#N/A,FALSE," Seal Team Trvl"}</definedName>
    <definedName name="wrn.Seal._.Team._.J6." localSheetId="12" hidden="1">{"Seal Team J6 Sum",#N/A,FALSE,"Seal Team Summary";"Seal Team J6",#N/A,FALSE,"Seal Team ";"Seal Team ODC J6",#N/A,FALSE,"Seal Team ODCs";"Seal Team Trvl J6",#N/A,FALSE," Seal Team Trvl"}</definedName>
    <definedName name="wrn.Seal._.Team._.J6." localSheetId="4" hidden="1">{"Seal Team J6 Sum",#N/A,FALSE,"Seal Team Summary";"Seal Team J6",#N/A,FALSE,"Seal Team ";"Seal Team ODC J6",#N/A,FALSE,"Seal Team ODCs";"Seal Team Trvl J6",#N/A,FALSE," Seal Team Trvl"}</definedName>
    <definedName name="wrn.Seal._.Team._.J6." localSheetId="3" hidden="1">{"Seal Team J6 Sum",#N/A,FALSE,"Seal Team Summary";"Seal Team J6",#N/A,FALSE,"Seal Team ";"Seal Team ODC J6",#N/A,FALSE,"Seal Team ODCs";"Seal Team Trvl J6",#N/A,FALSE," Seal Team Trvl"}</definedName>
    <definedName name="wrn.Seal._.Team._.J6." localSheetId="13" hidden="1">{"Seal Team J6 Sum",#N/A,FALSE,"Seal Team Summary";"Seal Team J6",#N/A,FALSE,"Seal Team ";"Seal Team ODC J6",#N/A,FALSE,"Seal Team ODCs";"Seal Team Trvl J6",#N/A,FALSE," Seal Team Trvl"}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ummary._.1._.Year." localSheetId="5" hidden="1">{"One Year",#N/A,FALSE,"Summary"}</definedName>
    <definedName name="wrn.Summary._.1._.Year." localSheetId="6" hidden="1">{"One Year",#N/A,FALSE,"Summary"}</definedName>
    <definedName name="wrn.Summary._.1._.Year." localSheetId="7" hidden="1">{"One Year",#N/A,FALSE,"Summary"}</definedName>
    <definedName name="wrn.Summary._.1._.Year." localSheetId="8" hidden="1">{"One Year",#N/A,FALSE,"Summary"}</definedName>
    <definedName name="wrn.Summary._.1._.Year." localSheetId="9" hidden="1">{"One Year",#N/A,FALSE,"Summary"}</definedName>
    <definedName name="wrn.Summary._.1._.Year." localSheetId="10" hidden="1">{"One Year",#N/A,FALSE,"Summary"}</definedName>
    <definedName name="wrn.Summary._.1._.Year." localSheetId="11" hidden="1">{"One Year",#N/A,FALSE,"Summary"}</definedName>
    <definedName name="wrn.Summary._.1._.Year." localSheetId="12" hidden="1">{"One Year",#N/A,FALSE,"Summary"}</definedName>
    <definedName name="wrn.Summary._.1._.Year." localSheetId="4" hidden="1">{"One Year",#N/A,FALSE,"Summary"}</definedName>
    <definedName name="wrn.Summary._.1._.Year." localSheetId="3" hidden="1">{"One Year",#N/A,FALSE,"Summary"}</definedName>
    <definedName name="wrn.Summary._.1._.Year." localSheetId="13" hidden="1">{"One Year",#N/A,FALSE,"Summary"}</definedName>
    <definedName name="wrn.Summary._.1._.Year." hidden="1">{"One Year",#N/A,FALSE,"Summary"}</definedName>
    <definedName name="wrn.workpapers." localSheetId="5" hidden="1">{"dl",#N/A,FALSE,"Core";"indirects",#N/A,FALSE,"Core";"profit",#N/A,FALSE,"Core"}</definedName>
    <definedName name="wrn.workpapers." localSheetId="6" hidden="1">{"dl",#N/A,FALSE,"Core";"indirects",#N/A,FALSE,"Core";"profit",#N/A,FALSE,"Core"}</definedName>
    <definedName name="wrn.workpapers." localSheetId="7" hidden="1">{"dl",#N/A,FALSE,"Core";"indirects",#N/A,FALSE,"Core";"profit",#N/A,FALSE,"Core"}</definedName>
    <definedName name="wrn.workpapers." localSheetId="8" hidden="1">{"dl",#N/A,FALSE,"Core";"indirects",#N/A,FALSE,"Core";"profit",#N/A,FALSE,"Core"}</definedName>
    <definedName name="wrn.workpapers." localSheetId="9" hidden="1">{"dl",#N/A,FALSE,"Core";"indirects",#N/A,FALSE,"Core";"profit",#N/A,FALSE,"Core"}</definedName>
    <definedName name="wrn.workpapers." localSheetId="10" hidden="1">{"dl",#N/A,FALSE,"Core";"indirects",#N/A,FALSE,"Core";"profit",#N/A,FALSE,"Core"}</definedName>
    <definedName name="wrn.workpapers." localSheetId="11" hidden="1">{"dl",#N/A,FALSE,"Core";"indirects",#N/A,FALSE,"Core";"profit",#N/A,FALSE,"Core"}</definedName>
    <definedName name="wrn.workpapers." localSheetId="12" hidden="1">{"dl",#N/A,FALSE,"Core";"indirects",#N/A,FALSE,"Core";"profit",#N/A,FALSE,"Core"}</definedName>
    <definedName name="wrn.workpapers." localSheetId="4" hidden="1">{"dl",#N/A,FALSE,"Core";"indirects",#N/A,FALSE,"Core";"profit",#N/A,FALSE,"Core"}</definedName>
    <definedName name="wrn.workpapers." localSheetId="13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1.price." localSheetId="5" hidden="1">{"PAGE1",#N/A,FALSE,"CPFFMSTR";"PAGE2",#N/A,FALSE,"CPFFMSTR"}</definedName>
    <definedName name="wrn1.price." localSheetId="6" hidden="1">{"PAGE1",#N/A,FALSE,"CPFFMSTR";"PAGE2",#N/A,FALSE,"CPFFMSTR"}</definedName>
    <definedName name="wrn1.price." localSheetId="7" hidden="1">{"PAGE1",#N/A,FALSE,"CPFFMSTR";"PAGE2",#N/A,FALSE,"CPFFMSTR"}</definedName>
    <definedName name="wrn1.price." localSheetId="8" hidden="1">{"PAGE1",#N/A,FALSE,"CPFFMSTR";"PAGE2",#N/A,FALSE,"CPFFMSTR"}</definedName>
    <definedName name="wrn1.price." localSheetId="9" hidden="1">{"PAGE1",#N/A,FALSE,"CPFFMSTR";"PAGE2",#N/A,FALSE,"CPFFMSTR"}</definedName>
    <definedName name="wrn1.price." localSheetId="10" hidden="1">{"PAGE1",#N/A,FALSE,"CPFFMSTR";"PAGE2",#N/A,FALSE,"CPFFMSTR"}</definedName>
    <definedName name="wrn1.price." localSheetId="11" hidden="1">{"PAGE1",#N/A,FALSE,"CPFFMSTR";"PAGE2",#N/A,FALSE,"CPFFMSTR"}</definedName>
    <definedName name="wrn1.price." localSheetId="12" hidden="1">{"PAGE1",#N/A,FALSE,"CPFFMSTR";"PAGE2",#N/A,FALSE,"CPFFMSTR"}</definedName>
    <definedName name="wrn1.price." localSheetId="4" hidden="1">{"PAGE1",#N/A,FALSE,"CPFFMSTR";"PAGE2",#N/A,FALSE,"CPFFMSTR"}</definedName>
    <definedName name="wrn1.price." localSheetId="3" hidden="1">{"PAGE1",#N/A,FALSE,"CPFFMSTR";"PAGE2",#N/A,FALSE,"CPFFMSTR"}</definedName>
    <definedName name="wrn1.price." localSheetId="13" hidden="1">{"PAGE1",#N/A,FALSE,"CPFFMSTR";"PAGE2",#N/A,FALSE,"CPFFMSTR"}</definedName>
    <definedName name="wrn1.price." hidden="1">{"PAGE1",#N/A,FALSE,"CPFFMSTR";"PAGE2",#N/A,FALSE,"CPFFMSTR"}</definedName>
    <definedName name="www">#REF!</definedName>
    <definedName name="x">#REF!</definedName>
    <definedName name="XC">[46]DETAIL!$R$2</definedName>
    <definedName name="XFDTGH" localSheetId="5" hidden="1">{"PAGE1",#N/A,FALSE,"CPFFMSTR";"PAGE2",#N/A,FALSE,"CPFFMSTR"}</definedName>
    <definedName name="XFDTGH" localSheetId="6" hidden="1">{"PAGE1",#N/A,FALSE,"CPFFMSTR";"PAGE2",#N/A,FALSE,"CPFFMSTR"}</definedName>
    <definedName name="XFDTGH" localSheetId="7" hidden="1">{"PAGE1",#N/A,FALSE,"CPFFMSTR";"PAGE2",#N/A,FALSE,"CPFFMSTR"}</definedName>
    <definedName name="XFDTGH" localSheetId="8" hidden="1">{"PAGE1",#N/A,FALSE,"CPFFMSTR";"PAGE2",#N/A,FALSE,"CPFFMSTR"}</definedName>
    <definedName name="XFDTGH" localSheetId="9" hidden="1">{"PAGE1",#N/A,FALSE,"CPFFMSTR";"PAGE2",#N/A,FALSE,"CPFFMSTR"}</definedName>
    <definedName name="XFDTGH" localSheetId="10" hidden="1">{"PAGE1",#N/A,FALSE,"CPFFMSTR";"PAGE2",#N/A,FALSE,"CPFFMSTR"}</definedName>
    <definedName name="XFDTGH" localSheetId="11" hidden="1">{"PAGE1",#N/A,FALSE,"CPFFMSTR";"PAGE2",#N/A,FALSE,"CPFFMSTR"}</definedName>
    <definedName name="XFDTGH" localSheetId="12" hidden="1">{"PAGE1",#N/A,FALSE,"CPFFMSTR";"PAGE2",#N/A,FALSE,"CPFFMSTR"}</definedName>
    <definedName name="XFDTGH" localSheetId="4" hidden="1">{"PAGE1",#N/A,FALSE,"CPFFMSTR";"PAGE2",#N/A,FALSE,"CPFFMSTR"}</definedName>
    <definedName name="XFDTGH" localSheetId="3" hidden="1">{"PAGE1",#N/A,FALSE,"CPFFMSTR";"PAGE2",#N/A,FALSE,"CPFFMSTR"}</definedName>
    <definedName name="XFDTGH" localSheetId="13" hidden="1">{"PAGE1",#N/A,FALSE,"CPFFMSTR";"PAGE2",#N/A,FALSE,"CPFFMSTR"}</definedName>
    <definedName name="XFDTGH" hidden="1">{"PAGE1",#N/A,FALSE,"CPFFMSTR";"PAGE2",#N/A,FALSE,"CPFFMSTR"}</definedName>
    <definedName name="XGH" localSheetId="5" hidden="1">{"PAGE1",#N/A,FALSE,"CPFFMSTR";"PAGE2",#N/A,FALSE,"CPFFMSTR"}</definedName>
    <definedName name="XGH" localSheetId="6" hidden="1">{"PAGE1",#N/A,FALSE,"CPFFMSTR";"PAGE2",#N/A,FALSE,"CPFFMSTR"}</definedName>
    <definedName name="XGH" localSheetId="7" hidden="1">{"PAGE1",#N/A,FALSE,"CPFFMSTR";"PAGE2",#N/A,FALSE,"CPFFMSTR"}</definedName>
    <definedName name="XGH" localSheetId="8" hidden="1">{"PAGE1",#N/A,FALSE,"CPFFMSTR";"PAGE2",#N/A,FALSE,"CPFFMSTR"}</definedName>
    <definedName name="XGH" localSheetId="9" hidden="1">{"PAGE1",#N/A,FALSE,"CPFFMSTR";"PAGE2",#N/A,FALSE,"CPFFMSTR"}</definedName>
    <definedName name="XGH" localSheetId="10" hidden="1">{"PAGE1",#N/A,FALSE,"CPFFMSTR";"PAGE2",#N/A,FALSE,"CPFFMSTR"}</definedName>
    <definedName name="XGH" localSheetId="11" hidden="1">{"PAGE1",#N/A,FALSE,"CPFFMSTR";"PAGE2",#N/A,FALSE,"CPFFMSTR"}</definedName>
    <definedName name="XGH" localSheetId="12" hidden="1">{"PAGE1",#N/A,FALSE,"CPFFMSTR";"PAGE2",#N/A,FALSE,"CPFFMSTR"}</definedName>
    <definedName name="XGH" localSheetId="4" hidden="1">{"PAGE1",#N/A,FALSE,"CPFFMSTR";"PAGE2",#N/A,FALSE,"CPFFMSTR"}</definedName>
    <definedName name="XGH" localSheetId="3" hidden="1">{"PAGE1",#N/A,FALSE,"CPFFMSTR";"PAGE2",#N/A,FALSE,"CPFFMSTR"}</definedName>
    <definedName name="XGH" localSheetId="13" hidden="1">{"PAGE1",#N/A,FALSE,"CPFFMSTR";"PAGE2",#N/A,FALSE,"CPFFMSTR"}</definedName>
    <definedName name="XGH" hidden="1">{"PAGE1",#N/A,FALSE,"CPFFMSTR";"PAGE2",#N/A,FALSE,"CPFFMSTR"}</definedName>
    <definedName name="XGHXF" localSheetId="5" hidden="1">{"PAGE1",#N/A,FALSE,"CPFFMSTR";"PAGE2",#N/A,FALSE,"CPFFMSTR"}</definedName>
    <definedName name="XGHXF" localSheetId="6" hidden="1">{"PAGE1",#N/A,FALSE,"CPFFMSTR";"PAGE2",#N/A,FALSE,"CPFFMSTR"}</definedName>
    <definedName name="XGHXF" localSheetId="7" hidden="1">{"PAGE1",#N/A,FALSE,"CPFFMSTR";"PAGE2",#N/A,FALSE,"CPFFMSTR"}</definedName>
    <definedName name="XGHXF" localSheetId="8" hidden="1">{"PAGE1",#N/A,FALSE,"CPFFMSTR";"PAGE2",#N/A,FALSE,"CPFFMSTR"}</definedName>
    <definedName name="XGHXF" localSheetId="9" hidden="1">{"PAGE1",#N/A,FALSE,"CPFFMSTR";"PAGE2",#N/A,FALSE,"CPFFMSTR"}</definedName>
    <definedName name="XGHXF" localSheetId="10" hidden="1">{"PAGE1",#N/A,FALSE,"CPFFMSTR";"PAGE2",#N/A,FALSE,"CPFFMSTR"}</definedName>
    <definedName name="XGHXF" localSheetId="11" hidden="1">{"PAGE1",#N/A,FALSE,"CPFFMSTR";"PAGE2",#N/A,FALSE,"CPFFMSTR"}</definedName>
    <definedName name="XGHXF" localSheetId="12" hidden="1">{"PAGE1",#N/A,FALSE,"CPFFMSTR";"PAGE2",#N/A,FALSE,"CPFFMSTR"}</definedName>
    <definedName name="XGHXF" localSheetId="4" hidden="1">{"PAGE1",#N/A,FALSE,"CPFFMSTR";"PAGE2",#N/A,FALSE,"CPFFMSTR"}</definedName>
    <definedName name="XGHXF" localSheetId="3" hidden="1">{"PAGE1",#N/A,FALSE,"CPFFMSTR";"PAGE2",#N/A,FALSE,"CPFFMSTR"}</definedName>
    <definedName name="XGHXF" localSheetId="13" hidden="1">{"PAGE1",#N/A,FALSE,"CPFFMSTR";"PAGE2",#N/A,FALSE,"CPFFMSTR"}</definedName>
    <definedName name="XGHXF" hidden="1">{"PAGE1",#N/A,FALSE,"CPFFMSTR";"PAGE2",#N/A,FALSE,"CPFFMSTR"}</definedName>
    <definedName name="xvcb" localSheetId="5" hidden="1">{"PAGE1",#N/A,FALSE,"CPFFMSTR";"PAGE2",#N/A,FALSE,"CPFFMSTR"}</definedName>
    <definedName name="xvcb" localSheetId="6" hidden="1">{"PAGE1",#N/A,FALSE,"CPFFMSTR";"PAGE2",#N/A,FALSE,"CPFFMSTR"}</definedName>
    <definedName name="xvcb" localSheetId="7" hidden="1">{"PAGE1",#N/A,FALSE,"CPFFMSTR";"PAGE2",#N/A,FALSE,"CPFFMSTR"}</definedName>
    <definedName name="xvcb" localSheetId="8" hidden="1">{"PAGE1",#N/A,FALSE,"CPFFMSTR";"PAGE2",#N/A,FALSE,"CPFFMSTR"}</definedName>
    <definedName name="xvcb" localSheetId="9" hidden="1">{"PAGE1",#N/A,FALSE,"CPFFMSTR";"PAGE2",#N/A,FALSE,"CPFFMSTR"}</definedName>
    <definedName name="xvcb" localSheetId="10" hidden="1">{"PAGE1",#N/A,FALSE,"CPFFMSTR";"PAGE2",#N/A,FALSE,"CPFFMSTR"}</definedName>
    <definedName name="xvcb" localSheetId="11" hidden="1">{"PAGE1",#N/A,FALSE,"CPFFMSTR";"PAGE2",#N/A,FALSE,"CPFFMSTR"}</definedName>
    <definedName name="xvcb" localSheetId="12" hidden="1">{"PAGE1",#N/A,FALSE,"CPFFMSTR";"PAGE2",#N/A,FALSE,"CPFFMSTR"}</definedName>
    <definedName name="xvcb" localSheetId="4" hidden="1">{"PAGE1",#N/A,FALSE,"CPFFMSTR";"PAGE2",#N/A,FALSE,"CPFFMSTR"}</definedName>
    <definedName name="xvcb" localSheetId="3" hidden="1">{"PAGE1",#N/A,FALSE,"CPFFMSTR";"PAGE2",#N/A,FALSE,"CPFFMSTR"}</definedName>
    <definedName name="xvcb" localSheetId="13" hidden="1">{"PAGE1",#N/A,FALSE,"CPFFMSTR";"PAGE2",#N/A,FALSE,"CPFFMSTR"}</definedName>
    <definedName name="xvcb" hidden="1">{"PAGE1",#N/A,FALSE,"CPFFMSTR";"PAGE2",#N/A,FALSE,"CPFFMSTR"}</definedName>
    <definedName name="xxx" localSheetId="5" hidden="1">{"ACC_Cars_125K_PA",#N/A,FALSE,"ACC Cars Co1 125K ";"ACC_Cars_125K_Prop",#N/A,FALSE,"ACC Cars Co1 125K "}</definedName>
    <definedName name="xxx" localSheetId="6" hidden="1">{"ACC_Cars_125K_PA",#N/A,FALSE,"ACC Cars Co1 125K ";"ACC_Cars_125K_Prop",#N/A,FALSE,"ACC Cars Co1 125K "}</definedName>
    <definedName name="xxx" localSheetId="7" hidden="1">{"ACC_Cars_125K_PA",#N/A,FALSE,"ACC Cars Co1 125K ";"ACC_Cars_125K_Prop",#N/A,FALSE,"ACC Cars Co1 125K "}</definedName>
    <definedName name="xxx" localSheetId="8" hidden="1">{"ACC_Cars_125K_PA",#N/A,FALSE,"ACC Cars Co1 125K ";"ACC_Cars_125K_Prop",#N/A,FALSE,"ACC Cars Co1 125K "}</definedName>
    <definedName name="xxx" localSheetId="9" hidden="1">{"ACC_Cars_125K_PA",#N/A,FALSE,"ACC Cars Co1 125K ";"ACC_Cars_125K_Prop",#N/A,FALSE,"ACC Cars Co1 125K "}</definedName>
    <definedName name="xxx" localSheetId="10" hidden="1">{"ACC_Cars_125K_PA",#N/A,FALSE,"ACC Cars Co1 125K ";"ACC_Cars_125K_Prop",#N/A,FALSE,"ACC Cars Co1 125K "}</definedName>
    <definedName name="xxx" localSheetId="11" hidden="1">{"ACC_Cars_125K_PA",#N/A,FALSE,"ACC Cars Co1 125K ";"ACC_Cars_125K_Prop",#N/A,FALSE,"ACC Cars Co1 125K "}</definedName>
    <definedName name="xxx" localSheetId="12" hidden="1">{"ACC_Cars_125K_PA",#N/A,FALSE,"ACC Cars Co1 125K ";"ACC_Cars_125K_Prop",#N/A,FALSE,"ACC Cars Co1 125K "}</definedName>
    <definedName name="xxx" localSheetId="4" hidden="1">{"ACC_Cars_125K_PA",#N/A,FALSE,"ACC Cars Co1 125K ";"ACC_Cars_125K_Prop",#N/A,FALSE,"ACC Cars Co1 125K "}</definedName>
    <definedName name="xxx" localSheetId="3" hidden="1">{"ACC_Cars_125K_PA",#N/A,FALSE,"ACC Cars Co1 125K ";"ACC_Cars_125K_Prop",#N/A,FALSE,"ACC Cars Co1 125K "}</definedName>
    <definedName name="xxx" localSheetId="13" hidden="1">{"ACC_Cars_125K_PA",#N/A,FALSE,"ACC Cars Co1 125K ";"ACC_Cars_125K_Prop",#N/A,FALSE,"ACC Cars Co1 125K "}</definedName>
    <definedName name="xxx" hidden="1">{"ACC_Cars_125K_PA",#N/A,FALSE,"ACC Cars Co1 125K ";"ACC_Cars_125K_Prop",#N/A,FALSE,"ACC Cars Co1 125K "}</definedName>
    <definedName name="xxx1" localSheetId="5" hidden="1">{"ACC_Cars_400K_PA",#N/A,FALSE,"ACC Cars Co1 400K";"ACC_Cars_400K_Prop",#N/A,FALSE,"ACC Cars Co1 400K"}</definedName>
    <definedName name="xxx1" localSheetId="6" hidden="1">{"ACC_Cars_400K_PA",#N/A,FALSE,"ACC Cars Co1 400K";"ACC_Cars_400K_Prop",#N/A,FALSE,"ACC Cars Co1 400K"}</definedName>
    <definedName name="xxx1" localSheetId="7" hidden="1">{"ACC_Cars_400K_PA",#N/A,FALSE,"ACC Cars Co1 400K";"ACC_Cars_400K_Prop",#N/A,FALSE,"ACC Cars Co1 400K"}</definedName>
    <definedName name="xxx1" localSheetId="8" hidden="1">{"ACC_Cars_400K_PA",#N/A,FALSE,"ACC Cars Co1 400K";"ACC_Cars_400K_Prop",#N/A,FALSE,"ACC Cars Co1 400K"}</definedName>
    <definedName name="xxx1" localSheetId="9" hidden="1">{"ACC_Cars_400K_PA",#N/A,FALSE,"ACC Cars Co1 400K";"ACC_Cars_400K_Prop",#N/A,FALSE,"ACC Cars Co1 400K"}</definedName>
    <definedName name="xxx1" localSheetId="10" hidden="1">{"ACC_Cars_400K_PA",#N/A,FALSE,"ACC Cars Co1 400K";"ACC_Cars_400K_Prop",#N/A,FALSE,"ACC Cars Co1 400K"}</definedName>
    <definedName name="xxx1" localSheetId="11" hidden="1">{"ACC_Cars_400K_PA",#N/A,FALSE,"ACC Cars Co1 400K";"ACC_Cars_400K_Prop",#N/A,FALSE,"ACC Cars Co1 400K"}</definedName>
    <definedName name="xxx1" localSheetId="12" hidden="1">{"ACC_Cars_400K_PA",#N/A,FALSE,"ACC Cars Co1 400K";"ACC_Cars_400K_Prop",#N/A,FALSE,"ACC Cars Co1 400K"}</definedName>
    <definedName name="xxx1" localSheetId="4" hidden="1">{"ACC_Cars_400K_PA",#N/A,FALSE,"ACC Cars Co1 400K";"ACC_Cars_400K_Prop",#N/A,FALSE,"ACC Cars Co1 400K"}</definedName>
    <definedName name="xxx1" localSheetId="3" hidden="1">{"ACC_Cars_400K_PA",#N/A,FALSE,"ACC Cars Co1 400K";"ACC_Cars_400K_Prop",#N/A,FALSE,"ACC Cars Co1 400K"}</definedName>
    <definedName name="xxx1" localSheetId="13" hidden="1">{"ACC_Cars_400K_PA",#N/A,FALSE,"ACC Cars Co1 400K";"ACC_Cars_400K_Prop",#N/A,FALSE,"ACC Cars Co1 400K"}</definedName>
    <definedName name="xxx1" hidden="1">{"ACC_Cars_400K_PA",#N/A,FALSE,"ACC Cars Co1 400K";"ACC_Cars_400K_Prop",#N/A,FALSE,"ACC Cars Co1 400K"}</definedName>
    <definedName name="Year_1_Cost_Centers">[15]INDIRECTS!$S$3:$S$15</definedName>
    <definedName name="Year_2_BAH_Fee">[15]INDIRECTS!#REF!</definedName>
    <definedName name="Year_2_Cost_Centers">[15]INDIRECTS!#REF!</definedName>
    <definedName name="Year_2_Subcontractor_Fee">[15]INDIRECTS!#REF!</definedName>
    <definedName name="Year_3_BAH_Fee">[15]INDIRECTS!#REF!</definedName>
    <definedName name="Year_3_Cost_Centers">[15]INDIRECTS!#REF!</definedName>
    <definedName name="Year_3_Subcontractor_Fee">[15]INDIRECTS!#REF!</definedName>
    <definedName name="Year_4_BAH_Fee">[15]INDIRECTS!#REF!</definedName>
    <definedName name="Year_4_Cost_Centers">[15]INDIRECTS!#REF!</definedName>
    <definedName name="Year_4_Subcontractor_Fee">[15]INDIRECTS!#REF!</definedName>
    <definedName name="Year_5_BAH_Fee">[15]INDIRECTS!#REF!</definedName>
    <definedName name="Year_5_Cost_Centers">[15]INDIRECTS!#REF!</definedName>
    <definedName name="Year_5_Subcontractor_Fee">[15]INDIRECTS!#REF!</definedName>
    <definedName name="YEARS">#REF!</definedName>
    <definedName name="yes" localSheetId="5" hidden="1">{#N/A,#N/A,FALSE,"ManLoading"}</definedName>
    <definedName name="yes" localSheetId="6" hidden="1">{#N/A,#N/A,FALSE,"ManLoading"}</definedName>
    <definedName name="yes" localSheetId="7" hidden="1">{#N/A,#N/A,FALSE,"ManLoading"}</definedName>
    <definedName name="yes" localSheetId="8" hidden="1">{#N/A,#N/A,FALSE,"ManLoading"}</definedName>
    <definedName name="yes" localSheetId="9" hidden="1">{#N/A,#N/A,FALSE,"ManLoading"}</definedName>
    <definedName name="yes" localSheetId="10" hidden="1">{#N/A,#N/A,FALSE,"ManLoading"}</definedName>
    <definedName name="yes" localSheetId="11" hidden="1">{#N/A,#N/A,FALSE,"ManLoading"}</definedName>
    <definedName name="yes" localSheetId="12" hidden="1">{#N/A,#N/A,FALSE,"ManLoading"}</definedName>
    <definedName name="yes" localSheetId="4" hidden="1">{#N/A,#N/A,FALSE,"ManLoading"}</definedName>
    <definedName name="yes" localSheetId="3" hidden="1">{#N/A,#N/A,FALSE,"ManLoading"}</definedName>
    <definedName name="yes" localSheetId="13" hidden="1">{#N/A,#N/A,FALSE,"ManLoading"}</definedName>
    <definedName name="yes" hidden="1">{#N/A,#N/A,FALSE,"ManLoading"}</definedName>
    <definedName name="yes1" localSheetId="5" hidden="1">{#N/A,#N/A,FALSE,"ManLoading"}</definedName>
    <definedName name="yes1" localSheetId="6" hidden="1">{#N/A,#N/A,FALSE,"ManLoading"}</definedName>
    <definedName name="yes1" localSheetId="7" hidden="1">{#N/A,#N/A,FALSE,"ManLoading"}</definedName>
    <definedName name="yes1" localSheetId="8" hidden="1">{#N/A,#N/A,FALSE,"ManLoading"}</definedName>
    <definedName name="yes1" localSheetId="9" hidden="1">{#N/A,#N/A,FALSE,"ManLoading"}</definedName>
    <definedName name="yes1" localSheetId="10" hidden="1">{#N/A,#N/A,FALSE,"ManLoading"}</definedName>
    <definedName name="yes1" localSheetId="11" hidden="1">{#N/A,#N/A,FALSE,"ManLoading"}</definedName>
    <definedName name="yes1" localSheetId="12" hidden="1">{#N/A,#N/A,FALSE,"ManLoading"}</definedName>
    <definedName name="yes1" localSheetId="4" hidden="1">{#N/A,#N/A,FALSE,"ManLoading"}</definedName>
    <definedName name="yes1" localSheetId="13" hidden="1">{#N/A,#N/A,FALSE,"ManLoading"}</definedName>
    <definedName name="yes1" hidden="1">{#N/A,#N/A,FALSE,"ManLoading"}</definedName>
    <definedName name="YORN">#REF!</definedName>
    <definedName name="Yr1Consult">[47]DETAIL!$G$4</definedName>
    <definedName name="Yr1FI">[47]DETAIL!$G$8</definedName>
    <definedName name="Yr1ODC">[47]DETAIL!$G$7</definedName>
    <definedName name="Yr1Sal">[47]DETAIL!$G$3</definedName>
    <definedName name="Yr1Travel">[47]DETAIL!$G$6</definedName>
    <definedName name="Yr1Travel_Air">[47]DETAIL!$G$5</definedName>
    <definedName name="Yr2Consult">[47]DETAIL!$H$4</definedName>
    <definedName name="Yr2FI">[47]DETAIL!$H$8</definedName>
    <definedName name="Yr2FIfk">'[48]AED DETAILED BUDGET'!$H$7</definedName>
    <definedName name="Yr2ODC">[47]DETAIL!$H$7</definedName>
    <definedName name="Yr2ODCfk">'[48]AED DETAILED BUDGET'!$H$6</definedName>
    <definedName name="Yr2Sal">[47]DETAIL!$H$3</definedName>
    <definedName name="Yr2Travel">[47]DETAIL!$H$6</definedName>
    <definedName name="Yr2Travel_Air">[47]DETAIL!$H$5</definedName>
    <definedName name="Yr2travelfk">'[48]AED DETAILED BUDGET'!$H$5</definedName>
    <definedName name="Yr3Consult">[47]DETAIL!$J$4</definedName>
    <definedName name="Yr3FI">[47]DETAIL!$J$8</definedName>
    <definedName name="Yr3FIfk">'[48]AED DETAILED BUDGET'!$J$7</definedName>
    <definedName name="Yr3ODC">[47]DETAIL!$J$7</definedName>
    <definedName name="Yr3ODCfk">'[48]AED DETAILED BUDGET'!$J$6</definedName>
    <definedName name="Yr3Sal">[47]DETAIL!$J$3</definedName>
    <definedName name="Yr3Travel">[47]DETAIL!$J$6</definedName>
    <definedName name="Yr3Travel_Air">[47]DETAIL!$J$5</definedName>
    <definedName name="Yr4Consult">[47]DETAIL!$L$4</definedName>
    <definedName name="Yr4FI">[47]DETAIL!$L$8</definedName>
    <definedName name="Yr4FIfk">'[48]AED DETAILED BUDGET'!$L$7</definedName>
    <definedName name="Yr4ODC">[47]DETAIL!$L$7</definedName>
    <definedName name="Yr4ODCfk">'[48]AED DETAILED BUDGET'!$L$6</definedName>
    <definedName name="Yr4Sal">[47]DETAIL!$L$3</definedName>
    <definedName name="Yr4Salfk">'[48]AED DETAILED BUDGET'!$L$3</definedName>
    <definedName name="Yr4Travel">[47]DETAIL!$L$6</definedName>
    <definedName name="Yr4Travel_Air">[47]DETAIL!$L$5</definedName>
    <definedName name="Yr5Consult">[47]DETAIL!$N$4</definedName>
    <definedName name="Yr5FI">[47]DETAIL!$N$8</definedName>
    <definedName name="Yr5FIfk">'[48]AED DETAILED BUDGET'!$N$7</definedName>
    <definedName name="Yr5ODC">[47]DETAIL!$N$7</definedName>
    <definedName name="Yr5ODCfk">'[48]AED DETAILED BUDGET'!$N$6</definedName>
    <definedName name="Yr5Sal">[47]DETAIL!$N$3</definedName>
    <definedName name="Yr5Salfk">'[48]AED DETAILED BUDGET'!$N$3</definedName>
    <definedName name="Yr5Travel">[47]DETAIL!$N$6</definedName>
    <definedName name="Yr5Travel_Air">[47]DETAIL!$N$5</definedName>
    <definedName name="z" localSheetId="13">#REF!</definedName>
    <definedName name="z">#REF!</definedName>
    <definedName name="ZDFR" localSheetId="5" hidden="1">{"PAGE1",#N/A,FALSE,"CPFFMSTR";"PAGE2",#N/A,FALSE,"CPFFMSTR"}</definedName>
    <definedName name="ZDFR" localSheetId="6" hidden="1">{"PAGE1",#N/A,FALSE,"CPFFMSTR";"PAGE2",#N/A,FALSE,"CPFFMSTR"}</definedName>
    <definedName name="ZDFR" localSheetId="7" hidden="1">{"PAGE1",#N/A,FALSE,"CPFFMSTR";"PAGE2",#N/A,FALSE,"CPFFMSTR"}</definedName>
    <definedName name="ZDFR" localSheetId="8" hidden="1">{"PAGE1",#N/A,FALSE,"CPFFMSTR";"PAGE2",#N/A,FALSE,"CPFFMSTR"}</definedName>
    <definedName name="ZDFR" localSheetId="9" hidden="1">{"PAGE1",#N/A,FALSE,"CPFFMSTR";"PAGE2",#N/A,FALSE,"CPFFMSTR"}</definedName>
    <definedName name="ZDFR" localSheetId="10" hidden="1">{"PAGE1",#N/A,FALSE,"CPFFMSTR";"PAGE2",#N/A,FALSE,"CPFFMSTR"}</definedName>
    <definedName name="ZDFR" localSheetId="11" hidden="1">{"PAGE1",#N/A,FALSE,"CPFFMSTR";"PAGE2",#N/A,FALSE,"CPFFMSTR"}</definedName>
    <definedName name="ZDFR" localSheetId="12" hidden="1">{"PAGE1",#N/A,FALSE,"CPFFMSTR";"PAGE2",#N/A,FALSE,"CPFFMSTR"}</definedName>
    <definedName name="ZDFR" localSheetId="4" hidden="1">{"PAGE1",#N/A,FALSE,"CPFFMSTR";"PAGE2",#N/A,FALSE,"CPFFMSTR"}</definedName>
    <definedName name="ZDFR" localSheetId="3" hidden="1">{"PAGE1",#N/A,FALSE,"CPFFMSTR";"PAGE2",#N/A,FALSE,"CPFFMSTR"}</definedName>
    <definedName name="ZDFR" localSheetId="13" hidden="1">{"PAGE1",#N/A,FALSE,"CPFFMSTR";"PAGE2",#N/A,FALSE,"CPFFMSTR"}</definedName>
    <definedName name="ZDFR" hidden="1">{"PAGE1",#N/A,FALSE,"CPFFMSTR";"PAGE2",#N/A,FALSE,"CPFFMSTR"}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5" i="4" l="1"/>
  <c r="M115" i="4"/>
  <c r="T115" i="4" s="1"/>
  <c r="V115" i="4" s="1"/>
  <c r="P115" i="4"/>
  <c r="S115" i="4"/>
  <c r="T7" i="53"/>
  <c r="G204" i="42"/>
  <c r="G114" i="42"/>
  <c r="G111" i="42"/>
  <c r="D19" i="42"/>
  <c r="L90" i="43"/>
  <c r="D90" i="43"/>
  <c r="G31" i="4"/>
  <c r="E45" i="4" l="1"/>
  <c r="C121" i="43" l="1"/>
  <c r="F64" i="28"/>
  <c r="G81" i="4"/>
  <c r="J655" i="4"/>
  <c r="M641" i="4"/>
  <c r="J641" i="4"/>
  <c r="P641" i="4" s="1"/>
  <c r="J579" i="4"/>
  <c r="J587" i="4"/>
  <c r="J716" i="4"/>
  <c r="J712" i="4"/>
  <c r="S655" i="4"/>
  <c r="M655" i="4"/>
  <c r="U439" i="4"/>
  <c r="U438" i="4"/>
  <c r="J89" i="4"/>
  <c r="P56" i="4"/>
  <c r="M56" i="4"/>
  <c r="J56" i="4"/>
  <c r="G38" i="4"/>
  <c r="G45" i="4"/>
  <c r="P74" i="4"/>
  <c r="M74" i="4"/>
  <c r="M110" i="4"/>
  <c r="J110" i="4"/>
  <c r="J80" i="4"/>
  <c r="M64" i="4"/>
  <c r="J64" i="4"/>
  <c r="E48" i="4"/>
  <c r="G36" i="4"/>
  <c r="T655" i="4" l="1"/>
  <c r="G19" i="4"/>
  <c r="I53" i="49" l="1"/>
  <c r="I48" i="49" l="1"/>
  <c r="G63" i="49"/>
  <c r="I283" i="4"/>
  <c r="J414" i="4"/>
  <c r="J562" i="4"/>
  <c r="J487" i="4"/>
  <c r="G46" i="4"/>
  <c r="G44" i="4"/>
  <c r="H45" i="4"/>
  <c r="H46" i="4"/>
  <c r="G35" i="4" l="1"/>
  <c r="R657" i="4" l="1"/>
  <c r="O657" i="4"/>
  <c r="L657" i="4"/>
  <c r="I657" i="4"/>
  <c r="J82" i="4"/>
  <c r="G41" i="4"/>
  <c r="G33" i="4"/>
  <c r="G22" i="4"/>
  <c r="G21" i="4"/>
  <c r="G20" i="4"/>
  <c r="G14" i="4"/>
  <c r="D10" i="43" s="1"/>
  <c r="T150" i="43"/>
  <c r="U364" i="4" l="1"/>
  <c r="M89" i="4"/>
  <c r="J90" i="4"/>
  <c r="C88" i="43"/>
  <c r="E88" i="43"/>
  <c r="G29" i="54" l="1"/>
  <c r="C110" i="49"/>
  <c r="A71" i="53"/>
  <c r="A213" i="42" s="1"/>
  <c r="F13" i="28"/>
  <c r="B115" i="46"/>
  <c r="B229" i="42" s="1"/>
  <c r="B116" i="46"/>
  <c r="B230" i="42" s="1"/>
  <c r="B114" i="46"/>
  <c r="B228" i="42" s="1"/>
  <c r="E96" i="45"/>
  <c r="E227" i="42" s="1"/>
  <c r="Q96" i="45"/>
  <c r="Q227" i="42" s="1"/>
  <c r="I96" i="45"/>
  <c r="I227" i="42" s="1"/>
  <c r="M96" i="45"/>
  <c r="M227" i="42" s="1"/>
  <c r="A96" i="45"/>
  <c r="A227" i="42" s="1"/>
  <c r="B96" i="45"/>
  <c r="B227" i="42" s="1"/>
  <c r="C96" i="45"/>
  <c r="C227" i="42" s="1"/>
  <c r="M95" i="45"/>
  <c r="M226" i="42" s="1"/>
  <c r="I95" i="45"/>
  <c r="I226" i="42" s="1"/>
  <c r="E95" i="45"/>
  <c r="E226" i="42" s="1"/>
  <c r="D95" i="45"/>
  <c r="H95" i="45" s="1"/>
  <c r="C95" i="45"/>
  <c r="C226" i="42" s="1"/>
  <c r="B95" i="45"/>
  <c r="B226" i="42" s="1"/>
  <c r="T236" i="42"/>
  <c r="C221" i="42"/>
  <c r="J221" i="42"/>
  <c r="N221" i="42" s="1"/>
  <c r="R221" i="42" s="1"/>
  <c r="E221" i="42"/>
  <c r="I221" i="42" s="1"/>
  <c r="F221" i="42"/>
  <c r="F220" i="42"/>
  <c r="J220" i="42" s="1"/>
  <c r="N220" i="42" s="1"/>
  <c r="R220" i="42" s="1"/>
  <c r="E220" i="42"/>
  <c r="I220" i="42" s="1"/>
  <c r="M220" i="42" s="1"/>
  <c r="C220" i="42"/>
  <c r="A141" i="42"/>
  <c r="E140" i="42"/>
  <c r="A138" i="42"/>
  <c r="A133" i="42"/>
  <c r="Q119" i="42"/>
  <c r="Q118" i="42"/>
  <c r="Q117" i="42"/>
  <c r="Q116" i="42"/>
  <c r="Q115" i="42"/>
  <c r="Q114" i="42"/>
  <c r="Q113" i="42"/>
  <c r="Q112" i="42"/>
  <c r="Q111" i="42"/>
  <c r="Q110" i="42"/>
  <c r="Q109" i="42"/>
  <c r="P108" i="42"/>
  <c r="P107" i="42"/>
  <c r="D226" i="42" l="1"/>
  <c r="M221" i="42"/>
  <c r="Q221" i="42" s="1"/>
  <c r="Q220" i="42"/>
  <c r="D51" i="52"/>
  <c r="C51" i="52"/>
  <c r="C66" i="42" s="1"/>
  <c r="B51" i="52"/>
  <c r="B66" i="42" s="1"/>
  <c r="A51" i="52"/>
  <c r="A66" i="42" s="1"/>
  <c r="T67" i="42"/>
  <c r="T87" i="42"/>
  <c r="Q51" i="51"/>
  <c r="Q65" i="42" s="1"/>
  <c r="M51" i="51"/>
  <c r="M65" i="42" s="1"/>
  <c r="I51" i="51"/>
  <c r="I65" i="42" s="1"/>
  <c r="E51" i="51"/>
  <c r="E65" i="42" s="1"/>
  <c r="D51" i="51"/>
  <c r="H51" i="51" s="1"/>
  <c r="L51" i="51" s="1"/>
  <c r="C51" i="51"/>
  <c r="B51" i="51"/>
  <c r="B65" i="42" s="1"/>
  <c r="A51" i="51"/>
  <c r="A65" i="42" s="1"/>
  <c r="D18" i="49"/>
  <c r="D43" i="49"/>
  <c r="D41" i="49"/>
  <c r="D40" i="49"/>
  <c r="D38" i="49"/>
  <c r="S46" i="49"/>
  <c r="L46" i="49"/>
  <c r="O46" i="49" s="1"/>
  <c r="K46" i="49"/>
  <c r="G46" i="49"/>
  <c r="S45" i="49"/>
  <c r="L45" i="49"/>
  <c r="O45" i="49" s="1"/>
  <c r="K45" i="49"/>
  <c r="G45" i="49"/>
  <c r="S44" i="49"/>
  <c r="L44" i="49"/>
  <c r="O44" i="49" s="1"/>
  <c r="K44" i="49"/>
  <c r="G44" i="49"/>
  <c r="A48" i="49"/>
  <c r="A49" i="49"/>
  <c r="A50" i="49"/>
  <c r="A51" i="49"/>
  <c r="A52" i="49"/>
  <c r="A53" i="49"/>
  <c r="A54" i="49"/>
  <c r="A34" i="49"/>
  <c r="A35" i="49"/>
  <c r="A36" i="49"/>
  <c r="A37" i="49"/>
  <c r="A38" i="49"/>
  <c r="A39" i="49"/>
  <c r="A40" i="49"/>
  <c r="A41" i="49"/>
  <c r="A42" i="49"/>
  <c r="A43" i="49"/>
  <c r="A44" i="49"/>
  <c r="A45" i="49"/>
  <c r="A46" i="49"/>
  <c r="A47" i="49"/>
  <c r="A33" i="49"/>
  <c r="S21" i="49"/>
  <c r="O21" i="49"/>
  <c r="L21" i="49"/>
  <c r="K21" i="49"/>
  <c r="G21" i="49"/>
  <c r="S20" i="49"/>
  <c r="L20" i="49"/>
  <c r="O20" i="49" s="1"/>
  <c r="K20" i="49"/>
  <c r="G20" i="49"/>
  <c r="S19" i="49"/>
  <c r="L19" i="49"/>
  <c r="K19" i="49"/>
  <c r="G19" i="49"/>
  <c r="D15" i="49"/>
  <c r="D16" i="49"/>
  <c r="D13" i="49"/>
  <c r="D65" i="42" l="1"/>
  <c r="H51" i="52"/>
  <c r="L51" i="52" s="1"/>
  <c r="P51" i="52" s="1"/>
  <c r="D66" i="42"/>
  <c r="C65" i="42"/>
  <c r="G51" i="51"/>
  <c r="P51" i="51"/>
  <c r="S51" i="51" s="1"/>
  <c r="O51" i="51"/>
  <c r="K51" i="51"/>
  <c r="T46" i="49"/>
  <c r="T45" i="49"/>
  <c r="T44" i="49"/>
  <c r="T21" i="49"/>
  <c r="T20" i="49"/>
  <c r="O19" i="49"/>
  <c r="T19" i="49" s="1"/>
  <c r="T51" i="51" l="1"/>
  <c r="C107" i="49"/>
  <c r="C109" i="49" s="1"/>
  <c r="C101" i="49"/>
  <c r="C85" i="49"/>
  <c r="C79" i="49"/>
  <c r="C73" i="49"/>
  <c r="C70" i="49"/>
  <c r="C63" i="49"/>
  <c r="C56" i="49"/>
  <c r="C31" i="49"/>
  <c r="C111" i="49" l="1"/>
  <c r="E240" i="4"/>
  <c r="C70" i="43" l="1"/>
  <c r="C85" i="42" s="1"/>
  <c r="G84" i="42"/>
  <c r="T84" i="42" s="1"/>
  <c r="S53" i="44" l="1"/>
  <c r="O53" i="44"/>
  <c r="K53" i="44"/>
  <c r="G53" i="44"/>
  <c r="T53" i="44" s="1"/>
  <c r="S55" i="44"/>
  <c r="O55" i="44"/>
  <c r="K55" i="44"/>
  <c r="G55" i="44"/>
  <c r="T55" i="44" s="1"/>
  <c r="F48" i="42"/>
  <c r="F51" i="42"/>
  <c r="F50" i="42"/>
  <c r="J50" i="42" s="1"/>
  <c r="N50" i="42" s="1"/>
  <c r="R50" i="42" s="1"/>
  <c r="F49" i="42"/>
  <c r="J49" i="42" s="1"/>
  <c r="N49" i="42" s="1"/>
  <c r="R49" i="42" s="1"/>
  <c r="F55" i="42"/>
  <c r="E57" i="42"/>
  <c r="E58" i="42"/>
  <c r="D57" i="42"/>
  <c r="D58" i="42"/>
  <c r="D56" i="42"/>
  <c r="C56" i="42"/>
  <c r="C57" i="42"/>
  <c r="C58" i="42"/>
  <c r="B50" i="42"/>
  <c r="B49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E38" i="42"/>
  <c r="E10" i="42"/>
  <c r="D43" i="39"/>
  <c r="G43" i="39"/>
  <c r="J43" i="39"/>
  <c r="M43" i="39"/>
  <c r="D44" i="39"/>
  <c r="G44" i="39"/>
  <c r="J44" i="39"/>
  <c r="M44" i="39"/>
  <c r="B43" i="39"/>
  <c r="C43" i="39"/>
  <c r="B44" i="39"/>
  <c r="C44" i="39"/>
  <c r="C42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11" i="39"/>
  <c r="Q11" i="42"/>
  <c r="Q12" i="42"/>
  <c r="Q13" i="42"/>
  <c r="Q14" i="42"/>
  <c r="Q15" i="42"/>
  <c r="Q16" i="42"/>
  <c r="Q17" i="42"/>
  <c r="Q18" i="42"/>
  <c r="Q19" i="42"/>
  <c r="Q20" i="42"/>
  <c r="Q21" i="42"/>
  <c r="Q22" i="42"/>
  <c r="Q23" i="42"/>
  <c r="Q24" i="42"/>
  <c r="Q25" i="42"/>
  <c r="Q26" i="42"/>
  <c r="Q27" i="42"/>
  <c r="Q28" i="42"/>
  <c r="Q29" i="42"/>
  <c r="Q30" i="42"/>
  <c r="Q31" i="42"/>
  <c r="Q32" i="42"/>
  <c r="Q33" i="42"/>
  <c r="Q34" i="42"/>
  <c r="Q35" i="42"/>
  <c r="Q36" i="42"/>
  <c r="Q37" i="42"/>
  <c r="Q38" i="42"/>
  <c r="Q10" i="42"/>
  <c r="M11" i="42"/>
  <c r="M12" i="42"/>
  <c r="M13" i="42"/>
  <c r="M14" i="42"/>
  <c r="M15" i="42"/>
  <c r="M16" i="42"/>
  <c r="M17" i="42"/>
  <c r="M18" i="42"/>
  <c r="M19" i="42"/>
  <c r="M20" i="42"/>
  <c r="M21" i="42"/>
  <c r="M22" i="42"/>
  <c r="M23" i="42"/>
  <c r="M24" i="42"/>
  <c r="M25" i="42"/>
  <c r="M26" i="42"/>
  <c r="M27" i="42"/>
  <c r="M28" i="42"/>
  <c r="M29" i="42"/>
  <c r="M30" i="42"/>
  <c r="M31" i="42"/>
  <c r="M32" i="42"/>
  <c r="M33" i="42"/>
  <c r="M34" i="42"/>
  <c r="M35" i="42"/>
  <c r="M36" i="42"/>
  <c r="M37" i="42"/>
  <c r="M38" i="42"/>
  <c r="M10" i="42"/>
  <c r="I11" i="42"/>
  <c r="I12" i="42"/>
  <c r="I13" i="42"/>
  <c r="I14" i="42"/>
  <c r="I15" i="42"/>
  <c r="I16" i="42"/>
  <c r="I17" i="42"/>
  <c r="I18" i="42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32" i="42"/>
  <c r="I33" i="42"/>
  <c r="I34" i="42"/>
  <c r="I35" i="42"/>
  <c r="I36" i="42"/>
  <c r="I37" i="42"/>
  <c r="I38" i="42"/>
  <c r="I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10" i="42"/>
  <c r="A10" i="42"/>
  <c r="Q42" i="42"/>
  <c r="Q43" i="42"/>
  <c r="M42" i="42"/>
  <c r="M43" i="42"/>
  <c r="I42" i="42"/>
  <c r="I43" i="42"/>
  <c r="A42" i="42"/>
  <c r="B42" i="42"/>
  <c r="A43" i="42"/>
  <c r="B43" i="42"/>
  <c r="B41" i="42"/>
  <c r="A30" i="42"/>
  <c r="A31" i="42"/>
  <c r="A32" i="42"/>
  <c r="A33" i="42"/>
  <c r="A34" i="42"/>
  <c r="A35" i="42"/>
  <c r="A36" i="42"/>
  <c r="A37" i="42"/>
  <c r="A38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G57" i="42" l="1"/>
  <c r="C45" i="39"/>
  <c r="A93" i="46"/>
  <c r="G116" i="4"/>
  <c r="D46" i="41" l="1"/>
  <c r="C37" i="28" l="1"/>
  <c r="C26" i="28"/>
  <c r="Q71" i="53" l="1"/>
  <c r="Q213" i="42" s="1"/>
  <c r="M71" i="53"/>
  <c r="M213" i="42" s="1"/>
  <c r="I71" i="53"/>
  <c r="I213" i="42" s="1"/>
  <c r="E71" i="53"/>
  <c r="E213" i="42" s="1"/>
  <c r="D71" i="53"/>
  <c r="D213" i="42" s="1"/>
  <c r="C71" i="53"/>
  <c r="C213" i="42" s="1"/>
  <c r="B71" i="53"/>
  <c r="B213" i="42" s="1"/>
  <c r="Q51" i="53"/>
  <c r="Q83" i="42" s="1"/>
  <c r="M51" i="53"/>
  <c r="M83" i="42" s="1"/>
  <c r="I51" i="53"/>
  <c r="I83" i="42" s="1"/>
  <c r="E51" i="53"/>
  <c r="E83" i="42" s="1"/>
  <c r="D51" i="53"/>
  <c r="D83" i="42" s="1"/>
  <c r="C51" i="53"/>
  <c r="C83" i="42" s="1"/>
  <c r="B51" i="53"/>
  <c r="B83" i="42" s="1"/>
  <c r="A51" i="53"/>
  <c r="A83" i="42" s="1"/>
  <c r="D56" i="53"/>
  <c r="D132" i="42" s="1"/>
  <c r="D55" i="53"/>
  <c r="D131" i="42" s="1"/>
  <c r="Q56" i="53"/>
  <c r="Q132" i="42" s="1"/>
  <c r="M56" i="53"/>
  <c r="M132" i="42" s="1"/>
  <c r="I56" i="53"/>
  <c r="I132" i="42" s="1"/>
  <c r="H56" i="53"/>
  <c r="E56" i="53"/>
  <c r="E132" i="42" s="1"/>
  <c r="C56" i="53"/>
  <c r="C132" i="42" s="1"/>
  <c r="B56" i="53"/>
  <c r="B132" i="42" s="1"/>
  <c r="A56" i="53"/>
  <c r="A132" i="42" s="1"/>
  <c r="Q55" i="53"/>
  <c r="Q131" i="42" s="1"/>
  <c r="M55" i="53"/>
  <c r="M131" i="42" s="1"/>
  <c r="I55" i="53"/>
  <c r="I131" i="42" s="1"/>
  <c r="H55" i="53"/>
  <c r="E55" i="53"/>
  <c r="E131" i="42" s="1"/>
  <c r="C55" i="53"/>
  <c r="C131" i="42" s="1"/>
  <c r="B55" i="53"/>
  <c r="B131" i="42" s="1"/>
  <c r="A55" i="53"/>
  <c r="A131" i="42" s="1"/>
  <c r="B44" i="53"/>
  <c r="C44" i="53"/>
  <c r="C43" i="53"/>
  <c r="B43" i="53"/>
  <c r="C47" i="53"/>
  <c r="B47" i="53"/>
  <c r="C42" i="53"/>
  <c r="B42" i="53"/>
  <c r="B11" i="53"/>
  <c r="C11" i="53"/>
  <c r="B12" i="53"/>
  <c r="C12" i="53"/>
  <c r="B13" i="53"/>
  <c r="C13" i="53"/>
  <c r="B14" i="53"/>
  <c r="C14" i="53"/>
  <c r="B15" i="53"/>
  <c r="C15" i="53"/>
  <c r="B16" i="53"/>
  <c r="C16" i="53"/>
  <c r="B17" i="53"/>
  <c r="C17" i="53"/>
  <c r="B18" i="53"/>
  <c r="C18" i="53"/>
  <c r="B19" i="53"/>
  <c r="C19" i="53"/>
  <c r="B20" i="53"/>
  <c r="C20" i="53"/>
  <c r="B21" i="53"/>
  <c r="C21" i="53"/>
  <c r="B22" i="53"/>
  <c r="C22" i="53"/>
  <c r="B23" i="53"/>
  <c r="C23" i="53"/>
  <c r="B24" i="53"/>
  <c r="C24" i="53"/>
  <c r="B25" i="53"/>
  <c r="C25" i="53"/>
  <c r="B26" i="53"/>
  <c r="C26" i="53"/>
  <c r="B27" i="53"/>
  <c r="C27" i="53"/>
  <c r="B28" i="53"/>
  <c r="C28" i="53"/>
  <c r="B29" i="53"/>
  <c r="C29" i="53"/>
  <c r="B30" i="53"/>
  <c r="C30" i="53"/>
  <c r="B31" i="53"/>
  <c r="C31" i="53"/>
  <c r="B32" i="53"/>
  <c r="C32" i="53"/>
  <c r="B33" i="53"/>
  <c r="C33" i="53"/>
  <c r="B34" i="53"/>
  <c r="C34" i="53"/>
  <c r="B35" i="53"/>
  <c r="C35" i="53"/>
  <c r="B36" i="53"/>
  <c r="C36" i="53"/>
  <c r="B37" i="53"/>
  <c r="C37" i="53"/>
  <c r="B38" i="53"/>
  <c r="C38" i="53"/>
  <c r="C10" i="53"/>
  <c r="B10" i="53"/>
  <c r="C7" i="53"/>
  <c r="C8" i="53" s="1"/>
  <c r="B7" i="53"/>
  <c r="S84" i="53"/>
  <c r="O84" i="53"/>
  <c r="K84" i="53"/>
  <c r="G84" i="53"/>
  <c r="S78" i="53"/>
  <c r="O78" i="53"/>
  <c r="K78" i="53"/>
  <c r="G78" i="53"/>
  <c r="T69" i="53"/>
  <c r="S69" i="53"/>
  <c r="O69" i="53"/>
  <c r="K69" i="53"/>
  <c r="G69" i="53"/>
  <c r="C69" i="53"/>
  <c r="S65" i="53"/>
  <c r="O65" i="53"/>
  <c r="K65" i="53"/>
  <c r="G65" i="53"/>
  <c r="C65" i="53"/>
  <c r="C62" i="53"/>
  <c r="S60" i="53"/>
  <c r="S62" i="53" s="1"/>
  <c r="O60" i="53"/>
  <c r="O62" i="53" s="1"/>
  <c r="K60" i="53"/>
  <c r="K62" i="53" s="1"/>
  <c r="G60" i="53"/>
  <c r="G62" i="53" s="1"/>
  <c r="T46" i="53"/>
  <c r="L76" i="52"/>
  <c r="L189" i="42" s="1"/>
  <c r="Q80" i="52"/>
  <c r="M80" i="52"/>
  <c r="I80" i="52"/>
  <c r="E80" i="52"/>
  <c r="D80" i="52"/>
  <c r="H80" i="52" s="1"/>
  <c r="C80" i="52"/>
  <c r="B80" i="52"/>
  <c r="A80" i="52"/>
  <c r="D78" i="52"/>
  <c r="D191" i="42" s="1"/>
  <c r="C78" i="52"/>
  <c r="C191" i="42" s="1"/>
  <c r="B78" i="52"/>
  <c r="B191" i="42" s="1"/>
  <c r="A78" i="52"/>
  <c r="A191" i="42" s="1"/>
  <c r="Q77" i="52"/>
  <c r="Q190" i="42" s="1"/>
  <c r="M77" i="52"/>
  <c r="M190" i="42" s="1"/>
  <c r="I77" i="52"/>
  <c r="I190" i="42" s="1"/>
  <c r="E77" i="52"/>
  <c r="E190" i="42" s="1"/>
  <c r="D77" i="52"/>
  <c r="C77" i="52"/>
  <c r="C190" i="42" s="1"/>
  <c r="B77" i="52"/>
  <c r="B190" i="42" s="1"/>
  <c r="A77" i="52"/>
  <c r="A190" i="42" s="1"/>
  <c r="Q76" i="52"/>
  <c r="Q189" i="42" s="1"/>
  <c r="M76" i="52"/>
  <c r="M189" i="42" s="1"/>
  <c r="I76" i="52"/>
  <c r="I189" i="42" s="1"/>
  <c r="E76" i="52"/>
  <c r="E189" i="42" s="1"/>
  <c r="D76" i="52"/>
  <c r="C76" i="52"/>
  <c r="C189" i="42" s="1"/>
  <c r="B76" i="52"/>
  <c r="B189" i="42" s="1"/>
  <c r="A76" i="52"/>
  <c r="A189" i="42" s="1"/>
  <c r="Q61" i="52"/>
  <c r="Q130" i="42" s="1"/>
  <c r="M61" i="52"/>
  <c r="M130" i="42" s="1"/>
  <c r="I61" i="52"/>
  <c r="I130" i="42" s="1"/>
  <c r="H61" i="52"/>
  <c r="H130" i="42" s="1"/>
  <c r="D61" i="52"/>
  <c r="D130" i="42" s="1"/>
  <c r="E61" i="52"/>
  <c r="E130" i="42" s="1"/>
  <c r="C61" i="52"/>
  <c r="C130" i="42" s="1"/>
  <c r="B61" i="52"/>
  <c r="B130" i="42" s="1"/>
  <c r="A61" i="52"/>
  <c r="A130" i="42" s="1"/>
  <c r="Q55" i="52"/>
  <c r="Q82" i="42" s="1"/>
  <c r="M55" i="52"/>
  <c r="M82" i="42" s="1"/>
  <c r="I55" i="52"/>
  <c r="I82" i="42" s="1"/>
  <c r="E55" i="52"/>
  <c r="E82" i="42" s="1"/>
  <c r="D55" i="52"/>
  <c r="C55" i="52"/>
  <c r="C82" i="42" s="1"/>
  <c r="B55" i="52"/>
  <c r="B82" i="42" s="1"/>
  <c r="A55" i="52"/>
  <c r="A82" i="42" s="1"/>
  <c r="D54" i="52"/>
  <c r="C54" i="52"/>
  <c r="C81" i="42" s="1"/>
  <c r="B54" i="52"/>
  <c r="B81" i="42" s="1"/>
  <c r="A54" i="52"/>
  <c r="A81" i="42" s="1"/>
  <c r="Q53" i="52"/>
  <c r="Q80" i="42" s="1"/>
  <c r="M53" i="52"/>
  <c r="M80" i="42" s="1"/>
  <c r="I53" i="52"/>
  <c r="I80" i="42" s="1"/>
  <c r="E53" i="52"/>
  <c r="E80" i="42" s="1"/>
  <c r="D53" i="52"/>
  <c r="C53" i="52"/>
  <c r="B53" i="52"/>
  <c r="B80" i="42" s="1"/>
  <c r="A53" i="52"/>
  <c r="A80" i="42" s="1"/>
  <c r="C57" i="52"/>
  <c r="C97" i="42" s="1"/>
  <c r="B57" i="52"/>
  <c r="B97" i="42" s="1"/>
  <c r="A57" i="52"/>
  <c r="A97" i="42" s="1"/>
  <c r="C44" i="52"/>
  <c r="C43" i="52"/>
  <c r="B43" i="52"/>
  <c r="B44" i="52"/>
  <c r="C47" i="52"/>
  <c r="C48" i="52" s="1"/>
  <c r="B47" i="52"/>
  <c r="C42" i="52"/>
  <c r="B42" i="52"/>
  <c r="B11" i="52"/>
  <c r="C11" i="52"/>
  <c r="B12" i="52"/>
  <c r="C12" i="52"/>
  <c r="B13" i="52"/>
  <c r="C13" i="52"/>
  <c r="B14" i="52"/>
  <c r="C14" i="52"/>
  <c r="B15" i="52"/>
  <c r="C15" i="52"/>
  <c r="B16" i="52"/>
  <c r="C16" i="52"/>
  <c r="B17" i="52"/>
  <c r="C17" i="52"/>
  <c r="B18" i="52"/>
  <c r="C18" i="52"/>
  <c r="B19" i="52"/>
  <c r="C19" i="52"/>
  <c r="B20" i="52"/>
  <c r="C20" i="52"/>
  <c r="B21" i="52"/>
  <c r="C21" i="52"/>
  <c r="B22" i="52"/>
  <c r="C22" i="52"/>
  <c r="B23" i="52"/>
  <c r="C23" i="52"/>
  <c r="B24" i="52"/>
  <c r="C24" i="52"/>
  <c r="B25" i="52"/>
  <c r="C25" i="52"/>
  <c r="B26" i="52"/>
  <c r="C26" i="52"/>
  <c r="B27" i="52"/>
  <c r="C27" i="52"/>
  <c r="B28" i="52"/>
  <c r="C28" i="52"/>
  <c r="B29" i="52"/>
  <c r="C29" i="52"/>
  <c r="B30" i="52"/>
  <c r="C30" i="52"/>
  <c r="B31" i="52"/>
  <c r="C31" i="52"/>
  <c r="B32" i="52"/>
  <c r="C32" i="52"/>
  <c r="B33" i="52"/>
  <c r="C33" i="52"/>
  <c r="B34" i="52"/>
  <c r="C34" i="52"/>
  <c r="B35" i="52"/>
  <c r="C35" i="52"/>
  <c r="B36" i="52"/>
  <c r="C36" i="52"/>
  <c r="B37" i="52"/>
  <c r="C37" i="52"/>
  <c r="B38" i="52"/>
  <c r="C38" i="52"/>
  <c r="C10" i="52"/>
  <c r="B10" i="52"/>
  <c r="C7" i="52"/>
  <c r="C8" i="52" s="1"/>
  <c r="B7" i="52"/>
  <c r="S93" i="52"/>
  <c r="O93" i="52"/>
  <c r="K93" i="52"/>
  <c r="G93" i="52"/>
  <c r="S87" i="52"/>
  <c r="O87" i="52"/>
  <c r="K87" i="52"/>
  <c r="G87" i="52"/>
  <c r="C74" i="52"/>
  <c r="S70" i="52"/>
  <c r="O70" i="52"/>
  <c r="K70" i="52"/>
  <c r="G70" i="52"/>
  <c r="C70" i="52"/>
  <c r="C67" i="52"/>
  <c r="S65" i="52"/>
  <c r="S67" i="52" s="1"/>
  <c r="O65" i="52"/>
  <c r="O67" i="52" s="1"/>
  <c r="K65" i="52"/>
  <c r="K67" i="52" s="1"/>
  <c r="G65" i="52"/>
  <c r="G67" i="52" s="1"/>
  <c r="T46" i="52"/>
  <c r="D59" i="51"/>
  <c r="D96" i="42" s="1"/>
  <c r="C59" i="51"/>
  <c r="C96" i="42" s="1"/>
  <c r="B59" i="51"/>
  <c r="B96" i="42" s="1"/>
  <c r="B58" i="51"/>
  <c r="B95" i="42" s="1"/>
  <c r="A58" i="51"/>
  <c r="A95" i="42" s="1"/>
  <c r="D57" i="51"/>
  <c r="D94" i="42" s="1"/>
  <c r="C57" i="51"/>
  <c r="C94" i="42" s="1"/>
  <c r="B57" i="51"/>
  <c r="B94" i="42" s="1"/>
  <c r="A57" i="51"/>
  <c r="A94" i="42" s="1"/>
  <c r="Q55" i="51"/>
  <c r="Q79" i="42" s="1"/>
  <c r="D55" i="51"/>
  <c r="D79" i="42" s="1"/>
  <c r="C55" i="51"/>
  <c r="C79" i="42" s="1"/>
  <c r="B55" i="51"/>
  <c r="B79" i="42" s="1"/>
  <c r="A55" i="51"/>
  <c r="A79" i="42" s="1"/>
  <c r="Q54" i="51"/>
  <c r="M54" i="51"/>
  <c r="I54" i="51"/>
  <c r="E54" i="51"/>
  <c r="D54" i="51"/>
  <c r="H54" i="51" s="1"/>
  <c r="C54" i="51"/>
  <c r="B54" i="51"/>
  <c r="A54" i="51"/>
  <c r="Q58" i="51"/>
  <c r="Q95" i="42" s="1"/>
  <c r="D58" i="51"/>
  <c r="C58" i="51"/>
  <c r="C95" i="42" s="1"/>
  <c r="Q53" i="51"/>
  <c r="M53" i="51"/>
  <c r="I53" i="51"/>
  <c r="E53" i="51"/>
  <c r="D53" i="51"/>
  <c r="C53" i="51"/>
  <c r="B53" i="51"/>
  <c r="A53" i="51"/>
  <c r="A59" i="51"/>
  <c r="A96" i="42" s="1"/>
  <c r="S96" i="51"/>
  <c r="O96" i="51"/>
  <c r="K96" i="51"/>
  <c r="G96" i="51"/>
  <c r="Q83" i="51"/>
  <c r="Q205" i="42" s="1"/>
  <c r="M83" i="51"/>
  <c r="M205" i="42" s="1"/>
  <c r="I83" i="51"/>
  <c r="I205" i="42" s="1"/>
  <c r="E83" i="51"/>
  <c r="E205" i="42" s="1"/>
  <c r="D83" i="51"/>
  <c r="C83" i="51"/>
  <c r="C205" i="42" s="1"/>
  <c r="B83" i="51"/>
  <c r="B205" i="42" s="1"/>
  <c r="A83" i="51"/>
  <c r="A205" i="42" s="1"/>
  <c r="Q82" i="51"/>
  <c r="Q204" i="42" s="1"/>
  <c r="M82" i="51"/>
  <c r="M204" i="42" s="1"/>
  <c r="I82" i="51"/>
  <c r="I204" i="42" s="1"/>
  <c r="E82" i="51"/>
  <c r="E204" i="42" s="1"/>
  <c r="D82" i="51"/>
  <c r="D204" i="42" s="1"/>
  <c r="C82" i="51"/>
  <c r="C204" i="42" s="1"/>
  <c r="B82" i="51"/>
  <c r="B204" i="42" s="1"/>
  <c r="A82" i="51"/>
  <c r="A204" i="42" s="1"/>
  <c r="Q77" i="51"/>
  <c r="Q177" i="42" s="1"/>
  <c r="M77" i="51"/>
  <c r="M177" i="42" s="1"/>
  <c r="I77" i="51"/>
  <c r="I177" i="42" s="1"/>
  <c r="E77" i="51"/>
  <c r="E177" i="42" s="1"/>
  <c r="D77" i="51"/>
  <c r="C77" i="51"/>
  <c r="C177" i="42" s="1"/>
  <c r="B77" i="51"/>
  <c r="B177" i="42" s="1"/>
  <c r="A77" i="51"/>
  <c r="A177" i="42" s="1"/>
  <c r="Q76" i="51"/>
  <c r="Q176" i="42" s="1"/>
  <c r="M76" i="51"/>
  <c r="M176" i="42" s="1"/>
  <c r="I76" i="51"/>
  <c r="I176" i="42" s="1"/>
  <c r="D76" i="51"/>
  <c r="C76" i="51"/>
  <c r="C176" i="42" s="1"/>
  <c r="B76" i="51"/>
  <c r="B176" i="42" s="1"/>
  <c r="A76" i="51"/>
  <c r="A176" i="42" s="1"/>
  <c r="Q75" i="51"/>
  <c r="Q175" i="42" s="1"/>
  <c r="M75" i="51"/>
  <c r="M175" i="42" s="1"/>
  <c r="I75" i="51"/>
  <c r="I175" i="42" s="1"/>
  <c r="E75" i="51"/>
  <c r="E175" i="42" s="1"/>
  <c r="D75" i="51"/>
  <c r="D175" i="42" s="1"/>
  <c r="C75" i="51"/>
  <c r="C175" i="42" s="1"/>
  <c r="B75" i="51"/>
  <c r="B175" i="42" s="1"/>
  <c r="A75" i="51"/>
  <c r="A175" i="42" s="1"/>
  <c r="Q64" i="51"/>
  <c r="Q129" i="42" s="1"/>
  <c r="M64" i="51"/>
  <c r="M129" i="42" s="1"/>
  <c r="I64" i="51"/>
  <c r="I129" i="42" s="1"/>
  <c r="E64" i="51"/>
  <c r="E129" i="42" s="1"/>
  <c r="D64" i="51"/>
  <c r="C64" i="51"/>
  <c r="C129" i="42" s="1"/>
  <c r="B64" i="51"/>
  <c r="B129" i="42" s="1"/>
  <c r="A64" i="51"/>
  <c r="A129" i="42" s="1"/>
  <c r="Q63" i="51"/>
  <c r="Q128" i="42" s="1"/>
  <c r="M63" i="51"/>
  <c r="M128" i="42" s="1"/>
  <c r="I63" i="51"/>
  <c r="I128" i="42" s="1"/>
  <c r="E63" i="51"/>
  <c r="E128" i="42" s="1"/>
  <c r="D63" i="51"/>
  <c r="C63" i="51"/>
  <c r="C128" i="42" s="1"/>
  <c r="B63" i="51"/>
  <c r="B128" i="42" s="1"/>
  <c r="A63" i="51"/>
  <c r="A128" i="42" s="1"/>
  <c r="C47" i="51"/>
  <c r="C48" i="51" s="1"/>
  <c r="B47" i="51"/>
  <c r="C44" i="51"/>
  <c r="C43" i="51"/>
  <c r="B43" i="51"/>
  <c r="B44" i="51"/>
  <c r="C42" i="51"/>
  <c r="B42" i="51"/>
  <c r="B11" i="51"/>
  <c r="C11" i="51"/>
  <c r="B12" i="51"/>
  <c r="C12" i="51"/>
  <c r="B13" i="51"/>
  <c r="C13" i="51"/>
  <c r="B14" i="51"/>
  <c r="C14" i="51"/>
  <c r="B15" i="51"/>
  <c r="C15" i="51"/>
  <c r="B16" i="51"/>
  <c r="C16" i="51"/>
  <c r="B17" i="51"/>
  <c r="C17" i="51"/>
  <c r="B18" i="51"/>
  <c r="C18" i="51"/>
  <c r="B19" i="51"/>
  <c r="C19" i="51"/>
  <c r="B20" i="51"/>
  <c r="C20" i="51"/>
  <c r="B21" i="51"/>
  <c r="C21" i="51"/>
  <c r="B22" i="51"/>
  <c r="C22" i="51"/>
  <c r="B23" i="51"/>
  <c r="C23" i="51"/>
  <c r="B24" i="51"/>
  <c r="C24" i="51"/>
  <c r="B25" i="51"/>
  <c r="C25" i="51"/>
  <c r="B26" i="51"/>
  <c r="C26" i="51"/>
  <c r="B27" i="51"/>
  <c r="C27" i="51"/>
  <c r="B28" i="51"/>
  <c r="C28" i="51"/>
  <c r="B29" i="51"/>
  <c r="C29" i="51"/>
  <c r="B30" i="51"/>
  <c r="C30" i="51"/>
  <c r="B31" i="51"/>
  <c r="C31" i="51"/>
  <c r="B32" i="51"/>
  <c r="C32" i="51"/>
  <c r="B33" i="51"/>
  <c r="C33" i="51"/>
  <c r="B34" i="51"/>
  <c r="C34" i="51"/>
  <c r="B35" i="51"/>
  <c r="C35" i="51"/>
  <c r="B36" i="51"/>
  <c r="C36" i="51"/>
  <c r="B37" i="51"/>
  <c r="C37" i="51"/>
  <c r="B38" i="51"/>
  <c r="C38" i="51"/>
  <c r="C10" i="51"/>
  <c r="B10" i="51"/>
  <c r="C7" i="51"/>
  <c r="B7" i="51"/>
  <c r="S90" i="51"/>
  <c r="O90" i="51"/>
  <c r="K90" i="51"/>
  <c r="G90" i="51"/>
  <c r="S73" i="51"/>
  <c r="O73" i="51"/>
  <c r="K73" i="51"/>
  <c r="G73" i="51"/>
  <c r="C73" i="51"/>
  <c r="C70" i="51"/>
  <c r="S68" i="51"/>
  <c r="S70" i="51" s="1"/>
  <c r="O68" i="51"/>
  <c r="O70" i="51" s="1"/>
  <c r="K68" i="51"/>
  <c r="K70" i="51" s="1"/>
  <c r="G68" i="51"/>
  <c r="G70" i="51" s="1"/>
  <c r="T46" i="51"/>
  <c r="Q89" i="50"/>
  <c r="Q233" i="42" s="1"/>
  <c r="M89" i="50"/>
  <c r="M233" i="42" s="1"/>
  <c r="I89" i="50"/>
  <c r="I233" i="42" s="1"/>
  <c r="E89" i="50"/>
  <c r="E233" i="42" s="1"/>
  <c r="D89" i="50"/>
  <c r="D233" i="42" s="1"/>
  <c r="C89" i="50"/>
  <c r="C233" i="42" s="1"/>
  <c r="B89" i="50"/>
  <c r="B233" i="42" s="1"/>
  <c r="A89" i="50"/>
  <c r="A233" i="42" s="1"/>
  <c r="Q76" i="50"/>
  <c r="Q211" i="42" s="1"/>
  <c r="M76" i="50"/>
  <c r="M211" i="42" s="1"/>
  <c r="I76" i="50"/>
  <c r="I211" i="42" s="1"/>
  <c r="E76" i="50"/>
  <c r="E211" i="42" s="1"/>
  <c r="D76" i="50"/>
  <c r="C76" i="50"/>
  <c r="C211" i="42" s="1"/>
  <c r="B76" i="50"/>
  <c r="B211" i="42" s="1"/>
  <c r="A76" i="50"/>
  <c r="A211" i="42" s="1"/>
  <c r="Q74" i="50"/>
  <c r="Q203" i="42" s="1"/>
  <c r="M74" i="50"/>
  <c r="M203" i="42" s="1"/>
  <c r="I74" i="50"/>
  <c r="I203" i="42" s="1"/>
  <c r="E74" i="50"/>
  <c r="E203" i="42" s="1"/>
  <c r="D74" i="50"/>
  <c r="C74" i="50"/>
  <c r="C203" i="42" s="1"/>
  <c r="B74" i="50"/>
  <c r="B203" i="42" s="1"/>
  <c r="A74" i="50"/>
  <c r="A203" i="42" s="1"/>
  <c r="Q69" i="50"/>
  <c r="M69" i="50"/>
  <c r="I69" i="50"/>
  <c r="E69" i="50"/>
  <c r="D69" i="50"/>
  <c r="C69" i="50"/>
  <c r="C71" i="50" s="1"/>
  <c r="B69" i="50"/>
  <c r="A69" i="50"/>
  <c r="Q58" i="50"/>
  <c r="Q127" i="42" s="1"/>
  <c r="M58" i="50"/>
  <c r="M127" i="42" s="1"/>
  <c r="I58" i="50"/>
  <c r="I127" i="42" s="1"/>
  <c r="E58" i="50"/>
  <c r="E127" i="42" s="1"/>
  <c r="D58" i="50"/>
  <c r="C58" i="50"/>
  <c r="C127" i="42" s="1"/>
  <c r="B58" i="50"/>
  <c r="B127" i="42" s="1"/>
  <c r="A58" i="50"/>
  <c r="A127" i="42" s="1"/>
  <c r="Q57" i="50"/>
  <c r="Q126" i="42" s="1"/>
  <c r="M57" i="50"/>
  <c r="M126" i="42" s="1"/>
  <c r="I57" i="50"/>
  <c r="I126" i="42" s="1"/>
  <c r="E57" i="50"/>
  <c r="E126" i="42" s="1"/>
  <c r="C57" i="50"/>
  <c r="C126" i="42" s="1"/>
  <c r="B57" i="50"/>
  <c r="B126" i="42" s="1"/>
  <c r="A57" i="50"/>
  <c r="A126" i="42" s="1"/>
  <c r="D53" i="50"/>
  <c r="C53" i="50"/>
  <c r="C93" i="42" s="1"/>
  <c r="B53" i="50"/>
  <c r="B93" i="42" s="1"/>
  <c r="A53" i="50"/>
  <c r="A93" i="42" s="1"/>
  <c r="Q51" i="50"/>
  <c r="Q78" i="42" s="1"/>
  <c r="M51" i="50"/>
  <c r="M78" i="42" s="1"/>
  <c r="I51" i="50"/>
  <c r="I78" i="42" s="1"/>
  <c r="E51" i="50"/>
  <c r="E78" i="42" s="1"/>
  <c r="D51" i="50"/>
  <c r="D78" i="42" s="1"/>
  <c r="C51" i="50"/>
  <c r="B51" i="50"/>
  <c r="B78" i="42" s="1"/>
  <c r="A51" i="50"/>
  <c r="A78" i="42" s="1"/>
  <c r="C43" i="50"/>
  <c r="C42" i="50"/>
  <c r="C44" i="50"/>
  <c r="C47" i="50"/>
  <c r="C48" i="50" s="1"/>
  <c r="B47" i="50"/>
  <c r="B11" i="50"/>
  <c r="C11" i="50"/>
  <c r="B12" i="50"/>
  <c r="C12" i="50"/>
  <c r="B13" i="50"/>
  <c r="C13" i="50"/>
  <c r="B14" i="50"/>
  <c r="C14" i="50"/>
  <c r="B15" i="50"/>
  <c r="C15" i="50"/>
  <c r="B16" i="50"/>
  <c r="C16" i="50"/>
  <c r="B17" i="50"/>
  <c r="C17" i="50"/>
  <c r="B18" i="50"/>
  <c r="C18" i="50"/>
  <c r="B19" i="50"/>
  <c r="C19" i="50"/>
  <c r="B20" i="50"/>
  <c r="C20" i="50"/>
  <c r="B21" i="50"/>
  <c r="C21" i="50"/>
  <c r="B22" i="50"/>
  <c r="C22" i="50"/>
  <c r="B23" i="50"/>
  <c r="C23" i="50"/>
  <c r="B24" i="50"/>
  <c r="C24" i="50"/>
  <c r="B25" i="50"/>
  <c r="C25" i="50"/>
  <c r="B26" i="50"/>
  <c r="C26" i="50"/>
  <c r="B27" i="50"/>
  <c r="C27" i="50"/>
  <c r="B28" i="50"/>
  <c r="C28" i="50"/>
  <c r="B29" i="50"/>
  <c r="C29" i="50"/>
  <c r="B30" i="50"/>
  <c r="C30" i="50"/>
  <c r="B31" i="50"/>
  <c r="C31" i="50"/>
  <c r="B32" i="50"/>
  <c r="C32" i="50"/>
  <c r="B33" i="50"/>
  <c r="C33" i="50"/>
  <c r="B34" i="50"/>
  <c r="C34" i="50"/>
  <c r="B35" i="50"/>
  <c r="C35" i="50"/>
  <c r="B36" i="50"/>
  <c r="C36" i="50"/>
  <c r="B37" i="50"/>
  <c r="C37" i="50"/>
  <c r="B38" i="50"/>
  <c r="C38" i="50"/>
  <c r="C10" i="50"/>
  <c r="B10" i="50"/>
  <c r="C7" i="50"/>
  <c r="C8" i="50" s="1"/>
  <c r="B7" i="50"/>
  <c r="H89" i="50"/>
  <c r="C86" i="50"/>
  <c r="S83" i="50"/>
  <c r="O83" i="50"/>
  <c r="K83" i="50"/>
  <c r="G83" i="50"/>
  <c r="S67" i="50"/>
  <c r="O67" i="50"/>
  <c r="K67" i="50"/>
  <c r="G67" i="50"/>
  <c r="C67" i="50"/>
  <c r="C64" i="50"/>
  <c r="S62" i="50"/>
  <c r="S64" i="50" s="1"/>
  <c r="O62" i="50"/>
  <c r="O64" i="50" s="1"/>
  <c r="K62" i="50"/>
  <c r="K64" i="50" s="1"/>
  <c r="G62" i="50"/>
  <c r="T46" i="50"/>
  <c r="B44" i="50"/>
  <c r="B43" i="50"/>
  <c r="B42" i="50"/>
  <c r="Q81" i="47"/>
  <c r="Q202" i="42" s="1"/>
  <c r="Q83" i="47"/>
  <c r="Q188" i="42" s="1"/>
  <c r="M81" i="47"/>
  <c r="M202" i="42" s="1"/>
  <c r="M83" i="47"/>
  <c r="M188" i="42" s="1"/>
  <c r="I81" i="47"/>
  <c r="I202" i="42" s="1"/>
  <c r="I83" i="47"/>
  <c r="I188" i="42" s="1"/>
  <c r="E81" i="47"/>
  <c r="E202" i="42" s="1"/>
  <c r="E83" i="47"/>
  <c r="E188" i="42" s="1"/>
  <c r="D81" i="47"/>
  <c r="D202" i="42" s="1"/>
  <c r="D83" i="47"/>
  <c r="D188" i="42" s="1"/>
  <c r="C81" i="47"/>
  <c r="C202" i="42" s="1"/>
  <c r="C83" i="47"/>
  <c r="C188" i="42" s="1"/>
  <c r="C80" i="47"/>
  <c r="C201" i="42" s="1"/>
  <c r="B81" i="47"/>
  <c r="B202" i="42" s="1"/>
  <c r="B83" i="47"/>
  <c r="B188" i="42" s="1"/>
  <c r="B80" i="47"/>
  <c r="B201" i="42" s="1"/>
  <c r="A81" i="47"/>
  <c r="A202" i="42" s="1"/>
  <c r="A83" i="47"/>
  <c r="A188" i="42" s="1"/>
  <c r="A80" i="47"/>
  <c r="A201" i="42" s="1"/>
  <c r="C55" i="47"/>
  <c r="B55" i="47"/>
  <c r="A55" i="47"/>
  <c r="D53" i="47"/>
  <c r="C53" i="47"/>
  <c r="A53" i="47"/>
  <c r="D51" i="47"/>
  <c r="D77" i="42" s="1"/>
  <c r="C51" i="47"/>
  <c r="C77" i="42" s="1"/>
  <c r="A51" i="47"/>
  <c r="A77" i="42" s="1"/>
  <c r="S68" i="47"/>
  <c r="O68" i="47"/>
  <c r="K68" i="47"/>
  <c r="G68" i="47"/>
  <c r="S75" i="47"/>
  <c r="O75" i="47"/>
  <c r="K75" i="47"/>
  <c r="G75" i="47"/>
  <c r="Q60" i="47"/>
  <c r="Q121" i="42" s="1"/>
  <c r="Q61" i="47"/>
  <c r="Q122" i="42" s="1"/>
  <c r="Q62" i="47"/>
  <c r="Q123" i="42" s="1"/>
  <c r="Q63" i="47"/>
  <c r="Q124" i="42" s="1"/>
  <c r="Q64" i="47"/>
  <c r="Q125" i="42" s="1"/>
  <c r="M60" i="47"/>
  <c r="M121" i="42" s="1"/>
  <c r="M61" i="47"/>
  <c r="M122" i="42" s="1"/>
  <c r="M62" i="47"/>
  <c r="M123" i="42" s="1"/>
  <c r="M63" i="47"/>
  <c r="M124" i="42" s="1"/>
  <c r="M64" i="47"/>
  <c r="M125" i="42" s="1"/>
  <c r="I60" i="47"/>
  <c r="I121" i="42" s="1"/>
  <c r="I61" i="47"/>
  <c r="I122" i="42" s="1"/>
  <c r="I62" i="47"/>
  <c r="I123" i="42" s="1"/>
  <c r="I63" i="47"/>
  <c r="I124" i="42" s="1"/>
  <c r="I64" i="47"/>
  <c r="I125" i="42" s="1"/>
  <c r="E60" i="47"/>
  <c r="E121" i="42" s="1"/>
  <c r="E61" i="47"/>
  <c r="E122" i="42" s="1"/>
  <c r="E62" i="47"/>
  <c r="E123" i="42" s="1"/>
  <c r="E63" i="47"/>
  <c r="E124" i="42" s="1"/>
  <c r="E64" i="47"/>
  <c r="E125" i="42" s="1"/>
  <c r="E59" i="47"/>
  <c r="E120" i="42" s="1"/>
  <c r="D60" i="47"/>
  <c r="D61" i="47"/>
  <c r="D62" i="47"/>
  <c r="D63" i="47"/>
  <c r="D64" i="47"/>
  <c r="D59" i="47"/>
  <c r="D120" i="42" s="1"/>
  <c r="B60" i="47"/>
  <c r="B121" i="42" s="1"/>
  <c r="C60" i="47"/>
  <c r="C121" i="42" s="1"/>
  <c r="B61" i="47"/>
  <c r="B122" i="42" s="1"/>
  <c r="C61" i="47"/>
  <c r="C122" i="42" s="1"/>
  <c r="B62" i="47"/>
  <c r="B123" i="42" s="1"/>
  <c r="C62" i="47"/>
  <c r="C123" i="42" s="1"/>
  <c r="B63" i="47"/>
  <c r="B124" i="42" s="1"/>
  <c r="C63" i="47"/>
  <c r="C124" i="42" s="1"/>
  <c r="B64" i="47"/>
  <c r="B125" i="42" s="1"/>
  <c r="C64" i="47"/>
  <c r="C125" i="42" s="1"/>
  <c r="C59" i="47"/>
  <c r="C120" i="42" s="1"/>
  <c r="B59" i="47"/>
  <c r="B120" i="42" s="1"/>
  <c r="A60" i="47"/>
  <c r="A121" i="42" s="1"/>
  <c r="A61" i="47"/>
  <c r="A122" i="42" s="1"/>
  <c r="A62" i="47"/>
  <c r="A123" i="42" s="1"/>
  <c r="A63" i="47"/>
  <c r="A124" i="42" s="1"/>
  <c r="A64" i="47"/>
  <c r="A125" i="42" s="1"/>
  <c r="A59" i="47"/>
  <c r="A120" i="42" s="1"/>
  <c r="C47" i="47"/>
  <c r="C44" i="47"/>
  <c r="C43" i="47"/>
  <c r="C42" i="47"/>
  <c r="B44" i="47"/>
  <c r="B43" i="47"/>
  <c r="B42" i="47"/>
  <c r="B11" i="47"/>
  <c r="C11" i="47"/>
  <c r="B12" i="47"/>
  <c r="C12" i="47"/>
  <c r="B13" i="47"/>
  <c r="C13" i="47"/>
  <c r="B14" i="47"/>
  <c r="C14" i="47"/>
  <c r="B15" i="47"/>
  <c r="C15" i="47"/>
  <c r="B16" i="47"/>
  <c r="C16" i="47"/>
  <c r="B17" i="47"/>
  <c r="C17" i="47"/>
  <c r="B18" i="47"/>
  <c r="C18" i="47"/>
  <c r="B19" i="47"/>
  <c r="C19" i="47"/>
  <c r="B20" i="47"/>
  <c r="C20" i="47"/>
  <c r="B21" i="47"/>
  <c r="C21" i="47"/>
  <c r="B22" i="47"/>
  <c r="C22" i="47"/>
  <c r="B23" i="47"/>
  <c r="C23" i="47"/>
  <c r="B24" i="47"/>
  <c r="C24" i="47"/>
  <c r="B25" i="47"/>
  <c r="C25" i="47"/>
  <c r="B26" i="47"/>
  <c r="C26" i="47"/>
  <c r="B27" i="47"/>
  <c r="C27" i="47"/>
  <c r="B28" i="47"/>
  <c r="C28" i="47"/>
  <c r="B29" i="47"/>
  <c r="C29" i="47"/>
  <c r="B30" i="47"/>
  <c r="C30" i="47"/>
  <c r="B31" i="47"/>
  <c r="C31" i="47"/>
  <c r="B32" i="47"/>
  <c r="C32" i="47"/>
  <c r="B33" i="47"/>
  <c r="C33" i="47"/>
  <c r="B34" i="47"/>
  <c r="C34" i="47"/>
  <c r="B35" i="47"/>
  <c r="C35" i="47"/>
  <c r="B36" i="47"/>
  <c r="C36" i="47"/>
  <c r="B37" i="47"/>
  <c r="C37" i="47"/>
  <c r="B38" i="47"/>
  <c r="C38" i="47"/>
  <c r="C10" i="47"/>
  <c r="B10" i="47"/>
  <c r="C7" i="47"/>
  <c r="B7" i="47"/>
  <c r="Q96" i="47"/>
  <c r="Q231" i="42" s="1"/>
  <c r="Q97" i="47"/>
  <c r="Q232" i="42" s="1"/>
  <c r="M96" i="47"/>
  <c r="M231" i="42" s="1"/>
  <c r="M97" i="47"/>
  <c r="M232" i="42" s="1"/>
  <c r="I96" i="47"/>
  <c r="I231" i="42" s="1"/>
  <c r="I97" i="47"/>
  <c r="I232" i="42" s="1"/>
  <c r="D96" i="47"/>
  <c r="D231" i="42" s="1"/>
  <c r="E96" i="47"/>
  <c r="E231" i="42" s="1"/>
  <c r="D97" i="47"/>
  <c r="D232" i="42" s="1"/>
  <c r="E97" i="47"/>
  <c r="E232" i="42" s="1"/>
  <c r="B96" i="47"/>
  <c r="B231" i="42" s="1"/>
  <c r="C96" i="47"/>
  <c r="C231" i="42" s="1"/>
  <c r="B97" i="47"/>
  <c r="B232" i="42" s="1"/>
  <c r="C97" i="47"/>
  <c r="C232" i="42" s="1"/>
  <c r="A96" i="47"/>
  <c r="A231" i="42" s="1"/>
  <c r="A97" i="47"/>
  <c r="A232" i="42" s="1"/>
  <c r="G269" i="4"/>
  <c r="U726" i="4"/>
  <c r="U724" i="4"/>
  <c r="U663" i="4"/>
  <c r="U593" i="4"/>
  <c r="U513" i="4"/>
  <c r="U511" i="4"/>
  <c r="U437" i="4"/>
  <c r="Q115" i="46"/>
  <c r="Q229" i="42" s="1"/>
  <c r="Q116" i="46"/>
  <c r="Q230" i="42" s="1"/>
  <c r="Q114" i="46"/>
  <c r="Q228" i="42" s="1"/>
  <c r="M115" i="46"/>
  <c r="M229" i="42" s="1"/>
  <c r="M116" i="46"/>
  <c r="M230" i="42" s="1"/>
  <c r="M114" i="46"/>
  <c r="M228" i="42" s="1"/>
  <c r="I115" i="46"/>
  <c r="I229" i="42" s="1"/>
  <c r="I116" i="46"/>
  <c r="I230" i="42" s="1"/>
  <c r="I114" i="46"/>
  <c r="I228" i="42" s="1"/>
  <c r="D115" i="46"/>
  <c r="D229" i="42" s="1"/>
  <c r="E115" i="46"/>
  <c r="E229" i="42" s="1"/>
  <c r="D116" i="46"/>
  <c r="E116" i="46"/>
  <c r="E230" i="42" s="1"/>
  <c r="E114" i="46"/>
  <c r="E228" i="42" s="1"/>
  <c r="D114" i="46"/>
  <c r="C115" i="46"/>
  <c r="C229" i="42" s="1"/>
  <c r="C116" i="46"/>
  <c r="C230" i="42" s="1"/>
  <c r="A115" i="46"/>
  <c r="A229" i="42" s="1"/>
  <c r="A116" i="46"/>
  <c r="A230" i="42" s="1"/>
  <c r="A114" i="46"/>
  <c r="A228" i="42" s="1"/>
  <c r="U366" i="4"/>
  <c r="U365" i="4"/>
  <c r="U363" i="4"/>
  <c r="U361" i="4"/>
  <c r="U266" i="4"/>
  <c r="U268" i="4"/>
  <c r="K95" i="45"/>
  <c r="A95" i="45"/>
  <c r="A226" i="42" s="1"/>
  <c r="T268" i="4"/>
  <c r="Q95" i="45" s="1"/>
  <c r="Q226" i="42" s="1"/>
  <c r="C114" i="46"/>
  <c r="C228" i="42" s="1"/>
  <c r="Q95" i="46"/>
  <c r="Q197" i="42" s="1"/>
  <c r="Q96" i="46"/>
  <c r="Q198" i="42" s="1"/>
  <c r="Q97" i="46"/>
  <c r="Q199" i="42" s="1"/>
  <c r="Q98" i="46"/>
  <c r="Q200" i="42" s="1"/>
  <c r="Q94" i="46"/>
  <c r="Q196" i="42" s="1"/>
  <c r="M95" i="46"/>
  <c r="M197" i="42" s="1"/>
  <c r="M96" i="46"/>
  <c r="M198" i="42" s="1"/>
  <c r="M97" i="46"/>
  <c r="M199" i="42" s="1"/>
  <c r="M98" i="46"/>
  <c r="M200" i="42" s="1"/>
  <c r="M94" i="46"/>
  <c r="M196" i="42" s="1"/>
  <c r="I95" i="46"/>
  <c r="I197" i="42" s="1"/>
  <c r="I96" i="46"/>
  <c r="I198" i="42" s="1"/>
  <c r="I97" i="46"/>
  <c r="I199" i="42" s="1"/>
  <c r="I98" i="46"/>
  <c r="I200" i="42" s="1"/>
  <c r="I94" i="46"/>
  <c r="I196" i="42" s="1"/>
  <c r="E95" i="46"/>
  <c r="E197" i="42" s="1"/>
  <c r="E96" i="46"/>
  <c r="E198" i="42" s="1"/>
  <c r="E97" i="46"/>
  <c r="E199" i="42" s="1"/>
  <c r="E98" i="46"/>
  <c r="E200" i="42" s="1"/>
  <c r="E94" i="46"/>
  <c r="E196" i="42" s="1"/>
  <c r="D95" i="46"/>
  <c r="D197" i="42" s="1"/>
  <c r="D96" i="46"/>
  <c r="D198" i="42" s="1"/>
  <c r="D97" i="46"/>
  <c r="D98" i="46"/>
  <c r="D200" i="42" s="1"/>
  <c r="D100" i="46"/>
  <c r="D185" i="42" s="1"/>
  <c r="D101" i="46"/>
  <c r="D186" i="42" s="1"/>
  <c r="D94" i="46"/>
  <c r="D196" i="42" s="1"/>
  <c r="B95" i="46"/>
  <c r="B197" i="42" s="1"/>
  <c r="C95" i="46"/>
  <c r="C197" i="42" s="1"/>
  <c r="B96" i="46"/>
  <c r="B198" i="42" s="1"/>
  <c r="C96" i="46"/>
  <c r="C198" i="42" s="1"/>
  <c r="B97" i="46"/>
  <c r="B199" i="42" s="1"/>
  <c r="C97" i="46"/>
  <c r="C199" i="42" s="1"/>
  <c r="B98" i="46"/>
  <c r="B200" i="42" s="1"/>
  <c r="C98" i="46"/>
  <c r="C200" i="42" s="1"/>
  <c r="B100" i="46"/>
  <c r="B185" i="42" s="1"/>
  <c r="C100" i="46"/>
  <c r="C185" i="42" s="1"/>
  <c r="B101" i="46"/>
  <c r="B186" i="42" s="1"/>
  <c r="C101" i="46"/>
  <c r="C186" i="42" s="1"/>
  <c r="C94" i="46"/>
  <c r="C196" i="42" s="1"/>
  <c r="B94" i="46"/>
  <c r="B196" i="42" s="1"/>
  <c r="A101" i="46"/>
  <c r="A186" i="42" s="1"/>
  <c r="A100" i="46"/>
  <c r="A185" i="42" s="1"/>
  <c r="A95" i="46"/>
  <c r="A197" i="42" s="1"/>
  <c r="A96" i="46"/>
  <c r="A198" i="42" s="1"/>
  <c r="A97" i="46"/>
  <c r="A199" i="42" s="1"/>
  <c r="A98" i="46"/>
  <c r="A200" i="42" s="1"/>
  <c r="A94" i="46"/>
  <c r="A196" i="42" s="1"/>
  <c r="Q56" i="46"/>
  <c r="Q76" i="42" s="1"/>
  <c r="M56" i="46"/>
  <c r="M76" i="42" s="1"/>
  <c r="I56" i="46"/>
  <c r="I76" i="42" s="1"/>
  <c r="E56" i="46"/>
  <c r="E76" i="42" s="1"/>
  <c r="D55" i="46"/>
  <c r="D54" i="46"/>
  <c r="D53" i="46"/>
  <c r="D73" i="42" s="1"/>
  <c r="C55" i="46"/>
  <c r="C75" i="42" s="1"/>
  <c r="C56" i="46"/>
  <c r="C76" i="42" s="1"/>
  <c r="C54" i="46"/>
  <c r="C74" i="42" s="1"/>
  <c r="C53" i="46"/>
  <c r="C73" i="42" s="1"/>
  <c r="B56" i="46"/>
  <c r="B76" i="42" s="1"/>
  <c r="B55" i="46"/>
  <c r="B75" i="42" s="1"/>
  <c r="B54" i="46"/>
  <c r="B74" i="42" s="1"/>
  <c r="B53" i="46"/>
  <c r="B73" i="42" s="1"/>
  <c r="C60" i="46"/>
  <c r="B60" i="46"/>
  <c r="D58" i="46"/>
  <c r="C58" i="46"/>
  <c r="B58" i="46"/>
  <c r="B86" i="42" s="1"/>
  <c r="A56" i="46"/>
  <c r="A76" i="42" s="1"/>
  <c r="A55" i="46"/>
  <c r="A75" i="42" s="1"/>
  <c r="A54" i="46"/>
  <c r="A74" i="42" s="1"/>
  <c r="A53" i="46"/>
  <c r="A73" i="42" s="1"/>
  <c r="Q89" i="46"/>
  <c r="Q174" i="42" s="1"/>
  <c r="M89" i="46"/>
  <c r="M174" i="42" s="1"/>
  <c r="I89" i="46"/>
  <c r="I174" i="42" s="1"/>
  <c r="E89" i="46"/>
  <c r="E174" i="42" s="1"/>
  <c r="D89" i="46"/>
  <c r="C89" i="46"/>
  <c r="C174" i="42" s="1"/>
  <c r="B89" i="46"/>
  <c r="B174" i="42" s="1"/>
  <c r="A89" i="46"/>
  <c r="A174" i="42" s="1"/>
  <c r="Q88" i="46"/>
  <c r="Q173" i="42" s="1"/>
  <c r="M88" i="46"/>
  <c r="M173" i="42" s="1"/>
  <c r="I88" i="46"/>
  <c r="I173" i="42" s="1"/>
  <c r="E88" i="46"/>
  <c r="E173" i="42" s="1"/>
  <c r="D88" i="46"/>
  <c r="C88" i="46"/>
  <c r="C173" i="42" s="1"/>
  <c r="B88" i="46"/>
  <c r="B173" i="42" s="1"/>
  <c r="A88" i="46"/>
  <c r="A173" i="42" s="1"/>
  <c r="Q87" i="46"/>
  <c r="Q172" i="42" s="1"/>
  <c r="M87" i="46"/>
  <c r="M172" i="42" s="1"/>
  <c r="I87" i="46"/>
  <c r="I172" i="42" s="1"/>
  <c r="E87" i="46"/>
  <c r="E172" i="42" s="1"/>
  <c r="D87" i="46"/>
  <c r="C87" i="46"/>
  <c r="C172" i="42" s="1"/>
  <c r="B87" i="46"/>
  <c r="B172" i="42" s="1"/>
  <c r="A87" i="46"/>
  <c r="A172" i="42" s="1"/>
  <c r="Q85" i="46"/>
  <c r="Q170" i="42" s="1"/>
  <c r="Q86" i="46"/>
  <c r="Q171" i="42" s="1"/>
  <c r="M85" i="46"/>
  <c r="M170" i="42" s="1"/>
  <c r="M86" i="46"/>
  <c r="M171" i="42" s="1"/>
  <c r="M84" i="46"/>
  <c r="M169" i="42" s="1"/>
  <c r="I85" i="46"/>
  <c r="I170" i="42" s="1"/>
  <c r="I86" i="46"/>
  <c r="I171" i="42" s="1"/>
  <c r="I84" i="46"/>
  <c r="I169" i="42" s="1"/>
  <c r="A85" i="46"/>
  <c r="A170" i="42" s="1"/>
  <c r="B85" i="46"/>
  <c r="B170" i="42" s="1"/>
  <c r="C85" i="46"/>
  <c r="C170" i="42" s="1"/>
  <c r="D85" i="46"/>
  <c r="D170" i="42" s="1"/>
  <c r="E85" i="46"/>
  <c r="E170" i="42" s="1"/>
  <c r="A86" i="46"/>
  <c r="A171" i="42" s="1"/>
  <c r="B86" i="46"/>
  <c r="B171" i="42" s="1"/>
  <c r="C86" i="46"/>
  <c r="C171" i="42" s="1"/>
  <c r="D86" i="46"/>
  <c r="D171" i="42" s="1"/>
  <c r="E86" i="46"/>
  <c r="E171" i="42" s="1"/>
  <c r="E84" i="46"/>
  <c r="E169" i="42" s="1"/>
  <c r="C84" i="46"/>
  <c r="C169" i="42" s="1"/>
  <c r="B84" i="46"/>
  <c r="B169" i="42" s="1"/>
  <c r="A84" i="46"/>
  <c r="A169" i="42" s="1"/>
  <c r="Q65" i="46"/>
  <c r="Q66" i="46"/>
  <c r="Q67" i="46"/>
  <c r="Q68" i="46"/>
  <c r="Q69" i="46"/>
  <c r="Q70" i="46"/>
  <c r="Q71" i="46"/>
  <c r="Q72" i="46"/>
  <c r="Q73" i="46"/>
  <c r="Q74" i="46"/>
  <c r="M65" i="46"/>
  <c r="M110" i="42" s="1"/>
  <c r="M66" i="46"/>
  <c r="M111" i="42" s="1"/>
  <c r="M67" i="46"/>
  <c r="M112" i="42" s="1"/>
  <c r="M68" i="46"/>
  <c r="M113" i="42" s="1"/>
  <c r="M69" i="46"/>
  <c r="M114" i="42" s="1"/>
  <c r="M70" i="46"/>
  <c r="M115" i="42" s="1"/>
  <c r="M71" i="46"/>
  <c r="M116" i="42" s="1"/>
  <c r="M72" i="46"/>
  <c r="M117" i="42" s="1"/>
  <c r="M73" i="46"/>
  <c r="M118" i="42" s="1"/>
  <c r="M74" i="46"/>
  <c r="M119" i="42" s="1"/>
  <c r="I65" i="46"/>
  <c r="I110" i="42" s="1"/>
  <c r="I66" i="46"/>
  <c r="I111" i="42" s="1"/>
  <c r="I67" i="46"/>
  <c r="I112" i="42" s="1"/>
  <c r="I68" i="46"/>
  <c r="I113" i="42" s="1"/>
  <c r="I69" i="46"/>
  <c r="I114" i="42" s="1"/>
  <c r="I70" i="46"/>
  <c r="I115" i="42" s="1"/>
  <c r="I71" i="46"/>
  <c r="I116" i="42" s="1"/>
  <c r="I72" i="46"/>
  <c r="I117" i="42" s="1"/>
  <c r="I73" i="46"/>
  <c r="I118" i="42" s="1"/>
  <c r="I74" i="46"/>
  <c r="I119" i="42" s="1"/>
  <c r="G321" i="4"/>
  <c r="D68" i="46" s="1"/>
  <c r="G320" i="4"/>
  <c r="D67" i="46" s="1"/>
  <c r="D112" i="42" s="1"/>
  <c r="G317" i="4"/>
  <c r="D64" i="46" s="1"/>
  <c r="D109" i="42" s="1"/>
  <c r="E65" i="46"/>
  <c r="E110" i="42" s="1"/>
  <c r="E66" i="46"/>
  <c r="E111" i="42" s="1"/>
  <c r="E67" i="46"/>
  <c r="E112" i="42" s="1"/>
  <c r="E68" i="46"/>
  <c r="E113" i="42" s="1"/>
  <c r="E69" i="46"/>
  <c r="E114" i="42" s="1"/>
  <c r="E70" i="46"/>
  <c r="E115" i="42" s="1"/>
  <c r="E71" i="46"/>
  <c r="E116" i="42" s="1"/>
  <c r="E72" i="46"/>
  <c r="E117" i="42" s="1"/>
  <c r="E73" i="46"/>
  <c r="E118" i="42" s="1"/>
  <c r="E74" i="46"/>
  <c r="E119" i="42" s="1"/>
  <c r="D65" i="46"/>
  <c r="D110" i="42" s="1"/>
  <c r="D66" i="46"/>
  <c r="D111" i="42" s="1"/>
  <c r="D69" i="46"/>
  <c r="D71" i="46"/>
  <c r="D72" i="46"/>
  <c r="D73" i="46"/>
  <c r="D118" i="42" s="1"/>
  <c r="D74" i="46"/>
  <c r="D119" i="42" s="1"/>
  <c r="A65" i="46"/>
  <c r="A110" i="42" s="1"/>
  <c r="B65" i="46"/>
  <c r="B110" i="42" s="1"/>
  <c r="C65" i="46"/>
  <c r="C110" i="42" s="1"/>
  <c r="A66" i="46"/>
  <c r="A111" i="42" s="1"/>
  <c r="B66" i="46"/>
  <c r="B111" i="42" s="1"/>
  <c r="C66" i="46"/>
  <c r="C111" i="42" s="1"/>
  <c r="A67" i="46"/>
  <c r="A112" i="42" s="1"/>
  <c r="B67" i="46"/>
  <c r="B112" i="42" s="1"/>
  <c r="C67" i="46"/>
  <c r="C112" i="42" s="1"/>
  <c r="A68" i="46"/>
  <c r="A113" i="42" s="1"/>
  <c r="B68" i="46"/>
  <c r="B113" i="42" s="1"/>
  <c r="C68" i="46"/>
  <c r="C113" i="42" s="1"/>
  <c r="A69" i="46"/>
  <c r="A114" i="42" s="1"/>
  <c r="B69" i="46"/>
  <c r="B114" i="42" s="1"/>
  <c r="C69" i="46"/>
  <c r="C114" i="42" s="1"/>
  <c r="A70" i="46"/>
  <c r="A115" i="42" s="1"/>
  <c r="B70" i="46"/>
  <c r="B115" i="42" s="1"/>
  <c r="C70" i="46"/>
  <c r="C115" i="42" s="1"/>
  <c r="A71" i="46"/>
  <c r="A116" i="42" s="1"/>
  <c r="B71" i="46"/>
  <c r="B116" i="42" s="1"/>
  <c r="C71" i="46"/>
  <c r="C116" i="42" s="1"/>
  <c r="A72" i="46"/>
  <c r="A117" i="42" s="1"/>
  <c r="B72" i="46"/>
  <c r="B117" i="42" s="1"/>
  <c r="C72" i="46"/>
  <c r="C117" i="42" s="1"/>
  <c r="A73" i="46"/>
  <c r="A118" i="42" s="1"/>
  <c r="B73" i="46"/>
  <c r="B118" i="42" s="1"/>
  <c r="C73" i="46"/>
  <c r="C118" i="42" s="1"/>
  <c r="A74" i="46"/>
  <c r="A119" i="42" s="1"/>
  <c r="B74" i="46"/>
  <c r="B119" i="42" s="1"/>
  <c r="C74" i="46"/>
  <c r="C119" i="42" s="1"/>
  <c r="C64" i="46"/>
  <c r="C109" i="42" s="1"/>
  <c r="B64" i="46"/>
  <c r="B109" i="42" s="1"/>
  <c r="A64" i="46"/>
  <c r="A109" i="42" s="1"/>
  <c r="C48" i="46"/>
  <c r="C45" i="46"/>
  <c r="C44" i="46"/>
  <c r="C43" i="46"/>
  <c r="B45" i="46"/>
  <c r="B44" i="46"/>
  <c r="B43" i="46"/>
  <c r="B11" i="46"/>
  <c r="C11" i="46"/>
  <c r="B12" i="46"/>
  <c r="C12" i="46"/>
  <c r="B13" i="46"/>
  <c r="C13" i="46"/>
  <c r="B14" i="46"/>
  <c r="C14" i="46"/>
  <c r="B15" i="46"/>
  <c r="C15" i="46"/>
  <c r="B16" i="46"/>
  <c r="C16" i="46"/>
  <c r="B17" i="46"/>
  <c r="C17" i="46"/>
  <c r="B18" i="46"/>
  <c r="C18" i="46"/>
  <c r="B19" i="46"/>
  <c r="C19" i="46"/>
  <c r="B20" i="46"/>
  <c r="C20" i="46"/>
  <c r="B21" i="46"/>
  <c r="C21" i="46"/>
  <c r="B22" i="46"/>
  <c r="C22" i="46"/>
  <c r="B23" i="46"/>
  <c r="C23" i="46"/>
  <c r="B24" i="46"/>
  <c r="C24" i="46"/>
  <c r="B25" i="46"/>
  <c r="C25" i="46"/>
  <c r="B26" i="46"/>
  <c r="C26" i="46"/>
  <c r="B27" i="46"/>
  <c r="C27" i="46"/>
  <c r="B28" i="46"/>
  <c r="C28" i="46"/>
  <c r="B29" i="46"/>
  <c r="C29" i="46"/>
  <c r="B30" i="46"/>
  <c r="C30" i="46"/>
  <c r="B31" i="46"/>
  <c r="C31" i="46"/>
  <c r="B32" i="46"/>
  <c r="C32" i="46"/>
  <c r="B33" i="46"/>
  <c r="C33" i="46"/>
  <c r="B34" i="46"/>
  <c r="C34" i="46"/>
  <c r="B35" i="46"/>
  <c r="C35" i="46"/>
  <c r="B36" i="46"/>
  <c r="C36" i="46"/>
  <c r="B37" i="46"/>
  <c r="C37" i="46"/>
  <c r="B38" i="46"/>
  <c r="C38" i="46"/>
  <c r="C10" i="46"/>
  <c r="B10" i="46"/>
  <c r="C7" i="46"/>
  <c r="B7" i="46"/>
  <c r="Q78" i="45"/>
  <c r="Q194" i="42" s="1"/>
  <c r="Q79" i="45"/>
  <c r="Q195" i="42" s="1"/>
  <c r="Q81" i="45"/>
  <c r="Q183" i="42" s="1"/>
  <c r="Q82" i="45"/>
  <c r="Q184" i="42" s="1"/>
  <c r="Q77" i="45"/>
  <c r="Q193" i="42" s="1"/>
  <c r="M78" i="45"/>
  <c r="M194" i="42" s="1"/>
  <c r="M79" i="45"/>
  <c r="M195" i="42" s="1"/>
  <c r="M81" i="45"/>
  <c r="M183" i="42" s="1"/>
  <c r="M82" i="45"/>
  <c r="M184" i="42" s="1"/>
  <c r="M77" i="45"/>
  <c r="M193" i="42" s="1"/>
  <c r="I78" i="45"/>
  <c r="I194" i="42" s="1"/>
  <c r="I79" i="45"/>
  <c r="I195" i="42" s="1"/>
  <c r="I81" i="45"/>
  <c r="I183" i="42" s="1"/>
  <c r="I82" i="45"/>
  <c r="I184" i="42" s="1"/>
  <c r="I77" i="45"/>
  <c r="I193" i="42" s="1"/>
  <c r="E78" i="45"/>
  <c r="E194" i="42" s="1"/>
  <c r="E79" i="45"/>
  <c r="E195" i="42" s="1"/>
  <c r="E81" i="45"/>
  <c r="E183" i="42" s="1"/>
  <c r="E82" i="45"/>
  <c r="E184" i="42" s="1"/>
  <c r="E77" i="45"/>
  <c r="E193" i="42" s="1"/>
  <c r="D78" i="45"/>
  <c r="D79" i="45"/>
  <c r="D195" i="42" s="1"/>
  <c r="D81" i="45"/>
  <c r="D82" i="45"/>
  <c r="D77" i="45"/>
  <c r="C78" i="45"/>
  <c r="C194" i="42" s="1"/>
  <c r="C79" i="45"/>
  <c r="C195" i="42" s="1"/>
  <c r="C81" i="45"/>
  <c r="C183" i="42" s="1"/>
  <c r="C82" i="45"/>
  <c r="C184" i="42" s="1"/>
  <c r="C77" i="45"/>
  <c r="C193" i="42" s="1"/>
  <c r="B78" i="45"/>
  <c r="B194" i="42" s="1"/>
  <c r="B79" i="45"/>
  <c r="B195" i="42" s="1"/>
  <c r="B81" i="45"/>
  <c r="B183" i="42" s="1"/>
  <c r="B82" i="45"/>
  <c r="B184" i="42" s="1"/>
  <c r="B77" i="45"/>
  <c r="B193" i="42" s="1"/>
  <c r="A82" i="45"/>
  <c r="A184" i="42" s="1"/>
  <c r="A81" i="45"/>
  <c r="A183" i="42" s="1"/>
  <c r="A80" i="45"/>
  <c r="A78" i="45"/>
  <c r="A194" i="42" s="1"/>
  <c r="A79" i="45"/>
  <c r="A195" i="42" s="1"/>
  <c r="A77" i="45"/>
  <c r="A193" i="42" s="1"/>
  <c r="A76" i="45"/>
  <c r="Q52" i="45"/>
  <c r="Q71" i="42" s="1"/>
  <c r="M52" i="45"/>
  <c r="M71" i="42" s="1"/>
  <c r="I52" i="45"/>
  <c r="I71" i="42" s="1"/>
  <c r="E52" i="45"/>
  <c r="E71" i="42" s="1"/>
  <c r="D53" i="45"/>
  <c r="D72" i="42" s="1"/>
  <c r="D52" i="45"/>
  <c r="D71" i="42" s="1"/>
  <c r="C57" i="45"/>
  <c r="C53" i="45"/>
  <c r="C72" i="42" s="1"/>
  <c r="C52" i="45"/>
  <c r="C71" i="42" s="1"/>
  <c r="B57" i="45"/>
  <c r="B92" i="42" s="1"/>
  <c r="B53" i="45"/>
  <c r="B72" i="42" s="1"/>
  <c r="B52" i="45"/>
  <c r="B71" i="42" s="1"/>
  <c r="A57" i="45"/>
  <c r="A92" i="42" s="1"/>
  <c r="S55" i="45"/>
  <c r="O55" i="45"/>
  <c r="K55" i="45"/>
  <c r="G55" i="45"/>
  <c r="A53" i="45"/>
  <c r="A72" i="42" s="1"/>
  <c r="A52" i="45"/>
  <c r="A71" i="42" s="1"/>
  <c r="C53" i="53" l="1"/>
  <c r="H82" i="51"/>
  <c r="L82" i="51" s="1"/>
  <c r="G119" i="42"/>
  <c r="C86" i="42"/>
  <c r="C78" i="50"/>
  <c r="C61" i="51"/>
  <c r="G120" i="42"/>
  <c r="G175" i="42"/>
  <c r="H55" i="51"/>
  <c r="L55" i="51" s="1"/>
  <c r="D86" i="42"/>
  <c r="H86" i="42" s="1"/>
  <c r="G132" i="42"/>
  <c r="G131" i="42"/>
  <c r="G118" i="42"/>
  <c r="H68" i="46"/>
  <c r="K68" i="46" s="1"/>
  <c r="D113" i="42"/>
  <c r="G113" i="42" s="1"/>
  <c r="G110" i="42"/>
  <c r="H186" i="42"/>
  <c r="H62" i="47"/>
  <c r="D123" i="42"/>
  <c r="G123" i="42" s="1"/>
  <c r="H78" i="45"/>
  <c r="L78" i="45" s="1"/>
  <c r="D194" i="42"/>
  <c r="G171" i="42"/>
  <c r="H171" i="42"/>
  <c r="H61" i="47"/>
  <c r="K61" i="47" s="1"/>
  <c r="D122" i="42"/>
  <c r="G122" i="42" s="1"/>
  <c r="H200" i="42"/>
  <c r="G200" i="42"/>
  <c r="H97" i="46"/>
  <c r="L97" i="46" s="1"/>
  <c r="P97" i="46" s="1"/>
  <c r="S97" i="46" s="1"/>
  <c r="D199" i="42"/>
  <c r="H116" i="46"/>
  <c r="K116" i="46" s="1"/>
  <c r="D230" i="42"/>
  <c r="D96" i="45"/>
  <c r="U269" i="4"/>
  <c r="G232" i="42"/>
  <c r="H232" i="42"/>
  <c r="H72" i="46"/>
  <c r="H117" i="42" s="1"/>
  <c r="K117" i="42" s="1"/>
  <c r="D117" i="42"/>
  <c r="G117" i="42" s="1"/>
  <c r="H73" i="42"/>
  <c r="H71" i="46"/>
  <c r="H116" i="42" s="1"/>
  <c r="K116" i="42" s="1"/>
  <c r="D116" i="42"/>
  <c r="G116" i="42" s="1"/>
  <c r="H54" i="46"/>
  <c r="L54" i="46" s="1"/>
  <c r="D74" i="42"/>
  <c r="G198" i="42"/>
  <c r="H198" i="42"/>
  <c r="H55" i="46"/>
  <c r="L55" i="46" s="1"/>
  <c r="D75" i="42"/>
  <c r="G197" i="42"/>
  <c r="H197" i="42"/>
  <c r="G231" i="42"/>
  <c r="H231" i="42"/>
  <c r="H77" i="45"/>
  <c r="K77" i="45" s="1"/>
  <c r="D193" i="42"/>
  <c r="G112" i="42"/>
  <c r="H71" i="42"/>
  <c r="G71" i="42"/>
  <c r="H87" i="46"/>
  <c r="L87" i="46" s="1"/>
  <c r="D172" i="42"/>
  <c r="H88" i="46"/>
  <c r="L88" i="46" s="1"/>
  <c r="D173" i="42"/>
  <c r="H89" i="46"/>
  <c r="L89" i="46" s="1"/>
  <c r="D174" i="42"/>
  <c r="H72" i="42"/>
  <c r="H82" i="45"/>
  <c r="K82" i="45" s="1"/>
  <c r="D184" i="42"/>
  <c r="H69" i="46"/>
  <c r="H114" i="42" s="1"/>
  <c r="K114" i="42" s="1"/>
  <c r="D114" i="42"/>
  <c r="H81" i="45"/>
  <c r="L81" i="45" s="1"/>
  <c r="P81" i="45" s="1"/>
  <c r="S81" i="45" s="1"/>
  <c r="D183" i="42"/>
  <c r="H170" i="42"/>
  <c r="G170" i="42"/>
  <c r="H195" i="42"/>
  <c r="G195" i="42"/>
  <c r="H114" i="46"/>
  <c r="L114" i="46" s="1"/>
  <c r="P114" i="46" s="1"/>
  <c r="D228" i="42"/>
  <c r="H64" i="47"/>
  <c r="D125" i="42"/>
  <c r="G125" i="42" s="1"/>
  <c r="H60" i="47"/>
  <c r="K60" i="47" s="1"/>
  <c r="D121" i="42"/>
  <c r="G121" i="42" s="1"/>
  <c r="H77" i="42"/>
  <c r="H51" i="50"/>
  <c r="K51" i="50" s="1"/>
  <c r="H177" i="42"/>
  <c r="H78" i="42"/>
  <c r="G78" i="42"/>
  <c r="H53" i="50"/>
  <c r="L53" i="50" s="1"/>
  <c r="D93" i="42"/>
  <c r="H175" i="42"/>
  <c r="H176" i="42"/>
  <c r="G202" i="42"/>
  <c r="H202" i="42"/>
  <c r="H63" i="51"/>
  <c r="K63" i="51" s="1"/>
  <c r="D128" i="42"/>
  <c r="G128" i="42" s="1"/>
  <c r="H64" i="51"/>
  <c r="H129" i="42" s="1"/>
  <c r="K129" i="42" s="1"/>
  <c r="D129" i="42"/>
  <c r="G129" i="42" s="1"/>
  <c r="H76" i="51"/>
  <c r="L76" i="51" s="1"/>
  <c r="D176" i="42"/>
  <c r="H77" i="51"/>
  <c r="D177" i="42"/>
  <c r="G177" i="42" s="1"/>
  <c r="H204" i="42"/>
  <c r="H83" i="51"/>
  <c r="L83" i="51" s="1"/>
  <c r="D205" i="42"/>
  <c r="H58" i="50"/>
  <c r="K58" i="50" s="1"/>
  <c r="D127" i="42"/>
  <c r="G127" i="42" s="1"/>
  <c r="G69" i="50"/>
  <c r="G71" i="50" s="1"/>
  <c r="H74" i="50"/>
  <c r="L74" i="50" s="1"/>
  <c r="D203" i="42"/>
  <c r="H76" i="50"/>
  <c r="L76" i="50" s="1"/>
  <c r="D211" i="42"/>
  <c r="C80" i="42"/>
  <c r="C59" i="52"/>
  <c r="H63" i="47"/>
  <c r="D124" i="42"/>
  <c r="G124" i="42" s="1"/>
  <c r="C55" i="50"/>
  <c r="C78" i="42"/>
  <c r="H83" i="42"/>
  <c r="G83" i="42"/>
  <c r="H213" i="42"/>
  <c r="G213" i="42"/>
  <c r="G130" i="42"/>
  <c r="K130" i="42"/>
  <c r="H76" i="52"/>
  <c r="P76" i="52" s="1"/>
  <c r="P189" i="42" s="1"/>
  <c r="D189" i="42"/>
  <c r="H77" i="52"/>
  <c r="L77" i="52" s="1"/>
  <c r="D190" i="42"/>
  <c r="H191" i="42"/>
  <c r="H51" i="53"/>
  <c r="L51" i="53" s="1"/>
  <c r="P51" i="53" s="1"/>
  <c r="S51" i="53" s="1"/>
  <c r="H71" i="53"/>
  <c r="L55" i="53"/>
  <c r="L131" i="42" s="1"/>
  <c r="O131" i="42" s="1"/>
  <c r="H131" i="42"/>
  <c r="K131" i="42" s="1"/>
  <c r="L56" i="53"/>
  <c r="H132" i="42"/>
  <c r="K132" i="42" s="1"/>
  <c r="H115" i="46"/>
  <c r="K115" i="46" s="1"/>
  <c r="H229" i="42"/>
  <c r="G229" i="42"/>
  <c r="H53" i="52"/>
  <c r="L53" i="52" s="1"/>
  <c r="O53" i="52" s="1"/>
  <c r="D80" i="42"/>
  <c r="H54" i="52"/>
  <c r="L54" i="52" s="1"/>
  <c r="D81" i="42"/>
  <c r="H55" i="52"/>
  <c r="L55" i="52" s="1"/>
  <c r="O55" i="52" s="1"/>
  <c r="D82" i="42"/>
  <c r="H65" i="42"/>
  <c r="G65" i="42"/>
  <c r="C8" i="51"/>
  <c r="H79" i="42"/>
  <c r="H94" i="42"/>
  <c r="L94" i="42" s="1"/>
  <c r="H96" i="42"/>
  <c r="H58" i="51"/>
  <c r="D95" i="42"/>
  <c r="K56" i="53"/>
  <c r="G56" i="53"/>
  <c r="C58" i="53"/>
  <c r="K55" i="53"/>
  <c r="G51" i="53"/>
  <c r="G53" i="53" s="1"/>
  <c r="T65" i="53"/>
  <c r="T62" i="53"/>
  <c r="G71" i="53"/>
  <c r="G55" i="53"/>
  <c r="C45" i="53"/>
  <c r="C48" i="53"/>
  <c r="T60" i="53"/>
  <c r="C73" i="53"/>
  <c r="C39" i="53"/>
  <c r="T78" i="53"/>
  <c r="K80" i="52"/>
  <c r="L80" i="52"/>
  <c r="G80" i="52"/>
  <c r="H78" i="52"/>
  <c r="G77" i="52"/>
  <c r="G76" i="52"/>
  <c r="G61" i="52"/>
  <c r="G63" i="52" s="1"/>
  <c r="T70" i="52"/>
  <c r="L61" i="52"/>
  <c r="T87" i="52"/>
  <c r="G53" i="52"/>
  <c r="G55" i="52"/>
  <c r="T67" i="52"/>
  <c r="C45" i="52"/>
  <c r="C39" i="52"/>
  <c r="C63" i="52"/>
  <c r="T65" i="52"/>
  <c r="C82" i="52"/>
  <c r="H59" i="51"/>
  <c r="K54" i="51"/>
  <c r="L54" i="51"/>
  <c r="G54" i="51"/>
  <c r="G63" i="51"/>
  <c r="G53" i="51"/>
  <c r="G83" i="51"/>
  <c r="C85" i="51"/>
  <c r="G77" i="51"/>
  <c r="C45" i="51"/>
  <c r="C49" i="51" s="1"/>
  <c r="C66" i="51"/>
  <c r="T73" i="51"/>
  <c r="G75" i="51"/>
  <c r="C79" i="51"/>
  <c r="H53" i="51"/>
  <c r="L53" i="51" s="1"/>
  <c r="P53" i="51" s="1"/>
  <c r="S53" i="51" s="1"/>
  <c r="H75" i="51"/>
  <c r="L75" i="51" s="1"/>
  <c r="P75" i="51" s="1"/>
  <c r="S75" i="51" s="1"/>
  <c r="H57" i="51"/>
  <c r="L57" i="51" s="1"/>
  <c r="G64" i="51"/>
  <c r="C39" i="51"/>
  <c r="T70" i="51"/>
  <c r="T68" i="51"/>
  <c r="T90" i="51"/>
  <c r="G95" i="45"/>
  <c r="L95" i="45"/>
  <c r="P95" i="45" s="1"/>
  <c r="S95" i="45" s="1"/>
  <c r="G115" i="46"/>
  <c r="G76" i="50"/>
  <c r="G89" i="50"/>
  <c r="T67" i="50"/>
  <c r="H69" i="50"/>
  <c r="K69" i="50" s="1"/>
  <c r="K71" i="50" s="1"/>
  <c r="C39" i="50"/>
  <c r="C40" i="50" s="1"/>
  <c r="G58" i="50"/>
  <c r="C60" i="50"/>
  <c r="C45" i="50"/>
  <c r="C49" i="50" s="1"/>
  <c r="G64" i="50"/>
  <c r="T64" i="50" s="1"/>
  <c r="T62" i="50"/>
  <c r="T83" i="50"/>
  <c r="L89" i="50"/>
  <c r="K89" i="50"/>
  <c r="G51" i="50"/>
  <c r="G74" i="50"/>
  <c r="T75" i="47"/>
  <c r="C45" i="47"/>
  <c r="T68" i="47"/>
  <c r="G61" i="47"/>
  <c r="G60" i="47"/>
  <c r="G116" i="46"/>
  <c r="V268" i="4"/>
  <c r="G79" i="45"/>
  <c r="G95" i="46"/>
  <c r="G86" i="46"/>
  <c r="G97" i="46"/>
  <c r="G96" i="46"/>
  <c r="H95" i="46"/>
  <c r="H96" i="46"/>
  <c r="G73" i="46"/>
  <c r="G85" i="46"/>
  <c r="G89" i="46"/>
  <c r="G71" i="46"/>
  <c r="G88" i="46"/>
  <c r="G67" i="46"/>
  <c r="G74" i="46"/>
  <c r="G65" i="46"/>
  <c r="H85" i="46"/>
  <c r="K85" i="46" s="1"/>
  <c r="G87" i="46"/>
  <c r="G68" i="46"/>
  <c r="H65" i="46"/>
  <c r="H86" i="46"/>
  <c r="H74" i="46"/>
  <c r="H119" i="42" s="1"/>
  <c r="K119" i="42" s="1"/>
  <c r="H67" i="46"/>
  <c r="H112" i="42" s="1"/>
  <c r="K112" i="42" s="1"/>
  <c r="H73" i="46"/>
  <c r="H118" i="42" s="1"/>
  <c r="K118" i="42" s="1"/>
  <c r="H66" i="46"/>
  <c r="H111" i="42" s="1"/>
  <c r="K111" i="42" s="1"/>
  <c r="G72" i="46"/>
  <c r="C46" i="46"/>
  <c r="H79" i="45"/>
  <c r="L79" i="45" s="1"/>
  <c r="O79" i="45" s="1"/>
  <c r="G81" i="45"/>
  <c r="G82" i="45"/>
  <c r="G78" i="45"/>
  <c r="G77" i="45"/>
  <c r="T55" i="45"/>
  <c r="Q72" i="45"/>
  <c r="Q168" i="42" s="1"/>
  <c r="M72" i="45"/>
  <c r="M168" i="42" s="1"/>
  <c r="I72" i="45"/>
  <c r="I168" i="42" s="1"/>
  <c r="E72" i="45"/>
  <c r="E168" i="42" s="1"/>
  <c r="D72" i="45"/>
  <c r="D168" i="42" s="1"/>
  <c r="C72" i="45"/>
  <c r="C168" i="42" s="1"/>
  <c r="B72" i="45"/>
  <c r="B168" i="42" s="1"/>
  <c r="A72" i="45"/>
  <c r="A168" i="42" s="1"/>
  <c r="Q62" i="45"/>
  <c r="Q108" i="42" s="1"/>
  <c r="S108" i="42" s="1"/>
  <c r="M62" i="45"/>
  <c r="M108" i="42" s="1"/>
  <c r="I62" i="45"/>
  <c r="I108" i="42" s="1"/>
  <c r="I61" i="45"/>
  <c r="I107" i="42" s="1"/>
  <c r="E62" i="45"/>
  <c r="E108" i="42" s="1"/>
  <c r="E61" i="45"/>
  <c r="E107" i="42" s="1"/>
  <c r="D62" i="45"/>
  <c r="D108" i="42" s="1"/>
  <c r="C62" i="45"/>
  <c r="C108" i="42" s="1"/>
  <c r="C61" i="45"/>
  <c r="C107" i="42" s="1"/>
  <c r="B62" i="45"/>
  <c r="B108" i="42" s="1"/>
  <c r="B61" i="45"/>
  <c r="B107" i="42" s="1"/>
  <c r="A62" i="45"/>
  <c r="A108" i="42" s="1"/>
  <c r="A61" i="45"/>
  <c r="A107" i="42" s="1"/>
  <c r="D15" i="42"/>
  <c r="A42" i="43"/>
  <c r="B42" i="43"/>
  <c r="C42" i="43"/>
  <c r="C42" i="42" s="1"/>
  <c r="E42" i="43"/>
  <c r="E42" i="42" s="1"/>
  <c r="I42" i="43"/>
  <c r="M42" i="43"/>
  <c r="Q42" i="43"/>
  <c r="A43" i="43"/>
  <c r="B43" i="43"/>
  <c r="C43" i="43"/>
  <c r="C43" i="42" s="1"/>
  <c r="D43" i="43"/>
  <c r="E43" i="43"/>
  <c r="E43" i="42" s="1"/>
  <c r="I43" i="43"/>
  <c r="M43" i="43"/>
  <c r="Q43" i="43"/>
  <c r="S99" i="49"/>
  <c r="S98" i="49"/>
  <c r="S97" i="49"/>
  <c r="S96" i="49"/>
  <c r="S95" i="49"/>
  <c r="S94" i="49"/>
  <c r="S93" i="49"/>
  <c r="S92" i="49"/>
  <c r="S91" i="49"/>
  <c r="S90" i="49"/>
  <c r="S89" i="49"/>
  <c r="S88" i="49"/>
  <c r="S83" i="49"/>
  <c r="S82" i="49"/>
  <c r="S81" i="49"/>
  <c r="S77" i="49"/>
  <c r="S76" i="49"/>
  <c r="S75" i="49"/>
  <c r="S73" i="49"/>
  <c r="S72" i="49"/>
  <c r="S68" i="49"/>
  <c r="S67" i="49"/>
  <c r="S66" i="49"/>
  <c r="S65" i="49"/>
  <c r="S61" i="49"/>
  <c r="S60" i="49"/>
  <c r="S59" i="49"/>
  <c r="S58" i="49"/>
  <c r="S54" i="49"/>
  <c r="S53" i="49"/>
  <c r="S52" i="49"/>
  <c r="S51" i="49"/>
  <c r="S50" i="49"/>
  <c r="S49" i="49"/>
  <c r="S48" i="49"/>
  <c r="S47" i="49"/>
  <c r="S43" i="49"/>
  <c r="S42" i="49"/>
  <c r="S41" i="49"/>
  <c r="S40" i="49"/>
  <c r="S39" i="49"/>
  <c r="S38" i="49"/>
  <c r="S37" i="49"/>
  <c r="S36" i="49"/>
  <c r="S35" i="49"/>
  <c r="S34" i="49"/>
  <c r="S33" i="49"/>
  <c r="S29" i="49"/>
  <c r="S28" i="49"/>
  <c r="S27" i="49"/>
  <c r="S26" i="49"/>
  <c r="S25" i="49"/>
  <c r="S24" i="49"/>
  <c r="S23" i="49"/>
  <c r="S22" i="49"/>
  <c r="S18" i="49"/>
  <c r="S17" i="49"/>
  <c r="S16" i="49"/>
  <c r="S15" i="49"/>
  <c r="S14" i="49"/>
  <c r="S13" i="49"/>
  <c r="S12" i="49"/>
  <c r="S11" i="49"/>
  <c r="S10" i="49"/>
  <c r="S9" i="49"/>
  <c r="S8" i="49"/>
  <c r="M54" i="49"/>
  <c r="J54" i="49"/>
  <c r="I54" i="49"/>
  <c r="H54" i="49"/>
  <c r="G54" i="49"/>
  <c r="N29" i="49"/>
  <c r="N54" i="49" s="1"/>
  <c r="L29" i="49"/>
  <c r="L54" i="49" s="1"/>
  <c r="K29" i="49"/>
  <c r="G29" i="49"/>
  <c r="G89" i="49"/>
  <c r="G90" i="49"/>
  <c r="G91" i="49"/>
  <c r="G92" i="49"/>
  <c r="G93" i="49"/>
  <c r="G94" i="49"/>
  <c r="G95" i="49"/>
  <c r="G96" i="49"/>
  <c r="G97" i="49"/>
  <c r="G98" i="49"/>
  <c r="G99" i="49"/>
  <c r="G88" i="49"/>
  <c r="N106" i="49"/>
  <c r="J106" i="49"/>
  <c r="L77" i="49"/>
  <c r="O77" i="49" s="1"/>
  <c r="K77" i="49"/>
  <c r="G77" i="49"/>
  <c r="L76" i="49"/>
  <c r="O76" i="49" s="1"/>
  <c r="K76" i="49"/>
  <c r="G76" i="49"/>
  <c r="G82" i="49"/>
  <c r="G83" i="49"/>
  <c r="L83" i="49"/>
  <c r="O83" i="49" s="1"/>
  <c r="K83" i="49"/>
  <c r="L82" i="49"/>
  <c r="O82" i="49" s="1"/>
  <c r="K82" i="49"/>
  <c r="G34" i="49"/>
  <c r="G35" i="49"/>
  <c r="G36" i="49"/>
  <c r="G37" i="49"/>
  <c r="G38" i="49"/>
  <c r="G39" i="49"/>
  <c r="G40" i="49"/>
  <c r="G41" i="49"/>
  <c r="G42" i="49"/>
  <c r="G43" i="49"/>
  <c r="G47" i="49"/>
  <c r="G48" i="49"/>
  <c r="G49" i="49"/>
  <c r="G50" i="49"/>
  <c r="G51" i="49"/>
  <c r="G52" i="49"/>
  <c r="G53" i="49"/>
  <c r="G33" i="49"/>
  <c r="G28" i="49"/>
  <c r="G9" i="49"/>
  <c r="G10" i="49"/>
  <c r="G11" i="49"/>
  <c r="G12" i="49"/>
  <c r="G13" i="49"/>
  <c r="G14" i="49"/>
  <c r="G15" i="49"/>
  <c r="G16" i="49"/>
  <c r="G17" i="49"/>
  <c r="G18" i="49"/>
  <c r="G22" i="49"/>
  <c r="G23" i="49"/>
  <c r="S110" i="49"/>
  <c r="O110" i="49"/>
  <c r="K110" i="49"/>
  <c r="G110" i="49"/>
  <c r="S107" i="49"/>
  <c r="L99" i="49"/>
  <c r="O99" i="49" s="1"/>
  <c r="K99" i="49"/>
  <c r="L98" i="49"/>
  <c r="O98" i="49" s="1"/>
  <c r="K98" i="49"/>
  <c r="L97" i="49"/>
  <c r="O97" i="49" s="1"/>
  <c r="K97" i="49"/>
  <c r="L96" i="49"/>
  <c r="O96" i="49" s="1"/>
  <c r="K96" i="49"/>
  <c r="L95" i="49"/>
  <c r="O95" i="49" s="1"/>
  <c r="K95" i="49"/>
  <c r="L94" i="49"/>
  <c r="O94" i="49" s="1"/>
  <c r="K94" i="49"/>
  <c r="L93" i="49"/>
  <c r="O93" i="49" s="1"/>
  <c r="K93" i="49"/>
  <c r="L92" i="49"/>
  <c r="O92" i="49" s="1"/>
  <c r="K92" i="49"/>
  <c r="L91" i="49"/>
  <c r="O91" i="49" s="1"/>
  <c r="K91" i="49"/>
  <c r="O90" i="49"/>
  <c r="K90" i="49"/>
  <c r="L89" i="49"/>
  <c r="O89" i="49" s="1"/>
  <c r="K89" i="49"/>
  <c r="L88" i="49"/>
  <c r="O88" i="49" s="1"/>
  <c r="K88" i="49"/>
  <c r="L81" i="49"/>
  <c r="O81" i="49" s="1"/>
  <c r="K81" i="49"/>
  <c r="G81" i="49"/>
  <c r="L75" i="49"/>
  <c r="O75" i="49" s="1"/>
  <c r="K75" i="49"/>
  <c r="G75" i="49"/>
  <c r="O72" i="49"/>
  <c r="O73" i="49" s="1"/>
  <c r="K72" i="49"/>
  <c r="K73" i="49" s="1"/>
  <c r="G72" i="49"/>
  <c r="G73" i="49" s="1"/>
  <c r="L68" i="49"/>
  <c r="O68" i="49" s="1"/>
  <c r="K68" i="49"/>
  <c r="G68" i="49"/>
  <c r="L67" i="49"/>
  <c r="O67" i="49" s="1"/>
  <c r="K67" i="49"/>
  <c r="G67" i="49"/>
  <c r="L66" i="49"/>
  <c r="O66" i="49" s="1"/>
  <c r="K66" i="49"/>
  <c r="G66" i="49"/>
  <c r="L65" i="49"/>
  <c r="O65" i="49" s="1"/>
  <c r="K65" i="49"/>
  <c r="G65" i="49"/>
  <c r="L61" i="49"/>
  <c r="K61" i="49"/>
  <c r="G61" i="49"/>
  <c r="L60" i="49"/>
  <c r="K60" i="49"/>
  <c r="G60" i="49"/>
  <c r="L59" i="49"/>
  <c r="K59" i="49"/>
  <c r="G59" i="49"/>
  <c r="L58" i="49"/>
  <c r="K58" i="49"/>
  <c r="G58" i="49"/>
  <c r="M53" i="49"/>
  <c r="J53" i="49"/>
  <c r="H53" i="49"/>
  <c r="M52" i="49"/>
  <c r="J52" i="49"/>
  <c r="I52" i="49"/>
  <c r="H52" i="49"/>
  <c r="M51" i="49"/>
  <c r="J51" i="49"/>
  <c r="I51" i="49"/>
  <c r="H51" i="49"/>
  <c r="M50" i="49"/>
  <c r="J50" i="49"/>
  <c r="I50" i="49"/>
  <c r="H50" i="49"/>
  <c r="M49" i="49"/>
  <c r="J49" i="49"/>
  <c r="I49" i="49"/>
  <c r="H49" i="49"/>
  <c r="M48" i="49"/>
  <c r="J48" i="49"/>
  <c r="H48" i="49"/>
  <c r="M47" i="49"/>
  <c r="J47" i="49"/>
  <c r="I47" i="49"/>
  <c r="H47" i="49"/>
  <c r="M43" i="49"/>
  <c r="J43" i="49"/>
  <c r="I43" i="49"/>
  <c r="H43" i="49"/>
  <c r="M42" i="49"/>
  <c r="J42" i="49"/>
  <c r="I42" i="49"/>
  <c r="H42" i="49"/>
  <c r="M41" i="49"/>
  <c r="J41" i="49"/>
  <c r="I41" i="49"/>
  <c r="H41" i="49"/>
  <c r="M40" i="49"/>
  <c r="J40" i="49"/>
  <c r="I40" i="49"/>
  <c r="H40" i="49"/>
  <c r="M39" i="49"/>
  <c r="J39" i="49"/>
  <c r="I39" i="49"/>
  <c r="H39" i="49"/>
  <c r="M38" i="49"/>
  <c r="J38" i="49"/>
  <c r="I38" i="49"/>
  <c r="H38" i="49"/>
  <c r="M37" i="49"/>
  <c r="J37" i="49"/>
  <c r="I37" i="49"/>
  <c r="H37" i="49"/>
  <c r="M36" i="49"/>
  <c r="J36" i="49"/>
  <c r="I36" i="49"/>
  <c r="H36" i="49"/>
  <c r="M35" i="49"/>
  <c r="J35" i="49"/>
  <c r="I35" i="49"/>
  <c r="H35" i="49"/>
  <c r="M34" i="49"/>
  <c r="J34" i="49"/>
  <c r="I34" i="49"/>
  <c r="H34" i="49"/>
  <c r="M33" i="49"/>
  <c r="J33" i="49"/>
  <c r="I33" i="49"/>
  <c r="H33" i="49"/>
  <c r="N28" i="49"/>
  <c r="L28" i="49"/>
  <c r="L53" i="49" s="1"/>
  <c r="K28" i="49"/>
  <c r="T28" i="49" s="1"/>
  <c r="N27" i="49"/>
  <c r="N52" i="49" s="1"/>
  <c r="L27" i="49"/>
  <c r="L52" i="49" s="1"/>
  <c r="K27" i="49"/>
  <c r="G27" i="49"/>
  <c r="N26" i="49"/>
  <c r="L26" i="49"/>
  <c r="L51" i="49" s="1"/>
  <c r="K26" i="49"/>
  <c r="G26" i="49"/>
  <c r="N25" i="49"/>
  <c r="N50" i="49" s="1"/>
  <c r="L25" i="49"/>
  <c r="K25" i="49"/>
  <c r="G25" i="49"/>
  <c r="N24" i="49"/>
  <c r="N49" i="49" s="1"/>
  <c r="L24" i="49"/>
  <c r="L49" i="49" s="1"/>
  <c r="K24" i="49"/>
  <c r="G24" i="49"/>
  <c r="N23" i="49"/>
  <c r="N48" i="49" s="1"/>
  <c r="L23" i="49"/>
  <c r="L48" i="49" s="1"/>
  <c r="K23" i="49"/>
  <c r="N22" i="49"/>
  <c r="N47" i="49" s="1"/>
  <c r="L22" i="49"/>
  <c r="L47" i="49" s="1"/>
  <c r="K22" i="49"/>
  <c r="N18" i="49"/>
  <c r="N43" i="49" s="1"/>
  <c r="L18" i="49"/>
  <c r="L43" i="49" s="1"/>
  <c r="K18" i="49"/>
  <c r="N17" i="49"/>
  <c r="N42" i="49" s="1"/>
  <c r="L17" i="49"/>
  <c r="L42" i="49" s="1"/>
  <c r="K17" i="49"/>
  <c r="N16" i="49"/>
  <c r="N41" i="49" s="1"/>
  <c r="L16" i="49"/>
  <c r="L41" i="49" s="1"/>
  <c r="K16" i="49"/>
  <c r="N15" i="49"/>
  <c r="L15" i="49"/>
  <c r="L40" i="49" s="1"/>
  <c r="K15" i="49"/>
  <c r="N14" i="49"/>
  <c r="N39" i="49" s="1"/>
  <c r="L14" i="49"/>
  <c r="L39" i="49" s="1"/>
  <c r="K14" i="49"/>
  <c r="N13" i="49"/>
  <c r="N38" i="49" s="1"/>
  <c r="L13" i="49"/>
  <c r="L38" i="49" s="1"/>
  <c r="K13" i="49"/>
  <c r="N12" i="49"/>
  <c r="N37" i="49" s="1"/>
  <c r="L12" i="49"/>
  <c r="L37" i="49" s="1"/>
  <c r="K12" i="49"/>
  <c r="N11" i="49"/>
  <c r="N36" i="49" s="1"/>
  <c r="L11" i="49"/>
  <c r="L36" i="49" s="1"/>
  <c r="K11" i="49"/>
  <c r="N10" i="49"/>
  <c r="N35" i="49" s="1"/>
  <c r="L10" i="49"/>
  <c r="K10" i="49"/>
  <c r="N9" i="49"/>
  <c r="N34" i="49" s="1"/>
  <c r="L9" i="49"/>
  <c r="L34" i="49" s="1"/>
  <c r="K9" i="49"/>
  <c r="N8" i="49"/>
  <c r="N33" i="49" s="1"/>
  <c r="L8" i="49"/>
  <c r="L33" i="49" s="1"/>
  <c r="K8" i="49"/>
  <c r="G8" i="49"/>
  <c r="D43" i="42"/>
  <c r="B163" i="30"/>
  <c r="B164" i="30"/>
  <c r="B162" i="30"/>
  <c r="B123" i="30"/>
  <c r="B124" i="30"/>
  <c r="B122" i="30"/>
  <c r="B83" i="30"/>
  <c r="B84" i="30"/>
  <c r="B82" i="30"/>
  <c r="B43" i="30"/>
  <c r="B44" i="30"/>
  <c r="B42" i="30"/>
  <c r="K45" i="4"/>
  <c r="J42" i="43" s="1"/>
  <c r="N45" i="4"/>
  <c r="Q45" i="4"/>
  <c r="K46" i="4"/>
  <c r="N46" i="4"/>
  <c r="Q46" i="4"/>
  <c r="M43" i="30"/>
  <c r="M84" i="30"/>
  <c r="M83" i="30"/>
  <c r="M123" i="30"/>
  <c r="M124" i="30"/>
  <c r="M163" i="30"/>
  <c r="M164" i="30"/>
  <c r="H15" i="42" l="1"/>
  <c r="L116" i="46"/>
  <c r="K82" i="51"/>
  <c r="K78" i="45"/>
  <c r="P55" i="53"/>
  <c r="S55" i="53" s="1"/>
  <c r="K77" i="52"/>
  <c r="K76" i="51"/>
  <c r="K72" i="46"/>
  <c r="C40" i="51"/>
  <c r="C87" i="51" s="1"/>
  <c r="L82" i="45"/>
  <c r="P82" i="45" s="1"/>
  <c r="S82" i="45" s="1"/>
  <c r="K76" i="50"/>
  <c r="G108" i="42"/>
  <c r="K83" i="51"/>
  <c r="K71" i="46"/>
  <c r="L69" i="50"/>
  <c r="P69" i="50" s="1"/>
  <c r="S69" i="50" s="1"/>
  <c r="S71" i="50" s="1"/>
  <c r="P53" i="52"/>
  <c r="S53" i="52" s="1"/>
  <c r="K76" i="52"/>
  <c r="O55" i="53"/>
  <c r="K51" i="53"/>
  <c r="K53" i="53" s="1"/>
  <c r="K88" i="46"/>
  <c r="L77" i="51"/>
  <c r="P77" i="51" s="1"/>
  <c r="S77" i="51" s="1"/>
  <c r="K77" i="51"/>
  <c r="L71" i="53"/>
  <c r="O71" i="53" s="1"/>
  <c r="K71" i="53"/>
  <c r="K73" i="53" s="1"/>
  <c r="P71" i="53"/>
  <c r="S71" i="53" s="1"/>
  <c r="H203" i="42"/>
  <c r="G203" i="42"/>
  <c r="P61" i="52"/>
  <c r="L130" i="42"/>
  <c r="O130" i="42" s="1"/>
  <c r="R42" i="43"/>
  <c r="R42" i="42"/>
  <c r="N43" i="39"/>
  <c r="H74" i="42"/>
  <c r="H194" i="42"/>
  <c r="G194" i="42"/>
  <c r="L72" i="46"/>
  <c r="L117" i="42" s="1"/>
  <c r="O117" i="42" s="1"/>
  <c r="K87" i="46"/>
  <c r="K74" i="50"/>
  <c r="L64" i="47"/>
  <c r="H125" i="42"/>
  <c r="K125" i="42" s="1"/>
  <c r="P56" i="53"/>
  <c r="L132" i="42"/>
  <c r="O132" i="42" s="1"/>
  <c r="L191" i="42"/>
  <c r="G228" i="42"/>
  <c r="H228" i="42"/>
  <c r="H174" i="42"/>
  <c r="G174" i="42"/>
  <c r="L71" i="42"/>
  <c r="K71" i="42"/>
  <c r="K197" i="42"/>
  <c r="L197" i="42"/>
  <c r="H230" i="42"/>
  <c r="G230" i="42"/>
  <c r="H199" i="42"/>
  <c r="G199" i="42"/>
  <c r="S46" i="4"/>
  <c r="O44" i="39" s="1"/>
  <c r="R43" i="42"/>
  <c r="N44" i="39"/>
  <c r="N43" i="43"/>
  <c r="K44" i="39"/>
  <c r="N43" i="42"/>
  <c r="L232" i="42"/>
  <c r="K232" i="42"/>
  <c r="H168" i="42"/>
  <c r="G168" i="42"/>
  <c r="L77" i="45"/>
  <c r="P77" i="45" s="1"/>
  <c r="S77" i="45" s="1"/>
  <c r="K81" i="45"/>
  <c r="K69" i="46"/>
  <c r="K65" i="46"/>
  <c r="H110" i="42"/>
  <c r="K110" i="42" s="1"/>
  <c r="O97" i="46"/>
  <c r="K64" i="51"/>
  <c r="K66" i="51" s="1"/>
  <c r="L213" i="42"/>
  <c r="K213" i="42"/>
  <c r="K204" i="42"/>
  <c r="L204" i="42"/>
  <c r="K177" i="42"/>
  <c r="L177" i="42"/>
  <c r="G184" i="42"/>
  <c r="H184" i="42"/>
  <c r="H173" i="42"/>
  <c r="G173" i="42"/>
  <c r="H75" i="42"/>
  <c r="N42" i="43"/>
  <c r="N42" i="42"/>
  <c r="K43" i="39"/>
  <c r="L175" i="42"/>
  <c r="K175" i="42"/>
  <c r="K231" i="42"/>
  <c r="L231" i="42"/>
  <c r="L51" i="50"/>
  <c r="O51" i="50" s="1"/>
  <c r="K53" i="52"/>
  <c r="L77" i="42"/>
  <c r="L72" i="42"/>
  <c r="L86" i="42"/>
  <c r="R43" i="43"/>
  <c r="H205" i="42"/>
  <c r="G205" i="42"/>
  <c r="H190" i="42"/>
  <c r="G190" i="42"/>
  <c r="K202" i="42"/>
  <c r="L202" i="42"/>
  <c r="L195" i="42"/>
  <c r="K195" i="42"/>
  <c r="J43" i="43"/>
  <c r="J43" i="42"/>
  <c r="H44" i="39"/>
  <c r="J46" i="4"/>
  <c r="F44" i="39" s="1"/>
  <c r="L69" i="46"/>
  <c r="L114" i="42" s="1"/>
  <c r="O114" i="42" s="1"/>
  <c r="K89" i="46"/>
  <c r="L64" i="51"/>
  <c r="L129" i="42" s="1"/>
  <c r="O129" i="42" s="1"/>
  <c r="O51" i="53"/>
  <c r="O53" i="53" s="1"/>
  <c r="O56" i="53"/>
  <c r="H211" i="42"/>
  <c r="G211" i="42"/>
  <c r="L63" i="51"/>
  <c r="H128" i="42"/>
  <c r="K128" i="42" s="1"/>
  <c r="L73" i="42"/>
  <c r="K171" i="42"/>
  <c r="L171" i="42"/>
  <c r="L62" i="47"/>
  <c r="H123" i="42"/>
  <c r="K123" i="42" s="1"/>
  <c r="G193" i="42"/>
  <c r="H193" i="42"/>
  <c r="L186" i="42"/>
  <c r="H43" i="42"/>
  <c r="H43" i="39"/>
  <c r="J42" i="42"/>
  <c r="L61" i="47"/>
  <c r="O61" i="47" s="1"/>
  <c r="H122" i="42"/>
  <c r="K122" i="42" s="1"/>
  <c r="F42" i="43"/>
  <c r="F42" i="42" s="1"/>
  <c r="E43" i="39"/>
  <c r="J45" i="4"/>
  <c r="D42" i="42"/>
  <c r="K97" i="46"/>
  <c r="L63" i="47"/>
  <c r="H124" i="42"/>
  <c r="K124" i="42" s="1"/>
  <c r="L58" i="50"/>
  <c r="H127" i="42"/>
  <c r="K127" i="42" s="1"/>
  <c r="H93" i="42"/>
  <c r="L60" i="47"/>
  <c r="O60" i="47" s="1"/>
  <c r="H121" i="42"/>
  <c r="K121" i="42" s="1"/>
  <c r="F43" i="43"/>
  <c r="F43" i="42" s="1"/>
  <c r="G43" i="42" s="1"/>
  <c r="E44" i="39"/>
  <c r="L71" i="46"/>
  <c r="O71" i="46" s="1"/>
  <c r="K83" i="42"/>
  <c r="L83" i="42"/>
  <c r="L176" i="42"/>
  <c r="K176" i="42"/>
  <c r="K78" i="42"/>
  <c r="L78" i="42"/>
  <c r="L170" i="42"/>
  <c r="K170" i="42"/>
  <c r="H172" i="42"/>
  <c r="G172" i="42"/>
  <c r="K198" i="42"/>
  <c r="L198" i="42"/>
  <c r="H96" i="45"/>
  <c r="D227" i="42"/>
  <c r="G96" i="45"/>
  <c r="K200" i="42"/>
  <c r="L200" i="42"/>
  <c r="L68" i="46"/>
  <c r="H113" i="42"/>
  <c r="K113" i="42" s="1"/>
  <c r="L115" i="46"/>
  <c r="O115" i="46" s="1"/>
  <c r="K229" i="42"/>
  <c r="L229" i="42"/>
  <c r="H82" i="42"/>
  <c r="G82" i="42"/>
  <c r="H81" i="42"/>
  <c r="K55" i="52"/>
  <c r="H66" i="42"/>
  <c r="P55" i="52"/>
  <c r="S55" i="52" s="1"/>
  <c r="G80" i="42"/>
  <c r="H80" i="42"/>
  <c r="L58" i="51"/>
  <c r="L65" i="42"/>
  <c r="K65" i="42"/>
  <c r="P94" i="42"/>
  <c r="L96" i="42"/>
  <c r="L79" i="42"/>
  <c r="H95" i="42"/>
  <c r="S101" i="49"/>
  <c r="S70" i="49"/>
  <c r="O54" i="49"/>
  <c r="O25" i="49"/>
  <c r="S56" i="49"/>
  <c r="S85" i="49"/>
  <c r="S63" i="49"/>
  <c r="S31" i="49"/>
  <c r="S79" i="49"/>
  <c r="G31" i="49"/>
  <c r="K58" i="53"/>
  <c r="G58" i="53"/>
  <c r="G73" i="53"/>
  <c r="C40" i="53"/>
  <c r="S53" i="53"/>
  <c r="C49" i="53"/>
  <c r="O80" i="52"/>
  <c r="P80" i="52"/>
  <c r="S80" i="52" s="1"/>
  <c r="L78" i="52"/>
  <c r="O77" i="52"/>
  <c r="P77" i="52"/>
  <c r="S77" i="52" s="1"/>
  <c r="S76" i="52"/>
  <c r="O76" i="52"/>
  <c r="P54" i="52"/>
  <c r="K61" i="52"/>
  <c r="O61" i="52"/>
  <c r="G74" i="52"/>
  <c r="C40" i="52"/>
  <c r="C49" i="52"/>
  <c r="L59" i="51"/>
  <c r="P59" i="51" s="1"/>
  <c r="P55" i="51"/>
  <c r="S55" i="51" s="1"/>
  <c r="P54" i="51"/>
  <c r="S54" i="51" s="1"/>
  <c r="O54" i="51"/>
  <c r="O83" i="51"/>
  <c r="P83" i="51"/>
  <c r="S83" i="51" s="1"/>
  <c r="O76" i="51"/>
  <c r="P76" i="51"/>
  <c r="S76" i="51" s="1"/>
  <c r="O75" i="51"/>
  <c r="K75" i="51"/>
  <c r="O53" i="51"/>
  <c r="K53" i="51"/>
  <c r="P57" i="51"/>
  <c r="G66" i="51"/>
  <c r="G85" i="51"/>
  <c r="O82" i="51"/>
  <c r="P82" i="51"/>
  <c r="S82" i="51" s="1"/>
  <c r="O81" i="45"/>
  <c r="O95" i="45"/>
  <c r="T95" i="45" s="1"/>
  <c r="K54" i="49"/>
  <c r="K31" i="49"/>
  <c r="P76" i="50"/>
  <c r="S76" i="50" s="1"/>
  <c r="O76" i="50"/>
  <c r="P89" i="50"/>
  <c r="S89" i="50" s="1"/>
  <c r="O89" i="50"/>
  <c r="O74" i="50"/>
  <c r="P74" i="50"/>
  <c r="S74" i="50" s="1"/>
  <c r="G78" i="50"/>
  <c r="P53" i="50"/>
  <c r="C80" i="50"/>
  <c r="C88" i="50" s="1"/>
  <c r="P116" i="46"/>
  <c r="S116" i="46" s="1"/>
  <c r="O116" i="46"/>
  <c r="P79" i="45"/>
  <c r="S79" i="45" s="1"/>
  <c r="M46" i="4"/>
  <c r="I44" i="39" s="1"/>
  <c r="K79" i="45"/>
  <c r="D42" i="43"/>
  <c r="L96" i="46"/>
  <c r="K96" i="46"/>
  <c r="L95" i="46"/>
  <c r="K95" i="46"/>
  <c r="P55" i="46"/>
  <c r="P54" i="46"/>
  <c r="L85" i="46"/>
  <c r="P85" i="46" s="1"/>
  <c r="S85" i="46" s="1"/>
  <c r="P89" i="46"/>
  <c r="S89" i="46" s="1"/>
  <c r="O89" i="46"/>
  <c r="P88" i="46"/>
  <c r="S88" i="46" s="1"/>
  <c r="O88" i="46"/>
  <c r="O87" i="46"/>
  <c r="P87" i="46"/>
  <c r="S87" i="46" s="1"/>
  <c r="K86" i="46"/>
  <c r="L86" i="46"/>
  <c r="L65" i="46"/>
  <c r="L110" i="42" s="1"/>
  <c r="O110" i="42" s="1"/>
  <c r="K67" i="46"/>
  <c r="L67" i="46"/>
  <c r="L112" i="42" s="1"/>
  <c r="O112" i="42" s="1"/>
  <c r="L73" i="46"/>
  <c r="L118" i="42" s="1"/>
  <c r="O118" i="42" s="1"/>
  <c r="K73" i="46"/>
  <c r="K66" i="46"/>
  <c r="L66" i="46"/>
  <c r="L111" i="42" s="1"/>
  <c r="O111" i="42" s="1"/>
  <c r="K74" i="46"/>
  <c r="L74" i="46"/>
  <c r="L119" i="42" s="1"/>
  <c r="O119" i="42" s="1"/>
  <c r="G84" i="45"/>
  <c r="P78" i="45"/>
  <c r="S78" i="45" s="1"/>
  <c r="O78" i="45"/>
  <c r="H43" i="43"/>
  <c r="O29" i="49"/>
  <c r="G101" i="49"/>
  <c r="G56" i="49"/>
  <c r="O15" i="49"/>
  <c r="T15" i="49" s="1"/>
  <c r="O58" i="49"/>
  <c r="T58" i="49" s="1"/>
  <c r="T77" i="49"/>
  <c r="O61" i="49"/>
  <c r="T61" i="49" s="1"/>
  <c r="O26" i="49"/>
  <c r="T26" i="49" s="1"/>
  <c r="T110" i="49"/>
  <c r="T90" i="49"/>
  <c r="O60" i="49"/>
  <c r="T83" i="49"/>
  <c r="O28" i="49"/>
  <c r="K40" i="49"/>
  <c r="T91" i="49"/>
  <c r="T76" i="49"/>
  <c r="O14" i="49"/>
  <c r="T14" i="49" s="1"/>
  <c r="N51" i="49"/>
  <c r="O51" i="49" s="1"/>
  <c r="G79" i="49"/>
  <c r="T97" i="49"/>
  <c r="O48" i="49"/>
  <c r="T25" i="49"/>
  <c r="K36" i="49"/>
  <c r="O10" i="49"/>
  <c r="T10" i="49" s="1"/>
  <c r="K63" i="49"/>
  <c r="T95" i="49"/>
  <c r="N40" i="49"/>
  <c r="O40" i="49" s="1"/>
  <c r="O33" i="49"/>
  <c r="K51" i="49"/>
  <c r="T99" i="49"/>
  <c r="T93" i="49"/>
  <c r="L35" i="49"/>
  <c r="O35" i="49" s="1"/>
  <c r="K47" i="49"/>
  <c r="T89" i="49"/>
  <c r="T82" i="49"/>
  <c r="T67" i="49"/>
  <c r="O42" i="49"/>
  <c r="O47" i="49"/>
  <c r="O49" i="49"/>
  <c r="K70" i="49"/>
  <c r="T72" i="49"/>
  <c r="K35" i="49"/>
  <c r="K39" i="49"/>
  <c r="K43" i="49"/>
  <c r="K50" i="49"/>
  <c r="O70" i="49"/>
  <c r="O38" i="49"/>
  <c r="O22" i="49"/>
  <c r="T22" i="49" s="1"/>
  <c r="T60" i="49"/>
  <c r="K85" i="49"/>
  <c r="O34" i="49"/>
  <c r="O36" i="49"/>
  <c r="K34" i="49"/>
  <c r="K38" i="49"/>
  <c r="K42" i="49"/>
  <c r="K49" i="49"/>
  <c r="K53" i="49"/>
  <c r="T81" i="49"/>
  <c r="T88" i="49"/>
  <c r="T65" i="49"/>
  <c r="K79" i="49"/>
  <c r="O11" i="49"/>
  <c r="T11" i="49" s="1"/>
  <c r="O18" i="49"/>
  <c r="T18" i="49" s="1"/>
  <c r="O59" i="49"/>
  <c r="O79" i="49"/>
  <c r="L50" i="49"/>
  <c r="O50" i="49" s="1"/>
  <c r="O52" i="49"/>
  <c r="K33" i="49"/>
  <c r="K37" i="49"/>
  <c r="K41" i="49"/>
  <c r="K48" i="49"/>
  <c r="K52" i="49"/>
  <c r="T94" i="49"/>
  <c r="O37" i="49"/>
  <c r="T92" i="49"/>
  <c r="O41" i="49"/>
  <c r="T98" i="49"/>
  <c r="O39" i="49"/>
  <c r="O43" i="49"/>
  <c r="T73" i="49"/>
  <c r="T96" i="49"/>
  <c r="O85" i="49"/>
  <c r="O101" i="49"/>
  <c r="T66" i="49"/>
  <c r="T68" i="49"/>
  <c r="O9" i="49"/>
  <c r="T9" i="49" s="1"/>
  <c r="O13" i="49"/>
  <c r="T13" i="49" s="1"/>
  <c r="O17" i="49"/>
  <c r="T17" i="49" s="1"/>
  <c r="O24" i="49"/>
  <c r="T24" i="49" s="1"/>
  <c r="N53" i="49"/>
  <c r="O53" i="49" s="1"/>
  <c r="G70" i="49"/>
  <c r="O8" i="49"/>
  <c r="T8" i="49" s="1"/>
  <c r="O12" i="49"/>
  <c r="T12" i="49" s="1"/>
  <c r="O16" i="49"/>
  <c r="T16" i="49" s="1"/>
  <c r="O23" i="49"/>
  <c r="T23" i="49" s="1"/>
  <c r="O27" i="49"/>
  <c r="T27" i="49" s="1"/>
  <c r="K101" i="49"/>
  <c r="T75" i="49"/>
  <c r="G85" i="49"/>
  <c r="P46" i="4"/>
  <c r="S45" i="4"/>
  <c r="O43" i="39" s="1"/>
  <c r="P45" i="4"/>
  <c r="M45" i="4"/>
  <c r="K85" i="51" l="1"/>
  <c r="L15" i="42"/>
  <c r="P15" i="42" s="1"/>
  <c r="P131" i="42"/>
  <c r="S131" i="42" s="1"/>
  <c r="T131" i="42" s="1"/>
  <c r="I43" i="39"/>
  <c r="T54" i="49"/>
  <c r="F43" i="39"/>
  <c r="O82" i="45"/>
  <c r="T82" i="45" s="1"/>
  <c r="O77" i="51"/>
  <c r="T77" i="51" s="1"/>
  <c r="T53" i="52"/>
  <c r="O72" i="46"/>
  <c r="P72" i="46"/>
  <c r="S72" i="46" s="1"/>
  <c r="P69" i="46"/>
  <c r="S69" i="46" s="1"/>
  <c r="O69" i="46"/>
  <c r="O58" i="53"/>
  <c r="K78" i="50"/>
  <c r="T53" i="53"/>
  <c r="O69" i="50"/>
  <c r="O71" i="50" s="1"/>
  <c r="T55" i="53"/>
  <c r="K79" i="51"/>
  <c r="O64" i="51"/>
  <c r="P64" i="51"/>
  <c r="S64" i="51" s="1"/>
  <c r="O77" i="45"/>
  <c r="T77" i="45" s="1"/>
  <c r="P51" i="50"/>
  <c r="S51" i="50" s="1"/>
  <c r="T51" i="50" s="1"/>
  <c r="T97" i="46"/>
  <c r="G43" i="43"/>
  <c r="T55" i="52"/>
  <c r="K84" i="45"/>
  <c r="T71" i="53"/>
  <c r="T81" i="45"/>
  <c r="P83" i="42"/>
  <c r="S83" i="42" s="1"/>
  <c r="O83" i="42"/>
  <c r="T46" i="4"/>
  <c r="V46" i="4" s="1"/>
  <c r="L44" i="39"/>
  <c r="P44" i="39" s="1"/>
  <c r="P198" i="42"/>
  <c r="S198" i="42" s="1"/>
  <c r="O198" i="42"/>
  <c r="P62" i="47"/>
  <c r="L123" i="42"/>
  <c r="O123" i="42" s="1"/>
  <c r="L211" i="42"/>
  <c r="K211" i="42"/>
  <c r="P86" i="42"/>
  <c r="P231" i="42"/>
  <c r="S231" i="42" s="1"/>
  <c r="O231" i="42"/>
  <c r="K194" i="42"/>
  <c r="L194" i="42"/>
  <c r="L203" i="42"/>
  <c r="K203" i="42"/>
  <c r="O176" i="42"/>
  <c r="P176" i="42"/>
  <c r="S176" i="42" s="1"/>
  <c r="P60" i="47"/>
  <c r="L121" i="42"/>
  <c r="O121" i="42" s="1"/>
  <c r="H42" i="42"/>
  <c r="G42" i="42"/>
  <c r="P171" i="42"/>
  <c r="S171" i="42" s="1"/>
  <c r="O171" i="42"/>
  <c r="P72" i="42"/>
  <c r="O204" i="42"/>
  <c r="P204" i="42"/>
  <c r="S204" i="42" s="1"/>
  <c r="O232" i="42"/>
  <c r="P232" i="42"/>
  <c r="S232" i="42" s="1"/>
  <c r="L199" i="42"/>
  <c r="K199" i="42"/>
  <c r="P71" i="42"/>
  <c r="S71" i="42" s="1"/>
  <c r="O71" i="42"/>
  <c r="S56" i="53"/>
  <c r="T56" i="53" s="1"/>
  <c r="P132" i="42"/>
  <c r="S132" i="42" s="1"/>
  <c r="T132" i="42" s="1"/>
  <c r="L74" i="42"/>
  <c r="L113" i="42"/>
  <c r="O113" i="42" s="1"/>
  <c r="P68" i="46"/>
  <c r="O68" i="46"/>
  <c r="L190" i="42"/>
  <c r="K190" i="42"/>
  <c r="K174" i="42"/>
  <c r="L174" i="42"/>
  <c r="P64" i="47"/>
  <c r="L125" i="42"/>
  <c r="O125" i="42" s="1"/>
  <c r="P73" i="42"/>
  <c r="P77" i="42"/>
  <c r="L173" i="42"/>
  <c r="K173" i="42"/>
  <c r="O213" i="42"/>
  <c r="P213" i="42"/>
  <c r="S213" i="42" s="1"/>
  <c r="K228" i="42"/>
  <c r="L228" i="42"/>
  <c r="L93" i="42"/>
  <c r="L75" i="42"/>
  <c r="G13" i="54"/>
  <c r="G32" i="54"/>
  <c r="P175" i="42"/>
  <c r="S175" i="42" s="1"/>
  <c r="O175" i="42"/>
  <c r="P58" i="51"/>
  <c r="S58" i="51" s="1"/>
  <c r="P115" i="46"/>
  <c r="S115" i="46" s="1"/>
  <c r="T115" i="46" s="1"/>
  <c r="O170" i="42"/>
  <c r="P170" i="42"/>
  <c r="S170" i="42" s="1"/>
  <c r="P71" i="46"/>
  <c r="L116" i="42"/>
  <c r="O116" i="42" s="1"/>
  <c r="L127" i="42"/>
  <c r="O127" i="42" s="1"/>
  <c r="P58" i="50"/>
  <c r="O58" i="50"/>
  <c r="L193" i="42"/>
  <c r="K193" i="42"/>
  <c r="L205" i="42"/>
  <c r="K205" i="42"/>
  <c r="K184" i="42"/>
  <c r="L184" i="42"/>
  <c r="L230" i="42"/>
  <c r="K230" i="42"/>
  <c r="S61" i="52"/>
  <c r="S63" i="52" s="1"/>
  <c r="P130" i="42"/>
  <c r="S130" i="42" s="1"/>
  <c r="T130" i="42" s="1"/>
  <c r="O200" i="42"/>
  <c r="P200" i="42"/>
  <c r="S200" i="42" s="1"/>
  <c r="K172" i="42"/>
  <c r="L172" i="42"/>
  <c r="P186" i="42"/>
  <c r="G227" i="42"/>
  <c r="H227" i="42"/>
  <c r="P78" i="42"/>
  <c r="S78" i="42" s="1"/>
  <c r="O78" i="42"/>
  <c r="P61" i="47"/>
  <c r="L122" i="42"/>
  <c r="O122" i="42" s="1"/>
  <c r="P63" i="51"/>
  <c r="L128" i="42"/>
  <c r="O128" i="42" s="1"/>
  <c r="O63" i="51"/>
  <c r="O195" i="42"/>
  <c r="P195" i="42"/>
  <c r="S195" i="42" s="1"/>
  <c r="O197" i="42"/>
  <c r="P197" i="42"/>
  <c r="S197" i="42" s="1"/>
  <c r="T76" i="52"/>
  <c r="L43" i="42"/>
  <c r="K43" i="42"/>
  <c r="T51" i="53"/>
  <c r="T45" i="4"/>
  <c r="V45" i="4" s="1"/>
  <c r="L43" i="39"/>
  <c r="L96" i="45"/>
  <c r="K96" i="45"/>
  <c r="P63" i="47"/>
  <c r="L124" i="42"/>
  <c r="O124" i="42" s="1"/>
  <c r="O202" i="42"/>
  <c r="P202" i="42"/>
  <c r="S202" i="42" s="1"/>
  <c r="O177" i="42"/>
  <c r="P177" i="42"/>
  <c r="S177" i="42" s="1"/>
  <c r="L168" i="42"/>
  <c r="K168" i="42"/>
  <c r="P191" i="42"/>
  <c r="P229" i="42"/>
  <c r="S229" i="42" s="1"/>
  <c r="O229" i="42"/>
  <c r="L80" i="42"/>
  <c r="K80" i="42"/>
  <c r="L81" i="42"/>
  <c r="L66" i="42"/>
  <c r="K82" i="42"/>
  <c r="L82" i="42"/>
  <c r="T53" i="51"/>
  <c r="P65" i="42"/>
  <c r="S65" i="42" s="1"/>
  <c r="O65" i="42"/>
  <c r="P79" i="42"/>
  <c r="S79" i="42" s="1"/>
  <c r="T54" i="51"/>
  <c r="P96" i="42"/>
  <c r="L95" i="42"/>
  <c r="S103" i="49"/>
  <c r="S109" i="49" s="1"/>
  <c r="S111" i="49" s="1"/>
  <c r="P61" i="45" s="1"/>
  <c r="S73" i="53"/>
  <c r="C75" i="53"/>
  <c r="O73" i="53"/>
  <c r="T77" i="52"/>
  <c r="T80" i="52"/>
  <c r="P78" i="52"/>
  <c r="K63" i="52"/>
  <c r="O63" i="52"/>
  <c r="K74" i="52"/>
  <c r="C84" i="52"/>
  <c r="T75" i="51"/>
  <c r="C93" i="51"/>
  <c r="C95" i="51" s="1"/>
  <c r="T83" i="51"/>
  <c r="S79" i="51"/>
  <c r="S85" i="51"/>
  <c r="T82" i="51"/>
  <c r="O85" i="51"/>
  <c r="T39" i="49"/>
  <c r="O63" i="49"/>
  <c r="T63" i="49" s="1"/>
  <c r="T76" i="50"/>
  <c r="S78" i="50"/>
  <c r="O78" i="50"/>
  <c r="T74" i="50"/>
  <c r="C90" i="50"/>
  <c r="T89" i="50"/>
  <c r="G35" i="54" s="1"/>
  <c r="T116" i="46"/>
  <c r="T79" i="45"/>
  <c r="G42" i="43"/>
  <c r="H42" i="43"/>
  <c r="P96" i="46"/>
  <c r="S96" i="46" s="1"/>
  <c r="O96" i="46"/>
  <c r="P95" i="46"/>
  <c r="S95" i="46" s="1"/>
  <c r="O95" i="46"/>
  <c r="T89" i="46"/>
  <c r="O85" i="46"/>
  <c r="T85" i="46" s="1"/>
  <c r="T88" i="46"/>
  <c r="T87" i="46"/>
  <c r="P86" i="46"/>
  <c r="S86" i="46" s="1"/>
  <c r="O86" i="46"/>
  <c r="P65" i="46"/>
  <c r="O65" i="46"/>
  <c r="P73" i="46"/>
  <c r="O73" i="46"/>
  <c r="P67" i="46"/>
  <c r="O67" i="46"/>
  <c r="O74" i="46"/>
  <c r="P74" i="46"/>
  <c r="O66" i="46"/>
  <c r="P66" i="46"/>
  <c r="T78" i="45"/>
  <c r="K43" i="43"/>
  <c r="L43" i="43"/>
  <c r="T40" i="49"/>
  <c r="O31" i="49"/>
  <c r="T29" i="49"/>
  <c r="T31" i="49" s="1"/>
  <c r="T47" i="49"/>
  <c r="T36" i="49"/>
  <c r="T59" i="49"/>
  <c r="T42" i="49"/>
  <c r="T37" i="49"/>
  <c r="T51" i="49"/>
  <c r="T35" i="49"/>
  <c r="T49" i="49"/>
  <c r="T43" i="49"/>
  <c r="T38" i="49"/>
  <c r="T34" i="49"/>
  <c r="T52" i="49"/>
  <c r="T33" i="49"/>
  <c r="T41" i="49"/>
  <c r="T53" i="49"/>
  <c r="G103" i="49"/>
  <c r="K56" i="49"/>
  <c r="K103" i="49" s="1"/>
  <c r="T50" i="49"/>
  <c r="T85" i="49"/>
  <c r="T48" i="49"/>
  <c r="T79" i="49"/>
  <c r="T70" i="49"/>
  <c r="T101" i="49"/>
  <c r="O56" i="49"/>
  <c r="O79" i="51" l="1"/>
  <c r="T175" i="42"/>
  <c r="T69" i="50"/>
  <c r="T71" i="50" s="1"/>
  <c r="T72" i="46"/>
  <c r="T83" i="42"/>
  <c r="P43" i="39"/>
  <c r="S58" i="53"/>
  <c r="T58" i="53" s="1"/>
  <c r="P117" i="42"/>
  <c r="S117" i="42" s="1"/>
  <c r="T117" i="42" s="1"/>
  <c r="T69" i="46"/>
  <c r="P114" i="42"/>
  <c r="S114" i="42" s="1"/>
  <c r="T114" i="42" s="1"/>
  <c r="T64" i="51"/>
  <c r="O66" i="51"/>
  <c r="P129" i="42"/>
  <c r="S129" i="42" s="1"/>
  <c r="T129" i="42" s="1"/>
  <c r="T204" i="42"/>
  <c r="T171" i="42"/>
  <c r="T61" i="52"/>
  <c r="T78" i="42"/>
  <c r="T71" i="42"/>
  <c r="T170" i="42"/>
  <c r="T232" i="42"/>
  <c r="T197" i="42"/>
  <c r="T198" i="42"/>
  <c r="T177" i="42"/>
  <c r="T195" i="42"/>
  <c r="T213" i="42"/>
  <c r="T200" i="42"/>
  <c r="S71" i="46"/>
  <c r="T71" i="46" s="1"/>
  <c r="P116" i="42"/>
  <c r="S116" i="42" s="1"/>
  <c r="T116" i="42" s="1"/>
  <c r="P122" i="42"/>
  <c r="S122" i="42" s="1"/>
  <c r="T122" i="42" s="1"/>
  <c r="S61" i="47"/>
  <c r="T61" i="47" s="1"/>
  <c r="P75" i="42"/>
  <c r="P125" i="42"/>
  <c r="S125" i="42" s="1"/>
  <c r="T125" i="42" s="1"/>
  <c r="S64" i="47"/>
  <c r="S68" i="46"/>
  <c r="T68" i="46" s="1"/>
  <c r="P113" i="42"/>
  <c r="S113" i="42" s="1"/>
  <c r="T113" i="42" s="1"/>
  <c r="O205" i="42"/>
  <c r="P205" i="42"/>
  <c r="S205" i="42" s="1"/>
  <c r="O174" i="42"/>
  <c r="P174" i="42"/>
  <c r="S174" i="42" s="1"/>
  <c r="P121" i="42"/>
  <c r="S121" i="42" s="1"/>
  <c r="T121" i="42" s="1"/>
  <c r="S60" i="47"/>
  <c r="T60" i="47" s="1"/>
  <c r="P203" i="42"/>
  <c r="S203" i="42" s="1"/>
  <c r="O203" i="42"/>
  <c r="S67" i="46"/>
  <c r="T67" i="46" s="1"/>
  <c r="P112" i="42"/>
  <c r="S112" i="42" s="1"/>
  <c r="T112" i="42" s="1"/>
  <c r="S73" i="46"/>
  <c r="T73" i="46" s="1"/>
  <c r="P118" i="42"/>
  <c r="S118" i="42" s="1"/>
  <c r="T118" i="42" s="1"/>
  <c r="K227" i="42"/>
  <c r="L227" i="42"/>
  <c r="O173" i="42"/>
  <c r="P173" i="42"/>
  <c r="S173" i="42" s="1"/>
  <c r="P74" i="42"/>
  <c r="O211" i="42"/>
  <c r="P211" i="42"/>
  <c r="S211" i="42" s="1"/>
  <c r="P43" i="42"/>
  <c r="S43" i="42" s="1"/>
  <c r="O43" i="42"/>
  <c r="O194" i="42"/>
  <c r="P194" i="42"/>
  <c r="S194" i="42" s="1"/>
  <c r="S66" i="46"/>
  <c r="T66" i="46" s="1"/>
  <c r="P111" i="42"/>
  <c r="S111" i="42" s="1"/>
  <c r="T111" i="42" s="1"/>
  <c r="O96" i="45"/>
  <c r="P96" i="45"/>
  <c r="S96" i="45" s="1"/>
  <c r="P128" i="42"/>
  <c r="S128" i="42" s="1"/>
  <c r="T128" i="42" s="1"/>
  <c r="S63" i="51"/>
  <c r="T63" i="51" s="1"/>
  <c r="P172" i="42"/>
  <c r="S172" i="42" s="1"/>
  <c r="O172" i="42"/>
  <c r="P230" i="42"/>
  <c r="S230" i="42" s="1"/>
  <c r="O230" i="42"/>
  <c r="O193" i="42"/>
  <c r="P193" i="42"/>
  <c r="S193" i="42" s="1"/>
  <c r="P93" i="42"/>
  <c r="P199" i="42"/>
  <c r="S199" i="42" s="1"/>
  <c r="O199" i="42"/>
  <c r="P168" i="42"/>
  <c r="S168" i="42" s="1"/>
  <c r="O168" i="42"/>
  <c r="P124" i="42"/>
  <c r="S124" i="42" s="1"/>
  <c r="T124" i="42" s="1"/>
  <c r="S63" i="47"/>
  <c r="T202" i="42"/>
  <c r="O184" i="42"/>
  <c r="P184" i="42"/>
  <c r="S184" i="42" s="1"/>
  <c r="O228" i="42"/>
  <c r="P228" i="42"/>
  <c r="S228" i="42" s="1"/>
  <c r="P190" i="42"/>
  <c r="S190" i="42" s="1"/>
  <c r="O190" i="42"/>
  <c r="P123" i="42"/>
  <c r="S123" i="42" s="1"/>
  <c r="T123" i="42" s="1"/>
  <c r="S62" i="47"/>
  <c r="S65" i="46"/>
  <c r="T65" i="46" s="1"/>
  <c r="P110" i="42"/>
  <c r="S110" i="42" s="1"/>
  <c r="T110" i="42" s="1"/>
  <c r="S74" i="46"/>
  <c r="T74" i="46" s="1"/>
  <c r="P119" i="42"/>
  <c r="S119" i="42" s="1"/>
  <c r="T119" i="42" s="1"/>
  <c r="S58" i="50"/>
  <c r="T58" i="50" s="1"/>
  <c r="P127" i="42"/>
  <c r="S127" i="42" s="1"/>
  <c r="T127" i="42" s="1"/>
  <c r="L42" i="42"/>
  <c r="K42" i="42"/>
  <c r="T231" i="42"/>
  <c r="T229" i="42"/>
  <c r="T65" i="42"/>
  <c r="P82" i="42"/>
  <c r="S82" i="42" s="1"/>
  <c r="O82" i="42"/>
  <c r="P81" i="42"/>
  <c r="P66" i="42"/>
  <c r="P80" i="42"/>
  <c r="S80" i="42" s="1"/>
  <c r="O80" i="42"/>
  <c r="P95" i="42"/>
  <c r="S95" i="42" s="1"/>
  <c r="S240" i="4"/>
  <c r="G106" i="49"/>
  <c r="G107" i="49" s="1"/>
  <c r="G109" i="49" s="1"/>
  <c r="C81" i="53"/>
  <c r="C83" i="53" s="1"/>
  <c r="T73" i="53"/>
  <c r="C90" i="52"/>
  <c r="C92" i="52" s="1"/>
  <c r="T63" i="52"/>
  <c r="O74" i="52"/>
  <c r="S74" i="52"/>
  <c r="T74" i="52"/>
  <c r="T85" i="51"/>
  <c r="T78" i="50"/>
  <c r="K42" i="43"/>
  <c r="L42" i="43"/>
  <c r="T95" i="46"/>
  <c r="T96" i="46"/>
  <c r="T86" i="46"/>
  <c r="O43" i="43"/>
  <c r="P43" i="43"/>
  <c r="S43" i="43" s="1"/>
  <c r="H106" i="49"/>
  <c r="K106" i="49" s="1"/>
  <c r="K107" i="49" s="1"/>
  <c r="K109" i="49" s="1"/>
  <c r="K111" i="49" s="1"/>
  <c r="T56" i="49"/>
  <c r="T103" i="49" s="1"/>
  <c r="O103" i="49"/>
  <c r="D32" i="54" l="1"/>
  <c r="D13" i="54"/>
  <c r="T96" i="45"/>
  <c r="G31" i="54" s="1"/>
  <c r="T173" i="42"/>
  <c r="T174" i="42"/>
  <c r="T211" i="42"/>
  <c r="T205" i="42"/>
  <c r="T194" i="42"/>
  <c r="T228" i="42"/>
  <c r="T199" i="42"/>
  <c r="P42" i="42"/>
  <c r="S42" i="42" s="1"/>
  <c r="O42" i="42"/>
  <c r="T193" i="42"/>
  <c r="T43" i="43"/>
  <c r="S66" i="51"/>
  <c r="T66" i="51" s="1"/>
  <c r="T168" i="42"/>
  <c r="T230" i="42"/>
  <c r="T43" i="42"/>
  <c r="P227" i="42"/>
  <c r="S227" i="42" s="1"/>
  <c r="O227" i="42"/>
  <c r="T190" i="42"/>
  <c r="T184" i="42"/>
  <c r="T172" i="42"/>
  <c r="T203" i="42"/>
  <c r="T82" i="42"/>
  <c r="T80" i="42"/>
  <c r="G111" i="49"/>
  <c r="J240" i="4"/>
  <c r="D61" i="45" s="1"/>
  <c r="H61" i="45"/>
  <c r="H107" i="42" s="1"/>
  <c r="K107" i="42" s="1"/>
  <c r="M240" i="4"/>
  <c r="P42" i="43"/>
  <c r="S42" i="43" s="1"/>
  <c r="O42" i="43"/>
  <c r="L106" i="49"/>
  <c r="O106" i="49" s="1"/>
  <c r="T42" i="42" l="1"/>
  <c r="G61" i="45"/>
  <c r="D107" i="42"/>
  <c r="G107" i="42" s="1"/>
  <c r="T42" i="43"/>
  <c r="T227" i="42"/>
  <c r="T106" i="49"/>
  <c r="T107" i="49" s="1"/>
  <c r="O107" i="49"/>
  <c r="O109" i="49" s="1"/>
  <c r="O111" i="49" s="1"/>
  <c r="T111" i="49" l="1"/>
  <c r="F32" i="54"/>
  <c r="F13" i="54"/>
  <c r="P240" i="4"/>
  <c r="L61" i="45"/>
  <c r="L107" i="42" s="1"/>
  <c r="T109" i="49"/>
  <c r="H19" i="42" l="1"/>
  <c r="G18" i="4"/>
  <c r="D14" i="42" s="1"/>
  <c r="H14" i="42" s="1"/>
  <c r="L14" i="42" s="1"/>
  <c r="P14" i="42" s="1"/>
  <c r="D31" i="42"/>
  <c r="H31" i="42" s="1"/>
  <c r="L31" i="42" s="1"/>
  <c r="P31" i="42" s="1"/>
  <c r="C48" i="45"/>
  <c r="C45" i="45"/>
  <c r="C44" i="45"/>
  <c r="C43" i="45"/>
  <c r="B44" i="45"/>
  <c r="B11" i="45"/>
  <c r="C11" i="45"/>
  <c r="B12" i="45"/>
  <c r="C12" i="45"/>
  <c r="B13" i="45"/>
  <c r="C13" i="45"/>
  <c r="B14" i="45"/>
  <c r="C14" i="45"/>
  <c r="B15" i="45"/>
  <c r="C15" i="45"/>
  <c r="B16" i="45"/>
  <c r="C16" i="45"/>
  <c r="B17" i="45"/>
  <c r="C17" i="45"/>
  <c r="B18" i="45"/>
  <c r="C18" i="45"/>
  <c r="B19" i="45"/>
  <c r="C19" i="45"/>
  <c r="B20" i="45"/>
  <c r="C20" i="45"/>
  <c r="B21" i="45"/>
  <c r="C21" i="45"/>
  <c r="B22" i="45"/>
  <c r="C22" i="45"/>
  <c r="B23" i="45"/>
  <c r="C23" i="45"/>
  <c r="B24" i="45"/>
  <c r="C24" i="45"/>
  <c r="B25" i="45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B38" i="45"/>
  <c r="C38" i="45"/>
  <c r="C10" i="45"/>
  <c r="B10" i="45"/>
  <c r="C7" i="45"/>
  <c r="B7" i="45"/>
  <c r="S74" i="44"/>
  <c r="O74" i="44"/>
  <c r="K74" i="44"/>
  <c r="G74" i="44"/>
  <c r="S69" i="44"/>
  <c r="O69" i="44"/>
  <c r="K69" i="44"/>
  <c r="G69" i="44"/>
  <c r="T69" i="44" s="1"/>
  <c r="S59" i="44"/>
  <c r="O59" i="44"/>
  <c r="K59" i="44"/>
  <c r="G59" i="44"/>
  <c r="G66" i="44"/>
  <c r="K66" i="44"/>
  <c r="O66" i="44"/>
  <c r="S66" i="44"/>
  <c r="C71" i="44"/>
  <c r="C76" i="44"/>
  <c r="G76" i="44"/>
  <c r="C64" i="44"/>
  <c r="G63" i="44"/>
  <c r="G67" i="44" s="1"/>
  <c r="K63" i="44"/>
  <c r="K67" i="44" s="1"/>
  <c r="O63" i="44"/>
  <c r="O67" i="44" s="1"/>
  <c r="S63" i="44"/>
  <c r="S64" i="44" s="1"/>
  <c r="C61" i="44"/>
  <c r="L19" i="42" l="1"/>
  <c r="P19" i="42" s="1"/>
  <c r="G71" i="44"/>
  <c r="T74" i="44"/>
  <c r="T63" i="44"/>
  <c r="T66" i="44"/>
  <c r="T59" i="44"/>
  <c r="K64" i="44"/>
  <c r="C67" i="44"/>
  <c r="O64" i="44"/>
  <c r="G64" i="44"/>
  <c r="K76" i="44"/>
  <c r="O76" i="44"/>
  <c r="G61" i="44"/>
  <c r="S67" i="44"/>
  <c r="K71" i="44"/>
  <c r="K61" i="44"/>
  <c r="C48" i="44"/>
  <c r="C45" i="44"/>
  <c r="C44" i="44"/>
  <c r="B44" i="44"/>
  <c r="C43" i="44"/>
  <c r="N10" i="44"/>
  <c r="B11" i="44"/>
  <c r="C11" i="44"/>
  <c r="B12" i="44"/>
  <c r="C12" i="44"/>
  <c r="B13" i="44"/>
  <c r="C13" i="44"/>
  <c r="B14" i="44"/>
  <c r="C14" i="44"/>
  <c r="B15" i="44"/>
  <c r="C15" i="44"/>
  <c r="B16" i="44"/>
  <c r="C16" i="44"/>
  <c r="B17" i="44"/>
  <c r="C17" i="44"/>
  <c r="B18" i="44"/>
  <c r="C18" i="44"/>
  <c r="B19" i="44"/>
  <c r="C19" i="44"/>
  <c r="B20" i="44"/>
  <c r="C20" i="44"/>
  <c r="B21" i="44"/>
  <c r="C21" i="44"/>
  <c r="B22" i="44"/>
  <c r="C22" i="44"/>
  <c r="B23" i="44"/>
  <c r="C23" i="44"/>
  <c r="B24" i="44"/>
  <c r="C24" i="44"/>
  <c r="B25" i="44"/>
  <c r="C25" i="44"/>
  <c r="B26" i="44"/>
  <c r="C26" i="44"/>
  <c r="B27" i="44"/>
  <c r="C27" i="44"/>
  <c r="B28" i="44"/>
  <c r="C28" i="44"/>
  <c r="B29" i="44"/>
  <c r="C29" i="44"/>
  <c r="B30" i="44"/>
  <c r="C30" i="44"/>
  <c r="B31" i="44"/>
  <c r="C31" i="44"/>
  <c r="B32" i="44"/>
  <c r="C32" i="44"/>
  <c r="B33" i="44"/>
  <c r="C33" i="44"/>
  <c r="B34" i="44"/>
  <c r="C34" i="44"/>
  <c r="B35" i="44"/>
  <c r="C35" i="44"/>
  <c r="B36" i="44"/>
  <c r="C36" i="44"/>
  <c r="B37" i="44"/>
  <c r="C37" i="44"/>
  <c r="B38" i="44"/>
  <c r="C38" i="44"/>
  <c r="C10" i="44"/>
  <c r="B10" i="44"/>
  <c r="C7" i="44"/>
  <c r="B7" i="44"/>
  <c r="M132" i="4"/>
  <c r="E128" i="43"/>
  <c r="E207" i="42" s="1"/>
  <c r="E129" i="43"/>
  <c r="E130" i="43"/>
  <c r="E208" i="42" s="1"/>
  <c r="E132" i="43"/>
  <c r="E133" i="43"/>
  <c r="E134" i="43"/>
  <c r="E210" i="42" s="1"/>
  <c r="D128" i="43"/>
  <c r="D207" i="42" s="1"/>
  <c r="D130" i="43"/>
  <c r="D132" i="43"/>
  <c r="H132" i="43" s="1"/>
  <c r="D133" i="43"/>
  <c r="H133" i="43" s="1"/>
  <c r="D134" i="43"/>
  <c r="D126" i="43"/>
  <c r="B128" i="43"/>
  <c r="B207" i="42" s="1"/>
  <c r="B129" i="43"/>
  <c r="B130" i="43"/>
  <c r="B208" i="42" s="1"/>
  <c r="B132" i="43"/>
  <c r="B133" i="43"/>
  <c r="B134" i="43"/>
  <c r="B210" i="42" s="1"/>
  <c r="C128" i="43"/>
  <c r="C207" i="42" s="1"/>
  <c r="C129" i="43"/>
  <c r="C130" i="43"/>
  <c r="C208" i="42" s="1"/>
  <c r="C132" i="43"/>
  <c r="C133" i="43"/>
  <c r="C134" i="43"/>
  <c r="C210" i="42" s="1"/>
  <c r="C126" i="43"/>
  <c r="C182" i="42" s="1"/>
  <c r="Q116" i="43"/>
  <c r="Q162" i="42" s="1"/>
  <c r="Q117" i="43"/>
  <c r="Q163" i="42" s="1"/>
  <c r="Q118" i="43"/>
  <c r="Q164" i="42" s="1"/>
  <c r="Q119" i="43"/>
  <c r="Q165" i="42" s="1"/>
  <c r="Q120" i="43"/>
  <c r="Q166" i="42" s="1"/>
  <c r="Q121" i="43"/>
  <c r="Q167" i="42" s="1"/>
  <c r="M116" i="43"/>
  <c r="M162" i="42" s="1"/>
  <c r="M117" i="43"/>
  <c r="M163" i="42" s="1"/>
  <c r="M118" i="43"/>
  <c r="M164" i="42" s="1"/>
  <c r="M119" i="43"/>
  <c r="M165" i="42" s="1"/>
  <c r="M120" i="43"/>
  <c r="M166" i="42" s="1"/>
  <c r="M121" i="43"/>
  <c r="M167" i="42" s="1"/>
  <c r="I116" i="43"/>
  <c r="I162" i="42" s="1"/>
  <c r="I117" i="43"/>
  <c r="I163" i="42" s="1"/>
  <c r="I118" i="43"/>
  <c r="I164" i="42" s="1"/>
  <c r="I119" i="43"/>
  <c r="I165" i="42" s="1"/>
  <c r="I120" i="43"/>
  <c r="I166" i="42" s="1"/>
  <c r="I121" i="43"/>
  <c r="I167" i="42" s="1"/>
  <c r="D116" i="43"/>
  <c r="E116" i="43"/>
  <c r="E162" i="42" s="1"/>
  <c r="D117" i="43"/>
  <c r="E117" i="43"/>
  <c r="E163" i="42" s="1"/>
  <c r="D118" i="43"/>
  <c r="E118" i="43"/>
  <c r="E164" i="42" s="1"/>
  <c r="D119" i="43"/>
  <c r="E119" i="43"/>
  <c r="E165" i="42" s="1"/>
  <c r="E120" i="43"/>
  <c r="E166" i="42" s="1"/>
  <c r="D121" i="43"/>
  <c r="E121" i="43"/>
  <c r="E167" i="42" s="1"/>
  <c r="D115" i="43"/>
  <c r="H115" i="43" s="1"/>
  <c r="L115" i="43" s="1"/>
  <c r="P115" i="43" s="1"/>
  <c r="C117" i="43"/>
  <c r="C163" i="42" s="1"/>
  <c r="C118" i="43"/>
  <c r="C164" i="42" s="1"/>
  <c r="C119" i="43"/>
  <c r="C165" i="42" s="1"/>
  <c r="C167" i="42"/>
  <c r="C115" i="43"/>
  <c r="B116" i="43"/>
  <c r="B162" i="42" s="1"/>
  <c r="B117" i="43"/>
  <c r="B163" i="42" s="1"/>
  <c r="B118" i="43"/>
  <c r="B164" i="42" s="1"/>
  <c r="B119" i="43"/>
  <c r="B165" i="42" s="1"/>
  <c r="B120" i="43"/>
  <c r="B166" i="42" s="1"/>
  <c r="B121" i="43"/>
  <c r="B167" i="42" s="1"/>
  <c r="B115" i="43"/>
  <c r="A116" i="43"/>
  <c r="A162" i="42" s="1"/>
  <c r="A117" i="43"/>
  <c r="A163" i="42" s="1"/>
  <c r="A118" i="43"/>
  <c r="A164" i="42" s="1"/>
  <c r="A119" i="43"/>
  <c r="A165" i="42" s="1"/>
  <c r="A120" i="43"/>
  <c r="A166" i="42" s="1"/>
  <c r="A121" i="43"/>
  <c r="A167" i="42" s="1"/>
  <c r="A115" i="43"/>
  <c r="Q106" i="43"/>
  <c r="Q153" i="42" s="1"/>
  <c r="Q107" i="43"/>
  <c r="Q154" i="42" s="1"/>
  <c r="Q108" i="43"/>
  <c r="Q155" i="42" s="1"/>
  <c r="Q109" i="43"/>
  <c r="Q156" i="42" s="1"/>
  <c r="Q110" i="43"/>
  <c r="Q157" i="42" s="1"/>
  <c r="Q111" i="43"/>
  <c r="Q158" i="42" s="1"/>
  <c r="M106" i="43"/>
  <c r="M153" i="42" s="1"/>
  <c r="M107" i="43"/>
  <c r="M154" i="42" s="1"/>
  <c r="M108" i="43"/>
  <c r="M155" i="42" s="1"/>
  <c r="M109" i="43"/>
  <c r="M156" i="42" s="1"/>
  <c r="M110" i="43"/>
  <c r="M157" i="42" s="1"/>
  <c r="M111" i="43"/>
  <c r="M158" i="42" s="1"/>
  <c r="I106" i="43"/>
  <c r="I153" i="42" s="1"/>
  <c r="I107" i="43"/>
  <c r="I154" i="42" s="1"/>
  <c r="I108" i="43"/>
  <c r="I155" i="42" s="1"/>
  <c r="I109" i="43"/>
  <c r="I156" i="42" s="1"/>
  <c r="I110" i="43"/>
  <c r="I157" i="42" s="1"/>
  <c r="I111" i="43"/>
  <c r="I158" i="42" s="1"/>
  <c r="M112" i="4"/>
  <c r="J112" i="4"/>
  <c r="D106" i="43"/>
  <c r="E106" i="43"/>
  <c r="E153" i="42" s="1"/>
  <c r="D107" i="43"/>
  <c r="E107" i="43"/>
  <c r="E154" i="42" s="1"/>
  <c r="D108" i="43"/>
  <c r="E108" i="43"/>
  <c r="E155" i="42" s="1"/>
  <c r="D109" i="43"/>
  <c r="E109" i="43"/>
  <c r="E156" i="42" s="1"/>
  <c r="D110" i="43"/>
  <c r="E110" i="43"/>
  <c r="E157" i="42" s="1"/>
  <c r="E111" i="43"/>
  <c r="E158" i="42" s="1"/>
  <c r="E105" i="43"/>
  <c r="E152" i="42" s="1"/>
  <c r="D105" i="43"/>
  <c r="D152" i="42" s="1"/>
  <c r="B106" i="43"/>
  <c r="B153" i="42" s="1"/>
  <c r="C106" i="43"/>
  <c r="C153" i="42" s="1"/>
  <c r="B107" i="43"/>
  <c r="B154" i="42" s="1"/>
  <c r="C107" i="43"/>
  <c r="C154" i="42" s="1"/>
  <c r="B108" i="43"/>
  <c r="B155" i="42" s="1"/>
  <c r="C108" i="43"/>
  <c r="C155" i="42" s="1"/>
  <c r="B109" i="43"/>
  <c r="B156" i="42" s="1"/>
  <c r="C109" i="43"/>
  <c r="C156" i="42" s="1"/>
  <c r="B110" i="43"/>
  <c r="B157" i="42" s="1"/>
  <c r="C110" i="43"/>
  <c r="C157" i="42" s="1"/>
  <c r="B111" i="43"/>
  <c r="B158" i="42" s="1"/>
  <c r="C111" i="43"/>
  <c r="C158" i="42" s="1"/>
  <c r="C105" i="43"/>
  <c r="C152" i="42" s="1"/>
  <c r="B105" i="43"/>
  <c r="B152" i="42" s="1"/>
  <c r="A106" i="43"/>
  <c r="A153" i="42" s="1"/>
  <c r="A107" i="43"/>
  <c r="A154" i="42" s="1"/>
  <c r="A108" i="43"/>
  <c r="A155" i="42" s="1"/>
  <c r="A109" i="43"/>
  <c r="A156" i="42" s="1"/>
  <c r="A110" i="43"/>
  <c r="A157" i="42" s="1"/>
  <c r="A111" i="43"/>
  <c r="A158" i="42" s="1"/>
  <c r="A105" i="43"/>
  <c r="A152" i="42" s="1"/>
  <c r="C101" i="43"/>
  <c r="C148" i="42" s="1"/>
  <c r="Q93" i="43"/>
  <c r="Q140" i="42" s="1"/>
  <c r="Q95" i="43"/>
  <c r="Q142" i="42" s="1"/>
  <c r="Q96" i="43"/>
  <c r="Q143" i="42" s="1"/>
  <c r="Q97" i="43"/>
  <c r="Q144" i="42" s="1"/>
  <c r="Q92" i="43"/>
  <c r="Q139" i="42" s="1"/>
  <c r="M93" i="43"/>
  <c r="M140" i="42" s="1"/>
  <c r="M95" i="43"/>
  <c r="M142" i="42" s="1"/>
  <c r="M96" i="43"/>
  <c r="M143" i="42" s="1"/>
  <c r="M97" i="43"/>
  <c r="M144" i="42" s="1"/>
  <c r="M92" i="43"/>
  <c r="M139" i="42" s="1"/>
  <c r="E96" i="43"/>
  <c r="E143" i="42" s="1"/>
  <c r="E97" i="43"/>
  <c r="E144" i="42" s="1"/>
  <c r="E95" i="43"/>
  <c r="E142" i="42" s="1"/>
  <c r="I93" i="43"/>
  <c r="I140" i="42" s="1"/>
  <c r="I95" i="43"/>
  <c r="I142" i="42" s="1"/>
  <c r="I96" i="43"/>
  <c r="I143" i="42" s="1"/>
  <c r="I97" i="43"/>
  <c r="I144" i="42" s="1"/>
  <c r="I92" i="43"/>
  <c r="I139" i="42" s="1"/>
  <c r="A96" i="43"/>
  <c r="A143" i="42" s="1"/>
  <c r="A97" i="43"/>
  <c r="A144" i="42" s="1"/>
  <c r="A95" i="43"/>
  <c r="A142" i="42" s="1"/>
  <c r="D93" i="43"/>
  <c r="D140" i="42" s="1"/>
  <c r="E93" i="43"/>
  <c r="D96" i="43"/>
  <c r="D143" i="42" s="1"/>
  <c r="D97" i="43"/>
  <c r="D144" i="42" s="1"/>
  <c r="E92" i="43"/>
  <c r="D92" i="43"/>
  <c r="D139" i="42" s="1"/>
  <c r="C93" i="43"/>
  <c r="C140" i="42" s="1"/>
  <c r="C95" i="43"/>
  <c r="C142" i="42" s="1"/>
  <c r="C96" i="43"/>
  <c r="C143" i="42" s="1"/>
  <c r="C97" i="43"/>
  <c r="C144" i="42" s="1"/>
  <c r="C92" i="43"/>
  <c r="C139" i="42" s="1"/>
  <c r="B93" i="43"/>
  <c r="B140" i="42" s="1"/>
  <c r="B95" i="43"/>
  <c r="B142" i="42" s="1"/>
  <c r="B96" i="43"/>
  <c r="B143" i="42" s="1"/>
  <c r="B97" i="43"/>
  <c r="B144" i="42" s="1"/>
  <c r="B92" i="43"/>
  <c r="B139" i="42" s="1"/>
  <c r="A93" i="43"/>
  <c r="A140" i="42" s="1"/>
  <c r="A92" i="43"/>
  <c r="A139" i="42" s="1"/>
  <c r="Q88" i="43"/>
  <c r="Q135" i="42" s="1"/>
  <c r="Q89" i="43"/>
  <c r="Q136" i="42" s="1"/>
  <c r="Q90" i="43"/>
  <c r="Q137" i="42" s="1"/>
  <c r="Q87" i="43"/>
  <c r="Q134" i="42" s="1"/>
  <c r="M88" i="43"/>
  <c r="M135" i="42" s="1"/>
  <c r="M89" i="43"/>
  <c r="M136" i="42" s="1"/>
  <c r="M90" i="43"/>
  <c r="M137" i="42" s="1"/>
  <c r="M87" i="43"/>
  <c r="M134" i="42" s="1"/>
  <c r="I88" i="43"/>
  <c r="I135" i="42" s="1"/>
  <c r="I89" i="43"/>
  <c r="I136" i="42" s="1"/>
  <c r="I90" i="43"/>
  <c r="I137" i="42" s="1"/>
  <c r="I87" i="43"/>
  <c r="I134" i="42" s="1"/>
  <c r="C135" i="42"/>
  <c r="D88" i="43"/>
  <c r="E135" i="42"/>
  <c r="C89" i="43"/>
  <c r="C136" i="42" s="1"/>
  <c r="D89" i="43"/>
  <c r="E89" i="43"/>
  <c r="E136" i="42" s="1"/>
  <c r="C90" i="43"/>
  <c r="C137" i="42" s="1"/>
  <c r="E90" i="43"/>
  <c r="E137" i="42" s="1"/>
  <c r="E87" i="43"/>
  <c r="E134" i="42" s="1"/>
  <c r="C87" i="43"/>
  <c r="B88" i="43"/>
  <c r="B135" i="42" s="1"/>
  <c r="B89" i="43"/>
  <c r="B136" i="42" s="1"/>
  <c r="B90" i="43"/>
  <c r="B137" i="42" s="1"/>
  <c r="B87" i="43"/>
  <c r="B134" i="42" s="1"/>
  <c r="A88" i="43"/>
  <c r="A135" i="42" s="1"/>
  <c r="A89" i="43"/>
  <c r="A136" i="42" s="1"/>
  <c r="A90" i="43"/>
  <c r="A137" i="42" s="1"/>
  <c r="A87" i="43"/>
  <c r="A134" i="42" s="1"/>
  <c r="S81" i="4"/>
  <c r="S82" i="4"/>
  <c r="S84" i="4"/>
  <c r="S80" i="4"/>
  <c r="S440" i="4"/>
  <c r="P440" i="4"/>
  <c r="M440" i="4"/>
  <c r="J440" i="4"/>
  <c r="Q85" i="43"/>
  <c r="Q106" i="42" s="1"/>
  <c r="Q84" i="43"/>
  <c r="Q105" i="42" s="1"/>
  <c r="Q83" i="43"/>
  <c r="Q104" i="42" s="1"/>
  <c r="Q82" i="43"/>
  <c r="Q103" i="42" s="1"/>
  <c r="Q81" i="43"/>
  <c r="Q102" i="42" s="1"/>
  <c r="M85" i="43"/>
  <c r="M106" i="42" s="1"/>
  <c r="M84" i="43"/>
  <c r="M105" i="42" s="1"/>
  <c r="M83" i="43"/>
  <c r="M104" i="42" s="1"/>
  <c r="M82" i="43"/>
  <c r="M103" i="42" s="1"/>
  <c r="M81" i="43"/>
  <c r="M102" i="42" s="1"/>
  <c r="I85" i="43"/>
  <c r="I106" i="42" s="1"/>
  <c r="I84" i="43"/>
  <c r="I105" i="42" s="1"/>
  <c r="I83" i="43"/>
  <c r="I104" i="42" s="1"/>
  <c r="I82" i="43"/>
  <c r="I103" i="42" s="1"/>
  <c r="I81" i="43"/>
  <c r="I102" i="42" s="1"/>
  <c r="E85" i="43"/>
  <c r="E106" i="42" s="1"/>
  <c r="E84" i="43"/>
  <c r="E105" i="42" s="1"/>
  <c r="E83" i="43"/>
  <c r="E104" i="42" s="1"/>
  <c r="E82" i="43"/>
  <c r="E103" i="42" s="1"/>
  <c r="E81" i="43"/>
  <c r="E102" i="42" s="1"/>
  <c r="E80" i="43"/>
  <c r="E101" i="42" s="1"/>
  <c r="D85" i="43"/>
  <c r="D84" i="43"/>
  <c r="D81" i="43"/>
  <c r="D80" i="43"/>
  <c r="D101" i="42" s="1"/>
  <c r="C85" i="43"/>
  <c r="C106" i="42" s="1"/>
  <c r="C84" i="43"/>
  <c r="C105" i="42" s="1"/>
  <c r="C83" i="43"/>
  <c r="C104" i="42" s="1"/>
  <c r="C82" i="43"/>
  <c r="C103" i="42" s="1"/>
  <c r="C81" i="43"/>
  <c r="C102" i="42" s="1"/>
  <c r="C80" i="43"/>
  <c r="C101" i="42" s="1"/>
  <c r="B85" i="43"/>
  <c r="B106" i="42" s="1"/>
  <c r="B84" i="43"/>
  <c r="B105" i="42" s="1"/>
  <c r="B83" i="43"/>
  <c r="B104" i="42" s="1"/>
  <c r="B82" i="43"/>
  <c r="B103" i="42" s="1"/>
  <c r="B81" i="43"/>
  <c r="B102" i="42" s="1"/>
  <c r="A85" i="43"/>
  <c r="A106" i="42" s="1"/>
  <c r="A84" i="43"/>
  <c r="A105" i="42" s="1"/>
  <c r="A83" i="43"/>
  <c r="A104" i="42" s="1"/>
  <c r="A82" i="43"/>
  <c r="A103" i="42" s="1"/>
  <c r="A81" i="43"/>
  <c r="A102" i="42" s="1"/>
  <c r="G144" i="42" l="1"/>
  <c r="G143" i="42"/>
  <c r="H84" i="43"/>
  <c r="L84" i="43" s="1"/>
  <c r="P84" i="43" s="1"/>
  <c r="S84" i="43" s="1"/>
  <c r="D105" i="42"/>
  <c r="H140" i="42"/>
  <c r="G140" i="42"/>
  <c r="H110" i="43"/>
  <c r="L110" i="43" s="1"/>
  <c r="P110" i="43" s="1"/>
  <c r="D157" i="42"/>
  <c r="H106" i="43"/>
  <c r="L106" i="43" s="1"/>
  <c r="P106" i="43" s="1"/>
  <c r="D153" i="42"/>
  <c r="C134" i="42"/>
  <c r="C146" i="42" s="1"/>
  <c r="H88" i="43"/>
  <c r="H135" i="42" s="1"/>
  <c r="K135" i="42" s="1"/>
  <c r="D135" i="42"/>
  <c r="G135" i="42" s="1"/>
  <c r="H117" i="43"/>
  <c r="L117" i="43" s="1"/>
  <c r="P117" i="43" s="1"/>
  <c r="D163" i="42"/>
  <c r="H109" i="43"/>
  <c r="L109" i="43" s="1"/>
  <c r="P109" i="43" s="1"/>
  <c r="D156" i="42"/>
  <c r="H121" i="43"/>
  <c r="L121" i="43" s="1"/>
  <c r="P121" i="43" s="1"/>
  <c r="D167" i="42"/>
  <c r="H116" i="43"/>
  <c r="L116" i="43" s="1"/>
  <c r="P116" i="43" s="1"/>
  <c r="D162" i="42"/>
  <c r="H126" i="43"/>
  <c r="L126" i="43" s="1"/>
  <c r="P126" i="43" s="1"/>
  <c r="D182" i="42"/>
  <c r="H182" i="42" s="1"/>
  <c r="L182" i="42" s="1"/>
  <c r="P182" i="42" s="1"/>
  <c r="H108" i="43"/>
  <c r="L108" i="43" s="1"/>
  <c r="P108" i="43" s="1"/>
  <c r="D155" i="42"/>
  <c r="H134" i="43"/>
  <c r="D210" i="42"/>
  <c r="H119" i="43"/>
  <c r="L119" i="43" s="1"/>
  <c r="P119" i="43" s="1"/>
  <c r="D165" i="42"/>
  <c r="H107" i="43"/>
  <c r="L107" i="43" s="1"/>
  <c r="P107" i="43" s="1"/>
  <c r="D154" i="42"/>
  <c r="C215" i="42"/>
  <c r="H85" i="43"/>
  <c r="L85" i="43" s="1"/>
  <c r="P85" i="43" s="1"/>
  <c r="D106" i="42"/>
  <c r="L82" i="43"/>
  <c r="P82" i="43" s="1"/>
  <c r="D103" i="42"/>
  <c r="H89" i="43"/>
  <c r="H136" i="42" s="1"/>
  <c r="K136" i="42" s="1"/>
  <c r="D136" i="42"/>
  <c r="G136" i="42" s="1"/>
  <c r="H81" i="43"/>
  <c r="L81" i="43" s="1"/>
  <c r="P81" i="43" s="1"/>
  <c r="D102" i="42"/>
  <c r="H118" i="43"/>
  <c r="L118" i="43" s="1"/>
  <c r="P118" i="43" s="1"/>
  <c r="D164" i="42"/>
  <c r="H130" i="43"/>
  <c r="D208" i="42"/>
  <c r="G96" i="43"/>
  <c r="H96" i="43"/>
  <c r="T67" i="44"/>
  <c r="T64" i="44"/>
  <c r="O71" i="44"/>
  <c r="S71" i="44"/>
  <c r="S61" i="44"/>
  <c r="G89" i="43"/>
  <c r="G85" i="43"/>
  <c r="G88" i="43"/>
  <c r="G84" i="43"/>
  <c r="D75" i="43"/>
  <c r="D73" i="43"/>
  <c r="D89" i="42" s="1"/>
  <c r="D70" i="43"/>
  <c r="D85" i="42" s="1"/>
  <c r="D68" i="43"/>
  <c r="D70" i="42" s="1"/>
  <c r="D67" i="43"/>
  <c r="D66" i="43"/>
  <c r="D68" i="42" s="1"/>
  <c r="D64" i="43"/>
  <c r="D63" i="43"/>
  <c r="D63" i="42" s="1"/>
  <c r="C76" i="43"/>
  <c r="C92" i="42" s="1"/>
  <c r="C73" i="43"/>
  <c r="C89" i="42" s="1"/>
  <c r="C72" i="43"/>
  <c r="C88" i="42" s="1"/>
  <c r="C68" i="43"/>
  <c r="C70" i="42" s="1"/>
  <c r="C67" i="43"/>
  <c r="C69" i="42" s="1"/>
  <c r="C66" i="43"/>
  <c r="C68" i="42" s="1"/>
  <c r="C63" i="43"/>
  <c r="C63" i="42" s="1"/>
  <c r="A64" i="43"/>
  <c r="B63" i="43"/>
  <c r="B64" i="43"/>
  <c r="E64" i="43"/>
  <c r="E64" i="42" s="1"/>
  <c r="A63" i="43"/>
  <c r="M57" i="43"/>
  <c r="Q57" i="43"/>
  <c r="F51" i="43"/>
  <c r="F50" i="43"/>
  <c r="J50" i="43" s="1"/>
  <c r="F49" i="43"/>
  <c r="F48" i="43"/>
  <c r="C48" i="43"/>
  <c r="C48" i="42" s="1"/>
  <c r="C49" i="43"/>
  <c r="C49" i="42" s="1"/>
  <c r="C50" i="43"/>
  <c r="C50" i="42" s="1"/>
  <c r="C51" i="43"/>
  <c r="C51" i="42" s="1"/>
  <c r="Q58" i="43"/>
  <c r="Q56" i="43"/>
  <c r="J58" i="43"/>
  <c r="N58" i="43" s="1"/>
  <c r="I57" i="43"/>
  <c r="I58" i="43"/>
  <c r="E57" i="43"/>
  <c r="E58" i="43"/>
  <c r="D57" i="43"/>
  <c r="D58" i="43"/>
  <c r="D56" i="43"/>
  <c r="C56" i="43"/>
  <c r="F55" i="43"/>
  <c r="C57" i="43"/>
  <c r="C58" i="43"/>
  <c r="C55" i="43"/>
  <c r="B56" i="43"/>
  <c r="B57" i="43"/>
  <c r="B58" i="43"/>
  <c r="B55" i="43"/>
  <c r="A56" i="43"/>
  <c r="A57" i="43"/>
  <c r="A58" i="43"/>
  <c r="A55" i="43"/>
  <c r="B50" i="43"/>
  <c r="E41" i="43"/>
  <c r="E41" i="42" s="1"/>
  <c r="C41" i="43"/>
  <c r="C41" i="42" s="1"/>
  <c r="A41" i="43"/>
  <c r="Q11" i="43"/>
  <c r="Q12" i="43"/>
  <c r="Q13" i="43"/>
  <c r="Q14" i="43"/>
  <c r="Q15" i="43"/>
  <c r="Q16" i="43"/>
  <c r="Q17" i="43"/>
  <c r="Q18" i="43"/>
  <c r="Q19" i="43"/>
  <c r="Q20" i="43"/>
  <c r="Q21" i="43"/>
  <c r="Q22" i="43"/>
  <c r="Q23" i="43"/>
  <c r="Q24" i="43"/>
  <c r="Q25" i="43"/>
  <c r="Q26" i="43"/>
  <c r="Q27" i="43"/>
  <c r="Q28" i="43"/>
  <c r="Q29" i="43"/>
  <c r="Q30" i="43"/>
  <c r="Q31" i="43"/>
  <c r="Q32" i="43"/>
  <c r="Q33" i="43"/>
  <c r="Q34" i="43"/>
  <c r="Q35" i="43"/>
  <c r="Q36" i="43"/>
  <c r="Q37" i="43"/>
  <c r="Q38" i="43"/>
  <c r="Q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10" i="43"/>
  <c r="E11" i="43"/>
  <c r="E12" i="43"/>
  <c r="E13" i="43"/>
  <c r="D14" i="43"/>
  <c r="H14" i="43" s="1"/>
  <c r="E14" i="43"/>
  <c r="D15" i="43"/>
  <c r="H15" i="43" s="1"/>
  <c r="E15" i="43"/>
  <c r="E16" i="43"/>
  <c r="E17" i="43"/>
  <c r="E18" i="43"/>
  <c r="D19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D31" i="43"/>
  <c r="H31" i="43" s="1"/>
  <c r="E31" i="43"/>
  <c r="E32" i="43"/>
  <c r="E33" i="43"/>
  <c r="E34" i="43"/>
  <c r="E35" i="43"/>
  <c r="E36" i="43"/>
  <c r="E37" i="43"/>
  <c r="E38" i="43"/>
  <c r="E10" i="43"/>
  <c r="B11" i="43"/>
  <c r="C11" i="43"/>
  <c r="C11" i="42" s="1"/>
  <c r="B12" i="43"/>
  <c r="C12" i="43"/>
  <c r="C12" i="42" s="1"/>
  <c r="B13" i="43"/>
  <c r="C13" i="43"/>
  <c r="C13" i="42" s="1"/>
  <c r="B14" i="43"/>
  <c r="C14" i="43"/>
  <c r="C14" i="42" s="1"/>
  <c r="B15" i="43"/>
  <c r="C15" i="43"/>
  <c r="C15" i="42" s="1"/>
  <c r="B16" i="43"/>
  <c r="C16" i="43"/>
  <c r="C16" i="42" s="1"/>
  <c r="B17" i="43"/>
  <c r="C17" i="43"/>
  <c r="C17" i="42" s="1"/>
  <c r="B18" i="43"/>
  <c r="C18" i="43"/>
  <c r="C18" i="42" s="1"/>
  <c r="B19" i="43"/>
  <c r="C19" i="43"/>
  <c r="C19" i="42" s="1"/>
  <c r="B20" i="43"/>
  <c r="C20" i="43"/>
  <c r="C20" i="42" s="1"/>
  <c r="B21" i="43"/>
  <c r="C21" i="43"/>
  <c r="C21" i="42" s="1"/>
  <c r="B22" i="43"/>
  <c r="C22" i="43"/>
  <c r="C22" i="42" s="1"/>
  <c r="B23" i="43"/>
  <c r="C23" i="43"/>
  <c r="C23" i="42" s="1"/>
  <c r="B24" i="43"/>
  <c r="C24" i="43"/>
  <c r="C24" i="42" s="1"/>
  <c r="B25" i="43"/>
  <c r="C25" i="43"/>
  <c r="C25" i="42" s="1"/>
  <c r="B26" i="43"/>
  <c r="C26" i="43"/>
  <c r="C26" i="42" s="1"/>
  <c r="B27" i="43"/>
  <c r="C27" i="43"/>
  <c r="C27" i="42" s="1"/>
  <c r="B28" i="43"/>
  <c r="C28" i="43"/>
  <c r="C28" i="42" s="1"/>
  <c r="B29" i="43"/>
  <c r="C29" i="43"/>
  <c r="C29" i="42" s="1"/>
  <c r="B30" i="43"/>
  <c r="C30" i="43"/>
  <c r="C30" i="42" s="1"/>
  <c r="B31" i="43"/>
  <c r="C31" i="43"/>
  <c r="C31" i="42" s="1"/>
  <c r="B32" i="43"/>
  <c r="C32" i="43"/>
  <c r="C32" i="42" s="1"/>
  <c r="B33" i="43"/>
  <c r="C33" i="43"/>
  <c r="C33" i="42" s="1"/>
  <c r="B34" i="43"/>
  <c r="C34" i="43"/>
  <c r="C34" i="42" s="1"/>
  <c r="B35" i="43"/>
  <c r="C35" i="43"/>
  <c r="C35" i="42" s="1"/>
  <c r="B36" i="43"/>
  <c r="C36" i="43"/>
  <c r="C36" i="42" s="1"/>
  <c r="B37" i="43"/>
  <c r="C37" i="43"/>
  <c r="C37" i="42" s="1"/>
  <c r="B38" i="43"/>
  <c r="C38" i="43"/>
  <c r="C38" i="42" s="1"/>
  <c r="B10" i="43"/>
  <c r="C10" i="43"/>
  <c r="C10" i="42" s="1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10" i="43"/>
  <c r="C7" i="43"/>
  <c r="C7" i="42" s="1"/>
  <c r="E7" i="43"/>
  <c r="B7" i="43"/>
  <c r="A7" i="43"/>
  <c r="T364" i="4"/>
  <c r="T365" i="4"/>
  <c r="T366" i="4"/>
  <c r="S270" i="4"/>
  <c r="P270" i="4"/>
  <c r="M270" i="4"/>
  <c r="J270" i="4"/>
  <c r="T269" i="4"/>
  <c r="T438" i="4"/>
  <c r="P514" i="4"/>
  <c r="T439" i="4"/>
  <c r="T437" i="4"/>
  <c r="T513" i="4"/>
  <c r="G15" i="4"/>
  <c r="H105" i="42" l="1"/>
  <c r="G105" i="42"/>
  <c r="G208" i="42"/>
  <c r="H208" i="42"/>
  <c r="H106" i="42"/>
  <c r="G106" i="42"/>
  <c r="H157" i="42"/>
  <c r="G157" i="42"/>
  <c r="H64" i="43"/>
  <c r="L64" i="43" s="1"/>
  <c r="P64" i="43" s="1"/>
  <c r="D64" i="42"/>
  <c r="H64" i="42" s="1"/>
  <c r="L64" i="42" s="1"/>
  <c r="P64" i="42" s="1"/>
  <c r="L96" i="43"/>
  <c r="H143" i="42"/>
  <c r="K143" i="42" s="1"/>
  <c r="H164" i="42"/>
  <c r="G164" i="42"/>
  <c r="H75" i="43"/>
  <c r="L75" i="43" s="1"/>
  <c r="P75" i="43" s="1"/>
  <c r="D91" i="42"/>
  <c r="H91" i="42" s="1"/>
  <c r="L91" i="42" s="1"/>
  <c r="P91" i="42" s="1"/>
  <c r="G102" i="42"/>
  <c r="H102" i="42"/>
  <c r="H163" i="42"/>
  <c r="G163" i="42"/>
  <c r="H156" i="42"/>
  <c r="G156" i="42"/>
  <c r="D11" i="43"/>
  <c r="H11" i="43" s="1"/>
  <c r="L11" i="43" s="1"/>
  <c r="P11" i="43" s="1"/>
  <c r="D11" i="42"/>
  <c r="H11" i="42" s="1"/>
  <c r="L11" i="42" s="1"/>
  <c r="P11" i="42" s="1"/>
  <c r="H103" i="42"/>
  <c r="G103" i="42"/>
  <c r="G165" i="42"/>
  <c r="H165" i="42"/>
  <c r="H67" i="43"/>
  <c r="L67" i="43" s="1"/>
  <c r="P67" i="43" s="1"/>
  <c r="D69" i="42"/>
  <c r="H69" i="42" s="1"/>
  <c r="L69" i="42" s="1"/>
  <c r="P69" i="42" s="1"/>
  <c r="H162" i="42"/>
  <c r="G162" i="42"/>
  <c r="C39" i="42"/>
  <c r="H154" i="42"/>
  <c r="G154" i="42"/>
  <c r="G155" i="42"/>
  <c r="H155" i="42"/>
  <c r="L140" i="42"/>
  <c r="K140" i="42"/>
  <c r="H167" i="42"/>
  <c r="G167" i="42"/>
  <c r="H153" i="42"/>
  <c r="G153" i="42"/>
  <c r="U440" i="4"/>
  <c r="V437" i="4"/>
  <c r="T440" i="4"/>
  <c r="K96" i="43"/>
  <c r="T71" i="44"/>
  <c r="S76" i="44"/>
  <c r="T76" i="44" s="1"/>
  <c r="O61" i="44"/>
  <c r="T61" i="44"/>
  <c r="N50" i="43"/>
  <c r="R50" i="43" s="1"/>
  <c r="C39" i="43"/>
  <c r="L31" i="43"/>
  <c r="P31" i="43" s="1"/>
  <c r="L15" i="43"/>
  <c r="H19" i="43"/>
  <c r="L14" i="43"/>
  <c r="V364" i="4"/>
  <c r="V365" i="4"/>
  <c r="V366" i="4"/>
  <c r="V438" i="4"/>
  <c r="V269" i="4"/>
  <c r="L167" i="42" l="1"/>
  <c r="K167" i="42"/>
  <c r="K156" i="42"/>
  <c r="L156" i="42"/>
  <c r="K164" i="42"/>
  <c r="L164" i="42"/>
  <c r="L106" i="42"/>
  <c r="K106" i="42"/>
  <c r="K154" i="42"/>
  <c r="L154" i="42"/>
  <c r="L103" i="42"/>
  <c r="K103" i="42"/>
  <c r="P96" i="43"/>
  <c r="L143" i="42"/>
  <c r="O143" i="42" s="1"/>
  <c r="O140" i="42"/>
  <c r="P140" i="42"/>
  <c r="S140" i="42" s="1"/>
  <c r="L162" i="42"/>
  <c r="K162" i="42"/>
  <c r="L102" i="42"/>
  <c r="K102" i="42"/>
  <c r="L157" i="42"/>
  <c r="K157" i="42"/>
  <c r="L153" i="42"/>
  <c r="K153" i="42"/>
  <c r="K165" i="42"/>
  <c r="L165" i="42"/>
  <c r="L208" i="42"/>
  <c r="L105" i="42"/>
  <c r="K105" i="42"/>
  <c r="K163" i="42"/>
  <c r="L163" i="42"/>
  <c r="O96" i="43"/>
  <c r="K155" i="42"/>
  <c r="L155" i="42"/>
  <c r="P15" i="43"/>
  <c r="L19" i="43"/>
  <c r="P14" i="43"/>
  <c r="D111" i="43"/>
  <c r="R75" i="4"/>
  <c r="R341" i="4"/>
  <c r="M34" i="30"/>
  <c r="B12" i="39"/>
  <c r="D12" i="39"/>
  <c r="G12" i="39"/>
  <c r="J12" i="39"/>
  <c r="M12" i="39"/>
  <c r="B13" i="39"/>
  <c r="D13" i="39"/>
  <c r="G13" i="39"/>
  <c r="J13" i="39"/>
  <c r="M13" i="39"/>
  <c r="B14" i="39"/>
  <c r="D14" i="39"/>
  <c r="G14" i="39"/>
  <c r="J14" i="39"/>
  <c r="M14" i="39"/>
  <c r="B15" i="39"/>
  <c r="D15" i="39"/>
  <c r="G15" i="39"/>
  <c r="J15" i="39"/>
  <c r="M15" i="39"/>
  <c r="B16" i="39"/>
  <c r="D16" i="39"/>
  <c r="G16" i="39"/>
  <c r="J16" i="39"/>
  <c r="M16" i="39"/>
  <c r="B17" i="39"/>
  <c r="D17" i="39"/>
  <c r="G17" i="39"/>
  <c r="J17" i="39"/>
  <c r="M17" i="39"/>
  <c r="B18" i="39"/>
  <c r="D18" i="39"/>
  <c r="G18" i="39"/>
  <c r="J18" i="39"/>
  <c r="M18" i="39"/>
  <c r="B19" i="39"/>
  <c r="D19" i="39"/>
  <c r="G19" i="39"/>
  <c r="J19" i="39"/>
  <c r="M19" i="39"/>
  <c r="B20" i="39"/>
  <c r="D20" i="39"/>
  <c r="G20" i="39"/>
  <c r="J20" i="39"/>
  <c r="M20" i="39"/>
  <c r="B21" i="39"/>
  <c r="D21" i="39"/>
  <c r="G21" i="39"/>
  <c r="J21" i="39"/>
  <c r="M21" i="39"/>
  <c r="B22" i="39"/>
  <c r="D22" i="39"/>
  <c r="G22" i="39"/>
  <c r="J22" i="39"/>
  <c r="M22" i="39"/>
  <c r="B23" i="39"/>
  <c r="D23" i="39"/>
  <c r="G23" i="39"/>
  <c r="J23" i="39"/>
  <c r="M23" i="39"/>
  <c r="B24" i="39"/>
  <c r="D24" i="39"/>
  <c r="G24" i="39"/>
  <c r="J24" i="39"/>
  <c r="M24" i="39"/>
  <c r="B25" i="39"/>
  <c r="D25" i="39"/>
  <c r="G25" i="39"/>
  <c r="J25" i="39"/>
  <c r="M25" i="39"/>
  <c r="B26" i="39"/>
  <c r="D26" i="39"/>
  <c r="G26" i="39"/>
  <c r="J26" i="39"/>
  <c r="M26" i="39"/>
  <c r="B27" i="39"/>
  <c r="D27" i="39"/>
  <c r="G27" i="39"/>
  <c r="J27" i="39"/>
  <c r="M27" i="39"/>
  <c r="B28" i="39"/>
  <c r="D28" i="39"/>
  <c r="G28" i="39"/>
  <c r="J28" i="39"/>
  <c r="M28" i="39"/>
  <c r="B29" i="39"/>
  <c r="D29" i="39"/>
  <c r="G29" i="39"/>
  <c r="J29" i="39"/>
  <c r="M29" i="39"/>
  <c r="B30" i="39"/>
  <c r="D30" i="39"/>
  <c r="G30" i="39"/>
  <c r="J30" i="39"/>
  <c r="M30" i="39"/>
  <c r="B31" i="39"/>
  <c r="D31" i="39"/>
  <c r="G31" i="39"/>
  <c r="J31" i="39"/>
  <c r="M31" i="39"/>
  <c r="B32" i="39"/>
  <c r="D32" i="39"/>
  <c r="G32" i="39"/>
  <c r="J32" i="39"/>
  <c r="M32" i="39"/>
  <c r="B33" i="39"/>
  <c r="D33" i="39"/>
  <c r="G33" i="39"/>
  <c r="J33" i="39"/>
  <c r="M33" i="39"/>
  <c r="B34" i="39"/>
  <c r="D34" i="39"/>
  <c r="G34" i="39"/>
  <c r="J34" i="39"/>
  <c r="M34" i="39"/>
  <c r="B35" i="39"/>
  <c r="D35" i="39"/>
  <c r="G35" i="39"/>
  <c r="J35" i="39"/>
  <c r="M35" i="39"/>
  <c r="B36" i="39"/>
  <c r="D36" i="39"/>
  <c r="G36" i="39"/>
  <c r="J36" i="39"/>
  <c r="M36" i="39"/>
  <c r="B37" i="39"/>
  <c r="D37" i="39"/>
  <c r="G37" i="39"/>
  <c r="J37" i="39"/>
  <c r="M37" i="39"/>
  <c r="B38" i="39"/>
  <c r="D38" i="39"/>
  <c r="G38" i="39"/>
  <c r="J38" i="39"/>
  <c r="M38" i="39"/>
  <c r="B39" i="39"/>
  <c r="D39" i="39"/>
  <c r="G39" i="39"/>
  <c r="J39" i="39"/>
  <c r="M39" i="39"/>
  <c r="B40" i="39"/>
  <c r="D40" i="39"/>
  <c r="G40" i="39"/>
  <c r="J40" i="39"/>
  <c r="M40" i="39"/>
  <c r="G42" i="4"/>
  <c r="T140" i="42" l="1"/>
  <c r="P157" i="42"/>
  <c r="S157" i="42" s="1"/>
  <c r="O157" i="42"/>
  <c r="P208" i="42"/>
  <c r="P167" i="42"/>
  <c r="S167" i="42" s="1"/>
  <c r="O167" i="42"/>
  <c r="O155" i="42"/>
  <c r="P155" i="42"/>
  <c r="S155" i="42" s="1"/>
  <c r="P162" i="42"/>
  <c r="S162" i="42" s="1"/>
  <c r="O162" i="42"/>
  <c r="S96" i="43"/>
  <c r="T96" i="43" s="1"/>
  <c r="P143" i="42"/>
  <c r="S143" i="42" s="1"/>
  <c r="T143" i="42" s="1"/>
  <c r="P163" i="42"/>
  <c r="S163" i="42" s="1"/>
  <c r="O163" i="42"/>
  <c r="H111" i="43"/>
  <c r="L111" i="43" s="1"/>
  <c r="P111" i="43" s="1"/>
  <c r="D158" i="42"/>
  <c r="O164" i="42"/>
  <c r="P164" i="42"/>
  <c r="S164" i="42" s="1"/>
  <c r="D18" i="43"/>
  <c r="H18" i="43" s="1"/>
  <c r="L18" i="43" s="1"/>
  <c r="P18" i="43" s="1"/>
  <c r="D18" i="42"/>
  <c r="H18" i="42" s="1"/>
  <c r="L18" i="42" s="1"/>
  <c r="P18" i="42" s="1"/>
  <c r="P103" i="42"/>
  <c r="S103" i="42" s="1"/>
  <c r="O103" i="42"/>
  <c r="P165" i="42"/>
  <c r="S165" i="42" s="1"/>
  <c r="O165" i="42"/>
  <c r="P105" i="42"/>
  <c r="S105" i="42" s="1"/>
  <c r="O105" i="42"/>
  <c r="O153" i="42"/>
  <c r="P153" i="42"/>
  <c r="S153" i="42" s="1"/>
  <c r="O154" i="42"/>
  <c r="P154" i="42"/>
  <c r="S154" i="42" s="1"/>
  <c r="P102" i="42"/>
  <c r="S102" i="42" s="1"/>
  <c r="O102" i="42"/>
  <c r="P106" i="42"/>
  <c r="S106" i="42" s="1"/>
  <c r="O106" i="42"/>
  <c r="D38" i="43"/>
  <c r="H38" i="43" s="1"/>
  <c r="L38" i="43" s="1"/>
  <c r="P38" i="43" s="1"/>
  <c r="D38" i="42"/>
  <c r="H38" i="42" s="1"/>
  <c r="L38" i="42" s="1"/>
  <c r="P38" i="42" s="1"/>
  <c r="P156" i="42"/>
  <c r="S156" i="42" s="1"/>
  <c r="O156" i="42"/>
  <c r="P19" i="43"/>
  <c r="M78" i="52"/>
  <c r="I78" i="52"/>
  <c r="E78" i="52"/>
  <c r="G34" i="4"/>
  <c r="G28" i="4"/>
  <c r="Q78" i="52"/>
  <c r="G76" i="4"/>
  <c r="D76" i="43" s="1"/>
  <c r="O75" i="4"/>
  <c r="L75" i="4"/>
  <c r="I75" i="4"/>
  <c r="T102" i="42" l="1"/>
  <c r="T165" i="42"/>
  <c r="T155" i="42"/>
  <c r="T106" i="42"/>
  <c r="T103" i="42"/>
  <c r="T157" i="42"/>
  <c r="T167" i="42"/>
  <c r="T156" i="42"/>
  <c r="T105" i="42"/>
  <c r="T163" i="42"/>
  <c r="D27" i="43"/>
  <c r="H27" i="43" s="1"/>
  <c r="L27" i="43" s="1"/>
  <c r="P27" i="43" s="1"/>
  <c r="D27" i="42"/>
  <c r="H27" i="42" s="1"/>
  <c r="L27" i="42" s="1"/>
  <c r="P27" i="42" s="1"/>
  <c r="D30" i="43"/>
  <c r="H30" i="43" s="1"/>
  <c r="L30" i="43" s="1"/>
  <c r="P30" i="43" s="1"/>
  <c r="D30" i="42"/>
  <c r="H30" i="42" s="1"/>
  <c r="L30" i="42" s="1"/>
  <c r="P30" i="42" s="1"/>
  <c r="T153" i="42"/>
  <c r="E191" i="42"/>
  <c r="G191" i="42" s="1"/>
  <c r="G78" i="52"/>
  <c r="G82" i="52" s="1"/>
  <c r="I191" i="42"/>
  <c r="K191" i="42" s="1"/>
  <c r="K78" i="52"/>
  <c r="K82" i="52" s="1"/>
  <c r="H158" i="42"/>
  <c r="G158" i="42"/>
  <c r="Q191" i="42"/>
  <c r="S191" i="42" s="1"/>
  <c r="S78" i="52"/>
  <c r="D34" i="43"/>
  <c r="H34" i="43" s="1"/>
  <c r="L34" i="43" s="1"/>
  <c r="P34" i="43" s="1"/>
  <c r="D34" i="42"/>
  <c r="H34" i="42" s="1"/>
  <c r="L34" i="42" s="1"/>
  <c r="P34" i="42" s="1"/>
  <c r="T164" i="42"/>
  <c r="M191" i="42"/>
  <c r="O191" i="42" s="1"/>
  <c r="O78" i="52"/>
  <c r="O82" i="52" s="1"/>
  <c r="D24" i="43"/>
  <c r="H24" i="43" s="1"/>
  <c r="L24" i="43" s="1"/>
  <c r="P24" i="43" s="1"/>
  <c r="D24" i="42"/>
  <c r="H24" i="42" s="1"/>
  <c r="L24" i="42" s="1"/>
  <c r="P24" i="42" s="1"/>
  <c r="T154" i="42"/>
  <c r="S353" i="4"/>
  <c r="P353" i="4"/>
  <c r="M353" i="4"/>
  <c r="J353" i="4"/>
  <c r="G649" i="4"/>
  <c r="D57" i="52" s="1"/>
  <c r="H10" i="43" l="1"/>
  <c r="L10" i="43" s="1"/>
  <c r="P10" i="43" s="1"/>
  <c r="D10" i="42"/>
  <c r="H10" i="42" s="1"/>
  <c r="L10" i="42" s="1"/>
  <c r="P10" i="42" s="1"/>
  <c r="T78" i="52"/>
  <c r="S82" i="52"/>
  <c r="T82" i="52" s="1"/>
  <c r="T191" i="42"/>
  <c r="D97" i="42"/>
  <c r="H57" i="52"/>
  <c r="L158" i="42"/>
  <c r="K158" i="42"/>
  <c r="T353" i="4"/>
  <c r="V353" i="4" s="1"/>
  <c r="I425" i="4"/>
  <c r="L425" i="4"/>
  <c r="O425" i="4"/>
  <c r="R425" i="4"/>
  <c r="G425" i="4"/>
  <c r="D55" i="47" s="1"/>
  <c r="G342" i="4"/>
  <c r="D60" i="46" s="1"/>
  <c r="G250" i="4"/>
  <c r="D57" i="45" s="1"/>
  <c r="D92" i="42" s="1"/>
  <c r="R250" i="4"/>
  <c r="Q57" i="45" s="1"/>
  <c r="O250" i="4"/>
  <c r="M57" i="45" s="1"/>
  <c r="L250" i="4"/>
  <c r="I57" i="45" s="1"/>
  <c r="I250" i="4"/>
  <c r="E57" i="45" s="1"/>
  <c r="H97" i="42" l="1"/>
  <c r="L57" i="52"/>
  <c r="H92" i="42"/>
  <c r="P158" i="42"/>
  <c r="S158" i="42" s="1"/>
  <c r="O158" i="42"/>
  <c r="G39" i="4"/>
  <c r="G17" i="4"/>
  <c r="G32" i="4"/>
  <c r="G30" i="4"/>
  <c r="G29" i="4"/>
  <c r="G37" i="4"/>
  <c r="G16" i="4"/>
  <c r="G26" i="4"/>
  <c r="G25" i="4"/>
  <c r="G24" i="4"/>
  <c r="T158" i="42" l="1"/>
  <c r="D22" i="43"/>
  <c r="H22" i="43" s="1"/>
  <c r="L22" i="43" s="1"/>
  <c r="P22" i="43" s="1"/>
  <c r="D22" i="42"/>
  <c r="H22" i="42" s="1"/>
  <c r="L22" i="42" s="1"/>
  <c r="P22" i="42" s="1"/>
  <c r="D37" i="43"/>
  <c r="H37" i="43" s="1"/>
  <c r="L37" i="43" s="1"/>
  <c r="P37" i="43" s="1"/>
  <c r="D37" i="42"/>
  <c r="H37" i="42" s="1"/>
  <c r="L37" i="42" s="1"/>
  <c r="P37" i="42" s="1"/>
  <c r="D16" i="43"/>
  <c r="H16" i="43" s="1"/>
  <c r="L16" i="43" s="1"/>
  <c r="P16" i="43" s="1"/>
  <c r="D16" i="42"/>
  <c r="H16" i="42" s="1"/>
  <c r="L16" i="42" s="1"/>
  <c r="P16" i="42" s="1"/>
  <c r="D13" i="43"/>
  <c r="H13" i="43" s="1"/>
  <c r="L13" i="43" s="1"/>
  <c r="P13" i="43" s="1"/>
  <c r="D13" i="42"/>
  <c r="H13" i="42" s="1"/>
  <c r="L13" i="42" s="1"/>
  <c r="P13" i="42" s="1"/>
  <c r="D17" i="43"/>
  <c r="H17" i="43" s="1"/>
  <c r="L17" i="43" s="1"/>
  <c r="P17" i="43" s="1"/>
  <c r="D17" i="42"/>
  <c r="H17" i="42" s="1"/>
  <c r="L17" i="42" s="1"/>
  <c r="P17" i="42" s="1"/>
  <c r="D33" i="43"/>
  <c r="H33" i="43" s="1"/>
  <c r="L33" i="43" s="1"/>
  <c r="P33" i="43" s="1"/>
  <c r="D33" i="42"/>
  <c r="H33" i="42" s="1"/>
  <c r="L33" i="42" s="1"/>
  <c r="P33" i="42" s="1"/>
  <c r="D29" i="43"/>
  <c r="H29" i="43" s="1"/>
  <c r="L29" i="43" s="1"/>
  <c r="P29" i="43" s="1"/>
  <c r="D29" i="42"/>
  <c r="H29" i="42" s="1"/>
  <c r="L29" i="42" s="1"/>
  <c r="P29" i="42" s="1"/>
  <c r="D12" i="43"/>
  <c r="H12" i="43" s="1"/>
  <c r="L12" i="43" s="1"/>
  <c r="P12" i="43" s="1"/>
  <c r="D12" i="42"/>
  <c r="H12" i="42" s="1"/>
  <c r="L12" i="42" s="1"/>
  <c r="P12" i="42" s="1"/>
  <c r="D35" i="43"/>
  <c r="H35" i="43" s="1"/>
  <c r="L35" i="43" s="1"/>
  <c r="P35" i="43" s="1"/>
  <c r="D35" i="42"/>
  <c r="H35" i="42" s="1"/>
  <c r="L35" i="42" s="1"/>
  <c r="P35" i="42" s="1"/>
  <c r="P57" i="52"/>
  <c r="D32" i="43"/>
  <c r="H32" i="43" s="1"/>
  <c r="L32" i="43" s="1"/>
  <c r="P32" i="43" s="1"/>
  <c r="D32" i="42"/>
  <c r="H32" i="42" s="1"/>
  <c r="L32" i="42" s="1"/>
  <c r="P32" i="42" s="1"/>
  <c r="D25" i="43"/>
  <c r="H25" i="43" s="1"/>
  <c r="L25" i="43" s="1"/>
  <c r="P25" i="43" s="1"/>
  <c r="D25" i="42"/>
  <c r="H25" i="42" s="1"/>
  <c r="L25" i="42" s="1"/>
  <c r="P25" i="42" s="1"/>
  <c r="D20" i="43"/>
  <c r="H20" i="43" s="1"/>
  <c r="L20" i="43" s="1"/>
  <c r="P20" i="43" s="1"/>
  <c r="D20" i="42"/>
  <c r="H20" i="42" s="1"/>
  <c r="L20" i="42" s="1"/>
  <c r="P20" i="42" s="1"/>
  <c r="D26" i="43"/>
  <c r="H26" i="43" s="1"/>
  <c r="L26" i="43" s="1"/>
  <c r="P26" i="43" s="1"/>
  <c r="D26" i="42"/>
  <c r="H26" i="42" s="1"/>
  <c r="L26" i="42" s="1"/>
  <c r="P26" i="42" s="1"/>
  <c r="L92" i="42"/>
  <c r="D21" i="43"/>
  <c r="H21" i="43" s="1"/>
  <c r="L21" i="43" s="1"/>
  <c r="P21" i="43" s="1"/>
  <c r="D21" i="42"/>
  <c r="H21" i="42" s="1"/>
  <c r="L21" i="42" s="1"/>
  <c r="P21" i="42" s="1"/>
  <c r="D28" i="43"/>
  <c r="H28" i="43" s="1"/>
  <c r="L28" i="43" s="1"/>
  <c r="P28" i="43" s="1"/>
  <c r="D28" i="42"/>
  <c r="H28" i="42" s="1"/>
  <c r="L28" i="42" s="1"/>
  <c r="P28" i="42" s="1"/>
  <c r="L97" i="42"/>
  <c r="M157" i="30"/>
  <c r="M117" i="30"/>
  <c r="P258" i="4"/>
  <c r="M258" i="4"/>
  <c r="P257" i="4"/>
  <c r="Q278" i="4"/>
  <c r="R10" i="46" s="1"/>
  <c r="Q279" i="4"/>
  <c r="R11" i="46" s="1"/>
  <c r="Q280" i="4"/>
  <c r="R12" i="46" s="1"/>
  <c r="Q281" i="4"/>
  <c r="R13" i="46" s="1"/>
  <c r="Q282" i="4"/>
  <c r="R14" i="46" s="1"/>
  <c r="Q283" i="4"/>
  <c r="R15" i="46" s="1"/>
  <c r="Q284" i="4"/>
  <c r="R16" i="46" s="1"/>
  <c r="Q285" i="4"/>
  <c r="R17" i="46" s="1"/>
  <c r="Q286" i="4"/>
  <c r="R18" i="46" s="1"/>
  <c r="Q287" i="4"/>
  <c r="R19" i="46" s="1"/>
  <c r="Q288" i="4"/>
  <c r="R20" i="46" s="1"/>
  <c r="Q289" i="4"/>
  <c r="R21" i="46" s="1"/>
  <c r="Q290" i="4"/>
  <c r="R22" i="46" s="1"/>
  <c r="Q291" i="4"/>
  <c r="R23" i="46" s="1"/>
  <c r="Q292" i="4"/>
  <c r="R24" i="46" s="1"/>
  <c r="Q293" i="4"/>
  <c r="R25" i="46" s="1"/>
  <c r="Q294" i="4"/>
  <c r="R26" i="46" s="1"/>
  <c r="Q295" i="4"/>
  <c r="R27" i="46" s="1"/>
  <c r="Q296" i="4"/>
  <c r="R28" i="46" s="1"/>
  <c r="Q297" i="4"/>
  <c r="R29" i="46" s="1"/>
  <c r="Q298" i="4"/>
  <c r="R30" i="46" s="1"/>
  <c r="Q299" i="4"/>
  <c r="R31" i="46" s="1"/>
  <c r="Q300" i="4"/>
  <c r="R32" i="46" s="1"/>
  <c r="Q301" i="4"/>
  <c r="R33" i="46" s="1"/>
  <c r="Q302" i="4"/>
  <c r="R34" i="46" s="1"/>
  <c r="Q303" i="4"/>
  <c r="R35" i="46" s="1"/>
  <c r="Q304" i="4"/>
  <c r="R36" i="46" s="1"/>
  <c r="Q305" i="4"/>
  <c r="R37" i="46" s="1"/>
  <c r="Q306" i="4"/>
  <c r="R38" i="46" s="1"/>
  <c r="N278" i="4"/>
  <c r="N10" i="46" s="1"/>
  <c r="N279" i="4"/>
  <c r="N11" i="46" s="1"/>
  <c r="N280" i="4"/>
  <c r="N12" i="46" s="1"/>
  <c r="N281" i="4"/>
  <c r="N13" i="46" s="1"/>
  <c r="N282" i="4"/>
  <c r="N14" i="46" s="1"/>
  <c r="N283" i="4"/>
  <c r="N15" i="46" s="1"/>
  <c r="N284" i="4"/>
  <c r="N16" i="46" s="1"/>
  <c r="N285" i="4"/>
  <c r="N17" i="46" s="1"/>
  <c r="N286" i="4"/>
  <c r="N18" i="46" s="1"/>
  <c r="N287" i="4"/>
  <c r="N19" i="46" s="1"/>
  <c r="N288" i="4"/>
  <c r="N20" i="46" s="1"/>
  <c r="N289" i="4"/>
  <c r="N21" i="46" s="1"/>
  <c r="N290" i="4"/>
  <c r="N22" i="46" s="1"/>
  <c r="N291" i="4"/>
  <c r="N23" i="46" s="1"/>
  <c r="N292" i="4"/>
  <c r="N24" i="46" s="1"/>
  <c r="N293" i="4"/>
  <c r="N25" i="46" s="1"/>
  <c r="N294" i="4"/>
  <c r="N26" i="46" s="1"/>
  <c r="N295" i="4"/>
  <c r="N27" i="46" s="1"/>
  <c r="N296" i="4"/>
  <c r="N28" i="46" s="1"/>
  <c r="N297" i="4"/>
  <c r="N29" i="46" s="1"/>
  <c r="N298" i="4"/>
  <c r="N30" i="46" s="1"/>
  <c r="N299" i="4"/>
  <c r="N31" i="46" s="1"/>
  <c r="N300" i="4"/>
  <c r="N32" i="46" s="1"/>
  <c r="N301" i="4"/>
  <c r="N33" i="46" s="1"/>
  <c r="N302" i="4"/>
  <c r="N34" i="46" s="1"/>
  <c r="N303" i="4"/>
  <c r="N35" i="46" s="1"/>
  <c r="N304" i="4"/>
  <c r="N36" i="46" s="1"/>
  <c r="N305" i="4"/>
  <c r="N37" i="46" s="1"/>
  <c r="N306" i="4"/>
  <c r="N38" i="46" s="1"/>
  <c r="K278" i="4"/>
  <c r="J10" i="46" s="1"/>
  <c r="K279" i="4"/>
  <c r="J11" i="46" s="1"/>
  <c r="K280" i="4"/>
  <c r="J12" i="46" s="1"/>
  <c r="K281" i="4"/>
  <c r="J13" i="46" s="1"/>
  <c r="K282" i="4"/>
  <c r="J14" i="46" s="1"/>
  <c r="K283" i="4"/>
  <c r="J15" i="46" s="1"/>
  <c r="K284" i="4"/>
  <c r="J16" i="46" s="1"/>
  <c r="K285" i="4"/>
  <c r="J17" i="46" s="1"/>
  <c r="K286" i="4"/>
  <c r="J18" i="46" s="1"/>
  <c r="K287" i="4"/>
  <c r="J19" i="46" s="1"/>
  <c r="K288" i="4"/>
  <c r="J20" i="46" s="1"/>
  <c r="K289" i="4"/>
  <c r="J21" i="46" s="1"/>
  <c r="K290" i="4"/>
  <c r="J22" i="46" s="1"/>
  <c r="K291" i="4"/>
  <c r="J23" i="46" s="1"/>
  <c r="K292" i="4"/>
  <c r="J24" i="46" s="1"/>
  <c r="K293" i="4"/>
  <c r="J25" i="46" s="1"/>
  <c r="K294" i="4"/>
  <c r="J26" i="46" s="1"/>
  <c r="K295" i="4"/>
  <c r="J27" i="46" s="1"/>
  <c r="K296" i="4"/>
  <c r="J28" i="46" s="1"/>
  <c r="K297" i="4"/>
  <c r="J29" i="46" s="1"/>
  <c r="K298" i="4"/>
  <c r="J30" i="46" s="1"/>
  <c r="K299" i="4"/>
  <c r="J31" i="46" s="1"/>
  <c r="K300" i="4"/>
  <c r="J32" i="46" s="1"/>
  <c r="K301" i="4"/>
  <c r="J33" i="46" s="1"/>
  <c r="K302" i="4"/>
  <c r="J34" i="46" s="1"/>
  <c r="K303" i="4"/>
  <c r="J35" i="46" s="1"/>
  <c r="K304" i="4"/>
  <c r="J36" i="46" s="1"/>
  <c r="K305" i="4"/>
  <c r="J37" i="46" s="1"/>
  <c r="K306" i="4"/>
  <c r="J38" i="46" s="1"/>
  <c r="H278" i="4"/>
  <c r="F10" i="46" s="1"/>
  <c r="H279" i="4"/>
  <c r="F11" i="46" s="1"/>
  <c r="H280" i="4"/>
  <c r="F12" i="46" s="1"/>
  <c r="H281" i="4"/>
  <c r="F13" i="46" s="1"/>
  <c r="H282" i="4"/>
  <c r="F14" i="46" s="1"/>
  <c r="H283" i="4"/>
  <c r="F15" i="46" s="1"/>
  <c r="H284" i="4"/>
  <c r="F16" i="46" s="1"/>
  <c r="H285" i="4"/>
  <c r="F17" i="46" s="1"/>
  <c r="H286" i="4"/>
  <c r="F18" i="46" s="1"/>
  <c r="H287" i="4"/>
  <c r="F19" i="46" s="1"/>
  <c r="H288" i="4"/>
  <c r="F20" i="46" s="1"/>
  <c r="H289" i="4"/>
  <c r="F21" i="46" s="1"/>
  <c r="H290" i="4"/>
  <c r="F22" i="46" s="1"/>
  <c r="H291" i="4"/>
  <c r="F23" i="46" s="1"/>
  <c r="H292" i="4"/>
  <c r="F24" i="46" s="1"/>
  <c r="H293" i="4"/>
  <c r="F25" i="46" s="1"/>
  <c r="H294" i="4"/>
  <c r="F26" i="46" s="1"/>
  <c r="H295" i="4"/>
  <c r="F27" i="46" s="1"/>
  <c r="H296" i="4"/>
  <c r="F28" i="46" s="1"/>
  <c r="H297" i="4"/>
  <c r="F29" i="46" s="1"/>
  <c r="H298" i="4"/>
  <c r="F30" i="46" s="1"/>
  <c r="H299" i="4"/>
  <c r="F31" i="46" s="1"/>
  <c r="H300" i="4"/>
  <c r="F32" i="46" s="1"/>
  <c r="H301" i="4"/>
  <c r="F33" i="46" s="1"/>
  <c r="H302" i="4"/>
  <c r="F34" i="46" s="1"/>
  <c r="H303" i="4"/>
  <c r="F35" i="46" s="1"/>
  <c r="H304" i="4"/>
  <c r="F36" i="46" s="1"/>
  <c r="H305" i="4"/>
  <c r="F37" i="46" s="1"/>
  <c r="H306" i="4"/>
  <c r="F38" i="46" s="1"/>
  <c r="Q201" i="4"/>
  <c r="R10" i="45" s="1"/>
  <c r="Q202" i="4"/>
  <c r="R11" i="45" s="1"/>
  <c r="Q203" i="4"/>
  <c r="R12" i="45" s="1"/>
  <c r="Q204" i="4"/>
  <c r="R13" i="45" s="1"/>
  <c r="Q205" i="4"/>
  <c r="R14" i="45" s="1"/>
  <c r="Q206" i="4"/>
  <c r="R15" i="45" s="1"/>
  <c r="Q207" i="4"/>
  <c r="R16" i="45" s="1"/>
  <c r="Q208" i="4"/>
  <c r="R17" i="45" s="1"/>
  <c r="Q209" i="4"/>
  <c r="R18" i="45" s="1"/>
  <c r="Q210" i="4"/>
  <c r="R19" i="45" s="1"/>
  <c r="Q211" i="4"/>
  <c r="R20" i="45" s="1"/>
  <c r="Q212" i="4"/>
  <c r="R21" i="45" s="1"/>
  <c r="Q213" i="4"/>
  <c r="R22" i="45" s="1"/>
  <c r="Q214" i="4"/>
  <c r="R23" i="45" s="1"/>
  <c r="Q215" i="4"/>
  <c r="R24" i="45" s="1"/>
  <c r="Q216" i="4"/>
  <c r="R25" i="45" s="1"/>
  <c r="Q217" i="4"/>
  <c r="R26" i="45" s="1"/>
  <c r="Q218" i="4"/>
  <c r="R27" i="45" s="1"/>
  <c r="Q219" i="4"/>
  <c r="R28" i="45" s="1"/>
  <c r="Q220" i="4"/>
  <c r="R29" i="45" s="1"/>
  <c r="Q221" i="4"/>
  <c r="R30" i="45" s="1"/>
  <c r="Q222" i="4"/>
  <c r="R31" i="45" s="1"/>
  <c r="Q223" i="4"/>
  <c r="R32" i="45" s="1"/>
  <c r="Q224" i="4"/>
  <c r="R33" i="45" s="1"/>
  <c r="Q225" i="4"/>
  <c r="R34" i="45" s="1"/>
  <c r="Q226" i="4"/>
  <c r="R35" i="45" s="1"/>
  <c r="Q227" i="4"/>
  <c r="R36" i="45" s="1"/>
  <c r="Q228" i="4"/>
  <c r="R37" i="45" s="1"/>
  <c r="Q229" i="4"/>
  <c r="R38" i="45" s="1"/>
  <c r="N201" i="4"/>
  <c r="N10" i="45" s="1"/>
  <c r="N202" i="4"/>
  <c r="N11" i="45" s="1"/>
  <c r="N203" i="4"/>
  <c r="N12" i="45" s="1"/>
  <c r="N204" i="4"/>
  <c r="N13" i="45" s="1"/>
  <c r="N205" i="4"/>
  <c r="N14" i="45" s="1"/>
  <c r="N206" i="4"/>
  <c r="N15" i="45" s="1"/>
  <c r="N207" i="4"/>
  <c r="N16" i="45" s="1"/>
  <c r="N208" i="4"/>
  <c r="N17" i="45" s="1"/>
  <c r="N209" i="4"/>
  <c r="N18" i="45" s="1"/>
  <c r="N210" i="4"/>
  <c r="N19" i="45" s="1"/>
  <c r="N211" i="4"/>
  <c r="N20" i="45" s="1"/>
  <c r="N212" i="4"/>
  <c r="N21" i="45" s="1"/>
  <c r="N213" i="4"/>
  <c r="N22" i="45" s="1"/>
  <c r="N214" i="4"/>
  <c r="N23" i="45" s="1"/>
  <c r="N215" i="4"/>
  <c r="N24" i="45" s="1"/>
  <c r="N216" i="4"/>
  <c r="N25" i="45" s="1"/>
  <c r="N217" i="4"/>
  <c r="N26" i="45" s="1"/>
  <c r="N218" i="4"/>
  <c r="N27" i="45" s="1"/>
  <c r="N219" i="4"/>
  <c r="N28" i="45" s="1"/>
  <c r="N220" i="4"/>
  <c r="N29" i="45" s="1"/>
  <c r="N221" i="4"/>
  <c r="N30" i="45" s="1"/>
  <c r="N222" i="4"/>
  <c r="N31" i="45" s="1"/>
  <c r="N223" i="4"/>
  <c r="N32" i="45" s="1"/>
  <c r="N224" i="4"/>
  <c r="N33" i="45" s="1"/>
  <c r="N225" i="4"/>
  <c r="N34" i="45" s="1"/>
  <c r="N226" i="4"/>
  <c r="N35" i="45" s="1"/>
  <c r="N227" i="4"/>
  <c r="N36" i="45" s="1"/>
  <c r="N228" i="4"/>
  <c r="N37" i="45" s="1"/>
  <c r="N229" i="4"/>
  <c r="N38" i="45" s="1"/>
  <c r="K201" i="4"/>
  <c r="J10" i="45" s="1"/>
  <c r="K202" i="4"/>
  <c r="J11" i="45" s="1"/>
  <c r="K203" i="4"/>
  <c r="J12" i="45" s="1"/>
  <c r="K204" i="4"/>
  <c r="J13" i="45" s="1"/>
  <c r="K205" i="4"/>
  <c r="J14" i="45" s="1"/>
  <c r="K206" i="4"/>
  <c r="J15" i="45" s="1"/>
  <c r="K207" i="4"/>
  <c r="J16" i="45" s="1"/>
  <c r="K208" i="4"/>
  <c r="J17" i="45" s="1"/>
  <c r="K209" i="4"/>
  <c r="J18" i="45" s="1"/>
  <c r="K210" i="4"/>
  <c r="J19" i="45" s="1"/>
  <c r="K211" i="4"/>
  <c r="J20" i="45" s="1"/>
  <c r="K212" i="4"/>
  <c r="J21" i="45" s="1"/>
  <c r="K213" i="4"/>
  <c r="J22" i="45" s="1"/>
  <c r="K214" i="4"/>
  <c r="J23" i="45" s="1"/>
  <c r="K215" i="4"/>
  <c r="J24" i="45" s="1"/>
  <c r="K216" i="4"/>
  <c r="J25" i="45" s="1"/>
  <c r="K217" i="4"/>
  <c r="J26" i="45" s="1"/>
  <c r="K218" i="4"/>
  <c r="J27" i="45" s="1"/>
  <c r="K219" i="4"/>
  <c r="J28" i="45" s="1"/>
  <c r="K220" i="4"/>
  <c r="J29" i="45" s="1"/>
  <c r="K221" i="4"/>
  <c r="J30" i="45" s="1"/>
  <c r="K222" i="4"/>
  <c r="J31" i="45" s="1"/>
  <c r="K223" i="4"/>
  <c r="J32" i="45" s="1"/>
  <c r="K224" i="4"/>
  <c r="J33" i="45" s="1"/>
  <c r="K225" i="4"/>
  <c r="J34" i="45" s="1"/>
  <c r="K226" i="4"/>
  <c r="J35" i="45" s="1"/>
  <c r="K227" i="4"/>
  <c r="J36" i="45" s="1"/>
  <c r="K228" i="4"/>
  <c r="J37" i="45" s="1"/>
  <c r="K229" i="4"/>
  <c r="J38" i="45" s="1"/>
  <c r="H201" i="4"/>
  <c r="F10" i="45" s="1"/>
  <c r="H202" i="4"/>
  <c r="F11" i="45" s="1"/>
  <c r="H203" i="4"/>
  <c r="F12" i="45" s="1"/>
  <c r="H204" i="4"/>
  <c r="F13" i="45" s="1"/>
  <c r="H205" i="4"/>
  <c r="F14" i="45" s="1"/>
  <c r="H206" i="4"/>
  <c r="F15" i="45" s="1"/>
  <c r="H207" i="4"/>
  <c r="F16" i="45" s="1"/>
  <c r="H208" i="4"/>
  <c r="F17" i="45" s="1"/>
  <c r="H209" i="4"/>
  <c r="F18" i="45" s="1"/>
  <c r="H210" i="4"/>
  <c r="F19" i="45" s="1"/>
  <c r="H211" i="4"/>
  <c r="F20" i="45" s="1"/>
  <c r="H212" i="4"/>
  <c r="F21" i="45" s="1"/>
  <c r="H213" i="4"/>
  <c r="F22" i="45" s="1"/>
  <c r="H214" i="4"/>
  <c r="F23" i="45" s="1"/>
  <c r="H215" i="4"/>
  <c r="F24" i="45" s="1"/>
  <c r="H216" i="4"/>
  <c r="F25" i="45" s="1"/>
  <c r="H217" i="4"/>
  <c r="F26" i="45" s="1"/>
  <c r="H218" i="4"/>
  <c r="F27" i="45" s="1"/>
  <c r="H219" i="4"/>
  <c r="F28" i="45" s="1"/>
  <c r="H220" i="4"/>
  <c r="F29" i="45" s="1"/>
  <c r="H221" i="4"/>
  <c r="F30" i="45" s="1"/>
  <c r="H222" i="4"/>
  <c r="F31" i="45" s="1"/>
  <c r="H223" i="4"/>
  <c r="F32" i="45" s="1"/>
  <c r="H224" i="4"/>
  <c r="F33" i="45" s="1"/>
  <c r="H225" i="4"/>
  <c r="F34" i="45" s="1"/>
  <c r="H226" i="4"/>
  <c r="F35" i="45" s="1"/>
  <c r="H227" i="4"/>
  <c r="F36" i="45" s="1"/>
  <c r="H228" i="4"/>
  <c r="F37" i="45" s="1"/>
  <c r="H229" i="4"/>
  <c r="F38" i="45" s="1"/>
  <c r="Q147" i="4"/>
  <c r="R11" i="44" s="1"/>
  <c r="Q148" i="4"/>
  <c r="R12" i="44" s="1"/>
  <c r="Q149" i="4"/>
  <c r="R13" i="44" s="1"/>
  <c r="Q150" i="4"/>
  <c r="R14" i="44" s="1"/>
  <c r="Q151" i="4"/>
  <c r="R15" i="44" s="1"/>
  <c r="Q152" i="4"/>
  <c r="R16" i="44" s="1"/>
  <c r="Q153" i="4"/>
  <c r="R17" i="44" s="1"/>
  <c r="Q154" i="4"/>
  <c r="R18" i="44" s="1"/>
  <c r="Q155" i="4"/>
  <c r="R19" i="44" s="1"/>
  <c r="Q156" i="4"/>
  <c r="R20" i="44" s="1"/>
  <c r="Q157" i="4"/>
  <c r="R21" i="44" s="1"/>
  <c r="Q158" i="4"/>
  <c r="R22" i="44" s="1"/>
  <c r="Q159" i="4"/>
  <c r="R23" i="44" s="1"/>
  <c r="Q160" i="4"/>
  <c r="R24" i="44" s="1"/>
  <c r="Q161" i="4"/>
  <c r="R25" i="44" s="1"/>
  <c r="Q162" i="4"/>
  <c r="R26" i="44" s="1"/>
  <c r="Q163" i="4"/>
  <c r="R27" i="44" s="1"/>
  <c r="Q164" i="4"/>
  <c r="R28" i="44" s="1"/>
  <c r="Q165" i="4"/>
  <c r="R29" i="44" s="1"/>
  <c r="Q166" i="4"/>
  <c r="R30" i="44" s="1"/>
  <c r="Q167" i="4"/>
  <c r="R31" i="44" s="1"/>
  <c r="Q168" i="4"/>
  <c r="R32" i="44" s="1"/>
  <c r="Q169" i="4"/>
  <c r="R33" i="44" s="1"/>
  <c r="Q170" i="4"/>
  <c r="R34" i="44" s="1"/>
  <c r="Q171" i="4"/>
  <c r="R35" i="44" s="1"/>
  <c r="Q172" i="4"/>
  <c r="R36" i="44" s="1"/>
  <c r="Q173" i="4"/>
  <c r="R37" i="44" s="1"/>
  <c r="Q174" i="4"/>
  <c r="R38" i="44" s="1"/>
  <c r="Q175" i="4"/>
  <c r="N147" i="4"/>
  <c r="N12" i="44" s="1"/>
  <c r="N148" i="4"/>
  <c r="N13" i="44" s="1"/>
  <c r="N149" i="4"/>
  <c r="N14" i="44" s="1"/>
  <c r="N150" i="4"/>
  <c r="N15" i="44" s="1"/>
  <c r="N151" i="4"/>
  <c r="N16" i="44" s="1"/>
  <c r="N152" i="4"/>
  <c r="N17" i="44" s="1"/>
  <c r="N153" i="4"/>
  <c r="N18" i="44" s="1"/>
  <c r="N154" i="4"/>
  <c r="N19" i="44" s="1"/>
  <c r="N155" i="4"/>
  <c r="N20" i="44" s="1"/>
  <c r="N156" i="4"/>
  <c r="N21" i="44" s="1"/>
  <c r="N157" i="4"/>
  <c r="N22" i="44" s="1"/>
  <c r="N158" i="4"/>
  <c r="N23" i="44" s="1"/>
  <c r="N159" i="4"/>
  <c r="N24" i="44" s="1"/>
  <c r="N160" i="4"/>
  <c r="N25" i="44" s="1"/>
  <c r="N161" i="4"/>
  <c r="N26" i="44" s="1"/>
  <c r="N162" i="4"/>
  <c r="N27" i="44" s="1"/>
  <c r="N163" i="4"/>
  <c r="N28" i="44" s="1"/>
  <c r="N164" i="4"/>
  <c r="N29" i="44" s="1"/>
  <c r="N165" i="4"/>
  <c r="N30" i="44" s="1"/>
  <c r="N166" i="4"/>
  <c r="N31" i="44" s="1"/>
  <c r="N167" i="4"/>
  <c r="N32" i="44" s="1"/>
  <c r="N168" i="4"/>
  <c r="N33" i="44" s="1"/>
  <c r="N169" i="4"/>
  <c r="N34" i="44" s="1"/>
  <c r="N170" i="4"/>
  <c r="N35" i="44" s="1"/>
  <c r="N171" i="4"/>
  <c r="N36" i="44" s="1"/>
  <c r="N172" i="4"/>
  <c r="N37" i="44" s="1"/>
  <c r="N173" i="4"/>
  <c r="N38" i="44" s="1"/>
  <c r="N174" i="4"/>
  <c r="N175" i="4"/>
  <c r="K147" i="4"/>
  <c r="J11" i="44" s="1"/>
  <c r="K148" i="4"/>
  <c r="J12" i="44" s="1"/>
  <c r="K149" i="4"/>
  <c r="J13" i="44" s="1"/>
  <c r="K150" i="4"/>
  <c r="J14" i="44" s="1"/>
  <c r="K151" i="4"/>
  <c r="J15" i="44" s="1"/>
  <c r="K152" i="4"/>
  <c r="J16" i="44" s="1"/>
  <c r="K153" i="4"/>
  <c r="J17" i="44" s="1"/>
  <c r="K154" i="4"/>
  <c r="J18" i="44" s="1"/>
  <c r="K155" i="4"/>
  <c r="J19" i="44" s="1"/>
  <c r="K156" i="4"/>
  <c r="J20" i="44" s="1"/>
  <c r="K157" i="4"/>
  <c r="J21" i="44" s="1"/>
  <c r="K158" i="4"/>
  <c r="J22" i="44" s="1"/>
  <c r="K159" i="4"/>
  <c r="J23" i="44" s="1"/>
  <c r="K160" i="4"/>
  <c r="J24" i="44" s="1"/>
  <c r="K161" i="4"/>
  <c r="J25" i="44" s="1"/>
  <c r="K162" i="4"/>
  <c r="J26" i="44" s="1"/>
  <c r="K163" i="4"/>
  <c r="J27" i="44" s="1"/>
  <c r="K164" i="4"/>
  <c r="J28" i="44" s="1"/>
  <c r="K165" i="4"/>
  <c r="J29" i="44" s="1"/>
  <c r="K166" i="4"/>
  <c r="J30" i="44" s="1"/>
  <c r="K167" i="4"/>
  <c r="J31" i="44" s="1"/>
  <c r="K168" i="4"/>
  <c r="J32" i="44" s="1"/>
  <c r="K169" i="4"/>
  <c r="J33" i="44" s="1"/>
  <c r="K170" i="4"/>
  <c r="J34" i="44" s="1"/>
  <c r="K171" i="4"/>
  <c r="J35" i="44" s="1"/>
  <c r="K172" i="4"/>
  <c r="J36" i="44" s="1"/>
  <c r="K173" i="4"/>
  <c r="J37" i="44" s="1"/>
  <c r="K174" i="4"/>
  <c r="J38" i="44" s="1"/>
  <c r="K175" i="4"/>
  <c r="H147" i="4"/>
  <c r="F11" i="44" s="1"/>
  <c r="H148" i="4"/>
  <c r="F12" i="44" s="1"/>
  <c r="H149" i="4"/>
  <c r="F13" i="44" s="1"/>
  <c r="H150" i="4"/>
  <c r="F14" i="44" s="1"/>
  <c r="H151" i="4"/>
  <c r="F15" i="44" s="1"/>
  <c r="H152" i="4"/>
  <c r="F16" i="44" s="1"/>
  <c r="H153" i="4"/>
  <c r="F17" i="44" s="1"/>
  <c r="H154" i="4"/>
  <c r="F18" i="44" s="1"/>
  <c r="H155" i="4"/>
  <c r="F19" i="44" s="1"/>
  <c r="H156" i="4"/>
  <c r="F20" i="44" s="1"/>
  <c r="H157" i="4"/>
  <c r="F21" i="44" s="1"/>
  <c r="H158" i="4"/>
  <c r="F22" i="44" s="1"/>
  <c r="H159" i="4"/>
  <c r="F23" i="44" s="1"/>
  <c r="H160" i="4"/>
  <c r="F24" i="44" s="1"/>
  <c r="H161" i="4"/>
  <c r="F25" i="44" s="1"/>
  <c r="H162" i="4"/>
  <c r="F26" i="44" s="1"/>
  <c r="H163" i="4"/>
  <c r="F27" i="44" s="1"/>
  <c r="H164" i="4"/>
  <c r="F28" i="44" s="1"/>
  <c r="H165" i="4"/>
  <c r="F29" i="44" s="1"/>
  <c r="H166" i="4"/>
  <c r="F30" i="44" s="1"/>
  <c r="H167" i="4"/>
  <c r="F31" i="44" s="1"/>
  <c r="H168" i="4"/>
  <c r="F32" i="44" s="1"/>
  <c r="H169" i="4"/>
  <c r="F33" i="44" s="1"/>
  <c r="H170" i="4"/>
  <c r="F34" i="44" s="1"/>
  <c r="H171" i="4"/>
  <c r="F35" i="44" s="1"/>
  <c r="H172" i="4"/>
  <c r="F36" i="44" s="1"/>
  <c r="H173" i="4"/>
  <c r="F37" i="44" s="1"/>
  <c r="H174" i="4"/>
  <c r="F38" i="44" s="1"/>
  <c r="Q14" i="4"/>
  <c r="R10" i="43" s="1"/>
  <c r="Q15" i="4"/>
  <c r="R11" i="43" s="1"/>
  <c r="Q16" i="4"/>
  <c r="R12" i="43" s="1"/>
  <c r="Q17" i="4"/>
  <c r="R13" i="43" s="1"/>
  <c r="Q18" i="4"/>
  <c r="R14" i="43" s="1"/>
  <c r="Q19" i="4"/>
  <c r="R15" i="43" s="1"/>
  <c r="Q20" i="4"/>
  <c r="R16" i="43" s="1"/>
  <c r="Q21" i="4"/>
  <c r="R17" i="43" s="1"/>
  <c r="Q22" i="4"/>
  <c r="R18" i="43" s="1"/>
  <c r="S18" i="43" s="1"/>
  <c r="Q23" i="4"/>
  <c r="R19" i="43" s="1"/>
  <c r="Q24" i="4"/>
  <c r="R20" i="43" s="1"/>
  <c r="S20" i="43" s="1"/>
  <c r="Q25" i="4"/>
  <c r="R21" i="43" s="1"/>
  <c r="Q26" i="4"/>
  <c r="R22" i="43" s="1"/>
  <c r="S22" i="43" s="1"/>
  <c r="Q27" i="4"/>
  <c r="R23" i="43" s="1"/>
  <c r="Q28" i="4"/>
  <c r="R24" i="43" s="1"/>
  <c r="S24" i="43" s="1"/>
  <c r="Q29" i="4"/>
  <c r="R25" i="43" s="1"/>
  <c r="Q30" i="4"/>
  <c r="R26" i="43" s="1"/>
  <c r="S26" i="43" s="1"/>
  <c r="Q31" i="4"/>
  <c r="R27" i="43" s="1"/>
  <c r="Q32" i="4"/>
  <c r="R28" i="43" s="1"/>
  <c r="Q33" i="4"/>
  <c r="R29" i="43" s="1"/>
  <c r="Q34" i="4"/>
  <c r="R30" i="43" s="1"/>
  <c r="S30" i="43" s="1"/>
  <c r="Q35" i="4"/>
  <c r="R31" i="43" s="1"/>
  <c r="Q36" i="4"/>
  <c r="Q37" i="4"/>
  <c r="R33" i="43" s="1"/>
  <c r="Q38" i="4"/>
  <c r="R34" i="43" s="1"/>
  <c r="S34" i="43" s="1"/>
  <c r="Q39" i="4"/>
  <c r="R35" i="43" s="1"/>
  <c r="Q40" i="4"/>
  <c r="R36" i="43" s="1"/>
  <c r="Q41" i="4"/>
  <c r="R37" i="43" s="1"/>
  <c r="Q42" i="4"/>
  <c r="R38" i="43" s="1"/>
  <c r="S38" i="43" s="1"/>
  <c r="N14" i="4"/>
  <c r="N10" i="43" s="1"/>
  <c r="N15" i="4"/>
  <c r="N11" i="43" s="1"/>
  <c r="O11" i="43" s="1"/>
  <c r="N16" i="4"/>
  <c r="N12" i="43" s="1"/>
  <c r="N17" i="4"/>
  <c r="N13" i="43" s="1"/>
  <c r="N18" i="4"/>
  <c r="N14" i="43" s="1"/>
  <c r="O14" i="43" s="1"/>
  <c r="N19" i="4"/>
  <c r="N20" i="4"/>
  <c r="N16" i="43" s="1"/>
  <c r="N21" i="4"/>
  <c r="N17" i="43" s="1"/>
  <c r="N22" i="4"/>
  <c r="N18" i="43" s="1"/>
  <c r="O18" i="43" s="1"/>
  <c r="N23" i="4"/>
  <c r="N19" i="43" s="1"/>
  <c r="O19" i="43" s="1"/>
  <c r="N24" i="4"/>
  <c r="N20" i="43" s="1"/>
  <c r="N25" i="4"/>
  <c r="N21" i="43" s="1"/>
  <c r="N26" i="4"/>
  <c r="N22" i="43" s="1"/>
  <c r="O22" i="43" s="1"/>
  <c r="N27" i="4"/>
  <c r="N23" i="43" s="1"/>
  <c r="N28" i="4"/>
  <c r="N24" i="43" s="1"/>
  <c r="O24" i="43" s="1"/>
  <c r="N29" i="4"/>
  <c r="N25" i="43" s="1"/>
  <c r="O25" i="43" s="1"/>
  <c r="N30" i="4"/>
  <c r="N26" i="43" s="1"/>
  <c r="O26" i="43" s="1"/>
  <c r="N31" i="4"/>
  <c r="N27" i="43" s="1"/>
  <c r="O27" i="43" s="1"/>
  <c r="N32" i="4"/>
  <c r="N28" i="43" s="1"/>
  <c r="N33" i="4"/>
  <c r="N29" i="43" s="1"/>
  <c r="N34" i="4"/>
  <c r="N30" i="43" s="1"/>
  <c r="O30" i="43" s="1"/>
  <c r="N35" i="4"/>
  <c r="N31" i="43" s="1"/>
  <c r="O31" i="43" s="1"/>
  <c r="N36" i="4"/>
  <c r="N37" i="4"/>
  <c r="N33" i="43" s="1"/>
  <c r="N38" i="4"/>
  <c r="N34" i="43" s="1"/>
  <c r="O34" i="43" s="1"/>
  <c r="N39" i="4"/>
  <c r="N35" i="43" s="1"/>
  <c r="O35" i="43" s="1"/>
  <c r="N40" i="4"/>
  <c r="N36" i="43" s="1"/>
  <c r="N41" i="4"/>
  <c r="N37" i="43" s="1"/>
  <c r="N42" i="4"/>
  <c r="N38" i="43" s="1"/>
  <c r="O38" i="43" s="1"/>
  <c r="K14" i="4"/>
  <c r="J10" i="43" s="1"/>
  <c r="K15" i="4"/>
  <c r="J11" i="43" s="1"/>
  <c r="K16" i="4"/>
  <c r="J12" i="43" s="1"/>
  <c r="K17" i="4"/>
  <c r="J13" i="43" s="1"/>
  <c r="K18" i="4"/>
  <c r="J14" i="43" s="1"/>
  <c r="K19" i="4"/>
  <c r="K20" i="4"/>
  <c r="J16" i="43" s="1"/>
  <c r="K21" i="4"/>
  <c r="J17" i="43" s="1"/>
  <c r="K22" i="4"/>
  <c r="J18" i="43" s="1"/>
  <c r="K23" i="4"/>
  <c r="K24" i="4"/>
  <c r="J20" i="43" s="1"/>
  <c r="K25" i="4"/>
  <c r="J21" i="43" s="1"/>
  <c r="K26" i="4"/>
  <c r="J22" i="43" s="1"/>
  <c r="K27" i="4"/>
  <c r="J23" i="43" s="1"/>
  <c r="K28" i="4"/>
  <c r="J24" i="43" s="1"/>
  <c r="K29" i="4"/>
  <c r="J25" i="43" s="1"/>
  <c r="K30" i="4"/>
  <c r="J26" i="43" s="1"/>
  <c r="K31" i="4"/>
  <c r="J27" i="43" s="1"/>
  <c r="K27" i="43" s="1"/>
  <c r="K32" i="4"/>
  <c r="J28" i="43" s="1"/>
  <c r="K33" i="4"/>
  <c r="J29" i="43" s="1"/>
  <c r="K34" i="4"/>
  <c r="J30" i="43" s="1"/>
  <c r="K35" i="4"/>
  <c r="J31" i="43" s="1"/>
  <c r="K31" i="43" s="1"/>
  <c r="K36" i="4"/>
  <c r="K37" i="4"/>
  <c r="J33" i="43" s="1"/>
  <c r="K33" i="43" s="1"/>
  <c r="K38" i="4"/>
  <c r="J34" i="43" s="1"/>
  <c r="K39" i="4"/>
  <c r="J35" i="43" s="1"/>
  <c r="K40" i="4"/>
  <c r="J36" i="43" s="1"/>
  <c r="K41" i="4"/>
  <c r="J37" i="43" s="1"/>
  <c r="K37" i="43" s="1"/>
  <c r="K42" i="4"/>
  <c r="J38" i="43" s="1"/>
  <c r="H14" i="4"/>
  <c r="F10" i="43" s="1"/>
  <c r="H15" i="4"/>
  <c r="F11" i="43" s="1"/>
  <c r="H16" i="4"/>
  <c r="F12" i="43" s="1"/>
  <c r="H17" i="4"/>
  <c r="F13" i="43" s="1"/>
  <c r="H18" i="4"/>
  <c r="F14" i="43" s="1"/>
  <c r="G14" i="43" s="1"/>
  <c r="H19" i="4"/>
  <c r="H20" i="4"/>
  <c r="F16" i="43" s="1"/>
  <c r="H21" i="4"/>
  <c r="F17" i="43" s="1"/>
  <c r="H22" i="4"/>
  <c r="F18" i="43" s="1"/>
  <c r="G18" i="43" s="1"/>
  <c r="H23" i="4"/>
  <c r="F19" i="43" s="1"/>
  <c r="G19" i="43" s="1"/>
  <c r="H24" i="4"/>
  <c r="F20" i="43" s="1"/>
  <c r="H25" i="4"/>
  <c r="H26" i="4"/>
  <c r="F22" i="43" s="1"/>
  <c r="G22" i="43" s="1"/>
  <c r="H27" i="4"/>
  <c r="F23" i="43" s="1"/>
  <c r="H28" i="4"/>
  <c r="F24" i="43" s="1"/>
  <c r="G24" i="43" s="1"/>
  <c r="H29" i="4"/>
  <c r="F25" i="43" s="1"/>
  <c r="H30" i="4"/>
  <c r="F26" i="43" s="1"/>
  <c r="G26" i="43" s="1"/>
  <c r="H31" i="4"/>
  <c r="F27" i="43" s="1"/>
  <c r="G27" i="43" s="1"/>
  <c r="H32" i="4"/>
  <c r="F28" i="43" s="1"/>
  <c r="H33" i="4"/>
  <c r="F29" i="43" s="1"/>
  <c r="H34" i="4"/>
  <c r="F30" i="43" s="1"/>
  <c r="G30" i="43" s="1"/>
  <c r="H35" i="4"/>
  <c r="F31" i="43" s="1"/>
  <c r="G31" i="43" s="1"/>
  <c r="H36" i="4"/>
  <c r="H37" i="4"/>
  <c r="F33" i="43" s="1"/>
  <c r="H38" i="4"/>
  <c r="F34" i="43" s="1"/>
  <c r="G34" i="43" s="1"/>
  <c r="H39" i="4"/>
  <c r="F35" i="43" s="1"/>
  <c r="H40" i="4"/>
  <c r="F36" i="43" s="1"/>
  <c r="H41" i="4"/>
  <c r="F37" i="43" s="1"/>
  <c r="H42" i="4"/>
  <c r="F38" i="43" s="1"/>
  <c r="G38" i="43" s="1"/>
  <c r="M132" i="30"/>
  <c r="H44" i="4"/>
  <c r="M44" i="30"/>
  <c r="S94" i="4"/>
  <c r="S415" i="4"/>
  <c r="P415" i="4"/>
  <c r="M415" i="4"/>
  <c r="J415" i="4"/>
  <c r="O37" i="43" l="1"/>
  <c r="G16" i="43"/>
  <c r="K29" i="43"/>
  <c r="K21" i="43"/>
  <c r="O29" i="43"/>
  <c r="O21" i="43"/>
  <c r="S28" i="43"/>
  <c r="G28" i="43"/>
  <c r="G12" i="43"/>
  <c r="O13" i="43"/>
  <c r="O12" i="43"/>
  <c r="G13" i="43"/>
  <c r="F15" i="43"/>
  <c r="G15" i="43" s="1"/>
  <c r="J19" i="4"/>
  <c r="J19" i="43"/>
  <c r="K19" i="43" s="1"/>
  <c r="M23" i="4"/>
  <c r="N32" i="43"/>
  <c r="O32" i="43" s="1"/>
  <c r="P36" i="4"/>
  <c r="N15" i="43"/>
  <c r="O15" i="43" s="1"/>
  <c r="P19" i="4"/>
  <c r="F41" i="43"/>
  <c r="F41" i="42" s="1"/>
  <c r="J44" i="4"/>
  <c r="J32" i="43"/>
  <c r="K32" i="43" s="1"/>
  <c r="M36" i="4"/>
  <c r="F32" i="43"/>
  <c r="G32" i="43" s="1"/>
  <c r="J36" i="4"/>
  <c r="J15" i="43"/>
  <c r="K15" i="43" s="1"/>
  <c r="M19" i="4"/>
  <c r="R32" i="43"/>
  <c r="S32" i="43" s="1"/>
  <c r="S36" i="4"/>
  <c r="K35" i="43"/>
  <c r="G17" i="43"/>
  <c r="O20" i="43"/>
  <c r="O33" i="43"/>
  <c r="G33" i="43"/>
  <c r="K25" i="43"/>
  <c r="G20" i="43"/>
  <c r="O28" i="43"/>
  <c r="G37" i="43"/>
  <c r="G29" i="43"/>
  <c r="K17" i="43"/>
  <c r="O17" i="43"/>
  <c r="O16" i="43"/>
  <c r="K11" i="43"/>
  <c r="S21" i="43"/>
  <c r="S37" i="43"/>
  <c r="S29" i="43"/>
  <c r="S13" i="43"/>
  <c r="K34" i="43"/>
  <c r="T34" i="43" s="1"/>
  <c r="K26" i="43"/>
  <c r="T26" i="43" s="1"/>
  <c r="K18" i="43"/>
  <c r="T18" i="43" s="1"/>
  <c r="S12" i="43"/>
  <c r="S35" i="43"/>
  <c r="K24" i="43"/>
  <c r="T24" i="43" s="1"/>
  <c r="S27" i="43"/>
  <c r="T27" i="43" s="1"/>
  <c r="G35" i="43"/>
  <c r="G11" i="43"/>
  <c r="K16" i="43"/>
  <c r="P92" i="42"/>
  <c r="S25" i="43"/>
  <c r="P97" i="42"/>
  <c r="S33" i="43"/>
  <c r="S17" i="43"/>
  <c r="G25" i="43"/>
  <c r="K38" i="43"/>
  <c r="T38" i="43" s="1"/>
  <c r="K30" i="43"/>
  <c r="T30" i="43" s="1"/>
  <c r="K22" i="43"/>
  <c r="T22" i="43" s="1"/>
  <c r="K14" i="43"/>
  <c r="S16" i="43"/>
  <c r="S19" i="43"/>
  <c r="S11" i="43"/>
  <c r="S31" i="43"/>
  <c r="T31" i="43" s="1"/>
  <c r="K13" i="43"/>
  <c r="S15" i="43"/>
  <c r="K28" i="43"/>
  <c r="K20" i="43"/>
  <c r="K12" i="43"/>
  <c r="S14" i="43"/>
  <c r="J25" i="4"/>
  <c r="F21" i="43"/>
  <c r="G21" i="43" s="1"/>
  <c r="R649" i="4"/>
  <c r="Q57" i="52" s="1"/>
  <c r="Q97" i="42" s="1"/>
  <c r="O649" i="4"/>
  <c r="M57" i="52" s="1"/>
  <c r="L649" i="4"/>
  <c r="I57" i="52" s="1"/>
  <c r="I649" i="4"/>
  <c r="E57" i="52" s="1"/>
  <c r="P657" i="4"/>
  <c r="J657" i="4"/>
  <c r="E660" i="4"/>
  <c r="S656" i="4"/>
  <c r="P656" i="4"/>
  <c r="M656" i="4"/>
  <c r="J656" i="4"/>
  <c r="M657" i="4"/>
  <c r="S657" i="4"/>
  <c r="B76" i="30"/>
  <c r="T13" i="43" l="1"/>
  <c r="T19" i="43"/>
  <c r="T11" i="43"/>
  <c r="T20" i="43"/>
  <c r="T28" i="43"/>
  <c r="T32" i="43"/>
  <c r="T15" i="43"/>
  <c r="T37" i="43"/>
  <c r="T35" i="43"/>
  <c r="T33" i="43"/>
  <c r="T12" i="43"/>
  <c r="T25" i="43"/>
  <c r="T17" i="43"/>
  <c r="S97" i="42"/>
  <c r="T21" i="43"/>
  <c r="T14" i="43"/>
  <c r="T29" i="43"/>
  <c r="T16" i="43"/>
  <c r="M647" i="4"/>
  <c r="I51" i="52"/>
  <c r="S647" i="4"/>
  <c r="Q51" i="52"/>
  <c r="E97" i="42"/>
  <c r="G97" i="42" s="1"/>
  <c r="G57" i="52"/>
  <c r="P647" i="4"/>
  <c r="M51" i="52"/>
  <c r="M97" i="42"/>
  <c r="O97" i="42" s="1"/>
  <c r="O57" i="52"/>
  <c r="I97" i="42"/>
  <c r="K97" i="42" s="1"/>
  <c r="K57" i="52"/>
  <c r="J647" i="4"/>
  <c r="E51" i="52"/>
  <c r="S57" i="52"/>
  <c r="R648" i="4"/>
  <c r="O648" i="4"/>
  <c r="L648" i="4"/>
  <c r="I648" i="4"/>
  <c r="T656" i="4"/>
  <c r="V656" i="4" s="1"/>
  <c r="T657" i="4"/>
  <c r="V657" i="4" s="1"/>
  <c r="T647" i="4" l="1"/>
  <c r="V647" i="4" s="1"/>
  <c r="T97" i="42"/>
  <c r="J648" i="4"/>
  <c r="E54" i="52"/>
  <c r="Q66" i="42"/>
  <c r="S66" i="42" s="1"/>
  <c r="S51" i="52"/>
  <c r="M648" i="4"/>
  <c r="I54" i="52"/>
  <c r="P648" i="4"/>
  <c r="M54" i="52"/>
  <c r="I66" i="42"/>
  <c r="K66" i="42" s="1"/>
  <c r="K51" i="52"/>
  <c r="M66" i="42"/>
  <c r="O66" i="42" s="1"/>
  <c r="O51" i="52"/>
  <c r="G51" i="52"/>
  <c r="E66" i="42"/>
  <c r="G66" i="42" s="1"/>
  <c r="T57" i="52"/>
  <c r="S648" i="4"/>
  <c r="Q54" i="52"/>
  <c r="T648" i="4" l="1"/>
  <c r="V648" i="4" s="1"/>
  <c r="T66" i="42"/>
  <c r="M81" i="42"/>
  <c r="O81" i="42" s="1"/>
  <c r="O54" i="52"/>
  <c r="O59" i="52" s="1"/>
  <c r="I81" i="42"/>
  <c r="K81" i="42" s="1"/>
  <c r="K54" i="52"/>
  <c r="K59" i="52" s="1"/>
  <c r="T51" i="52"/>
  <c r="E81" i="42"/>
  <c r="G81" i="42" s="1"/>
  <c r="G54" i="52"/>
  <c r="G59" i="52" s="1"/>
  <c r="Q81" i="42"/>
  <c r="S81" i="42" s="1"/>
  <c r="S54" i="52"/>
  <c r="S59" i="52" s="1"/>
  <c r="T81" i="42" l="1"/>
  <c r="T54" i="52"/>
  <c r="T59" i="52" s="1"/>
  <c r="U358" i="4"/>
  <c r="E358" i="4"/>
  <c r="J357" i="4" l="1"/>
  <c r="E101" i="46"/>
  <c r="E186" i="42" s="1"/>
  <c r="G186" i="42" s="1"/>
  <c r="S357" i="4"/>
  <c r="Q101" i="46"/>
  <c r="Q186" i="42" s="1"/>
  <c r="S186" i="42" s="1"/>
  <c r="M357" i="4"/>
  <c r="I101" i="46"/>
  <c r="I186" i="42" s="1"/>
  <c r="K186" i="42" s="1"/>
  <c r="P357" i="4"/>
  <c r="M101" i="46"/>
  <c r="M186" i="42" s="1"/>
  <c r="O186" i="42" s="1"/>
  <c r="L344" i="4"/>
  <c r="O344" i="4"/>
  <c r="R344" i="4"/>
  <c r="I344" i="4"/>
  <c r="T186" i="42" l="1"/>
  <c r="T357" i="4"/>
  <c r="V357" i="4" s="1"/>
  <c r="J344" i="4"/>
  <c r="E55" i="46"/>
  <c r="S344" i="4"/>
  <c r="Q55" i="46"/>
  <c r="P344" i="4"/>
  <c r="M55" i="46"/>
  <c r="M344" i="4"/>
  <c r="I55" i="46"/>
  <c r="S55" i="46" l="1"/>
  <c r="Q75" i="42"/>
  <c r="S75" i="42" s="1"/>
  <c r="G55" i="46"/>
  <c r="E75" i="42"/>
  <c r="G75" i="42" s="1"/>
  <c r="O55" i="46"/>
  <c r="M75" i="42"/>
  <c r="O75" i="42" s="1"/>
  <c r="K55" i="46"/>
  <c r="I75" i="42"/>
  <c r="K75" i="42" s="1"/>
  <c r="T344" i="4"/>
  <c r="V344" i="4" s="1"/>
  <c r="T55" i="46" l="1"/>
  <c r="T75" i="42"/>
  <c r="D41" i="43"/>
  <c r="H41" i="43" s="1"/>
  <c r="L41" i="43" s="1"/>
  <c r="P41" i="43" s="1"/>
  <c r="D41" i="42"/>
  <c r="H41" i="42" s="1"/>
  <c r="L41" i="42" s="1"/>
  <c r="P41" i="42" s="1"/>
  <c r="D70" i="46"/>
  <c r="D115" i="42" s="1"/>
  <c r="G115" i="42" s="1"/>
  <c r="S352" i="4"/>
  <c r="P352" i="4"/>
  <c r="M352" i="4"/>
  <c r="J352" i="4"/>
  <c r="P354" i="4"/>
  <c r="J354" i="4"/>
  <c r="S351" i="4"/>
  <c r="P351" i="4"/>
  <c r="M351" i="4"/>
  <c r="J351" i="4"/>
  <c r="S354" i="4"/>
  <c r="M354" i="4"/>
  <c r="H70" i="46" l="1"/>
  <c r="H115" i="42" s="1"/>
  <c r="K115" i="42" s="1"/>
  <c r="G70" i="46"/>
  <c r="T352" i="4"/>
  <c r="V352" i="4" s="1"/>
  <c r="T354" i="4"/>
  <c r="V354" i="4" s="1"/>
  <c r="T351" i="4"/>
  <c r="V351" i="4" s="1"/>
  <c r="G331" i="4"/>
  <c r="D84" i="46" s="1"/>
  <c r="D169" i="42" s="1"/>
  <c r="G345" i="4"/>
  <c r="D56" i="46" s="1"/>
  <c r="D76" i="42" s="1"/>
  <c r="S335" i="4"/>
  <c r="P335" i="4"/>
  <c r="M335" i="4"/>
  <c r="J335" i="4"/>
  <c r="R251" i="4"/>
  <c r="O251" i="4"/>
  <c r="L251" i="4"/>
  <c r="I251" i="4"/>
  <c r="S260" i="4"/>
  <c r="P260" i="4"/>
  <c r="M260" i="4"/>
  <c r="J260" i="4"/>
  <c r="H76" i="42" l="1"/>
  <c r="G76" i="42"/>
  <c r="J251" i="4"/>
  <c r="E53" i="45"/>
  <c r="E72" i="42" s="1"/>
  <c r="G72" i="42" s="1"/>
  <c r="P251" i="4"/>
  <c r="M53" i="45"/>
  <c r="M72" i="42" s="1"/>
  <c r="O72" i="42" s="1"/>
  <c r="H56" i="46"/>
  <c r="G56" i="46"/>
  <c r="S251" i="4"/>
  <c r="Q53" i="45"/>
  <c r="Q72" i="42" s="1"/>
  <c r="S72" i="42" s="1"/>
  <c r="M251" i="4"/>
  <c r="I53" i="45"/>
  <c r="I72" i="42" s="1"/>
  <c r="K72" i="42" s="1"/>
  <c r="L70" i="46"/>
  <c r="L115" i="42" s="1"/>
  <c r="O115" i="42" s="1"/>
  <c r="K70" i="46"/>
  <c r="T335" i="4"/>
  <c r="V335" i="4" s="1"/>
  <c r="T260" i="4"/>
  <c r="V260" i="4" s="1"/>
  <c r="S324" i="4"/>
  <c r="P324" i="4"/>
  <c r="M324" i="4"/>
  <c r="J324" i="4"/>
  <c r="U252" i="4"/>
  <c r="E252" i="4"/>
  <c r="S258" i="4"/>
  <c r="T258" i="4" s="1"/>
  <c r="V258" i="4" s="1"/>
  <c r="S257" i="4"/>
  <c r="M257" i="4"/>
  <c r="J257" i="4"/>
  <c r="S241" i="4"/>
  <c r="P241" i="4"/>
  <c r="M241" i="4"/>
  <c r="J241" i="4"/>
  <c r="J242" i="4" s="1"/>
  <c r="K76" i="42" l="1"/>
  <c r="L76" i="42"/>
  <c r="T251" i="4"/>
  <c r="V251" i="4" s="1"/>
  <c r="T72" i="42"/>
  <c r="L56" i="46"/>
  <c r="K56" i="46"/>
  <c r="J356" i="4"/>
  <c r="E100" i="46"/>
  <c r="E185" i="42" s="1"/>
  <c r="P70" i="46"/>
  <c r="O70" i="46"/>
  <c r="M356" i="4"/>
  <c r="I100" i="46"/>
  <c r="I185" i="42" s="1"/>
  <c r="P356" i="4"/>
  <c r="M100" i="46"/>
  <c r="M185" i="42" s="1"/>
  <c r="S356" i="4"/>
  <c r="Q100" i="46"/>
  <c r="Q185" i="42" s="1"/>
  <c r="R343" i="4"/>
  <c r="Q54" i="46" s="1"/>
  <c r="I343" i="4"/>
  <c r="E54" i="46" s="1"/>
  <c r="L343" i="4"/>
  <c r="I54" i="46" s="1"/>
  <c r="O343" i="4"/>
  <c r="M54" i="46" s="1"/>
  <c r="T324" i="4"/>
  <c r="V324" i="4" s="1"/>
  <c r="T257" i="4"/>
  <c r="V257" i="4" s="1"/>
  <c r="T241" i="4"/>
  <c r="V241" i="4" s="1"/>
  <c r="S242" i="4"/>
  <c r="U563" i="4"/>
  <c r="E563" i="4"/>
  <c r="T562" i="4"/>
  <c r="V562" i="4" s="1"/>
  <c r="G54" i="46" l="1"/>
  <c r="E74" i="42"/>
  <c r="G74" i="42" s="1"/>
  <c r="S70" i="46"/>
  <c r="T70" i="46" s="1"/>
  <c r="P115" i="42"/>
  <c r="S115" i="42" s="1"/>
  <c r="T115" i="42" s="1"/>
  <c r="O76" i="42"/>
  <c r="P76" i="42"/>
  <c r="S76" i="42" s="1"/>
  <c r="K54" i="46"/>
  <c r="I74" i="42"/>
  <c r="K74" i="42" s="1"/>
  <c r="O54" i="46"/>
  <c r="M74" i="42"/>
  <c r="O74" i="42" s="1"/>
  <c r="S54" i="46"/>
  <c r="Q74" i="42"/>
  <c r="S74" i="42" s="1"/>
  <c r="T356" i="4"/>
  <c r="V356" i="4" s="1"/>
  <c r="P56" i="46"/>
  <c r="S56" i="46" s="1"/>
  <c r="O56" i="46"/>
  <c r="P84" i="4"/>
  <c r="T54" i="46" l="1"/>
  <c r="T74" i="42"/>
  <c r="T76" i="42"/>
  <c r="T56" i="46"/>
  <c r="J84" i="4"/>
  <c r="M84" i="4"/>
  <c r="T84" i="4" l="1"/>
  <c r="V84" i="4" s="1"/>
  <c r="E652" i="4"/>
  <c r="S649" i="4"/>
  <c r="P649" i="4"/>
  <c r="M649" i="4"/>
  <c r="J649" i="4"/>
  <c r="M651" i="4"/>
  <c r="U652" i="4"/>
  <c r="S651" i="4"/>
  <c r="P651" i="4"/>
  <c r="J651" i="4"/>
  <c r="J645" i="4"/>
  <c r="I574" i="4"/>
  <c r="E57" i="51" s="1"/>
  <c r="U489" i="4"/>
  <c r="E489" i="4"/>
  <c r="S488" i="4"/>
  <c r="S489" i="4" s="1"/>
  <c r="P488" i="4"/>
  <c r="P489" i="4" s="1"/>
  <c r="M488" i="4"/>
  <c r="M489" i="4" s="1"/>
  <c r="J488" i="4"/>
  <c r="J489" i="4" s="1"/>
  <c r="T512" i="4"/>
  <c r="G512" i="4"/>
  <c r="U512" i="4" s="1"/>
  <c r="U505" i="4"/>
  <c r="E505" i="4"/>
  <c r="S504" i="4"/>
  <c r="P504" i="4"/>
  <c r="M504" i="4"/>
  <c r="J504" i="4"/>
  <c r="D57" i="50"/>
  <c r="D126" i="42" s="1"/>
  <c r="G126" i="42" s="1"/>
  <c r="S417" i="4"/>
  <c r="P417" i="4"/>
  <c r="M417" i="4"/>
  <c r="J417" i="4"/>
  <c r="S418" i="4"/>
  <c r="P418" i="4"/>
  <c r="M418" i="4"/>
  <c r="J418" i="4"/>
  <c r="S416" i="4"/>
  <c r="P416" i="4"/>
  <c r="M416" i="4"/>
  <c r="J416" i="4"/>
  <c r="P245" i="4"/>
  <c r="U434" i="4"/>
  <c r="E434" i="4"/>
  <c r="S433" i="4"/>
  <c r="P433" i="4"/>
  <c r="M433" i="4"/>
  <c r="J433" i="4"/>
  <c r="E420" i="4"/>
  <c r="S419" i="4"/>
  <c r="P419" i="4"/>
  <c r="M419" i="4"/>
  <c r="J419" i="4"/>
  <c r="T415" i="4"/>
  <c r="V415" i="4" s="1"/>
  <c r="G430" i="4"/>
  <c r="D80" i="47" s="1"/>
  <c r="D201" i="42" s="1"/>
  <c r="S431" i="4"/>
  <c r="P431" i="4"/>
  <c r="M431" i="4"/>
  <c r="J431" i="4"/>
  <c r="U337" i="4"/>
  <c r="E337" i="4"/>
  <c r="T240" i="4"/>
  <c r="P343" i="4"/>
  <c r="P345" i="4"/>
  <c r="S327" i="4"/>
  <c r="P327" i="4"/>
  <c r="M327" i="4"/>
  <c r="J327" i="4"/>
  <c r="S326" i="4"/>
  <c r="P326" i="4"/>
  <c r="M326" i="4"/>
  <c r="J326" i="4"/>
  <c r="E328" i="4"/>
  <c r="S336" i="4"/>
  <c r="P336" i="4"/>
  <c r="M336" i="4"/>
  <c r="J336" i="4"/>
  <c r="E346" i="4"/>
  <c r="U328" i="4"/>
  <c r="S323" i="4"/>
  <c r="P323" i="4"/>
  <c r="M323" i="4"/>
  <c r="J323" i="4"/>
  <c r="J367" i="4"/>
  <c r="S325" i="4"/>
  <c r="P325" i="4"/>
  <c r="M325" i="4"/>
  <c r="J325" i="4"/>
  <c r="B58" i="48"/>
  <c r="B60" i="48"/>
  <c r="B62" i="48"/>
  <c r="B64" i="48"/>
  <c r="T433" i="4" l="1"/>
  <c r="V433" i="4" s="1"/>
  <c r="T416" i="4"/>
  <c r="V416" i="4" s="1"/>
  <c r="T417" i="4"/>
  <c r="V417" i="4" s="1"/>
  <c r="H201" i="42"/>
  <c r="E94" i="42"/>
  <c r="G94" i="42" s="1"/>
  <c r="G57" i="51"/>
  <c r="V512" i="4"/>
  <c r="H57" i="50"/>
  <c r="H126" i="42" s="1"/>
  <c r="K126" i="42" s="1"/>
  <c r="G57" i="50"/>
  <c r="T649" i="4"/>
  <c r="V649" i="4" s="1"/>
  <c r="J652" i="4"/>
  <c r="T651" i="4"/>
  <c r="V651" i="4" s="1"/>
  <c r="M420" i="4"/>
  <c r="T488" i="4"/>
  <c r="T504" i="4"/>
  <c r="V504" i="4" s="1"/>
  <c r="V513" i="4"/>
  <c r="J420" i="4"/>
  <c r="T418" i="4"/>
  <c r="V418" i="4" s="1"/>
  <c r="T431" i="4"/>
  <c r="V431" i="4" s="1"/>
  <c r="T327" i="4"/>
  <c r="V327" i="4" s="1"/>
  <c r="M343" i="4"/>
  <c r="S343" i="4"/>
  <c r="J343" i="4"/>
  <c r="M345" i="4"/>
  <c r="T326" i="4"/>
  <c r="V326" i="4" s="1"/>
  <c r="T336" i="4"/>
  <c r="V336" i="4" s="1"/>
  <c r="T325" i="4"/>
  <c r="V325" i="4" s="1"/>
  <c r="T323" i="4"/>
  <c r="V323" i="4" s="1"/>
  <c r="S367" i="4"/>
  <c r="P367" i="4"/>
  <c r="B64" i="41"/>
  <c r="M367" i="4"/>
  <c r="B62" i="41"/>
  <c r="B60" i="41"/>
  <c r="B58" i="41"/>
  <c r="S322" i="4"/>
  <c r="P322" i="4"/>
  <c r="M322" i="4"/>
  <c r="B50" i="48"/>
  <c r="B52" i="48"/>
  <c r="B54" i="48"/>
  <c r="B56" i="48"/>
  <c r="C27" i="48"/>
  <c r="D27" i="48" s="1"/>
  <c r="C10" i="48"/>
  <c r="E10" i="48" s="1"/>
  <c r="D10" i="48"/>
  <c r="F10" i="48"/>
  <c r="C11" i="48"/>
  <c r="F11" i="48" s="1"/>
  <c r="D11" i="48"/>
  <c r="E11" i="48"/>
  <c r="G11" i="48"/>
  <c r="I11" i="48" s="1"/>
  <c r="C12" i="48"/>
  <c r="D12" i="48"/>
  <c r="E12" i="48"/>
  <c r="F12" i="48"/>
  <c r="G12" i="48"/>
  <c r="H12" i="48"/>
  <c r="I12" i="48"/>
  <c r="C13" i="48"/>
  <c r="D13" i="48" s="1"/>
  <c r="E13" i="48"/>
  <c r="F13" i="48"/>
  <c r="G13" i="48"/>
  <c r="I13" i="48" s="1"/>
  <c r="H13" i="48"/>
  <c r="C14" i="48"/>
  <c r="D14" i="48" s="1"/>
  <c r="C15" i="48"/>
  <c r="E15" i="48" s="1"/>
  <c r="D15" i="48"/>
  <c r="C16" i="48"/>
  <c r="D16" i="48" s="1"/>
  <c r="E16" i="48"/>
  <c r="C17" i="48"/>
  <c r="E17" i="48" s="1"/>
  <c r="D17" i="48"/>
  <c r="F17" i="48"/>
  <c r="C18" i="48"/>
  <c r="H18" i="48" s="1"/>
  <c r="D18" i="48"/>
  <c r="E18" i="48"/>
  <c r="F18" i="48"/>
  <c r="G18" i="48"/>
  <c r="I18" i="48" s="1"/>
  <c r="C19" i="48"/>
  <c r="D19" i="48"/>
  <c r="E19" i="48"/>
  <c r="F19" i="48"/>
  <c r="G19" i="48"/>
  <c r="I19" i="48" s="1"/>
  <c r="H19" i="48"/>
  <c r="C20" i="48"/>
  <c r="D20" i="48" s="1"/>
  <c r="E20" i="48"/>
  <c r="F20" i="48"/>
  <c r="G20" i="48"/>
  <c r="I20" i="48" s="1"/>
  <c r="H20" i="48"/>
  <c r="C21" i="48"/>
  <c r="D21" i="48" s="1"/>
  <c r="C22" i="48"/>
  <c r="E22" i="48" s="1"/>
  <c r="D22" i="48"/>
  <c r="C23" i="48"/>
  <c r="D23" i="48" s="1"/>
  <c r="E23" i="48"/>
  <c r="C24" i="48"/>
  <c r="E24" i="48" s="1"/>
  <c r="D24" i="48"/>
  <c r="F24" i="48"/>
  <c r="S334" i="4"/>
  <c r="P334" i="4"/>
  <c r="M334" i="4"/>
  <c r="J334" i="4"/>
  <c r="S332" i="4"/>
  <c r="P332" i="4"/>
  <c r="M332" i="4"/>
  <c r="J332" i="4"/>
  <c r="T363" i="4"/>
  <c r="V363" i="4" s="1"/>
  <c r="U346" i="4"/>
  <c r="S345" i="4"/>
  <c r="J345" i="4"/>
  <c r="S319" i="4"/>
  <c r="P319" i="4"/>
  <c r="M319" i="4"/>
  <c r="R342" i="4"/>
  <c r="O341" i="4"/>
  <c r="O342" i="4" s="1"/>
  <c r="L341" i="4"/>
  <c r="L342" i="4" s="1"/>
  <c r="I341" i="4"/>
  <c r="J341" i="4" s="1"/>
  <c r="S350" i="4"/>
  <c r="S358" i="4" s="1"/>
  <c r="P350" i="4"/>
  <c r="P358" i="4" s="1"/>
  <c r="M350" i="4"/>
  <c r="M358" i="4" s="1"/>
  <c r="J350" i="4"/>
  <c r="J358" i="4" s="1"/>
  <c r="J340" i="4"/>
  <c r="J333" i="4"/>
  <c r="S331" i="4"/>
  <c r="S333" i="4"/>
  <c r="P331" i="4"/>
  <c r="P333" i="4"/>
  <c r="M333" i="4"/>
  <c r="M331" i="4"/>
  <c r="J331" i="4"/>
  <c r="J328" i="4" l="1"/>
  <c r="M328" i="4"/>
  <c r="P328" i="4"/>
  <c r="L201" i="42"/>
  <c r="G60" i="50"/>
  <c r="L57" i="50"/>
  <c r="L126" i="42" s="1"/>
  <c r="O126" i="42" s="1"/>
  <c r="K57" i="50"/>
  <c r="K60" i="50" s="1"/>
  <c r="J337" i="4"/>
  <c r="V488" i="4"/>
  <c r="M337" i="4"/>
  <c r="P337" i="4"/>
  <c r="T343" i="4"/>
  <c r="V343" i="4" s="1"/>
  <c r="S337" i="4"/>
  <c r="S328" i="4"/>
  <c r="H21" i="48"/>
  <c r="G21" i="48"/>
  <c r="I21" i="48" s="1"/>
  <c r="G14" i="48"/>
  <c r="I14" i="48" s="1"/>
  <c r="H23" i="48"/>
  <c r="G22" i="48"/>
  <c r="I22" i="48" s="1"/>
  <c r="F21" i="48"/>
  <c r="H16" i="48"/>
  <c r="F14" i="48"/>
  <c r="H27" i="48"/>
  <c r="H24" i="48"/>
  <c r="G23" i="48"/>
  <c r="I23" i="48" s="1"/>
  <c r="F22" i="48"/>
  <c r="E21" i="48"/>
  <c r="H17" i="48"/>
  <c r="G16" i="48"/>
  <c r="I16" i="48" s="1"/>
  <c r="F15" i="48"/>
  <c r="E14" i="48"/>
  <c r="H10" i="48"/>
  <c r="G27" i="48"/>
  <c r="I27" i="48" s="1"/>
  <c r="H14" i="48"/>
  <c r="H22" i="48"/>
  <c r="H15" i="48"/>
  <c r="G15" i="48"/>
  <c r="I15" i="48" s="1"/>
  <c r="G24" i="48"/>
  <c r="I24" i="48" s="1"/>
  <c r="F23" i="48"/>
  <c r="G17" i="48"/>
  <c r="I17" i="48" s="1"/>
  <c r="F16" i="48"/>
  <c r="H11" i="48"/>
  <c r="G10" i="48"/>
  <c r="I10" i="48" s="1"/>
  <c r="F27" i="48"/>
  <c r="E27" i="48"/>
  <c r="T350" i="4"/>
  <c r="T358" i="4" s="1"/>
  <c r="I342" i="4"/>
  <c r="T331" i="4"/>
  <c r="T322" i="4"/>
  <c r="T334" i="4"/>
  <c r="T332" i="4"/>
  <c r="V332" i="4" s="1"/>
  <c r="T345" i="4"/>
  <c r="V345" i="4" s="1"/>
  <c r="S261" i="4"/>
  <c r="P261" i="4"/>
  <c r="M261" i="4"/>
  <c r="J261" i="4"/>
  <c r="U262" i="4"/>
  <c r="E262" i="4"/>
  <c r="U242" i="4"/>
  <c r="P242" i="4"/>
  <c r="M242" i="4"/>
  <c r="E242" i="4"/>
  <c r="J245" i="4"/>
  <c r="J246" i="4" s="1"/>
  <c r="M245" i="4"/>
  <c r="P246" i="4"/>
  <c r="S245" i="4"/>
  <c r="S246" i="4" s="1"/>
  <c r="J256" i="4"/>
  <c r="M256" i="4"/>
  <c r="U246" i="4"/>
  <c r="E246" i="4"/>
  <c r="S256" i="4"/>
  <c r="P256" i="4"/>
  <c r="I187" i="4"/>
  <c r="G96" i="4"/>
  <c r="D95" i="43" s="1"/>
  <c r="D142" i="42" s="1"/>
  <c r="G142" i="42" s="1"/>
  <c r="G91" i="4"/>
  <c r="V322" i="4" l="1"/>
  <c r="D137" i="42"/>
  <c r="G137" i="42" s="1"/>
  <c r="P201" i="42"/>
  <c r="O57" i="50"/>
  <c r="O60" i="50" s="1"/>
  <c r="P57" i="50"/>
  <c r="H95" i="43"/>
  <c r="H142" i="42" s="1"/>
  <c r="K142" i="42" s="1"/>
  <c r="G95" i="43"/>
  <c r="J262" i="4"/>
  <c r="S262" i="4"/>
  <c r="V331" i="4"/>
  <c r="V350" i="4"/>
  <c r="V358" i="4" s="1"/>
  <c r="V334" i="4"/>
  <c r="T261" i="4"/>
  <c r="V261" i="4" s="1"/>
  <c r="M262" i="4"/>
  <c r="P262" i="4"/>
  <c r="T245" i="4"/>
  <c r="V245" i="4" s="1"/>
  <c r="V246" i="4" s="1"/>
  <c r="M246" i="4"/>
  <c r="T256" i="4"/>
  <c r="V256" i="4" s="1"/>
  <c r="S57" i="50" l="1"/>
  <c r="S60" i="50" s="1"/>
  <c r="T60" i="50" s="1"/>
  <c r="P126" i="42"/>
  <c r="S126" i="42" s="1"/>
  <c r="T126" i="42" s="1"/>
  <c r="L95" i="43"/>
  <c r="L142" i="42" s="1"/>
  <c r="O142" i="42" s="1"/>
  <c r="K95" i="43"/>
  <c r="T246" i="4"/>
  <c r="V262" i="4"/>
  <c r="T262" i="4"/>
  <c r="G83" i="4"/>
  <c r="G70" i="4"/>
  <c r="D74" i="43" s="1"/>
  <c r="G65" i="4"/>
  <c r="D72" i="43" l="1"/>
  <c r="D88" i="42" s="1"/>
  <c r="T57" i="50"/>
  <c r="H74" i="43"/>
  <c r="L74" i="43" s="1"/>
  <c r="P74" i="43" s="1"/>
  <c r="D90" i="42"/>
  <c r="H90" i="42" s="1"/>
  <c r="L90" i="42" s="1"/>
  <c r="P90" i="42" s="1"/>
  <c r="P95" i="43"/>
  <c r="O95" i="43"/>
  <c r="D83" i="43"/>
  <c r="S83" i="4"/>
  <c r="R672" i="4"/>
  <c r="Q10" i="53" s="1"/>
  <c r="Q672" i="4"/>
  <c r="R10" i="53" s="1"/>
  <c r="O672" i="4"/>
  <c r="M10" i="53" s="1"/>
  <c r="N672" i="4"/>
  <c r="N10" i="53" s="1"/>
  <c r="L672" i="4"/>
  <c r="I10" i="53" s="1"/>
  <c r="K672" i="4"/>
  <c r="J10" i="53" s="1"/>
  <c r="I672" i="4"/>
  <c r="E10" i="53" s="1"/>
  <c r="H672" i="4"/>
  <c r="F10" i="53" s="1"/>
  <c r="D672" i="4"/>
  <c r="R602" i="4"/>
  <c r="Q10" i="52" s="1"/>
  <c r="Q602" i="4"/>
  <c r="R10" i="52" s="1"/>
  <c r="O602" i="4"/>
  <c r="M10" i="52" s="1"/>
  <c r="N602" i="4"/>
  <c r="N10" i="52" s="1"/>
  <c r="L602" i="4"/>
  <c r="I10" i="52" s="1"/>
  <c r="K602" i="4"/>
  <c r="J10" i="52" s="1"/>
  <c r="I602" i="4"/>
  <c r="E10" i="52" s="1"/>
  <c r="H602" i="4"/>
  <c r="F10" i="52" s="1"/>
  <c r="D602" i="4"/>
  <c r="A10" i="52" s="1"/>
  <c r="R522" i="4"/>
  <c r="Q10" i="51" s="1"/>
  <c r="Q522" i="4"/>
  <c r="R10" i="51" s="1"/>
  <c r="O522" i="4"/>
  <c r="M10" i="51" s="1"/>
  <c r="N522" i="4"/>
  <c r="N10" i="51" s="1"/>
  <c r="L522" i="4"/>
  <c r="I10" i="51" s="1"/>
  <c r="K522" i="4"/>
  <c r="J10" i="51" s="1"/>
  <c r="I522" i="4"/>
  <c r="E10" i="51" s="1"/>
  <c r="H522" i="4"/>
  <c r="F10" i="51" s="1"/>
  <c r="D522" i="4"/>
  <c r="A10" i="51" s="1"/>
  <c r="R448" i="4"/>
  <c r="Q10" i="50" s="1"/>
  <c r="Q448" i="4"/>
  <c r="R10" i="50" s="1"/>
  <c r="O448" i="4"/>
  <c r="M10" i="50" s="1"/>
  <c r="N448" i="4"/>
  <c r="N10" i="50" s="1"/>
  <c r="L448" i="4"/>
  <c r="I10" i="50" s="1"/>
  <c r="K448" i="4"/>
  <c r="J10" i="50" s="1"/>
  <c r="I448" i="4"/>
  <c r="E10" i="50" s="1"/>
  <c r="H448" i="4"/>
  <c r="F10" i="50" s="1"/>
  <c r="D448" i="4"/>
  <c r="A10" i="50" s="1"/>
  <c r="R375" i="4"/>
  <c r="Q10" i="47" s="1"/>
  <c r="Q375" i="4"/>
  <c r="R10" i="47" s="1"/>
  <c r="O375" i="4"/>
  <c r="M10" i="47" s="1"/>
  <c r="N375" i="4"/>
  <c r="N10" i="47" s="1"/>
  <c r="L375" i="4"/>
  <c r="I10" i="47" s="1"/>
  <c r="K375" i="4"/>
  <c r="J10" i="47" s="1"/>
  <c r="I375" i="4"/>
  <c r="E10" i="47" s="1"/>
  <c r="H375" i="4"/>
  <c r="F10" i="47" s="1"/>
  <c r="D375" i="4"/>
  <c r="A10" i="47" s="1"/>
  <c r="R278" i="4"/>
  <c r="Q10" i="46" s="1"/>
  <c r="O278" i="4"/>
  <c r="M10" i="46" s="1"/>
  <c r="L278" i="4"/>
  <c r="I10" i="46" s="1"/>
  <c r="I278" i="4"/>
  <c r="E10" i="46" s="1"/>
  <c r="D278" i="4"/>
  <c r="A10" i="46" s="1"/>
  <c r="R201" i="4"/>
  <c r="Q10" i="45" s="1"/>
  <c r="O201" i="4"/>
  <c r="M10" i="45" s="1"/>
  <c r="L201" i="4"/>
  <c r="I10" i="45" s="1"/>
  <c r="I201" i="4"/>
  <c r="D201" i="4"/>
  <c r="A10" i="45" s="1"/>
  <c r="D147" i="4"/>
  <c r="A10" i="44" s="1"/>
  <c r="I147" i="4"/>
  <c r="E11" i="44" s="1"/>
  <c r="L147" i="4"/>
  <c r="I11" i="44" s="1"/>
  <c r="O147" i="4"/>
  <c r="M11" i="44" s="1"/>
  <c r="R147" i="4"/>
  <c r="Q11" i="44" s="1"/>
  <c r="G104" i="4"/>
  <c r="D101" i="43" s="1"/>
  <c r="D148" i="42" s="1"/>
  <c r="H148" i="42" s="1"/>
  <c r="G88" i="4"/>
  <c r="D87" i="43" s="1"/>
  <c r="D134" i="42" s="1"/>
  <c r="G134" i="42" s="1"/>
  <c r="B132" i="30"/>
  <c r="B133" i="30"/>
  <c r="M133" i="30"/>
  <c r="B134" i="30"/>
  <c r="M134" i="30"/>
  <c r="B135" i="30"/>
  <c r="M135" i="30"/>
  <c r="B92" i="30"/>
  <c r="M92" i="30"/>
  <c r="B93" i="30"/>
  <c r="M93" i="30"/>
  <c r="B52" i="30"/>
  <c r="M52" i="30"/>
  <c r="B53" i="30"/>
  <c r="M53" i="30"/>
  <c r="M12" i="30"/>
  <c r="B12" i="30"/>
  <c r="B13" i="30"/>
  <c r="M13" i="30"/>
  <c r="G147" i="4"/>
  <c r="D11" i="44" s="1"/>
  <c r="H11" i="44" s="1"/>
  <c r="L11" i="44" s="1"/>
  <c r="A10" i="53" l="1"/>
  <c r="E10" i="45"/>
  <c r="S95" i="43"/>
  <c r="T95" i="43" s="1"/>
  <c r="P142" i="42"/>
  <c r="S142" i="42" s="1"/>
  <c r="T142" i="42" s="1"/>
  <c r="H83" i="43"/>
  <c r="L83" i="43" s="1"/>
  <c r="P83" i="43" s="1"/>
  <c r="D104" i="42"/>
  <c r="N10" i="42"/>
  <c r="O10" i="42" s="1"/>
  <c r="P11" i="44"/>
  <c r="S11" i="44" s="1"/>
  <c r="G87" i="43"/>
  <c r="H87" i="43"/>
  <c r="H134" i="42" s="1"/>
  <c r="K12" i="39"/>
  <c r="N12" i="39"/>
  <c r="E12" i="39"/>
  <c r="H12" i="39"/>
  <c r="G672" i="4"/>
  <c r="G522" i="4"/>
  <c r="G602" i="4"/>
  <c r="G448" i="4"/>
  <c r="G375" i="4"/>
  <c r="G278" i="4"/>
  <c r="S147" i="4"/>
  <c r="G201" i="4"/>
  <c r="J201" i="4" s="1"/>
  <c r="M147" i="4"/>
  <c r="J147" i="4"/>
  <c r="P147" i="4"/>
  <c r="M448" i="4" l="1"/>
  <c r="D10" i="50"/>
  <c r="M672" i="4"/>
  <c r="D10" i="53"/>
  <c r="H104" i="42"/>
  <c r="G104" i="42"/>
  <c r="S375" i="4"/>
  <c r="D10" i="47"/>
  <c r="M602" i="4"/>
  <c r="D10" i="52"/>
  <c r="S522" i="4"/>
  <c r="D10" i="51"/>
  <c r="J278" i="4"/>
  <c r="D10" i="46"/>
  <c r="P201" i="4"/>
  <c r="D10" i="45"/>
  <c r="L87" i="43"/>
  <c r="L134" i="42" s="1"/>
  <c r="K87" i="43"/>
  <c r="J672" i="4"/>
  <c r="P672" i="4"/>
  <c r="S672" i="4"/>
  <c r="S602" i="4"/>
  <c r="J522" i="4"/>
  <c r="P522" i="4"/>
  <c r="P448" i="4"/>
  <c r="J448" i="4"/>
  <c r="J602" i="4"/>
  <c r="M522" i="4"/>
  <c r="P602" i="4"/>
  <c r="S448" i="4"/>
  <c r="S278" i="4"/>
  <c r="J375" i="4"/>
  <c r="M375" i="4"/>
  <c r="T147" i="4"/>
  <c r="V147" i="4" s="1"/>
  <c r="P375" i="4"/>
  <c r="P278" i="4"/>
  <c r="M278" i="4"/>
  <c r="M201" i="4"/>
  <c r="S201" i="4"/>
  <c r="H10" i="51" l="1"/>
  <c r="G10" i="51"/>
  <c r="L104" i="42"/>
  <c r="K104" i="42"/>
  <c r="H10" i="52"/>
  <c r="G10" i="52"/>
  <c r="H10" i="50"/>
  <c r="G10" i="50"/>
  <c r="H10" i="53"/>
  <c r="G10" i="53"/>
  <c r="T672" i="4"/>
  <c r="V672" i="4" s="1"/>
  <c r="T522" i="4"/>
  <c r="V522" i="4" s="1"/>
  <c r="T602" i="4"/>
  <c r="V602" i="4" s="1"/>
  <c r="T448" i="4"/>
  <c r="V448" i="4" s="1"/>
  <c r="T278" i="4"/>
  <c r="V278" i="4" s="1"/>
  <c r="T375" i="4"/>
  <c r="V375" i="4" s="1"/>
  <c r="T201" i="4"/>
  <c r="V201" i="4" s="1"/>
  <c r="L10" i="52" l="1"/>
  <c r="K10" i="52"/>
  <c r="L10" i="53"/>
  <c r="K10" i="53"/>
  <c r="L10" i="51"/>
  <c r="K10" i="51"/>
  <c r="L10" i="50"/>
  <c r="K10" i="50"/>
  <c r="P104" i="42"/>
  <c r="S104" i="42" s="1"/>
  <c r="O104" i="42"/>
  <c r="J14" i="4"/>
  <c r="F12" i="39" s="1"/>
  <c r="M14" i="4"/>
  <c r="I12" i="39" s="1"/>
  <c r="P14" i="4"/>
  <c r="S14" i="4"/>
  <c r="O12" i="39" s="1"/>
  <c r="G40" i="4"/>
  <c r="L12" i="39" l="1"/>
  <c r="P12" i="39" s="1"/>
  <c r="T14" i="4"/>
  <c r="V14" i="4" s="1"/>
  <c r="T104" i="42"/>
  <c r="O10" i="50"/>
  <c r="P10" i="50"/>
  <c r="S10" i="50" s="1"/>
  <c r="O10" i="51"/>
  <c r="P10" i="51"/>
  <c r="S10" i="51" s="1"/>
  <c r="P10" i="53"/>
  <c r="S10" i="53" s="1"/>
  <c r="O10" i="53"/>
  <c r="D36" i="43"/>
  <c r="H36" i="43" s="1"/>
  <c r="D36" i="42"/>
  <c r="H36" i="42" s="1"/>
  <c r="L36" i="42" s="1"/>
  <c r="P36" i="42" s="1"/>
  <c r="P10" i="52"/>
  <c r="S10" i="52" s="1"/>
  <c r="O10" i="52"/>
  <c r="G699" i="4"/>
  <c r="D37" i="53" s="1"/>
  <c r="G698" i="4"/>
  <c r="D36" i="53" s="1"/>
  <c r="G399" i="4"/>
  <c r="D34" i="47" s="1"/>
  <c r="G471" i="4"/>
  <c r="D33" i="50" s="1"/>
  <c r="G694" i="4"/>
  <c r="D32" i="53" s="1"/>
  <c r="G298" i="4"/>
  <c r="D30" i="46" s="1"/>
  <c r="G691" i="4"/>
  <c r="D29" i="53" s="1"/>
  <c r="G620" i="4"/>
  <c r="D28" i="52" s="1"/>
  <c r="G689" i="4"/>
  <c r="D27" i="53" s="1"/>
  <c r="G688" i="4"/>
  <c r="D26" i="53" s="1"/>
  <c r="G537" i="4"/>
  <c r="D25" i="51" s="1"/>
  <c r="G292" i="4"/>
  <c r="D24" i="46" s="1"/>
  <c r="G27" i="4"/>
  <c r="D23" i="42" s="1"/>
  <c r="H23" i="42" s="1"/>
  <c r="L23" i="42" s="1"/>
  <c r="P23" i="42" s="1"/>
  <c r="G614" i="4"/>
  <c r="D22" i="52" s="1"/>
  <c r="G613" i="4"/>
  <c r="D21" i="52" s="1"/>
  <c r="G682" i="4"/>
  <c r="D20" i="53" s="1"/>
  <c r="G675" i="4"/>
  <c r="D13" i="53" s="1"/>
  <c r="G678" i="4"/>
  <c r="D16" i="53" s="1"/>
  <c r="G674" i="4"/>
  <c r="D12" i="53" s="1"/>
  <c r="G673" i="4"/>
  <c r="D11" i="53" s="1"/>
  <c r="G13" i="4"/>
  <c r="H673" i="4"/>
  <c r="F11" i="53" s="1"/>
  <c r="I673" i="4"/>
  <c r="E11" i="53" s="1"/>
  <c r="K673" i="4"/>
  <c r="J11" i="53" s="1"/>
  <c r="L673" i="4"/>
  <c r="I11" i="53" s="1"/>
  <c r="N673" i="4"/>
  <c r="N11" i="53" s="1"/>
  <c r="O673" i="4"/>
  <c r="M11" i="53" s="1"/>
  <c r="Q673" i="4"/>
  <c r="R11" i="53" s="1"/>
  <c r="R673" i="4"/>
  <c r="Q11" i="53" s="1"/>
  <c r="H674" i="4"/>
  <c r="F12" i="53" s="1"/>
  <c r="I674" i="4"/>
  <c r="E12" i="53" s="1"/>
  <c r="K674" i="4"/>
  <c r="J12" i="53" s="1"/>
  <c r="L674" i="4"/>
  <c r="I12" i="53" s="1"/>
  <c r="N674" i="4"/>
  <c r="N12" i="53" s="1"/>
  <c r="O674" i="4"/>
  <c r="M12" i="53" s="1"/>
  <c r="Q674" i="4"/>
  <c r="R12" i="53" s="1"/>
  <c r="R674" i="4"/>
  <c r="Q12" i="53" s="1"/>
  <c r="H675" i="4"/>
  <c r="F13" i="53" s="1"/>
  <c r="I675" i="4"/>
  <c r="E13" i="53" s="1"/>
  <c r="K675" i="4"/>
  <c r="J13" i="53" s="1"/>
  <c r="L675" i="4"/>
  <c r="I13" i="53" s="1"/>
  <c r="N675" i="4"/>
  <c r="N13" i="53" s="1"/>
  <c r="O675" i="4"/>
  <c r="M13" i="53" s="1"/>
  <c r="Q675" i="4"/>
  <c r="R13" i="53" s="1"/>
  <c r="R675" i="4"/>
  <c r="Q13" i="53" s="1"/>
  <c r="G676" i="4"/>
  <c r="D14" i="53" s="1"/>
  <c r="H676" i="4"/>
  <c r="F14" i="53" s="1"/>
  <c r="I676" i="4"/>
  <c r="E14" i="53" s="1"/>
  <c r="K676" i="4"/>
  <c r="J14" i="53" s="1"/>
  <c r="L676" i="4"/>
  <c r="I14" i="53" s="1"/>
  <c r="N676" i="4"/>
  <c r="N14" i="53" s="1"/>
  <c r="O676" i="4"/>
  <c r="M14" i="53" s="1"/>
  <c r="Q676" i="4"/>
  <c r="R14" i="53" s="1"/>
  <c r="R676" i="4"/>
  <c r="Q14" i="53" s="1"/>
  <c r="G677" i="4"/>
  <c r="D15" i="53" s="1"/>
  <c r="H677" i="4"/>
  <c r="F15" i="53" s="1"/>
  <c r="I677" i="4"/>
  <c r="E15" i="53" s="1"/>
  <c r="K677" i="4"/>
  <c r="J15" i="53" s="1"/>
  <c r="L677" i="4"/>
  <c r="I15" i="53" s="1"/>
  <c r="N677" i="4"/>
  <c r="N15" i="53" s="1"/>
  <c r="O677" i="4"/>
  <c r="M15" i="53" s="1"/>
  <c r="Q677" i="4"/>
  <c r="R15" i="53" s="1"/>
  <c r="R677" i="4"/>
  <c r="Q15" i="53" s="1"/>
  <c r="H678" i="4"/>
  <c r="F16" i="53" s="1"/>
  <c r="I678" i="4"/>
  <c r="E16" i="53" s="1"/>
  <c r="K678" i="4"/>
  <c r="J16" i="53" s="1"/>
  <c r="L678" i="4"/>
  <c r="I16" i="53" s="1"/>
  <c r="N678" i="4"/>
  <c r="N16" i="53" s="1"/>
  <c r="O678" i="4"/>
  <c r="M16" i="53" s="1"/>
  <c r="Q678" i="4"/>
  <c r="R16" i="53" s="1"/>
  <c r="R678" i="4"/>
  <c r="Q16" i="53" s="1"/>
  <c r="G679" i="4"/>
  <c r="D17" i="53" s="1"/>
  <c r="H679" i="4"/>
  <c r="F17" i="53" s="1"/>
  <c r="I679" i="4"/>
  <c r="E17" i="53" s="1"/>
  <c r="K679" i="4"/>
  <c r="J17" i="53" s="1"/>
  <c r="L679" i="4"/>
  <c r="I17" i="53" s="1"/>
  <c r="N679" i="4"/>
  <c r="N17" i="53" s="1"/>
  <c r="O679" i="4"/>
  <c r="M17" i="53" s="1"/>
  <c r="Q679" i="4"/>
  <c r="R17" i="53" s="1"/>
  <c r="R679" i="4"/>
  <c r="Q17" i="53" s="1"/>
  <c r="G680" i="4"/>
  <c r="D18" i="53" s="1"/>
  <c r="H680" i="4"/>
  <c r="F18" i="53" s="1"/>
  <c r="I680" i="4"/>
  <c r="E18" i="53" s="1"/>
  <c r="K680" i="4"/>
  <c r="J18" i="53" s="1"/>
  <c r="L680" i="4"/>
  <c r="I18" i="53" s="1"/>
  <c r="N680" i="4"/>
  <c r="N18" i="53" s="1"/>
  <c r="O680" i="4"/>
  <c r="M18" i="53" s="1"/>
  <c r="Q680" i="4"/>
  <c r="R18" i="53" s="1"/>
  <c r="R680" i="4"/>
  <c r="Q18" i="53" s="1"/>
  <c r="G681" i="4"/>
  <c r="D19" i="53" s="1"/>
  <c r="H681" i="4"/>
  <c r="F19" i="53" s="1"/>
  <c r="I681" i="4"/>
  <c r="E19" i="53" s="1"/>
  <c r="K681" i="4"/>
  <c r="J19" i="53" s="1"/>
  <c r="L681" i="4"/>
  <c r="I19" i="53" s="1"/>
  <c r="N681" i="4"/>
  <c r="N19" i="53" s="1"/>
  <c r="O681" i="4"/>
  <c r="M19" i="53" s="1"/>
  <c r="Q681" i="4"/>
  <c r="R19" i="53" s="1"/>
  <c r="R681" i="4"/>
  <c r="Q19" i="53" s="1"/>
  <c r="H682" i="4"/>
  <c r="F20" i="53" s="1"/>
  <c r="I682" i="4"/>
  <c r="E20" i="53" s="1"/>
  <c r="K682" i="4"/>
  <c r="J20" i="53" s="1"/>
  <c r="L682" i="4"/>
  <c r="I20" i="53" s="1"/>
  <c r="N682" i="4"/>
  <c r="N20" i="53" s="1"/>
  <c r="O682" i="4"/>
  <c r="M20" i="53" s="1"/>
  <c r="Q682" i="4"/>
  <c r="R20" i="53" s="1"/>
  <c r="R682" i="4"/>
  <c r="Q20" i="53" s="1"/>
  <c r="H683" i="4"/>
  <c r="F21" i="53" s="1"/>
  <c r="I683" i="4"/>
  <c r="E21" i="53" s="1"/>
  <c r="K683" i="4"/>
  <c r="J21" i="53" s="1"/>
  <c r="L683" i="4"/>
  <c r="I21" i="53" s="1"/>
  <c r="N683" i="4"/>
  <c r="N21" i="53" s="1"/>
  <c r="O683" i="4"/>
  <c r="M21" i="53" s="1"/>
  <c r="Q683" i="4"/>
  <c r="R21" i="53" s="1"/>
  <c r="R683" i="4"/>
  <c r="Q21" i="53" s="1"/>
  <c r="H684" i="4"/>
  <c r="F22" i="53" s="1"/>
  <c r="I684" i="4"/>
  <c r="E22" i="53" s="1"/>
  <c r="K684" i="4"/>
  <c r="J22" i="53" s="1"/>
  <c r="L684" i="4"/>
  <c r="I22" i="53" s="1"/>
  <c r="N684" i="4"/>
  <c r="N22" i="53" s="1"/>
  <c r="O684" i="4"/>
  <c r="M22" i="53" s="1"/>
  <c r="Q684" i="4"/>
  <c r="R22" i="53" s="1"/>
  <c r="R684" i="4"/>
  <c r="Q22" i="53" s="1"/>
  <c r="H685" i="4"/>
  <c r="F23" i="53" s="1"/>
  <c r="I685" i="4"/>
  <c r="E23" i="53" s="1"/>
  <c r="K685" i="4"/>
  <c r="J23" i="53" s="1"/>
  <c r="L685" i="4"/>
  <c r="I23" i="53" s="1"/>
  <c r="N685" i="4"/>
  <c r="N23" i="53" s="1"/>
  <c r="O685" i="4"/>
  <c r="M23" i="53" s="1"/>
  <c r="Q685" i="4"/>
  <c r="R23" i="53" s="1"/>
  <c r="R685" i="4"/>
  <c r="Q23" i="53" s="1"/>
  <c r="H686" i="4"/>
  <c r="F24" i="53" s="1"/>
  <c r="I686" i="4"/>
  <c r="E24" i="53" s="1"/>
  <c r="K686" i="4"/>
  <c r="J24" i="53" s="1"/>
  <c r="L686" i="4"/>
  <c r="I24" i="53" s="1"/>
  <c r="N686" i="4"/>
  <c r="N24" i="53" s="1"/>
  <c r="O686" i="4"/>
  <c r="M24" i="53" s="1"/>
  <c r="Q686" i="4"/>
  <c r="R24" i="53" s="1"/>
  <c r="R686" i="4"/>
  <c r="Q24" i="53" s="1"/>
  <c r="H687" i="4"/>
  <c r="F25" i="53" s="1"/>
  <c r="I687" i="4"/>
  <c r="E25" i="53" s="1"/>
  <c r="K687" i="4"/>
  <c r="J25" i="53" s="1"/>
  <c r="L687" i="4"/>
  <c r="I25" i="53" s="1"/>
  <c r="N687" i="4"/>
  <c r="N25" i="53" s="1"/>
  <c r="O687" i="4"/>
  <c r="M25" i="53" s="1"/>
  <c r="Q687" i="4"/>
  <c r="R25" i="53" s="1"/>
  <c r="R687" i="4"/>
  <c r="Q25" i="53" s="1"/>
  <c r="H688" i="4"/>
  <c r="F26" i="53" s="1"/>
  <c r="I688" i="4"/>
  <c r="E26" i="53" s="1"/>
  <c r="K688" i="4"/>
  <c r="J26" i="53" s="1"/>
  <c r="L688" i="4"/>
  <c r="I26" i="53" s="1"/>
  <c r="N688" i="4"/>
  <c r="N26" i="53" s="1"/>
  <c r="O688" i="4"/>
  <c r="M26" i="53" s="1"/>
  <c r="Q688" i="4"/>
  <c r="R26" i="53" s="1"/>
  <c r="R688" i="4"/>
  <c r="Q26" i="53" s="1"/>
  <c r="H689" i="4"/>
  <c r="F27" i="53" s="1"/>
  <c r="I689" i="4"/>
  <c r="E27" i="53" s="1"/>
  <c r="K689" i="4"/>
  <c r="J27" i="53" s="1"/>
  <c r="L689" i="4"/>
  <c r="I27" i="53" s="1"/>
  <c r="N689" i="4"/>
  <c r="N27" i="53" s="1"/>
  <c r="O689" i="4"/>
  <c r="M27" i="53" s="1"/>
  <c r="Q689" i="4"/>
  <c r="R27" i="53" s="1"/>
  <c r="R689" i="4"/>
  <c r="Q27" i="53" s="1"/>
  <c r="H690" i="4"/>
  <c r="F28" i="53" s="1"/>
  <c r="I690" i="4"/>
  <c r="E28" i="53" s="1"/>
  <c r="K690" i="4"/>
  <c r="J28" i="53" s="1"/>
  <c r="L690" i="4"/>
  <c r="I28" i="53" s="1"/>
  <c r="N690" i="4"/>
  <c r="N28" i="53" s="1"/>
  <c r="O690" i="4"/>
  <c r="M28" i="53" s="1"/>
  <c r="Q690" i="4"/>
  <c r="R28" i="53" s="1"/>
  <c r="R690" i="4"/>
  <c r="Q28" i="53" s="1"/>
  <c r="H691" i="4"/>
  <c r="F29" i="53" s="1"/>
  <c r="I691" i="4"/>
  <c r="E29" i="53" s="1"/>
  <c r="K691" i="4"/>
  <c r="J29" i="53" s="1"/>
  <c r="L691" i="4"/>
  <c r="I29" i="53" s="1"/>
  <c r="N691" i="4"/>
  <c r="N29" i="53" s="1"/>
  <c r="O691" i="4"/>
  <c r="M29" i="53" s="1"/>
  <c r="Q691" i="4"/>
  <c r="R29" i="53" s="1"/>
  <c r="R691" i="4"/>
  <c r="Q29" i="53" s="1"/>
  <c r="H692" i="4"/>
  <c r="F30" i="53" s="1"/>
  <c r="I692" i="4"/>
  <c r="E30" i="53" s="1"/>
  <c r="K692" i="4"/>
  <c r="J30" i="53" s="1"/>
  <c r="L692" i="4"/>
  <c r="I30" i="53" s="1"/>
  <c r="N692" i="4"/>
  <c r="N30" i="53" s="1"/>
  <c r="O692" i="4"/>
  <c r="M30" i="53" s="1"/>
  <c r="Q692" i="4"/>
  <c r="R30" i="53" s="1"/>
  <c r="R692" i="4"/>
  <c r="Q30" i="53" s="1"/>
  <c r="G693" i="4"/>
  <c r="D31" i="53" s="1"/>
  <c r="H693" i="4"/>
  <c r="F31" i="53" s="1"/>
  <c r="I693" i="4"/>
  <c r="E31" i="53" s="1"/>
  <c r="K693" i="4"/>
  <c r="J31" i="53" s="1"/>
  <c r="L693" i="4"/>
  <c r="I31" i="53" s="1"/>
  <c r="N693" i="4"/>
  <c r="N31" i="53" s="1"/>
  <c r="O693" i="4"/>
  <c r="M31" i="53" s="1"/>
  <c r="Q693" i="4"/>
  <c r="R31" i="53" s="1"/>
  <c r="R693" i="4"/>
  <c r="Q31" i="53" s="1"/>
  <c r="H694" i="4"/>
  <c r="F32" i="53" s="1"/>
  <c r="I694" i="4"/>
  <c r="E32" i="53" s="1"/>
  <c r="K694" i="4"/>
  <c r="J32" i="53" s="1"/>
  <c r="L694" i="4"/>
  <c r="I32" i="53" s="1"/>
  <c r="N694" i="4"/>
  <c r="N32" i="53" s="1"/>
  <c r="O694" i="4"/>
  <c r="M32" i="53" s="1"/>
  <c r="Q694" i="4"/>
  <c r="R32" i="53" s="1"/>
  <c r="R694" i="4"/>
  <c r="Q32" i="53" s="1"/>
  <c r="H695" i="4"/>
  <c r="F33" i="53" s="1"/>
  <c r="I695" i="4"/>
  <c r="E33" i="53" s="1"/>
  <c r="K695" i="4"/>
  <c r="J33" i="53" s="1"/>
  <c r="L695" i="4"/>
  <c r="I33" i="53" s="1"/>
  <c r="N695" i="4"/>
  <c r="N33" i="53" s="1"/>
  <c r="O695" i="4"/>
  <c r="M33" i="53" s="1"/>
  <c r="Q695" i="4"/>
  <c r="R33" i="53" s="1"/>
  <c r="R695" i="4"/>
  <c r="Q33" i="53" s="1"/>
  <c r="H696" i="4"/>
  <c r="F34" i="53" s="1"/>
  <c r="I696" i="4"/>
  <c r="E34" i="53" s="1"/>
  <c r="K696" i="4"/>
  <c r="J34" i="53" s="1"/>
  <c r="L696" i="4"/>
  <c r="I34" i="53" s="1"/>
  <c r="N696" i="4"/>
  <c r="N34" i="53" s="1"/>
  <c r="O696" i="4"/>
  <c r="M34" i="53" s="1"/>
  <c r="Q696" i="4"/>
  <c r="R34" i="53" s="1"/>
  <c r="R696" i="4"/>
  <c r="Q34" i="53" s="1"/>
  <c r="G697" i="4"/>
  <c r="D35" i="53" s="1"/>
  <c r="H697" i="4"/>
  <c r="F35" i="53" s="1"/>
  <c r="I697" i="4"/>
  <c r="E35" i="53" s="1"/>
  <c r="K697" i="4"/>
  <c r="J35" i="53" s="1"/>
  <c r="L697" i="4"/>
  <c r="I35" i="53" s="1"/>
  <c r="N697" i="4"/>
  <c r="N35" i="53" s="1"/>
  <c r="O697" i="4"/>
  <c r="M35" i="53" s="1"/>
  <c r="Q697" i="4"/>
  <c r="R35" i="53" s="1"/>
  <c r="R697" i="4"/>
  <c r="Q35" i="53" s="1"/>
  <c r="H698" i="4"/>
  <c r="F36" i="53" s="1"/>
  <c r="I698" i="4"/>
  <c r="E36" i="53" s="1"/>
  <c r="K698" i="4"/>
  <c r="J36" i="53" s="1"/>
  <c r="L698" i="4"/>
  <c r="I36" i="53" s="1"/>
  <c r="N698" i="4"/>
  <c r="N36" i="53" s="1"/>
  <c r="O698" i="4"/>
  <c r="M36" i="53" s="1"/>
  <c r="Q698" i="4"/>
  <c r="R36" i="53" s="1"/>
  <c r="R698" i="4"/>
  <c r="Q36" i="53" s="1"/>
  <c r="H699" i="4"/>
  <c r="F37" i="53" s="1"/>
  <c r="I699" i="4"/>
  <c r="E37" i="53" s="1"/>
  <c r="K699" i="4"/>
  <c r="J37" i="53" s="1"/>
  <c r="L699" i="4"/>
  <c r="I37" i="53" s="1"/>
  <c r="N699" i="4"/>
  <c r="N37" i="53" s="1"/>
  <c r="O699" i="4"/>
  <c r="M37" i="53" s="1"/>
  <c r="Q699" i="4"/>
  <c r="R37" i="53" s="1"/>
  <c r="R699" i="4"/>
  <c r="Q37" i="53" s="1"/>
  <c r="G700" i="4"/>
  <c r="D38" i="53" s="1"/>
  <c r="H700" i="4"/>
  <c r="F38" i="53" s="1"/>
  <c r="I700" i="4"/>
  <c r="E38" i="53" s="1"/>
  <c r="K700" i="4"/>
  <c r="J38" i="53" s="1"/>
  <c r="L700" i="4"/>
  <c r="I38" i="53" s="1"/>
  <c r="N700" i="4"/>
  <c r="N38" i="53" s="1"/>
  <c r="O700" i="4"/>
  <c r="M38" i="53" s="1"/>
  <c r="Q700" i="4"/>
  <c r="R38" i="53" s="1"/>
  <c r="R700" i="4"/>
  <c r="Q38" i="53" s="1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A37" i="53" s="1"/>
  <c r="D700" i="4"/>
  <c r="A38" i="53" s="1"/>
  <c r="H603" i="4"/>
  <c r="F11" i="52" s="1"/>
  <c r="I603" i="4"/>
  <c r="E11" i="52" s="1"/>
  <c r="K603" i="4"/>
  <c r="J11" i="52" s="1"/>
  <c r="L603" i="4"/>
  <c r="I11" i="52" s="1"/>
  <c r="N603" i="4"/>
  <c r="N11" i="52" s="1"/>
  <c r="O603" i="4"/>
  <c r="M11" i="52" s="1"/>
  <c r="Q603" i="4"/>
  <c r="R11" i="52" s="1"/>
  <c r="R603" i="4"/>
  <c r="Q11" i="52" s="1"/>
  <c r="H604" i="4"/>
  <c r="F12" i="52" s="1"/>
  <c r="I604" i="4"/>
  <c r="E12" i="52" s="1"/>
  <c r="K604" i="4"/>
  <c r="J12" i="52" s="1"/>
  <c r="L604" i="4"/>
  <c r="I12" i="52" s="1"/>
  <c r="N604" i="4"/>
  <c r="N12" i="52" s="1"/>
  <c r="O604" i="4"/>
  <c r="M12" i="52" s="1"/>
  <c r="Q604" i="4"/>
  <c r="R12" i="52" s="1"/>
  <c r="R604" i="4"/>
  <c r="Q12" i="52" s="1"/>
  <c r="H605" i="4"/>
  <c r="F13" i="52" s="1"/>
  <c r="I605" i="4"/>
  <c r="E13" i="52" s="1"/>
  <c r="K605" i="4"/>
  <c r="J13" i="52" s="1"/>
  <c r="L605" i="4"/>
  <c r="I13" i="52" s="1"/>
  <c r="N605" i="4"/>
  <c r="N13" i="52" s="1"/>
  <c r="O605" i="4"/>
  <c r="M13" i="52" s="1"/>
  <c r="Q605" i="4"/>
  <c r="R13" i="52" s="1"/>
  <c r="R605" i="4"/>
  <c r="Q13" i="52" s="1"/>
  <c r="G606" i="4"/>
  <c r="D14" i="52" s="1"/>
  <c r="H606" i="4"/>
  <c r="F14" i="52" s="1"/>
  <c r="I606" i="4"/>
  <c r="E14" i="52" s="1"/>
  <c r="K606" i="4"/>
  <c r="J14" i="52" s="1"/>
  <c r="L606" i="4"/>
  <c r="I14" i="52" s="1"/>
  <c r="N606" i="4"/>
  <c r="N14" i="52" s="1"/>
  <c r="O606" i="4"/>
  <c r="M14" i="52" s="1"/>
  <c r="Q606" i="4"/>
  <c r="R14" i="52" s="1"/>
  <c r="R606" i="4"/>
  <c r="Q14" i="52" s="1"/>
  <c r="H607" i="4"/>
  <c r="F15" i="52" s="1"/>
  <c r="I607" i="4"/>
  <c r="E15" i="52" s="1"/>
  <c r="K607" i="4"/>
  <c r="J15" i="52" s="1"/>
  <c r="L607" i="4"/>
  <c r="I15" i="52" s="1"/>
  <c r="N607" i="4"/>
  <c r="N15" i="52" s="1"/>
  <c r="O607" i="4"/>
  <c r="M15" i="52" s="1"/>
  <c r="Q607" i="4"/>
  <c r="R15" i="52" s="1"/>
  <c r="R607" i="4"/>
  <c r="Q15" i="52" s="1"/>
  <c r="H608" i="4"/>
  <c r="F16" i="52" s="1"/>
  <c r="I608" i="4"/>
  <c r="E16" i="52" s="1"/>
  <c r="K608" i="4"/>
  <c r="J16" i="52" s="1"/>
  <c r="L608" i="4"/>
  <c r="I16" i="52" s="1"/>
  <c r="N608" i="4"/>
  <c r="N16" i="52" s="1"/>
  <c r="O608" i="4"/>
  <c r="M16" i="52" s="1"/>
  <c r="Q608" i="4"/>
  <c r="R16" i="52" s="1"/>
  <c r="R608" i="4"/>
  <c r="Q16" i="52" s="1"/>
  <c r="G609" i="4"/>
  <c r="D17" i="52" s="1"/>
  <c r="H609" i="4"/>
  <c r="F17" i="52" s="1"/>
  <c r="I609" i="4"/>
  <c r="E17" i="52" s="1"/>
  <c r="K609" i="4"/>
  <c r="J17" i="52" s="1"/>
  <c r="L609" i="4"/>
  <c r="I17" i="52" s="1"/>
  <c r="N609" i="4"/>
  <c r="N17" i="52" s="1"/>
  <c r="O609" i="4"/>
  <c r="M17" i="52" s="1"/>
  <c r="Q609" i="4"/>
  <c r="R17" i="52" s="1"/>
  <c r="R609" i="4"/>
  <c r="Q17" i="52" s="1"/>
  <c r="G610" i="4"/>
  <c r="D18" i="52" s="1"/>
  <c r="H610" i="4"/>
  <c r="F18" i="52" s="1"/>
  <c r="I610" i="4"/>
  <c r="E18" i="52" s="1"/>
  <c r="K610" i="4"/>
  <c r="J18" i="52" s="1"/>
  <c r="L610" i="4"/>
  <c r="I18" i="52" s="1"/>
  <c r="N610" i="4"/>
  <c r="N18" i="52" s="1"/>
  <c r="O610" i="4"/>
  <c r="M18" i="52" s="1"/>
  <c r="Q610" i="4"/>
  <c r="R18" i="52" s="1"/>
  <c r="R610" i="4"/>
  <c r="Q18" i="52" s="1"/>
  <c r="H611" i="4"/>
  <c r="F19" i="52" s="1"/>
  <c r="I611" i="4"/>
  <c r="E19" i="52" s="1"/>
  <c r="K611" i="4"/>
  <c r="J19" i="52" s="1"/>
  <c r="L611" i="4"/>
  <c r="I19" i="52" s="1"/>
  <c r="N611" i="4"/>
  <c r="N19" i="52" s="1"/>
  <c r="O611" i="4"/>
  <c r="M19" i="52" s="1"/>
  <c r="Q611" i="4"/>
  <c r="R19" i="52" s="1"/>
  <c r="R611" i="4"/>
  <c r="Q19" i="52" s="1"/>
  <c r="H612" i="4"/>
  <c r="F20" i="52" s="1"/>
  <c r="I612" i="4"/>
  <c r="E20" i="52" s="1"/>
  <c r="K612" i="4"/>
  <c r="J20" i="52" s="1"/>
  <c r="L612" i="4"/>
  <c r="I20" i="52" s="1"/>
  <c r="N612" i="4"/>
  <c r="N20" i="52" s="1"/>
  <c r="O612" i="4"/>
  <c r="M20" i="52" s="1"/>
  <c r="Q612" i="4"/>
  <c r="R20" i="52" s="1"/>
  <c r="R612" i="4"/>
  <c r="Q20" i="52" s="1"/>
  <c r="H613" i="4"/>
  <c r="F21" i="52" s="1"/>
  <c r="I613" i="4"/>
  <c r="E21" i="52" s="1"/>
  <c r="K613" i="4"/>
  <c r="J21" i="52" s="1"/>
  <c r="L613" i="4"/>
  <c r="I21" i="52" s="1"/>
  <c r="N613" i="4"/>
  <c r="N21" i="52" s="1"/>
  <c r="O613" i="4"/>
  <c r="M21" i="52" s="1"/>
  <c r="Q613" i="4"/>
  <c r="R21" i="52" s="1"/>
  <c r="R613" i="4"/>
  <c r="Q21" i="52" s="1"/>
  <c r="H614" i="4"/>
  <c r="F22" i="52" s="1"/>
  <c r="I614" i="4"/>
  <c r="E22" i="52" s="1"/>
  <c r="K614" i="4"/>
  <c r="J22" i="52" s="1"/>
  <c r="L614" i="4"/>
  <c r="I22" i="52" s="1"/>
  <c r="N614" i="4"/>
  <c r="N22" i="52" s="1"/>
  <c r="O614" i="4"/>
  <c r="M22" i="52" s="1"/>
  <c r="Q614" i="4"/>
  <c r="R22" i="52" s="1"/>
  <c r="R614" i="4"/>
  <c r="Q22" i="52" s="1"/>
  <c r="H615" i="4"/>
  <c r="F23" i="52" s="1"/>
  <c r="I615" i="4"/>
  <c r="E23" i="52" s="1"/>
  <c r="K615" i="4"/>
  <c r="J23" i="52" s="1"/>
  <c r="L615" i="4"/>
  <c r="I23" i="52" s="1"/>
  <c r="N615" i="4"/>
  <c r="N23" i="52" s="1"/>
  <c r="O615" i="4"/>
  <c r="M23" i="52" s="1"/>
  <c r="Q615" i="4"/>
  <c r="R23" i="52" s="1"/>
  <c r="R615" i="4"/>
  <c r="Q23" i="52" s="1"/>
  <c r="H616" i="4"/>
  <c r="F24" i="52" s="1"/>
  <c r="I616" i="4"/>
  <c r="E24" i="52" s="1"/>
  <c r="K616" i="4"/>
  <c r="J24" i="52" s="1"/>
  <c r="L616" i="4"/>
  <c r="I24" i="52" s="1"/>
  <c r="N616" i="4"/>
  <c r="N24" i="52" s="1"/>
  <c r="O616" i="4"/>
  <c r="M24" i="52" s="1"/>
  <c r="Q616" i="4"/>
  <c r="R24" i="52" s="1"/>
  <c r="R616" i="4"/>
  <c r="Q24" i="52" s="1"/>
  <c r="H617" i="4"/>
  <c r="F25" i="52" s="1"/>
  <c r="I617" i="4"/>
  <c r="E25" i="52" s="1"/>
  <c r="K617" i="4"/>
  <c r="J25" i="52" s="1"/>
  <c r="L617" i="4"/>
  <c r="I25" i="52" s="1"/>
  <c r="N617" i="4"/>
  <c r="N25" i="52" s="1"/>
  <c r="O617" i="4"/>
  <c r="M25" i="52" s="1"/>
  <c r="Q617" i="4"/>
  <c r="R25" i="52" s="1"/>
  <c r="R617" i="4"/>
  <c r="Q25" i="52" s="1"/>
  <c r="H618" i="4"/>
  <c r="F26" i="52" s="1"/>
  <c r="I618" i="4"/>
  <c r="E26" i="52" s="1"/>
  <c r="K618" i="4"/>
  <c r="J26" i="52" s="1"/>
  <c r="L618" i="4"/>
  <c r="I26" i="52" s="1"/>
  <c r="N618" i="4"/>
  <c r="N26" i="52" s="1"/>
  <c r="O618" i="4"/>
  <c r="M26" i="52" s="1"/>
  <c r="Q618" i="4"/>
  <c r="R26" i="52" s="1"/>
  <c r="R618" i="4"/>
  <c r="Q26" i="52" s="1"/>
  <c r="H619" i="4"/>
  <c r="F27" i="52" s="1"/>
  <c r="I619" i="4"/>
  <c r="E27" i="52" s="1"/>
  <c r="K619" i="4"/>
  <c r="J27" i="52" s="1"/>
  <c r="L619" i="4"/>
  <c r="I27" i="52" s="1"/>
  <c r="N619" i="4"/>
  <c r="N27" i="52" s="1"/>
  <c r="O619" i="4"/>
  <c r="M27" i="52" s="1"/>
  <c r="Q619" i="4"/>
  <c r="R27" i="52" s="1"/>
  <c r="R619" i="4"/>
  <c r="Q27" i="52" s="1"/>
  <c r="H620" i="4"/>
  <c r="F28" i="52" s="1"/>
  <c r="I620" i="4"/>
  <c r="E28" i="52" s="1"/>
  <c r="K620" i="4"/>
  <c r="J28" i="52" s="1"/>
  <c r="L620" i="4"/>
  <c r="I28" i="52" s="1"/>
  <c r="N620" i="4"/>
  <c r="N28" i="52" s="1"/>
  <c r="O620" i="4"/>
  <c r="M28" i="52" s="1"/>
  <c r="Q620" i="4"/>
  <c r="R28" i="52" s="1"/>
  <c r="R620" i="4"/>
  <c r="Q28" i="52" s="1"/>
  <c r="G621" i="4"/>
  <c r="D29" i="52" s="1"/>
  <c r="H621" i="4"/>
  <c r="F29" i="52" s="1"/>
  <c r="I621" i="4"/>
  <c r="E29" i="52" s="1"/>
  <c r="K621" i="4"/>
  <c r="J29" i="52" s="1"/>
  <c r="L621" i="4"/>
  <c r="I29" i="52" s="1"/>
  <c r="N621" i="4"/>
  <c r="N29" i="52" s="1"/>
  <c r="O621" i="4"/>
  <c r="M29" i="52" s="1"/>
  <c r="Q621" i="4"/>
  <c r="R29" i="52" s="1"/>
  <c r="R621" i="4"/>
  <c r="Q29" i="52" s="1"/>
  <c r="H622" i="4"/>
  <c r="F30" i="52" s="1"/>
  <c r="I622" i="4"/>
  <c r="E30" i="52" s="1"/>
  <c r="K622" i="4"/>
  <c r="J30" i="52" s="1"/>
  <c r="L622" i="4"/>
  <c r="I30" i="52" s="1"/>
  <c r="N622" i="4"/>
  <c r="N30" i="52" s="1"/>
  <c r="O622" i="4"/>
  <c r="M30" i="52" s="1"/>
  <c r="Q622" i="4"/>
  <c r="R30" i="52" s="1"/>
  <c r="R622" i="4"/>
  <c r="Q30" i="52" s="1"/>
  <c r="H623" i="4"/>
  <c r="F31" i="52" s="1"/>
  <c r="I623" i="4"/>
  <c r="E31" i="52" s="1"/>
  <c r="K623" i="4"/>
  <c r="J31" i="52" s="1"/>
  <c r="L623" i="4"/>
  <c r="I31" i="52" s="1"/>
  <c r="N623" i="4"/>
  <c r="N31" i="52" s="1"/>
  <c r="O623" i="4"/>
  <c r="M31" i="52" s="1"/>
  <c r="Q623" i="4"/>
  <c r="R31" i="52" s="1"/>
  <c r="R623" i="4"/>
  <c r="Q31" i="52" s="1"/>
  <c r="H624" i="4"/>
  <c r="F32" i="52" s="1"/>
  <c r="I624" i="4"/>
  <c r="E32" i="52" s="1"/>
  <c r="K624" i="4"/>
  <c r="J32" i="52" s="1"/>
  <c r="L624" i="4"/>
  <c r="I32" i="52" s="1"/>
  <c r="N624" i="4"/>
  <c r="N32" i="52" s="1"/>
  <c r="O624" i="4"/>
  <c r="M32" i="52" s="1"/>
  <c r="Q624" i="4"/>
  <c r="R32" i="52" s="1"/>
  <c r="R624" i="4"/>
  <c r="Q32" i="52" s="1"/>
  <c r="H625" i="4"/>
  <c r="F33" i="52" s="1"/>
  <c r="I625" i="4"/>
  <c r="E33" i="52" s="1"/>
  <c r="K625" i="4"/>
  <c r="J33" i="52" s="1"/>
  <c r="L625" i="4"/>
  <c r="I33" i="52" s="1"/>
  <c r="N625" i="4"/>
  <c r="N33" i="52" s="1"/>
  <c r="O625" i="4"/>
  <c r="M33" i="52" s="1"/>
  <c r="Q625" i="4"/>
  <c r="R33" i="52" s="1"/>
  <c r="R625" i="4"/>
  <c r="Q33" i="52" s="1"/>
  <c r="H626" i="4"/>
  <c r="F34" i="52" s="1"/>
  <c r="I626" i="4"/>
  <c r="E34" i="52" s="1"/>
  <c r="K626" i="4"/>
  <c r="J34" i="52" s="1"/>
  <c r="L626" i="4"/>
  <c r="I34" i="52" s="1"/>
  <c r="N626" i="4"/>
  <c r="N34" i="52" s="1"/>
  <c r="O626" i="4"/>
  <c r="M34" i="52" s="1"/>
  <c r="Q626" i="4"/>
  <c r="R34" i="52" s="1"/>
  <c r="R626" i="4"/>
  <c r="Q34" i="52" s="1"/>
  <c r="G627" i="4"/>
  <c r="D35" i="52" s="1"/>
  <c r="H627" i="4"/>
  <c r="F35" i="52" s="1"/>
  <c r="I627" i="4"/>
  <c r="E35" i="52" s="1"/>
  <c r="K627" i="4"/>
  <c r="J35" i="52" s="1"/>
  <c r="L627" i="4"/>
  <c r="I35" i="52" s="1"/>
  <c r="N627" i="4"/>
  <c r="N35" i="52" s="1"/>
  <c r="O627" i="4"/>
  <c r="M35" i="52" s="1"/>
  <c r="Q627" i="4"/>
  <c r="R35" i="52" s="1"/>
  <c r="R627" i="4"/>
  <c r="Q35" i="52" s="1"/>
  <c r="G628" i="4"/>
  <c r="D36" i="52" s="1"/>
  <c r="H628" i="4"/>
  <c r="F36" i="52" s="1"/>
  <c r="I628" i="4"/>
  <c r="E36" i="52" s="1"/>
  <c r="K628" i="4"/>
  <c r="J36" i="52" s="1"/>
  <c r="L628" i="4"/>
  <c r="I36" i="52" s="1"/>
  <c r="N628" i="4"/>
  <c r="N36" i="52" s="1"/>
  <c r="O628" i="4"/>
  <c r="M36" i="52" s="1"/>
  <c r="Q628" i="4"/>
  <c r="R36" i="52" s="1"/>
  <c r="R628" i="4"/>
  <c r="Q36" i="52" s="1"/>
  <c r="H629" i="4"/>
  <c r="F37" i="52" s="1"/>
  <c r="I629" i="4"/>
  <c r="E37" i="52" s="1"/>
  <c r="K629" i="4"/>
  <c r="J37" i="52" s="1"/>
  <c r="L629" i="4"/>
  <c r="I37" i="52" s="1"/>
  <c r="N629" i="4"/>
  <c r="N37" i="52" s="1"/>
  <c r="O629" i="4"/>
  <c r="M37" i="52" s="1"/>
  <c r="Q629" i="4"/>
  <c r="R37" i="52" s="1"/>
  <c r="R629" i="4"/>
  <c r="Q37" i="52" s="1"/>
  <c r="G630" i="4"/>
  <c r="D38" i="52" s="1"/>
  <c r="H630" i="4"/>
  <c r="F38" i="52" s="1"/>
  <c r="I630" i="4"/>
  <c r="E38" i="52" s="1"/>
  <c r="K630" i="4"/>
  <c r="J38" i="52" s="1"/>
  <c r="L630" i="4"/>
  <c r="I38" i="52" s="1"/>
  <c r="N630" i="4"/>
  <c r="N38" i="52" s="1"/>
  <c r="O630" i="4"/>
  <c r="M38" i="52" s="1"/>
  <c r="Q630" i="4"/>
  <c r="R38" i="52" s="1"/>
  <c r="R630" i="4"/>
  <c r="Q38" i="52" s="1"/>
  <c r="D603" i="4"/>
  <c r="A11" i="52" s="1"/>
  <c r="D604" i="4"/>
  <c r="A12" i="52" s="1"/>
  <c r="D605" i="4"/>
  <c r="A13" i="52" s="1"/>
  <c r="D606" i="4"/>
  <c r="A14" i="52" s="1"/>
  <c r="D607" i="4"/>
  <c r="A15" i="52" s="1"/>
  <c r="D608" i="4"/>
  <c r="A16" i="52" s="1"/>
  <c r="D609" i="4"/>
  <c r="A17" i="52" s="1"/>
  <c r="D610" i="4"/>
  <c r="A18" i="52" s="1"/>
  <c r="D611" i="4"/>
  <c r="A19" i="52" s="1"/>
  <c r="D612" i="4"/>
  <c r="A20" i="52" s="1"/>
  <c r="D613" i="4"/>
  <c r="A21" i="52" s="1"/>
  <c r="D614" i="4"/>
  <c r="A22" i="52" s="1"/>
  <c r="D615" i="4"/>
  <c r="A23" i="52" s="1"/>
  <c r="D616" i="4"/>
  <c r="A24" i="52" s="1"/>
  <c r="D617" i="4"/>
  <c r="A25" i="52" s="1"/>
  <c r="D618" i="4"/>
  <c r="A26" i="52" s="1"/>
  <c r="D619" i="4"/>
  <c r="A27" i="52" s="1"/>
  <c r="D620" i="4"/>
  <c r="A28" i="52" s="1"/>
  <c r="D621" i="4"/>
  <c r="A29" i="52" s="1"/>
  <c r="D622" i="4"/>
  <c r="A30" i="52" s="1"/>
  <c r="D623" i="4"/>
  <c r="A31" i="52" s="1"/>
  <c r="D624" i="4"/>
  <c r="A32" i="52" s="1"/>
  <c r="D625" i="4"/>
  <c r="A33" i="52" s="1"/>
  <c r="D626" i="4"/>
  <c r="A34" i="52" s="1"/>
  <c r="D627" i="4"/>
  <c r="A35" i="52" s="1"/>
  <c r="D628" i="4"/>
  <c r="A36" i="52" s="1"/>
  <c r="D629" i="4"/>
  <c r="A37" i="52" s="1"/>
  <c r="D630" i="4"/>
  <c r="A38" i="52" s="1"/>
  <c r="D634" i="4"/>
  <c r="D635" i="4"/>
  <c r="D636" i="4"/>
  <c r="A47" i="52" s="1"/>
  <c r="D637" i="4"/>
  <c r="A42" i="52" s="1"/>
  <c r="D668" i="4"/>
  <c r="D671" i="4"/>
  <c r="H523" i="4"/>
  <c r="F11" i="51" s="1"/>
  <c r="I523" i="4"/>
  <c r="E11" i="51" s="1"/>
  <c r="K523" i="4"/>
  <c r="J11" i="51" s="1"/>
  <c r="L523" i="4"/>
  <c r="I11" i="51" s="1"/>
  <c r="N523" i="4"/>
  <c r="N11" i="51" s="1"/>
  <c r="O523" i="4"/>
  <c r="M11" i="51" s="1"/>
  <c r="Q523" i="4"/>
  <c r="R11" i="51" s="1"/>
  <c r="R523" i="4"/>
  <c r="Q11" i="51" s="1"/>
  <c r="H524" i="4"/>
  <c r="F12" i="51" s="1"/>
  <c r="I524" i="4"/>
  <c r="E12" i="51" s="1"/>
  <c r="K524" i="4"/>
  <c r="J12" i="51" s="1"/>
  <c r="L524" i="4"/>
  <c r="I12" i="51" s="1"/>
  <c r="N524" i="4"/>
  <c r="N12" i="51" s="1"/>
  <c r="O524" i="4"/>
  <c r="M12" i="51" s="1"/>
  <c r="Q524" i="4"/>
  <c r="R12" i="51" s="1"/>
  <c r="R524" i="4"/>
  <c r="Q12" i="51" s="1"/>
  <c r="H525" i="4"/>
  <c r="F13" i="51" s="1"/>
  <c r="I525" i="4"/>
  <c r="E13" i="51" s="1"/>
  <c r="K525" i="4"/>
  <c r="J13" i="51" s="1"/>
  <c r="L525" i="4"/>
  <c r="I13" i="51" s="1"/>
  <c r="N525" i="4"/>
  <c r="N13" i="51" s="1"/>
  <c r="O525" i="4"/>
  <c r="M13" i="51" s="1"/>
  <c r="Q525" i="4"/>
  <c r="R13" i="51" s="1"/>
  <c r="R525" i="4"/>
  <c r="Q13" i="51" s="1"/>
  <c r="G526" i="4"/>
  <c r="D14" i="51" s="1"/>
  <c r="H526" i="4"/>
  <c r="F14" i="51" s="1"/>
  <c r="I526" i="4"/>
  <c r="E14" i="51" s="1"/>
  <c r="K526" i="4"/>
  <c r="J14" i="51" s="1"/>
  <c r="L526" i="4"/>
  <c r="I14" i="51" s="1"/>
  <c r="N526" i="4"/>
  <c r="N14" i="51" s="1"/>
  <c r="O526" i="4"/>
  <c r="M14" i="51" s="1"/>
  <c r="Q526" i="4"/>
  <c r="R14" i="51" s="1"/>
  <c r="R526" i="4"/>
  <c r="Q14" i="51" s="1"/>
  <c r="H527" i="4"/>
  <c r="F15" i="51" s="1"/>
  <c r="I527" i="4"/>
  <c r="E15" i="51" s="1"/>
  <c r="K527" i="4"/>
  <c r="J15" i="51" s="1"/>
  <c r="L527" i="4"/>
  <c r="I15" i="51" s="1"/>
  <c r="N527" i="4"/>
  <c r="N15" i="51" s="1"/>
  <c r="O527" i="4"/>
  <c r="M15" i="51" s="1"/>
  <c r="Q527" i="4"/>
  <c r="R15" i="51" s="1"/>
  <c r="R527" i="4"/>
  <c r="Q15" i="51" s="1"/>
  <c r="H528" i="4"/>
  <c r="F16" i="51" s="1"/>
  <c r="I528" i="4"/>
  <c r="E16" i="51" s="1"/>
  <c r="K528" i="4"/>
  <c r="J16" i="51" s="1"/>
  <c r="L528" i="4"/>
  <c r="I16" i="51" s="1"/>
  <c r="N528" i="4"/>
  <c r="N16" i="51" s="1"/>
  <c r="O528" i="4"/>
  <c r="M16" i="51" s="1"/>
  <c r="Q528" i="4"/>
  <c r="R16" i="51" s="1"/>
  <c r="R528" i="4"/>
  <c r="Q16" i="51" s="1"/>
  <c r="G529" i="4"/>
  <c r="D17" i="51" s="1"/>
  <c r="H529" i="4"/>
  <c r="F17" i="51" s="1"/>
  <c r="I529" i="4"/>
  <c r="E17" i="51" s="1"/>
  <c r="K529" i="4"/>
  <c r="J17" i="51" s="1"/>
  <c r="L529" i="4"/>
  <c r="I17" i="51" s="1"/>
  <c r="N529" i="4"/>
  <c r="N17" i="51" s="1"/>
  <c r="O529" i="4"/>
  <c r="M17" i="51" s="1"/>
  <c r="Q529" i="4"/>
  <c r="R17" i="51" s="1"/>
  <c r="R529" i="4"/>
  <c r="Q17" i="51" s="1"/>
  <c r="G530" i="4"/>
  <c r="D18" i="51" s="1"/>
  <c r="H530" i="4"/>
  <c r="F18" i="51" s="1"/>
  <c r="I530" i="4"/>
  <c r="E18" i="51" s="1"/>
  <c r="K530" i="4"/>
  <c r="J18" i="51" s="1"/>
  <c r="L530" i="4"/>
  <c r="I18" i="51" s="1"/>
  <c r="N530" i="4"/>
  <c r="N18" i="51" s="1"/>
  <c r="O530" i="4"/>
  <c r="M18" i="51" s="1"/>
  <c r="Q530" i="4"/>
  <c r="R18" i="51" s="1"/>
  <c r="R530" i="4"/>
  <c r="Q18" i="51" s="1"/>
  <c r="H531" i="4"/>
  <c r="F19" i="51" s="1"/>
  <c r="I531" i="4"/>
  <c r="E19" i="51" s="1"/>
  <c r="K531" i="4"/>
  <c r="J19" i="51" s="1"/>
  <c r="L531" i="4"/>
  <c r="I19" i="51" s="1"/>
  <c r="N531" i="4"/>
  <c r="N19" i="51" s="1"/>
  <c r="O531" i="4"/>
  <c r="M19" i="51" s="1"/>
  <c r="Q531" i="4"/>
  <c r="R19" i="51" s="1"/>
  <c r="R531" i="4"/>
  <c r="Q19" i="51" s="1"/>
  <c r="H532" i="4"/>
  <c r="F20" i="51" s="1"/>
  <c r="I532" i="4"/>
  <c r="E20" i="51" s="1"/>
  <c r="K532" i="4"/>
  <c r="J20" i="51" s="1"/>
  <c r="L532" i="4"/>
  <c r="I20" i="51" s="1"/>
  <c r="N532" i="4"/>
  <c r="N20" i="51" s="1"/>
  <c r="O532" i="4"/>
  <c r="M20" i="51" s="1"/>
  <c r="Q532" i="4"/>
  <c r="R20" i="51" s="1"/>
  <c r="R532" i="4"/>
  <c r="Q20" i="51" s="1"/>
  <c r="H533" i="4"/>
  <c r="F21" i="51" s="1"/>
  <c r="I533" i="4"/>
  <c r="E21" i="51" s="1"/>
  <c r="K533" i="4"/>
  <c r="J21" i="51" s="1"/>
  <c r="L533" i="4"/>
  <c r="I21" i="51" s="1"/>
  <c r="N533" i="4"/>
  <c r="N21" i="51" s="1"/>
  <c r="O533" i="4"/>
  <c r="M21" i="51" s="1"/>
  <c r="Q533" i="4"/>
  <c r="R21" i="51" s="1"/>
  <c r="R533" i="4"/>
  <c r="Q21" i="51" s="1"/>
  <c r="H534" i="4"/>
  <c r="F22" i="51" s="1"/>
  <c r="I534" i="4"/>
  <c r="E22" i="51" s="1"/>
  <c r="K534" i="4"/>
  <c r="J22" i="51" s="1"/>
  <c r="L534" i="4"/>
  <c r="I22" i="51" s="1"/>
  <c r="N534" i="4"/>
  <c r="N22" i="51" s="1"/>
  <c r="O534" i="4"/>
  <c r="M22" i="51" s="1"/>
  <c r="Q534" i="4"/>
  <c r="R22" i="51" s="1"/>
  <c r="R534" i="4"/>
  <c r="Q22" i="51" s="1"/>
  <c r="H535" i="4"/>
  <c r="F23" i="51" s="1"/>
  <c r="I535" i="4"/>
  <c r="E23" i="51" s="1"/>
  <c r="K535" i="4"/>
  <c r="J23" i="51" s="1"/>
  <c r="L535" i="4"/>
  <c r="I23" i="51" s="1"/>
  <c r="N535" i="4"/>
  <c r="N23" i="51" s="1"/>
  <c r="O535" i="4"/>
  <c r="M23" i="51" s="1"/>
  <c r="Q535" i="4"/>
  <c r="R23" i="51" s="1"/>
  <c r="R535" i="4"/>
  <c r="Q23" i="51" s="1"/>
  <c r="H536" i="4"/>
  <c r="F24" i="51" s="1"/>
  <c r="I536" i="4"/>
  <c r="E24" i="51" s="1"/>
  <c r="K536" i="4"/>
  <c r="J24" i="51" s="1"/>
  <c r="L536" i="4"/>
  <c r="I24" i="51" s="1"/>
  <c r="N536" i="4"/>
  <c r="N24" i="51" s="1"/>
  <c r="O536" i="4"/>
  <c r="M24" i="51" s="1"/>
  <c r="Q536" i="4"/>
  <c r="R24" i="51" s="1"/>
  <c r="R536" i="4"/>
  <c r="Q24" i="51" s="1"/>
  <c r="H537" i="4"/>
  <c r="F25" i="51" s="1"/>
  <c r="I537" i="4"/>
  <c r="E25" i="51" s="1"/>
  <c r="K537" i="4"/>
  <c r="J25" i="51" s="1"/>
  <c r="L537" i="4"/>
  <c r="I25" i="51" s="1"/>
  <c r="N537" i="4"/>
  <c r="N25" i="51" s="1"/>
  <c r="O537" i="4"/>
  <c r="M25" i="51" s="1"/>
  <c r="Q537" i="4"/>
  <c r="R25" i="51" s="1"/>
  <c r="R537" i="4"/>
  <c r="Q25" i="51" s="1"/>
  <c r="H538" i="4"/>
  <c r="F26" i="51" s="1"/>
  <c r="I538" i="4"/>
  <c r="E26" i="51" s="1"/>
  <c r="K538" i="4"/>
  <c r="J26" i="51" s="1"/>
  <c r="L538" i="4"/>
  <c r="I26" i="51" s="1"/>
  <c r="N538" i="4"/>
  <c r="N26" i="51" s="1"/>
  <c r="O538" i="4"/>
  <c r="M26" i="51" s="1"/>
  <c r="Q538" i="4"/>
  <c r="R26" i="51" s="1"/>
  <c r="R538" i="4"/>
  <c r="Q26" i="51" s="1"/>
  <c r="H539" i="4"/>
  <c r="F27" i="51" s="1"/>
  <c r="I539" i="4"/>
  <c r="E27" i="51" s="1"/>
  <c r="K539" i="4"/>
  <c r="J27" i="51" s="1"/>
  <c r="L539" i="4"/>
  <c r="I27" i="51" s="1"/>
  <c r="N539" i="4"/>
  <c r="N27" i="51" s="1"/>
  <c r="O539" i="4"/>
  <c r="M27" i="51" s="1"/>
  <c r="Q539" i="4"/>
  <c r="R27" i="51" s="1"/>
  <c r="R539" i="4"/>
  <c r="Q27" i="51" s="1"/>
  <c r="G540" i="4"/>
  <c r="D28" i="51" s="1"/>
  <c r="H540" i="4"/>
  <c r="F28" i="51" s="1"/>
  <c r="I540" i="4"/>
  <c r="E28" i="51" s="1"/>
  <c r="K540" i="4"/>
  <c r="J28" i="51" s="1"/>
  <c r="L540" i="4"/>
  <c r="I28" i="51" s="1"/>
  <c r="N540" i="4"/>
  <c r="N28" i="51" s="1"/>
  <c r="O540" i="4"/>
  <c r="M28" i="51" s="1"/>
  <c r="Q540" i="4"/>
  <c r="R28" i="51" s="1"/>
  <c r="R540" i="4"/>
  <c r="Q28" i="51" s="1"/>
  <c r="G541" i="4"/>
  <c r="D29" i="51" s="1"/>
  <c r="H541" i="4"/>
  <c r="F29" i="51" s="1"/>
  <c r="I541" i="4"/>
  <c r="E29" i="51" s="1"/>
  <c r="K541" i="4"/>
  <c r="J29" i="51" s="1"/>
  <c r="L541" i="4"/>
  <c r="I29" i="51" s="1"/>
  <c r="N541" i="4"/>
  <c r="N29" i="51" s="1"/>
  <c r="O541" i="4"/>
  <c r="M29" i="51" s="1"/>
  <c r="Q541" i="4"/>
  <c r="R29" i="51" s="1"/>
  <c r="R541" i="4"/>
  <c r="Q29" i="51" s="1"/>
  <c r="H542" i="4"/>
  <c r="F30" i="51" s="1"/>
  <c r="I542" i="4"/>
  <c r="E30" i="51" s="1"/>
  <c r="K542" i="4"/>
  <c r="J30" i="51" s="1"/>
  <c r="L542" i="4"/>
  <c r="I30" i="51" s="1"/>
  <c r="N542" i="4"/>
  <c r="N30" i="51" s="1"/>
  <c r="O542" i="4"/>
  <c r="M30" i="51" s="1"/>
  <c r="Q542" i="4"/>
  <c r="R30" i="51" s="1"/>
  <c r="R542" i="4"/>
  <c r="Q30" i="51" s="1"/>
  <c r="H543" i="4"/>
  <c r="F31" i="51" s="1"/>
  <c r="I543" i="4"/>
  <c r="E31" i="51" s="1"/>
  <c r="K543" i="4"/>
  <c r="J31" i="51" s="1"/>
  <c r="L543" i="4"/>
  <c r="I31" i="51" s="1"/>
  <c r="N543" i="4"/>
  <c r="N31" i="51" s="1"/>
  <c r="O543" i="4"/>
  <c r="M31" i="51" s="1"/>
  <c r="Q543" i="4"/>
  <c r="R31" i="51" s="1"/>
  <c r="R543" i="4"/>
  <c r="Q31" i="51" s="1"/>
  <c r="H544" i="4"/>
  <c r="F32" i="51" s="1"/>
  <c r="I544" i="4"/>
  <c r="E32" i="51" s="1"/>
  <c r="K544" i="4"/>
  <c r="J32" i="51" s="1"/>
  <c r="L544" i="4"/>
  <c r="I32" i="51" s="1"/>
  <c r="N544" i="4"/>
  <c r="N32" i="51" s="1"/>
  <c r="O544" i="4"/>
  <c r="M32" i="51" s="1"/>
  <c r="Q544" i="4"/>
  <c r="R32" i="51" s="1"/>
  <c r="R544" i="4"/>
  <c r="Q32" i="51" s="1"/>
  <c r="H545" i="4"/>
  <c r="F33" i="51" s="1"/>
  <c r="I545" i="4"/>
  <c r="E33" i="51" s="1"/>
  <c r="K545" i="4"/>
  <c r="J33" i="51" s="1"/>
  <c r="L545" i="4"/>
  <c r="I33" i="51" s="1"/>
  <c r="N545" i="4"/>
  <c r="N33" i="51" s="1"/>
  <c r="O545" i="4"/>
  <c r="M33" i="51" s="1"/>
  <c r="Q545" i="4"/>
  <c r="R33" i="51" s="1"/>
  <c r="R545" i="4"/>
  <c r="Q33" i="51" s="1"/>
  <c r="H546" i="4"/>
  <c r="F34" i="51" s="1"/>
  <c r="I546" i="4"/>
  <c r="E34" i="51" s="1"/>
  <c r="K546" i="4"/>
  <c r="J34" i="51" s="1"/>
  <c r="L546" i="4"/>
  <c r="I34" i="51" s="1"/>
  <c r="N546" i="4"/>
  <c r="N34" i="51" s="1"/>
  <c r="O546" i="4"/>
  <c r="M34" i="51" s="1"/>
  <c r="Q546" i="4"/>
  <c r="R34" i="51" s="1"/>
  <c r="R546" i="4"/>
  <c r="Q34" i="51" s="1"/>
  <c r="G547" i="4"/>
  <c r="D35" i="51" s="1"/>
  <c r="H547" i="4"/>
  <c r="F35" i="51" s="1"/>
  <c r="I547" i="4"/>
  <c r="E35" i="51" s="1"/>
  <c r="K547" i="4"/>
  <c r="J35" i="51" s="1"/>
  <c r="L547" i="4"/>
  <c r="I35" i="51" s="1"/>
  <c r="N547" i="4"/>
  <c r="N35" i="51" s="1"/>
  <c r="O547" i="4"/>
  <c r="M35" i="51" s="1"/>
  <c r="Q547" i="4"/>
  <c r="R35" i="51" s="1"/>
  <c r="R547" i="4"/>
  <c r="Q35" i="51" s="1"/>
  <c r="G548" i="4"/>
  <c r="D36" i="51" s="1"/>
  <c r="H548" i="4"/>
  <c r="F36" i="51" s="1"/>
  <c r="I548" i="4"/>
  <c r="E36" i="51" s="1"/>
  <c r="K548" i="4"/>
  <c r="J36" i="51" s="1"/>
  <c r="L548" i="4"/>
  <c r="I36" i="51" s="1"/>
  <c r="N548" i="4"/>
  <c r="N36" i="51" s="1"/>
  <c r="O548" i="4"/>
  <c r="M36" i="51" s="1"/>
  <c r="Q548" i="4"/>
  <c r="R36" i="51" s="1"/>
  <c r="R548" i="4"/>
  <c r="Q36" i="51" s="1"/>
  <c r="H549" i="4"/>
  <c r="F37" i="51" s="1"/>
  <c r="I549" i="4"/>
  <c r="E37" i="51" s="1"/>
  <c r="K549" i="4"/>
  <c r="J37" i="51" s="1"/>
  <c r="L549" i="4"/>
  <c r="I37" i="51" s="1"/>
  <c r="N549" i="4"/>
  <c r="N37" i="51" s="1"/>
  <c r="O549" i="4"/>
  <c r="M37" i="51" s="1"/>
  <c r="Q549" i="4"/>
  <c r="R37" i="51" s="1"/>
  <c r="R549" i="4"/>
  <c r="Q37" i="51" s="1"/>
  <c r="G550" i="4"/>
  <c r="D38" i="51" s="1"/>
  <c r="H550" i="4"/>
  <c r="F38" i="51" s="1"/>
  <c r="I550" i="4"/>
  <c r="E38" i="51" s="1"/>
  <c r="K550" i="4"/>
  <c r="J38" i="51" s="1"/>
  <c r="L550" i="4"/>
  <c r="I38" i="51" s="1"/>
  <c r="N550" i="4"/>
  <c r="N38" i="51" s="1"/>
  <c r="O550" i="4"/>
  <c r="M38" i="51" s="1"/>
  <c r="Q550" i="4"/>
  <c r="R38" i="51" s="1"/>
  <c r="R550" i="4"/>
  <c r="Q38" i="51" s="1"/>
  <c r="D523" i="4"/>
  <c r="A11" i="51" s="1"/>
  <c r="D524" i="4"/>
  <c r="A12" i="51" s="1"/>
  <c r="D525" i="4"/>
  <c r="A13" i="51" s="1"/>
  <c r="D526" i="4"/>
  <c r="A14" i="51" s="1"/>
  <c r="D527" i="4"/>
  <c r="A15" i="51" s="1"/>
  <c r="D528" i="4"/>
  <c r="A16" i="51" s="1"/>
  <c r="D529" i="4"/>
  <c r="A17" i="51" s="1"/>
  <c r="D530" i="4"/>
  <c r="A18" i="51" s="1"/>
  <c r="D531" i="4"/>
  <c r="A19" i="51" s="1"/>
  <c r="D532" i="4"/>
  <c r="A20" i="51" s="1"/>
  <c r="D533" i="4"/>
  <c r="A21" i="51" s="1"/>
  <c r="D534" i="4"/>
  <c r="A22" i="51" s="1"/>
  <c r="D535" i="4"/>
  <c r="A23" i="51" s="1"/>
  <c r="D536" i="4"/>
  <c r="A24" i="51" s="1"/>
  <c r="D537" i="4"/>
  <c r="A25" i="51" s="1"/>
  <c r="D538" i="4"/>
  <c r="A26" i="51" s="1"/>
  <c r="D539" i="4"/>
  <c r="A27" i="51" s="1"/>
  <c r="D540" i="4"/>
  <c r="A28" i="51" s="1"/>
  <c r="D541" i="4"/>
  <c r="A29" i="51" s="1"/>
  <c r="D542" i="4"/>
  <c r="A30" i="51" s="1"/>
  <c r="D543" i="4"/>
  <c r="A31" i="51" s="1"/>
  <c r="D544" i="4"/>
  <c r="A32" i="51" s="1"/>
  <c r="D545" i="4"/>
  <c r="A33" i="51" s="1"/>
  <c r="D546" i="4"/>
  <c r="A34" i="51" s="1"/>
  <c r="D547" i="4"/>
  <c r="A35" i="51" s="1"/>
  <c r="D548" i="4"/>
  <c r="A36" i="51" s="1"/>
  <c r="D549" i="4"/>
  <c r="A37" i="51" s="1"/>
  <c r="D550" i="4"/>
  <c r="A38" i="51" s="1"/>
  <c r="H449" i="4"/>
  <c r="F11" i="50" s="1"/>
  <c r="I449" i="4"/>
  <c r="E11" i="50" s="1"/>
  <c r="K449" i="4"/>
  <c r="J11" i="50" s="1"/>
  <c r="L449" i="4"/>
  <c r="I11" i="50" s="1"/>
  <c r="N449" i="4"/>
  <c r="N11" i="50" s="1"/>
  <c r="O449" i="4"/>
  <c r="M11" i="50" s="1"/>
  <c r="Q449" i="4"/>
  <c r="R11" i="50" s="1"/>
  <c r="R449" i="4"/>
  <c r="Q11" i="50" s="1"/>
  <c r="H450" i="4"/>
  <c r="F12" i="50" s="1"/>
  <c r="I450" i="4"/>
  <c r="E12" i="50" s="1"/>
  <c r="K450" i="4"/>
  <c r="J12" i="50" s="1"/>
  <c r="L450" i="4"/>
  <c r="I12" i="50" s="1"/>
  <c r="N450" i="4"/>
  <c r="N12" i="50" s="1"/>
  <c r="O450" i="4"/>
  <c r="M12" i="50" s="1"/>
  <c r="Q450" i="4"/>
  <c r="R12" i="50" s="1"/>
  <c r="R450" i="4"/>
  <c r="Q12" i="50" s="1"/>
  <c r="H451" i="4"/>
  <c r="F13" i="50" s="1"/>
  <c r="I451" i="4"/>
  <c r="E13" i="50" s="1"/>
  <c r="K451" i="4"/>
  <c r="J13" i="50" s="1"/>
  <c r="L451" i="4"/>
  <c r="I13" i="50" s="1"/>
  <c r="N451" i="4"/>
  <c r="N13" i="50" s="1"/>
  <c r="O451" i="4"/>
  <c r="M13" i="50" s="1"/>
  <c r="Q451" i="4"/>
  <c r="R13" i="50" s="1"/>
  <c r="R451" i="4"/>
  <c r="Q13" i="50" s="1"/>
  <c r="G452" i="4"/>
  <c r="D14" i="50" s="1"/>
  <c r="H452" i="4"/>
  <c r="F14" i="50" s="1"/>
  <c r="I452" i="4"/>
  <c r="E14" i="50" s="1"/>
  <c r="K452" i="4"/>
  <c r="J14" i="50" s="1"/>
  <c r="L452" i="4"/>
  <c r="I14" i="50" s="1"/>
  <c r="N452" i="4"/>
  <c r="N14" i="50" s="1"/>
  <c r="O452" i="4"/>
  <c r="M14" i="50" s="1"/>
  <c r="Q452" i="4"/>
  <c r="R14" i="50" s="1"/>
  <c r="R452" i="4"/>
  <c r="Q14" i="50" s="1"/>
  <c r="H453" i="4"/>
  <c r="F15" i="50" s="1"/>
  <c r="I453" i="4"/>
  <c r="E15" i="50" s="1"/>
  <c r="K453" i="4"/>
  <c r="J15" i="50" s="1"/>
  <c r="L453" i="4"/>
  <c r="I15" i="50" s="1"/>
  <c r="N453" i="4"/>
  <c r="N15" i="50" s="1"/>
  <c r="O453" i="4"/>
  <c r="M15" i="50" s="1"/>
  <c r="Q453" i="4"/>
  <c r="R15" i="50" s="1"/>
  <c r="R453" i="4"/>
  <c r="Q15" i="50" s="1"/>
  <c r="H454" i="4"/>
  <c r="F16" i="50" s="1"/>
  <c r="I454" i="4"/>
  <c r="E16" i="50" s="1"/>
  <c r="K454" i="4"/>
  <c r="J16" i="50" s="1"/>
  <c r="L454" i="4"/>
  <c r="I16" i="50" s="1"/>
  <c r="N454" i="4"/>
  <c r="N16" i="50" s="1"/>
  <c r="O454" i="4"/>
  <c r="M16" i="50" s="1"/>
  <c r="Q454" i="4"/>
  <c r="R16" i="50" s="1"/>
  <c r="R454" i="4"/>
  <c r="Q16" i="50" s="1"/>
  <c r="G455" i="4"/>
  <c r="D17" i="50" s="1"/>
  <c r="H455" i="4"/>
  <c r="F17" i="50" s="1"/>
  <c r="I455" i="4"/>
  <c r="E17" i="50" s="1"/>
  <c r="K455" i="4"/>
  <c r="J17" i="50" s="1"/>
  <c r="L455" i="4"/>
  <c r="I17" i="50" s="1"/>
  <c r="N455" i="4"/>
  <c r="N17" i="50" s="1"/>
  <c r="O455" i="4"/>
  <c r="M17" i="50" s="1"/>
  <c r="Q455" i="4"/>
  <c r="R17" i="50" s="1"/>
  <c r="R455" i="4"/>
  <c r="Q17" i="50" s="1"/>
  <c r="G456" i="4"/>
  <c r="D18" i="50" s="1"/>
  <c r="H456" i="4"/>
  <c r="F18" i="50" s="1"/>
  <c r="I456" i="4"/>
  <c r="E18" i="50" s="1"/>
  <c r="K456" i="4"/>
  <c r="J18" i="50" s="1"/>
  <c r="L456" i="4"/>
  <c r="I18" i="50" s="1"/>
  <c r="N456" i="4"/>
  <c r="N18" i="50" s="1"/>
  <c r="O456" i="4"/>
  <c r="M18" i="50" s="1"/>
  <c r="Q456" i="4"/>
  <c r="R18" i="50" s="1"/>
  <c r="R456" i="4"/>
  <c r="Q18" i="50" s="1"/>
  <c r="H457" i="4"/>
  <c r="F19" i="50" s="1"/>
  <c r="I457" i="4"/>
  <c r="E19" i="50" s="1"/>
  <c r="K457" i="4"/>
  <c r="J19" i="50" s="1"/>
  <c r="L457" i="4"/>
  <c r="I19" i="50" s="1"/>
  <c r="N457" i="4"/>
  <c r="N19" i="50" s="1"/>
  <c r="O457" i="4"/>
  <c r="M19" i="50" s="1"/>
  <c r="Q457" i="4"/>
  <c r="R19" i="50" s="1"/>
  <c r="R457" i="4"/>
  <c r="Q19" i="50" s="1"/>
  <c r="H458" i="4"/>
  <c r="F20" i="50" s="1"/>
  <c r="I458" i="4"/>
  <c r="E20" i="50" s="1"/>
  <c r="K458" i="4"/>
  <c r="J20" i="50" s="1"/>
  <c r="L458" i="4"/>
  <c r="I20" i="50" s="1"/>
  <c r="N458" i="4"/>
  <c r="N20" i="50" s="1"/>
  <c r="O458" i="4"/>
  <c r="M20" i="50" s="1"/>
  <c r="Q458" i="4"/>
  <c r="R20" i="50" s="1"/>
  <c r="R458" i="4"/>
  <c r="Q20" i="50" s="1"/>
  <c r="G459" i="4"/>
  <c r="D21" i="50" s="1"/>
  <c r="H459" i="4"/>
  <c r="F21" i="50" s="1"/>
  <c r="I459" i="4"/>
  <c r="E21" i="50" s="1"/>
  <c r="K459" i="4"/>
  <c r="J21" i="50" s="1"/>
  <c r="L459" i="4"/>
  <c r="I21" i="50" s="1"/>
  <c r="N459" i="4"/>
  <c r="N21" i="50" s="1"/>
  <c r="O459" i="4"/>
  <c r="M21" i="50" s="1"/>
  <c r="Q459" i="4"/>
  <c r="R21" i="50" s="1"/>
  <c r="R459" i="4"/>
  <c r="Q21" i="50" s="1"/>
  <c r="H460" i="4"/>
  <c r="F22" i="50" s="1"/>
  <c r="I460" i="4"/>
  <c r="E22" i="50" s="1"/>
  <c r="K460" i="4"/>
  <c r="J22" i="50" s="1"/>
  <c r="L460" i="4"/>
  <c r="I22" i="50" s="1"/>
  <c r="N460" i="4"/>
  <c r="N22" i="50" s="1"/>
  <c r="O460" i="4"/>
  <c r="M22" i="50" s="1"/>
  <c r="Q460" i="4"/>
  <c r="R22" i="50" s="1"/>
  <c r="R460" i="4"/>
  <c r="Q22" i="50" s="1"/>
  <c r="H461" i="4"/>
  <c r="F23" i="50" s="1"/>
  <c r="I461" i="4"/>
  <c r="E23" i="50" s="1"/>
  <c r="K461" i="4"/>
  <c r="J23" i="50" s="1"/>
  <c r="L461" i="4"/>
  <c r="I23" i="50" s="1"/>
  <c r="N461" i="4"/>
  <c r="N23" i="50" s="1"/>
  <c r="O461" i="4"/>
  <c r="M23" i="50" s="1"/>
  <c r="Q461" i="4"/>
  <c r="R23" i="50" s="1"/>
  <c r="R461" i="4"/>
  <c r="Q23" i="50" s="1"/>
  <c r="H462" i="4"/>
  <c r="F24" i="50" s="1"/>
  <c r="I462" i="4"/>
  <c r="E24" i="50" s="1"/>
  <c r="K462" i="4"/>
  <c r="J24" i="50" s="1"/>
  <c r="L462" i="4"/>
  <c r="I24" i="50" s="1"/>
  <c r="N462" i="4"/>
  <c r="N24" i="50" s="1"/>
  <c r="O462" i="4"/>
  <c r="M24" i="50" s="1"/>
  <c r="Q462" i="4"/>
  <c r="R24" i="50" s="1"/>
  <c r="R462" i="4"/>
  <c r="Q24" i="50" s="1"/>
  <c r="H463" i="4"/>
  <c r="F25" i="50" s="1"/>
  <c r="I463" i="4"/>
  <c r="E25" i="50" s="1"/>
  <c r="K463" i="4"/>
  <c r="J25" i="50" s="1"/>
  <c r="L463" i="4"/>
  <c r="I25" i="50" s="1"/>
  <c r="N463" i="4"/>
  <c r="N25" i="50" s="1"/>
  <c r="O463" i="4"/>
  <c r="M25" i="50" s="1"/>
  <c r="Q463" i="4"/>
  <c r="R25" i="50" s="1"/>
  <c r="R463" i="4"/>
  <c r="Q25" i="50" s="1"/>
  <c r="H464" i="4"/>
  <c r="F26" i="50" s="1"/>
  <c r="I464" i="4"/>
  <c r="E26" i="50" s="1"/>
  <c r="K464" i="4"/>
  <c r="J26" i="50" s="1"/>
  <c r="L464" i="4"/>
  <c r="I26" i="50" s="1"/>
  <c r="N464" i="4"/>
  <c r="N26" i="50" s="1"/>
  <c r="O464" i="4"/>
  <c r="M26" i="50" s="1"/>
  <c r="Q464" i="4"/>
  <c r="R26" i="50" s="1"/>
  <c r="R464" i="4"/>
  <c r="Q26" i="50" s="1"/>
  <c r="H465" i="4"/>
  <c r="F27" i="50" s="1"/>
  <c r="I465" i="4"/>
  <c r="E27" i="50" s="1"/>
  <c r="K465" i="4"/>
  <c r="J27" i="50" s="1"/>
  <c r="L465" i="4"/>
  <c r="I27" i="50" s="1"/>
  <c r="N465" i="4"/>
  <c r="N27" i="50" s="1"/>
  <c r="O465" i="4"/>
  <c r="M27" i="50" s="1"/>
  <c r="Q465" i="4"/>
  <c r="R27" i="50" s="1"/>
  <c r="R465" i="4"/>
  <c r="Q27" i="50" s="1"/>
  <c r="G466" i="4"/>
  <c r="D28" i="50" s="1"/>
  <c r="H466" i="4"/>
  <c r="F28" i="50" s="1"/>
  <c r="I466" i="4"/>
  <c r="E28" i="50" s="1"/>
  <c r="K466" i="4"/>
  <c r="J28" i="50" s="1"/>
  <c r="L466" i="4"/>
  <c r="I28" i="50" s="1"/>
  <c r="N466" i="4"/>
  <c r="N28" i="50" s="1"/>
  <c r="O466" i="4"/>
  <c r="M28" i="50" s="1"/>
  <c r="Q466" i="4"/>
  <c r="R28" i="50" s="1"/>
  <c r="R466" i="4"/>
  <c r="Q28" i="50" s="1"/>
  <c r="G467" i="4"/>
  <c r="D29" i="50" s="1"/>
  <c r="H467" i="4"/>
  <c r="F29" i="50" s="1"/>
  <c r="I467" i="4"/>
  <c r="E29" i="50" s="1"/>
  <c r="K467" i="4"/>
  <c r="J29" i="50" s="1"/>
  <c r="L467" i="4"/>
  <c r="I29" i="50" s="1"/>
  <c r="N467" i="4"/>
  <c r="N29" i="50" s="1"/>
  <c r="O467" i="4"/>
  <c r="M29" i="50" s="1"/>
  <c r="Q467" i="4"/>
  <c r="R29" i="50" s="1"/>
  <c r="R467" i="4"/>
  <c r="Q29" i="50" s="1"/>
  <c r="H468" i="4"/>
  <c r="F30" i="50" s="1"/>
  <c r="I468" i="4"/>
  <c r="E30" i="50" s="1"/>
  <c r="K468" i="4"/>
  <c r="J30" i="50" s="1"/>
  <c r="L468" i="4"/>
  <c r="I30" i="50" s="1"/>
  <c r="N468" i="4"/>
  <c r="N30" i="50" s="1"/>
  <c r="O468" i="4"/>
  <c r="M30" i="50" s="1"/>
  <c r="Q468" i="4"/>
  <c r="R30" i="50" s="1"/>
  <c r="R468" i="4"/>
  <c r="Q30" i="50" s="1"/>
  <c r="H469" i="4"/>
  <c r="F31" i="50" s="1"/>
  <c r="I469" i="4"/>
  <c r="E31" i="50" s="1"/>
  <c r="K469" i="4"/>
  <c r="J31" i="50" s="1"/>
  <c r="L469" i="4"/>
  <c r="I31" i="50" s="1"/>
  <c r="N469" i="4"/>
  <c r="N31" i="50" s="1"/>
  <c r="O469" i="4"/>
  <c r="M31" i="50" s="1"/>
  <c r="Q469" i="4"/>
  <c r="R31" i="50" s="1"/>
  <c r="R469" i="4"/>
  <c r="Q31" i="50" s="1"/>
  <c r="H470" i="4"/>
  <c r="F32" i="50" s="1"/>
  <c r="I470" i="4"/>
  <c r="E32" i="50" s="1"/>
  <c r="K470" i="4"/>
  <c r="J32" i="50" s="1"/>
  <c r="L470" i="4"/>
  <c r="I32" i="50" s="1"/>
  <c r="N470" i="4"/>
  <c r="N32" i="50" s="1"/>
  <c r="O470" i="4"/>
  <c r="M32" i="50" s="1"/>
  <c r="Q470" i="4"/>
  <c r="R32" i="50" s="1"/>
  <c r="R470" i="4"/>
  <c r="Q32" i="50" s="1"/>
  <c r="H471" i="4"/>
  <c r="F33" i="50" s="1"/>
  <c r="I471" i="4"/>
  <c r="E33" i="50" s="1"/>
  <c r="K471" i="4"/>
  <c r="J33" i="50" s="1"/>
  <c r="L471" i="4"/>
  <c r="I33" i="50" s="1"/>
  <c r="N471" i="4"/>
  <c r="N33" i="50" s="1"/>
  <c r="O471" i="4"/>
  <c r="M33" i="50" s="1"/>
  <c r="Q471" i="4"/>
  <c r="R33" i="50" s="1"/>
  <c r="R471" i="4"/>
  <c r="Q33" i="50" s="1"/>
  <c r="H472" i="4"/>
  <c r="F34" i="50" s="1"/>
  <c r="I472" i="4"/>
  <c r="E34" i="50" s="1"/>
  <c r="K472" i="4"/>
  <c r="J34" i="50" s="1"/>
  <c r="L472" i="4"/>
  <c r="I34" i="50" s="1"/>
  <c r="N472" i="4"/>
  <c r="N34" i="50" s="1"/>
  <c r="O472" i="4"/>
  <c r="M34" i="50" s="1"/>
  <c r="Q472" i="4"/>
  <c r="R34" i="50" s="1"/>
  <c r="R472" i="4"/>
  <c r="Q34" i="50" s="1"/>
  <c r="G473" i="4"/>
  <c r="D35" i="50" s="1"/>
  <c r="H473" i="4"/>
  <c r="F35" i="50" s="1"/>
  <c r="I473" i="4"/>
  <c r="E35" i="50" s="1"/>
  <c r="K473" i="4"/>
  <c r="J35" i="50" s="1"/>
  <c r="L473" i="4"/>
  <c r="I35" i="50" s="1"/>
  <c r="N473" i="4"/>
  <c r="N35" i="50" s="1"/>
  <c r="O473" i="4"/>
  <c r="M35" i="50" s="1"/>
  <c r="Q473" i="4"/>
  <c r="R35" i="50" s="1"/>
  <c r="R473" i="4"/>
  <c r="Q35" i="50" s="1"/>
  <c r="G474" i="4"/>
  <c r="D36" i="50" s="1"/>
  <c r="H474" i="4"/>
  <c r="F36" i="50" s="1"/>
  <c r="I474" i="4"/>
  <c r="E36" i="50" s="1"/>
  <c r="K474" i="4"/>
  <c r="J36" i="50" s="1"/>
  <c r="L474" i="4"/>
  <c r="I36" i="50" s="1"/>
  <c r="N474" i="4"/>
  <c r="N36" i="50" s="1"/>
  <c r="O474" i="4"/>
  <c r="M36" i="50" s="1"/>
  <c r="Q474" i="4"/>
  <c r="R36" i="50" s="1"/>
  <c r="R474" i="4"/>
  <c r="Q36" i="50" s="1"/>
  <c r="H475" i="4"/>
  <c r="F37" i="50" s="1"/>
  <c r="I475" i="4"/>
  <c r="E37" i="50" s="1"/>
  <c r="K475" i="4"/>
  <c r="J37" i="50" s="1"/>
  <c r="L475" i="4"/>
  <c r="I37" i="50" s="1"/>
  <c r="N475" i="4"/>
  <c r="N37" i="50" s="1"/>
  <c r="O475" i="4"/>
  <c r="M37" i="50" s="1"/>
  <c r="Q475" i="4"/>
  <c r="R37" i="50" s="1"/>
  <c r="R475" i="4"/>
  <c r="Q37" i="50" s="1"/>
  <c r="G476" i="4"/>
  <c r="D38" i="50" s="1"/>
  <c r="H476" i="4"/>
  <c r="F38" i="50" s="1"/>
  <c r="I476" i="4"/>
  <c r="E38" i="50" s="1"/>
  <c r="K476" i="4"/>
  <c r="J38" i="50" s="1"/>
  <c r="L476" i="4"/>
  <c r="I38" i="50" s="1"/>
  <c r="N476" i="4"/>
  <c r="N38" i="50" s="1"/>
  <c r="O476" i="4"/>
  <c r="M38" i="50" s="1"/>
  <c r="Q476" i="4"/>
  <c r="R38" i="50" s="1"/>
  <c r="R476" i="4"/>
  <c r="Q38" i="50" s="1"/>
  <c r="D449" i="4"/>
  <c r="A11" i="50" s="1"/>
  <c r="D450" i="4"/>
  <c r="A12" i="50" s="1"/>
  <c r="D451" i="4"/>
  <c r="A13" i="50" s="1"/>
  <c r="D452" i="4"/>
  <c r="A14" i="50" s="1"/>
  <c r="D453" i="4"/>
  <c r="A15" i="50" s="1"/>
  <c r="D454" i="4"/>
  <c r="A16" i="50" s="1"/>
  <c r="D455" i="4"/>
  <c r="A17" i="50" s="1"/>
  <c r="D456" i="4"/>
  <c r="A18" i="50" s="1"/>
  <c r="D457" i="4"/>
  <c r="A19" i="50" s="1"/>
  <c r="D458" i="4"/>
  <c r="A20" i="50" s="1"/>
  <c r="D459" i="4"/>
  <c r="A21" i="50" s="1"/>
  <c r="D460" i="4"/>
  <c r="A22" i="50" s="1"/>
  <c r="D461" i="4"/>
  <c r="A23" i="50" s="1"/>
  <c r="D462" i="4"/>
  <c r="A24" i="50" s="1"/>
  <c r="D463" i="4"/>
  <c r="A25" i="50" s="1"/>
  <c r="D464" i="4"/>
  <c r="A26" i="50" s="1"/>
  <c r="D465" i="4"/>
  <c r="A27" i="50" s="1"/>
  <c r="D466" i="4"/>
  <c r="A28" i="50" s="1"/>
  <c r="D467" i="4"/>
  <c r="A29" i="50" s="1"/>
  <c r="D468" i="4"/>
  <c r="A30" i="50" s="1"/>
  <c r="D469" i="4"/>
  <c r="A31" i="50" s="1"/>
  <c r="D470" i="4"/>
  <c r="A32" i="50" s="1"/>
  <c r="D471" i="4"/>
  <c r="A33" i="50" s="1"/>
  <c r="D472" i="4"/>
  <c r="A34" i="50" s="1"/>
  <c r="D473" i="4"/>
  <c r="A35" i="50" s="1"/>
  <c r="D474" i="4"/>
  <c r="A36" i="50" s="1"/>
  <c r="D475" i="4"/>
  <c r="A37" i="50" s="1"/>
  <c r="D476" i="4"/>
  <c r="A38" i="50" s="1"/>
  <c r="H376" i="4"/>
  <c r="F11" i="47" s="1"/>
  <c r="I376" i="4"/>
  <c r="E11" i="47" s="1"/>
  <c r="K376" i="4"/>
  <c r="J11" i="47" s="1"/>
  <c r="L376" i="4"/>
  <c r="I11" i="47" s="1"/>
  <c r="N376" i="4"/>
  <c r="N11" i="47" s="1"/>
  <c r="O376" i="4"/>
  <c r="M11" i="47" s="1"/>
  <c r="Q376" i="4"/>
  <c r="R11" i="47" s="1"/>
  <c r="R376" i="4"/>
  <c r="Q11" i="47" s="1"/>
  <c r="H377" i="4"/>
  <c r="F12" i="47" s="1"/>
  <c r="I377" i="4"/>
  <c r="E12" i="47" s="1"/>
  <c r="K377" i="4"/>
  <c r="J12" i="47" s="1"/>
  <c r="L377" i="4"/>
  <c r="I12" i="47" s="1"/>
  <c r="N377" i="4"/>
  <c r="N12" i="47" s="1"/>
  <c r="O377" i="4"/>
  <c r="M12" i="47" s="1"/>
  <c r="Q377" i="4"/>
  <c r="R12" i="47" s="1"/>
  <c r="R377" i="4"/>
  <c r="Q12" i="47" s="1"/>
  <c r="H378" i="4"/>
  <c r="F13" i="47" s="1"/>
  <c r="I378" i="4"/>
  <c r="E13" i="47" s="1"/>
  <c r="K378" i="4"/>
  <c r="J13" i="47" s="1"/>
  <c r="L378" i="4"/>
  <c r="I13" i="47" s="1"/>
  <c r="N378" i="4"/>
  <c r="N13" i="47" s="1"/>
  <c r="O378" i="4"/>
  <c r="M13" i="47" s="1"/>
  <c r="Q378" i="4"/>
  <c r="R13" i="47" s="1"/>
  <c r="R378" i="4"/>
  <c r="Q13" i="47" s="1"/>
  <c r="G379" i="4"/>
  <c r="D14" i="47" s="1"/>
  <c r="H379" i="4"/>
  <c r="F14" i="47" s="1"/>
  <c r="I379" i="4"/>
  <c r="E14" i="47" s="1"/>
  <c r="K379" i="4"/>
  <c r="J14" i="47" s="1"/>
  <c r="L379" i="4"/>
  <c r="I14" i="47" s="1"/>
  <c r="N379" i="4"/>
  <c r="N14" i="47" s="1"/>
  <c r="O379" i="4"/>
  <c r="M14" i="47" s="1"/>
  <c r="Q379" i="4"/>
  <c r="R14" i="47" s="1"/>
  <c r="R379" i="4"/>
  <c r="Q14" i="47" s="1"/>
  <c r="H380" i="4"/>
  <c r="F15" i="47" s="1"/>
  <c r="I380" i="4"/>
  <c r="E15" i="47" s="1"/>
  <c r="K380" i="4"/>
  <c r="J15" i="47" s="1"/>
  <c r="L380" i="4"/>
  <c r="I15" i="47" s="1"/>
  <c r="N380" i="4"/>
  <c r="N15" i="47" s="1"/>
  <c r="O380" i="4"/>
  <c r="M15" i="47" s="1"/>
  <c r="Q380" i="4"/>
  <c r="R15" i="47" s="1"/>
  <c r="R380" i="4"/>
  <c r="Q15" i="47" s="1"/>
  <c r="H381" i="4"/>
  <c r="F16" i="47" s="1"/>
  <c r="I381" i="4"/>
  <c r="E16" i="47" s="1"/>
  <c r="K381" i="4"/>
  <c r="J16" i="47" s="1"/>
  <c r="L381" i="4"/>
  <c r="I16" i="47" s="1"/>
  <c r="N381" i="4"/>
  <c r="N16" i="47" s="1"/>
  <c r="O381" i="4"/>
  <c r="M16" i="47" s="1"/>
  <c r="Q381" i="4"/>
  <c r="R16" i="47" s="1"/>
  <c r="R381" i="4"/>
  <c r="Q16" i="47" s="1"/>
  <c r="G382" i="4"/>
  <c r="D17" i="47" s="1"/>
  <c r="H382" i="4"/>
  <c r="F17" i="47" s="1"/>
  <c r="I382" i="4"/>
  <c r="E17" i="47" s="1"/>
  <c r="K382" i="4"/>
  <c r="J17" i="47" s="1"/>
  <c r="L382" i="4"/>
  <c r="I17" i="47" s="1"/>
  <c r="N382" i="4"/>
  <c r="N17" i="47" s="1"/>
  <c r="O382" i="4"/>
  <c r="M17" i="47" s="1"/>
  <c r="Q382" i="4"/>
  <c r="R17" i="47" s="1"/>
  <c r="R382" i="4"/>
  <c r="Q17" i="47" s="1"/>
  <c r="G383" i="4"/>
  <c r="D18" i="47" s="1"/>
  <c r="H383" i="4"/>
  <c r="F18" i="47" s="1"/>
  <c r="I383" i="4"/>
  <c r="E18" i="47" s="1"/>
  <c r="K383" i="4"/>
  <c r="J18" i="47" s="1"/>
  <c r="L383" i="4"/>
  <c r="I18" i="47" s="1"/>
  <c r="N383" i="4"/>
  <c r="N18" i="47" s="1"/>
  <c r="O383" i="4"/>
  <c r="M18" i="47" s="1"/>
  <c r="Q383" i="4"/>
  <c r="R18" i="47" s="1"/>
  <c r="R383" i="4"/>
  <c r="Q18" i="47" s="1"/>
  <c r="H384" i="4"/>
  <c r="F19" i="47" s="1"/>
  <c r="I384" i="4"/>
  <c r="E19" i="47" s="1"/>
  <c r="K384" i="4"/>
  <c r="J19" i="47" s="1"/>
  <c r="L384" i="4"/>
  <c r="I19" i="47" s="1"/>
  <c r="N384" i="4"/>
  <c r="N19" i="47" s="1"/>
  <c r="O384" i="4"/>
  <c r="M19" i="47" s="1"/>
  <c r="Q384" i="4"/>
  <c r="R19" i="47" s="1"/>
  <c r="R384" i="4"/>
  <c r="Q19" i="47" s="1"/>
  <c r="H385" i="4"/>
  <c r="F20" i="47" s="1"/>
  <c r="I385" i="4"/>
  <c r="E20" i="47" s="1"/>
  <c r="K385" i="4"/>
  <c r="J20" i="47" s="1"/>
  <c r="L385" i="4"/>
  <c r="I20" i="47" s="1"/>
  <c r="N385" i="4"/>
  <c r="N20" i="47" s="1"/>
  <c r="O385" i="4"/>
  <c r="M20" i="47" s="1"/>
  <c r="Q385" i="4"/>
  <c r="R20" i="47" s="1"/>
  <c r="R385" i="4"/>
  <c r="Q20" i="47" s="1"/>
  <c r="G386" i="4"/>
  <c r="D21" i="47" s="1"/>
  <c r="H386" i="4"/>
  <c r="F21" i="47" s="1"/>
  <c r="I386" i="4"/>
  <c r="E21" i="47" s="1"/>
  <c r="K386" i="4"/>
  <c r="J21" i="47" s="1"/>
  <c r="L386" i="4"/>
  <c r="I21" i="47" s="1"/>
  <c r="N386" i="4"/>
  <c r="N21" i="47" s="1"/>
  <c r="O386" i="4"/>
  <c r="M21" i="47" s="1"/>
  <c r="Q386" i="4"/>
  <c r="R21" i="47" s="1"/>
  <c r="R386" i="4"/>
  <c r="Q21" i="47" s="1"/>
  <c r="H387" i="4"/>
  <c r="F22" i="47" s="1"/>
  <c r="I387" i="4"/>
  <c r="E22" i="47" s="1"/>
  <c r="K387" i="4"/>
  <c r="J22" i="47" s="1"/>
  <c r="L387" i="4"/>
  <c r="I22" i="47" s="1"/>
  <c r="N387" i="4"/>
  <c r="N22" i="47" s="1"/>
  <c r="O387" i="4"/>
  <c r="M22" i="47" s="1"/>
  <c r="Q387" i="4"/>
  <c r="R22" i="47" s="1"/>
  <c r="R387" i="4"/>
  <c r="Q22" i="47" s="1"/>
  <c r="H388" i="4"/>
  <c r="F23" i="47" s="1"/>
  <c r="I388" i="4"/>
  <c r="E23" i="47" s="1"/>
  <c r="K388" i="4"/>
  <c r="J23" i="47" s="1"/>
  <c r="L388" i="4"/>
  <c r="I23" i="47" s="1"/>
  <c r="N388" i="4"/>
  <c r="N23" i="47" s="1"/>
  <c r="O388" i="4"/>
  <c r="M23" i="47" s="1"/>
  <c r="Q388" i="4"/>
  <c r="R23" i="47" s="1"/>
  <c r="R388" i="4"/>
  <c r="Q23" i="47" s="1"/>
  <c r="H389" i="4"/>
  <c r="F24" i="47" s="1"/>
  <c r="I389" i="4"/>
  <c r="E24" i="47" s="1"/>
  <c r="K389" i="4"/>
  <c r="J24" i="47" s="1"/>
  <c r="L389" i="4"/>
  <c r="I24" i="47" s="1"/>
  <c r="N389" i="4"/>
  <c r="N24" i="47" s="1"/>
  <c r="O389" i="4"/>
  <c r="M24" i="47" s="1"/>
  <c r="Q389" i="4"/>
  <c r="R24" i="47" s="1"/>
  <c r="R389" i="4"/>
  <c r="Q24" i="47" s="1"/>
  <c r="H390" i="4"/>
  <c r="F25" i="47" s="1"/>
  <c r="I390" i="4"/>
  <c r="E25" i="47" s="1"/>
  <c r="K390" i="4"/>
  <c r="J25" i="47" s="1"/>
  <c r="L390" i="4"/>
  <c r="I25" i="47" s="1"/>
  <c r="N390" i="4"/>
  <c r="N25" i="47" s="1"/>
  <c r="O390" i="4"/>
  <c r="M25" i="47" s="1"/>
  <c r="Q390" i="4"/>
  <c r="R25" i="47" s="1"/>
  <c r="R390" i="4"/>
  <c r="Q25" i="47" s="1"/>
  <c r="H391" i="4"/>
  <c r="F26" i="47" s="1"/>
  <c r="I391" i="4"/>
  <c r="E26" i="47" s="1"/>
  <c r="K391" i="4"/>
  <c r="J26" i="47" s="1"/>
  <c r="L391" i="4"/>
  <c r="I26" i="47" s="1"/>
  <c r="N391" i="4"/>
  <c r="N26" i="47" s="1"/>
  <c r="O391" i="4"/>
  <c r="M26" i="47" s="1"/>
  <c r="Q391" i="4"/>
  <c r="R26" i="47" s="1"/>
  <c r="R391" i="4"/>
  <c r="Q26" i="47" s="1"/>
  <c r="H392" i="4"/>
  <c r="F27" i="47" s="1"/>
  <c r="I392" i="4"/>
  <c r="E27" i="47" s="1"/>
  <c r="K392" i="4"/>
  <c r="J27" i="47" s="1"/>
  <c r="L392" i="4"/>
  <c r="I27" i="47" s="1"/>
  <c r="N392" i="4"/>
  <c r="N27" i="47" s="1"/>
  <c r="O392" i="4"/>
  <c r="M27" i="47" s="1"/>
  <c r="Q392" i="4"/>
  <c r="R27" i="47" s="1"/>
  <c r="R392" i="4"/>
  <c r="Q27" i="47" s="1"/>
  <c r="G393" i="4"/>
  <c r="D28" i="47" s="1"/>
  <c r="H393" i="4"/>
  <c r="F28" i="47" s="1"/>
  <c r="I393" i="4"/>
  <c r="E28" i="47" s="1"/>
  <c r="K393" i="4"/>
  <c r="J28" i="47" s="1"/>
  <c r="L393" i="4"/>
  <c r="I28" i="47" s="1"/>
  <c r="N393" i="4"/>
  <c r="N28" i="47" s="1"/>
  <c r="O393" i="4"/>
  <c r="M28" i="47" s="1"/>
  <c r="Q393" i="4"/>
  <c r="R28" i="47" s="1"/>
  <c r="R393" i="4"/>
  <c r="Q28" i="47" s="1"/>
  <c r="G394" i="4"/>
  <c r="D29" i="47" s="1"/>
  <c r="H394" i="4"/>
  <c r="F29" i="47" s="1"/>
  <c r="I394" i="4"/>
  <c r="E29" i="47" s="1"/>
  <c r="K394" i="4"/>
  <c r="J29" i="47" s="1"/>
  <c r="L394" i="4"/>
  <c r="I29" i="47" s="1"/>
  <c r="N394" i="4"/>
  <c r="N29" i="47" s="1"/>
  <c r="O394" i="4"/>
  <c r="M29" i="47" s="1"/>
  <c r="Q394" i="4"/>
  <c r="R29" i="47" s="1"/>
  <c r="R394" i="4"/>
  <c r="Q29" i="47" s="1"/>
  <c r="H395" i="4"/>
  <c r="F30" i="47" s="1"/>
  <c r="I395" i="4"/>
  <c r="E30" i="47" s="1"/>
  <c r="K395" i="4"/>
  <c r="J30" i="47" s="1"/>
  <c r="L395" i="4"/>
  <c r="I30" i="47" s="1"/>
  <c r="N395" i="4"/>
  <c r="N30" i="47" s="1"/>
  <c r="O395" i="4"/>
  <c r="M30" i="47" s="1"/>
  <c r="Q395" i="4"/>
  <c r="R30" i="47" s="1"/>
  <c r="R395" i="4"/>
  <c r="Q30" i="47" s="1"/>
  <c r="H396" i="4"/>
  <c r="F31" i="47" s="1"/>
  <c r="I396" i="4"/>
  <c r="E31" i="47" s="1"/>
  <c r="K396" i="4"/>
  <c r="J31" i="47" s="1"/>
  <c r="L396" i="4"/>
  <c r="I31" i="47" s="1"/>
  <c r="N396" i="4"/>
  <c r="N31" i="47" s="1"/>
  <c r="O396" i="4"/>
  <c r="M31" i="47" s="1"/>
  <c r="Q396" i="4"/>
  <c r="R31" i="47" s="1"/>
  <c r="R396" i="4"/>
  <c r="Q31" i="47" s="1"/>
  <c r="H397" i="4"/>
  <c r="F32" i="47" s="1"/>
  <c r="I397" i="4"/>
  <c r="E32" i="47" s="1"/>
  <c r="K397" i="4"/>
  <c r="J32" i="47" s="1"/>
  <c r="L397" i="4"/>
  <c r="I32" i="47" s="1"/>
  <c r="N397" i="4"/>
  <c r="N32" i="47" s="1"/>
  <c r="O397" i="4"/>
  <c r="M32" i="47" s="1"/>
  <c r="Q397" i="4"/>
  <c r="R32" i="47" s="1"/>
  <c r="R397" i="4"/>
  <c r="Q32" i="47" s="1"/>
  <c r="H398" i="4"/>
  <c r="F33" i="47" s="1"/>
  <c r="I398" i="4"/>
  <c r="E33" i="47" s="1"/>
  <c r="K398" i="4"/>
  <c r="J33" i="47" s="1"/>
  <c r="L398" i="4"/>
  <c r="I33" i="47" s="1"/>
  <c r="N398" i="4"/>
  <c r="N33" i="47" s="1"/>
  <c r="O398" i="4"/>
  <c r="M33" i="47" s="1"/>
  <c r="Q398" i="4"/>
  <c r="R33" i="47" s="1"/>
  <c r="R398" i="4"/>
  <c r="Q33" i="47" s="1"/>
  <c r="H399" i="4"/>
  <c r="F34" i="47" s="1"/>
  <c r="I399" i="4"/>
  <c r="E34" i="47" s="1"/>
  <c r="K399" i="4"/>
  <c r="J34" i="47" s="1"/>
  <c r="L399" i="4"/>
  <c r="I34" i="47" s="1"/>
  <c r="N399" i="4"/>
  <c r="N34" i="47" s="1"/>
  <c r="O399" i="4"/>
  <c r="M34" i="47" s="1"/>
  <c r="Q399" i="4"/>
  <c r="R34" i="47" s="1"/>
  <c r="R399" i="4"/>
  <c r="Q34" i="47" s="1"/>
  <c r="G400" i="4"/>
  <c r="D35" i="47" s="1"/>
  <c r="H400" i="4"/>
  <c r="F35" i="47" s="1"/>
  <c r="I400" i="4"/>
  <c r="E35" i="47" s="1"/>
  <c r="K400" i="4"/>
  <c r="J35" i="47" s="1"/>
  <c r="L400" i="4"/>
  <c r="I35" i="47" s="1"/>
  <c r="N400" i="4"/>
  <c r="N35" i="47" s="1"/>
  <c r="O400" i="4"/>
  <c r="M35" i="47" s="1"/>
  <c r="Q400" i="4"/>
  <c r="R35" i="47" s="1"/>
  <c r="R400" i="4"/>
  <c r="Q35" i="47" s="1"/>
  <c r="G401" i="4"/>
  <c r="D36" i="47" s="1"/>
  <c r="H401" i="4"/>
  <c r="F36" i="47" s="1"/>
  <c r="I401" i="4"/>
  <c r="E36" i="47" s="1"/>
  <c r="K401" i="4"/>
  <c r="J36" i="47" s="1"/>
  <c r="L401" i="4"/>
  <c r="I36" i="47" s="1"/>
  <c r="N401" i="4"/>
  <c r="N36" i="47" s="1"/>
  <c r="O401" i="4"/>
  <c r="M36" i="47" s="1"/>
  <c r="Q401" i="4"/>
  <c r="R36" i="47" s="1"/>
  <c r="R401" i="4"/>
  <c r="Q36" i="47" s="1"/>
  <c r="G402" i="4"/>
  <c r="D37" i="47" s="1"/>
  <c r="H402" i="4"/>
  <c r="F37" i="47" s="1"/>
  <c r="I402" i="4"/>
  <c r="E37" i="47" s="1"/>
  <c r="K402" i="4"/>
  <c r="J37" i="47" s="1"/>
  <c r="L402" i="4"/>
  <c r="I37" i="47" s="1"/>
  <c r="N402" i="4"/>
  <c r="N37" i="47" s="1"/>
  <c r="O402" i="4"/>
  <c r="M37" i="47" s="1"/>
  <c r="Q402" i="4"/>
  <c r="R37" i="47" s="1"/>
  <c r="R402" i="4"/>
  <c r="Q37" i="47" s="1"/>
  <c r="G403" i="4"/>
  <c r="D38" i="47" s="1"/>
  <c r="H403" i="4"/>
  <c r="F38" i="47" s="1"/>
  <c r="I403" i="4"/>
  <c r="E38" i="47" s="1"/>
  <c r="K403" i="4"/>
  <c r="J38" i="47" s="1"/>
  <c r="L403" i="4"/>
  <c r="I38" i="47" s="1"/>
  <c r="N403" i="4"/>
  <c r="N38" i="47" s="1"/>
  <c r="O403" i="4"/>
  <c r="M38" i="47" s="1"/>
  <c r="Q403" i="4"/>
  <c r="R38" i="47" s="1"/>
  <c r="R403" i="4"/>
  <c r="Q38" i="47" s="1"/>
  <c r="D376" i="4"/>
  <c r="A11" i="47" s="1"/>
  <c r="D377" i="4"/>
  <c r="A12" i="47" s="1"/>
  <c r="D378" i="4"/>
  <c r="A13" i="47" s="1"/>
  <c r="D379" i="4"/>
  <c r="A14" i="47" s="1"/>
  <c r="D380" i="4"/>
  <c r="A15" i="47" s="1"/>
  <c r="D381" i="4"/>
  <c r="A16" i="47" s="1"/>
  <c r="D382" i="4"/>
  <c r="A17" i="47" s="1"/>
  <c r="D383" i="4"/>
  <c r="A18" i="47" s="1"/>
  <c r="D384" i="4"/>
  <c r="A19" i="47" s="1"/>
  <c r="D385" i="4"/>
  <c r="A20" i="47" s="1"/>
  <c r="D386" i="4"/>
  <c r="A21" i="47" s="1"/>
  <c r="D387" i="4"/>
  <c r="A22" i="47" s="1"/>
  <c r="D388" i="4"/>
  <c r="A23" i="47" s="1"/>
  <c r="D389" i="4"/>
  <c r="A24" i="47" s="1"/>
  <c r="D390" i="4"/>
  <c r="A25" i="47" s="1"/>
  <c r="D391" i="4"/>
  <c r="A26" i="47" s="1"/>
  <c r="D392" i="4"/>
  <c r="A27" i="47" s="1"/>
  <c r="D393" i="4"/>
  <c r="A28" i="47" s="1"/>
  <c r="D394" i="4"/>
  <c r="A29" i="47" s="1"/>
  <c r="D395" i="4"/>
  <c r="A30" i="47" s="1"/>
  <c r="D396" i="4"/>
  <c r="A31" i="47" s="1"/>
  <c r="D397" i="4"/>
  <c r="A32" i="47" s="1"/>
  <c r="D398" i="4"/>
  <c r="A33" i="47" s="1"/>
  <c r="D399" i="4"/>
  <c r="A34" i="47" s="1"/>
  <c r="D400" i="4"/>
  <c r="A35" i="47" s="1"/>
  <c r="D401" i="4"/>
  <c r="A36" i="47" s="1"/>
  <c r="D402" i="4"/>
  <c r="A37" i="47" s="1"/>
  <c r="D403" i="4"/>
  <c r="A38" i="47" s="1"/>
  <c r="I279" i="4"/>
  <c r="E11" i="46" s="1"/>
  <c r="L279" i="4"/>
  <c r="I11" i="46" s="1"/>
  <c r="O279" i="4"/>
  <c r="M11" i="46" s="1"/>
  <c r="R279" i="4"/>
  <c r="Q11" i="46" s="1"/>
  <c r="I280" i="4"/>
  <c r="E12" i="46" s="1"/>
  <c r="L280" i="4"/>
  <c r="I12" i="46" s="1"/>
  <c r="O280" i="4"/>
  <c r="M12" i="46" s="1"/>
  <c r="R280" i="4"/>
  <c r="Q12" i="46" s="1"/>
  <c r="I281" i="4"/>
  <c r="E13" i="46" s="1"/>
  <c r="L281" i="4"/>
  <c r="I13" i="46" s="1"/>
  <c r="O281" i="4"/>
  <c r="M13" i="46" s="1"/>
  <c r="R281" i="4"/>
  <c r="Q13" i="46" s="1"/>
  <c r="G282" i="4"/>
  <c r="D14" i="46" s="1"/>
  <c r="I282" i="4"/>
  <c r="E14" i="46" s="1"/>
  <c r="L282" i="4"/>
  <c r="I14" i="46" s="1"/>
  <c r="O282" i="4"/>
  <c r="M14" i="46" s="1"/>
  <c r="R282" i="4"/>
  <c r="Q14" i="46" s="1"/>
  <c r="E15" i="46"/>
  <c r="L283" i="4"/>
  <c r="O283" i="4"/>
  <c r="R283" i="4"/>
  <c r="Q15" i="46" s="1"/>
  <c r="I284" i="4"/>
  <c r="E16" i="46" s="1"/>
  <c r="L284" i="4"/>
  <c r="I16" i="46" s="1"/>
  <c r="O284" i="4"/>
  <c r="M16" i="46" s="1"/>
  <c r="R284" i="4"/>
  <c r="Q16" i="46" s="1"/>
  <c r="G285" i="4"/>
  <c r="D17" i="46" s="1"/>
  <c r="I285" i="4"/>
  <c r="E17" i="46" s="1"/>
  <c r="L285" i="4"/>
  <c r="I17" i="46" s="1"/>
  <c r="O285" i="4"/>
  <c r="M17" i="46" s="1"/>
  <c r="R285" i="4"/>
  <c r="Q17" i="46" s="1"/>
  <c r="G286" i="4"/>
  <c r="D18" i="46" s="1"/>
  <c r="I286" i="4"/>
  <c r="E18" i="46" s="1"/>
  <c r="L286" i="4"/>
  <c r="I18" i="46" s="1"/>
  <c r="O286" i="4"/>
  <c r="M18" i="46" s="1"/>
  <c r="R286" i="4"/>
  <c r="Q18" i="46" s="1"/>
  <c r="I287" i="4"/>
  <c r="E19" i="46" s="1"/>
  <c r="L287" i="4"/>
  <c r="O287" i="4"/>
  <c r="R287" i="4"/>
  <c r="Q19" i="46" s="1"/>
  <c r="I288" i="4"/>
  <c r="E20" i="46" s="1"/>
  <c r="L288" i="4"/>
  <c r="I20" i="46" s="1"/>
  <c r="O288" i="4"/>
  <c r="M20" i="46" s="1"/>
  <c r="R288" i="4"/>
  <c r="Q20" i="46" s="1"/>
  <c r="G289" i="4"/>
  <c r="D21" i="46" s="1"/>
  <c r="I289" i="4"/>
  <c r="E21" i="46" s="1"/>
  <c r="L289" i="4"/>
  <c r="I21" i="46" s="1"/>
  <c r="O289" i="4"/>
  <c r="M21" i="46" s="1"/>
  <c r="R289" i="4"/>
  <c r="Q21" i="46" s="1"/>
  <c r="I290" i="4"/>
  <c r="E22" i="46" s="1"/>
  <c r="L290" i="4"/>
  <c r="I22" i="46" s="1"/>
  <c r="O290" i="4"/>
  <c r="M22" i="46" s="1"/>
  <c r="R290" i="4"/>
  <c r="Q22" i="46" s="1"/>
  <c r="I291" i="4"/>
  <c r="E23" i="46" s="1"/>
  <c r="L291" i="4"/>
  <c r="I23" i="46" s="1"/>
  <c r="O291" i="4"/>
  <c r="M23" i="46" s="1"/>
  <c r="R291" i="4"/>
  <c r="Q23" i="46" s="1"/>
  <c r="I292" i="4"/>
  <c r="E24" i="46" s="1"/>
  <c r="L292" i="4"/>
  <c r="I24" i="46" s="1"/>
  <c r="O292" i="4"/>
  <c r="M24" i="46" s="1"/>
  <c r="R292" i="4"/>
  <c r="Q24" i="46" s="1"/>
  <c r="I293" i="4"/>
  <c r="E25" i="46" s="1"/>
  <c r="L293" i="4"/>
  <c r="I25" i="46" s="1"/>
  <c r="O293" i="4"/>
  <c r="M25" i="46" s="1"/>
  <c r="R293" i="4"/>
  <c r="Q25" i="46" s="1"/>
  <c r="G294" i="4"/>
  <c r="D26" i="46" s="1"/>
  <c r="I294" i="4"/>
  <c r="E26" i="46" s="1"/>
  <c r="L294" i="4"/>
  <c r="I26" i="46" s="1"/>
  <c r="O294" i="4"/>
  <c r="M26" i="46" s="1"/>
  <c r="R294" i="4"/>
  <c r="Q26" i="46" s="1"/>
  <c r="I295" i="4"/>
  <c r="E27" i="46" s="1"/>
  <c r="L295" i="4"/>
  <c r="I27" i="46" s="1"/>
  <c r="O295" i="4"/>
  <c r="M27" i="46" s="1"/>
  <c r="R295" i="4"/>
  <c r="Q27" i="46" s="1"/>
  <c r="G296" i="4"/>
  <c r="D28" i="46" s="1"/>
  <c r="I296" i="4"/>
  <c r="E28" i="46" s="1"/>
  <c r="L296" i="4"/>
  <c r="I28" i="46" s="1"/>
  <c r="O296" i="4"/>
  <c r="M28" i="46" s="1"/>
  <c r="R296" i="4"/>
  <c r="Q28" i="46" s="1"/>
  <c r="G297" i="4"/>
  <c r="D29" i="46" s="1"/>
  <c r="I297" i="4"/>
  <c r="E29" i="46" s="1"/>
  <c r="L297" i="4"/>
  <c r="I29" i="46" s="1"/>
  <c r="O297" i="4"/>
  <c r="M29" i="46" s="1"/>
  <c r="R297" i="4"/>
  <c r="Q29" i="46" s="1"/>
  <c r="I298" i="4"/>
  <c r="E30" i="46" s="1"/>
  <c r="L298" i="4"/>
  <c r="I30" i="46" s="1"/>
  <c r="O298" i="4"/>
  <c r="M30" i="46" s="1"/>
  <c r="R298" i="4"/>
  <c r="Q30" i="46" s="1"/>
  <c r="I299" i="4"/>
  <c r="E31" i="46" s="1"/>
  <c r="L299" i="4"/>
  <c r="I31" i="46" s="1"/>
  <c r="O299" i="4"/>
  <c r="M31" i="46" s="1"/>
  <c r="R299" i="4"/>
  <c r="Q31" i="46" s="1"/>
  <c r="I300" i="4"/>
  <c r="E32" i="46" s="1"/>
  <c r="L300" i="4"/>
  <c r="I32" i="46" s="1"/>
  <c r="O300" i="4"/>
  <c r="M32" i="46" s="1"/>
  <c r="R300" i="4"/>
  <c r="Q32" i="46" s="1"/>
  <c r="I301" i="4"/>
  <c r="E33" i="46" s="1"/>
  <c r="L301" i="4"/>
  <c r="I33" i="46" s="1"/>
  <c r="O301" i="4"/>
  <c r="M33" i="46" s="1"/>
  <c r="R301" i="4"/>
  <c r="Q33" i="46" s="1"/>
  <c r="I302" i="4"/>
  <c r="E34" i="46" s="1"/>
  <c r="L302" i="4"/>
  <c r="I34" i="46" s="1"/>
  <c r="O302" i="4"/>
  <c r="M34" i="46" s="1"/>
  <c r="R302" i="4"/>
  <c r="Q34" i="46" s="1"/>
  <c r="G303" i="4"/>
  <c r="D35" i="46" s="1"/>
  <c r="I303" i="4"/>
  <c r="E35" i="46" s="1"/>
  <c r="L303" i="4"/>
  <c r="I35" i="46" s="1"/>
  <c r="O303" i="4"/>
  <c r="M35" i="46" s="1"/>
  <c r="R303" i="4"/>
  <c r="Q35" i="46" s="1"/>
  <c r="G304" i="4"/>
  <c r="D36" i="46" s="1"/>
  <c r="I304" i="4"/>
  <c r="E36" i="46" s="1"/>
  <c r="L304" i="4"/>
  <c r="I36" i="46" s="1"/>
  <c r="O304" i="4"/>
  <c r="M36" i="46" s="1"/>
  <c r="R304" i="4"/>
  <c r="Q36" i="46" s="1"/>
  <c r="G305" i="4"/>
  <c r="D37" i="46" s="1"/>
  <c r="I305" i="4"/>
  <c r="E37" i="46" s="1"/>
  <c r="L305" i="4"/>
  <c r="I37" i="46" s="1"/>
  <c r="O305" i="4"/>
  <c r="M37" i="46" s="1"/>
  <c r="R305" i="4"/>
  <c r="Q37" i="46" s="1"/>
  <c r="G306" i="4"/>
  <c r="D38" i="46" s="1"/>
  <c r="I306" i="4"/>
  <c r="E38" i="46" s="1"/>
  <c r="L306" i="4"/>
  <c r="I38" i="46" s="1"/>
  <c r="O306" i="4"/>
  <c r="M38" i="46" s="1"/>
  <c r="R306" i="4"/>
  <c r="Q38" i="46" s="1"/>
  <c r="D279" i="4"/>
  <c r="A11" i="46" s="1"/>
  <c r="D280" i="4"/>
  <c r="A12" i="46" s="1"/>
  <c r="D281" i="4"/>
  <c r="A13" i="46" s="1"/>
  <c r="D282" i="4"/>
  <c r="A14" i="46" s="1"/>
  <c r="D283" i="4"/>
  <c r="A15" i="46" s="1"/>
  <c r="D284" i="4"/>
  <c r="A16" i="46" s="1"/>
  <c r="D285" i="4"/>
  <c r="A17" i="46" s="1"/>
  <c r="D286" i="4"/>
  <c r="A18" i="46" s="1"/>
  <c r="D287" i="4"/>
  <c r="A19" i="46" s="1"/>
  <c r="D288" i="4"/>
  <c r="A20" i="46" s="1"/>
  <c r="D289" i="4"/>
  <c r="A21" i="46" s="1"/>
  <c r="D290" i="4"/>
  <c r="A22" i="46" s="1"/>
  <c r="D291" i="4"/>
  <c r="A23" i="46" s="1"/>
  <c r="D292" i="4"/>
  <c r="A24" i="46" s="1"/>
  <c r="D293" i="4"/>
  <c r="A25" i="46" s="1"/>
  <c r="D294" i="4"/>
  <c r="A26" i="46" s="1"/>
  <c r="D295" i="4"/>
  <c r="A27" i="46" s="1"/>
  <c r="D296" i="4"/>
  <c r="A28" i="46" s="1"/>
  <c r="D297" i="4"/>
  <c r="A29" i="46" s="1"/>
  <c r="D298" i="4"/>
  <c r="A30" i="46" s="1"/>
  <c r="D299" i="4"/>
  <c r="A31" i="46" s="1"/>
  <c r="D300" i="4"/>
  <c r="A32" i="46" s="1"/>
  <c r="D301" i="4"/>
  <c r="A33" i="46" s="1"/>
  <c r="D302" i="4"/>
  <c r="A34" i="46" s="1"/>
  <c r="D303" i="4"/>
  <c r="A35" i="46" s="1"/>
  <c r="D304" i="4"/>
  <c r="A36" i="46" s="1"/>
  <c r="D305" i="4"/>
  <c r="A37" i="46" s="1"/>
  <c r="D306" i="4"/>
  <c r="A38" i="46" s="1"/>
  <c r="G219" i="4"/>
  <c r="D28" i="45" s="1"/>
  <c r="I219" i="4"/>
  <c r="E28" i="45" s="1"/>
  <c r="L219" i="4"/>
  <c r="I28" i="45" s="1"/>
  <c r="O219" i="4"/>
  <c r="M28" i="45" s="1"/>
  <c r="R219" i="4"/>
  <c r="Q28" i="45" s="1"/>
  <c r="G220" i="4"/>
  <c r="D29" i="45" s="1"/>
  <c r="I220" i="4"/>
  <c r="E29" i="45" s="1"/>
  <c r="L220" i="4"/>
  <c r="I29" i="45" s="1"/>
  <c r="O220" i="4"/>
  <c r="M29" i="45" s="1"/>
  <c r="R220" i="4"/>
  <c r="Q29" i="45" s="1"/>
  <c r="I221" i="4"/>
  <c r="E30" i="45" s="1"/>
  <c r="L221" i="4"/>
  <c r="I30" i="45" s="1"/>
  <c r="O221" i="4"/>
  <c r="M30" i="45" s="1"/>
  <c r="R221" i="4"/>
  <c r="Q30" i="45" s="1"/>
  <c r="I222" i="4"/>
  <c r="E31" i="45" s="1"/>
  <c r="L222" i="4"/>
  <c r="I31" i="45" s="1"/>
  <c r="O222" i="4"/>
  <c r="M31" i="45" s="1"/>
  <c r="R222" i="4"/>
  <c r="Q31" i="45" s="1"/>
  <c r="I223" i="4"/>
  <c r="E32" i="45" s="1"/>
  <c r="L223" i="4"/>
  <c r="I32" i="45" s="1"/>
  <c r="O223" i="4"/>
  <c r="M32" i="45" s="1"/>
  <c r="R223" i="4"/>
  <c r="Q32" i="45" s="1"/>
  <c r="I224" i="4"/>
  <c r="E33" i="45" s="1"/>
  <c r="L224" i="4"/>
  <c r="I33" i="45" s="1"/>
  <c r="O224" i="4"/>
  <c r="M33" i="45" s="1"/>
  <c r="R224" i="4"/>
  <c r="Q33" i="45" s="1"/>
  <c r="I225" i="4"/>
  <c r="E34" i="45" s="1"/>
  <c r="L225" i="4"/>
  <c r="I34" i="45" s="1"/>
  <c r="O225" i="4"/>
  <c r="M34" i="45" s="1"/>
  <c r="R225" i="4"/>
  <c r="Q34" i="45" s="1"/>
  <c r="G226" i="4"/>
  <c r="D35" i="45" s="1"/>
  <c r="I226" i="4"/>
  <c r="E35" i="45" s="1"/>
  <c r="L226" i="4"/>
  <c r="I35" i="45" s="1"/>
  <c r="O226" i="4"/>
  <c r="M35" i="45" s="1"/>
  <c r="R226" i="4"/>
  <c r="Q35" i="45" s="1"/>
  <c r="G227" i="4"/>
  <c r="D36" i="45" s="1"/>
  <c r="I227" i="4"/>
  <c r="E36" i="45" s="1"/>
  <c r="L227" i="4"/>
  <c r="I36" i="45" s="1"/>
  <c r="O227" i="4"/>
  <c r="M36" i="45" s="1"/>
  <c r="R227" i="4"/>
  <c r="Q36" i="45" s="1"/>
  <c r="G228" i="4"/>
  <c r="D37" i="45" s="1"/>
  <c r="H37" i="45" s="1"/>
  <c r="L37" i="45" s="1"/>
  <c r="P37" i="45" s="1"/>
  <c r="I228" i="4"/>
  <c r="E37" i="45" s="1"/>
  <c r="L228" i="4"/>
  <c r="I37" i="45" s="1"/>
  <c r="O228" i="4"/>
  <c r="M37" i="45" s="1"/>
  <c r="R228" i="4"/>
  <c r="Q37" i="45" s="1"/>
  <c r="G229" i="4"/>
  <c r="D38" i="45" s="1"/>
  <c r="H38" i="45" s="1"/>
  <c r="L38" i="45" s="1"/>
  <c r="P38" i="45" s="1"/>
  <c r="I229" i="4"/>
  <c r="E38" i="45" s="1"/>
  <c r="L229" i="4"/>
  <c r="I38" i="45" s="1"/>
  <c r="O229" i="4"/>
  <c r="M38" i="45" s="1"/>
  <c r="R229" i="4"/>
  <c r="Q38" i="45" s="1"/>
  <c r="D220" i="4"/>
  <c r="A29" i="45" s="1"/>
  <c r="D221" i="4"/>
  <c r="A30" i="45" s="1"/>
  <c r="D222" i="4"/>
  <c r="A31" i="45" s="1"/>
  <c r="D223" i="4"/>
  <c r="A32" i="45" s="1"/>
  <c r="D224" i="4"/>
  <c r="A33" i="45" s="1"/>
  <c r="D225" i="4"/>
  <c r="A34" i="45" s="1"/>
  <c r="D226" i="4"/>
  <c r="A35" i="45" s="1"/>
  <c r="D227" i="4"/>
  <c r="A36" i="45" s="1"/>
  <c r="D228" i="4"/>
  <c r="A37" i="45" s="1"/>
  <c r="D229" i="4"/>
  <c r="A38" i="45" s="1"/>
  <c r="B38" i="30"/>
  <c r="M38" i="30"/>
  <c r="B39" i="30"/>
  <c r="M39" i="30"/>
  <c r="B40" i="30"/>
  <c r="M40" i="30"/>
  <c r="B78" i="30"/>
  <c r="M78" i="30"/>
  <c r="B79" i="30"/>
  <c r="M79" i="30"/>
  <c r="B80" i="30"/>
  <c r="M80" i="30"/>
  <c r="B118" i="30"/>
  <c r="M118" i="30"/>
  <c r="B119" i="30"/>
  <c r="M119" i="30"/>
  <c r="B120" i="30"/>
  <c r="M120" i="30"/>
  <c r="B158" i="30"/>
  <c r="M158" i="30"/>
  <c r="B159" i="30"/>
  <c r="M159" i="30"/>
  <c r="B160" i="30"/>
  <c r="M160" i="30"/>
  <c r="D173" i="4"/>
  <c r="A36" i="44" s="1"/>
  <c r="D174" i="4"/>
  <c r="A37" i="44" s="1"/>
  <c r="D175" i="4"/>
  <c r="A38" i="44" s="1"/>
  <c r="G174" i="4"/>
  <c r="D38" i="44" s="1"/>
  <c r="H38" i="44" s="1"/>
  <c r="L38" i="44" s="1"/>
  <c r="I174" i="4"/>
  <c r="E38" i="44" s="1"/>
  <c r="L174" i="4"/>
  <c r="I38" i="44" s="1"/>
  <c r="O174" i="4"/>
  <c r="M38" i="44" s="1"/>
  <c r="R174" i="4"/>
  <c r="Q38" i="44" s="1"/>
  <c r="G175" i="4"/>
  <c r="H175" i="4"/>
  <c r="I175" i="4"/>
  <c r="L175" i="4"/>
  <c r="O175" i="4"/>
  <c r="R175" i="4"/>
  <c r="G173" i="4"/>
  <c r="D37" i="44" s="1"/>
  <c r="H37" i="44" s="1"/>
  <c r="L37" i="44" s="1"/>
  <c r="I173" i="4"/>
  <c r="E37" i="44" s="1"/>
  <c r="L173" i="4"/>
  <c r="I37" i="44" s="1"/>
  <c r="O173" i="4"/>
  <c r="M37" i="44" s="1"/>
  <c r="R173" i="4"/>
  <c r="Q37" i="44" s="1"/>
  <c r="G222" i="4"/>
  <c r="D31" i="45" s="1"/>
  <c r="G295" i="4"/>
  <c r="D27" i="46" s="1"/>
  <c r="G283" i="4"/>
  <c r="D19" i="46"/>
  <c r="G288" i="4"/>
  <c r="D20" i="46" s="1"/>
  <c r="A30" i="53" l="1"/>
  <c r="A22" i="53"/>
  <c r="A14" i="53"/>
  <c r="A29" i="53"/>
  <c r="A21" i="53"/>
  <c r="A13" i="53"/>
  <c r="M19" i="46"/>
  <c r="P287" i="4"/>
  <c r="A36" i="53"/>
  <c r="A28" i="53"/>
  <c r="A20" i="53"/>
  <c r="A12" i="53"/>
  <c r="I19" i="46"/>
  <c r="M287" i="4"/>
  <c r="A35" i="53"/>
  <c r="A27" i="53"/>
  <c r="A19" i="53"/>
  <c r="A11" i="53"/>
  <c r="A34" i="53"/>
  <c r="A26" i="53"/>
  <c r="A18" i="53"/>
  <c r="I15" i="46"/>
  <c r="M283" i="4"/>
  <c r="A33" i="53"/>
  <c r="A25" i="53"/>
  <c r="A17" i="53"/>
  <c r="A32" i="53"/>
  <c r="A24" i="53"/>
  <c r="A16" i="53"/>
  <c r="D15" i="46"/>
  <c r="G15" i="46" s="1"/>
  <c r="J283" i="4"/>
  <c r="A7" i="53"/>
  <c r="A31" i="53"/>
  <c r="A23" i="53"/>
  <c r="A15" i="53"/>
  <c r="M15" i="46"/>
  <c r="P283" i="4"/>
  <c r="J28" i="42"/>
  <c r="K28" i="42" s="1"/>
  <c r="J15" i="42"/>
  <c r="K15" i="42" s="1"/>
  <c r="J38" i="42"/>
  <c r="K38" i="42" s="1"/>
  <c r="R29" i="42"/>
  <c r="S29" i="42" s="1"/>
  <c r="J22" i="42"/>
  <c r="K22" i="42" s="1"/>
  <c r="R13" i="42"/>
  <c r="S13" i="42" s="1"/>
  <c r="J12" i="42"/>
  <c r="K12" i="42" s="1"/>
  <c r="J34" i="42"/>
  <c r="K34" i="42" s="1"/>
  <c r="F11" i="42"/>
  <c r="R17" i="42"/>
  <c r="S17" i="42" s="1"/>
  <c r="F35" i="42"/>
  <c r="G35" i="42" s="1"/>
  <c r="J16" i="42"/>
  <c r="K16" i="42" s="1"/>
  <c r="J26" i="42"/>
  <c r="K26" i="42" s="1"/>
  <c r="J13" i="42"/>
  <c r="K13" i="42" s="1"/>
  <c r="R11" i="42"/>
  <c r="S11" i="42" s="1"/>
  <c r="J32" i="42"/>
  <c r="K32" i="42" s="1"/>
  <c r="R14" i="42"/>
  <c r="S14" i="42" s="1"/>
  <c r="J20" i="42"/>
  <c r="K20" i="42" s="1"/>
  <c r="R33" i="42"/>
  <c r="S33" i="42" s="1"/>
  <c r="R37" i="42"/>
  <c r="S37" i="42" s="1"/>
  <c r="R31" i="42"/>
  <c r="S31" i="42" s="1"/>
  <c r="J30" i="42"/>
  <c r="K30" i="42" s="1"/>
  <c r="R15" i="42"/>
  <c r="S15" i="42" s="1"/>
  <c r="J24" i="42"/>
  <c r="K24" i="42" s="1"/>
  <c r="R12" i="42"/>
  <c r="S12" i="42" s="1"/>
  <c r="J11" i="42"/>
  <c r="K11" i="42" s="1"/>
  <c r="J14" i="42"/>
  <c r="K14" i="42" s="1"/>
  <c r="R35" i="42"/>
  <c r="S35" i="42" s="1"/>
  <c r="R19" i="42"/>
  <c r="S19" i="42" s="1"/>
  <c r="J18" i="42"/>
  <c r="K18" i="42" s="1"/>
  <c r="H36" i="47"/>
  <c r="G36" i="47"/>
  <c r="H28" i="50"/>
  <c r="G28" i="50"/>
  <c r="F38" i="42"/>
  <c r="G38" i="42" s="1"/>
  <c r="J35" i="42"/>
  <c r="K35" i="42" s="1"/>
  <c r="N28" i="42"/>
  <c r="O28" i="42" s="1"/>
  <c r="G14" i="51"/>
  <c r="H14" i="51"/>
  <c r="F13" i="42"/>
  <c r="G13" i="42" s="1"/>
  <c r="F12" i="42"/>
  <c r="G12" i="42" s="1"/>
  <c r="H17" i="52"/>
  <c r="G17" i="52"/>
  <c r="H31" i="53"/>
  <c r="G31" i="53"/>
  <c r="G12" i="53"/>
  <c r="H12" i="53"/>
  <c r="G25" i="51"/>
  <c r="H25" i="51"/>
  <c r="H34" i="47"/>
  <c r="G34" i="47"/>
  <c r="T10" i="52"/>
  <c r="G17" i="47"/>
  <c r="H17" i="47"/>
  <c r="H14" i="47"/>
  <c r="G14" i="47"/>
  <c r="G35" i="47"/>
  <c r="H35" i="47"/>
  <c r="H21" i="50"/>
  <c r="G21" i="50"/>
  <c r="G38" i="51"/>
  <c r="H38" i="51"/>
  <c r="F37" i="42"/>
  <c r="G37" i="42" s="1"/>
  <c r="F36" i="42"/>
  <c r="G36" i="42" s="1"/>
  <c r="J33" i="42"/>
  <c r="K33" i="42" s="1"/>
  <c r="J31" i="42"/>
  <c r="K31" i="42" s="1"/>
  <c r="J29" i="42"/>
  <c r="K29" i="42" s="1"/>
  <c r="N27" i="42"/>
  <c r="O27" i="42" s="1"/>
  <c r="N26" i="42"/>
  <c r="O26" i="42" s="1"/>
  <c r="N25" i="42"/>
  <c r="O25" i="42" s="1"/>
  <c r="N24" i="42"/>
  <c r="O24" i="42" s="1"/>
  <c r="N23" i="42"/>
  <c r="O23" i="42" s="1"/>
  <c r="N22" i="42"/>
  <c r="O22" i="42" s="1"/>
  <c r="N21" i="42"/>
  <c r="O21" i="42" s="1"/>
  <c r="N20" i="42"/>
  <c r="O20" i="42" s="1"/>
  <c r="N19" i="42"/>
  <c r="O19" i="42" s="1"/>
  <c r="N18" i="42"/>
  <c r="O18" i="42" s="1"/>
  <c r="R16" i="42"/>
  <c r="S16" i="42" s="1"/>
  <c r="G14" i="52"/>
  <c r="H14" i="52"/>
  <c r="G19" i="53"/>
  <c r="H19" i="53"/>
  <c r="H16" i="53"/>
  <c r="G16" i="53"/>
  <c r="G26" i="53"/>
  <c r="H26" i="53"/>
  <c r="G36" i="53"/>
  <c r="H36" i="53"/>
  <c r="H18" i="50"/>
  <c r="G18" i="50"/>
  <c r="R38" i="42"/>
  <c r="S38" i="42" s="1"/>
  <c r="G36" i="51"/>
  <c r="H36" i="51"/>
  <c r="N17" i="42"/>
  <c r="O17" i="42" s="1"/>
  <c r="G18" i="53"/>
  <c r="H18" i="53"/>
  <c r="G13" i="53"/>
  <c r="H13" i="53"/>
  <c r="G27" i="53"/>
  <c r="H27" i="53"/>
  <c r="G37" i="53"/>
  <c r="H37" i="53"/>
  <c r="H28" i="47"/>
  <c r="G28" i="47"/>
  <c r="H17" i="50"/>
  <c r="G17" i="50"/>
  <c r="R36" i="42"/>
  <c r="S36" i="42" s="1"/>
  <c r="H35" i="51"/>
  <c r="G35" i="51"/>
  <c r="F34" i="42"/>
  <c r="G34" i="42" s="1"/>
  <c r="F33" i="42"/>
  <c r="G33" i="42" s="1"/>
  <c r="F32" i="42"/>
  <c r="G32" i="42" s="1"/>
  <c r="F31" i="42"/>
  <c r="G31" i="42" s="1"/>
  <c r="F30" i="42"/>
  <c r="G30" i="42" s="1"/>
  <c r="F29" i="42"/>
  <c r="G29" i="42" s="1"/>
  <c r="J27" i="42"/>
  <c r="K27" i="42" s="1"/>
  <c r="J25" i="42"/>
  <c r="K25" i="42" s="1"/>
  <c r="J23" i="42"/>
  <c r="K23" i="42" s="1"/>
  <c r="J21" i="42"/>
  <c r="K21" i="42" s="1"/>
  <c r="J19" i="42"/>
  <c r="K19" i="42" s="1"/>
  <c r="N16" i="42"/>
  <c r="O16" i="42" s="1"/>
  <c r="N15" i="42"/>
  <c r="O15" i="42" s="1"/>
  <c r="N14" i="42"/>
  <c r="O14" i="42" s="1"/>
  <c r="H38" i="52"/>
  <c r="G38" i="52"/>
  <c r="H17" i="53"/>
  <c r="G17" i="53"/>
  <c r="H20" i="53"/>
  <c r="G20" i="53"/>
  <c r="H28" i="52"/>
  <c r="G28" i="52"/>
  <c r="H21" i="47"/>
  <c r="G21" i="47"/>
  <c r="H38" i="50"/>
  <c r="G38" i="50"/>
  <c r="H14" i="50"/>
  <c r="G14" i="50"/>
  <c r="N38" i="42"/>
  <c r="O38" i="42" s="1"/>
  <c r="G29" i="51"/>
  <c r="H29" i="51"/>
  <c r="F28" i="42"/>
  <c r="G28" i="42" s="1"/>
  <c r="J17" i="42"/>
  <c r="K17" i="42" s="1"/>
  <c r="N13" i="42"/>
  <c r="O13" i="42" s="1"/>
  <c r="N12" i="42"/>
  <c r="O12" i="42" s="1"/>
  <c r="H36" i="52"/>
  <c r="G36" i="52"/>
  <c r="H15" i="53"/>
  <c r="G15" i="53"/>
  <c r="G21" i="52"/>
  <c r="H21" i="52"/>
  <c r="G29" i="53"/>
  <c r="H29" i="53"/>
  <c r="G36" i="43"/>
  <c r="H29" i="47"/>
  <c r="G29" i="47"/>
  <c r="J36" i="42"/>
  <c r="K36" i="42" s="1"/>
  <c r="R27" i="42"/>
  <c r="S27" i="42" s="1"/>
  <c r="R25" i="42"/>
  <c r="S25" i="42" s="1"/>
  <c r="R23" i="42"/>
  <c r="S23" i="42" s="1"/>
  <c r="R21" i="42"/>
  <c r="S21" i="42" s="1"/>
  <c r="H18" i="47"/>
  <c r="G18" i="47"/>
  <c r="H36" i="50"/>
  <c r="G36" i="50"/>
  <c r="N37" i="42"/>
  <c r="O37" i="42" s="1"/>
  <c r="N36" i="42"/>
  <c r="O36" i="42" s="1"/>
  <c r="R34" i="42"/>
  <c r="S34" i="42" s="1"/>
  <c r="R32" i="42"/>
  <c r="S32" i="42" s="1"/>
  <c r="R30" i="42"/>
  <c r="S30" i="42" s="1"/>
  <c r="H28" i="51"/>
  <c r="G28" i="51"/>
  <c r="F27" i="42"/>
  <c r="G27" i="42" s="1"/>
  <c r="F26" i="42"/>
  <c r="G26" i="42" s="1"/>
  <c r="F25" i="42"/>
  <c r="G25" i="42" s="1"/>
  <c r="F24" i="42"/>
  <c r="G24" i="42" s="1"/>
  <c r="F23" i="42"/>
  <c r="G23" i="42" s="1"/>
  <c r="F22" i="42"/>
  <c r="G22" i="42" s="1"/>
  <c r="F21" i="42"/>
  <c r="G21" i="42" s="1"/>
  <c r="F20" i="42"/>
  <c r="G20" i="42" s="1"/>
  <c r="F19" i="42"/>
  <c r="G19" i="42" s="1"/>
  <c r="F18" i="42"/>
  <c r="G18" i="42" s="1"/>
  <c r="G35" i="52"/>
  <c r="H35" i="52"/>
  <c r="G14" i="53"/>
  <c r="H14" i="53"/>
  <c r="G22" i="52"/>
  <c r="H22" i="52"/>
  <c r="H35" i="50"/>
  <c r="G35" i="50"/>
  <c r="N35" i="42"/>
  <c r="O35" i="42" s="1"/>
  <c r="R28" i="42"/>
  <c r="S28" i="42" s="1"/>
  <c r="G18" i="51"/>
  <c r="H18" i="51"/>
  <c r="F17" i="42"/>
  <c r="G17" i="42" s="1"/>
  <c r="G29" i="52"/>
  <c r="H29" i="52"/>
  <c r="H38" i="53"/>
  <c r="G38" i="53"/>
  <c r="D7" i="43"/>
  <c r="H7" i="43" s="1"/>
  <c r="L7" i="43" s="1"/>
  <c r="P7" i="43" s="1"/>
  <c r="D7" i="42"/>
  <c r="H7" i="42" s="1"/>
  <c r="L7" i="42" s="1"/>
  <c r="P7" i="42" s="1"/>
  <c r="G32" i="53"/>
  <c r="H32" i="53"/>
  <c r="T10" i="50"/>
  <c r="H38" i="47"/>
  <c r="G38" i="47"/>
  <c r="G37" i="47"/>
  <c r="H37" i="47"/>
  <c r="H29" i="50"/>
  <c r="G29" i="50"/>
  <c r="J37" i="42"/>
  <c r="K37" i="42" s="1"/>
  <c r="N34" i="42"/>
  <c r="O34" i="42" s="1"/>
  <c r="N33" i="42"/>
  <c r="O33" i="42" s="1"/>
  <c r="N32" i="42"/>
  <c r="O32" i="42" s="1"/>
  <c r="N31" i="42"/>
  <c r="O31" i="42" s="1"/>
  <c r="N30" i="42"/>
  <c r="O30" i="42" s="1"/>
  <c r="N29" i="42"/>
  <c r="O29" i="42" s="1"/>
  <c r="R26" i="42"/>
  <c r="S26" i="42" s="1"/>
  <c r="R24" i="42"/>
  <c r="S24" i="42" s="1"/>
  <c r="R22" i="42"/>
  <c r="S22" i="42" s="1"/>
  <c r="R20" i="42"/>
  <c r="S20" i="42" s="1"/>
  <c r="R18" i="42"/>
  <c r="S18" i="42" s="1"/>
  <c r="H17" i="51"/>
  <c r="G17" i="51"/>
  <c r="F16" i="42"/>
  <c r="G16" i="42" s="1"/>
  <c r="F15" i="42"/>
  <c r="G15" i="42" s="1"/>
  <c r="F14" i="42"/>
  <c r="G14" i="42" s="1"/>
  <c r="H18" i="52"/>
  <c r="G18" i="52"/>
  <c r="G35" i="53"/>
  <c r="H35" i="53"/>
  <c r="H11" i="53"/>
  <c r="G11" i="53"/>
  <c r="H33" i="50"/>
  <c r="G33" i="50"/>
  <c r="T10" i="53"/>
  <c r="T10" i="51"/>
  <c r="H20" i="46"/>
  <c r="G20" i="46"/>
  <c r="H24" i="46"/>
  <c r="G24" i="46"/>
  <c r="H37" i="46"/>
  <c r="G37" i="46"/>
  <c r="H28" i="46"/>
  <c r="G28" i="46"/>
  <c r="G17" i="46"/>
  <c r="H17" i="46"/>
  <c r="H19" i="46"/>
  <c r="G19" i="46"/>
  <c r="G26" i="46"/>
  <c r="H26" i="46"/>
  <c r="H27" i="46"/>
  <c r="G27" i="46"/>
  <c r="H35" i="46"/>
  <c r="G35" i="46"/>
  <c r="H38" i="46"/>
  <c r="G38" i="46"/>
  <c r="H29" i="46"/>
  <c r="G29" i="46"/>
  <c r="H18" i="46"/>
  <c r="G18" i="46"/>
  <c r="H36" i="46"/>
  <c r="G36" i="46"/>
  <c r="H14" i="46"/>
  <c r="G14" i="46"/>
  <c r="H30" i="46"/>
  <c r="G30" i="46"/>
  <c r="H21" i="46"/>
  <c r="G21" i="46"/>
  <c r="G615" i="4"/>
  <c r="D23" i="52" s="1"/>
  <c r="D23" i="43"/>
  <c r="L36" i="43"/>
  <c r="K36" i="43"/>
  <c r="H36" i="45"/>
  <c r="G36" i="45"/>
  <c r="H28" i="45"/>
  <c r="G28" i="45"/>
  <c r="H29" i="45"/>
  <c r="G29" i="45"/>
  <c r="H31" i="45"/>
  <c r="G31" i="45"/>
  <c r="H35" i="45"/>
  <c r="G35" i="45"/>
  <c r="P37" i="44"/>
  <c r="S37" i="44" s="1"/>
  <c r="O37" i="44"/>
  <c r="P38" i="44"/>
  <c r="S38" i="44" s="1"/>
  <c r="O38" i="44"/>
  <c r="N22" i="39"/>
  <c r="N21" i="39"/>
  <c r="N20" i="39"/>
  <c r="E18" i="39"/>
  <c r="E17" i="39"/>
  <c r="E16" i="39"/>
  <c r="E19" i="39"/>
  <c r="K30" i="39"/>
  <c r="H34" i="39"/>
  <c r="N39" i="39"/>
  <c r="K39" i="39"/>
  <c r="N40" i="39"/>
  <c r="H36" i="39"/>
  <c r="H32" i="39"/>
  <c r="E37" i="39"/>
  <c r="K40" i="39"/>
  <c r="H40" i="39"/>
  <c r="H15" i="39"/>
  <c r="E38" i="39"/>
  <c r="H35" i="39"/>
  <c r="H33" i="39"/>
  <c r="H14" i="39"/>
  <c r="H31" i="39"/>
  <c r="K27" i="39"/>
  <c r="K26" i="39"/>
  <c r="K24" i="39"/>
  <c r="K23" i="39"/>
  <c r="H29" i="39"/>
  <c r="H26" i="39"/>
  <c r="H23" i="39"/>
  <c r="N16" i="39"/>
  <c r="K38" i="39"/>
  <c r="N34" i="39"/>
  <c r="N32" i="39"/>
  <c r="H22" i="39"/>
  <c r="K19" i="39"/>
  <c r="N13" i="39"/>
  <c r="K37" i="39"/>
  <c r="N31" i="39"/>
  <c r="E28" i="39"/>
  <c r="E26" i="39"/>
  <c r="E25" i="39"/>
  <c r="E24" i="39"/>
  <c r="E23" i="39"/>
  <c r="H20" i="39"/>
  <c r="K18" i="39"/>
  <c r="K17" i="39"/>
  <c r="K16" i="39"/>
  <c r="H13" i="39"/>
  <c r="K29" i="39"/>
  <c r="K25" i="39"/>
  <c r="N38" i="39"/>
  <c r="E36" i="39"/>
  <c r="E35" i="39"/>
  <c r="E34" i="39"/>
  <c r="E33" i="39"/>
  <c r="E32" i="39"/>
  <c r="H30" i="39"/>
  <c r="K22" i="39"/>
  <c r="E15" i="39"/>
  <c r="E14" i="39"/>
  <c r="N37" i="39"/>
  <c r="H27" i="39"/>
  <c r="H24" i="39"/>
  <c r="N18" i="39"/>
  <c r="N36" i="39"/>
  <c r="N33" i="39"/>
  <c r="E30" i="39"/>
  <c r="N14" i="39"/>
  <c r="E27" i="39"/>
  <c r="H38" i="39"/>
  <c r="K36" i="39"/>
  <c r="K35" i="39"/>
  <c r="K34" i="39"/>
  <c r="K33" i="39"/>
  <c r="K32" i="39"/>
  <c r="N30" i="39"/>
  <c r="E22" i="39"/>
  <c r="E21" i="39"/>
  <c r="H19" i="39"/>
  <c r="K15" i="39"/>
  <c r="K14" i="39"/>
  <c r="K13" i="39"/>
  <c r="K28" i="39"/>
  <c r="E40" i="39"/>
  <c r="K21" i="39"/>
  <c r="N19" i="39"/>
  <c r="E13" i="39"/>
  <c r="E31" i="39"/>
  <c r="H28" i="39"/>
  <c r="H25" i="39"/>
  <c r="K20" i="39"/>
  <c r="N17" i="39"/>
  <c r="N35" i="39"/>
  <c r="H21" i="39"/>
  <c r="N15" i="39"/>
  <c r="H39" i="39"/>
  <c r="E29" i="39"/>
  <c r="E39" i="39"/>
  <c r="H37" i="39"/>
  <c r="K31" i="39"/>
  <c r="N29" i="39"/>
  <c r="N28" i="39"/>
  <c r="N27" i="39"/>
  <c r="N26" i="39"/>
  <c r="N25" i="39"/>
  <c r="N24" i="39"/>
  <c r="N23" i="39"/>
  <c r="E20" i="39"/>
  <c r="H18" i="39"/>
  <c r="H17" i="39"/>
  <c r="H16" i="39"/>
  <c r="G464" i="4"/>
  <c r="G533" i="4"/>
  <c r="G538" i="4"/>
  <c r="G391" i="4"/>
  <c r="G475" i="4"/>
  <c r="G549" i="4"/>
  <c r="G629" i="4"/>
  <c r="G626" i="4"/>
  <c r="G302" i="4"/>
  <c r="G546" i="4"/>
  <c r="G290" i="4"/>
  <c r="G617" i="4"/>
  <c r="G618" i="4"/>
  <c r="G696" i="4"/>
  <c r="G687" i="4"/>
  <c r="G460" i="4"/>
  <c r="G387" i="4"/>
  <c r="G684" i="4"/>
  <c r="G534" i="4"/>
  <c r="G225" i="4"/>
  <c r="G472" i="4"/>
  <c r="G293" i="4"/>
  <c r="G463" i="4"/>
  <c r="G390" i="4"/>
  <c r="G545" i="4"/>
  <c r="G224" i="4"/>
  <c r="G683" i="4"/>
  <c r="G624" i="4"/>
  <c r="G284" i="4"/>
  <c r="G692" i="4"/>
  <c r="G223" i="4"/>
  <c r="G300" i="4"/>
  <c r="G397" i="4"/>
  <c r="G470" i="4"/>
  <c r="P677" i="4"/>
  <c r="G468" i="4"/>
  <c r="G544" i="4"/>
  <c r="G686" i="4"/>
  <c r="G525" i="4"/>
  <c r="G398" i="4"/>
  <c r="G378" i="4"/>
  <c r="G605" i="4"/>
  <c r="J699" i="4"/>
  <c r="G625" i="4"/>
  <c r="S699" i="4"/>
  <c r="G395" i="4"/>
  <c r="G279" i="4"/>
  <c r="G221" i="4"/>
  <c r="G301" i="4"/>
  <c r="G281" i="4"/>
  <c r="G542" i="4"/>
  <c r="P679" i="4"/>
  <c r="G291" i="4"/>
  <c r="G451" i="4"/>
  <c r="G622" i="4"/>
  <c r="P699" i="4"/>
  <c r="G695" i="4"/>
  <c r="G388" i="4"/>
  <c r="G535" i="4"/>
  <c r="J609" i="4"/>
  <c r="P697" i="4"/>
  <c r="P41" i="4"/>
  <c r="S541" i="4"/>
  <c r="J41" i="4"/>
  <c r="M41" i="4"/>
  <c r="J40" i="4"/>
  <c r="M628" i="4"/>
  <c r="M40" i="4"/>
  <c r="P40" i="4"/>
  <c r="S41" i="4"/>
  <c r="S40" i="4"/>
  <c r="M678" i="4"/>
  <c r="J673" i="4"/>
  <c r="S467" i="4"/>
  <c r="J614" i="4"/>
  <c r="P700" i="4"/>
  <c r="J682" i="4"/>
  <c r="J541" i="4"/>
  <c r="J630" i="4"/>
  <c r="S679" i="4"/>
  <c r="M610" i="4"/>
  <c r="J677" i="4"/>
  <c r="M620" i="4"/>
  <c r="J548" i="4"/>
  <c r="S530" i="4"/>
  <c r="S614" i="4"/>
  <c r="M614" i="4"/>
  <c r="J693" i="4"/>
  <c r="J681" i="4"/>
  <c r="J679" i="4"/>
  <c r="S471" i="4"/>
  <c r="S630" i="4"/>
  <c r="S674" i="4"/>
  <c r="P614" i="4"/>
  <c r="P681" i="4"/>
  <c r="S677" i="4"/>
  <c r="M699" i="4"/>
  <c r="P621" i="4"/>
  <c r="S627" i="4"/>
  <c r="M677" i="4"/>
  <c r="S697" i="4"/>
  <c r="M680" i="4"/>
  <c r="S676" i="4"/>
  <c r="J688" i="4"/>
  <c r="P628" i="4"/>
  <c r="J689" i="4"/>
  <c r="S700" i="4"/>
  <c r="S680" i="4"/>
  <c r="P474" i="4"/>
  <c r="J474" i="4"/>
  <c r="M700" i="4"/>
  <c r="P693" i="4"/>
  <c r="P529" i="4"/>
  <c r="M679" i="4"/>
  <c r="J680" i="4"/>
  <c r="J610" i="4"/>
  <c r="S610" i="4"/>
  <c r="P680" i="4"/>
  <c r="P606" i="4"/>
  <c r="P526" i="4"/>
  <c r="J676" i="4"/>
  <c r="J606" i="4"/>
  <c r="J526" i="4"/>
  <c r="P676" i="4"/>
  <c r="J700" i="4"/>
  <c r="M698" i="4"/>
  <c r="J698" i="4"/>
  <c r="S698" i="4"/>
  <c r="J628" i="4"/>
  <c r="P698" i="4"/>
  <c r="J697" i="4"/>
  <c r="M694" i="4"/>
  <c r="S694" i="4"/>
  <c r="J694" i="4"/>
  <c r="P694" i="4"/>
  <c r="M693" i="4"/>
  <c r="S693" i="4"/>
  <c r="M691" i="4"/>
  <c r="P691" i="4"/>
  <c r="J691" i="4"/>
  <c r="S691" i="4"/>
  <c r="M220" i="4"/>
  <c r="M621" i="4"/>
  <c r="P467" i="4"/>
  <c r="J621" i="4"/>
  <c r="J620" i="4"/>
  <c r="S540" i="4"/>
  <c r="G690" i="4"/>
  <c r="P689" i="4"/>
  <c r="P688" i="4"/>
  <c r="G685" i="4"/>
  <c r="G461" i="4"/>
  <c r="P682" i="4"/>
  <c r="J675" i="4"/>
  <c r="P675" i="4"/>
  <c r="S675" i="4"/>
  <c r="S678" i="4"/>
  <c r="J678" i="4"/>
  <c r="P678" i="4"/>
  <c r="G280" i="4"/>
  <c r="P674" i="4"/>
  <c r="J674" i="4"/>
  <c r="S673" i="4"/>
  <c r="P673" i="4"/>
  <c r="M673" i="4"/>
  <c r="M688" i="4"/>
  <c r="M681" i="4"/>
  <c r="M674" i="4"/>
  <c r="M689" i="4"/>
  <c r="M682" i="4"/>
  <c r="M675" i="4"/>
  <c r="M697" i="4"/>
  <c r="S688" i="4"/>
  <c r="S681" i="4"/>
  <c r="M676" i="4"/>
  <c r="S689" i="4"/>
  <c r="S682" i="4"/>
  <c r="P402" i="4"/>
  <c r="P401" i="4"/>
  <c r="M474" i="4"/>
  <c r="J537" i="4"/>
  <c r="G531" i="4"/>
  <c r="J530" i="4"/>
  <c r="J627" i="4"/>
  <c r="S621" i="4"/>
  <c r="P613" i="4"/>
  <c r="P610" i="4"/>
  <c r="G607" i="4"/>
  <c r="P383" i="4"/>
  <c r="S550" i="4"/>
  <c r="G612" i="4"/>
  <c r="S609" i="4"/>
  <c r="S606" i="4"/>
  <c r="G611" i="4"/>
  <c r="G623" i="4"/>
  <c r="P609" i="4"/>
  <c r="S474" i="4"/>
  <c r="M540" i="4"/>
  <c r="P537" i="4"/>
  <c r="J529" i="4"/>
  <c r="P630" i="4"/>
  <c r="P627" i="4"/>
  <c r="S620" i="4"/>
  <c r="G616" i="4"/>
  <c r="J613" i="4"/>
  <c r="G604" i="4"/>
  <c r="S402" i="4"/>
  <c r="M609" i="4"/>
  <c r="G608" i="4"/>
  <c r="J287" i="4"/>
  <c r="P403" i="4"/>
  <c r="S401" i="4"/>
  <c r="P548" i="4"/>
  <c r="J540" i="4"/>
  <c r="M530" i="4"/>
  <c r="M630" i="4"/>
  <c r="S628" i="4"/>
  <c r="M627" i="4"/>
  <c r="P620" i="4"/>
  <c r="G619" i="4"/>
  <c r="S613" i="4"/>
  <c r="M613" i="4"/>
  <c r="G603" i="4"/>
  <c r="M606" i="4"/>
  <c r="S306" i="4"/>
  <c r="S305" i="4"/>
  <c r="P298" i="4"/>
  <c r="S297" i="4"/>
  <c r="J399" i="4"/>
  <c r="S473" i="4"/>
  <c r="J459" i="4"/>
  <c r="M456" i="4"/>
  <c r="J550" i="4"/>
  <c r="M548" i="4"/>
  <c r="P547" i="4"/>
  <c r="S537" i="4"/>
  <c r="G532" i="4"/>
  <c r="S526" i="4"/>
  <c r="M526" i="4"/>
  <c r="S379" i="4"/>
  <c r="S466" i="4"/>
  <c r="M227" i="4"/>
  <c r="M402" i="4"/>
  <c r="P399" i="4"/>
  <c r="P466" i="4"/>
  <c r="J455" i="4"/>
  <c r="M547" i="4"/>
  <c r="P541" i="4"/>
  <c r="M297" i="4"/>
  <c r="M400" i="4"/>
  <c r="M467" i="4"/>
  <c r="P459" i="4"/>
  <c r="S456" i="4"/>
  <c r="P456" i="4"/>
  <c r="P550" i="4"/>
  <c r="S548" i="4"/>
  <c r="J547" i="4"/>
  <c r="G543" i="4"/>
  <c r="M537" i="4"/>
  <c r="G536" i="4"/>
  <c r="M529" i="4"/>
  <c r="G528" i="4"/>
  <c r="G524" i="4"/>
  <c r="P282" i="4"/>
  <c r="J401" i="4"/>
  <c r="M466" i="4"/>
  <c r="M550" i="4"/>
  <c r="M541" i="4"/>
  <c r="P540" i="4"/>
  <c r="G453" i="4"/>
  <c r="G539" i="4"/>
  <c r="J467" i="4"/>
  <c r="J466" i="4"/>
  <c r="S547" i="4"/>
  <c r="P530" i="4"/>
  <c r="S529" i="4"/>
  <c r="G527" i="4"/>
  <c r="G523" i="4"/>
  <c r="P297" i="4"/>
  <c r="J403" i="4"/>
  <c r="P382" i="4"/>
  <c r="S476" i="4"/>
  <c r="J476" i="4"/>
  <c r="M471" i="4"/>
  <c r="G469" i="4"/>
  <c r="S455" i="4"/>
  <c r="S452" i="4"/>
  <c r="P303" i="4"/>
  <c r="G458" i="4"/>
  <c r="P400" i="4"/>
  <c r="G385" i="4"/>
  <c r="P476" i="4"/>
  <c r="P473" i="4"/>
  <c r="M459" i="4"/>
  <c r="G457" i="4"/>
  <c r="P455" i="4"/>
  <c r="P452" i="4"/>
  <c r="M286" i="4"/>
  <c r="J383" i="4"/>
  <c r="M473" i="4"/>
  <c r="G454" i="4"/>
  <c r="P386" i="4"/>
  <c r="J382" i="4"/>
  <c r="M476" i="4"/>
  <c r="J471" i="4"/>
  <c r="G465" i="4"/>
  <c r="G462" i="4"/>
  <c r="D24" i="50" s="1"/>
  <c r="M455" i="4"/>
  <c r="G450" i="4"/>
  <c r="J303" i="4"/>
  <c r="J394" i="4"/>
  <c r="M383" i="4"/>
  <c r="J473" i="4"/>
  <c r="J456" i="4"/>
  <c r="J286" i="4"/>
  <c r="M399" i="4"/>
  <c r="P471" i="4"/>
  <c r="S459" i="4"/>
  <c r="J452" i="4"/>
  <c r="G449" i="4"/>
  <c r="M452" i="4"/>
  <c r="P286" i="4"/>
  <c r="S400" i="4"/>
  <c r="S394" i="4"/>
  <c r="J393" i="4"/>
  <c r="G384" i="4"/>
  <c r="S382" i="4"/>
  <c r="J298" i="4"/>
  <c r="J297" i="4"/>
  <c r="P285" i="4"/>
  <c r="S403" i="4"/>
  <c r="M401" i="4"/>
  <c r="S399" i="4"/>
  <c r="M394" i="4"/>
  <c r="P379" i="4"/>
  <c r="G396" i="4"/>
  <c r="D31" i="47" s="1"/>
  <c r="P394" i="4"/>
  <c r="S393" i="4"/>
  <c r="J386" i="4"/>
  <c r="G377" i="4"/>
  <c r="M285" i="4"/>
  <c r="P296" i="4"/>
  <c r="J402" i="4"/>
  <c r="G389" i="4"/>
  <c r="S386" i="4"/>
  <c r="S383" i="4"/>
  <c r="G381" i="4"/>
  <c r="J229" i="4"/>
  <c r="P289" i="4"/>
  <c r="J285" i="4"/>
  <c r="M403" i="4"/>
  <c r="P393" i="4"/>
  <c r="G392" i="4"/>
  <c r="M382" i="4"/>
  <c r="J379" i="4"/>
  <c r="J400" i="4"/>
  <c r="M393" i="4"/>
  <c r="G380" i="4"/>
  <c r="G376" i="4"/>
  <c r="M386" i="4"/>
  <c r="M379" i="4"/>
  <c r="M306" i="4"/>
  <c r="P305" i="4"/>
  <c r="S303" i="4"/>
  <c r="M303" i="4"/>
  <c r="M298" i="4"/>
  <c r="J294" i="4"/>
  <c r="S286" i="4"/>
  <c r="M292" i="4"/>
  <c r="M304" i="4"/>
  <c r="J305" i="4"/>
  <c r="M289" i="4"/>
  <c r="S285" i="4"/>
  <c r="J304" i="4"/>
  <c r="S298" i="4"/>
  <c r="S282" i="4"/>
  <c r="S288" i="4"/>
  <c r="P288" i="4"/>
  <c r="J292" i="4"/>
  <c r="J295" i="4"/>
  <c r="P295" i="4"/>
  <c r="S292" i="4"/>
  <c r="J306" i="4"/>
  <c r="P304" i="4"/>
  <c r="S296" i="4"/>
  <c r="J288" i="4"/>
  <c r="P227" i="4"/>
  <c r="S294" i="4"/>
  <c r="P292" i="4"/>
  <c r="P306" i="4"/>
  <c r="G299" i="4"/>
  <c r="M296" i="4"/>
  <c r="M305" i="4"/>
  <c r="P294" i="4"/>
  <c r="S283" i="4"/>
  <c r="S295" i="4"/>
  <c r="S304" i="4"/>
  <c r="J296" i="4"/>
  <c r="J289" i="4"/>
  <c r="S289" i="4"/>
  <c r="J282" i="4"/>
  <c r="M294" i="4"/>
  <c r="M295" i="4"/>
  <c r="M288" i="4"/>
  <c r="S287" i="4"/>
  <c r="M282" i="4"/>
  <c r="M173" i="4"/>
  <c r="M229" i="4"/>
  <c r="P220" i="4"/>
  <c r="M228" i="4"/>
  <c r="P219" i="4"/>
  <c r="P228" i="4"/>
  <c r="J228" i="4"/>
  <c r="J220" i="4"/>
  <c r="M222" i="4"/>
  <c r="J222" i="4"/>
  <c r="S222" i="4"/>
  <c r="P222" i="4"/>
  <c r="J227" i="4"/>
  <c r="S229" i="4"/>
  <c r="S226" i="4"/>
  <c r="M219" i="4"/>
  <c r="P229" i="4"/>
  <c r="P226" i="4"/>
  <c r="J219" i="4"/>
  <c r="S228" i="4"/>
  <c r="S219" i="4"/>
  <c r="M226" i="4"/>
  <c r="S227" i="4"/>
  <c r="J226" i="4"/>
  <c r="S220" i="4"/>
  <c r="S175" i="4"/>
  <c r="P173" i="4"/>
  <c r="P175" i="4"/>
  <c r="J175" i="4"/>
  <c r="M174" i="4"/>
  <c r="J174" i="4"/>
  <c r="J173" i="4"/>
  <c r="M175" i="4"/>
  <c r="P174" i="4"/>
  <c r="S174" i="4"/>
  <c r="S173" i="4"/>
  <c r="K19" i="46" l="1"/>
  <c r="H15" i="46"/>
  <c r="K15" i="46" s="1"/>
  <c r="T15" i="42"/>
  <c r="T33" i="42"/>
  <c r="P615" i="4"/>
  <c r="S615" i="4"/>
  <c r="M615" i="4"/>
  <c r="J615" i="4"/>
  <c r="T19" i="42"/>
  <c r="T35" i="42"/>
  <c r="T29" i="42"/>
  <c r="T31" i="42"/>
  <c r="T32" i="42"/>
  <c r="T13" i="42"/>
  <c r="T17" i="42"/>
  <c r="T16" i="42"/>
  <c r="T28" i="42"/>
  <c r="T24" i="42"/>
  <c r="T23" i="42"/>
  <c r="T38" i="42"/>
  <c r="T34" i="42"/>
  <c r="T18" i="42"/>
  <c r="T26" i="42"/>
  <c r="T37" i="42"/>
  <c r="T12" i="42"/>
  <c r="T22" i="42"/>
  <c r="T20" i="42"/>
  <c r="T14" i="42"/>
  <c r="T30" i="42"/>
  <c r="J539" i="4"/>
  <c r="D27" i="51"/>
  <c r="J468" i="4"/>
  <c r="D30" i="50"/>
  <c r="M454" i="4"/>
  <c r="D16" i="50"/>
  <c r="S532" i="4"/>
  <c r="D20" i="51"/>
  <c r="M604" i="4"/>
  <c r="D12" i="52"/>
  <c r="P388" i="4"/>
  <c r="D23" i="47"/>
  <c r="P546" i="4"/>
  <c r="D34" i="51"/>
  <c r="K38" i="52"/>
  <c r="L38" i="52"/>
  <c r="L25" i="51"/>
  <c r="K25" i="51"/>
  <c r="S397" i="4"/>
  <c r="D32" i="47"/>
  <c r="S617" i="4"/>
  <c r="D25" i="52"/>
  <c r="L38" i="53"/>
  <c r="K38" i="53"/>
  <c r="L15" i="53"/>
  <c r="K15" i="53"/>
  <c r="L13" i="53"/>
  <c r="K13" i="53"/>
  <c r="P523" i="4"/>
  <c r="D11" i="51"/>
  <c r="J538" i="4"/>
  <c r="D26" i="51"/>
  <c r="L34" i="47"/>
  <c r="K34" i="47"/>
  <c r="P470" i="4"/>
  <c r="D32" i="50"/>
  <c r="L36" i="52"/>
  <c r="K36" i="52"/>
  <c r="K18" i="53"/>
  <c r="L18" i="53"/>
  <c r="K28" i="50"/>
  <c r="L28" i="50"/>
  <c r="M381" i="4"/>
  <c r="D16" i="47"/>
  <c r="P536" i="4"/>
  <c r="D24" i="51"/>
  <c r="J531" i="4"/>
  <c r="D19" i="51"/>
  <c r="J695" i="4"/>
  <c r="D33" i="53"/>
  <c r="J378" i="4"/>
  <c r="D13" i="47"/>
  <c r="J545" i="4"/>
  <c r="D33" i="51"/>
  <c r="J464" i="4"/>
  <c r="D26" i="50"/>
  <c r="L33" i="50"/>
  <c r="K33" i="50"/>
  <c r="K32" i="53"/>
  <c r="L32" i="53"/>
  <c r="T36" i="42"/>
  <c r="L17" i="47"/>
  <c r="K17" i="47"/>
  <c r="M616" i="4"/>
  <c r="D24" i="52"/>
  <c r="M398" i="4"/>
  <c r="D33" i="47"/>
  <c r="S390" i="4"/>
  <c r="D25" i="47"/>
  <c r="M460" i="4"/>
  <c r="D22" i="50"/>
  <c r="P626" i="4"/>
  <c r="D34" i="52"/>
  <c r="L29" i="50"/>
  <c r="K29" i="50"/>
  <c r="K18" i="51"/>
  <c r="L18" i="51"/>
  <c r="K22" i="52"/>
  <c r="L22" i="52"/>
  <c r="L36" i="50"/>
  <c r="K36" i="50"/>
  <c r="L14" i="50"/>
  <c r="K14" i="50"/>
  <c r="K28" i="52"/>
  <c r="L28" i="52"/>
  <c r="L37" i="53"/>
  <c r="K37" i="53"/>
  <c r="K36" i="53"/>
  <c r="L36" i="53"/>
  <c r="K14" i="52"/>
  <c r="L14" i="52"/>
  <c r="K35" i="47"/>
  <c r="L35" i="47"/>
  <c r="K12" i="53"/>
  <c r="L12" i="53"/>
  <c r="L14" i="51"/>
  <c r="K14" i="51"/>
  <c r="P380" i="4"/>
  <c r="D15" i="47"/>
  <c r="P625" i="4"/>
  <c r="D33" i="52"/>
  <c r="S391" i="4"/>
  <c r="D26" i="47"/>
  <c r="K29" i="51"/>
  <c r="L29" i="51"/>
  <c r="M453" i="4"/>
  <c r="D15" i="50"/>
  <c r="M535" i="4"/>
  <c r="D23" i="51"/>
  <c r="K18" i="52"/>
  <c r="L18" i="52"/>
  <c r="L38" i="47"/>
  <c r="K38" i="47"/>
  <c r="L35" i="50"/>
  <c r="K35" i="50"/>
  <c r="K16" i="53"/>
  <c r="L16" i="53"/>
  <c r="K21" i="50"/>
  <c r="L21" i="50"/>
  <c r="L35" i="51"/>
  <c r="K35" i="51"/>
  <c r="S461" i="4"/>
  <c r="D23" i="50"/>
  <c r="S387" i="4"/>
  <c r="D22" i="47"/>
  <c r="L29" i="53"/>
  <c r="K29" i="53"/>
  <c r="G24" i="50"/>
  <c r="H24" i="50"/>
  <c r="J385" i="4"/>
  <c r="D20" i="47"/>
  <c r="P619" i="4"/>
  <c r="D27" i="52"/>
  <c r="P607" i="4"/>
  <c r="D15" i="52"/>
  <c r="J685" i="4"/>
  <c r="D23" i="53"/>
  <c r="J392" i="4"/>
  <c r="D27" i="47"/>
  <c r="P465" i="4"/>
  <c r="D27" i="50"/>
  <c r="P543" i="4"/>
  <c r="D31" i="51"/>
  <c r="J623" i="4"/>
  <c r="D31" i="52"/>
  <c r="J622" i="4"/>
  <c r="D30" i="52"/>
  <c r="J525" i="4"/>
  <c r="D13" i="51"/>
  <c r="P463" i="4"/>
  <c r="D25" i="50"/>
  <c r="M687" i="4"/>
  <c r="D25" i="53"/>
  <c r="S629" i="4"/>
  <c r="D37" i="52"/>
  <c r="G23" i="52"/>
  <c r="H23" i="52"/>
  <c r="K11" i="53"/>
  <c r="L11" i="53"/>
  <c r="K28" i="51"/>
  <c r="L28" i="51"/>
  <c r="K21" i="52"/>
  <c r="L21" i="52"/>
  <c r="L17" i="50"/>
  <c r="K17" i="50"/>
  <c r="L36" i="51"/>
  <c r="K36" i="51"/>
  <c r="J457" i="4"/>
  <c r="D19" i="50"/>
  <c r="J524" i="4"/>
  <c r="D12" i="51"/>
  <c r="S603" i="4"/>
  <c r="D11" i="52"/>
  <c r="M624" i="4"/>
  <c r="D32" i="52"/>
  <c r="J384" i="4"/>
  <c r="D19" i="47"/>
  <c r="M542" i="4"/>
  <c r="D30" i="51"/>
  <c r="P534" i="4"/>
  <c r="D22" i="51"/>
  <c r="L29" i="52"/>
  <c r="K29" i="52"/>
  <c r="T25" i="42"/>
  <c r="L21" i="47"/>
  <c r="K21" i="47"/>
  <c r="K17" i="52"/>
  <c r="L17" i="52"/>
  <c r="P469" i="4"/>
  <c r="D31" i="50"/>
  <c r="P684" i="4"/>
  <c r="D22" i="53"/>
  <c r="T27" i="42"/>
  <c r="J389" i="4"/>
  <c r="D24" i="47"/>
  <c r="P451" i="4"/>
  <c r="D13" i="50"/>
  <c r="P395" i="4"/>
  <c r="D30" i="47"/>
  <c r="P692" i="4"/>
  <c r="D30" i="53"/>
  <c r="M696" i="4"/>
  <c r="D34" i="53"/>
  <c r="L14" i="53"/>
  <c r="K14" i="53"/>
  <c r="L38" i="50"/>
  <c r="K38" i="50"/>
  <c r="K35" i="52"/>
  <c r="L35" i="52"/>
  <c r="K17" i="53"/>
  <c r="L17" i="53"/>
  <c r="S528" i="4"/>
  <c r="D16" i="51"/>
  <c r="P612" i="4"/>
  <c r="D20" i="52"/>
  <c r="S683" i="4"/>
  <c r="D21" i="53"/>
  <c r="K18" i="50"/>
  <c r="L18" i="50"/>
  <c r="S377" i="4"/>
  <c r="D12" i="47"/>
  <c r="M450" i="4"/>
  <c r="D12" i="50"/>
  <c r="S527" i="4"/>
  <c r="D15" i="51"/>
  <c r="P605" i="4"/>
  <c r="D13" i="52"/>
  <c r="M533" i="4"/>
  <c r="D21" i="51"/>
  <c r="L19" i="53"/>
  <c r="K19" i="53"/>
  <c r="H31" i="47"/>
  <c r="G31" i="47"/>
  <c r="S458" i="4"/>
  <c r="D20" i="50"/>
  <c r="S611" i="4"/>
  <c r="D19" i="52"/>
  <c r="J686" i="4"/>
  <c r="D24" i="53"/>
  <c r="P549" i="4"/>
  <c r="D37" i="51"/>
  <c r="K35" i="53"/>
  <c r="L35" i="53"/>
  <c r="K17" i="51"/>
  <c r="L17" i="51"/>
  <c r="K37" i="47"/>
  <c r="L37" i="47"/>
  <c r="L18" i="47"/>
  <c r="K18" i="47"/>
  <c r="K20" i="53"/>
  <c r="L20" i="53"/>
  <c r="K27" i="53"/>
  <c r="L27" i="53"/>
  <c r="K26" i="53"/>
  <c r="L26" i="53"/>
  <c r="L38" i="51"/>
  <c r="K38" i="51"/>
  <c r="L36" i="47"/>
  <c r="K36" i="47"/>
  <c r="P376" i="4"/>
  <c r="D11" i="47"/>
  <c r="P449" i="4"/>
  <c r="D11" i="50"/>
  <c r="S608" i="4"/>
  <c r="D16" i="52"/>
  <c r="M690" i="4"/>
  <c r="D28" i="53"/>
  <c r="P544" i="4"/>
  <c r="D32" i="51"/>
  <c r="J472" i="4"/>
  <c r="D34" i="50"/>
  <c r="S618" i="4"/>
  <c r="D26" i="52"/>
  <c r="S475" i="4"/>
  <c r="D37" i="50"/>
  <c r="T21" i="42"/>
  <c r="L29" i="47"/>
  <c r="K29" i="47"/>
  <c r="L28" i="47"/>
  <c r="K28" i="47"/>
  <c r="L14" i="47"/>
  <c r="K14" i="47"/>
  <c r="K31" i="53"/>
  <c r="L31" i="53"/>
  <c r="M291" i="4"/>
  <c r="D23" i="46"/>
  <c r="M284" i="4"/>
  <c r="D16" i="46"/>
  <c r="L26" i="46"/>
  <c r="K26" i="46"/>
  <c r="S281" i="4"/>
  <c r="D13" i="46"/>
  <c r="M301" i="4"/>
  <c r="D33" i="46"/>
  <c r="J302" i="4"/>
  <c r="D34" i="46"/>
  <c r="L14" i="46"/>
  <c r="K14" i="46"/>
  <c r="L38" i="46"/>
  <c r="K38" i="46"/>
  <c r="L15" i="46"/>
  <c r="K37" i="46"/>
  <c r="L37" i="46"/>
  <c r="J290" i="4"/>
  <c r="D22" i="46"/>
  <c r="L30" i="46"/>
  <c r="K30" i="46"/>
  <c r="M300" i="4"/>
  <c r="D32" i="46"/>
  <c r="L28" i="46"/>
  <c r="K28" i="46"/>
  <c r="P279" i="4"/>
  <c r="D11" i="46"/>
  <c r="L36" i="46"/>
  <c r="K36" i="46"/>
  <c r="K35" i="46"/>
  <c r="L35" i="46"/>
  <c r="L19" i="46"/>
  <c r="O19" i="46" s="1"/>
  <c r="L24" i="46"/>
  <c r="K24" i="46"/>
  <c r="J280" i="4"/>
  <c r="D12" i="46"/>
  <c r="K29" i="46"/>
  <c r="L29" i="46"/>
  <c r="S299" i="4"/>
  <c r="D31" i="46"/>
  <c r="M293" i="4"/>
  <c r="D25" i="46"/>
  <c r="K17" i="46"/>
  <c r="L17" i="46"/>
  <c r="K21" i="46"/>
  <c r="L21" i="46"/>
  <c r="L18" i="46"/>
  <c r="K18" i="46"/>
  <c r="K27" i="46"/>
  <c r="L27" i="46"/>
  <c r="L20" i="46"/>
  <c r="K20" i="46"/>
  <c r="P36" i="43"/>
  <c r="S36" i="43" s="1"/>
  <c r="O36" i="43"/>
  <c r="H23" i="43"/>
  <c r="G23" i="43"/>
  <c r="S224" i="4"/>
  <c r="D33" i="45"/>
  <c r="L31" i="45"/>
  <c r="K31" i="45"/>
  <c r="S221" i="4"/>
  <c r="D30" i="45"/>
  <c r="L29" i="45"/>
  <c r="K29" i="45"/>
  <c r="P225" i="4"/>
  <c r="D34" i="45"/>
  <c r="S223" i="4"/>
  <c r="D32" i="45"/>
  <c r="L28" i="45"/>
  <c r="K28" i="45"/>
  <c r="L35" i="45"/>
  <c r="K35" i="45"/>
  <c r="L36" i="45"/>
  <c r="K36" i="45"/>
  <c r="I38" i="39"/>
  <c r="L38" i="39"/>
  <c r="F38" i="39"/>
  <c r="O38" i="39"/>
  <c r="M538" i="4"/>
  <c r="J533" i="4"/>
  <c r="J391" i="4"/>
  <c r="S538" i="4"/>
  <c r="P538" i="4"/>
  <c r="P391" i="4"/>
  <c r="M391" i="4"/>
  <c r="S464" i="4"/>
  <c r="P464" i="4"/>
  <c r="S533" i="4"/>
  <c r="P629" i="4"/>
  <c r="M629" i="4"/>
  <c r="M549" i="4"/>
  <c r="J629" i="4"/>
  <c r="M464" i="4"/>
  <c r="M626" i="4"/>
  <c r="P533" i="4"/>
  <c r="S549" i="4"/>
  <c r="J549" i="4"/>
  <c r="P475" i="4"/>
  <c r="S626" i="4"/>
  <c r="J626" i="4"/>
  <c r="M475" i="4"/>
  <c r="M546" i="4"/>
  <c r="S546" i="4"/>
  <c r="J475" i="4"/>
  <c r="J546" i="4"/>
  <c r="M290" i="4"/>
  <c r="P302" i="4"/>
  <c r="S302" i="4"/>
  <c r="M302" i="4"/>
  <c r="P290" i="4"/>
  <c r="J223" i="4"/>
  <c r="P617" i="4"/>
  <c r="M617" i="4"/>
  <c r="J617" i="4"/>
  <c r="S290" i="4"/>
  <c r="P460" i="4"/>
  <c r="M390" i="4"/>
  <c r="J534" i="4"/>
  <c r="M618" i="4"/>
  <c r="P618" i="4"/>
  <c r="J618" i="4"/>
  <c r="J696" i="4"/>
  <c r="P696" i="4"/>
  <c r="S696" i="4"/>
  <c r="S687" i="4"/>
  <c r="M534" i="4"/>
  <c r="P687" i="4"/>
  <c r="J687" i="4"/>
  <c r="S451" i="4"/>
  <c r="J544" i="4"/>
  <c r="S225" i="4"/>
  <c r="S460" i="4"/>
  <c r="J460" i="4"/>
  <c r="M472" i="4"/>
  <c r="M692" i="4"/>
  <c r="S472" i="4"/>
  <c r="M225" i="4"/>
  <c r="J293" i="4"/>
  <c r="P293" i="4"/>
  <c r="S293" i="4"/>
  <c r="S534" i="4"/>
  <c r="M387" i="4"/>
  <c r="P472" i="4"/>
  <c r="J387" i="4"/>
  <c r="J225" i="4"/>
  <c r="P387" i="4"/>
  <c r="S684" i="4"/>
  <c r="M684" i="4"/>
  <c r="J684" i="4"/>
  <c r="J463" i="4"/>
  <c r="J390" i="4"/>
  <c r="P545" i="4"/>
  <c r="M545" i="4"/>
  <c r="P624" i="4"/>
  <c r="P224" i="4"/>
  <c r="J224" i="4"/>
  <c r="M388" i="4"/>
  <c r="J624" i="4"/>
  <c r="S388" i="4"/>
  <c r="S545" i="4"/>
  <c r="J388" i="4"/>
  <c r="S624" i="4"/>
  <c r="P390" i="4"/>
  <c r="M470" i="4"/>
  <c r="M224" i="4"/>
  <c r="S463" i="4"/>
  <c r="S692" i="4"/>
  <c r="P686" i="4"/>
  <c r="M463" i="4"/>
  <c r="S686" i="4"/>
  <c r="M686" i="4"/>
  <c r="P468" i="4"/>
  <c r="J692" i="4"/>
  <c r="P535" i="4"/>
  <c r="S535" i="4"/>
  <c r="M468" i="4"/>
  <c r="J221" i="4"/>
  <c r="J284" i="4"/>
  <c r="P221" i="4"/>
  <c r="M221" i="4"/>
  <c r="P398" i="4"/>
  <c r="P284" i="4"/>
  <c r="S468" i="4"/>
  <c r="S284" i="4"/>
  <c r="P683" i="4"/>
  <c r="M683" i="4"/>
  <c r="J683" i="4"/>
  <c r="M544" i="4"/>
  <c r="P301" i="4"/>
  <c r="M461" i="4"/>
  <c r="M622" i="4"/>
  <c r="P300" i="4"/>
  <c r="S605" i="4"/>
  <c r="S301" i="4"/>
  <c r="P461" i="4"/>
  <c r="J605" i="4"/>
  <c r="J461" i="4"/>
  <c r="J301" i="4"/>
  <c r="J291" i="4"/>
  <c r="S544" i="4"/>
  <c r="P223" i="4"/>
  <c r="J451" i="4"/>
  <c r="P291" i="4"/>
  <c r="M281" i="4"/>
  <c r="S300" i="4"/>
  <c r="J281" i="4"/>
  <c r="J300" i="4"/>
  <c r="M223" i="4"/>
  <c r="S291" i="4"/>
  <c r="J542" i="4"/>
  <c r="P542" i="4"/>
  <c r="S622" i="4"/>
  <c r="S542" i="4"/>
  <c r="P397" i="4"/>
  <c r="J397" i="4"/>
  <c r="M397" i="4"/>
  <c r="P281" i="4"/>
  <c r="S525" i="4"/>
  <c r="P525" i="4"/>
  <c r="M451" i="4"/>
  <c r="M611" i="4"/>
  <c r="P622" i="4"/>
  <c r="J625" i="4"/>
  <c r="M525" i="4"/>
  <c r="S398" i="4"/>
  <c r="J398" i="4"/>
  <c r="J604" i="4"/>
  <c r="S395" i="4"/>
  <c r="M625" i="4"/>
  <c r="J470" i="4"/>
  <c r="J395" i="4"/>
  <c r="S625" i="4"/>
  <c r="S470" i="4"/>
  <c r="S469" i="4"/>
  <c r="S607" i="4"/>
  <c r="T699" i="4"/>
  <c r="V699" i="4" s="1"/>
  <c r="M378" i="4"/>
  <c r="S378" i="4"/>
  <c r="M607" i="4"/>
  <c r="S685" i="4"/>
  <c r="M395" i="4"/>
  <c r="M605" i="4"/>
  <c r="S695" i="4"/>
  <c r="M279" i="4"/>
  <c r="P695" i="4"/>
  <c r="P378" i="4"/>
  <c r="M695" i="4"/>
  <c r="S279" i="4"/>
  <c r="J279" i="4"/>
  <c r="J535" i="4"/>
  <c r="T679" i="4"/>
  <c r="V679" i="4" s="1"/>
  <c r="T40" i="4"/>
  <c r="V40" i="4" s="1"/>
  <c r="T41" i="4"/>
  <c r="V41" i="4" s="1"/>
  <c r="T677" i="4"/>
  <c r="V677" i="4" s="1"/>
  <c r="T691" i="4"/>
  <c r="V691" i="4" s="1"/>
  <c r="T614" i="4"/>
  <c r="V614" i="4" s="1"/>
  <c r="T620" i="4"/>
  <c r="V620" i="4" s="1"/>
  <c r="J532" i="4"/>
  <c r="T694" i="4"/>
  <c r="V694" i="4" s="1"/>
  <c r="T541" i="4"/>
  <c r="V541" i="4" s="1"/>
  <c r="P611" i="4"/>
  <c r="T474" i="4"/>
  <c r="V474" i="4" s="1"/>
  <c r="J607" i="4"/>
  <c r="T688" i="4"/>
  <c r="V688" i="4" s="1"/>
  <c r="J608" i="4"/>
  <c r="M608" i="4"/>
  <c r="T680" i="4"/>
  <c r="V680" i="4" s="1"/>
  <c r="S453" i="4"/>
  <c r="M531" i="4"/>
  <c r="M457" i="4"/>
  <c r="P457" i="4"/>
  <c r="T401" i="4"/>
  <c r="V401" i="4" s="1"/>
  <c r="T700" i="4"/>
  <c r="V700" i="4" s="1"/>
  <c r="T630" i="4"/>
  <c r="V630" i="4" s="1"/>
  <c r="T675" i="4"/>
  <c r="V675" i="4" s="1"/>
  <c r="T682" i="4"/>
  <c r="V682" i="4" s="1"/>
  <c r="T455" i="4"/>
  <c r="V455" i="4" s="1"/>
  <c r="T609" i="4"/>
  <c r="V609" i="4" s="1"/>
  <c r="T689" i="4"/>
  <c r="V689" i="4" s="1"/>
  <c r="T681" i="4"/>
  <c r="V681" i="4" s="1"/>
  <c r="T627" i="4"/>
  <c r="V627" i="4" s="1"/>
  <c r="T674" i="4"/>
  <c r="V674" i="4" s="1"/>
  <c r="T693" i="4"/>
  <c r="V693" i="4" s="1"/>
  <c r="T698" i="4"/>
  <c r="V698" i="4" s="1"/>
  <c r="T540" i="4"/>
  <c r="V540" i="4" s="1"/>
  <c r="T467" i="4"/>
  <c r="V467" i="4" s="1"/>
  <c r="T621" i="4"/>
  <c r="V621" i="4" s="1"/>
  <c r="T530" i="4"/>
  <c r="V530" i="4" s="1"/>
  <c r="T610" i="4"/>
  <c r="V610" i="4" s="1"/>
  <c r="T526" i="4"/>
  <c r="V526" i="4" s="1"/>
  <c r="T676" i="4"/>
  <c r="V676" i="4" s="1"/>
  <c r="T606" i="4"/>
  <c r="V606" i="4" s="1"/>
  <c r="T403" i="4"/>
  <c r="V403" i="4" s="1"/>
  <c r="T550" i="4"/>
  <c r="V550" i="4" s="1"/>
  <c r="T628" i="4"/>
  <c r="V628" i="4" s="1"/>
  <c r="T697" i="4"/>
  <c r="V697" i="4" s="1"/>
  <c r="S690" i="4"/>
  <c r="P690" i="4"/>
  <c r="J690" i="4"/>
  <c r="J619" i="4"/>
  <c r="P616" i="4"/>
  <c r="M685" i="4"/>
  <c r="P685" i="4"/>
  <c r="M612" i="4"/>
  <c r="J612" i="4"/>
  <c r="T678" i="4"/>
  <c r="V678" i="4" s="1"/>
  <c r="S604" i="4"/>
  <c r="M280" i="4"/>
  <c r="P280" i="4"/>
  <c r="S280" i="4"/>
  <c r="P604" i="4"/>
  <c r="J603" i="4"/>
  <c r="T673" i="4"/>
  <c r="V673" i="4" s="1"/>
  <c r="T473" i="4"/>
  <c r="V473" i="4" s="1"/>
  <c r="T537" i="4"/>
  <c r="V537" i="4" s="1"/>
  <c r="P528" i="4"/>
  <c r="M603" i="4"/>
  <c r="T613" i="4"/>
  <c r="V613" i="4" s="1"/>
  <c r="T548" i="4"/>
  <c r="V548" i="4" s="1"/>
  <c r="P454" i="4"/>
  <c r="S612" i="4"/>
  <c r="M458" i="4"/>
  <c r="T297" i="4"/>
  <c r="V297" i="4" s="1"/>
  <c r="T456" i="4"/>
  <c r="V456" i="4" s="1"/>
  <c r="T402" i="4"/>
  <c r="V402" i="4" s="1"/>
  <c r="S616" i="4"/>
  <c r="M377" i="4"/>
  <c r="T459" i="4"/>
  <c r="V459" i="4" s="1"/>
  <c r="P623" i="4"/>
  <c r="S623" i="4"/>
  <c r="J616" i="4"/>
  <c r="P603" i="4"/>
  <c r="T393" i="4"/>
  <c r="V393" i="4" s="1"/>
  <c r="S531" i="4"/>
  <c r="P531" i="4"/>
  <c r="S619" i="4"/>
  <c r="T471" i="4"/>
  <c r="V471" i="4" s="1"/>
  <c r="T466" i="4"/>
  <c r="V466" i="4" s="1"/>
  <c r="M619" i="4"/>
  <c r="J611" i="4"/>
  <c r="M623" i="4"/>
  <c r="P608" i="4"/>
  <c r="P450" i="4"/>
  <c r="P377" i="4"/>
  <c r="T452" i="4"/>
  <c r="V452" i="4" s="1"/>
  <c r="T476" i="4"/>
  <c r="V476" i="4" s="1"/>
  <c r="T529" i="4"/>
  <c r="V529" i="4" s="1"/>
  <c r="J523" i="4"/>
  <c r="T382" i="4"/>
  <c r="V382" i="4" s="1"/>
  <c r="T306" i="4"/>
  <c r="V306" i="4" s="1"/>
  <c r="P539" i="4"/>
  <c r="M539" i="4"/>
  <c r="S539" i="4"/>
  <c r="M523" i="4"/>
  <c r="J527" i="4"/>
  <c r="S524" i="4"/>
  <c r="T547" i="4"/>
  <c r="V547" i="4" s="1"/>
  <c r="T303" i="4"/>
  <c r="V303" i="4" s="1"/>
  <c r="T399" i="4"/>
  <c r="V399" i="4" s="1"/>
  <c r="M465" i="4"/>
  <c r="J528" i="4"/>
  <c r="P453" i="4"/>
  <c r="S523" i="4"/>
  <c r="P524" i="4"/>
  <c r="J543" i="4"/>
  <c r="M543" i="4"/>
  <c r="M524" i="4"/>
  <c r="M536" i="4"/>
  <c r="J536" i="4"/>
  <c r="S536" i="4"/>
  <c r="J453" i="4"/>
  <c r="S543" i="4"/>
  <c r="M528" i="4"/>
  <c r="M532" i="4"/>
  <c r="M527" i="4"/>
  <c r="P527" i="4"/>
  <c r="S457" i="4"/>
  <c r="P532" i="4"/>
  <c r="S389" i="4"/>
  <c r="M389" i="4"/>
  <c r="P462" i="4"/>
  <c r="J462" i="4"/>
  <c r="S454" i="4"/>
  <c r="S385" i="4"/>
  <c r="P385" i="4"/>
  <c r="T285" i="4"/>
  <c r="V285" i="4" s="1"/>
  <c r="M449" i="4"/>
  <c r="S462" i="4"/>
  <c r="P458" i="4"/>
  <c r="J449" i="4"/>
  <c r="J450" i="4"/>
  <c r="J469" i="4"/>
  <c r="M469" i="4"/>
  <c r="S449" i="4"/>
  <c r="T289" i="4"/>
  <c r="V289" i="4" s="1"/>
  <c r="T286" i="4"/>
  <c r="V286" i="4" s="1"/>
  <c r="S384" i="4"/>
  <c r="J381" i="4"/>
  <c r="T394" i="4"/>
  <c r="V394" i="4" s="1"/>
  <c r="M385" i="4"/>
  <c r="T298" i="4"/>
  <c r="V298" i="4" s="1"/>
  <c r="T383" i="4"/>
  <c r="V383" i="4" s="1"/>
  <c r="P384" i="4"/>
  <c r="J377" i="4"/>
  <c r="S450" i="4"/>
  <c r="J465" i="4"/>
  <c r="J454" i="4"/>
  <c r="M462" i="4"/>
  <c r="S465" i="4"/>
  <c r="J458" i="4"/>
  <c r="T400" i="4"/>
  <c r="V400" i="4" s="1"/>
  <c r="M384" i="4"/>
  <c r="J376" i="4"/>
  <c r="S376" i="4"/>
  <c r="S380" i="4"/>
  <c r="J396" i="4"/>
  <c r="M396" i="4"/>
  <c r="S381" i="4"/>
  <c r="M380" i="4"/>
  <c r="J380" i="4"/>
  <c r="T227" i="4"/>
  <c r="V227" i="4" s="1"/>
  <c r="T283" i="4"/>
  <c r="V283" i="4" s="1"/>
  <c r="T379" i="4"/>
  <c r="V379" i="4" s="1"/>
  <c r="P389" i="4"/>
  <c r="P396" i="4"/>
  <c r="M376" i="4"/>
  <c r="S392" i="4"/>
  <c r="S396" i="4"/>
  <c r="T386" i="4"/>
  <c r="V386" i="4" s="1"/>
  <c r="M392" i="4"/>
  <c r="T288" i="4"/>
  <c r="V288" i="4" s="1"/>
  <c r="J299" i="4"/>
  <c r="P381" i="4"/>
  <c r="T305" i="4"/>
  <c r="V305" i="4" s="1"/>
  <c r="P392" i="4"/>
  <c r="T282" i="4"/>
  <c r="V282" i="4" s="1"/>
  <c r="T294" i="4"/>
  <c r="V294" i="4" s="1"/>
  <c r="T296" i="4"/>
  <c r="V296" i="4" s="1"/>
  <c r="P299" i="4"/>
  <c r="T292" i="4"/>
  <c r="V292" i="4" s="1"/>
  <c r="T220" i="4"/>
  <c r="V220" i="4" s="1"/>
  <c r="M299" i="4"/>
  <c r="T295" i="4"/>
  <c r="V295" i="4" s="1"/>
  <c r="T304" i="4"/>
  <c r="V304" i="4" s="1"/>
  <c r="T287" i="4"/>
  <c r="V287" i="4" s="1"/>
  <c r="T173" i="4"/>
  <c r="V173" i="4" s="1"/>
  <c r="T226" i="4"/>
  <c r="V226" i="4" s="1"/>
  <c r="T222" i="4"/>
  <c r="V222" i="4" s="1"/>
  <c r="T228" i="4"/>
  <c r="V228" i="4" s="1"/>
  <c r="T219" i="4"/>
  <c r="V219" i="4" s="1"/>
  <c r="T175" i="4"/>
  <c r="V175" i="4" s="1"/>
  <c r="T229" i="4"/>
  <c r="V229" i="4" s="1"/>
  <c r="T174" i="4"/>
  <c r="V174" i="4" s="1"/>
  <c r="J705" i="4" l="1"/>
  <c r="J704" i="4"/>
  <c r="T615" i="4"/>
  <c r="V615" i="4" s="1"/>
  <c r="P704" i="4"/>
  <c r="O39" i="39"/>
  <c r="P38" i="39"/>
  <c r="O36" i="47"/>
  <c r="P36" i="47"/>
  <c r="S36" i="47" s="1"/>
  <c r="O27" i="53"/>
  <c r="P27" i="53"/>
  <c r="S27" i="53" s="1"/>
  <c r="O19" i="53"/>
  <c r="P19" i="53"/>
  <c r="S19" i="53" s="1"/>
  <c r="G20" i="52"/>
  <c r="H20" i="52"/>
  <c r="H30" i="53"/>
  <c r="G30" i="53"/>
  <c r="G37" i="52"/>
  <c r="H37" i="52"/>
  <c r="H30" i="52"/>
  <c r="G30" i="52"/>
  <c r="H27" i="47"/>
  <c r="G27" i="47"/>
  <c r="H20" i="47"/>
  <c r="G20" i="47"/>
  <c r="P29" i="53"/>
  <c r="S29" i="53" s="1"/>
  <c r="O29" i="53"/>
  <c r="P35" i="51"/>
  <c r="S35" i="51" s="1"/>
  <c r="O35" i="51"/>
  <c r="H15" i="47"/>
  <c r="G15" i="47"/>
  <c r="O28" i="52"/>
  <c r="P28" i="52"/>
  <c r="S28" i="52" s="1"/>
  <c r="H25" i="52"/>
  <c r="G25" i="52"/>
  <c r="O14" i="47"/>
  <c r="P14" i="47"/>
  <c r="S14" i="47" s="1"/>
  <c r="H26" i="52"/>
  <c r="G26" i="52"/>
  <c r="H16" i="52"/>
  <c r="G16" i="52"/>
  <c r="O17" i="51"/>
  <c r="P17" i="51"/>
  <c r="S17" i="51" s="1"/>
  <c r="G19" i="52"/>
  <c r="H19" i="52"/>
  <c r="H21" i="51"/>
  <c r="G21" i="51"/>
  <c r="H12" i="47"/>
  <c r="G12" i="47"/>
  <c r="O38" i="50"/>
  <c r="P38" i="50"/>
  <c r="S38" i="50" s="1"/>
  <c r="H22" i="53"/>
  <c r="G22" i="53"/>
  <c r="O21" i="47"/>
  <c r="P21" i="47"/>
  <c r="S21" i="47" s="1"/>
  <c r="H19" i="47"/>
  <c r="G19" i="47"/>
  <c r="G11" i="52"/>
  <c r="H11" i="52"/>
  <c r="O17" i="50"/>
  <c r="P17" i="50"/>
  <c r="S17" i="50" s="1"/>
  <c r="P38" i="47"/>
  <c r="S38" i="47" s="1"/>
  <c r="O38" i="47"/>
  <c r="O29" i="51"/>
  <c r="P29" i="51"/>
  <c r="S29" i="51" s="1"/>
  <c r="O14" i="52"/>
  <c r="P14" i="52"/>
  <c r="S14" i="52" s="1"/>
  <c r="P18" i="51"/>
  <c r="S18" i="51" s="1"/>
  <c r="O18" i="51"/>
  <c r="H34" i="52"/>
  <c r="G34" i="52"/>
  <c r="H24" i="52"/>
  <c r="G24" i="52"/>
  <c r="G33" i="53"/>
  <c r="H33" i="53"/>
  <c r="O28" i="50"/>
  <c r="P28" i="50"/>
  <c r="S28" i="50" s="1"/>
  <c r="H34" i="51"/>
  <c r="G34" i="51"/>
  <c r="G16" i="50"/>
  <c r="H16" i="50"/>
  <c r="H25" i="53"/>
  <c r="G25" i="53"/>
  <c r="G23" i="53"/>
  <c r="H23" i="53"/>
  <c r="O34" i="47"/>
  <c r="P34" i="47"/>
  <c r="S34" i="47" s="1"/>
  <c r="P20" i="53"/>
  <c r="S20" i="53" s="1"/>
  <c r="O20" i="53"/>
  <c r="P35" i="53"/>
  <c r="S35" i="53" s="1"/>
  <c r="O35" i="53"/>
  <c r="H20" i="50"/>
  <c r="G20" i="50"/>
  <c r="O18" i="50"/>
  <c r="P18" i="50"/>
  <c r="S18" i="50" s="1"/>
  <c r="P14" i="50"/>
  <c r="S14" i="50" s="1"/>
  <c r="O14" i="50"/>
  <c r="H19" i="51"/>
  <c r="G19" i="51"/>
  <c r="P18" i="53"/>
  <c r="S18" i="53" s="1"/>
  <c r="O18" i="53"/>
  <c r="O38" i="51"/>
  <c r="P38" i="51"/>
  <c r="S38" i="51" s="1"/>
  <c r="O17" i="53"/>
  <c r="P17" i="53"/>
  <c r="S17" i="53" s="1"/>
  <c r="G13" i="50"/>
  <c r="H13" i="50"/>
  <c r="O29" i="52"/>
  <c r="P29" i="52"/>
  <c r="S29" i="52" s="1"/>
  <c r="O21" i="52"/>
  <c r="P21" i="52"/>
  <c r="S21" i="52" s="1"/>
  <c r="O11" i="53"/>
  <c r="P11" i="53"/>
  <c r="S11" i="53" s="1"/>
  <c r="G25" i="50"/>
  <c r="H25" i="50"/>
  <c r="H31" i="51"/>
  <c r="G31" i="51"/>
  <c r="H15" i="52"/>
  <c r="G15" i="52"/>
  <c r="P16" i="53"/>
  <c r="S16" i="53" s="1"/>
  <c r="O16" i="53"/>
  <c r="G23" i="51"/>
  <c r="H23" i="51"/>
  <c r="H26" i="47"/>
  <c r="G26" i="47"/>
  <c r="P12" i="53"/>
  <c r="S12" i="53" s="1"/>
  <c r="O12" i="53"/>
  <c r="O17" i="47"/>
  <c r="P17" i="47"/>
  <c r="S17" i="47" s="1"/>
  <c r="H26" i="51"/>
  <c r="G26" i="51"/>
  <c r="G30" i="50"/>
  <c r="H30" i="50"/>
  <c r="O29" i="47"/>
  <c r="P29" i="47"/>
  <c r="S29" i="47" s="1"/>
  <c r="O21" i="50"/>
  <c r="P21" i="50"/>
  <c r="S21" i="50" s="1"/>
  <c r="O13" i="53"/>
  <c r="P13" i="53"/>
  <c r="S13" i="53" s="1"/>
  <c r="H31" i="50"/>
  <c r="G31" i="50"/>
  <c r="P36" i="53"/>
  <c r="S36" i="53" s="1"/>
  <c r="O36" i="53"/>
  <c r="G23" i="47"/>
  <c r="H23" i="47"/>
  <c r="H32" i="51"/>
  <c r="G32" i="51"/>
  <c r="H11" i="47"/>
  <c r="G11" i="47"/>
  <c r="P26" i="53"/>
  <c r="S26" i="53" s="1"/>
  <c r="O26" i="53"/>
  <c r="H37" i="51"/>
  <c r="G37" i="51"/>
  <c r="G15" i="51"/>
  <c r="H15" i="51"/>
  <c r="P14" i="53"/>
  <c r="S14" i="53" s="1"/>
  <c r="O14" i="53"/>
  <c r="O17" i="52"/>
  <c r="P17" i="52"/>
  <c r="S17" i="52" s="1"/>
  <c r="H22" i="51"/>
  <c r="G22" i="51"/>
  <c r="H19" i="50"/>
  <c r="G19" i="50"/>
  <c r="G23" i="50"/>
  <c r="H23" i="50"/>
  <c r="P36" i="50"/>
  <c r="S36" i="50" s="1"/>
  <c r="O36" i="50"/>
  <c r="P29" i="50"/>
  <c r="S29" i="50" s="1"/>
  <c r="O29" i="50"/>
  <c r="H25" i="47"/>
  <c r="G25" i="47"/>
  <c r="H33" i="51"/>
  <c r="G33" i="51"/>
  <c r="H24" i="51"/>
  <c r="G24" i="51"/>
  <c r="O15" i="53"/>
  <c r="P15" i="53"/>
  <c r="S15" i="53" s="1"/>
  <c r="P25" i="51"/>
  <c r="S25" i="51" s="1"/>
  <c r="O25" i="51"/>
  <c r="G12" i="52"/>
  <c r="H12" i="52"/>
  <c r="G31" i="52"/>
  <c r="H31" i="52"/>
  <c r="O33" i="50"/>
  <c r="P33" i="50"/>
  <c r="S33" i="50" s="1"/>
  <c r="G34" i="50"/>
  <c r="H34" i="50"/>
  <c r="G13" i="52"/>
  <c r="H13" i="52"/>
  <c r="H12" i="51"/>
  <c r="G12" i="51"/>
  <c r="H22" i="47"/>
  <c r="G22" i="47"/>
  <c r="H22" i="50"/>
  <c r="G22" i="50"/>
  <c r="O31" i="53"/>
  <c r="P31" i="53"/>
  <c r="S31" i="53" s="1"/>
  <c r="O28" i="47"/>
  <c r="P28" i="47"/>
  <c r="S28" i="47" s="1"/>
  <c r="P18" i="47"/>
  <c r="S18" i="47" s="1"/>
  <c r="O18" i="47"/>
  <c r="G34" i="53"/>
  <c r="H34" i="53"/>
  <c r="H24" i="47"/>
  <c r="G24" i="47"/>
  <c r="O36" i="51"/>
  <c r="P36" i="51"/>
  <c r="S36" i="51" s="1"/>
  <c r="K23" i="52"/>
  <c r="L23" i="52"/>
  <c r="H13" i="51"/>
  <c r="G13" i="51"/>
  <c r="G27" i="50"/>
  <c r="H27" i="50"/>
  <c r="H27" i="52"/>
  <c r="G27" i="52"/>
  <c r="H15" i="50"/>
  <c r="G15" i="50"/>
  <c r="H33" i="52"/>
  <c r="G33" i="52"/>
  <c r="O37" i="53"/>
  <c r="P37" i="53"/>
  <c r="S37" i="53" s="1"/>
  <c r="O36" i="52"/>
  <c r="P36" i="52"/>
  <c r="S36" i="52" s="1"/>
  <c r="H11" i="51"/>
  <c r="G11" i="51"/>
  <c r="O38" i="52"/>
  <c r="P38" i="52"/>
  <c r="S38" i="52" s="1"/>
  <c r="H27" i="51"/>
  <c r="G27" i="51"/>
  <c r="H16" i="51"/>
  <c r="G16" i="51"/>
  <c r="H30" i="47"/>
  <c r="G30" i="47"/>
  <c r="K24" i="50"/>
  <c r="L24" i="50"/>
  <c r="P18" i="52"/>
  <c r="S18" i="52" s="1"/>
  <c r="O18" i="52"/>
  <c r="H32" i="47"/>
  <c r="G32" i="47"/>
  <c r="H11" i="50"/>
  <c r="G11" i="50"/>
  <c r="P14" i="51"/>
  <c r="S14" i="51" s="1"/>
  <c r="O14" i="51"/>
  <c r="H26" i="50"/>
  <c r="G26" i="50"/>
  <c r="M310" i="4"/>
  <c r="K31" i="47"/>
  <c r="L31" i="47"/>
  <c r="G21" i="53"/>
  <c r="H21" i="53"/>
  <c r="O35" i="52"/>
  <c r="P35" i="52"/>
  <c r="S35" i="52" s="1"/>
  <c r="H37" i="50"/>
  <c r="G37" i="50"/>
  <c r="H28" i="53"/>
  <c r="G28" i="53"/>
  <c r="O37" i="47"/>
  <c r="P37" i="47"/>
  <c r="S37" i="47" s="1"/>
  <c r="G24" i="53"/>
  <c r="H24" i="53"/>
  <c r="G12" i="50"/>
  <c r="H12" i="50"/>
  <c r="G30" i="51"/>
  <c r="H30" i="51"/>
  <c r="H32" i="52"/>
  <c r="G32" i="52"/>
  <c r="O28" i="51"/>
  <c r="P28" i="51"/>
  <c r="S28" i="51" s="1"/>
  <c r="O35" i="50"/>
  <c r="P35" i="50"/>
  <c r="S35" i="50" s="1"/>
  <c r="P35" i="47"/>
  <c r="S35" i="47" s="1"/>
  <c r="O35" i="47"/>
  <c r="O22" i="52"/>
  <c r="P22" i="52"/>
  <c r="S22" i="52" s="1"/>
  <c r="H33" i="47"/>
  <c r="G33" i="47"/>
  <c r="O32" i="53"/>
  <c r="P32" i="53"/>
  <c r="S32" i="53" s="1"/>
  <c r="H13" i="47"/>
  <c r="G13" i="47"/>
  <c r="H16" i="47"/>
  <c r="G16" i="47"/>
  <c r="G32" i="50"/>
  <c r="H32" i="50"/>
  <c r="P38" i="53"/>
  <c r="S38" i="53" s="1"/>
  <c r="O38" i="53"/>
  <c r="G20" i="51"/>
  <c r="H20" i="51"/>
  <c r="P310" i="4"/>
  <c r="O20" i="46"/>
  <c r="P20" i="46"/>
  <c r="S20" i="46" s="1"/>
  <c r="O17" i="46"/>
  <c r="P17" i="46"/>
  <c r="S17" i="46" s="1"/>
  <c r="O28" i="46"/>
  <c r="P28" i="46"/>
  <c r="S28" i="46" s="1"/>
  <c r="P30" i="46"/>
  <c r="S30" i="46" s="1"/>
  <c r="O30" i="46"/>
  <c r="O38" i="46"/>
  <c r="P38" i="46"/>
  <c r="S38" i="46" s="1"/>
  <c r="O26" i="46"/>
  <c r="P26" i="46"/>
  <c r="S26" i="46" s="1"/>
  <c r="O27" i="46"/>
  <c r="P27" i="46"/>
  <c r="S27" i="46" s="1"/>
  <c r="O29" i="46"/>
  <c r="P29" i="46"/>
  <c r="S29" i="46" s="1"/>
  <c r="O35" i="46"/>
  <c r="P35" i="46"/>
  <c r="S35" i="46" s="1"/>
  <c r="H22" i="46"/>
  <c r="G22" i="46"/>
  <c r="P19" i="46"/>
  <c r="S19" i="46" s="1"/>
  <c r="O14" i="46"/>
  <c r="P14" i="46"/>
  <c r="S14" i="46" s="1"/>
  <c r="H12" i="46"/>
  <c r="G12" i="46"/>
  <c r="O37" i="46"/>
  <c r="P37" i="46"/>
  <c r="S37" i="46" s="1"/>
  <c r="G34" i="46"/>
  <c r="H34" i="46"/>
  <c r="H16" i="46"/>
  <c r="G16" i="46"/>
  <c r="O18" i="46"/>
  <c r="P18" i="46"/>
  <c r="S18" i="46" s="1"/>
  <c r="O36" i="46"/>
  <c r="P36" i="46"/>
  <c r="S36" i="46" s="1"/>
  <c r="H13" i="46"/>
  <c r="G13" i="46"/>
  <c r="H31" i="46"/>
  <c r="G31" i="46"/>
  <c r="O21" i="46"/>
  <c r="P21" i="46"/>
  <c r="S21" i="46" s="1"/>
  <c r="G25" i="46"/>
  <c r="H25" i="46"/>
  <c r="H11" i="46"/>
  <c r="G11" i="46"/>
  <c r="H32" i="46"/>
  <c r="G32" i="46"/>
  <c r="P15" i="46"/>
  <c r="S15" i="46" s="1"/>
  <c r="O15" i="46"/>
  <c r="H33" i="46"/>
  <c r="G33" i="46"/>
  <c r="H23" i="46"/>
  <c r="G23" i="46"/>
  <c r="O24" i="46"/>
  <c r="P24" i="46"/>
  <c r="S24" i="46" s="1"/>
  <c r="T36" i="43"/>
  <c r="P311" i="4"/>
  <c r="P554" i="4"/>
  <c r="L23" i="43"/>
  <c r="K23" i="43"/>
  <c r="S407" i="4"/>
  <c r="S311" i="4"/>
  <c r="P480" i="4"/>
  <c r="J555" i="4"/>
  <c r="M635" i="4"/>
  <c r="M634" i="4"/>
  <c r="M311" i="4"/>
  <c r="M554" i="4"/>
  <c r="S635" i="4"/>
  <c r="J635" i="4"/>
  <c r="M704" i="4"/>
  <c r="S705" i="4"/>
  <c r="M705" i="4"/>
  <c r="S704" i="4"/>
  <c r="M481" i="4"/>
  <c r="J311" i="4"/>
  <c r="P705" i="4"/>
  <c r="J408" i="4"/>
  <c r="J481" i="4"/>
  <c r="J634" i="4"/>
  <c r="S480" i="4"/>
  <c r="M407" i="4"/>
  <c r="S554" i="4"/>
  <c r="P481" i="4"/>
  <c r="J407" i="4"/>
  <c r="J310" i="4"/>
  <c r="J480" i="4"/>
  <c r="P407" i="4"/>
  <c r="S310" i="4"/>
  <c r="M480" i="4"/>
  <c r="P408" i="4"/>
  <c r="M408" i="4"/>
  <c r="P635" i="4"/>
  <c r="S634" i="4"/>
  <c r="P634" i="4"/>
  <c r="J554" i="4"/>
  <c r="P555" i="4"/>
  <c r="S555" i="4"/>
  <c r="M555" i="4"/>
  <c r="S408" i="4"/>
  <c r="S481" i="4"/>
  <c r="P29" i="45"/>
  <c r="S29" i="45" s="1"/>
  <c r="O29" i="45"/>
  <c r="H32" i="45"/>
  <c r="G32" i="45"/>
  <c r="P31" i="45"/>
  <c r="S31" i="45" s="1"/>
  <c r="O31" i="45"/>
  <c r="H30" i="45"/>
  <c r="G30" i="45"/>
  <c r="P36" i="45"/>
  <c r="S36" i="45" s="1"/>
  <c r="O36" i="45"/>
  <c r="P35" i="45"/>
  <c r="S35" i="45" s="1"/>
  <c r="O35" i="45"/>
  <c r="H34" i="45"/>
  <c r="G34" i="45"/>
  <c r="H33" i="45"/>
  <c r="G33" i="45"/>
  <c r="P28" i="45"/>
  <c r="S28" i="45" s="1"/>
  <c r="O28" i="45"/>
  <c r="L39" i="39"/>
  <c r="I39" i="39"/>
  <c r="F39" i="39"/>
  <c r="T538" i="4"/>
  <c r="V538" i="4" s="1"/>
  <c r="T391" i="4"/>
  <c r="V391" i="4" s="1"/>
  <c r="T626" i="4"/>
  <c r="V626" i="4" s="1"/>
  <c r="T533" i="4"/>
  <c r="V533" i="4" s="1"/>
  <c r="T464" i="4"/>
  <c r="V464" i="4" s="1"/>
  <c r="T629" i="4"/>
  <c r="V629" i="4" s="1"/>
  <c r="T549" i="4"/>
  <c r="V549" i="4" s="1"/>
  <c r="T475" i="4"/>
  <c r="V475" i="4" s="1"/>
  <c r="T546" i="4"/>
  <c r="V546" i="4" s="1"/>
  <c r="T302" i="4"/>
  <c r="V302" i="4" s="1"/>
  <c r="T290" i="4"/>
  <c r="V290" i="4" s="1"/>
  <c r="T617" i="4"/>
  <c r="V617" i="4" s="1"/>
  <c r="T534" i="4"/>
  <c r="V534" i="4" s="1"/>
  <c r="T618" i="4"/>
  <c r="V618" i="4" s="1"/>
  <c r="T696" i="4"/>
  <c r="V696" i="4" s="1"/>
  <c r="T460" i="4"/>
  <c r="V460" i="4" s="1"/>
  <c r="T687" i="4"/>
  <c r="V687" i="4" s="1"/>
  <c r="T293" i="4"/>
  <c r="V293" i="4" s="1"/>
  <c r="T387" i="4"/>
  <c r="V387" i="4" s="1"/>
  <c r="T225" i="4"/>
  <c r="V225" i="4" s="1"/>
  <c r="T472" i="4"/>
  <c r="V472" i="4" s="1"/>
  <c r="T684" i="4"/>
  <c r="V684" i="4" s="1"/>
  <c r="T468" i="4"/>
  <c r="V468" i="4" s="1"/>
  <c r="T390" i="4"/>
  <c r="V390" i="4" s="1"/>
  <c r="T224" i="4"/>
  <c r="V224" i="4" s="1"/>
  <c r="T378" i="4"/>
  <c r="V378" i="4" s="1"/>
  <c r="T463" i="4"/>
  <c r="V463" i="4" s="1"/>
  <c r="T545" i="4"/>
  <c r="V545" i="4" s="1"/>
  <c r="T624" i="4"/>
  <c r="V624" i="4" s="1"/>
  <c r="T388" i="4"/>
  <c r="V388" i="4" s="1"/>
  <c r="T535" i="4"/>
  <c r="V535" i="4" s="1"/>
  <c r="T461" i="4"/>
  <c r="V461" i="4" s="1"/>
  <c r="T221" i="4"/>
  <c r="V221" i="4" s="1"/>
  <c r="T692" i="4"/>
  <c r="V692" i="4" s="1"/>
  <c r="T686" i="4"/>
  <c r="V686" i="4" s="1"/>
  <c r="T605" i="4"/>
  <c r="V605" i="4" s="1"/>
  <c r="T451" i="4"/>
  <c r="V451" i="4" s="1"/>
  <c r="T544" i="4"/>
  <c r="V544" i="4" s="1"/>
  <c r="T284" i="4"/>
  <c r="V284" i="4" s="1"/>
  <c r="T291" i="4"/>
  <c r="V291" i="4" s="1"/>
  <c r="T683" i="4"/>
  <c r="V683" i="4" s="1"/>
  <c r="T301" i="4"/>
  <c r="V301" i="4" s="1"/>
  <c r="T223" i="4"/>
  <c r="V223" i="4" s="1"/>
  <c r="T542" i="4"/>
  <c r="V542" i="4" s="1"/>
  <c r="T281" i="4"/>
  <c r="V281" i="4" s="1"/>
  <c r="T300" i="4"/>
  <c r="V300" i="4" s="1"/>
  <c r="T622" i="4"/>
  <c r="V622" i="4" s="1"/>
  <c r="T398" i="4"/>
  <c r="V398" i="4" s="1"/>
  <c r="T395" i="4"/>
  <c r="V395" i="4" s="1"/>
  <c r="T525" i="4"/>
  <c r="V525" i="4" s="1"/>
  <c r="T397" i="4"/>
  <c r="V397" i="4" s="1"/>
  <c r="T470" i="4"/>
  <c r="V470" i="4" s="1"/>
  <c r="T625" i="4"/>
  <c r="V625" i="4" s="1"/>
  <c r="T607" i="4"/>
  <c r="V607" i="4" s="1"/>
  <c r="T695" i="4"/>
  <c r="V695" i="4" s="1"/>
  <c r="T279" i="4"/>
  <c r="V279" i="4" s="1"/>
  <c r="T611" i="4"/>
  <c r="V611" i="4" s="1"/>
  <c r="T531" i="4"/>
  <c r="V531" i="4" s="1"/>
  <c r="T280" i="4"/>
  <c r="V280" i="4" s="1"/>
  <c r="T608" i="4"/>
  <c r="V608" i="4" s="1"/>
  <c r="T604" i="4"/>
  <c r="V604" i="4" s="1"/>
  <c r="T612" i="4"/>
  <c r="V612" i="4" s="1"/>
  <c r="T532" i="4"/>
  <c r="V532" i="4" s="1"/>
  <c r="T457" i="4"/>
  <c r="V457" i="4" s="1"/>
  <c r="T453" i="4"/>
  <c r="V453" i="4" s="1"/>
  <c r="T619" i="4"/>
  <c r="V619" i="4" s="1"/>
  <c r="T685" i="4"/>
  <c r="V685" i="4" s="1"/>
  <c r="T690" i="4"/>
  <c r="V690" i="4" s="1"/>
  <c r="T623" i="4"/>
  <c r="V623" i="4" s="1"/>
  <c r="T616" i="4"/>
  <c r="V616" i="4" s="1"/>
  <c r="T377" i="4"/>
  <c r="V377" i="4" s="1"/>
  <c r="T384" i="4"/>
  <c r="V384" i="4" s="1"/>
  <c r="T536" i="4"/>
  <c r="V536" i="4" s="1"/>
  <c r="T527" i="4"/>
  <c r="V527" i="4" s="1"/>
  <c r="T603" i="4"/>
  <c r="V603" i="4" s="1"/>
  <c r="T523" i="4"/>
  <c r="V523" i="4" s="1"/>
  <c r="T528" i="4"/>
  <c r="V528" i="4" s="1"/>
  <c r="T396" i="4"/>
  <c r="V396" i="4" s="1"/>
  <c r="T380" i="4"/>
  <c r="V380" i="4" s="1"/>
  <c r="T539" i="4"/>
  <c r="V539" i="4" s="1"/>
  <c r="T462" i="4"/>
  <c r="V462" i="4" s="1"/>
  <c r="T454" i="4"/>
  <c r="V454" i="4" s="1"/>
  <c r="T449" i="4"/>
  <c r="V449" i="4" s="1"/>
  <c r="T524" i="4"/>
  <c r="V524" i="4" s="1"/>
  <c r="T465" i="4"/>
  <c r="V465" i="4" s="1"/>
  <c r="T469" i="4"/>
  <c r="V469" i="4" s="1"/>
  <c r="T543" i="4"/>
  <c r="V543" i="4" s="1"/>
  <c r="T376" i="4"/>
  <c r="V376" i="4" s="1"/>
  <c r="T392" i="4"/>
  <c r="V392" i="4" s="1"/>
  <c r="T389" i="4"/>
  <c r="V389" i="4" s="1"/>
  <c r="T450" i="4"/>
  <c r="V450" i="4" s="1"/>
  <c r="T385" i="4"/>
  <c r="V385" i="4" s="1"/>
  <c r="T458" i="4"/>
  <c r="V458" i="4" s="1"/>
  <c r="T381" i="4"/>
  <c r="V381" i="4" s="1"/>
  <c r="T299" i="4"/>
  <c r="V299" i="4" s="1"/>
  <c r="T14" i="51" l="1"/>
  <c r="T26" i="53"/>
  <c r="T28" i="46"/>
  <c r="T17" i="50"/>
  <c r="T29" i="50"/>
  <c r="T14" i="50"/>
  <c r="T704" i="4"/>
  <c r="T11" i="53"/>
  <c r="T38" i="53"/>
  <c r="T18" i="51"/>
  <c r="T18" i="53"/>
  <c r="T28" i="50"/>
  <c r="T35" i="51"/>
  <c r="T22" i="52"/>
  <c r="T36" i="51"/>
  <c r="T38" i="50"/>
  <c r="T21" i="52"/>
  <c r="T35" i="52"/>
  <c r="T38" i="52"/>
  <c r="T28" i="51"/>
  <c r="T21" i="50"/>
  <c r="T34" i="47"/>
  <c r="T38" i="47"/>
  <c r="G39" i="53"/>
  <c r="T35" i="50"/>
  <c r="T13" i="53"/>
  <c r="T38" i="51"/>
  <c r="T14" i="52"/>
  <c r="T17" i="51"/>
  <c r="T37" i="53"/>
  <c r="P39" i="39"/>
  <c r="T32" i="53"/>
  <c r="T31" i="53"/>
  <c r="T29" i="47"/>
  <c r="T29" i="52"/>
  <c r="T18" i="47"/>
  <c r="T18" i="50"/>
  <c r="T18" i="52"/>
  <c r="T17" i="52"/>
  <c r="T17" i="47"/>
  <c r="T17" i="53"/>
  <c r="T27" i="53"/>
  <c r="T37" i="47"/>
  <c r="T35" i="47"/>
  <c r="T36" i="47"/>
  <c r="T28" i="47"/>
  <c r="T21" i="47"/>
  <c r="K27" i="51"/>
  <c r="L27" i="51"/>
  <c r="L12" i="47"/>
  <c r="K12" i="47"/>
  <c r="L20" i="47"/>
  <c r="K20" i="47"/>
  <c r="D43" i="53"/>
  <c r="L24" i="47"/>
  <c r="K24" i="47"/>
  <c r="K33" i="51"/>
  <c r="L33" i="51"/>
  <c r="K24" i="52"/>
  <c r="L24" i="52"/>
  <c r="L19" i="47"/>
  <c r="K19" i="47"/>
  <c r="K16" i="52"/>
  <c r="L16" i="52"/>
  <c r="K30" i="53"/>
  <c r="L30" i="53"/>
  <c r="T30" i="46"/>
  <c r="L16" i="47"/>
  <c r="K16" i="47"/>
  <c r="L21" i="53"/>
  <c r="K21" i="53"/>
  <c r="P24" i="50"/>
  <c r="S24" i="50" s="1"/>
  <c r="O24" i="50"/>
  <c r="K34" i="53"/>
  <c r="L34" i="53"/>
  <c r="K34" i="50"/>
  <c r="L34" i="50"/>
  <c r="T25" i="51"/>
  <c r="T14" i="53"/>
  <c r="T36" i="53"/>
  <c r="T12" i="53"/>
  <c r="K20" i="52"/>
  <c r="L20" i="52"/>
  <c r="K20" i="51"/>
  <c r="L20" i="51"/>
  <c r="K27" i="47"/>
  <c r="L27" i="47"/>
  <c r="L30" i="51"/>
  <c r="K30" i="51"/>
  <c r="P31" i="47"/>
  <c r="S31" i="47" s="1"/>
  <c r="O31" i="47"/>
  <c r="D43" i="51"/>
  <c r="G39" i="51"/>
  <c r="O23" i="52"/>
  <c r="P23" i="52"/>
  <c r="S23" i="52" s="1"/>
  <c r="K15" i="51"/>
  <c r="L15" i="51"/>
  <c r="K11" i="47"/>
  <c r="L11" i="47"/>
  <c r="L30" i="50"/>
  <c r="K30" i="50"/>
  <c r="K23" i="53"/>
  <c r="L23" i="53"/>
  <c r="K19" i="52"/>
  <c r="L19" i="52"/>
  <c r="L32" i="52"/>
  <c r="K32" i="52"/>
  <c r="L33" i="52"/>
  <c r="K33" i="52"/>
  <c r="K13" i="51"/>
  <c r="L13" i="51"/>
  <c r="L34" i="51"/>
  <c r="K34" i="51"/>
  <c r="L34" i="52"/>
  <c r="K34" i="52"/>
  <c r="K21" i="51"/>
  <c r="L21" i="51"/>
  <c r="K26" i="52"/>
  <c r="L26" i="52"/>
  <c r="L15" i="47"/>
  <c r="K15" i="47"/>
  <c r="L13" i="47"/>
  <c r="K13" i="47"/>
  <c r="D43" i="50"/>
  <c r="G39" i="50"/>
  <c r="L28" i="53"/>
  <c r="K28" i="53"/>
  <c r="K11" i="50"/>
  <c r="L11" i="50"/>
  <c r="L30" i="47"/>
  <c r="K30" i="47"/>
  <c r="L11" i="51"/>
  <c r="K11" i="51"/>
  <c r="L15" i="50"/>
  <c r="K15" i="50"/>
  <c r="L22" i="47"/>
  <c r="K22" i="47"/>
  <c r="T33" i="50"/>
  <c r="T15" i="53"/>
  <c r="K19" i="50"/>
  <c r="L19" i="50"/>
  <c r="L31" i="50"/>
  <c r="K31" i="50"/>
  <c r="L26" i="47"/>
  <c r="K26" i="47"/>
  <c r="K31" i="51"/>
  <c r="L31" i="51"/>
  <c r="L20" i="50"/>
  <c r="K20" i="50"/>
  <c r="K22" i="53"/>
  <c r="L22" i="53"/>
  <c r="T14" i="47"/>
  <c r="L30" i="52"/>
  <c r="K30" i="52"/>
  <c r="T19" i="53"/>
  <c r="K12" i="50"/>
  <c r="L12" i="50"/>
  <c r="T36" i="52"/>
  <c r="K31" i="52"/>
  <c r="L31" i="52"/>
  <c r="T36" i="50"/>
  <c r="K32" i="51"/>
  <c r="L32" i="51"/>
  <c r="K23" i="51"/>
  <c r="L23" i="51"/>
  <c r="K25" i="50"/>
  <c r="L25" i="50"/>
  <c r="K13" i="50"/>
  <c r="L13" i="50"/>
  <c r="T35" i="53"/>
  <c r="K33" i="53"/>
  <c r="L33" i="53"/>
  <c r="K11" i="52"/>
  <c r="L11" i="52"/>
  <c r="T29" i="53"/>
  <c r="K37" i="52"/>
  <c r="L37" i="52"/>
  <c r="K25" i="47"/>
  <c r="L25" i="47"/>
  <c r="L16" i="51"/>
  <c r="K16" i="51"/>
  <c r="L27" i="52"/>
  <c r="K27" i="52"/>
  <c r="K12" i="51"/>
  <c r="L12" i="51"/>
  <c r="L24" i="51"/>
  <c r="K24" i="51"/>
  <c r="L19" i="51"/>
  <c r="K19" i="51"/>
  <c r="K25" i="53"/>
  <c r="L25" i="53"/>
  <c r="D43" i="52"/>
  <c r="G39" i="52"/>
  <c r="K22" i="50"/>
  <c r="L22" i="50"/>
  <c r="K15" i="52"/>
  <c r="L15" i="52"/>
  <c r="L32" i="50"/>
  <c r="K32" i="50"/>
  <c r="K37" i="50"/>
  <c r="L37" i="50"/>
  <c r="L32" i="47"/>
  <c r="K32" i="47"/>
  <c r="K22" i="51"/>
  <c r="L22" i="51"/>
  <c r="K26" i="51"/>
  <c r="L26" i="51"/>
  <c r="K25" i="52"/>
  <c r="L25" i="52"/>
  <c r="T15" i="46"/>
  <c r="K33" i="47"/>
  <c r="L33" i="47"/>
  <c r="K24" i="53"/>
  <c r="L24" i="53"/>
  <c r="L26" i="50"/>
  <c r="K26" i="50"/>
  <c r="K27" i="50"/>
  <c r="L27" i="50"/>
  <c r="L13" i="52"/>
  <c r="K13" i="52"/>
  <c r="K12" i="52"/>
  <c r="L12" i="52"/>
  <c r="K23" i="50"/>
  <c r="L23" i="50"/>
  <c r="K37" i="51"/>
  <c r="L37" i="51"/>
  <c r="L23" i="47"/>
  <c r="K23" i="47"/>
  <c r="T16" i="53"/>
  <c r="T20" i="53"/>
  <c r="K16" i="50"/>
  <c r="L16" i="50"/>
  <c r="T29" i="51"/>
  <c r="T28" i="52"/>
  <c r="T24" i="46"/>
  <c r="T14" i="46"/>
  <c r="T29" i="46"/>
  <c r="T27" i="46"/>
  <c r="T18" i="46"/>
  <c r="T36" i="46"/>
  <c r="T37" i="46"/>
  <c r="T26" i="46"/>
  <c r="T17" i="46"/>
  <c r="T35" i="46"/>
  <c r="T38" i="46"/>
  <c r="L25" i="46"/>
  <c r="K25" i="46"/>
  <c r="L33" i="46"/>
  <c r="K33" i="46"/>
  <c r="T21" i="46"/>
  <c r="L12" i="46"/>
  <c r="K12" i="46"/>
  <c r="T20" i="46"/>
  <c r="L22" i="46"/>
  <c r="K22" i="46"/>
  <c r="L32" i="46"/>
  <c r="K32" i="46"/>
  <c r="K31" i="46"/>
  <c r="L31" i="46"/>
  <c r="K16" i="46"/>
  <c r="L16" i="46"/>
  <c r="L34" i="46"/>
  <c r="K34" i="46"/>
  <c r="K23" i="46"/>
  <c r="L23" i="46"/>
  <c r="K11" i="46"/>
  <c r="L11" i="46"/>
  <c r="K13" i="46"/>
  <c r="L13" i="46"/>
  <c r="T19" i="46"/>
  <c r="P23" i="43"/>
  <c r="S23" i="43" s="1"/>
  <c r="O23" i="43"/>
  <c r="T35" i="45"/>
  <c r="T28" i="45"/>
  <c r="T36" i="45"/>
  <c r="T29" i="45"/>
  <c r="T31" i="45"/>
  <c r="L34" i="45"/>
  <c r="K34" i="45"/>
  <c r="L33" i="45"/>
  <c r="K33" i="45"/>
  <c r="L30" i="45"/>
  <c r="K30" i="45"/>
  <c r="L32" i="45"/>
  <c r="K32" i="45"/>
  <c r="I202" i="4"/>
  <c r="E11" i="45" s="1"/>
  <c r="L202" i="4"/>
  <c r="I11" i="45" s="1"/>
  <c r="O202" i="4"/>
  <c r="M11" i="45" s="1"/>
  <c r="R202" i="4"/>
  <c r="Q11" i="45" s="1"/>
  <c r="I203" i="4"/>
  <c r="E12" i="45" s="1"/>
  <c r="L203" i="4"/>
  <c r="I12" i="45" s="1"/>
  <c r="O203" i="4"/>
  <c r="M12" i="45" s="1"/>
  <c r="R203" i="4"/>
  <c r="Q12" i="45" s="1"/>
  <c r="I204" i="4"/>
  <c r="E13" i="45" s="1"/>
  <c r="L204" i="4"/>
  <c r="I13" i="45" s="1"/>
  <c r="O204" i="4"/>
  <c r="M13" i="45" s="1"/>
  <c r="R204" i="4"/>
  <c r="Q13" i="45" s="1"/>
  <c r="I205" i="4"/>
  <c r="E14" i="45" s="1"/>
  <c r="L205" i="4"/>
  <c r="I14" i="45" s="1"/>
  <c r="O205" i="4"/>
  <c r="M14" i="45" s="1"/>
  <c r="R205" i="4"/>
  <c r="Q14" i="45" s="1"/>
  <c r="I206" i="4"/>
  <c r="E15" i="45" s="1"/>
  <c r="L206" i="4"/>
  <c r="I15" i="45" s="1"/>
  <c r="O206" i="4"/>
  <c r="M15" i="45" s="1"/>
  <c r="R206" i="4"/>
  <c r="Q15" i="45" s="1"/>
  <c r="I207" i="4"/>
  <c r="E16" i="45" s="1"/>
  <c r="L207" i="4"/>
  <c r="I16" i="45" s="1"/>
  <c r="O207" i="4"/>
  <c r="M16" i="45" s="1"/>
  <c r="R207" i="4"/>
  <c r="Q16" i="45" s="1"/>
  <c r="I208" i="4"/>
  <c r="E17" i="45" s="1"/>
  <c r="L208" i="4"/>
  <c r="I17" i="45" s="1"/>
  <c r="O208" i="4"/>
  <c r="M17" i="45" s="1"/>
  <c r="R208" i="4"/>
  <c r="Q17" i="45" s="1"/>
  <c r="I209" i="4"/>
  <c r="E18" i="45" s="1"/>
  <c r="L209" i="4"/>
  <c r="I18" i="45" s="1"/>
  <c r="O209" i="4"/>
  <c r="M18" i="45" s="1"/>
  <c r="R209" i="4"/>
  <c r="Q18" i="45" s="1"/>
  <c r="I210" i="4"/>
  <c r="E19" i="45" s="1"/>
  <c r="L210" i="4"/>
  <c r="I19" i="45" s="1"/>
  <c r="O210" i="4"/>
  <c r="M19" i="45" s="1"/>
  <c r="R210" i="4"/>
  <c r="Q19" i="45" s="1"/>
  <c r="I211" i="4"/>
  <c r="E20" i="45" s="1"/>
  <c r="L211" i="4"/>
  <c r="I20" i="45" s="1"/>
  <c r="O211" i="4"/>
  <c r="M20" i="45" s="1"/>
  <c r="R211" i="4"/>
  <c r="Q20" i="45" s="1"/>
  <c r="I212" i="4"/>
  <c r="E21" i="45" s="1"/>
  <c r="L212" i="4"/>
  <c r="I21" i="45" s="1"/>
  <c r="O212" i="4"/>
  <c r="M21" i="45" s="1"/>
  <c r="R212" i="4"/>
  <c r="Q21" i="45" s="1"/>
  <c r="I213" i="4"/>
  <c r="E22" i="45" s="1"/>
  <c r="L213" i="4"/>
  <c r="I22" i="45" s="1"/>
  <c r="O213" i="4"/>
  <c r="M22" i="45" s="1"/>
  <c r="R213" i="4"/>
  <c r="Q22" i="45" s="1"/>
  <c r="I214" i="4"/>
  <c r="E23" i="45" s="1"/>
  <c r="L214" i="4"/>
  <c r="I23" i="45" s="1"/>
  <c r="O214" i="4"/>
  <c r="M23" i="45" s="1"/>
  <c r="R214" i="4"/>
  <c r="Q23" i="45" s="1"/>
  <c r="I215" i="4"/>
  <c r="E24" i="45" s="1"/>
  <c r="L215" i="4"/>
  <c r="I24" i="45" s="1"/>
  <c r="O215" i="4"/>
  <c r="M24" i="45" s="1"/>
  <c r="R215" i="4"/>
  <c r="Q24" i="45" s="1"/>
  <c r="I216" i="4"/>
  <c r="E25" i="45" s="1"/>
  <c r="L216" i="4"/>
  <c r="I25" i="45" s="1"/>
  <c r="O216" i="4"/>
  <c r="M25" i="45" s="1"/>
  <c r="R216" i="4"/>
  <c r="Q25" i="45" s="1"/>
  <c r="I217" i="4"/>
  <c r="E26" i="45" s="1"/>
  <c r="L217" i="4"/>
  <c r="I26" i="45" s="1"/>
  <c r="O217" i="4"/>
  <c r="M26" i="45" s="1"/>
  <c r="R217" i="4"/>
  <c r="Q26" i="45" s="1"/>
  <c r="I218" i="4"/>
  <c r="E27" i="45" s="1"/>
  <c r="L218" i="4"/>
  <c r="I27" i="45" s="1"/>
  <c r="O218" i="4"/>
  <c r="M27" i="45" s="1"/>
  <c r="R218" i="4"/>
  <c r="Q27" i="45" s="1"/>
  <c r="D202" i="4"/>
  <c r="A11" i="45" s="1"/>
  <c r="D203" i="4"/>
  <c r="A12" i="45" s="1"/>
  <c r="D204" i="4"/>
  <c r="A13" i="45" s="1"/>
  <c r="D205" i="4"/>
  <c r="A14" i="45" s="1"/>
  <c r="D206" i="4"/>
  <c r="A15" i="45" s="1"/>
  <c r="D207" i="4"/>
  <c r="A16" i="45" s="1"/>
  <c r="D208" i="4"/>
  <c r="A17" i="45" s="1"/>
  <c r="D209" i="4"/>
  <c r="A18" i="45" s="1"/>
  <c r="D210" i="4"/>
  <c r="A19" i="45" s="1"/>
  <c r="D211" i="4"/>
  <c r="A20" i="45" s="1"/>
  <c r="D212" i="4"/>
  <c r="A21" i="45" s="1"/>
  <c r="D213" i="4"/>
  <c r="A22" i="45" s="1"/>
  <c r="D214" i="4"/>
  <c r="A23" i="45" s="1"/>
  <c r="D215" i="4"/>
  <c r="A24" i="45" s="1"/>
  <c r="D216" i="4"/>
  <c r="A25" i="45" s="1"/>
  <c r="D217" i="4"/>
  <c r="A26" i="45" s="1"/>
  <c r="D218" i="4"/>
  <c r="A27" i="45" s="1"/>
  <c r="D219" i="4"/>
  <c r="A28" i="45" s="1"/>
  <c r="I148" i="4"/>
  <c r="E12" i="44" s="1"/>
  <c r="L148" i="4"/>
  <c r="I12" i="44" s="1"/>
  <c r="O148" i="4"/>
  <c r="M12" i="44" s="1"/>
  <c r="R148" i="4"/>
  <c r="Q12" i="44" s="1"/>
  <c r="I149" i="4"/>
  <c r="E13" i="44" s="1"/>
  <c r="L149" i="4"/>
  <c r="I13" i="44" s="1"/>
  <c r="O149" i="4"/>
  <c r="M13" i="44" s="1"/>
  <c r="R149" i="4"/>
  <c r="Q13" i="44" s="1"/>
  <c r="I150" i="4"/>
  <c r="E14" i="44" s="1"/>
  <c r="L150" i="4"/>
  <c r="I14" i="44" s="1"/>
  <c r="O150" i="4"/>
  <c r="M14" i="44" s="1"/>
  <c r="R150" i="4"/>
  <c r="Q14" i="44" s="1"/>
  <c r="I151" i="4"/>
  <c r="E15" i="44" s="1"/>
  <c r="L151" i="4"/>
  <c r="I15" i="44" s="1"/>
  <c r="O151" i="4"/>
  <c r="M15" i="44" s="1"/>
  <c r="R151" i="4"/>
  <c r="Q15" i="44" s="1"/>
  <c r="I152" i="4"/>
  <c r="E16" i="44" s="1"/>
  <c r="L152" i="4"/>
  <c r="I16" i="44" s="1"/>
  <c r="O152" i="4"/>
  <c r="M16" i="44" s="1"/>
  <c r="R152" i="4"/>
  <c r="Q16" i="44" s="1"/>
  <c r="I153" i="4"/>
  <c r="E17" i="44" s="1"/>
  <c r="L153" i="4"/>
  <c r="I17" i="44" s="1"/>
  <c r="O153" i="4"/>
  <c r="M17" i="44" s="1"/>
  <c r="R153" i="4"/>
  <c r="Q17" i="44" s="1"/>
  <c r="I154" i="4"/>
  <c r="E18" i="44" s="1"/>
  <c r="L154" i="4"/>
  <c r="I18" i="44" s="1"/>
  <c r="O154" i="4"/>
  <c r="M18" i="44" s="1"/>
  <c r="R154" i="4"/>
  <c r="Q18" i="44" s="1"/>
  <c r="I155" i="4"/>
  <c r="E19" i="44" s="1"/>
  <c r="L155" i="4"/>
  <c r="I19" i="44" s="1"/>
  <c r="O155" i="4"/>
  <c r="M19" i="44" s="1"/>
  <c r="R155" i="4"/>
  <c r="Q19" i="44" s="1"/>
  <c r="I156" i="4"/>
  <c r="E20" i="44" s="1"/>
  <c r="L156" i="4"/>
  <c r="I20" i="44" s="1"/>
  <c r="O156" i="4"/>
  <c r="M20" i="44" s="1"/>
  <c r="R156" i="4"/>
  <c r="Q20" i="44" s="1"/>
  <c r="I157" i="4"/>
  <c r="E21" i="44" s="1"/>
  <c r="L157" i="4"/>
  <c r="I21" i="44" s="1"/>
  <c r="O157" i="4"/>
  <c r="M21" i="44" s="1"/>
  <c r="R157" i="4"/>
  <c r="Q21" i="44" s="1"/>
  <c r="I158" i="4"/>
  <c r="E22" i="44" s="1"/>
  <c r="L158" i="4"/>
  <c r="I22" i="44" s="1"/>
  <c r="O158" i="4"/>
  <c r="M22" i="44" s="1"/>
  <c r="R158" i="4"/>
  <c r="Q22" i="44" s="1"/>
  <c r="I159" i="4"/>
  <c r="E23" i="44" s="1"/>
  <c r="L159" i="4"/>
  <c r="I23" i="44" s="1"/>
  <c r="O159" i="4"/>
  <c r="M23" i="44" s="1"/>
  <c r="R159" i="4"/>
  <c r="Q23" i="44" s="1"/>
  <c r="I160" i="4"/>
  <c r="E24" i="44" s="1"/>
  <c r="L160" i="4"/>
  <c r="I24" i="44" s="1"/>
  <c r="O160" i="4"/>
  <c r="M24" i="44" s="1"/>
  <c r="R160" i="4"/>
  <c r="Q24" i="44" s="1"/>
  <c r="I161" i="4"/>
  <c r="E25" i="44" s="1"/>
  <c r="L161" i="4"/>
  <c r="I25" i="44" s="1"/>
  <c r="O161" i="4"/>
  <c r="M25" i="44" s="1"/>
  <c r="R161" i="4"/>
  <c r="Q25" i="44" s="1"/>
  <c r="I162" i="4"/>
  <c r="E26" i="44" s="1"/>
  <c r="L162" i="4"/>
  <c r="I26" i="44" s="1"/>
  <c r="O162" i="4"/>
  <c r="M26" i="44" s="1"/>
  <c r="R162" i="4"/>
  <c r="Q26" i="44" s="1"/>
  <c r="I163" i="4"/>
  <c r="E27" i="44" s="1"/>
  <c r="L163" i="4"/>
  <c r="I27" i="44" s="1"/>
  <c r="O163" i="4"/>
  <c r="M27" i="44" s="1"/>
  <c r="R163" i="4"/>
  <c r="Q27" i="44" s="1"/>
  <c r="I164" i="4"/>
  <c r="E28" i="44" s="1"/>
  <c r="L164" i="4"/>
  <c r="I28" i="44" s="1"/>
  <c r="O164" i="4"/>
  <c r="M28" i="44" s="1"/>
  <c r="R164" i="4"/>
  <c r="Q28" i="44" s="1"/>
  <c r="I165" i="4"/>
  <c r="E29" i="44" s="1"/>
  <c r="L165" i="4"/>
  <c r="I29" i="44" s="1"/>
  <c r="O165" i="4"/>
  <c r="M29" i="44" s="1"/>
  <c r="R165" i="4"/>
  <c r="Q29" i="44" s="1"/>
  <c r="I166" i="4"/>
  <c r="E30" i="44" s="1"/>
  <c r="L166" i="4"/>
  <c r="I30" i="44" s="1"/>
  <c r="O166" i="4"/>
  <c r="M30" i="44" s="1"/>
  <c r="R166" i="4"/>
  <c r="Q30" i="44" s="1"/>
  <c r="I167" i="4"/>
  <c r="E31" i="44" s="1"/>
  <c r="L167" i="4"/>
  <c r="I31" i="44" s="1"/>
  <c r="O167" i="4"/>
  <c r="M31" i="44" s="1"/>
  <c r="R167" i="4"/>
  <c r="Q31" i="44" s="1"/>
  <c r="I168" i="4"/>
  <c r="E32" i="44" s="1"/>
  <c r="L168" i="4"/>
  <c r="I32" i="44" s="1"/>
  <c r="O168" i="4"/>
  <c r="M32" i="44" s="1"/>
  <c r="R168" i="4"/>
  <c r="Q32" i="44" s="1"/>
  <c r="I169" i="4"/>
  <c r="E33" i="44" s="1"/>
  <c r="L169" i="4"/>
  <c r="I33" i="44" s="1"/>
  <c r="O169" i="4"/>
  <c r="M33" i="44" s="1"/>
  <c r="R169" i="4"/>
  <c r="Q33" i="44" s="1"/>
  <c r="I170" i="4"/>
  <c r="E34" i="44" s="1"/>
  <c r="L170" i="4"/>
  <c r="I34" i="44" s="1"/>
  <c r="O170" i="4"/>
  <c r="M34" i="44" s="1"/>
  <c r="R170" i="4"/>
  <c r="Q34" i="44" s="1"/>
  <c r="I171" i="4"/>
  <c r="E35" i="44" s="1"/>
  <c r="L171" i="4"/>
  <c r="I35" i="44" s="1"/>
  <c r="O171" i="4"/>
  <c r="M35" i="44" s="1"/>
  <c r="R171" i="4"/>
  <c r="Q35" i="44" s="1"/>
  <c r="I172" i="4"/>
  <c r="E36" i="44" s="1"/>
  <c r="L172" i="4"/>
  <c r="I36" i="44" s="1"/>
  <c r="O172" i="4"/>
  <c r="M36" i="44" s="1"/>
  <c r="R172" i="4"/>
  <c r="Q36" i="44" s="1"/>
  <c r="D160" i="4"/>
  <c r="A23" i="44" s="1"/>
  <c r="D161" i="4"/>
  <c r="A24" i="44" s="1"/>
  <c r="D162" i="4"/>
  <c r="A25" i="44" s="1"/>
  <c r="D163" i="4"/>
  <c r="A26" i="44" s="1"/>
  <c r="D164" i="4"/>
  <c r="A27" i="44" s="1"/>
  <c r="D165" i="4"/>
  <c r="A28" i="44" s="1"/>
  <c r="D166" i="4"/>
  <c r="A29" i="44" s="1"/>
  <c r="D167" i="4"/>
  <c r="A30" i="44" s="1"/>
  <c r="D168" i="4"/>
  <c r="A31" i="44" s="1"/>
  <c r="D169" i="4"/>
  <c r="A32" i="44" s="1"/>
  <c r="D170" i="4"/>
  <c r="A33" i="44" s="1"/>
  <c r="D171" i="4"/>
  <c r="A34" i="44" s="1"/>
  <c r="D172" i="4"/>
  <c r="A35" i="44" s="1"/>
  <c r="D156" i="4"/>
  <c r="A19" i="44" s="1"/>
  <c r="D157" i="4"/>
  <c r="A20" i="44" s="1"/>
  <c r="D158" i="4"/>
  <c r="A21" i="44" s="1"/>
  <c r="D159" i="4"/>
  <c r="A22" i="44" s="1"/>
  <c r="D148" i="4"/>
  <c r="A11" i="44" s="1"/>
  <c r="D149" i="4"/>
  <c r="A12" i="44" s="1"/>
  <c r="D150" i="4"/>
  <c r="A13" i="44" s="1"/>
  <c r="D151" i="4"/>
  <c r="A14" i="44" s="1"/>
  <c r="D152" i="4"/>
  <c r="A15" i="44" s="1"/>
  <c r="D153" i="4"/>
  <c r="A16" i="44" s="1"/>
  <c r="D154" i="4"/>
  <c r="A17" i="44" s="1"/>
  <c r="D155" i="4"/>
  <c r="A18" i="44" s="1"/>
  <c r="G202" i="4"/>
  <c r="D11" i="45" s="1"/>
  <c r="H11" i="45" s="1"/>
  <c r="L11" i="45" s="1"/>
  <c r="P11" i="45" s="1"/>
  <c r="G149" i="4"/>
  <c r="D13" i="44" s="1"/>
  <c r="H13" i="44" s="1"/>
  <c r="L13" i="44" s="1"/>
  <c r="G150" i="4"/>
  <c r="D14" i="44" s="1"/>
  <c r="H14" i="44" s="1"/>
  <c r="L14" i="44" s="1"/>
  <c r="G205" i="4"/>
  <c r="D14" i="45" s="1"/>
  <c r="G206" i="4"/>
  <c r="D15" i="45" s="1"/>
  <c r="G153" i="4"/>
  <c r="D17" i="44" s="1"/>
  <c r="H17" i="44" s="1"/>
  <c r="L17" i="44" s="1"/>
  <c r="G154" i="4"/>
  <c r="D18" i="44" s="1"/>
  <c r="G155" i="4"/>
  <c r="D19" i="44" s="1"/>
  <c r="G157" i="4"/>
  <c r="D21" i="44" s="1"/>
  <c r="G158" i="4"/>
  <c r="D22" i="44" s="1"/>
  <c r="G214" i="4"/>
  <c r="D23" i="45" s="1"/>
  <c r="G215" i="4"/>
  <c r="D24" i="45" s="1"/>
  <c r="G162" i="4"/>
  <c r="D26" i="44" s="1"/>
  <c r="G163" i="4"/>
  <c r="D27" i="44" s="1"/>
  <c r="G164" i="4"/>
  <c r="D28" i="44" s="1"/>
  <c r="G165" i="4"/>
  <c r="D29" i="44" s="1"/>
  <c r="G167" i="4"/>
  <c r="D31" i="44" s="1"/>
  <c r="G169" i="4"/>
  <c r="D33" i="44" s="1"/>
  <c r="G170" i="4"/>
  <c r="D34" i="44" s="1"/>
  <c r="H34" i="44" s="1"/>
  <c r="L34" i="44" s="1"/>
  <c r="G172" i="4"/>
  <c r="D36" i="44" s="1"/>
  <c r="H36" i="44" s="1"/>
  <c r="L36" i="44" s="1"/>
  <c r="D127" i="30"/>
  <c r="M136" i="30"/>
  <c r="M137" i="30"/>
  <c r="M138" i="30"/>
  <c r="M139" i="30"/>
  <c r="M140" i="30"/>
  <c r="M141" i="30"/>
  <c r="M142" i="30"/>
  <c r="M143" i="30"/>
  <c r="M144" i="30"/>
  <c r="M145" i="30"/>
  <c r="M146" i="30"/>
  <c r="M147" i="30"/>
  <c r="M148" i="30"/>
  <c r="M149" i="30"/>
  <c r="M150" i="30"/>
  <c r="M151" i="30"/>
  <c r="M152" i="30"/>
  <c r="M153" i="30"/>
  <c r="M154" i="30"/>
  <c r="M155" i="30"/>
  <c r="M156" i="30"/>
  <c r="B136" i="30"/>
  <c r="B137" i="30"/>
  <c r="B138" i="30"/>
  <c r="B139" i="30"/>
  <c r="B140" i="30"/>
  <c r="B141" i="30"/>
  <c r="B142" i="30"/>
  <c r="B143" i="30"/>
  <c r="B144" i="30"/>
  <c r="B145" i="30"/>
  <c r="B146" i="30"/>
  <c r="B147" i="30"/>
  <c r="B148" i="30"/>
  <c r="B149" i="30"/>
  <c r="B150" i="30"/>
  <c r="B151" i="30"/>
  <c r="B152" i="30"/>
  <c r="B153" i="30"/>
  <c r="B154" i="30"/>
  <c r="B155" i="30"/>
  <c r="B156" i="30"/>
  <c r="B157" i="30"/>
  <c r="M94" i="30"/>
  <c r="M95" i="30"/>
  <c r="M96" i="30"/>
  <c r="M97" i="30"/>
  <c r="M98" i="30"/>
  <c r="M99" i="30"/>
  <c r="M100" i="30"/>
  <c r="M101" i="30"/>
  <c r="M102" i="30"/>
  <c r="M103" i="30"/>
  <c r="M104" i="30"/>
  <c r="M105" i="30"/>
  <c r="M106" i="30"/>
  <c r="M107" i="30"/>
  <c r="M108" i="30"/>
  <c r="M109" i="30"/>
  <c r="M110" i="30"/>
  <c r="M111" i="30"/>
  <c r="M112" i="30"/>
  <c r="M113" i="30"/>
  <c r="M114" i="30"/>
  <c r="M115" i="30"/>
  <c r="M116" i="30"/>
  <c r="B94" i="30"/>
  <c r="B95" i="30"/>
  <c r="B96" i="30"/>
  <c r="B97" i="30"/>
  <c r="B98" i="30"/>
  <c r="B99" i="30"/>
  <c r="B100" i="30"/>
  <c r="B101" i="30"/>
  <c r="B102" i="30"/>
  <c r="B103" i="30"/>
  <c r="B104" i="30"/>
  <c r="B105" i="30"/>
  <c r="B106" i="30"/>
  <c r="B107" i="30"/>
  <c r="B108" i="30"/>
  <c r="B109" i="30"/>
  <c r="B110" i="30"/>
  <c r="B111" i="30"/>
  <c r="B112" i="30"/>
  <c r="B113" i="30"/>
  <c r="B114" i="30"/>
  <c r="B115" i="30"/>
  <c r="B116" i="30"/>
  <c r="B117" i="30"/>
  <c r="M54" i="30"/>
  <c r="M55" i="30"/>
  <c r="M56" i="30"/>
  <c r="M57" i="30"/>
  <c r="M58" i="30"/>
  <c r="M59" i="30"/>
  <c r="M60" i="30"/>
  <c r="M61" i="30"/>
  <c r="M62" i="30"/>
  <c r="M63" i="30"/>
  <c r="M64" i="30"/>
  <c r="M65" i="30"/>
  <c r="M66" i="30"/>
  <c r="M67" i="30"/>
  <c r="M68" i="30"/>
  <c r="M69" i="30"/>
  <c r="M70" i="30"/>
  <c r="M71" i="30"/>
  <c r="M72" i="30"/>
  <c r="M73" i="30"/>
  <c r="M74" i="30"/>
  <c r="M75" i="30"/>
  <c r="M76" i="30"/>
  <c r="M77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7" i="30"/>
  <c r="D47" i="30"/>
  <c r="D87" i="30" s="1"/>
  <c r="L7" i="30"/>
  <c r="L47" i="30" s="1"/>
  <c r="L87" i="30" s="1"/>
  <c r="K7" i="30"/>
  <c r="K47" i="30" s="1"/>
  <c r="K87" i="30" s="1"/>
  <c r="J7" i="30"/>
  <c r="J47" i="30" s="1"/>
  <c r="J87" i="30" s="1"/>
  <c r="I7" i="30"/>
  <c r="I47" i="30" s="1"/>
  <c r="I87" i="30" s="1"/>
  <c r="H7" i="30"/>
  <c r="H47" i="30" s="1"/>
  <c r="H87" i="30" s="1"/>
  <c r="G7" i="30"/>
  <c r="G47" i="30" s="1"/>
  <c r="G87" i="30" s="1"/>
  <c r="F7" i="30"/>
  <c r="F47" i="30" s="1"/>
  <c r="F87" i="30" s="1"/>
  <c r="E7" i="30"/>
  <c r="E47" i="30" s="1"/>
  <c r="E87" i="30" s="1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5" i="30"/>
  <c r="M36" i="30"/>
  <c r="M37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E69" i="4"/>
  <c r="C64" i="43" s="1"/>
  <c r="C64" i="42" s="1"/>
  <c r="E70" i="4"/>
  <c r="C74" i="43" s="1"/>
  <c r="C90" i="42" s="1"/>
  <c r="E72" i="4"/>
  <c r="C75" i="43" s="1"/>
  <c r="C91" i="42" s="1"/>
  <c r="E122" i="4"/>
  <c r="C116" i="43" s="1"/>
  <c r="C162" i="42" s="1"/>
  <c r="E126" i="4"/>
  <c r="T23" i="52" l="1"/>
  <c r="T24" i="50"/>
  <c r="D44" i="53"/>
  <c r="C99" i="42"/>
  <c r="T31" i="47"/>
  <c r="O12" i="51"/>
  <c r="P12" i="51"/>
  <c r="S12" i="51" s="1"/>
  <c r="O37" i="52"/>
  <c r="P37" i="52"/>
  <c r="S37" i="52" s="1"/>
  <c r="P20" i="50"/>
  <c r="S20" i="50" s="1"/>
  <c r="O20" i="50"/>
  <c r="O32" i="52"/>
  <c r="P32" i="52"/>
  <c r="S32" i="52" s="1"/>
  <c r="P15" i="52"/>
  <c r="S15" i="52" s="1"/>
  <c r="O15" i="52"/>
  <c r="O12" i="52"/>
  <c r="P12" i="52"/>
  <c r="S12" i="52" s="1"/>
  <c r="P25" i="52"/>
  <c r="S25" i="52" s="1"/>
  <c r="O25" i="52"/>
  <c r="P25" i="53"/>
  <c r="S25" i="53" s="1"/>
  <c r="O25" i="53"/>
  <c r="O25" i="47"/>
  <c r="P25" i="47"/>
  <c r="S25" i="47" s="1"/>
  <c r="O32" i="51"/>
  <c r="P32" i="51"/>
  <c r="S32" i="51" s="1"/>
  <c r="P31" i="51"/>
  <c r="S31" i="51" s="1"/>
  <c r="O31" i="51"/>
  <c r="O15" i="50"/>
  <c r="P15" i="50"/>
  <c r="S15" i="50" s="1"/>
  <c r="P28" i="53"/>
  <c r="S28" i="53" s="1"/>
  <c r="O28" i="53"/>
  <c r="P15" i="47"/>
  <c r="S15" i="47" s="1"/>
  <c r="O15" i="47"/>
  <c r="P34" i="51"/>
  <c r="S34" i="51" s="1"/>
  <c r="O34" i="51"/>
  <c r="O27" i="47"/>
  <c r="P27" i="47"/>
  <c r="S27" i="47" s="1"/>
  <c r="O30" i="53"/>
  <c r="P30" i="53"/>
  <c r="S30" i="53" s="1"/>
  <c r="O22" i="47"/>
  <c r="P22" i="47"/>
  <c r="S22" i="47" s="1"/>
  <c r="P34" i="52"/>
  <c r="S34" i="52" s="1"/>
  <c r="O34" i="52"/>
  <c r="O26" i="50"/>
  <c r="P26" i="50"/>
  <c r="S26" i="50" s="1"/>
  <c r="P32" i="47"/>
  <c r="S32" i="47" s="1"/>
  <c r="O32" i="47"/>
  <c r="O22" i="50"/>
  <c r="P22" i="50"/>
  <c r="S22" i="50" s="1"/>
  <c r="O13" i="50"/>
  <c r="P13" i="50"/>
  <c r="S13" i="50" s="1"/>
  <c r="O30" i="52"/>
  <c r="P30" i="52"/>
  <c r="S30" i="52" s="1"/>
  <c r="O19" i="50"/>
  <c r="P19" i="50"/>
  <c r="S19" i="50" s="1"/>
  <c r="H43" i="51"/>
  <c r="K39" i="51"/>
  <c r="P26" i="52"/>
  <c r="S26" i="52" s="1"/>
  <c r="O26" i="52"/>
  <c r="O19" i="52"/>
  <c r="P19" i="52"/>
  <c r="S19" i="52" s="1"/>
  <c r="P34" i="50"/>
  <c r="S34" i="50" s="1"/>
  <c r="O34" i="50"/>
  <c r="T34" i="50" s="1"/>
  <c r="P33" i="51"/>
  <c r="S33" i="51" s="1"/>
  <c r="O33" i="51"/>
  <c r="H43" i="50"/>
  <c r="K39" i="50"/>
  <c r="P15" i="51"/>
  <c r="S15" i="51" s="1"/>
  <c r="O15" i="51"/>
  <c r="O24" i="52"/>
  <c r="P24" i="52"/>
  <c r="S24" i="52" s="1"/>
  <c r="O23" i="47"/>
  <c r="P23" i="47"/>
  <c r="S23" i="47" s="1"/>
  <c r="O24" i="53"/>
  <c r="P24" i="53"/>
  <c r="S24" i="53" s="1"/>
  <c r="O26" i="51"/>
  <c r="P26" i="51"/>
  <c r="S26" i="51" s="1"/>
  <c r="P37" i="50"/>
  <c r="S37" i="50" s="1"/>
  <c r="O37" i="50"/>
  <c r="T37" i="50" s="1"/>
  <c r="P27" i="52"/>
  <c r="S27" i="52" s="1"/>
  <c r="O27" i="52"/>
  <c r="O11" i="51"/>
  <c r="P11" i="51"/>
  <c r="S11" i="51" s="1"/>
  <c r="D44" i="50"/>
  <c r="P13" i="51"/>
  <c r="S13" i="51" s="1"/>
  <c r="O13" i="51"/>
  <c r="O30" i="50"/>
  <c r="P30" i="50"/>
  <c r="S30" i="50" s="1"/>
  <c r="O20" i="51"/>
  <c r="P20" i="51"/>
  <c r="S20" i="51" s="1"/>
  <c r="K39" i="53"/>
  <c r="O16" i="52"/>
  <c r="P16" i="52"/>
  <c r="S16" i="52" s="1"/>
  <c r="P20" i="47"/>
  <c r="S20" i="47" s="1"/>
  <c r="O20" i="47"/>
  <c r="T20" i="47" s="1"/>
  <c r="O27" i="51"/>
  <c r="P27" i="51"/>
  <c r="S27" i="51" s="1"/>
  <c r="O31" i="50"/>
  <c r="P31" i="50"/>
  <c r="S31" i="50" s="1"/>
  <c r="O16" i="47"/>
  <c r="P16" i="47"/>
  <c r="S16" i="47" s="1"/>
  <c r="O16" i="50"/>
  <c r="P16" i="50"/>
  <c r="S16" i="50" s="1"/>
  <c r="O37" i="51"/>
  <c r="P37" i="51"/>
  <c r="S37" i="51" s="1"/>
  <c r="O13" i="52"/>
  <c r="P13" i="52"/>
  <c r="S13" i="52" s="1"/>
  <c r="H43" i="53"/>
  <c r="O19" i="51"/>
  <c r="P19" i="51"/>
  <c r="S19" i="51" s="1"/>
  <c r="O11" i="52"/>
  <c r="P11" i="52"/>
  <c r="S11" i="52" s="1"/>
  <c r="P25" i="50"/>
  <c r="S25" i="50" s="1"/>
  <c r="O25" i="50"/>
  <c r="P26" i="47"/>
  <c r="S26" i="47" s="1"/>
  <c r="O26" i="47"/>
  <c r="P21" i="51"/>
  <c r="S21" i="51" s="1"/>
  <c r="O21" i="51"/>
  <c r="O21" i="53"/>
  <c r="P21" i="53"/>
  <c r="S21" i="53" s="1"/>
  <c r="O24" i="51"/>
  <c r="P24" i="51"/>
  <c r="S24" i="51" s="1"/>
  <c r="O33" i="47"/>
  <c r="P33" i="47"/>
  <c r="S33" i="47" s="1"/>
  <c r="D44" i="52"/>
  <c r="O16" i="51"/>
  <c r="P16" i="51"/>
  <c r="S16" i="51" s="1"/>
  <c r="H43" i="52"/>
  <c r="K39" i="52"/>
  <c r="O22" i="53"/>
  <c r="P22" i="53"/>
  <c r="S22" i="53" s="1"/>
  <c r="P30" i="47"/>
  <c r="S30" i="47" s="1"/>
  <c r="O30" i="47"/>
  <c r="O23" i="53"/>
  <c r="P23" i="53"/>
  <c r="S23" i="53" s="1"/>
  <c r="T23" i="53" s="1"/>
  <c r="O11" i="47"/>
  <c r="P11" i="47"/>
  <c r="S11" i="47" s="1"/>
  <c r="O20" i="52"/>
  <c r="P20" i="52"/>
  <c r="S20" i="52" s="1"/>
  <c r="O34" i="53"/>
  <c r="P34" i="53"/>
  <c r="S34" i="53" s="1"/>
  <c r="P12" i="47"/>
  <c r="S12" i="47" s="1"/>
  <c r="O12" i="47"/>
  <c r="O13" i="47"/>
  <c r="P13" i="47"/>
  <c r="S13" i="47" s="1"/>
  <c r="T162" i="42"/>
  <c r="P23" i="50"/>
  <c r="S23" i="50" s="1"/>
  <c r="O23" i="50"/>
  <c r="O27" i="50"/>
  <c r="P27" i="50"/>
  <c r="S27" i="50" s="1"/>
  <c r="O22" i="51"/>
  <c r="P22" i="51"/>
  <c r="S22" i="51" s="1"/>
  <c r="O32" i="50"/>
  <c r="P32" i="50"/>
  <c r="S32" i="50" s="1"/>
  <c r="O33" i="53"/>
  <c r="P33" i="53"/>
  <c r="S33" i="53" s="1"/>
  <c r="O23" i="51"/>
  <c r="P23" i="51"/>
  <c r="S23" i="51" s="1"/>
  <c r="O31" i="52"/>
  <c r="P31" i="52"/>
  <c r="S31" i="52" s="1"/>
  <c r="O12" i="50"/>
  <c r="P12" i="50"/>
  <c r="S12" i="50" s="1"/>
  <c r="P11" i="50"/>
  <c r="S11" i="50" s="1"/>
  <c r="O11" i="50"/>
  <c r="O33" i="52"/>
  <c r="P33" i="52"/>
  <c r="S33" i="52" s="1"/>
  <c r="D44" i="51"/>
  <c r="O30" i="51"/>
  <c r="P30" i="51"/>
  <c r="S30" i="51" s="1"/>
  <c r="P19" i="47"/>
  <c r="S19" i="47" s="1"/>
  <c r="O19" i="47"/>
  <c r="O24" i="47"/>
  <c r="P24" i="47"/>
  <c r="S24" i="47" s="1"/>
  <c r="O16" i="46"/>
  <c r="P16" i="46"/>
  <c r="S16" i="46" s="1"/>
  <c r="O33" i="46"/>
  <c r="P33" i="46"/>
  <c r="S33" i="46" s="1"/>
  <c r="O22" i="46"/>
  <c r="P22" i="46"/>
  <c r="S22" i="46" s="1"/>
  <c r="P23" i="46"/>
  <c r="S23" i="46" s="1"/>
  <c r="O23" i="46"/>
  <c r="O31" i="46"/>
  <c r="P31" i="46"/>
  <c r="S31" i="46" s="1"/>
  <c r="O34" i="46"/>
  <c r="P34" i="46"/>
  <c r="S34" i="46" s="1"/>
  <c r="O11" i="46"/>
  <c r="P11" i="46"/>
  <c r="S11" i="46" s="1"/>
  <c r="O13" i="46"/>
  <c r="P13" i="46"/>
  <c r="S13" i="46" s="1"/>
  <c r="O32" i="46"/>
  <c r="P32" i="46"/>
  <c r="S32" i="46" s="1"/>
  <c r="P12" i="46"/>
  <c r="S12" i="46" s="1"/>
  <c r="O12" i="46"/>
  <c r="O25" i="46"/>
  <c r="P25" i="46"/>
  <c r="S25" i="46" s="1"/>
  <c r="T23" i="43"/>
  <c r="G126" i="4"/>
  <c r="D120" i="43" s="1"/>
  <c r="C120" i="43"/>
  <c r="C166" i="42" s="1"/>
  <c r="P33" i="45"/>
  <c r="S33" i="45" s="1"/>
  <c r="O33" i="45"/>
  <c r="H15" i="45"/>
  <c r="G15" i="45"/>
  <c r="P30" i="45"/>
  <c r="S30" i="45" s="1"/>
  <c r="O30" i="45"/>
  <c r="H24" i="45"/>
  <c r="G24" i="45"/>
  <c r="H14" i="45"/>
  <c r="G14" i="45"/>
  <c r="H23" i="45"/>
  <c r="G23" i="45"/>
  <c r="P32" i="45"/>
  <c r="S32" i="45" s="1"/>
  <c r="O32" i="45"/>
  <c r="P34" i="45"/>
  <c r="S34" i="45" s="1"/>
  <c r="O34" i="45"/>
  <c r="O34" i="44"/>
  <c r="P34" i="44"/>
  <c r="S34" i="44" s="1"/>
  <c r="G31" i="44"/>
  <c r="H31" i="44"/>
  <c r="H21" i="44"/>
  <c r="G21" i="44"/>
  <c r="H29" i="44"/>
  <c r="G29" i="44"/>
  <c r="H19" i="44"/>
  <c r="G19" i="44"/>
  <c r="H28" i="44"/>
  <c r="G28" i="44"/>
  <c r="H18" i="44"/>
  <c r="G18" i="44"/>
  <c r="O14" i="44"/>
  <c r="P14" i="44"/>
  <c r="S14" i="44" s="1"/>
  <c r="H33" i="44"/>
  <c r="G33" i="44"/>
  <c r="H22" i="44"/>
  <c r="G22" i="44"/>
  <c r="H27" i="44"/>
  <c r="G27" i="44"/>
  <c r="P17" i="44"/>
  <c r="S17" i="44" s="1"/>
  <c r="O17" i="44"/>
  <c r="O36" i="44"/>
  <c r="P36" i="44"/>
  <c r="S36" i="44" s="1"/>
  <c r="P13" i="44"/>
  <c r="S13" i="44" s="1"/>
  <c r="O13" i="44"/>
  <c r="H26" i="44"/>
  <c r="G26" i="44"/>
  <c r="F127" i="30"/>
  <c r="G127" i="30"/>
  <c r="E127" i="30"/>
  <c r="L127" i="30"/>
  <c r="K127" i="30"/>
  <c r="J127" i="30"/>
  <c r="I127" i="30"/>
  <c r="H127" i="30"/>
  <c r="P154" i="4"/>
  <c r="M163" i="4"/>
  <c r="P206" i="4"/>
  <c r="M215" i="4"/>
  <c r="J33" i="4"/>
  <c r="J23" i="4"/>
  <c r="J26" i="4"/>
  <c r="M149" i="4"/>
  <c r="G203" i="4"/>
  <c r="S30" i="4"/>
  <c r="S214" i="4"/>
  <c r="J157" i="4"/>
  <c r="S21" i="4"/>
  <c r="G218" i="4"/>
  <c r="S42" i="4"/>
  <c r="O40" i="39" s="1"/>
  <c r="S205" i="4"/>
  <c r="G212" i="4"/>
  <c r="M205" i="4"/>
  <c r="M202" i="4"/>
  <c r="S202" i="4"/>
  <c r="S22" i="4"/>
  <c r="G217" i="4"/>
  <c r="G209" i="4"/>
  <c r="P215" i="4"/>
  <c r="S24" i="4"/>
  <c r="G211" i="4"/>
  <c r="G208" i="4"/>
  <c r="M206" i="4"/>
  <c r="P205" i="4"/>
  <c r="J205" i="4"/>
  <c r="J202" i="4"/>
  <c r="J215" i="4"/>
  <c r="P214" i="4"/>
  <c r="G213" i="4"/>
  <c r="P202" i="4"/>
  <c r="S165" i="4"/>
  <c r="G216" i="4"/>
  <c r="G210" i="4"/>
  <c r="G207" i="4"/>
  <c r="J206" i="4"/>
  <c r="J214" i="4"/>
  <c r="S215" i="4"/>
  <c r="M214" i="4"/>
  <c r="S206" i="4"/>
  <c r="G204" i="4"/>
  <c r="G156" i="4"/>
  <c r="J149" i="4"/>
  <c r="J35" i="4"/>
  <c r="P29" i="4"/>
  <c r="J28" i="4"/>
  <c r="M38" i="4"/>
  <c r="J164" i="4"/>
  <c r="P153" i="4"/>
  <c r="J29" i="4"/>
  <c r="S27" i="4"/>
  <c r="P149" i="4"/>
  <c r="M153" i="4"/>
  <c r="S172" i="4"/>
  <c r="S158" i="4"/>
  <c r="J18" i="4"/>
  <c r="P167" i="4"/>
  <c r="J150" i="4"/>
  <c r="S155" i="4"/>
  <c r="P169" i="4"/>
  <c r="J167" i="4"/>
  <c r="M155" i="4"/>
  <c r="M150" i="4"/>
  <c r="M20" i="4"/>
  <c r="J15" i="4"/>
  <c r="M169" i="4"/>
  <c r="P165" i="4"/>
  <c r="G160" i="4"/>
  <c r="P157" i="4"/>
  <c r="J155" i="4"/>
  <c r="M154" i="4"/>
  <c r="S29" i="4"/>
  <c r="S19" i="4"/>
  <c r="S15" i="4"/>
  <c r="J170" i="4"/>
  <c r="J162" i="4"/>
  <c r="M157" i="4"/>
  <c r="G152" i="4"/>
  <c r="G171" i="4"/>
  <c r="P164" i="4"/>
  <c r="S163" i="4"/>
  <c r="S162" i="4"/>
  <c r="J158" i="4"/>
  <c r="G151" i="4"/>
  <c r="S17" i="4"/>
  <c r="P172" i="4"/>
  <c r="M170" i="4"/>
  <c r="J169" i="4"/>
  <c r="M164" i="4"/>
  <c r="P163" i="4"/>
  <c r="G159" i="4"/>
  <c r="S154" i="4"/>
  <c r="J154" i="4"/>
  <c r="S150" i="4"/>
  <c r="J172" i="4"/>
  <c r="S167" i="4"/>
  <c r="J16" i="4"/>
  <c r="S170" i="4"/>
  <c r="S169" i="4"/>
  <c r="M167" i="4"/>
  <c r="J165" i="4"/>
  <c r="G161" i="4"/>
  <c r="P155" i="4"/>
  <c r="J153" i="4"/>
  <c r="S164" i="4"/>
  <c r="P170" i="4"/>
  <c r="G166" i="4"/>
  <c r="P162" i="4"/>
  <c r="S157" i="4"/>
  <c r="J163" i="4"/>
  <c r="S35" i="4"/>
  <c r="J22" i="4"/>
  <c r="G168" i="4"/>
  <c r="M162" i="4"/>
  <c r="P158" i="4"/>
  <c r="S153" i="4"/>
  <c r="P150" i="4"/>
  <c r="S149" i="4"/>
  <c r="G148" i="4"/>
  <c r="M172" i="4"/>
  <c r="M165" i="4"/>
  <c r="M158" i="4"/>
  <c r="J42" i="4"/>
  <c r="F40" i="39" s="1"/>
  <c r="S37" i="4"/>
  <c r="M33" i="4"/>
  <c r="J32" i="4"/>
  <c r="S25" i="4"/>
  <c r="J21" i="4"/>
  <c r="P17" i="4"/>
  <c r="P15" i="4"/>
  <c r="S28" i="4"/>
  <c r="P25" i="4"/>
  <c r="S20" i="4"/>
  <c r="J30" i="4"/>
  <c r="P28" i="4"/>
  <c r="P27" i="4"/>
  <c r="M24" i="4"/>
  <c r="M28" i="4"/>
  <c r="M39" i="4"/>
  <c r="S38" i="4"/>
  <c r="M17" i="4"/>
  <c r="J31" i="4"/>
  <c r="S39" i="4"/>
  <c r="S26" i="4"/>
  <c r="P39" i="4"/>
  <c r="P26" i="4"/>
  <c r="S16" i="4"/>
  <c r="P42" i="4"/>
  <c r="L40" i="39" s="1"/>
  <c r="P35" i="4"/>
  <c r="S31" i="4"/>
  <c r="M26" i="4"/>
  <c r="P22" i="4"/>
  <c r="M18" i="4"/>
  <c r="M42" i="4"/>
  <c r="I40" i="39" s="1"/>
  <c r="S32" i="4"/>
  <c r="P24" i="4"/>
  <c r="M32" i="4"/>
  <c r="J39" i="4"/>
  <c r="P38" i="4"/>
  <c r="M35" i="4"/>
  <c r="J34" i="4"/>
  <c r="S33" i="4"/>
  <c r="P32" i="4"/>
  <c r="M31" i="4"/>
  <c r="M29" i="4"/>
  <c r="M27" i="4"/>
  <c r="S23" i="4"/>
  <c r="M22" i="4"/>
  <c r="P20" i="4"/>
  <c r="S18" i="4"/>
  <c r="P33" i="4"/>
  <c r="M25" i="4"/>
  <c r="P18" i="4"/>
  <c r="M15" i="4"/>
  <c r="P31" i="4"/>
  <c r="P37" i="4"/>
  <c r="P30" i="4"/>
  <c r="J27" i="4"/>
  <c r="P23" i="4"/>
  <c r="J20" i="4"/>
  <c r="P16" i="4"/>
  <c r="M37" i="4"/>
  <c r="M16" i="4"/>
  <c r="S34" i="4"/>
  <c r="M30" i="4"/>
  <c r="J38" i="4"/>
  <c r="P34" i="4"/>
  <c r="J24" i="4"/>
  <c r="P21" i="4"/>
  <c r="J17" i="4"/>
  <c r="J37" i="4"/>
  <c r="M34" i="4"/>
  <c r="M21" i="4"/>
  <c r="T733" i="4"/>
  <c r="V733" i="4" s="1"/>
  <c r="S716" i="4"/>
  <c r="P716" i="4"/>
  <c r="M716" i="4"/>
  <c r="T725" i="4"/>
  <c r="T724" i="4"/>
  <c r="V724" i="4" s="1"/>
  <c r="S645" i="4"/>
  <c r="S652" i="4" s="1"/>
  <c r="P645" i="4"/>
  <c r="P652" i="4" s="1"/>
  <c r="M645" i="4"/>
  <c r="M652" i="4" s="1"/>
  <c r="T663" i="4"/>
  <c r="V663" i="4" s="1"/>
  <c r="U631" i="4"/>
  <c r="S581" i="4"/>
  <c r="S580" i="4"/>
  <c r="S579" i="4"/>
  <c r="S576" i="4"/>
  <c r="P579" i="4"/>
  <c r="P576" i="4"/>
  <c r="S573" i="4"/>
  <c r="P573" i="4"/>
  <c r="M573" i="4"/>
  <c r="M576" i="4"/>
  <c r="J576" i="4"/>
  <c r="J573" i="4"/>
  <c r="T593" i="4"/>
  <c r="V593" i="4" s="1"/>
  <c r="T592" i="4"/>
  <c r="S496" i="4"/>
  <c r="P496" i="4"/>
  <c r="M496" i="4"/>
  <c r="J496" i="4"/>
  <c r="T509" i="4"/>
  <c r="T510" i="4"/>
  <c r="T511" i="4"/>
  <c r="V511" i="4" s="1"/>
  <c r="T508" i="4"/>
  <c r="T487" i="4"/>
  <c r="V439" i="4"/>
  <c r="V440" i="4" s="1"/>
  <c r="S424" i="4"/>
  <c r="T419" i="4"/>
  <c r="V419" i="4" s="1"/>
  <c r="T414" i="4"/>
  <c r="U404" i="4"/>
  <c r="T362" i="4"/>
  <c r="T361" i="4"/>
  <c r="T333" i="4"/>
  <c r="T337" i="4" s="1"/>
  <c r="T318" i="4"/>
  <c r="V318" i="4" s="1"/>
  <c r="T319" i="4"/>
  <c r="V319" i="4" s="1"/>
  <c r="T320" i="4"/>
  <c r="V320" i="4" s="1"/>
  <c r="T321" i="4"/>
  <c r="V321" i="4" s="1"/>
  <c r="T317" i="4"/>
  <c r="M424" i="4"/>
  <c r="P424" i="4"/>
  <c r="J424" i="4"/>
  <c r="S341" i="4"/>
  <c r="P341" i="4"/>
  <c r="M341" i="4"/>
  <c r="S249" i="4"/>
  <c r="P249" i="4"/>
  <c r="M249" i="4"/>
  <c r="J249" i="4"/>
  <c r="T266" i="4"/>
  <c r="V266" i="4" s="1"/>
  <c r="T265" i="4"/>
  <c r="T267" i="4"/>
  <c r="T192" i="4"/>
  <c r="V192" i="4" s="1"/>
  <c r="T191" i="4"/>
  <c r="V191" i="4" s="1"/>
  <c r="S186" i="4"/>
  <c r="P186" i="4"/>
  <c r="M186" i="4"/>
  <c r="J186" i="4"/>
  <c r="S136" i="4"/>
  <c r="S138" i="4"/>
  <c r="S139" i="4"/>
  <c r="S140" i="4"/>
  <c r="S134" i="4"/>
  <c r="P136" i="4"/>
  <c r="P138" i="4"/>
  <c r="P139" i="4"/>
  <c r="P140" i="4"/>
  <c r="P134" i="4"/>
  <c r="S132" i="4"/>
  <c r="P132" i="4"/>
  <c r="M139" i="4"/>
  <c r="M140" i="4"/>
  <c r="M138" i="4"/>
  <c r="M136" i="4"/>
  <c r="M134" i="4"/>
  <c r="J139" i="4"/>
  <c r="J140" i="4"/>
  <c r="J138" i="4"/>
  <c r="J134" i="4"/>
  <c r="S127" i="4"/>
  <c r="P127" i="4"/>
  <c r="M127" i="4"/>
  <c r="J127" i="4"/>
  <c r="S111" i="4"/>
  <c r="S112" i="4"/>
  <c r="S113" i="4"/>
  <c r="S114" i="4"/>
  <c r="S116" i="4"/>
  <c r="S110" i="4"/>
  <c r="P111" i="4"/>
  <c r="P112" i="4"/>
  <c r="P113" i="4"/>
  <c r="P114" i="4"/>
  <c r="P116" i="4"/>
  <c r="P110" i="4"/>
  <c r="M111" i="4"/>
  <c r="M113" i="4"/>
  <c r="M114" i="4"/>
  <c r="M116" i="4"/>
  <c r="J111" i="4"/>
  <c r="J113" i="4"/>
  <c r="J114" i="4"/>
  <c r="J116" i="4"/>
  <c r="S91" i="4"/>
  <c r="P90" i="43" s="1"/>
  <c r="M91" i="4"/>
  <c r="H90" i="43" s="1"/>
  <c r="H137" i="42" s="1"/>
  <c r="K137" i="42" s="1"/>
  <c r="S69" i="4"/>
  <c r="P69" i="4"/>
  <c r="M69" i="4"/>
  <c r="S74" i="4"/>
  <c r="S64" i="4"/>
  <c r="P64" i="4"/>
  <c r="M57" i="4"/>
  <c r="T28" i="53" l="1"/>
  <c r="T91" i="4"/>
  <c r="V91" i="4" s="1"/>
  <c r="T34" i="51"/>
  <c r="T25" i="52"/>
  <c r="T20" i="50"/>
  <c r="T111" i="4"/>
  <c r="V111" i="4" s="1"/>
  <c r="T139" i="4"/>
  <c r="V139" i="4" s="1"/>
  <c r="T716" i="4"/>
  <c r="V716" i="4" s="1"/>
  <c r="P43" i="53"/>
  <c r="T140" i="4"/>
  <c r="V140" i="4" s="1"/>
  <c r="T23" i="51"/>
  <c r="T21" i="51"/>
  <c r="T134" i="4"/>
  <c r="V134" i="4" s="1"/>
  <c r="T16" i="4"/>
  <c r="T24" i="4"/>
  <c r="T169" i="4"/>
  <c r="V169" i="4" s="1"/>
  <c r="T424" i="4"/>
  <c r="V424" i="4" s="1"/>
  <c r="J51" i="4"/>
  <c r="T32" i="47"/>
  <c r="T11" i="50"/>
  <c r="T26" i="47"/>
  <c r="T15" i="52"/>
  <c r="T13" i="52"/>
  <c r="T33" i="51"/>
  <c r="T13" i="51"/>
  <c r="T33" i="53"/>
  <c r="T11" i="52"/>
  <c r="T328" i="4"/>
  <c r="T26" i="50"/>
  <c r="T37" i="52"/>
  <c r="T19" i="47"/>
  <c r="T31" i="51"/>
  <c r="T23" i="46"/>
  <c r="T30" i="47"/>
  <c r="T22" i="50"/>
  <c r="T27" i="50"/>
  <c r="T12" i="51"/>
  <c r="T20" i="51"/>
  <c r="T30" i="52"/>
  <c r="T30" i="50"/>
  <c r="T30" i="51"/>
  <c r="S39" i="53"/>
  <c r="T23" i="50"/>
  <c r="T12" i="52"/>
  <c r="T12" i="47"/>
  <c r="T22" i="53"/>
  <c r="T23" i="47"/>
  <c r="T19" i="52"/>
  <c r="T15" i="50"/>
  <c r="T25" i="47"/>
  <c r="T22" i="51"/>
  <c r="T34" i="53"/>
  <c r="T15" i="51"/>
  <c r="T37" i="51"/>
  <c r="T32" i="51"/>
  <c r="T32" i="52"/>
  <c r="T31" i="52"/>
  <c r="T31" i="50"/>
  <c r="T16" i="51"/>
  <c r="T27" i="52"/>
  <c r="T15" i="47"/>
  <c r="T27" i="47"/>
  <c r="P43" i="51"/>
  <c r="S39" i="51"/>
  <c r="H44" i="50"/>
  <c r="T21" i="53"/>
  <c r="O39" i="53"/>
  <c r="P43" i="52"/>
  <c r="S39" i="52"/>
  <c r="T27" i="51"/>
  <c r="L43" i="51"/>
  <c r="O39" i="51"/>
  <c r="T11" i="51"/>
  <c r="L43" i="53"/>
  <c r="T24" i="53"/>
  <c r="T26" i="52"/>
  <c r="T13" i="50"/>
  <c r="T34" i="52"/>
  <c r="T12" i="50"/>
  <c r="L43" i="52"/>
  <c r="O39" i="52"/>
  <c r="H120" i="43"/>
  <c r="L120" i="43" s="1"/>
  <c r="P120" i="43" s="1"/>
  <c r="D166" i="42"/>
  <c r="T24" i="47"/>
  <c r="T13" i="47"/>
  <c r="T11" i="47"/>
  <c r="H44" i="52"/>
  <c r="T19" i="51"/>
  <c r="T22" i="47"/>
  <c r="H44" i="51"/>
  <c r="T33" i="52"/>
  <c r="T33" i="47"/>
  <c r="T16" i="47"/>
  <c r="T16" i="52"/>
  <c r="T24" i="52"/>
  <c r="T32" i="50"/>
  <c r="L43" i="50"/>
  <c r="O39" i="50"/>
  <c r="H44" i="53"/>
  <c r="T19" i="50"/>
  <c r="T30" i="53"/>
  <c r="C179" i="42"/>
  <c r="T20" i="52"/>
  <c r="T16" i="50"/>
  <c r="P40" i="39"/>
  <c r="P43" i="50"/>
  <c r="S39" i="50"/>
  <c r="T24" i="51"/>
  <c r="T25" i="50"/>
  <c r="T26" i="51"/>
  <c r="T25" i="53"/>
  <c r="T11" i="46"/>
  <c r="T12" i="46"/>
  <c r="T34" i="46"/>
  <c r="T33" i="46"/>
  <c r="T32" i="46"/>
  <c r="T31" i="46"/>
  <c r="T16" i="46"/>
  <c r="T13" i="46"/>
  <c r="T25" i="46"/>
  <c r="T22" i="46"/>
  <c r="T33" i="45"/>
  <c r="T32" i="45"/>
  <c r="T30" i="45"/>
  <c r="M51" i="4"/>
  <c r="P52" i="4"/>
  <c r="P51" i="4"/>
  <c r="S51" i="4"/>
  <c r="J52" i="4"/>
  <c r="S52" i="4"/>
  <c r="M52" i="4"/>
  <c r="S210" i="4"/>
  <c r="D19" i="45"/>
  <c r="S209" i="4"/>
  <c r="O20" i="39" s="1"/>
  <c r="D18" i="45"/>
  <c r="P204" i="4"/>
  <c r="L15" i="39" s="1"/>
  <c r="D13" i="45"/>
  <c r="M216" i="4"/>
  <c r="I27" i="39" s="1"/>
  <c r="D25" i="45"/>
  <c r="S217" i="4"/>
  <c r="O28" i="39" s="1"/>
  <c r="D26" i="45"/>
  <c r="P218" i="4"/>
  <c r="L29" i="39" s="1"/>
  <c r="D27" i="45"/>
  <c r="L15" i="45"/>
  <c r="K15" i="45"/>
  <c r="J208" i="4"/>
  <c r="F19" i="39" s="1"/>
  <c r="D17" i="45"/>
  <c r="M211" i="4"/>
  <c r="I22" i="39" s="1"/>
  <c r="D20" i="45"/>
  <c r="S212" i="4"/>
  <c r="O23" i="39" s="1"/>
  <c r="D21" i="45"/>
  <c r="L23" i="45"/>
  <c r="K23" i="45"/>
  <c r="J213" i="4"/>
  <c r="D22" i="45"/>
  <c r="L14" i="45"/>
  <c r="K14" i="45"/>
  <c r="S207" i="4"/>
  <c r="O18" i="39" s="1"/>
  <c r="D16" i="45"/>
  <c r="P203" i="4"/>
  <c r="L14" i="39" s="1"/>
  <c r="D12" i="45"/>
  <c r="H12" i="45" s="1"/>
  <c r="L12" i="45" s="1"/>
  <c r="P12" i="45" s="1"/>
  <c r="T34" i="45"/>
  <c r="L24" i="45"/>
  <c r="K24" i="45"/>
  <c r="J160" i="4"/>
  <c r="F25" i="39" s="1"/>
  <c r="D24" i="44"/>
  <c r="J171" i="4"/>
  <c r="F36" i="39" s="1"/>
  <c r="D35" i="44"/>
  <c r="H35" i="44" s="1"/>
  <c r="L35" i="44" s="1"/>
  <c r="L26" i="44"/>
  <c r="K26" i="44"/>
  <c r="L27" i="44"/>
  <c r="K27" i="44"/>
  <c r="P166" i="4"/>
  <c r="L31" i="39" s="1"/>
  <c r="D30" i="44"/>
  <c r="L31" i="44"/>
  <c r="K31" i="44"/>
  <c r="S151" i="4"/>
  <c r="D15" i="44"/>
  <c r="H15" i="44" s="1"/>
  <c r="L15" i="44" s="1"/>
  <c r="P152" i="4"/>
  <c r="L17" i="39" s="1"/>
  <c r="D16" i="44"/>
  <c r="H16" i="44" s="1"/>
  <c r="L16" i="44" s="1"/>
  <c r="L22" i="44"/>
  <c r="K22" i="44"/>
  <c r="L28" i="44"/>
  <c r="K28" i="44"/>
  <c r="M148" i="4"/>
  <c r="D12" i="44"/>
  <c r="H12" i="44" s="1"/>
  <c r="L12" i="44" s="1"/>
  <c r="S161" i="4"/>
  <c r="O26" i="39" s="1"/>
  <c r="D25" i="44"/>
  <c r="L18" i="44"/>
  <c r="K18" i="44"/>
  <c r="S168" i="4"/>
  <c r="O33" i="39" s="1"/>
  <c r="D32" i="44"/>
  <c r="P159" i="4"/>
  <c r="D23" i="44"/>
  <c r="L29" i="44"/>
  <c r="K29" i="44"/>
  <c r="M156" i="4"/>
  <c r="D20" i="44"/>
  <c r="L21" i="44"/>
  <c r="K21" i="44"/>
  <c r="L33" i="44"/>
  <c r="K33" i="44"/>
  <c r="L19" i="44"/>
  <c r="K19" i="44"/>
  <c r="T270" i="4"/>
  <c r="L35" i="39"/>
  <c r="I32" i="39"/>
  <c r="F35" i="39"/>
  <c r="O35" i="39"/>
  <c r="O32" i="39"/>
  <c r="I37" i="39"/>
  <c r="F34" i="39"/>
  <c r="F37" i="39"/>
  <c r="I35" i="39"/>
  <c r="F32" i="39"/>
  <c r="L32" i="39"/>
  <c r="I30" i="39"/>
  <c r="F30" i="39"/>
  <c r="L37" i="39"/>
  <c r="L34" i="39"/>
  <c r="O34" i="39"/>
  <c r="I34" i="39"/>
  <c r="L30" i="39"/>
  <c r="O37" i="39"/>
  <c r="O30" i="39"/>
  <c r="V487" i="4"/>
  <c r="V489" i="4" s="1"/>
  <c r="T489" i="4"/>
  <c r="V414" i="4"/>
  <c r="T420" i="4"/>
  <c r="V317" i="4"/>
  <c r="V328" i="4" s="1"/>
  <c r="V361" i="4"/>
  <c r="T367" i="4"/>
  <c r="V333" i="4"/>
  <c r="V337" i="4" s="1"/>
  <c r="V240" i="4"/>
  <c r="V242" i="4" s="1"/>
  <c r="T242" i="4"/>
  <c r="M203" i="4"/>
  <c r="I14" i="39" s="1"/>
  <c r="S203" i="4"/>
  <c r="O14" i="39" s="1"/>
  <c r="J203" i="4"/>
  <c r="F14" i="39" s="1"/>
  <c r="P212" i="4"/>
  <c r="L23" i="39" s="1"/>
  <c r="J212" i="4"/>
  <c r="F23" i="39" s="1"/>
  <c r="M212" i="4"/>
  <c r="I23" i="39" s="1"/>
  <c r="S218" i="4"/>
  <c r="O29" i="39" s="1"/>
  <c r="M208" i="4"/>
  <c r="I19" i="39" s="1"/>
  <c r="M218" i="4"/>
  <c r="I29" i="39" s="1"/>
  <c r="P209" i="4"/>
  <c r="L20" i="39" s="1"/>
  <c r="P208" i="4"/>
  <c r="L19" i="39" s="1"/>
  <c r="T206" i="4"/>
  <c r="V206" i="4" s="1"/>
  <c r="J156" i="4"/>
  <c r="P207" i="4"/>
  <c r="L18" i="39" s="1"/>
  <c r="T202" i="4"/>
  <c r="V202" i="4" s="1"/>
  <c r="S213" i="4"/>
  <c r="T153" i="4"/>
  <c r="V153" i="4" s="1"/>
  <c r="T163" i="4"/>
  <c r="V163" i="4" s="1"/>
  <c r="T214" i="4"/>
  <c r="V214" i="4" s="1"/>
  <c r="T22" i="4"/>
  <c r="V22" i="4" s="1"/>
  <c r="T162" i="4"/>
  <c r="V162" i="4" s="1"/>
  <c r="T154" i="4"/>
  <c r="V154" i="4" s="1"/>
  <c r="J218" i="4"/>
  <c r="F29" i="39" s="1"/>
  <c r="S208" i="4"/>
  <c r="O19" i="39" s="1"/>
  <c r="T215" i="4"/>
  <c r="V215" i="4" s="1"/>
  <c r="T170" i="4"/>
  <c r="V170" i="4" s="1"/>
  <c r="J210" i="4"/>
  <c r="P213" i="4"/>
  <c r="J211" i="4"/>
  <c r="F22" i="39" s="1"/>
  <c r="S211" i="4"/>
  <c r="O22" i="39" s="1"/>
  <c r="M204" i="4"/>
  <c r="I15" i="39" s="1"/>
  <c r="S204" i="4"/>
  <c r="O15" i="39" s="1"/>
  <c r="T150" i="4"/>
  <c r="V150" i="4" s="1"/>
  <c r="T205" i="4"/>
  <c r="V205" i="4" s="1"/>
  <c r="M207" i="4"/>
  <c r="I18" i="39" s="1"/>
  <c r="P210" i="4"/>
  <c r="J204" i="4"/>
  <c r="F15" i="39" s="1"/>
  <c r="M152" i="4"/>
  <c r="I17" i="39" s="1"/>
  <c r="T172" i="4"/>
  <c r="V172" i="4" s="1"/>
  <c r="T164" i="4"/>
  <c r="V164" i="4" s="1"/>
  <c r="P160" i="4"/>
  <c r="L25" i="39" s="1"/>
  <c r="T167" i="4"/>
  <c r="V167" i="4" s="1"/>
  <c r="M213" i="4"/>
  <c r="S216" i="4"/>
  <c r="O27" i="39" s="1"/>
  <c r="P211" i="4"/>
  <c r="L22" i="39" s="1"/>
  <c r="T165" i="4"/>
  <c r="V165" i="4" s="1"/>
  <c r="T158" i="4"/>
  <c r="V158" i="4" s="1"/>
  <c r="M210" i="4"/>
  <c r="J217" i="4"/>
  <c r="F28" i="39" s="1"/>
  <c r="J207" i="4"/>
  <c r="F18" i="39" s="1"/>
  <c r="M209" i="4"/>
  <c r="I20" i="39" s="1"/>
  <c r="J209" i="4"/>
  <c r="F20" i="39" s="1"/>
  <c r="P217" i="4"/>
  <c r="L28" i="39" s="1"/>
  <c r="J216" i="4"/>
  <c r="F27" i="39" s="1"/>
  <c r="P151" i="4"/>
  <c r="T155" i="4"/>
  <c r="V155" i="4" s="1"/>
  <c r="T157" i="4"/>
  <c r="V157" i="4" s="1"/>
  <c r="M217" i="4"/>
  <c r="I28" i="39" s="1"/>
  <c r="P216" i="4"/>
  <c r="L27" i="39" s="1"/>
  <c r="J168" i="4"/>
  <c r="F33" i="39" s="1"/>
  <c r="S166" i="4"/>
  <c r="O31" i="39" s="1"/>
  <c r="S156" i="4"/>
  <c r="M168" i="4"/>
  <c r="I33" i="39" s="1"/>
  <c r="P161" i="4"/>
  <c r="L26" i="39" s="1"/>
  <c r="P156" i="4"/>
  <c r="S159" i="4"/>
  <c r="S160" i="4"/>
  <c r="O25" i="39" s="1"/>
  <c r="M160" i="4"/>
  <c r="I25" i="39" s="1"/>
  <c r="M171" i="4"/>
  <c r="I36" i="39" s="1"/>
  <c r="J161" i="4"/>
  <c r="F26" i="39" s="1"/>
  <c r="M161" i="4"/>
  <c r="I26" i="39" s="1"/>
  <c r="J151" i="4"/>
  <c r="J152" i="4"/>
  <c r="F17" i="39" s="1"/>
  <c r="M151" i="4"/>
  <c r="M166" i="4"/>
  <c r="I31" i="39" s="1"/>
  <c r="S152" i="4"/>
  <c r="O17" i="39" s="1"/>
  <c r="S171" i="4"/>
  <c r="O36" i="39" s="1"/>
  <c r="P171" i="4"/>
  <c r="L36" i="39" s="1"/>
  <c r="P148" i="4"/>
  <c r="M159" i="4"/>
  <c r="P168" i="4"/>
  <c r="L33" i="39" s="1"/>
  <c r="J159" i="4"/>
  <c r="S148" i="4"/>
  <c r="O13" i="39" s="1"/>
  <c r="J148" i="4"/>
  <c r="J166" i="4"/>
  <c r="F31" i="39" s="1"/>
  <c r="T20" i="4"/>
  <c r="V20" i="4" s="1"/>
  <c r="T42" i="4"/>
  <c r="V42" i="4" s="1"/>
  <c r="T39" i="4"/>
  <c r="V39" i="4" s="1"/>
  <c r="T37" i="4"/>
  <c r="V37" i="4" s="1"/>
  <c r="T31" i="4"/>
  <c r="V31" i="4" s="1"/>
  <c r="T36" i="4"/>
  <c r="V36" i="4" s="1"/>
  <c r="T38" i="4"/>
  <c r="V38" i="4" s="1"/>
  <c r="T32" i="4"/>
  <c r="V32" i="4" s="1"/>
  <c r="T29" i="4"/>
  <c r="V29" i="4" s="1"/>
  <c r="T30" i="4"/>
  <c r="V30" i="4" s="1"/>
  <c r="T23" i="4"/>
  <c r="V23" i="4" s="1"/>
  <c r="T17" i="4"/>
  <c r="V17" i="4" s="1"/>
  <c r="T18" i="4"/>
  <c r="V18" i="4" s="1"/>
  <c r="V16" i="4"/>
  <c r="T27" i="4"/>
  <c r="V27" i="4" s="1"/>
  <c r="T110" i="4"/>
  <c r="V110" i="4" s="1"/>
  <c r="T127" i="4"/>
  <c r="V127" i="4" s="1"/>
  <c r="T186" i="4"/>
  <c r="V186" i="4" s="1"/>
  <c r="T138" i="4"/>
  <c r="V138" i="4" s="1"/>
  <c r="T341" i="4"/>
  <c r="V341" i="4" s="1"/>
  <c r="T113" i="4"/>
  <c r="V113" i="4" s="1"/>
  <c r="T112" i="4"/>
  <c r="V112" i="4" s="1"/>
  <c r="T116" i="4"/>
  <c r="V116" i="4" s="1"/>
  <c r="T114" i="4"/>
  <c r="V114" i="4" s="1"/>
  <c r="T573" i="4"/>
  <c r="V573" i="4" s="1"/>
  <c r="T249" i="4"/>
  <c r="T645" i="4"/>
  <c r="T576" i="4"/>
  <c r="V576" i="4" s="1"/>
  <c r="T496" i="4"/>
  <c r="V496" i="4" s="1"/>
  <c r="J74" i="4"/>
  <c r="T74" i="4" s="1"/>
  <c r="J69" i="4"/>
  <c r="T69" i="4" s="1"/>
  <c r="T64" i="4"/>
  <c r="V64" i="4" s="1"/>
  <c r="S57" i="4"/>
  <c r="S58" i="4"/>
  <c r="S56" i="4"/>
  <c r="P57" i="4"/>
  <c r="P58" i="4"/>
  <c r="M58" i="4"/>
  <c r="J57" i="4"/>
  <c r="J58" i="4"/>
  <c r="P44" i="53" l="1"/>
  <c r="L13" i="39"/>
  <c r="T148" i="4"/>
  <c r="V69" i="4"/>
  <c r="P25" i="39"/>
  <c r="P29" i="39"/>
  <c r="T39" i="53"/>
  <c r="P35" i="39"/>
  <c r="P26" i="39"/>
  <c r="P27" i="39"/>
  <c r="P14" i="39"/>
  <c r="P15" i="39"/>
  <c r="P34" i="39"/>
  <c r="P18" i="39"/>
  <c r="P22" i="39"/>
  <c r="L44" i="50"/>
  <c r="P23" i="39"/>
  <c r="P30" i="39"/>
  <c r="L44" i="51"/>
  <c r="T39" i="51"/>
  <c r="P31" i="39"/>
  <c r="H166" i="42"/>
  <c r="G166" i="42"/>
  <c r="P33" i="39"/>
  <c r="P20" i="39"/>
  <c r="P19" i="39"/>
  <c r="P44" i="50"/>
  <c r="L44" i="52"/>
  <c r="T39" i="52"/>
  <c r="P44" i="51"/>
  <c r="P28" i="39"/>
  <c r="P44" i="52"/>
  <c r="P36" i="39"/>
  <c r="T39" i="50"/>
  <c r="P17" i="39"/>
  <c r="P32" i="39"/>
  <c r="P37" i="39"/>
  <c r="L44" i="53"/>
  <c r="I21" i="39"/>
  <c r="O21" i="39"/>
  <c r="F13" i="39"/>
  <c r="J179" i="4"/>
  <c r="P234" i="4"/>
  <c r="J234" i="4"/>
  <c r="I13" i="39"/>
  <c r="M179" i="4"/>
  <c r="S179" i="4"/>
  <c r="M233" i="4"/>
  <c r="J233" i="4"/>
  <c r="P233" i="4"/>
  <c r="S233" i="4"/>
  <c r="P179" i="4"/>
  <c r="S234" i="4"/>
  <c r="M234" i="4"/>
  <c r="I16" i="39"/>
  <c r="M180" i="4"/>
  <c r="O16" i="39"/>
  <c r="S180" i="4"/>
  <c r="F16" i="39"/>
  <c r="J180" i="4"/>
  <c r="L16" i="39"/>
  <c r="P180" i="4"/>
  <c r="H21" i="45"/>
  <c r="G21" i="45"/>
  <c r="H13" i="45"/>
  <c r="G13" i="45"/>
  <c r="P14" i="45"/>
  <c r="S14" i="45" s="1"/>
  <c r="O14" i="45"/>
  <c r="P24" i="45"/>
  <c r="S24" i="45" s="1"/>
  <c r="O24" i="45"/>
  <c r="H22" i="45"/>
  <c r="G22" i="45"/>
  <c r="H20" i="45"/>
  <c r="G20" i="45"/>
  <c r="H27" i="45"/>
  <c r="G27" i="45"/>
  <c r="H18" i="45"/>
  <c r="G18" i="45"/>
  <c r="F24" i="39"/>
  <c r="H17" i="45"/>
  <c r="G17" i="45"/>
  <c r="H26" i="45"/>
  <c r="G26" i="45"/>
  <c r="H16" i="45"/>
  <c r="G16" i="45"/>
  <c r="P23" i="45"/>
  <c r="S23" i="45" s="1"/>
  <c r="O23" i="45"/>
  <c r="H25" i="45"/>
  <c r="G25" i="45"/>
  <c r="H19" i="45"/>
  <c r="G19" i="45"/>
  <c r="P15" i="45"/>
  <c r="S15" i="45" s="1"/>
  <c r="O15" i="45"/>
  <c r="O18" i="44"/>
  <c r="P18" i="44"/>
  <c r="S18" i="44" s="1"/>
  <c r="O33" i="44"/>
  <c r="P33" i="44"/>
  <c r="S33" i="44" s="1"/>
  <c r="H23" i="44"/>
  <c r="G23" i="44"/>
  <c r="P28" i="44"/>
  <c r="S28" i="44" s="1"/>
  <c r="O28" i="44"/>
  <c r="P31" i="44"/>
  <c r="S31" i="44" s="1"/>
  <c r="O31" i="44"/>
  <c r="P26" i="44"/>
  <c r="S26" i="44" s="1"/>
  <c r="O26" i="44"/>
  <c r="P19" i="44"/>
  <c r="S19" i="44" s="1"/>
  <c r="O19" i="44"/>
  <c r="O15" i="44"/>
  <c r="P15" i="44"/>
  <c r="S15" i="44" s="1"/>
  <c r="P29" i="44"/>
  <c r="S29" i="44" s="1"/>
  <c r="O29" i="44"/>
  <c r="P27" i="44"/>
  <c r="S27" i="44" s="1"/>
  <c r="O27" i="44"/>
  <c r="H32" i="44"/>
  <c r="G32" i="44"/>
  <c r="P22" i="44"/>
  <c r="S22" i="44" s="1"/>
  <c r="O22" i="44"/>
  <c r="H20" i="44"/>
  <c r="G20" i="44"/>
  <c r="P16" i="44"/>
  <c r="S16" i="44" s="1"/>
  <c r="O16" i="44"/>
  <c r="H30" i="44"/>
  <c r="G30" i="44"/>
  <c r="H24" i="44"/>
  <c r="G24" i="44"/>
  <c r="P21" i="44"/>
  <c r="S21" i="44" s="1"/>
  <c r="O21" i="44"/>
  <c r="H25" i="44"/>
  <c r="G25" i="44"/>
  <c r="P35" i="44"/>
  <c r="S35" i="44" s="1"/>
  <c r="O35" i="44"/>
  <c r="L24" i="39"/>
  <c r="P12" i="44"/>
  <c r="S12" i="44" s="1"/>
  <c r="O12" i="44"/>
  <c r="O24" i="39"/>
  <c r="F21" i="39"/>
  <c r="I24" i="39"/>
  <c r="L21" i="39"/>
  <c r="V249" i="4"/>
  <c r="V645" i="4"/>
  <c r="V652" i="4" s="1"/>
  <c r="T652" i="4"/>
  <c r="T57" i="4"/>
  <c r="V57" i="4" s="1"/>
  <c r="T203" i="4"/>
  <c r="V203" i="4" s="1"/>
  <c r="T212" i="4"/>
  <c r="V212" i="4" s="1"/>
  <c r="T208" i="4"/>
  <c r="V208" i="4" s="1"/>
  <c r="T216" i="4"/>
  <c r="V216" i="4" s="1"/>
  <c r="T218" i="4"/>
  <c r="V218" i="4" s="1"/>
  <c r="T168" i="4"/>
  <c r="V168" i="4" s="1"/>
  <c r="T204" i="4"/>
  <c r="V204" i="4" s="1"/>
  <c r="T156" i="4"/>
  <c r="V156" i="4" s="1"/>
  <c r="T159" i="4"/>
  <c r="V159" i="4" s="1"/>
  <c r="T207" i="4"/>
  <c r="V207" i="4" s="1"/>
  <c r="T152" i="4"/>
  <c r="V152" i="4" s="1"/>
  <c r="T171" i="4"/>
  <c r="V171" i="4" s="1"/>
  <c r="T217" i="4"/>
  <c r="V217" i="4" s="1"/>
  <c r="T210" i="4"/>
  <c r="V210" i="4" s="1"/>
  <c r="T166" i="4"/>
  <c r="V166" i="4" s="1"/>
  <c r="T209" i="4"/>
  <c r="V209" i="4" s="1"/>
  <c r="T211" i="4"/>
  <c r="V211" i="4" s="1"/>
  <c r="T160" i="4"/>
  <c r="V160" i="4" s="1"/>
  <c r="T213" i="4"/>
  <c r="V213" i="4" s="1"/>
  <c r="T151" i="4"/>
  <c r="V151" i="4" s="1"/>
  <c r="T161" i="4"/>
  <c r="V161" i="4" s="1"/>
  <c r="V74" i="4"/>
  <c r="T56" i="4"/>
  <c r="V56" i="4" s="1"/>
  <c r="T58" i="4"/>
  <c r="V58" i="4" s="1"/>
  <c r="T179" i="4" l="1"/>
  <c r="P13" i="39"/>
  <c r="P16" i="39"/>
  <c r="L166" i="42"/>
  <c r="K166" i="42"/>
  <c r="P21" i="39"/>
  <c r="P24" i="39"/>
  <c r="T22" i="44"/>
  <c r="T28" i="44"/>
  <c r="T15" i="45"/>
  <c r="T24" i="45"/>
  <c r="T21" i="44"/>
  <c r="T29" i="44"/>
  <c r="T18" i="44"/>
  <c r="T23" i="45"/>
  <c r="T27" i="44"/>
  <c r="T14" i="45"/>
  <c r="L19" i="45"/>
  <c r="K19" i="45"/>
  <c r="L27" i="45"/>
  <c r="K27" i="45"/>
  <c r="T26" i="44"/>
  <c r="T33" i="44"/>
  <c r="L25" i="45"/>
  <c r="K25" i="45"/>
  <c r="L26" i="45"/>
  <c r="K26" i="45"/>
  <c r="L20" i="45"/>
  <c r="K20" i="45"/>
  <c r="L13" i="45"/>
  <c r="K13" i="45"/>
  <c r="L17" i="45"/>
  <c r="K17" i="45"/>
  <c r="L22" i="45"/>
  <c r="K22" i="45"/>
  <c r="L21" i="45"/>
  <c r="K21" i="45"/>
  <c r="L16" i="45"/>
  <c r="K16" i="45"/>
  <c r="L18" i="45"/>
  <c r="K18" i="45"/>
  <c r="L20" i="44"/>
  <c r="K20" i="44"/>
  <c r="L24" i="44"/>
  <c r="K24" i="44"/>
  <c r="L30" i="44"/>
  <c r="K30" i="44"/>
  <c r="L32" i="44"/>
  <c r="K32" i="44"/>
  <c r="T19" i="44"/>
  <c r="L23" i="44"/>
  <c r="K23" i="44"/>
  <c r="T31" i="44"/>
  <c r="L25" i="44"/>
  <c r="K25" i="44"/>
  <c r="E735" i="4"/>
  <c r="E727" i="4"/>
  <c r="E721" i="4"/>
  <c r="E717" i="4"/>
  <c r="E713" i="4"/>
  <c r="E664" i="4"/>
  <c r="E642" i="4"/>
  <c r="E594" i="4"/>
  <c r="E589" i="4"/>
  <c r="E583" i="4"/>
  <c r="E569" i="4"/>
  <c r="E498" i="4"/>
  <c r="E493" i="4"/>
  <c r="E426" i="4"/>
  <c r="E193" i="4"/>
  <c r="E188" i="4"/>
  <c r="E141" i="4"/>
  <c r="D43" i="41" s="1"/>
  <c r="E129" i="4"/>
  <c r="D41" i="41" s="1"/>
  <c r="E118" i="4"/>
  <c r="D39" i="41" s="1"/>
  <c r="E106" i="4"/>
  <c r="D37" i="41" s="1"/>
  <c r="E99" i="4"/>
  <c r="E101" i="4"/>
  <c r="D35" i="41" s="1"/>
  <c r="E77" i="4"/>
  <c r="D33" i="41" s="1"/>
  <c r="O166" i="42" l="1"/>
  <c r="P166" i="42"/>
  <c r="S166" i="42" s="1"/>
  <c r="P18" i="45"/>
  <c r="S18" i="45" s="1"/>
  <c r="O18" i="45"/>
  <c r="P20" i="45"/>
  <c r="S20" i="45" s="1"/>
  <c r="O20" i="45"/>
  <c r="P16" i="45"/>
  <c r="S16" i="45" s="1"/>
  <c r="O16" i="45"/>
  <c r="P27" i="45"/>
  <c r="S27" i="45" s="1"/>
  <c r="O27" i="45"/>
  <c r="P17" i="45"/>
  <c r="S17" i="45" s="1"/>
  <c r="O17" i="45"/>
  <c r="P21" i="45"/>
  <c r="S21" i="45" s="1"/>
  <c r="O21" i="45"/>
  <c r="P26" i="45"/>
  <c r="S26" i="45" s="1"/>
  <c r="O26" i="45"/>
  <c r="P13" i="45"/>
  <c r="S13" i="45" s="1"/>
  <c r="O13" i="45"/>
  <c r="P22" i="45"/>
  <c r="S22" i="45" s="1"/>
  <c r="O22" i="45"/>
  <c r="P25" i="45"/>
  <c r="S25" i="45" s="1"/>
  <c r="O25" i="45"/>
  <c r="P19" i="45"/>
  <c r="S19" i="45" s="1"/>
  <c r="O19" i="45"/>
  <c r="P30" i="44"/>
  <c r="S30" i="44" s="1"/>
  <c r="O30" i="44"/>
  <c r="P24" i="44"/>
  <c r="S24" i="44" s="1"/>
  <c r="O24" i="44"/>
  <c r="O32" i="44"/>
  <c r="P32" i="44"/>
  <c r="S32" i="44" s="1"/>
  <c r="P23" i="44"/>
  <c r="S23" i="44" s="1"/>
  <c r="O23" i="44"/>
  <c r="O25" i="44"/>
  <c r="P25" i="44"/>
  <c r="S25" i="44" s="1"/>
  <c r="P44" i="44" s="1"/>
  <c r="P20" i="44"/>
  <c r="S20" i="44" s="1"/>
  <c r="O20" i="44"/>
  <c r="E60" i="4"/>
  <c r="D31" i="41" s="1"/>
  <c r="T166" i="42" l="1"/>
  <c r="T21" i="45"/>
  <c r="T20" i="45"/>
  <c r="T20" i="44"/>
  <c r="T24" i="44"/>
  <c r="T17" i="45"/>
  <c r="T18" i="45"/>
  <c r="T23" i="44"/>
  <c r="T19" i="45"/>
  <c r="T25" i="45"/>
  <c r="T26" i="45"/>
  <c r="T22" i="45"/>
  <c r="T16" i="45"/>
  <c r="T32" i="44"/>
  <c r="T30" i="44"/>
  <c r="T13" i="45"/>
  <c r="T27" i="45"/>
  <c r="T25" i="44"/>
  <c r="D29" i="41"/>
  <c r="P726" i="4"/>
  <c r="T726" i="4" s="1"/>
  <c r="V726" i="4" s="1"/>
  <c r="G725" i="4"/>
  <c r="U725" i="4" s="1"/>
  <c r="V725" i="4" s="1"/>
  <c r="S727" i="4"/>
  <c r="J727" i="4"/>
  <c r="P720" i="4"/>
  <c r="J720" i="4"/>
  <c r="S712" i="4"/>
  <c r="P712" i="4"/>
  <c r="M712" i="4"/>
  <c r="S711" i="4"/>
  <c r="P711" i="4"/>
  <c r="M711" i="4"/>
  <c r="J711" i="4"/>
  <c r="G707" i="4"/>
  <c r="F42" i="53" s="1"/>
  <c r="J42" i="53" s="1"/>
  <c r="N42" i="53" s="1"/>
  <c r="R42" i="53" s="1"/>
  <c r="G706" i="4"/>
  <c r="F47" i="53" s="1"/>
  <c r="J47" i="53" s="1"/>
  <c r="N47" i="53" s="1"/>
  <c r="R47" i="53" s="1"/>
  <c r="G705" i="4"/>
  <c r="F44" i="53" s="1"/>
  <c r="G704" i="4"/>
  <c r="F43" i="53" s="1"/>
  <c r="D707" i="4"/>
  <c r="A42" i="53" s="1"/>
  <c r="D706" i="4"/>
  <c r="A47" i="53" s="1"/>
  <c r="D704" i="4"/>
  <c r="D705" i="4"/>
  <c r="U664" i="4"/>
  <c r="P664" i="4"/>
  <c r="M664" i="4"/>
  <c r="J664" i="4"/>
  <c r="S659" i="4"/>
  <c r="P659" i="4"/>
  <c r="J659" i="4"/>
  <c r="J660" i="4" s="1"/>
  <c r="G637" i="4"/>
  <c r="F42" i="52" s="1"/>
  <c r="J42" i="52" s="1"/>
  <c r="N42" i="52" s="1"/>
  <c r="R42" i="52" s="1"/>
  <c r="G636" i="4"/>
  <c r="F47" i="52" s="1"/>
  <c r="J47" i="52" s="1"/>
  <c r="N47" i="52" s="1"/>
  <c r="R47" i="52" s="1"/>
  <c r="G635" i="4"/>
  <c r="F44" i="52" s="1"/>
  <c r="G634" i="4"/>
  <c r="F43" i="52" s="1"/>
  <c r="G592" i="4"/>
  <c r="U592" i="4" s="1"/>
  <c r="V592" i="4" s="1"/>
  <c r="P594" i="4"/>
  <c r="M594" i="4"/>
  <c r="J594" i="4"/>
  <c r="S588" i="4"/>
  <c r="P588" i="4"/>
  <c r="M588" i="4"/>
  <c r="J588" i="4"/>
  <c r="S587" i="4"/>
  <c r="P587" i="4"/>
  <c r="M587" i="4"/>
  <c r="R582" i="4"/>
  <c r="O582" i="4"/>
  <c r="O581" i="4"/>
  <c r="O580" i="4"/>
  <c r="R577" i="4"/>
  <c r="S577" i="4" s="1"/>
  <c r="O577" i="4"/>
  <c r="P577" i="4" s="1"/>
  <c r="L577" i="4"/>
  <c r="M577" i="4" s="1"/>
  <c r="I577" i="4"/>
  <c r="J577" i="4" s="1"/>
  <c r="R574" i="4"/>
  <c r="O574" i="4"/>
  <c r="L574" i="4"/>
  <c r="J574" i="4"/>
  <c r="S568" i="4"/>
  <c r="P568" i="4"/>
  <c r="M568" i="4"/>
  <c r="J568" i="4"/>
  <c r="S567" i="4"/>
  <c r="P567" i="4"/>
  <c r="M567" i="4"/>
  <c r="I567" i="4"/>
  <c r="S566" i="4"/>
  <c r="P566" i="4"/>
  <c r="M566" i="4"/>
  <c r="J566" i="4"/>
  <c r="S561" i="4"/>
  <c r="S563" i="4" s="1"/>
  <c r="P561" i="4"/>
  <c r="P563" i="4" s="1"/>
  <c r="M561" i="4"/>
  <c r="M563" i="4" s="1"/>
  <c r="J561" i="4"/>
  <c r="J563" i="4" s="1"/>
  <c r="G557" i="4"/>
  <c r="F42" i="51" s="1"/>
  <c r="J42" i="51" s="1"/>
  <c r="N42" i="51" s="1"/>
  <c r="R42" i="51" s="1"/>
  <c r="G556" i="4"/>
  <c r="F47" i="51" s="1"/>
  <c r="J47" i="51" s="1"/>
  <c r="N47" i="51" s="1"/>
  <c r="R47" i="51" s="1"/>
  <c r="G555" i="4"/>
  <c r="F44" i="51" s="1"/>
  <c r="D557" i="4"/>
  <c r="A42" i="51" s="1"/>
  <c r="D556" i="4"/>
  <c r="A47" i="51" s="1"/>
  <c r="D555" i="4"/>
  <c r="G554" i="4"/>
  <c r="F43" i="51" s="1"/>
  <c r="D554" i="4"/>
  <c r="S514" i="4"/>
  <c r="M514" i="4"/>
  <c r="J514" i="4"/>
  <c r="G510" i="4"/>
  <c r="U510" i="4" s="1"/>
  <c r="V510" i="4" s="1"/>
  <c r="G509" i="4"/>
  <c r="U509" i="4" s="1"/>
  <c r="V509" i="4" s="1"/>
  <c r="G508" i="4"/>
  <c r="U508" i="4" s="1"/>
  <c r="V508" i="4" s="1"/>
  <c r="S502" i="4"/>
  <c r="S505" i="4" s="1"/>
  <c r="P502" i="4"/>
  <c r="P505" i="4" s="1"/>
  <c r="M502" i="4"/>
  <c r="M505" i="4" s="1"/>
  <c r="J502" i="4"/>
  <c r="J505" i="4" s="1"/>
  <c r="S492" i="4"/>
  <c r="P492" i="4"/>
  <c r="M492" i="4"/>
  <c r="J492" i="4"/>
  <c r="R497" i="4"/>
  <c r="O497" i="4"/>
  <c r="L497" i="4"/>
  <c r="I497" i="4"/>
  <c r="D483" i="4"/>
  <c r="D482" i="4"/>
  <c r="A47" i="50" s="1"/>
  <c r="D481" i="4"/>
  <c r="G483" i="4"/>
  <c r="F42" i="50" s="1"/>
  <c r="G482" i="4"/>
  <c r="F47" i="50" s="1"/>
  <c r="G481" i="4"/>
  <c r="F44" i="50" s="1"/>
  <c r="G480" i="4"/>
  <c r="F43" i="50" s="1"/>
  <c r="D480" i="4"/>
  <c r="S430" i="4"/>
  <c r="S434" i="4" s="1"/>
  <c r="P430" i="4"/>
  <c r="P434" i="4" s="1"/>
  <c r="M430" i="4"/>
  <c r="M434" i="4" s="1"/>
  <c r="J430" i="4"/>
  <c r="J434" i="4" s="1"/>
  <c r="U426" i="4"/>
  <c r="S425" i="4"/>
  <c r="P425" i="4"/>
  <c r="M425" i="4"/>
  <c r="J425" i="4"/>
  <c r="G410" i="4"/>
  <c r="F42" i="47" s="1"/>
  <c r="J42" i="47" s="1"/>
  <c r="N42" i="47" s="1"/>
  <c r="R42" i="47" s="1"/>
  <c r="G409" i="4"/>
  <c r="F47" i="47" s="1"/>
  <c r="G408" i="4"/>
  <c r="F44" i="47" s="1"/>
  <c r="J44" i="47" s="1"/>
  <c r="N44" i="47" s="1"/>
  <c r="R44" i="47" s="1"/>
  <c r="D410" i="4"/>
  <c r="D409" i="4"/>
  <c r="D408" i="4"/>
  <c r="D407" i="4"/>
  <c r="G313" i="4"/>
  <c r="G312" i="4"/>
  <c r="F48" i="46" s="1"/>
  <c r="G311" i="4"/>
  <c r="F45" i="46" s="1"/>
  <c r="J45" i="46" s="1"/>
  <c r="N45" i="46" s="1"/>
  <c r="R45" i="46" s="1"/>
  <c r="D313" i="4"/>
  <c r="D312" i="4"/>
  <c r="D311" i="4"/>
  <c r="D310" i="4"/>
  <c r="G362" i="4"/>
  <c r="U362" i="4" s="1"/>
  <c r="S342" i="4"/>
  <c r="P342" i="4"/>
  <c r="M342" i="4"/>
  <c r="J342" i="4"/>
  <c r="J346" i="4" s="1"/>
  <c r="S250" i="4"/>
  <c r="S252" i="4" s="1"/>
  <c r="P250" i="4"/>
  <c r="P252" i="4" s="1"/>
  <c r="M250" i="4"/>
  <c r="M252" i="4" s="1"/>
  <c r="J250" i="4"/>
  <c r="J252" i="4" s="1"/>
  <c r="G267" i="4"/>
  <c r="U267" i="4" s="1"/>
  <c r="V267" i="4" s="1"/>
  <c r="G265" i="4"/>
  <c r="U265" i="4" s="1"/>
  <c r="G236" i="4"/>
  <c r="F43" i="45" s="1"/>
  <c r="G235" i="4"/>
  <c r="F48" i="45" s="1"/>
  <c r="G234" i="4"/>
  <c r="F45" i="45" s="1"/>
  <c r="D236" i="4"/>
  <c r="D235" i="4"/>
  <c r="D234" i="4"/>
  <c r="D233" i="4"/>
  <c r="G191" i="4"/>
  <c r="R187" i="4"/>
  <c r="O187" i="4"/>
  <c r="L187" i="4"/>
  <c r="M187" i="4" s="1"/>
  <c r="J187" i="4"/>
  <c r="G182" i="4"/>
  <c r="F43" i="44" s="1"/>
  <c r="G181" i="4"/>
  <c r="F48" i="44" s="1"/>
  <c r="G180" i="4"/>
  <c r="F45" i="44" s="1"/>
  <c r="D182" i="4"/>
  <c r="D181" i="4"/>
  <c r="D180" i="4"/>
  <c r="D179" i="4"/>
  <c r="F43" i="46" l="1"/>
  <c r="J43" i="46" s="1"/>
  <c r="N43" i="46" s="1"/>
  <c r="R43" i="46" s="1"/>
  <c r="J639" i="4"/>
  <c r="T587" i="4"/>
  <c r="V587" i="4" s="1"/>
  <c r="T425" i="4"/>
  <c r="V425" i="4" s="1"/>
  <c r="T712" i="4"/>
  <c r="V712" i="4" s="1"/>
  <c r="J44" i="50"/>
  <c r="G44" i="50"/>
  <c r="J44" i="52"/>
  <c r="G44" i="52"/>
  <c r="J43" i="53"/>
  <c r="G43" i="53"/>
  <c r="J567" i="4"/>
  <c r="T567" i="4" s="1"/>
  <c r="V567" i="4" s="1"/>
  <c r="E76" i="51"/>
  <c r="P580" i="4"/>
  <c r="M58" i="51"/>
  <c r="J43" i="51"/>
  <c r="G43" i="51"/>
  <c r="P581" i="4"/>
  <c r="M55" i="51"/>
  <c r="J43" i="50"/>
  <c r="G43" i="50"/>
  <c r="M574" i="4"/>
  <c r="I57" i="51"/>
  <c r="P574" i="4"/>
  <c r="M57" i="51"/>
  <c r="P582" i="4"/>
  <c r="M59" i="51"/>
  <c r="S582" i="4"/>
  <c r="Q59" i="51"/>
  <c r="J44" i="53"/>
  <c r="G44" i="53"/>
  <c r="J44" i="51"/>
  <c r="G44" i="51"/>
  <c r="J43" i="52"/>
  <c r="G43" i="52"/>
  <c r="S574" i="4"/>
  <c r="Q57" i="51"/>
  <c r="U270" i="4"/>
  <c r="V265" i="4"/>
  <c r="V270" i="4" s="1"/>
  <c r="U367" i="4"/>
  <c r="V362" i="4"/>
  <c r="V367" i="4" s="1"/>
  <c r="J47" i="50"/>
  <c r="J42" i="50"/>
  <c r="M497" i="4"/>
  <c r="I53" i="50"/>
  <c r="P497" i="4"/>
  <c r="M53" i="50"/>
  <c r="J497" i="4"/>
  <c r="E53" i="50"/>
  <c r="S497" i="4"/>
  <c r="Q53" i="50"/>
  <c r="P187" i="4"/>
  <c r="S187" i="4"/>
  <c r="T561" i="4"/>
  <c r="T250" i="4"/>
  <c r="T492" i="4"/>
  <c r="V492" i="4" s="1"/>
  <c r="M340" i="4"/>
  <c r="M346" i="4" s="1"/>
  <c r="P340" i="4"/>
  <c r="P346" i="4" s="1"/>
  <c r="S340" i="4"/>
  <c r="S346" i="4" s="1"/>
  <c r="T502" i="4"/>
  <c r="T588" i="4"/>
  <c r="V588" i="4" s="1"/>
  <c r="T342" i="4"/>
  <c r="V342" i="4" s="1"/>
  <c r="T720" i="4"/>
  <c r="V720" i="4" s="1"/>
  <c r="J423" i="4"/>
  <c r="J426" i="4" s="1"/>
  <c r="S423" i="4"/>
  <c r="S426" i="4" s="1"/>
  <c r="P423" i="4"/>
  <c r="P426" i="4" s="1"/>
  <c r="M423" i="4"/>
  <c r="M426" i="4" s="1"/>
  <c r="T430" i="4"/>
  <c r="T434" i="4" s="1"/>
  <c r="T566" i="4"/>
  <c r="V566" i="4" s="1"/>
  <c r="T568" i="4"/>
  <c r="V568" i="4" s="1"/>
  <c r="T577" i="4"/>
  <c r="V577" i="4" s="1"/>
  <c r="T641" i="4"/>
  <c r="V641" i="4" s="1"/>
  <c r="T711" i="4"/>
  <c r="V711" i="4" s="1"/>
  <c r="I582" i="4"/>
  <c r="L580" i="4"/>
  <c r="M579" i="4"/>
  <c r="V655" i="4"/>
  <c r="U727" i="4"/>
  <c r="M727" i="4"/>
  <c r="P727" i="4"/>
  <c r="V664" i="4"/>
  <c r="T664" i="4"/>
  <c r="S664" i="4"/>
  <c r="U594" i="4"/>
  <c r="T594" i="4"/>
  <c r="S594" i="4"/>
  <c r="L582" i="4"/>
  <c r="L581" i="4"/>
  <c r="I580" i="4"/>
  <c r="I581" i="4"/>
  <c r="T514" i="4"/>
  <c r="T574" i="4" l="1"/>
  <c r="V574" i="4" s="1"/>
  <c r="O53" i="50"/>
  <c r="O55" i="50" s="1"/>
  <c r="M93" i="42"/>
  <c r="O93" i="42" s="1"/>
  <c r="N43" i="53"/>
  <c r="K43" i="53"/>
  <c r="M581" i="4"/>
  <c r="I55" i="51"/>
  <c r="M580" i="4"/>
  <c r="I58" i="51"/>
  <c r="N44" i="51"/>
  <c r="K44" i="51"/>
  <c r="M94" i="42"/>
  <c r="O94" i="42" s="1"/>
  <c r="O57" i="51"/>
  <c r="E176" i="42"/>
  <c r="G176" i="42" s="1"/>
  <c r="T176" i="42" s="1"/>
  <c r="G76" i="51"/>
  <c r="N43" i="50"/>
  <c r="K43" i="50"/>
  <c r="J581" i="4"/>
  <c r="E55" i="51"/>
  <c r="M79" i="42"/>
  <c r="O79" i="42" s="1"/>
  <c r="O55" i="51"/>
  <c r="K53" i="50"/>
  <c r="K55" i="50" s="1"/>
  <c r="I93" i="42"/>
  <c r="K93" i="42" s="1"/>
  <c r="N43" i="51"/>
  <c r="K43" i="51"/>
  <c r="N44" i="52"/>
  <c r="K44" i="52"/>
  <c r="Q96" i="42"/>
  <c r="S96" i="42" s="1"/>
  <c r="S59" i="51"/>
  <c r="M96" i="42"/>
  <c r="O96" i="42" s="1"/>
  <c r="O59" i="51"/>
  <c r="M582" i="4"/>
  <c r="I59" i="51"/>
  <c r="I94" i="42"/>
  <c r="K94" i="42" s="1"/>
  <c r="K57" i="51"/>
  <c r="M95" i="42"/>
  <c r="O95" i="42" s="1"/>
  <c r="O58" i="51"/>
  <c r="G53" i="50"/>
  <c r="G55" i="50" s="1"/>
  <c r="E93" i="42"/>
  <c r="G93" i="42" s="1"/>
  <c r="N43" i="52"/>
  <c r="K43" i="52"/>
  <c r="J580" i="4"/>
  <c r="E58" i="51"/>
  <c r="J582" i="4"/>
  <c r="E59" i="51"/>
  <c r="S53" i="50"/>
  <c r="S55" i="50" s="1"/>
  <c r="Q93" i="42"/>
  <c r="S93" i="42" s="1"/>
  <c r="Q94" i="42"/>
  <c r="S94" i="42" s="1"/>
  <c r="S57" i="51"/>
  <c r="N44" i="53"/>
  <c r="K44" i="53"/>
  <c r="N44" i="50"/>
  <c r="K44" i="50"/>
  <c r="N42" i="50"/>
  <c r="T497" i="4"/>
  <c r="V497" i="4" s="1"/>
  <c r="N47" i="50"/>
  <c r="T187" i="4"/>
  <c r="V187" i="4" s="1"/>
  <c r="V250" i="4"/>
  <c r="V252" i="4" s="1"/>
  <c r="T252" i="4"/>
  <c r="V561" i="4"/>
  <c r="V563" i="4" s="1"/>
  <c r="T563" i="4"/>
  <c r="V502" i="4"/>
  <c r="V505" i="4" s="1"/>
  <c r="T505" i="4"/>
  <c r="V430" i="4"/>
  <c r="V434" i="4" s="1"/>
  <c r="T579" i="4"/>
  <c r="V579" i="4" s="1"/>
  <c r="T423" i="4"/>
  <c r="T340" i="4"/>
  <c r="T727" i="4"/>
  <c r="V727" i="4"/>
  <c r="V594" i="4"/>
  <c r="U514" i="4"/>
  <c r="V514" i="4"/>
  <c r="T582" i="4" l="1"/>
  <c r="V582" i="4" s="1"/>
  <c r="T580" i="4"/>
  <c r="V580" i="4" s="1"/>
  <c r="V423" i="4"/>
  <c r="V426" i="4" s="1"/>
  <c r="T426" i="4"/>
  <c r="T53" i="50"/>
  <c r="T581" i="4"/>
  <c r="V581" i="4" s="1"/>
  <c r="T93" i="42"/>
  <c r="E95" i="42"/>
  <c r="G95" i="42" s="1"/>
  <c r="G58" i="51"/>
  <c r="T57" i="51"/>
  <c r="I96" i="42"/>
  <c r="K96" i="42" s="1"/>
  <c r="K59" i="51"/>
  <c r="R43" i="51"/>
  <c r="S43" i="51" s="1"/>
  <c r="O43" i="51"/>
  <c r="R43" i="50"/>
  <c r="S43" i="50" s="1"/>
  <c r="O43" i="50"/>
  <c r="R44" i="51"/>
  <c r="S44" i="51" s="1"/>
  <c r="O44" i="51"/>
  <c r="R44" i="53"/>
  <c r="S44" i="53" s="1"/>
  <c r="O44" i="53"/>
  <c r="T94" i="42"/>
  <c r="R43" i="53"/>
  <c r="S43" i="53" s="1"/>
  <c r="O43" i="53"/>
  <c r="G79" i="51"/>
  <c r="T76" i="51"/>
  <c r="T79" i="51" s="1"/>
  <c r="I95" i="42"/>
  <c r="K95" i="42" s="1"/>
  <c r="K58" i="51"/>
  <c r="E79" i="42"/>
  <c r="G79" i="42" s="1"/>
  <c r="G55" i="51"/>
  <c r="E96" i="42"/>
  <c r="G96" i="42" s="1"/>
  <c r="G59" i="51"/>
  <c r="R44" i="52"/>
  <c r="S44" i="52" s="1"/>
  <c r="O44" i="52"/>
  <c r="R43" i="52"/>
  <c r="S43" i="52" s="1"/>
  <c r="O43" i="52"/>
  <c r="R44" i="50"/>
  <c r="S44" i="50" s="1"/>
  <c r="O44" i="50"/>
  <c r="S61" i="51"/>
  <c r="O61" i="51"/>
  <c r="I79" i="42"/>
  <c r="K79" i="42" s="1"/>
  <c r="K55" i="51"/>
  <c r="R42" i="50"/>
  <c r="R47" i="50"/>
  <c r="T55" i="50"/>
  <c r="V340" i="4"/>
  <c r="V346" i="4" s="1"/>
  <c r="T346" i="4"/>
  <c r="K61" i="51" l="1"/>
  <c r="T43" i="50"/>
  <c r="T43" i="51"/>
  <c r="T43" i="52"/>
  <c r="T44" i="52"/>
  <c r="T44" i="53"/>
  <c r="T44" i="51"/>
  <c r="T43" i="53"/>
  <c r="T44" i="50"/>
  <c r="T55" i="51"/>
  <c r="T58" i="51"/>
  <c r="T59" i="51"/>
  <c r="T95" i="42"/>
  <c r="G61" i="51"/>
  <c r="T96" i="42"/>
  <c r="T79" i="42"/>
  <c r="J136" i="4"/>
  <c r="T136" i="4" s="1"/>
  <c r="V136" i="4" s="1"/>
  <c r="G135" i="4"/>
  <c r="D129" i="43" s="1"/>
  <c r="H129" i="43" s="1"/>
  <c r="J132" i="4"/>
  <c r="S126" i="4"/>
  <c r="P126" i="4"/>
  <c r="M126" i="4"/>
  <c r="J126" i="4"/>
  <c r="S125" i="4"/>
  <c r="S124" i="4"/>
  <c r="S123" i="4"/>
  <c r="M123" i="4"/>
  <c r="S122" i="4"/>
  <c r="P122" i="4"/>
  <c r="S121" i="4"/>
  <c r="P121" i="4"/>
  <c r="M121" i="4"/>
  <c r="J121" i="4"/>
  <c r="S98" i="4"/>
  <c r="P98" i="4"/>
  <c r="M98" i="4"/>
  <c r="J98" i="4"/>
  <c r="S97" i="4"/>
  <c r="P97" i="4"/>
  <c r="M97" i="4"/>
  <c r="J97" i="4"/>
  <c r="S96" i="4"/>
  <c r="P96" i="4"/>
  <c r="M96" i="4"/>
  <c r="J96" i="4"/>
  <c r="P94" i="4"/>
  <c r="M94" i="4"/>
  <c r="J94" i="4"/>
  <c r="S93" i="4"/>
  <c r="P93" i="4"/>
  <c r="M93" i="4"/>
  <c r="J93" i="4"/>
  <c r="U99" i="4"/>
  <c r="S85" i="4"/>
  <c r="P85" i="4"/>
  <c r="M85" i="4"/>
  <c r="J85" i="4"/>
  <c r="P83" i="4"/>
  <c r="M83" i="4"/>
  <c r="J83" i="4"/>
  <c r="P82" i="4"/>
  <c r="T82" i="4" s="1"/>
  <c r="P81" i="4"/>
  <c r="M81" i="4"/>
  <c r="J81" i="4"/>
  <c r="P80" i="4"/>
  <c r="M80" i="4"/>
  <c r="M75" i="4"/>
  <c r="R72" i="4"/>
  <c r="O72" i="4"/>
  <c r="P72" i="4" s="1"/>
  <c r="L72" i="4"/>
  <c r="M72" i="4" s="1"/>
  <c r="I72" i="4"/>
  <c r="J72" i="4" s="1"/>
  <c r="R71" i="4"/>
  <c r="S71" i="4" s="1"/>
  <c r="O71" i="4"/>
  <c r="P71" i="4" s="1"/>
  <c r="L71" i="4"/>
  <c r="M71" i="4" s="1"/>
  <c r="I71" i="4"/>
  <c r="J71" i="4" s="1"/>
  <c r="R70" i="4"/>
  <c r="O70" i="4"/>
  <c r="P70" i="4" s="1"/>
  <c r="L70" i="4"/>
  <c r="M70" i="4" s="1"/>
  <c r="I70" i="4"/>
  <c r="J70" i="4" s="1"/>
  <c r="R67" i="4"/>
  <c r="S67" i="4" s="1"/>
  <c r="O67" i="4"/>
  <c r="P67" i="4" s="1"/>
  <c r="L67" i="4"/>
  <c r="M67" i="4" s="1"/>
  <c r="I67" i="4"/>
  <c r="J67" i="4" s="1"/>
  <c r="R66" i="4"/>
  <c r="S66" i="4" s="1"/>
  <c r="O66" i="4"/>
  <c r="P66" i="4" s="1"/>
  <c r="L66" i="4"/>
  <c r="M66" i="4" s="1"/>
  <c r="I66" i="4"/>
  <c r="J66" i="4" s="1"/>
  <c r="R65" i="4"/>
  <c r="O65" i="4"/>
  <c r="P65" i="4" s="1"/>
  <c r="L65" i="4"/>
  <c r="M65" i="4" s="1"/>
  <c r="I65" i="4"/>
  <c r="J65" i="4" s="1"/>
  <c r="T132" i="4" l="1"/>
  <c r="V132" i="4" s="1"/>
  <c r="T67" i="4"/>
  <c r="V67" i="4" s="1"/>
  <c r="T61" i="51"/>
  <c r="S65" i="4"/>
  <c r="T65" i="4" s="1"/>
  <c r="V65" i="4" s="1"/>
  <c r="Q88" i="42"/>
  <c r="Q89" i="42"/>
  <c r="S72" i="4"/>
  <c r="T72" i="4" s="1"/>
  <c r="V72" i="4" s="1"/>
  <c r="Q91" i="42"/>
  <c r="S70" i="4"/>
  <c r="T70" i="4" s="1"/>
  <c r="V70" i="4" s="1"/>
  <c r="Q90" i="42"/>
  <c r="T81" i="4"/>
  <c r="V81" i="4" s="1"/>
  <c r="T126" i="4"/>
  <c r="V126" i="4" s="1"/>
  <c r="T71" i="4"/>
  <c r="V71" i="4" s="1"/>
  <c r="O76" i="4"/>
  <c r="P76" i="4" s="1"/>
  <c r="P75" i="4"/>
  <c r="R76" i="4"/>
  <c r="S76" i="4" s="1"/>
  <c r="S75" i="4"/>
  <c r="V82" i="4"/>
  <c r="T93" i="4"/>
  <c r="V93" i="4" s="1"/>
  <c r="T98" i="4"/>
  <c r="V98" i="4" s="1"/>
  <c r="T66" i="4"/>
  <c r="V66" i="4" s="1"/>
  <c r="M135" i="4"/>
  <c r="P135" i="4"/>
  <c r="S135" i="4"/>
  <c r="I76" i="4"/>
  <c r="J76" i="4" s="1"/>
  <c r="J75" i="4"/>
  <c r="P89" i="4"/>
  <c r="S89" i="4"/>
  <c r="T85" i="4"/>
  <c r="V85" i="4" s="1"/>
  <c r="T96" i="4"/>
  <c r="V96" i="4" s="1"/>
  <c r="T80" i="4"/>
  <c r="V80" i="4" s="1"/>
  <c r="T83" i="4"/>
  <c r="V83" i="4" s="1"/>
  <c r="P90" i="4"/>
  <c r="M90" i="4"/>
  <c r="S90" i="4"/>
  <c r="T94" i="4"/>
  <c r="V94" i="4" s="1"/>
  <c r="T97" i="4"/>
  <c r="V97" i="4" s="1"/>
  <c r="T121" i="4"/>
  <c r="V121" i="4" s="1"/>
  <c r="S88" i="4"/>
  <c r="J135" i="4"/>
  <c r="U101" i="4"/>
  <c r="D21" i="28" s="1"/>
  <c r="M125" i="4"/>
  <c r="M124" i="4"/>
  <c r="P123" i="4"/>
  <c r="P125" i="4"/>
  <c r="P124" i="4"/>
  <c r="J122" i="4"/>
  <c r="J123" i="4"/>
  <c r="J124" i="4"/>
  <c r="J125" i="4"/>
  <c r="M122" i="4"/>
  <c r="M88" i="4"/>
  <c r="L76" i="4"/>
  <c r="M76" i="4" s="1"/>
  <c r="J88" i="4"/>
  <c r="P88" i="4"/>
  <c r="R671" i="4"/>
  <c r="Q7" i="53" s="1"/>
  <c r="O671" i="4"/>
  <c r="M7" i="53" s="1"/>
  <c r="L671" i="4"/>
  <c r="I7" i="53" s="1"/>
  <c r="I671" i="4"/>
  <c r="E7" i="53" s="1"/>
  <c r="Q671" i="4"/>
  <c r="R7" i="53" s="1"/>
  <c r="N671" i="4"/>
  <c r="N7" i="53" s="1"/>
  <c r="K671" i="4"/>
  <c r="J7" i="53" s="1"/>
  <c r="H671" i="4"/>
  <c r="F7" i="53" s="1"/>
  <c r="U721" i="4"/>
  <c r="U717" i="4"/>
  <c r="U713" i="4"/>
  <c r="U708" i="4"/>
  <c r="U701" i="4"/>
  <c r="Q601" i="4"/>
  <c r="R7" i="52" s="1"/>
  <c r="N601" i="4"/>
  <c r="N7" i="52" s="1"/>
  <c r="K601" i="4"/>
  <c r="J7" i="52" s="1"/>
  <c r="H601" i="4"/>
  <c r="F7" i="52" s="1"/>
  <c r="R601" i="4"/>
  <c r="Q7" i="52" s="1"/>
  <c r="O601" i="4"/>
  <c r="M7" i="52" s="1"/>
  <c r="L601" i="4"/>
  <c r="I7" i="52" s="1"/>
  <c r="I601" i="4"/>
  <c r="E7" i="52" s="1"/>
  <c r="D601" i="4"/>
  <c r="A7" i="52" s="1"/>
  <c r="D598" i="4"/>
  <c r="U660" i="4"/>
  <c r="U642" i="4"/>
  <c r="U638" i="4"/>
  <c r="Q521" i="4"/>
  <c r="R7" i="51" s="1"/>
  <c r="N521" i="4"/>
  <c r="N7" i="51" s="1"/>
  <c r="K521" i="4"/>
  <c r="J7" i="51" s="1"/>
  <c r="H521" i="4"/>
  <c r="F7" i="51" s="1"/>
  <c r="R521" i="4"/>
  <c r="Q7" i="51" s="1"/>
  <c r="O521" i="4"/>
  <c r="M7" i="51" s="1"/>
  <c r="L521" i="4"/>
  <c r="I7" i="51" s="1"/>
  <c r="I521" i="4"/>
  <c r="E7" i="51" s="1"/>
  <c r="D521" i="4"/>
  <c r="A7" i="51" s="1"/>
  <c r="D518" i="4"/>
  <c r="U589" i="4"/>
  <c r="U583" i="4"/>
  <c r="U569" i="4"/>
  <c r="U558" i="4"/>
  <c r="U551" i="4"/>
  <c r="J735" i="4"/>
  <c r="M735" i="4"/>
  <c r="P735" i="4"/>
  <c r="S735" i="4"/>
  <c r="U735" i="4"/>
  <c r="R447" i="4"/>
  <c r="Q7" i="50" s="1"/>
  <c r="O447" i="4"/>
  <c r="M7" i="50" s="1"/>
  <c r="L447" i="4"/>
  <c r="I7" i="50" s="1"/>
  <c r="I447" i="4"/>
  <c r="E7" i="50" s="1"/>
  <c r="Q447" i="4"/>
  <c r="R7" i="50" s="1"/>
  <c r="N447" i="4"/>
  <c r="N7" i="50" s="1"/>
  <c r="K447" i="4"/>
  <c r="J7" i="50" s="1"/>
  <c r="H447" i="4"/>
  <c r="F7" i="50" s="1"/>
  <c r="D447" i="4"/>
  <c r="A7" i="50" s="1"/>
  <c r="D444" i="4"/>
  <c r="U498" i="4"/>
  <c r="U493" i="4"/>
  <c r="U484" i="4"/>
  <c r="U477" i="4"/>
  <c r="M162" i="30"/>
  <c r="M131" i="30"/>
  <c r="M122" i="30"/>
  <c r="M91" i="30"/>
  <c r="M82" i="30"/>
  <c r="M51" i="30"/>
  <c r="M42" i="30"/>
  <c r="M11" i="30"/>
  <c r="T89" i="4" l="1"/>
  <c r="V89" i="4" s="1"/>
  <c r="T19" i="4"/>
  <c r="V19" i="4" s="1"/>
  <c r="T21" i="4"/>
  <c r="V21" i="4" s="1"/>
  <c r="T122" i="4"/>
  <c r="V122" i="4" s="1"/>
  <c r="J77" i="4"/>
  <c r="T75" i="4"/>
  <c r="V75" i="4" s="1"/>
  <c r="T88" i="4"/>
  <c r="V88" i="4" s="1"/>
  <c r="T90" i="4"/>
  <c r="V90" i="4" s="1"/>
  <c r="T76" i="4"/>
  <c r="V76" i="4" s="1"/>
  <c r="T125" i="4"/>
  <c r="V125" i="4" s="1"/>
  <c r="T124" i="4"/>
  <c r="V124" i="4" s="1"/>
  <c r="T735" i="4"/>
  <c r="T123" i="4"/>
  <c r="V123" i="4" s="1"/>
  <c r="T135" i="4"/>
  <c r="V135" i="4" s="1"/>
  <c r="S101" i="4"/>
  <c r="H35" i="48" s="1"/>
  <c r="E477" i="4"/>
  <c r="E701" i="4"/>
  <c r="E631" i="4"/>
  <c r="E551" i="4"/>
  <c r="U729" i="4"/>
  <c r="G671" i="4"/>
  <c r="U666" i="4"/>
  <c r="U596" i="4"/>
  <c r="U516" i="4"/>
  <c r="D33" i="28" s="1"/>
  <c r="S99" i="4"/>
  <c r="M101" i="4"/>
  <c r="F35" i="48" s="1"/>
  <c r="J99" i="4"/>
  <c r="P101" i="4"/>
  <c r="G35" i="48" s="1"/>
  <c r="J101" i="4"/>
  <c r="E35" i="48" s="1"/>
  <c r="P99" i="4"/>
  <c r="M99" i="4"/>
  <c r="J713" i="4"/>
  <c r="P717" i="4"/>
  <c r="S717" i="4"/>
  <c r="S713" i="4"/>
  <c r="S721" i="4"/>
  <c r="J721" i="4"/>
  <c r="P721" i="4"/>
  <c r="J717" i="4"/>
  <c r="M721" i="4"/>
  <c r="G447" i="4"/>
  <c r="G601" i="4"/>
  <c r="M713" i="4"/>
  <c r="P660" i="4"/>
  <c r="M717" i="4"/>
  <c r="S569" i="4"/>
  <c r="S660" i="4"/>
  <c r="J569" i="4"/>
  <c r="P589" i="4"/>
  <c r="M589" i="4"/>
  <c r="S589" i="4"/>
  <c r="P642" i="4"/>
  <c r="J642" i="4"/>
  <c r="G521" i="4"/>
  <c r="M642" i="4"/>
  <c r="S583" i="4"/>
  <c r="S642" i="4"/>
  <c r="M569" i="4"/>
  <c r="J589" i="4"/>
  <c r="P583" i="4"/>
  <c r="M583" i="4"/>
  <c r="P569" i="4"/>
  <c r="J583" i="4"/>
  <c r="P493" i="4"/>
  <c r="J493" i="4"/>
  <c r="M498" i="4"/>
  <c r="M493" i="4"/>
  <c r="S493" i="4"/>
  <c r="J498" i="4"/>
  <c r="P498" i="4"/>
  <c r="S498" i="4"/>
  <c r="D34" i="28" l="1"/>
  <c r="C96" i="51"/>
  <c r="M521" i="4"/>
  <c r="M556" i="4" s="1"/>
  <c r="D7" i="51"/>
  <c r="D35" i="28"/>
  <c r="C93" i="52"/>
  <c r="P671" i="4"/>
  <c r="P707" i="4" s="1"/>
  <c r="D7" i="53"/>
  <c r="D36" i="28"/>
  <c r="C84" i="53"/>
  <c r="P601" i="4"/>
  <c r="P637" i="4" s="1"/>
  <c r="D7" i="52"/>
  <c r="S447" i="4"/>
  <c r="S483" i="4" s="1"/>
  <c r="D7" i="50"/>
  <c r="E33" i="48"/>
  <c r="V99" i="4"/>
  <c r="T33" i="4"/>
  <c r="V33" i="4" s="1"/>
  <c r="J671" i="4"/>
  <c r="P521" i="4"/>
  <c r="P447" i="4"/>
  <c r="J601" i="4"/>
  <c r="M671" i="4"/>
  <c r="S521" i="4"/>
  <c r="M601" i="4"/>
  <c r="J447" i="4"/>
  <c r="S601" i="4"/>
  <c r="S671" i="4"/>
  <c r="J521" i="4"/>
  <c r="M447" i="4"/>
  <c r="T101" i="4"/>
  <c r="B21" i="28" s="1"/>
  <c r="T99" i="4"/>
  <c r="V735" i="4"/>
  <c r="V569" i="4"/>
  <c r="T721" i="4"/>
  <c r="V721" i="4"/>
  <c r="V717" i="4"/>
  <c r="T717" i="4"/>
  <c r="P713" i="4"/>
  <c r="T583" i="4"/>
  <c r="T569" i="4"/>
  <c r="V583" i="4"/>
  <c r="V589" i="4"/>
  <c r="T589" i="4"/>
  <c r="T498" i="4"/>
  <c r="V498" i="4"/>
  <c r="V493" i="4"/>
  <c r="T493" i="4"/>
  <c r="P706" i="4" l="1"/>
  <c r="P636" i="4"/>
  <c r="S482" i="4"/>
  <c r="G7" i="53"/>
  <c r="H7" i="53"/>
  <c r="H7" i="50"/>
  <c r="G7" i="50"/>
  <c r="T93" i="52"/>
  <c r="G37" i="54" s="1"/>
  <c r="C94" i="52"/>
  <c r="G7" i="52"/>
  <c r="H7" i="52"/>
  <c r="H7" i="51"/>
  <c r="G7" i="51"/>
  <c r="M557" i="4"/>
  <c r="T84" i="53"/>
  <c r="G38" i="54" s="1"/>
  <c r="C85" i="53"/>
  <c r="T96" i="51"/>
  <c r="G36" i="54" s="1"/>
  <c r="C97" i="51"/>
  <c r="J556" i="4"/>
  <c r="J706" i="4"/>
  <c r="J483" i="4"/>
  <c r="J482" i="4"/>
  <c r="J636" i="4"/>
  <c r="S707" i="4"/>
  <c r="S706" i="4"/>
  <c r="S636" i="4"/>
  <c r="S637" i="4"/>
  <c r="M636" i="4"/>
  <c r="M637" i="4"/>
  <c r="S556" i="4"/>
  <c r="S557" i="4"/>
  <c r="P483" i="4"/>
  <c r="P482" i="4"/>
  <c r="P557" i="4"/>
  <c r="P556" i="4"/>
  <c r="M707" i="4"/>
  <c r="M706" i="4"/>
  <c r="M483" i="4"/>
  <c r="M482" i="4"/>
  <c r="J707" i="4"/>
  <c r="T521" i="4"/>
  <c r="V521" i="4" s="1"/>
  <c r="T601" i="4"/>
  <c r="V601" i="4" s="1"/>
  <c r="T447" i="4"/>
  <c r="V447" i="4" s="1"/>
  <c r="T671" i="4"/>
  <c r="V671" i="4" s="1"/>
  <c r="J637" i="4"/>
  <c r="J557" i="4"/>
  <c r="V713" i="4"/>
  <c r="T713" i="4"/>
  <c r="V642" i="4"/>
  <c r="T642" i="4"/>
  <c r="G8" i="50" l="1"/>
  <c r="L7" i="50"/>
  <c r="K7" i="50"/>
  <c r="K8" i="50" s="1"/>
  <c r="G8" i="52"/>
  <c r="G8" i="51"/>
  <c r="K7" i="53"/>
  <c r="K8" i="53" s="1"/>
  <c r="L7" i="53"/>
  <c r="L7" i="52"/>
  <c r="K7" i="52"/>
  <c r="K8" i="52" s="1"/>
  <c r="L7" i="51"/>
  <c r="K7" i="51"/>
  <c r="K8" i="51" s="1"/>
  <c r="G8" i="53"/>
  <c r="T707" i="4"/>
  <c r="V707" i="4" s="1"/>
  <c r="T706" i="4"/>
  <c r="V706" i="4" s="1"/>
  <c r="T556" i="4"/>
  <c r="V556" i="4" s="1"/>
  <c r="T557" i="4"/>
  <c r="V557" i="4" s="1"/>
  <c r="V631" i="4"/>
  <c r="T705" i="4"/>
  <c r="V705" i="4" s="1"/>
  <c r="T635" i="4"/>
  <c r="V635" i="4" s="1"/>
  <c r="T636" i="4"/>
  <c r="V636" i="4" s="1"/>
  <c r="T555" i="4"/>
  <c r="V555" i="4" s="1"/>
  <c r="T637" i="4"/>
  <c r="V637" i="4" s="1"/>
  <c r="T631" i="4"/>
  <c r="A58" i="42"/>
  <c r="B58" i="42"/>
  <c r="I58" i="42"/>
  <c r="M58" i="42"/>
  <c r="Q58" i="42"/>
  <c r="M58" i="43"/>
  <c r="H42" i="50" l="1"/>
  <c r="K42" i="50" s="1"/>
  <c r="K45" i="50" s="1"/>
  <c r="H47" i="50"/>
  <c r="K47" i="50" s="1"/>
  <c r="K48" i="50" s="1"/>
  <c r="K40" i="50"/>
  <c r="P7" i="53"/>
  <c r="S7" i="53" s="1"/>
  <c r="S8" i="53" s="1"/>
  <c r="O7" i="53"/>
  <c r="O8" i="53" s="1"/>
  <c r="O7" i="51"/>
  <c r="P7" i="51"/>
  <c r="S7" i="51" s="1"/>
  <c r="S8" i="51" s="1"/>
  <c r="H47" i="52"/>
  <c r="K47" i="52" s="1"/>
  <c r="K48" i="52" s="1"/>
  <c r="H42" i="52"/>
  <c r="K42" i="52" s="1"/>
  <c r="K45" i="52" s="1"/>
  <c r="K40" i="52"/>
  <c r="P7" i="52"/>
  <c r="S7" i="52" s="1"/>
  <c r="S8" i="52" s="1"/>
  <c r="O7" i="52"/>
  <c r="O8" i="52" s="1"/>
  <c r="H47" i="53"/>
  <c r="K47" i="53" s="1"/>
  <c r="K48" i="53" s="1"/>
  <c r="H42" i="53"/>
  <c r="K42" i="53" s="1"/>
  <c r="K45" i="53" s="1"/>
  <c r="K40" i="53"/>
  <c r="D42" i="50"/>
  <c r="G42" i="50" s="1"/>
  <c r="D47" i="50"/>
  <c r="G47" i="50" s="1"/>
  <c r="G40" i="50"/>
  <c r="D42" i="53"/>
  <c r="G42" i="53" s="1"/>
  <c r="D47" i="53"/>
  <c r="G47" i="53" s="1"/>
  <c r="G40" i="53"/>
  <c r="D47" i="51"/>
  <c r="G47" i="51" s="1"/>
  <c r="D42" i="51"/>
  <c r="G42" i="51" s="1"/>
  <c r="G40" i="51"/>
  <c r="D42" i="52"/>
  <c r="G42" i="52" s="1"/>
  <c r="D47" i="52"/>
  <c r="G47" i="52" s="1"/>
  <c r="G40" i="52"/>
  <c r="P7" i="50"/>
  <c r="S7" i="50" s="1"/>
  <c r="S8" i="50" s="1"/>
  <c r="O7" i="50"/>
  <c r="O8" i="50" s="1"/>
  <c r="H42" i="51"/>
  <c r="K42" i="51" s="1"/>
  <c r="K45" i="51" s="1"/>
  <c r="H47" i="51"/>
  <c r="K47" i="51" s="1"/>
  <c r="K48" i="51" s="1"/>
  <c r="K40" i="51"/>
  <c r="G57" i="43"/>
  <c r="H57" i="43"/>
  <c r="L57" i="43" s="1"/>
  <c r="P57" i="43" s="1"/>
  <c r="H58" i="43"/>
  <c r="G58" i="43"/>
  <c r="G58" i="42"/>
  <c r="H58" i="42"/>
  <c r="G169" i="42"/>
  <c r="G121" i="43"/>
  <c r="G120" i="43"/>
  <c r="G119" i="43"/>
  <c r="H183" i="42"/>
  <c r="G183" i="42"/>
  <c r="H98" i="46"/>
  <c r="G98" i="46"/>
  <c r="H94" i="46"/>
  <c r="G94" i="46"/>
  <c r="G310" i="4"/>
  <c r="F44" i="46" s="1"/>
  <c r="J44" i="46" s="1"/>
  <c r="N44" i="46" s="1"/>
  <c r="R44" i="46" s="1"/>
  <c r="U420" i="4"/>
  <c r="K49" i="52" l="1"/>
  <c r="K84" i="52" s="1"/>
  <c r="H88" i="52" s="1"/>
  <c r="K88" i="52" s="1"/>
  <c r="K90" i="52" s="1"/>
  <c r="K92" i="52" s="1"/>
  <c r="K94" i="52" s="1"/>
  <c r="T8" i="53"/>
  <c r="K49" i="53"/>
  <c r="K75" i="53" s="1"/>
  <c r="H79" i="53" s="1"/>
  <c r="K79" i="53" s="1"/>
  <c r="K81" i="53" s="1"/>
  <c r="K83" i="53" s="1"/>
  <c r="K85" i="53" s="1"/>
  <c r="T8" i="52"/>
  <c r="T7" i="52"/>
  <c r="K49" i="51"/>
  <c r="K87" i="51" s="1"/>
  <c r="H91" i="51" s="1"/>
  <c r="K91" i="51" s="1"/>
  <c r="K93" i="51" s="1"/>
  <c r="K95" i="51" s="1"/>
  <c r="K97" i="51" s="1"/>
  <c r="L42" i="53"/>
  <c r="O42" i="53" s="1"/>
  <c r="O45" i="53" s="1"/>
  <c r="L47" i="53"/>
  <c r="O47" i="53" s="1"/>
  <c r="O48" i="53" s="1"/>
  <c r="O40" i="53"/>
  <c r="G45" i="52"/>
  <c r="G45" i="53"/>
  <c r="L42" i="52"/>
  <c r="O42" i="52" s="1"/>
  <c r="O45" i="52" s="1"/>
  <c r="L47" i="52"/>
  <c r="O47" i="52" s="1"/>
  <c r="O48" i="52" s="1"/>
  <c r="O40" i="52"/>
  <c r="P47" i="53"/>
  <c r="S47" i="53" s="1"/>
  <c r="S48" i="53" s="1"/>
  <c r="P42" i="53"/>
  <c r="S42" i="53" s="1"/>
  <c r="S45" i="53" s="1"/>
  <c r="S40" i="53"/>
  <c r="O8" i="51"/>
  <c r="T7" i="51"/>
  <c r="P47" i="51"/>
  <c r="S47" i="51" s="1"/>
  <c r="S48" i="51" s="1"/>
  <c r="P42" i="51"/>
  <c r="S42" i="51" s="1"/>
  <c r="S45" i="51" s="1"/>
  <c r="S40" i="51"/>
  <c r="G48" i="52"/>
  <c r="P42" i="52"/>
  <c r="S42" i="52" s="1"/>
  <c r="S45" i="52" s="1"/>
  <c r="P47" i="52"/>
  <c r="S47" i="52" s="1"/>
  <c r="S48" i="52" s="1"/>
  <c r="S40" i="52"/>
  <c r="T7" i="50"/>
  <c r="G48" i="50"/>
  <c r="L47" i="50"/>
  <c r="O47" i="50" s="1"/>
  <c r="O48" i="50" s="1"/>
  <c r="L42" i="50"/>
  <c r="O42" i="50" s="1"/>
  <c r="O45" i="50" s="1"/>
  <c r="O40" i="50"/>
  <c r="G45" i="51"/>
  <c r="T8" i="50"/>
  <c r="G48" i="53"/>
  <c r="P47" i="50"/>
  <c r="S47" i="50" s="1"/>
  <c r="S48" i="50" s="1"/>
  <c r="P42" i="50"/>
  <c r="S42" i="50" s="1"/>
  <c r="S45" i="50" s="1"/>
  <c r="S40" i="50"/>
  <c r="G48" i="51"/>
  <c r="G45" i="50"/>
  <c r="K49" i="50"/>
  <c r="K80" i="50" s="1"/>
  <c r="H84" i="50" s="1"/>
  <c r="K84" i="50" s="1"/>
  <c r="K86" i="50" s="1"/>
  <c r="K88" i="50" s="1"/>
  <c r="K90" i="50" s="1"/>
  <c r="E638" i="4"/>
  <c r="E666" i="4" s="1"/>
  <c r="E558" i="4"/>
  <c r="E596" i="4" s="1"/>
  <c r="E708" i="4"/>
  <c r="E729" i="4" s="1"/>
  <c r="E484" i="4"/>
  <c r="E516" i="4" s="1"/>
  <c r="K57" i="43"/>
  <c r="K58" i="43"/>
  <c r="L58" i="43"/>
  <c r="K58" i="42"/>
  <c r="L58" i="42"/>
  <c r="H169" i="42"/>
  <c r="L169" i="42" s="1"/>
  <c r="O57" i="43"/>
  <c r="S57" i="43"/>
  <c r="G118" i="43"/>
  <c r="K120" i="43"/>
  <c r="K119" i="43"/>
  <c r="K121" i="43"/>
  <c r="L183" i="42"/>
  <c r="K183" i="42"/>
  <c r="K98" i="46"/>
  <c r="L98" i="46"/>
  <c r="L94" i="46"/>
  <c r="K94" i="46"/>
  <c r="B51" i="42"/>
  <c r="B48" i="42"/>
  <c r="Q57" i="42"/>
  <c r="H57" i="42"/>
  <c r="B57" i="42"/>
  <c r="A57" i="42"/>
  <c r="J56" i="42"/>
  <c r="N56" i="42" s="1"/>
  <c r="B56" i="42"/>
  <c r="A56" i="42"/>
  <c r="B55" i="42"/>
  <c r="A55" i="42"/>
  <c r="A11" i="42"/>
  <c r="Q7" i="42"/>
  <c r="S7" i="42" s="1"/>
  <c r="M7" i="42"/>
  <c r="I7" i="42"/>
  <c r="E7" i="42"/>
  <c r="B7" i="42"/>
  <c r="A7" i="42"/>
  <c r="Q7" i="43"/>
  <c r="M7" i="43"/>
  <c r="I7" i="43"/>
  <c r="J56" i="43"/>
  <c r="N56" i="43" s="1"/>
  <c r="R56" i="43" s="1"/>
  <c r="I56" i="43"/>
  <c r="E56" i="42"/>
  <c r="G56" i="42" s="1"/>
  <c r="I57" i="42"/>
  <c r="S49" i="53" l="1"/>
  <c r="S75" i="53" s="1"/>
  <c r="P79" i="53" s="1"/>
  <c r="S79" i="53" s="1"/>
  <c r="S81" i="53" s="1"/>
  <c r="S83" i="53" s="1"/>
  <c r="S85" i="53" s="1"/>
  <c r="S49" i="51"/>
  <c r="S87" i="51" s="1"/>
  <c r="P91" i="51" s="1"/>
  <c r="S91" i="51" s="1"/>
  <c r="S93" i="51" s="1"/>
  <c r="S95" i="51" s="1"/>
  <c r="S97" i="51" s="1"/>
  <c r="T42" i="53"/>
  <c r="T40" i="53"/>
  <c r="T47" i="52"/>
  <c r="T42" i="52"/>
  <c r="T40" i="50"/>
  <c r="O49" i="52"/>
  <c r="O84" i="52" s="1"/>
  <c r="L88" i="52" s="1"/>
  <c r="O88" i="52" s="1"/>
  <c r="O90" i="52" s="1"/>
  <c r="O92" i="52" s="1"/>
  <c r="O94" i="52" s="1"/>
  <c r="T45" i="52"/>
  <c r="T45" i="50"/>
  <c r="G49" i="53"/>
  <c r="T48" i="53"/>
  <c r="L47" i="51"/>
  <c r="O47" i="51" s="1"/>
  <c r="L42" i="51"/>
  <c r="O42" i="51" s="1"/>
  <c r="O40" i="51"/>
  <c r="T8" i="51"/>
  <c r="G49" i="50"/>
  <c r="S49" i="50"/>
  <c r="S80" i="50" s="1"/>
  <c r="P84" i="50" s="1"/>
  <c r="S84" i="50" s="1"/>
  <c r="S86" i="50" s="1"/>
  <c r="S88" i="50" s="1"/>
  <c r="S90" i="50" s="1"/>
  <c r="T40" i="52"/>
  <c r="O49" i="53"/>
  <c r="O75" i="53" s="1"/>
  <c r="L79" i="53" s="1"/>
  <c r="O79" i="53" s="1"/>
  <c r="O81" i="53" s="1"/>
  <c r="O83" i="53" s="1"/>
  <c r="O85" i="53" s="1"/>
  <c r="T48" i="50"/>
  <c r="O49" i="50"/>
  <c r="O80" i="50" s="1"/>
  <c r="L84" i="50" s="1"/>
  <c r="O84" i="50" s="1"/>
  <c r="O86" i="50" s="1"/>
  <c r="O88" i="50" s="1"/>
  <c r="O90" i="50" s="1"/>
  <c r="G49" i="51"/>
  <c r="T47" i="50"/>
  <c r="G49" i="52"/>
  <c r="T48" i="52"/>
  <c r="T45" i="53"/>
  <c r="T42" i="50"/>
  <c r="T47" i="53"/>
  <c r="S49" i="52"/>
  <c r="S84" i="52" s="1"/>
  <c r="P88" i="52" s="1"/>
  <c r="S88" i="52" s="1"/>
  <c r="S90" i="52" s="1"/>
  <c r="S92" i="52" s="1"/>
  <c r="S94" i="52" s="1"/>
  <c r="D59" i="41"/>
  <c r="D65" i="41"/>
  <c r="D61" i="41"/>
  <c r="D63" i="41"/>
  <c r="T28" i="4"/>
  <c r="V28" i="4" s="1"/>
  <c r="T26" i="4"/>
  <c r="V26" i="4" s="1"/>
  <c r="J701" i="4"/>
  <c r="M701" i="4"/>
  <c r="S701" i="4"/>
  <c r="M631" i="4"/>
  <c r="J631" i="4"/>
  <c r="S631" i="4"/>
  <c r="M551" i="4"/>
  <c r="S551" i="4"/>
  <c r="J551" i="4"/>
  <c r="P701" i="4"/>
  <c r="P631" i="4"/>
  <c r="P551" i="4"/>
  <c r="K169" i="42"/>
  <c r="P58" i="43"/>
  <c r="S58" i="43" s="1"/>
  <c r="O58" i="43"/>
  <c r="O58" i="42"/>
  <c r="P58" i="42"/>
  <c r="S58" i="42" s="1"/>
  <c r="T57" i="43"/>
  <c r="O169" i="42"/>
  <c r="P169" i="42"/>
  <c r="K118" i="43"/>
  <c r="O121" i="43"/>
  <c r="S121" i="43"/>
  <c r="S120" i="43"/>
  <c r="O120" i="43"/>
  <c r="S119" i="43"/>
  <c r="O119" i="43"/>
  <c r="O183" i="42"/>
  <c r="P183" i="42"/>
  <c r="S183" i="42" s="1"/>
  <c r="P98" i="46"/>
  <c r="S98" i="46" s="1"/>
  <c r="O98" i="46"/>
  <c r="P94" i="46"/>
  <c r="S94" i="46" s="1"/>
  <c r="O94" i="46"/>
  <c r="G16" i="44"/>
  <c r="G64" i="47"/>
  <c r="M57" i="42"/>
  <c r="I56" i="42"/>
  <c r="H56" i="43"/>
  <c r="L56" i="43" s="1"/>
  <c r="P56" i="43" s="1"/>
  <c r="S56" i="43" s="1"/>
  <c r="M56" i="43"/>
  <c r="M56" i="42"/>
  <c r="E56" i="43"/>
  <c r="Q56" i="42"/>
  <c r="J51" i="42"/>
  <c r="H56" i="42"/>
  <c r="L57" i="42"/>
  <c r="K57" i="42"/>
  <c r="J55" i="42"/>
  <c r="N55" i="42" s="1"/>
  <c r="T40" i="51" l="1"/>
  <c r="O45" i="51"/>
  <c r="T45" i="51" s="1"/>
  <c r="T42" i="51"/>
  <c r="G87" i="51"/>
  <c r="T49" i="50"/>
  <c r="T80" i="50" s="1"/>
  <c r="G80" i="50"/>
  <c r="O48" i="51"/>
  <c r="T47" i="51"/>
  <c r="T49" i="52"/>
  <c r="T84" i="52" s="1"/>
  <c r="G84" i="52"/>
  <c r="T49" i="53"/>
  <c r="T75" i="53" s="1"/>
  <c r="G75" i="53"/>
  <c r="G15" i="44"/>
  <c r="T634" i="4"/>
  <c r="V634" i="4" s="1"/>
  <c r="T554" i="4"/>
  <c r="V554" i="4" s="1"/>
  <c r="V704" i="4"/>
  <c r="V701" i="4"/>
  <c r="T701" i="4"/>
  <c r="V551" i="4"/>
  <c r="T551" i="4"/>
  <c r="T98" i="46"/>
  <c r="T120" i="43"/>
  <c r="T58" i="43"/>
  <c r="T58" i="42"/>
  <c r="T119" i="43"/>
  <c r="O118" i="43"/>
  <c r="S118" i="43"/>
  <c r="T121" i="43"/>
  <c r="T183" i="42"/>
  <c r="T94" i="46"/>
  <c r="K16" i="44"/>
  <c r="K64" i="47"/>
  <c r="N51" i="42"/>
  <c r="P57" i="42"/>
  <c r="S57" i="42" s="1"/>
  <c r="O57" i="42"/>
  <c r="K56" i="42"/>
  <c r="L56" i="42"/>
  <c r="R55" i="42"/>
  <c r="D84" i="50" l="1"/>
  <c r="G84" i="50" s="1"/>
  <c r="G86" i="50" s="1"/>
  <c r="U80" i="50"/>
  <c r="D79" i="53"/>
  <c r="G79" i="53" s="1"/>
  <c r="G81" i="53" s="1"/>
  <c r="U75" i="53"/>
  <c r="D91" i="51"/>
  <c r="G91" i="51" s="1"/>
  <c r="G93" i="51" s="1"/>
  <c r="U87" i="51"/>
  <c r="D88" i="52"/>
  <c r="G88" i="52" s="1"/>
  <c r="G90" i="52" s="1"/>
  <c r="U84" i="52"/>
  <c r="O49" i="51"/>
  <c r="T48" i="51"/>
  <c r="K15" i="44"/>
  <c r="T118" i="43"/>
  <c r="G38" i="45"/>
  <c r="G14" i="44"/>
  <c r="G34" i="44"/>
  <c r="O64" i="47"/>
  <c r="T57" i="42"/>
  <c r="R51" i="42"/>
  <c r="P56" i="42"/>
  <c r="S56" i="42" s="1"/>
  <c r="O56" i="42"/>
  <c r="H226" i="42"/>
  <c r="H207" i="42"/>
  <c r="L207" i="42" s="1"/>
  <c r="P207" i="42" s="1"/>
  <c r="E139" i="42"/>
  <c r="B70" i="42"/>
  <c r="A70" i="42"/>
  <c r="B69" i="42"/>
  <c r="A69" i="42"/>
  <c r="B68" i="42"/>
  <c r="A68" i="42"/>
  <c r="B64" i="42"/>
  <c r="A64" i="42"/>
  <c r="B63" i="42"/>
  <c r="A63" i="42"/>
  <c r="Q84" i="46"/>
  <c r="Q169" i="42" s="1"/>
  <c r="S169" i="42" s="1"/>
  <c r="T169" i="42" s="1"/>
  <c r="U411" i="4"/>
  <c r="U314" i="4"/>
  <c r="T84" i="50" l="1"/>
  <c r="T86" i="50" s="1"/>
  <c r="F22" i="54" s="1"/>
  <c r="T79" i="53"/>
  <c r="T81" i="53" s="1"/>
  <c r="F25" i="54" s="1"/>
  <c r="G92" i="52"/>
  <c r="G94" i="52" s="1"/>
  <c r="T94" i="52" s="1"/>
  <c r="U90" i="52"/>
  <c r="G95" i="51"/>
  <c r="G97" i="51" s="1"/>
  <c r="U93" i="51"/>
  <c r="G83" i="53"/>
  <c r="G85" i="53" s="1"/>
  <c r="T85" i="53" s="1"/>
  <c r="U81" i="53"/>
  <c r="G88" i="50"/>
  <c r="G90" i="50" s="1"/>
  <c r="T90" i="50" s="1"/>
  <c r="U86" i="50"/>
  <c r="T88" i="52"/>
  <c r="T90" i="52" s="1"/>
  <c r="F37" i="54" s="1"/>
  <c r="T49" i="51"/>
  <c r="T87" i="51" s="1"/>
  <c r="O87" i="51"/>
  <c r="L91" i="51" s="1"/>
  <c r="O91" i="51" s="1"/>
  <c r="T15" i="44"/>
  <c r="K34" i="44"/>
  <c r="T16" i="44"/>
  <c r="K14" i="44"/>
  <c r="K38" i="45"/>
  <c r="T64" i="47"/>
  <c r="T56" i="42"/>
  <c r="G63" i="47"/>
  <c r="L226" i="42"/>
  <c r="K226" i="42"/>
  <c r="G226" i="42"/>
  <c r="H189" i="42"/>
  <c r="G189" i="42"/>
  <c r="H196" i="42"/>
  <c r="G196" i="42"/>
  <c r="G188" i="42"/>
  <c r="H188" i="42"/>
  <c r="H185" i="42"/>
  <c r="L185" i="42" s="1"/>
  <c r="G207" i="42"/>
  <c r="H210" i="42"/>
  <c r="L210" i="42" s="1"/>
  <c r="P210" i="42" s="1"/>
  <c r="H152" i="42"/>
  <c r="G152" i="42"/>
  <c r="H139" i="42"/>
  <c r="L139" i="42" s="1"/>
  <c r="H88" i="42"/>
  <c r="H70" i="42"/>
  <c r="H63" i="42"/>
  <c r="G64" i="42"/>
  <c r="H72" i="45"/>
  <c r="G72" i="45"/>
  <c r="Q41" i="42"/>
  <c r="M41" i="42"/>
  <c r="I41" i="42"/>
  <c r="A41" i="42"/>
  <c r="Q80" i="47"/>
  <c r="Q201" i="42" s="1"/>
  <c r="S201" i="42" s="1"/>
  <c r="M80" i="47"/>
  <c r="M201" i="42" s="1"/>
  <c r="O201" i="42" s="1"/>
  <c r="I80" i="47"/>
  <c r="I201" i="42" s="1"/>
  <c r="K201" i="42" s="1"/>
  <c r="E80" i="47"/>
  <c r="E201" i="42" s="1"/>
  <c r="G201" i="42" s="1"/>
  <c r="Q53" i="47"/>
  <c r="M53" i="47"/>
  <c r="B53" i="47"/>
  <c r="Q51" i="47"/>
  <c r="Q77" i="42" s="1"/>
  <c r="S77" i="42" s="1"/>
  <c r="M51" i="47"/>
  <c r="M77" i="42" s="1"/>
  <c r="O77" i="42" s="1"/>
  <c r="I51" i="47"/>
  <c r="I77" i="42" s="1"/>
  <c r="K77" i="42" s="1"/>
  <c r="E51" i="47"/>
  <c r="E77" i="42" s="1"/>
  <c r="G77" i="42" s="1"/>
  <c r="B51" i="47"/>
  <c r="B77" i="42" s="1"/>
  <c r="F38" i="54" l="1"/>
  <c r="T92" i="52"/>
  <c r="F24" i="54"/>
  <c r="F35" i="54"/>
  <c r="T83" i="53"/>
  <c r="T88" i="50"/>
  <c r="T77" i="42"/>
  <c r="O93" i="51"/>
  <c r="O95" i="51" s="1"/>
  <c r="T91" i="51"/>
  <c r="T93" i="51" s="1"/>
  <c r="T201" i="42"/>
  <c r="O38" i="45"/>
  <c r="S38" i="45"/>
  <c r="C77" i="47"/>
  <c r="C74" i="45"/>
  <c r="G101" i="42"/>
  <c r="C91" i="46"/>
  <c r="G74" i="45"/>
  <c r="G77" i="47"/>
  <c r="G62" i="47"/>
  <c r="P226" i="42"/>
  <c r="S226" i="42" s="1"/>
  <c r="O226" i="42"/>
  <c r="K189" i="42"/>
  <c r="L196" i="42"/>
  <c r="K196" i="42"/>
  <c r="G185" i="42"/>
  <c r="K185" i="42"/>
  <c r="K188" i="42"/>
  <c r="L188" i="42"/>
  <c r="P185" i="42"/>
  <c r="S185" i="42" s="1"/>
  <c r="O185" i="42"/>
  <c r="C160" i="42"/>
  <c r="L152" i="42"/>
  <c r="K139" i="42"/>
  <c r="G139" i="42"/>
  <c r="L148" i="42"/>
  <c r="O139" i="42"/>
  <c r="P139" i="42"/>
  <c r="S139" i="42" s="1"/>
  <c r="H68" i="42"/>
  <c r="H89" i="42"/>
  <c r="L70" i="42"/>
  <c r="L88" i="42"/>
  <c r="L63" i="42"/>
  <c r="K63" i="47"/>
  <c r="H84" i="46"/>
  <c r="G84" i="46"/>
  <c r="K72" i="45"/>
  <c r="K74" i="45" s="1"/>
  <c r="L72" i="45"/>
  <c r="G81" i="47"/>
  <c r="G83" i="47"/>
  <c r="H83" i="47"/>
  <c r="H81" i="47"/>
  <c r="H80" i="47"/>
  <c r="G80" i="47"/>
  <c r="H53" i="47"/>
  <c r="H55" i="47"/>
  <c r="H51" i="47"/>
  <c r="G51" i="47"/>
  <c r="O97" i="51" l="1"/>
  <c r="T97" i="51" s="1"/>
  <c r="T95" i="51"/>
  <c r="F36" i="54"/>
  <c r="F23" i="54"/>
  <c r="T14" i="44"/>
  <c r="T38" i="45"/>
  <c r="T34" i="44"/>
  <c r="H101" i="42"/>
  <c r="L101" i="42" s="1"/>
  <c r="K62" i="47"/>
  <c r="G91" i="46"/>
  <c r="K77" i="47"/>
  <c r="T226" i="42"/>
  <c r="G179" i="42"/>
  <c r="S189" i="42"/>
  <c r="O189" i="42"/>
  <c r="P196" i="42"/>
  <c r="S196" i="42" s="1"/>
  <c r="O196" i="42"/>
  <c r="P188" i="42"/>
  <c r="S188" i="42" s="1"/>
  <c r="O188" i="42"/>
  <c r="T185" i="42"/>
  <c r="G160" i="42"/>
  <c r="P152" i="42"/>
  <c r="P148" i="42"/>
  <c r="T139" i="42"/>
  <c r="K134" i="42"/>
  <c r="P63" i="42"/>
  <c r="P70" i="42"/>
  <c r="L89" i="42"/>
  <c r="L68" i="42"/>
  <c r="P88" i="42"/>
  <c r="S90" i="42"/>
  <c r="O63" i="47"/>
  <c r="L84" i="46"/>
  <c r="K84" i="46"/>
  <c r="P72" i="45"/>
  <c r="S72" i="45" s="1"/>
  <c r="O72" i="45"/>
  <c r="O74" i="45" s="1"/>
  <c r="C70" i="47"/>
  <c r="K83" i="47"/>
  <c r="L83" i="47"/>
  <c r="K81" i="47"/>
  <c r="L81" i="47"/>
  <c r="L80" i="47"/>
  <c r="K80" i="47"/>
  <c r="L53" i="47"/>
  <c r="P53" i="47" s="1"/>
  <c r="S53" i="47" s="1"/>
  <c r="L51" i="47"/>
  <c r="K51" i="47"/>
  <c r="L55" i="47"/>
  <c r="Q59" i="47"/>
  <c r="Q120" i="42" s="1"/>
  <c r="M59" i="47"/>
  <c r="M120" i="42" s="1"/>
  <c r="I59" i="47"/>
  <c r="I120" i="42" s="1"/>
  <c r="A47" i="47"/>
  <c r="B47" i="47"/>
  <c r="T46" i="47"/>
  <c r="S90" i="47"/>
  <c r="O90" i="47"/>
  <c r="K90" i="47"/>
  <c r="G90" i="47"/>
  <c r="Q64" i="46"/>
  <c r="M64" i="46"/>
  <c r="M109" i="42" s="1"/>
  <c r="I64" i="46"/>
  <c r="I109" i="42" s="1"/>
  <c r="E64" i="46"/>
  <c r="E109" i="42" s="1"/>
  <c r="G109" i="42" s="1"/>
  <c r="A60" i="46"/>
  <c r="Q58" i="46"/>
  <c r="Q86" i="42" s="1"/>
  <c r="S86" i="42" s="1"/>
  <c r="M58" i="46"/>
  <c r="M86" i="42" s="1"/>
  <c r="O86" i="42" s="1"/>
  <c r="A58" i="46"/>
  <c r="A86" i="42" s="1"/>
  <c r="Q53" i="46"/>
  <c r="Q73" i="42" s="1"/>
  <c r="S73" i="42" s="1"/>
  <c r="M53" i="46"/>
  <c r="M73" i="42" s="1"/>
  <c r="O73" i="42" s="1"/>
  <c r="I53" i="46"/>
  <c r="I73" i="42" s="1"/>
  <c r="K73" i="42" s="1"/>
  <c r="E53" i="46"/>
  <c r="E73" i="42" s="1"/>
  <c r="G73" i="42" s="1"/>
  <c r="H53" i="46"/>
  <c r="A48" i="46"/>
  <c r="B48" i="46"/>
  <c r="T47" i="46"/>
  <c r="S108" i="46"/>
  <c r="O108" i="46"/>
  <c r="K108" i="46"/>
  <c r="G108" i="46"/>
  <c r="S69" i="45"/>
  <c r="O69" i="45"/>
  <c r="K69" i="45"/>
  <c r="G69" i="45"/>
  <c r="H52" i="45"/>
  <c r="Q61" i="45"/>
  <c r="Q107" i="42" s="1"/>
  <c r="S107" i="42" s="1"/>
  <c r="M61" i="45"/>
  <c r="M107" i="42" s="1"/>
  <c r="O107" i="42" s="1"/>
  <c r="B48" i="45"/>
  <c r="A48" i="45"/>
  <c r="T47" i="45"/>
  <c r="B45" i="45"/>
  <c r="B43" i="45"/>
  <c r="S89" i="45"/>
  <c r="O89" i="45"/>
  <c r="K89" i="45"/>
  <c r="G89" i="45"/>
  <c r="Q80" i="43"/>
  <c r="Q101" i="42" s="1"/>
  <c r="M80" i="43"/>
  <c r="M101" i="42" s="1"/>
  <c r="I80" i="43"/>
  <c r="I101" i="42" s="1"/>
  <c r="B80" i="43"/>
  <c r="B101" i="42" s="1"/>
  <c r="A80" i="43"/>
  <c r="A101" i="42" s="1"/>
  <c r="U193" i="4"/>
  <c r="A48" i="44"/>
  <c r="B48" i="44"/>
  <c r="B45" i="44"/>
  <c r="B43" i="44"/>
  <c r="T107" i="42" l="1"/>
  <c r="C13" i="54" s="1"/>
  <c r="C32" i="54" s="1"/>
  <c r="T73" i="42"/>
  <c r="T69" i="45"/>
  <c r="S74" i="45"/>
  <c r="K101" i="42"/>
  <c r="T63" i="47"/>
  <c r="K91" i="46"/>
  <c r="O62" i="47"/>
  <c r="S77" i="47"/>
  <c r="K179" i="42"/>
  <c r="T189" i="42"/>
  <c r="T196" i="42"/>
  <c r="T188" i="42"/>
  <c r="O134" i="42"/>
  <c r="O101" i="42"/>
  <c r="P101" i="42"/>
  <c r="S101" i="42" s="1"/>
  <c r="P68" i="42"/>
  <c r="P89" i="42"/>
  <c r="O84" i="46"/>
  <c r="P84" i="46"/>
  <c r="S84" i="46" s="1"/>
  <c r="T72" i="45"/>
  <c r="T74" i="45" s="1"/>
  <c r="G70" i="47"/>
  <c r="O83" i="47"/>
  <c r="P83" i="47"/>
  <c r="S83" i="47" s="1"/>
  <c r="O81" i="47"/>
  <c r="P81" i="47"/>
  <c r="S81" i="47" s="1"/>
  <c r="P80" i="47"/>
  <c r="S80" i="47" s="1"/>
  <c r="O80" i="47"/>
  <c r="O53" i="47"/>
  <c r="P55" i="47"/>
  <c r="P51" i="47"/>
  <c r="S51" i="47" s="1"/>
  <c r="O51" i="47"/>
  <c r="H59" i="47"/>
  <c r="H120" i="42" s="1"/>
  <c r="K120" i="42" s="1"/>
  <c r="G59" i="47"/>
  <c r="G66" i="47" s="1"/>
  <c r="C66" i="47"/>
  <c r="T90" i="47"/>
  <c r="H64" i="46"/>
  <c r="H109" i="42" s="1"/>
  <c r="K109" i="42" s="1"/>
  <c r="G64" i="46"/>
  <c r="G76" i="46" s="1"/>
  <c r="C76" i="46"/>
  <c r="H60" i="46"/>
  <c r="L53" i="46"/>
  <c r="K53" i="46"/>
  <c r="H58" i="46"/>
  <c r="G53" i="46"/>
  <c r="T108" i="46"/>
  <c r="H53" i="45"/>
  <c r="K53" i="45" s="1"/>
  <c r="L52" i="45"/>
  <c r="K52" i="45"/>
  <c r="H57" i="45"/>
  <c r="G52" i="45"/>
  <c r="C84" i="45"/>
  <c r="K61" i="45"/>
  <c r="T89" i="45"/>
  <c r="G80" i="43"/>
  <c r="H80" i="43"/>
  <c r="L80" i="43" s="1"/>
  <c r="P80" i="43" s="1"/>
  <c r="S80" i="43" s="1"/>
  <c r="K81" i="43"/>
  <c r="G81" i="43"/>
  <c r="S193" i="4"/>
  <c r="P193" i="4"/>
  <c r="J193" i="4"/>
  <c r="M193" i="4"/>
  <c r="S142" i="43"/>
  <c r="O142" i="43"/>
  <c r="K142" i="43"/>
  <c r="G142" i="43"/>
  <c r="A134" i="43"/>
  <c r="A210" i="42" s="1"/>
  <c r="A133" i="43"/>
  <c r="A130" i="43"/>
  <c r="A208" i="42" s="1"/>
  <c r="I130" i="43"/>
  <c r="I208" i="42" s="1"/>
  <c r="K208" i="42" s="1"/>
  <c r="M130" i="43"/>
  <c r="M208" i="42" s="1"/>
  <c r="O208" i="42" s="1"/>
  <c r="Q130" i="43"/>
  <c r="Q208" i="42" s="1"/>
  <c r="S208" i="42" s="1"/>
  <c r="A131" i="43"/>
  <c r="A132" i="43"/>
  <c r="I132" i="43"/>
  <c r="M132" i="43"/>
  <c r="Q132" i="43"/>
  <c r="B126" i="43"/>
  <c r="B182" i="42" s="1"/>
  <c r="E126" i="43"/>
  <c r="E182" i="42" s="1"/>
  <c r="G182" i="42" s="1"/>
  <c r="I126" i="43"/>
  <c r="I182" i="42" s="1"/>
  <c r="K182" i="42" s="1"/>
  <c r="M126" i="43"/>
  <c r="M182" i="42" s="1"/>
  <c r="O182" i="42" s="1"/>
  <c r="Q126" i="43"/>
  <c r="Q182" i="42" s="1"/>
  <c r="S182" i="42" s="1"/>
  <c r="I128" i="43"/>
  <c r="I207" i="42" s="1"/>
  <c r="K207" i="42" s="1"/>
  <c r="M128" i="43"/>
  <c r="M207" i="42" s="1"/>
  <c r="O207" i="42" s="1"/>
  <c r="Q128" i="43"/>
  <c r="Q207" i="42" s="1"/>
  <c r="S207" i="42" s="1"/>
  <c r="I129" i="43"/>
  <c r="M129" i="43"/>
  <c r="Q129" i="43"/>
  <c r="A126" i="43"/>
  <c r="A182" i="42" s="1"/>
  <c r="A128" i="43"/>
  <c r="A207" i="42" s="1"/>
  <c r="A129" i="43"/>
  <c r="E115" i="43"/>
  <c r="I115" i="43"/>
  <c r="M115" i="43"/>
  <c r="Q115" i="43"/>
  <c r="Q105" i="43"/>
  <c r="Q152" i="42" s="1"/>
  <c r="S152" i="42" s="1"/>
  <c r="M105" i="43"/>
  <c r="M152" i="42" s="1"/>
  <c r="O152" i="42" s="1"/>
  <c r="I105" i="43"/>
  <c r="I152" i="42" s="1"/>
  <c r="K152" i="42" s="1"/>
  <c r="K160" i="42" s="1"/>
  <c r="H105" i="43"/>
  <c r="L105" i="43" s="1"/>
  <c r="P105" i="43" s="1"/>
  <c r="Q101" i="43"/>
  <c r="Q148" i="42" s="1"/>
  <c r="S148" i="42" s="1"/>
  <c r="M101" i="43"/>
  <c r="M148" i="42" s="1"/>
  <c r="O148" i="42" s="1"/>
  <c r="I101" i="43"/>
  <c r="I148" i="42" s="1"/>
  <c r="K148" i="42" s="1"/>
  <c r="K150" i="42" s="1"/>
  <c r="E101" i="43"/>
  <c r="E148" i="42" s="1"/>
  <c r="G148" i="42" s="1"/>
  <c r="B101" i="43"/>
  <c r="B148" i="42" s="1"/>
  <c r="A101" i="43"/>
  <c r="A148" i="42" s="1"/>
  <c r="Q70" i="43"/>
  <c r="Q85" i="42" s="1"/>
  <c r="M70" i="43"/>
  <c r="M85" i="42" s="1"/>
  <c r="I70" i="43"/>
  <c r="I85" i="42" s="1"/>
  <c r="E70" i="43"/>
  <c r="E85" i="42" s="1"/>
  <c r="H70" i="43"/>
  <c r="L70" i="43" s="1"/>
  <c r="P70" i="43" s="1"/>
  <c r="B70" i="43"/>
  <c r="B85" i="42" s="1"/>
  <c r="A70" i="43"/>
  <c r="A85" i="42" s="1"/>
  <c r="H76" i="43"/>
  <c r="L76" i="43" s="1"/>
  <c r="P76" i="43" s="1"/>
  <c r="B76" i="43"/>
  <c r="A76" i="43"/>
  <c r="B75" i="43"/>
  <c r="B91" i="42" s="1"/>
  <c r="A75" i="43"/>
  <c r="A91" i="42" s="1"/>
  <c r="B74" i="43"/>
  <c r="B90" i="42" s="1"/>
  <c r="A74" i="43"/>
  <c r="A90" i="42" s="1"/>
  <c r="A67" i="43"/>
  <c r="B67" i="43"/>
  <c r="H68" i="43"/>
  <c r="L68" i="43" s="1"/>
  <c r="P68" i="43" s="1"/>
  <c r="B68" i="43"/>
  <c r="A68" i="43"/>
  <c r="H73" i="43"/>
  <c r="L73" i="43" s="1"/>
  <c r="P73" i="43" s="1"/>
  <c r="B73" i="43"/>
  <c r="B89" i="42" s="1"/>
  <c r="A73" i="43"/>
  <c r="A89" i="42" s="1"/>
  <c r="H72" i="43"/>
  <c r="L72" i="43" s="1"/>
  <c r="P72" i="43" s="1"/>
  <c r="B72" i="43"/>
  <c r="B88" i="42" s="1"/>
  <c r="A72" i="43"/>
  <c r="A88" i="42" s="1"/>
  <c r="H66" i="43"/>
  <c r="L66" i="43" s="1"/>
  <c r="P66" i="43" s="1"/>
  <c r="B66" i="43"/>
  <c r="A66" i="43"/>
  <c r="Q64" i="43"/>
  <c r="Q64" i="42" s="1"/>
  <c r="S64" i="42" s="1"/>
  <c r="M64" i="43"/>
  <c r="M64" i="42" s="1"/>
  <c r="O64" i="42" s="1"/>
  <c r="I64" i="43"/>
  <c r="I64" i="42" s="1"/>
  <c r="K64" i="42" s="1"/>
  <c r="Q63" i="43"/>
  <c r="Q63" i="42" s="1"/>
  <c r="S63" i="42" s="1"/>
  <c r="M63" i="43"/>
  <c r="M63" i="42" s="1"/>
  <c r="O63" i="42" s="1"/>
  <c r="I63" i="43"/>
  <c r="I63" i="42" s="1"/>
  <c r="K63" i="42" s="1"/>
  <c r="E63" i="43"/>
  <c r="E63" i="42" s="1"/>
  <c r="G63" i="42" s="1"/>
  <c r="H63" i="43"/>
  <c r="L63" i="43" s="1"/>
  <c r="P63" i="43" s="1"/>
  <c r="J55" i="43"/>
  <c r="J47" i="47"/>
  <c r="N47" i="47" s="1"/>
  <c r="R47" i="47" s="1"/>
  <c r="U237" i="4"/>
  <c r="J48" i="45"/>
  <c r="U183" i="4"/>
  <c r="J51" i="43"/>
  <c r="N51" i="43" s="1"/>
  <c r="R51" i="43" s="1"/>
  <c r="J49" i="43"/>
  <c r="N49" i="43" s="1"/>
  <c r="R49" i="43" s="1"/>
  <c r="B49" i="43"/>
  <c r="B51" i="43"/>
  <c r="B48" i="43"/>
  <c r="Q41" i="43"/>
  <c r="M41" i="43"/>
  <c r="I41" i="43"/>
  <c r="B41" i="43"/>
  <c r="T152" i="42" l="1"/>
  <c r="T182" i="42"/>
  <c r="T63" i="42"/>
  <c r="T207" i="42"/>
  <c r="T148" i="42"/>
  <c r="T208" i="42"/>
  <c r="T64" i="42"/>
  <c r="J48" i="46"/>
  <c r="N48" i="46" s="1"/>
  <c r="R48" i="46" s="1"/>
  <c r="J48" i="44"/>
  <c r="N48" i="44" s="1"/>
  <c r="R48" i="44" s="1"/>
  <c r="C103" i="46"/>
  <c r="C64" i="45"/>
  <c r="J48" i="42"/>
  <c r="N48" i="42" s="1"/>
  <c r="R48" i="42" s="1"/>
  <c r="H85" i="42"/>
  <c r="T77" i="47"/>
  <c r="O77" i="47"/>
  <c r="S91" i="46"/>
  <c r="O91" i="46"/>
  <c r="I72" i="43"/>
  <c r="I88" i="42" s="1"/>
  <c r="K88" i="42" s="1"/>
  <c r="T62" i="47"/>
  <c r="S179" i="42"/>
  <c r="O179" i="42"/>
  <c r="O160" i="42"/>
  <c r="S160" i="42"/>
  <c r="T101" i="42"/>
  <c r="T84" i="46"/>
  <c r="K70" i="47"/>
  <c r="T81" i="47"/>
  <c r="T83" i="47"/>
  <c r="S85" i="47"/>
  <c r="T80" i="47"/>
  <c r="T51" i="47"/>
  <c r="K59" i="47"/>
  <c r="K66" i="47" s="1"/>
  <c r="L59" i="47"/>
  <c r="L120" i="42" s="1"/>
  <c r="O120" i="42" s="1"/>
  <c r="H100" i="46"/>
  <c r="H101" i="46"/>
  <c r="L64" i="46"/>
  <c r="L109" i="42" s="1"/>
  <c r="O109" i="42" s="1"/>
  <c r="K64" i="46"/>
  <c r="K76" i="46" s="1"/>
  <c r="L60" i="46"/>
  <c r="O53" i="46"/>
  <c r="P53" i="46"/>
  <c r="S53" i="46" s="1"/>
  <c r="L58" i="46"/>
  <c r="G53" i="45"/>
  <c r="L53" i="45"/>
  <c r="O53" i="45" s="1"/>
  <c r="L57" i="45"/>
  <c r="O52" i="45"/>
  <c r="P52" i="45"/>
  <c r="S52" i="45" s="1"/>
  <c r="G62" i="45"/>
  <c r="G64" i="45" s="1"/>
  <c r="H62" i="45"/>
  <c r="H108" i="42" s="1"/>
  <c r="K108" i="42" s="1"/>
  <c r="O61" i="45"/>
  <c r="S61" i="45"/>
  <c r="N48" i="45"/>
  <c r="K80" i="43"/>
  <c r="O80" i="43"/>
  <c r="S81" i="43"/>
  <c r="O81" i="43"/>
  <c r="T193" i="4"/>
  <c r="V193" i="4"/>
  <c r="T142" i="43"/>
  <c r="L134" i="43"/>
  <c r="G128" i="43"/>
  <c r="G132" i="43"/>
  <c r="G129" i="43"/>
  <c r="G126" i="43"/>
  <c r="K126" i="43"/>
  <c r="K130" i="43"/>
  <c r="L130" i="43"/>
  <c r="G130" i="43"/>
  <c r="H128" i="43"/>
  <c r="G116" i="43"/>
  <c r="G106" i="43"/>
  <c r="G111" i="43"/>
  <c r="G110" i="43"/>
  <c r="K109" i="43"/>
  <c r="G109" i="43"/>
  <c r="G107" i="43"/>
  <c r="K106" i="43"/>
  <c r="G105" i="43"/>
  <c r="H97" i="43"/>
  <c r="H144" i="42" s="1"/>
  <c r="K144" i="42" s="1"/>
  <c r="G97" i="43"/>
  <c r="H93" i="43"/>
  <c r="G93" i="43"/>
  <c r="H92" i="43"/>
  <c r="G92" i="43"/>
  <c r="G82" i="43"/>
  <c r="O64" i="43"/>
  <c r="G70" i="43"/>
  <c r="G64" i="43"/>
  <c r="S64" i="43"/>
  <c r="K63" i="43"/>
  <c r="G63" i="43"/>
  <c r="N55" i="43"/>
  <c r="S114" i="46"/>
  <c r="O114" i="46"/>
  <c r="K114" i="46"/>
  <c r="G114" i="46"/>
  <c r="S81" i="46"/>
  <c r="O81" i="46"/>
  <c r="K81" i="46"/>
  <c r="G81" i="46"/>
  <c r="S78" i="46"/>
  <c r="O78" i="46"/>
  <c r="K78" i="46"/>
  <c r="G78" i="46"/>
  <c r="S66" i="45"/>
  <c r="O66" i="45"/>
  <c r="K66" i="45"/>
  <c r="G66" i="45"/>
  <c r="S87" i="44"/>
  <c r="O87" i="44"/>
  <c r="K87" i="44"/>
  <c r="G87" i="44"/>
  <c r="T47" i="44"/>
  <c r="S147" i="43"/>
  <c r="O147" i="43"/>
  <c r="K147" i="43"/>
  <c r="G147" i="43"/>
  <c r="T143" i="43"/>
  <c r="T224" i="42"/>
  <c r="T80" i="43" l="1"/>
  <c r="C99" i="43"/>
  <c r="G85" i="42"/>
  <c r="L85" i="42"/>
  <c r="T91" i="46"/>
  <c r="T179" i="42"/>
  <c r="T160" i="42"/>
  <c r="P53" i="45"/>
  <c r="S53" i="45" s="1"/>
  <c r="T53" i="45" s="1"/>
  <c r="O70" i="47"/>
  <c r="C150" i="42"/>
  <c r="S70" i="47"/>
  <c r="P59" i="47"/>
  <c r="O59" i="47"/>
  <c r="C73" i="47"/>
  <c r="G73" i="47"/>
  <c r="S73" i="47"/>
  <c r="C85" i="47"/>
  <c r="O85" i="47"/>
  <c r="G85" i="47"/>
  <c r="K85" i="47"/>
  <c r="L101" i="46"/>
  <c r="L100" i="46"/>
  <c r="T81" i="43"/>
  <c r="P64" i="46"/>
  <c r="O64" i="46"/>
  <c r="O76" i="46" s="1"/>
  <c r="P60" i="46"/>
  <c r="T53" i="46"/>
  <c r="P58" i="46"/>
  <c r="S58" i="46" s="1"/>
  <c r="O58" i="46"/>
  <c r="S79" i="46"/>
  <c r="C82" i="46"/>
  <c r="K82" i="46"/>
  <c r="O79" i="46"/>
  <c r="S82" i="46"/>
  <c r="G82" i="46"/>
  <c r="K79" i="46"/>
  <c r="T81" i="46"/>
  <c r="T114" i="46"/>
  <c r="G33" i="54" s="1"/>
  <c r="T52" i="45"/>
  <c r="P57" i="45"/>
  <c r="S84" i="45"/>
  <c r="O84" i="45"/>
  <c r="K62" i="45"/>
  <c r="K64" i="45" s="1"/>
  <c r="L62" i="45"/>
  <c r="L108" i="42" s="1"/>
  <c r="O108" i="42" s="1"/>
  <c r="T61" i="45"/>
  <c r="R48" i="45"/>
  <c r="O70" i="45"/>
  <c r="S67" i="45"/>
  <c r="G70" i="45"/>
  <c r="K70" i="45"/>
  <c r="C70" i="45"/>
  <c r="S70" i="45"/>
  <c r="K67" i="45"/>
  <c r="O67" i="45"/>
  <c r="K129" i="43"/>
  <c r="P134" i="43"/>
  <c r="L133" i="43"/>
  <c r="K132" i="43"/>
  <c r="L132" i="43"/>
  <c r="O130" i="43"/>
  <c r="P130" i="43"/>
  <c r="S130" i="43" s="1"/>
  <c r="K128" i="43"/>
  <c r="L128" i="43"/>
  <c r="O126" i="43"/>
  <c r="S126" i="43"/>
  <c r="K116" i="43"/>
  <c r="G117" i="43"/>
  <c r="C113" i="43"/>
  <c r="K111" i="43"/>
  <c r="K110" i="43"/>
  <c r="O109" i="43"/>
  <c r="S109" i="43"/>
  <c r="O106" i="43"/>
  <c r="G108" i="43"/>
  <c r="K107" i="43"/>
  <c r="K105" i="43"/>
  <c r="H101" i="43"/>
  <c r="G101" i="43"/>
  <c r="G103" i="43" s="1"/>
  <c r="L97" i="43"/>
  <c r="L144" i="42" s="1"/>
  <c r="O144" i="42" s="1"/>
  <c r="K97" i="43"/>
  <c r="K84" i="43"/>
  <c r="K93" i="43"/>
  <c r="L93" i="43"/>
  <c r="L92" i="43"/>
  <c r="K92" i="43"/>
  <c r="L137" i="42"/>
  <c r="O137" i="42" s="1"/>
  <c r="K90" i="43"/>
  <c r="L89" i="43"/>
  <c r="L136" i="42" s="1"/>
  <c r="O136" i="42" s="1"/>
  <c r="K89" i="43"/>
  <c r="L88" i="43"/>
  <c r="L135" i="42" s="1"/>
  <c r="O135" i="42" s="1"/>
  <c r="K88" i="43"/>
  <c r="P87" i="43"/>
  <c r="O87" i="43"/>
  <c r="K85" i="43"/>
  <c r="G83" i="43"/>
  <c r="K82" i="43"/>
  <c r="K64" i="43"/>
  <c r="T64" i="43" s="1"/>
  <c r="K70" i="43"/>
  <c r="S63" i="43"/>
  <c r="O63" i="43"/>
  <c r="R55" i="43"/>
  <c r="T147" i="43"/>
  <c r="K73" i="47"/>
  <c r="O73" i="47"/>
  <c r="C79" i="46"/>
  <c r="T78" i="46"/>
  <c r="G79" i="46"/>
  <c r="O82" i="46"/>
  <c r="C67" i="45"/>
  <c r="T66" i="45"/>
  <c r="G67" i="45"/>
  <c r="C103" i="43"/>
  <c r="G150" i="42"/>
  <c r="O150" i="42"/>
  <c r="S150" i="42"/>
  <c r="O146" i="42" l="1"/>
  <c r="S87" i="43"/>
  <c r="T87" i="43" s="1"/>
  <c r="P134" i="42"/>
  <c r="S134" i="42" s="1"/>
  <c r="T134" i="42" s="1"/>
  <c r="S59" i="47"/>
  <c r="S66" i="47" s="1"/>
  <c r="P120" i="42"/>
  <c r="S120" i="42" s="1"/>
  <c r="T120" i="42" s="1"/>
  <c r="S64" i="46"/>
  <c r="S76" i="46" s="1"/>
  <c r="T76" i="46" s="1"/>
  <c r="P109" i="42"/>
  <c r="S109" i="42" s="1"/>
  <c r="T109" i="42" s="1"/>
  <c r="T108" i="42"/>
  <c r="G99" i="43"/>
  <c r="T84" i="45"/>
  <c r="G146" i="42"/>
  <c r="P85" i="42"/>
  <c r="S85" i="42" s="1"/>
  <c r="O85" i="42"/>
  <c r="O66" i="47"/>
  <c r="T85" i="47"/>
  <c r="T73" i="47"/>
  <c r="T150" i="42"/>
  <c r="O100" i="46"/>
  <c r="P100" i="46"/>
  <c r="S100" i="46" s="1"/>
  <c r="P101" i="46"/>
  <c r="S101" i="46" s="1"/>
  <c r="O101" i="46"/>
  <c r="T82" i="46"/>
  <c r="O62" i="45"/>
  <c r="P62" i="45"/>
  <c r="S62" i="45" s="1"/>
  <c r="S64" i="45" s="1"/>
  <c r="T70" i="45"/>
  <c r="L129" i="43"/>
  <c r="O129" i="43" s="1"/>
  <c r="T126" i="43"/>
  <c r="T130" i="43"/>
  <c r="P133" i="43"/>
  <c r="O132" i="43"/>
  <c r="P132" i="43"/>
  <c r="S132" i="43" s="1"/>
  <c r="O128" i="43"/>
  <c r="P128" i="43"/>
  <c r="S128" i="43" s="1"/>
  <c r="S116" i="43"/>
  <c r="K117" i="43"/>
  <c r="G113" i="43"/>
  <c r="S111" i="43"/>
  <c r="T109" i="43"/>
  <c r="S106" i="43"/>
  <c r="T106" i="43" s="1"/>
  <c r="O110" i="43"/>
  <c r="S110" i="43"/>
  <c r="K108" i="43"/>
  <c r="O107" i="43"/>
  <c r="S107" i="43"/>
  <c r="S105" i="43"/>
  <c r="O105" i="43"/>
  <c r="L101" i="43"/>
  <c r="P101" i="43" s="1"/>
  <c r="K101" i="43"/>
  <c r="O84" i="43"/>
  <c r="P97" i="43"/>
  <c r="O97" i="43"/>
  <c r="P93" i="43"/>
  <c r="S93" i="43" s="1"/>
  <c r="O93" i="43"/>
  <c r="P92" i="43"/>
  <c r="S92" i="43" s="1"/>
  <c r="O92" i="43"/>
  <c r="P89" i="43"/>
  <c r="O89" i="43"/>
  <c r="P88" i="43"/>
  <c r="O88" i="43"/>
  <c r="K83" i="43"/>
  <c r="K99" i="43" s="1"/>
  <c r="O85" i="43"/>
  <c r="S85" i="43"/>
  <c r="S82" i="43"/>
  <c r="O82" i="43"/>
  <c r="O70" i="43"/>
  <c r="S70" i="43"/>
  <c r="K72" i="43"/>
  <c r="T63" i="43"/>
  <c r="T70" i="47"/>
  <c r="T79" i="46"/>
  <c r="T67" i="45"/>
  <c r="T66" i="47" l="1"/>
  <c r="T59" i="47"/>
  <c r="S90" i="43"/>
  <c r="T90" i="43" s="1"/>
  <c r="P137" i="42"/>
  <c r="S137" i="42" s="1"/>
  <c r="T137" i="42" s="1"/>
  <c r="T64" i="46"/>
  <c r="S88" i="43"/>
  <c r="T88" i="43" s="1"/>
  <c r="P135" i="42"/>
  <c r="S135" i="42" s="1"/>
  <c r="T135" i="42" s="1"/>
  <c r="S97" i="43"/>
  <c r="T97" i="43" s="1"/>
  <c r="P144" i="42"/>
  <c r="S144" i="42" s="1"/>
  <c r="T144" i="42" s="1"/>
  <c r="S89" i="43"/>
  <c r="P136" i="42"/>
  <c r="S136" i="42" s="1"/>
  <c r="T136" i="42" s="1"/>
  <c r="O103" i="46"/>
  <c r="S103" i="46"/>
  <c r="O64" i="45"/>
  <c r="K146" i="42"/>
  <c r="T62" i="45"/>
  <c r="T64" i="45" s="1"/>
  <c r="P129" i="43"/>
  <c r="S129" i="43" s="1"/>
  <c r="T129" i="43" s="1"/>
  <c r="T128" i="43"/>
  <c r="T132" i="43"/>
  <c r="O116" i="43"/>
  <c r="T116" i="43" s="1"/>
  <c r="O117" i="43"/>
  <c r="S117" i="43"/>
  <c r="K113" i="43"/>
  <c r="T84" i="43"/>
  <c r="O111" i="43"/>
  <c r="T111" i="43" s="1"/>
  <c r="T110" i="43"/>
  <c r="T107" i="43"/>
  <c r="O108" i="43"/>
  <c r="S108" i="43"/>
  <c r="T105" i="43"/>
  <c r="T92" i="43"/>
  <c r="S101" i="43"/>
  <c r="O101" i="43"/>
  <c r="K103" i="43"/>
  <c r="T85" i="43"/>
  <c r="T89" i="43"/>
  <c r="T93" i="43"/>
  <c r="S83" i="43"/>
  <c r="O83" i="43"/>
  <c r="O99" i="43" s="1"/>
  <c r="T82" i="43"/>
  <c r="T70" i="43"/>
  <c r="T146" i="42" l="1"/>
  <c r="S99" i="43"/>
  <c r="T99" i="43" s="1"/>
  <c r="S146" i="42"/>
  <c r="T117" i="43"/>
  <c r="O113" i="43"/>
  <c r="S113" i="43"/>
  <c r="T108" i="43"/>
  <c r="T101" i="43"/>
  <c r="T83" i="43"/>
  <c r="O103" i="43"/>
  <c r="S103" i="43"/>
  <c r="T103" i="43" l="1"/>
  <c r="T113" i="43"/>
  <c r="Q55" i="47"/>
  <c r="S55" i="47" s="1"/>
  <c r="I55" i="47"/>
  <c r="K55" i="47" s="1"/>
  <c r="I60" i="46"/>
  <c r="O57" i="45"/>
  <c r="O59" i="45" s="1"/>
  <c r="U188" i="4"/>
  <c r="K85" i="42"/>
  <c r="T85" i="42" s="1"/>
  <c r="J48" i="43"/>
  <c r="N48" i="43" s="1"/>
  <c r="R48" i="43" s="1"/>
  <c r="S420" i="4"/>
  <c r="P420" i="4"/>
  <c r="K60" i="46" l="1"/>
  <c r="G100" i="46"/>
  <c r="K100" i="46"/>
  <c r="G101" i="46"/>
  <c r="K101" i="46"/>
  <c r="E53" i="47"/>
  <c r="G53" i="47" s="1"/>
  <c r="I53" i="47"/>
  <c r="K53" i="47" s="1"/>
  <c r="E55" i="47"/>
  <c r="G55" i="47" s="1"/>
  <c r="M55" i="47"/>
  <c r="O55" i="47" s="1"/>
  <c r="E58" i="46"/>
  <c r="Q60" i="46"/>
  <c r="I58" i="46"/>
  <c r="G57" i="45"/>
  <c r="K57" i="45"/>
  <c r="E60" i="46"/>
  <c r="S57" i="45"/>
  <c r="S59" i="45" s="1"/>
  <c r="M60" i="46"/>
  <c r="S60" i="46" l="1"/>
  <c r="S62" i="46" s="1"/>
  <c r="G60" i="46"/>
  <c r="K58" i="46"/>
  <c r="K62" i="46" s="1"/>
  <c r="I86" i="42"/>
  <c r="K86" i="42" s="1"/>
  <c r="G58" i="46"/>
  <c r="E86" i="42"/>
  <c r="G86" i="42" s="1"/>
  <c r="O60" i="46"/>
  <c r="G103" i="46"/>
  <c r="K103" i="46"/>
  <c r="G57" i="44"/>
  <c r="C57" i="44"/>
  <c r="S57" i="44"/>
  <c r="O57" i="44"/>
  <c r="H97" i="47"/>
  <c r="S57" i="47"/>
  <c r="K59" i="45"/>
  <c r="M188" i="4"/>
  <c r="T55" i="47"/>
  <c r="C57" i="47"/>
  <c r="T53" i="47"/>
  <c r="O57" i="47"/>
  <c r="K57" i="47"/>
  <c r="G57" i="47"/>
  <c r="T101" i="46"/>
  <c r="T100" i="46"/>
  <c r="S188" i="4"/>
  <c r="C62" i="46"/>
  <c r="G59" i="45"/>
  <c r="C59" i="45"/>
  <c r="T57" i="45"/>
  <c r="P188" i="4"/>
  <c r="J188" i="4"/>
  <c r="V420" i="4"/>
  <c r="T60" i="46" l="1"/>
  <c r="T58" i="46"/>
  <c r="T86" i="42"/>
  <c r="O62" i="46"/>
  <c r="G62" i="46"/>
  <c r="T103" i="46"/>
  <c r="G97" i="47"/>
  <c r="K57" i="44"/>
  <c r="T57" i="44" s="1"/>
  <c r="G233" i="42"/>
  <c r="H233" i="42"/>
  <c r="K97" i="47"/>
  <c r="L97" i="47"/>
  <c r="T57" i="47"/>
  <c r="G96" i="47"/>
  <c r="H96" i="47"/>
  <c r="T59" i="45"/>
  <c r="V188" i="4"/>
  <c r="T188" i="4"/>
  <c r="T62" i="46" l="1"/>
  <c r="L233" i="42"/>
  <c r="K233" i="42"/>
  <c r="K96" i="47"/>
  <c r="L96" i="47"/>
  <c r="P97" i="47"/>
  <c r="S97" i="47" s="1"/>
  <c r="O97" i="47"/>
  <c r="P233" i="42" l="1"/>
  <c r="S233" i="42" s="1"/>
  <c r="O233" i="42"/>
  <c r="T97" i="47"/>
  <c r="O96" i="47"/>
  <c r="P96" i="47"/>
  <c r="S96" i="47" s="1"/>
  <c r="T233" i="42" l="1"/>
  <c r="T96" i="47"/>
  <c r="G34" i="54" s="1"/>
  <c r="G407" i="4"/>
  <c r="F43" i="47" s="1"/>
  <c r="J43" i="47" s="1"/>
  <c r="N43" i="47" s="1"/>
  <c r="R43" i="47" s="1"/>
  <c r="C61" i="28"/>
  <c r="U118" i="4"/>
  <c r="D23" i="28" s="1"/>
  <c r="E72" i="43" l="1"/>
  <c r="G72" i="43" l="1"/>
  <c r="E88" i="42"/>
  <c r="G88" i="42" s="1"/>
  <c r="T35" i="4"/>
  <c r="V35" i="4" s="1"/>
  <c r="T34" i="4"/>
  <c r="V34" i="4" s="1"/>
  <c r="H10" i="45"/>
  <c r="L10" i="45" s="1"/>
  <c r="P10" i="45" s="1"/>
  <c r="H10" i="46"/>
  <c r="L10" i="46" s="1"/>
  <c r="P10" i="46" s="1"/>
  <c r="H10" i="47"/>
  <c r="L10" i="47" s="1"/>
  <c r="P10" i="47" s="1"/>
  <c r="G11" i="45"/>
  <c r="G13" i="44"/>
  <c r="S88" i="42"/>
  <c r="Q44" i="4"/>
  <c r="N44" i="4"/>
  <c r="P44" i="4" s="1"/>
  <c r="K44" i="4"/>
  <c r="M44" i="4" s="1"/>
  <c r="T52" i="4" l="1"/>
  <c r="V52" i="4" s="1"/>
  <c r="T149" i="4"/>
  <c r="V149" i="4" s="1"/>
  <c r="N42" i="39"/>
  <c r="S44" i="4"/>
  <c r="S53" i="4" s="1"/>
  <c r="E42" i="39"/>
  <c r="V148" i="4"/>
  <c r="H42" i="39"/>
  <c r="M53" i="4"/>
  <c r="K42" i="39"/>
  <c r="P53" i="4"/>
  <c r="G10" i="47"/>
  <c r="D43" i="47" s="1"/>
  <c r="G10" i="46"/>
  <c r="G10" i="45"/>
  <c r="J41" i="43"/>
  <c r="J41" i="42"/>
  <c r="R41" i="43"/>
  <c r="R41" i="42"/>
  <c r="N41" i="43"/>
  <c r="N41" i="42"/>
  <c r="K11" i="45"/>
  <c r="K13" i="44"/>
  <c r="G11" i="44"/>
  <c r="M72" i="43"/>
  <c r="Q72" i="43"/>
  <c r="S72" i="43" s="1"/>
  <c r="J53" i="4" l="1"/>
  <c r="T53" i="4" s="1"/>
  <c r="O72" i="43"/>
  <c r="M88" i="42"/>
  <c r="O88" i="42" s="1"/>
  <c r="T88" i="42" s="1"/>
  <c r="G43" i="47"/>
  <c r="D44" i="46"/>
  <c r="G44" i="46" s="1"/>
  <c r="D44" i="45"/>
  <c r="G17" i="44"/>
  <c r="F42" i="39"/>
  <c r="T44" i="4"/>
  <c r="T407" i="4"/>
  <c r="V407" i="4" s="1"/>
  <c r="T310" i="4"/>
  <c r="V310" i="4" s="1"/>
  <c r="T481" i="4"/>
  <c r="V481" i="4" s="1"/>
  <c r="K10" i="45"/>
  <c r="H44" i="45" s="1"/>
  <c r="C39" i="44"/>
  <c r="K10" i="46"/>
  <c r="H44" i="46" s="1"/>
  <c r="K44" i="46" s="1"/>
  <c r="K10" i="47"/>
  <c r="H43" i="47" s="1"/>
  <c r="G12" i="45"/>
  <c r="O11" i="45"/>
  <c r="S11" i="45"/>
  <c r="G37" i="45"/>
  <c r="G36" i="44"/>
  <c r="G35" i="44"/>
  <c r="G38" i="44"/>
  <c r="G12" i="44"/>
  <c r="D44" i="44" s="1"/>
  <c r="G37" i="44"/>
  <c r="K11" i="44"/>
  <c r="T72" i="43"/>
  <c r="G41" i="43"/>
  <c r="K43" i="47" l="1"/>
  <c r="G39" i="45"/>
  <c r="D45" i="45" s="1"/>
  <c r="G45" i="45" s="1"/>
  <c r="K17" i="44"/>
  <c r="T483" i="4"/>
  <c r="V483" i="4" s="1"/>
  <c r="T482" i="4"/>
  <c r="V482" i="4" s="1"/>
  <c r="S10" i="45"/>
  <c r="P44" i="45" s="1"/>
  <c r="O10" i="45"/>
  <c r="L44" i="45" s="1"/>
  <c r="S10" i="47"/>
  <c r="P43" i="47" s="1"/>
  <c r="O10" i="47"/>
  <c r="L43" i="47" s="1"/>
  <c r="O10" i="46"/>
  <c r="L44" i="46" s="1"/>
  <c r="O44" i="46" s="1"/>
  <c r="S10" i="46"/>
  <c r="P44" i="46" s="1"/>
  <c r="S44" i="46" s="1"/>
  <c r="T11" i="45"/>
  <c r="G41" i="42"/>
  <c r="K12" i="45"/>
  <c r="K37" i="45"/>
  <c r="T13" i="44"/>
  <c r="K12" i="44"/>
  <c r="H44" i="44" s="1"/>
  <c r="K38" i="44"/>
  <c r="K36" i="44"/>
  <c r="K37" i="44"/>
  <c r="K35" i="44"/>
  <c r="K41" i="43"/>
  <c r="O43" i="47" l="1"/>
  <c r="S43" i="47"/>
  <c r="T44" i="46"/>
  <c r="T17" i="44"/>
  <c r="T10" i="47"/>
  <c r="T10" i="45"/>
  <c r="T10" i="46"/>
  <c r="K41" i="42"/>
  <c r="O12" i="45"/>
  <c r="S12" i="45"/>
  <c r="S37" i="45"/>
  <c r="O37" i="45"/>
  <c r="S41" i="43"/>
  <c r="O41" i="43"/>
  <c r="K374" i="4"/>
  <c r="J7" i="47" s="1"/>
  <c r="K277" i="4"/>
  <c r="J7" i="46" s="1"/>
  <c r="K200" i="4"/>
  <c r="J7" i="45" s="1"/>
  <c r="K146" i="4"/>
  <c r="K13" i="4"/>
  <c r="M13" i="4" s="1"/>
  <c r="M48" i="4" s="1"/>
  <c r="U442" i="4"/>
  <c r="D32" i="28" s="1"/>
  <c r="T43" i="47" l="1"/>
  <c r="J10" i="44"/>
  <c r="J10" i="42" s="1"/>
  <c r="K10" i="42" s="1"/>
  <c r="J7" i="44"/>
  <c r="H11" i="39"/>
  <c r="J7" i="43"/>
  <c r="T37" i="45"/>
  <c r="T12" i="45"/>
  <c r="O41" i="42"/>
  <c r="S41" i="42"/>
  <c r="T12" i="44"/>
  <c r="T37" i="44"/>
  <c r="T38" i="44"/>
  <c r="T36" i="44"/>
  <c r="T35" i="44"/>
  <c r="T41" i="43"/>
  <c r="J7" i="42" l="1"/>
  <c r="K7" i="42" s="1"/>
  <c r="H49" i="42"/>
  <c r="K49" i="42" s="1"/>
  <c r="K39" i="42"/>
  <c r="M55" i="4"/>
  <c r="M54" i="4"/>
  <c r="K10" i="43"/>
  <c r="K7" i="43"/>
  <c r="T41" i="42"/>
  <c r="H50" i="42" l="1"/>
  <c r="K50" i="42" s="1"/>
  <c r="K56" i="43"/>
  <c r="H49" i="43"/>
  <c r="K8" i="42"/>
  <c r="K8" i="43"/>
  <c r="H48" i="43" s="1"/>
  <c r="K39" i="43"/>
  <c r="K49" i="43" l="1"/>
  <c r="H50" i="43"/>
  <c r="K50" i="43" s="1"/>
  <c r="H48" i="42"/>
  <c r="K48" i="42" s="1"/>
  <c r="H55" i="42"/>
  <c r="K55" i="42" s="1"/>
  <c r="K59" i="42" s="1"/>
  <c r="K48" i="43"/>
  <c r="H55" i="43"/>
  <c r="K55" i="43" s="1"/>
  <c r="K59" i="43" s="1"/>
  <c r="G210" i="42" l="1"/>
  <c r="G215" i="42" s="1"/>
  <c r="U141" i="4"/>
  <c r="D25" i="28" s="1"/>
  <c r="Q133" i="43" l="1"/>
  <c r="S133" i="43" s="1"/>
  <c r="G134" i="43"/>
  <c r="M134" i="43"/>
  <c r="I134" i="43"/>
  <c r="J141" i="4"/>
  <c r="E43" i="48" s="1"/>
  <c r="G133" i="43"/>
  <c r="Q134" i="43"/>
  <c r="I133" i="43"/>
  <c r="K133" i="43" s="1"/>
  <c r="M133" i="43"/>
  <c r="O133" i="43" s="1"/>
  <c r="Q74" i="43"/>
  <c r="S74" i="43" s="1"/>
  <c r="M74" i="43"/>
  <c r="E68" i="43"/>
  <c r="I68" i="43"/>
  <c r="M68" i="43"/>
  <c r="I74" i="43"/>
  <c r="E74" i="43"/>
  <c r="Q68" i="43"/>
  <c r="G68" i="43" l="1"/>
  <c r="E70" i="42"/>
  <c r="G70" i="42" s="1"/>
  <c r="G74" i="43"/>
  <c r="E90" i="42"/>
  <c r="G90" i="42" s="1"/>
  <c r="O68" i="43"/>
  <c r="M70" i="42"/>
  <c r="O70" i="42" s="1"/>
  <c r="K68" i="43"/>
  <c r="I70" i="42"/>
  <c r="K70" i="42" s="1"/>
  <c r="K134" i="43"/>
  <c r="K136" i="43" s="1"/>
  <c r="I210" i="42"/>
  <c r="K210" i="42" s="1"/>
  <c r="O74" i="43"/>
  <c r="M90" i="42"/>
  <c r="O90" i="42" s="1"/>
  <c r="O134" i="43"/>
  <c r="O136" i="43" s="1"/>
  <c r="M210" i="42"/>
  <c r="O210" i="42" s="1"/>
  <c r="O215" i="42" s="1"/>
  <c r="S68" i="43"/>
  <c r="Q70" i="42"/>
  <c r="S70" i="42" s="1"/>
  <c r="K74" i="43"/>
  <c r="I90" i="42"/>
  <c r="K90" i="42" s="1"/>
  <c r="S134" i="43"/>
  <c r="S136" i="43" s="1"/>
  <c r="Q210" i="42"/>
  <c r="S210" i="42" s="1"/>
  <c r="S215" i="42" s="1"/>
  <c r="M141" i="4"/>
  <c r="F43" i="48" s="1"/>
  <c r="G136" i="43"/>
  <c r="P141" i="4"/>
  <c r="G43" i="48" s="1"/>
  <c r="S141" i="4"/>
  <c r="H43" i="48" s="1"/>
  <c r="C136" i="43"/>
  <c r="T133" i="43"/>
  <c r="E43" i="41"/>
  <c r="U176" i="4"/>
  <c r="U195" i="4" s="1"/>
  <c r="U230" i="4"/>
  <c r="U272" i="4" s="1"/>
  <c r="D30" i="28" s="1"/>
  <c r="U307" i="4"/>
  <c r="U369" i="4" s="1"/>
  <c r="D31" i="28" s="1"/>
  <c r="T68" i="43" l="1"/>
  <c r="T134" i="43"/>
  <c r="T74" i="43"/>
  <c r="T90" i="42"/>
  <c r="C87" i="44"/>
  <c r="T87" i="44" s="1"/>
  <c r="G30" i="54" s="1"/>
  <c r="D29" i="28"/>
  <c r="D37" i="28" s="1"/>
  <c r="G12" i="54" s="1"/>
  <c r="K215" i="42"/>
  <c r="T210" i="42"/>
  <c r="T215" i="42" s="1"/>
  <c r="T70" i="42"/>
  <c r="H43" i="41"/>
  <c r="G43" i="41"/>
  <c r="F43" i="41"/>
  <c r="T141" i="4"/>
  <c r="B25" i="28" s="1"/>
  <c r="T136" i="43"/>
  <c r="V141" i="4"/>
  <c r="C8" i="46" l="1"/>
  <c r="G277" i="4"/>
  <c r="D7" i="46" s="1"/>
  <c r="H7" i="46" s="1"/>
  <c r="S89" i="42"/>
  <c r="S91" i="42"/>
  <c r="P104" i="4"/>
  <c r="M104" i="4"/>
  <c r="M106" i="4" s="1"/>
  <c r="F37" i="48" s="1"/>
  <c r="J104" i="4"/>
  <c r="J106" i="4" s="1"/>
  <c r="E37" i="48" s="1"/>
  <c r="S104" i="4"/>
  <c r="S106" i="4" s="1"/>
  <c r="H37" i="48" s="1"/>
  <c r="U106" i="4"/>
  <c r="D22" i="28" s="1"/>
  <c r="U48" i="4"/>
  <c r="D18" i="28" s="1"/>
  <c r="U60" i="4"/>
  <c r="D19" i="28" s="1"/>
  <c r="U77" i="4"/>
  <c r="D20" i="28" s="1"/>
  <c r="U129" i="4"/>
  <c r="D24" i="28" s="1"/>
  <c r="H13" i="4"/>
  <c r="N13" i="4"/>
  <c r="P13" i="4" s="1"/>
  <c r="Q13" i="4"/>
  <c r="G179" i="4"/>
  <c r="F44" i="44" s="1"/>
  <c r="O146" i="4"/>
  <c r="N146" i="4"/>
  <c r="L146" i="4"/>
  <c r="I146" i="4"/>
  <c r="H146" i="4"/>
  <c r="R146" i="4"/>
  <c r="Q146" i="4"/>
  <c r="G233" i="4"/>
  <c r="F44" i="45" s="1"/>
  <c r="O200" i="4"/>
  <c r="M7" i="45" s="1"/>
  <c r="N200" i="4"/>
  <c r="N7" i="45" s="1"/>
  <c r="L200" i="4"/>
  <c r="I7" i="45" s="1"/>
  <c r="I200" i="4"/>
  <c r="E7" i="45" s="1"/>
  <c r="H200" i="4"/>
  <c r="F7" i="45" s="1"/>
  <c r="R200" i="4"/>
  <c r="Q7" i="45" s="1"/>
  <c r="Q200" i="4"/>
  <c r="R7" i="45" s="1"/>
  <c r="O277" i="4"/>
  <c r="M7" i="46" s="1"/>
  <c r="N277" i="4"/>
  <c r="N7" i="46" s="1"/>
  <c r="L277" i="4"/>
  <c r="I7" i="46" s="1"/>
  <c r="I277" i="4"/>
  <c r="E7" i="46" s="1"/>
  <c r="H277" i="4"/>
  <c r="F7" i="46" s="1"/>
  <c r="R277" i="4"/>
  <c r="Q7" i="46" s="1"/>
  <c r="Q277" i="4"/>
  <c r="R7" i="46" s="1"/>
  <c r="O374" i="4"/>
  <c r="M7" i="47" s="1"/>
  <c r="N374" i="4"/>
  <c r="L374" i="4"/>
  <c r="I7" i="47" s="1"/>
  <c r="I374" i="4"/>
  <c r="E7" i="47" s="1"/>
  <c r="H374" i="4"/>
  <c r="R374" i="4"/>
  <c r="Q7" i="47" s="1"/>
  <c r="Q374" i="4"/>
  <c r="R7" i="47" s="1"/>
  <c r="D49" i="28"/>
  <c r="F49" i="28" s="1"/>
  <c r="D43" i="28"/>
  <c r="B43" i="28"/>
  <c r="B53" i="28"/>
  <c r="B61" i="28" s="1"/>
  <c r="E61" i="28" s="1"/>
  <c r="C59" i="28"/>
  <c r="C43" i="28"/>
  <c r="C60" i="28" s="1"/>
  <c r="E25" i="28"/>
  <c r="E40" i="28"/>
  <c r="E43" i="28" s="1"/>
  <c r="E46" i="28"/>
  <c r="E47" i="28"/>
  <c r="E48" i="28"/>
  <c r="E49" i="28"/>
  <c r="E50" i="28"/>
  <c r="E51" i="28"/>
  <c r="E52" i="28"/>
  <c r="F25" i="28"/>
  <c r="F40" i="28"/>
  <c r="F43" i="28" s="1"/>
  <c r="F46" i="28"/>
  <c r="F47" i="28"/>
  <c r="F48" i="28"/>
  <c r="F50" i="28"/>
  <c r="F51" i="28"/>
  <c r="F52" i="28"/>
  <c r="M11" i="39"/>
  <c r="M42" i="39"/>
  <c r="J42" i="39"/>
  <c r="J11" i="39"/>
  <c r="G42" i="39"/>
  <c r="G11" i="39"/>
  <c r="D42" i="39"/>
  <c r="D11" i="39"/>
  <c r="B42" i="39"/>
  <c r="C10" i="41"/>
  <c r="H10" i="41" s="1"/>
  <c r="C11" i="41"/>
  <c r="E11" i="41" s="1"/>
  <c r="C12" i="41"/>
  <c r="H12" i="41" s="1"/>
  <c r="C13" i="41"/>
  <c r="C14" i="41"/>
  <c r="C15" i="41"/>
  <c r="E15" i="41" s="1"/>
  <c r="C16" i="41"/>
  <c r="D16" i="41" s="1"/>
  <c r="C17" i="41"/>
  <c r="E17" i="41" s="1"/>
  <c r="C18" i="41"/>
  <c r="E18" i="41" s="1"/>
  <c r="C19" i="41"/>
  <c r="D19" i="41" s="1"/>
  <c r="C20" i="41"/>
  <c r="E20" i="41" s="1"/>
  <c r="C21" i="41"/>
  <c r="C22" i="41"/>
  <c r="C23" i="41"/>
  <c r="H23" i="41" s="1"/>
  <c r="C24" i="41"/>
  <c r="F24" i="41" s="1"/>
  <c r="C27" i="41"/>
  <c r="E27" i="41" s="1"/>
  <c r="B56" i="41"/>
  <c r="B54" i="41"/>
  <c r="B52" i="41"/>
  <c r="B50" i="41"/>
  <c r="H22" i="41"/>
  <c r="H14" i="41"/>
  <c r="D24" i="41"/>
  <c r="D17" i="41"/>
  <c r="D21" i="41"/>
  <c r="F12" i="41"/>
  <c r="H13" i="41"/>
  <c r="F16" i="41"/>
  <c r="H21" i="41"/>
  <c r="D13" i="41"/>
  <c r="H16" i="41"/>
  <c r="D12" i="41"/>
  <c r="E24" i="41"/>
  <c r="E16" i="41"/>
  <c r="G13" i="41"/>
  <c r="I13" i="41" s="1"/>
  <c r="F13" i="41"/>
  <c r="G16" i="41"/>
  <c r="I16" i="41" s="1"/>
  <c r="G21" i="41"/>
  <c r="I21" i="41" s="1"/>
  <c r="F21" i="41"/>
  <c r="G27" i="41"/>
  <c r="I27" i="41" s="1"/>
  <c r="D14" i="41"/>
  <c r="F14" i="41"/>
  <c r="D22" i="41"/>
  <c r="F22" i="41"/>
  <c r="E13" i="41"/>
  <c r="E21" i="41"/>
  <c r="F23" i="41"/>
  <c r="E14" i="41"/>
  <c r="G14" i="41"/>
  <c r="I14" i="41" s="1"/>
  <c r="E22" i="41"/>
  <c r="G22" i="41"/>
  <c r="I22" i="41" s="1"/>
  <c r="B11" i="39"/>
  <c r="D277" i="4"/>
  <c r="A7" i="46" s="1"/>
  <c r="D200" i="4"/>
  <c r="A7" i="45" s="1"/>
  <c r="D146" i="4"/>
  <c r="A7" i="44" s="1"/>
  <c r="B131" i="30"/>
  <c r="B91" i="30"/>
  <c r="B51" i="30"/>
  <c r="B11" i="30"/>
  <c r="D197" i="4"/>
  <c r="D274" i="4"/>
  <c r="D371" i="4"/>
  <c r="D374" i="4"/>
  <c r="A7" i="47" s="1"/>
  <c r="D143" i="4"/>
  <c r="F7" i="43" l="1"/>
  <c r="J13" i="4"/>
  <c r="J48" i="4" s="1"/>
  <c r="F7" i="47"/>
  <c r="N7" i="47"/>
  <c r="D26" i="28"/>
  <c r="D7" i="54" s="1"/>
  <c r="C62" i="28"/>
  <c r="G7" i="46"/>
  <c r="G8" i="46" s="1"/>
  <c r="D48" i="46" s="1"/>
  <c r="G48" i="46" s="1"/>
  <c r="L7" i="46"/>
  <c r="P7" i="46" s="1"/>
  <c r="S7" i="46" s="1"/>
  <c r="S8" i="46" s="1"/>
  <c r="K7" i="46"/>
  <c r="K8" i="46" s="1"/>
  <c r="N11" i="44"/>
  <c r="N7" i="44"/>
  <c r="R7" i="44"/>
  <c r="R10" i="44"/>
  <c r="F7" i="44"/>
  <c r="F10" i="44"/>
  <c r="F10" i="42" s="1"/>
  <c r="G10" i="42" s="1"/>
  <c r="J44" i="45"/>
  <c r="G44" i="45"/>
  <c r="J44" i="44"/>
  <c r="G44" i="44"/>
  <c r="Q10" i="44"/>
  <c r="Q7" i="44"/>
  <c r="E10" i="44"/>
  <c r="E7" i="44"/>
  <c r="M7" i="44"/>
  <c r="M10" i="44"/>
  <c r="I7" i="44"/>
  <c r="I10" i="44"/>
  <c r="H15" i="41"/>
  <c r="D20" i="41"/>
  <c r="G12" i="41"/>
  <c r="I12" i="41" s="1"/>
  <c r="F15" i="41"/>
  <c r="H20" i="41"/>
  <c r="F20" i="41"/>
  <c r="G20" i="41"/>
  <c r="I20" i="41" s="1"/>
  <c r="E12" i="41"/>
  <c r="H37" i="41"/>
  <c r="E37" i="41"/>
  <c r="F37" i="41"/>
  <c r="F17" i="41"/>
  <c r="F27" i="41"/>
  <c r="G17" i="41"/>
  <c r="I17" i="41" s="1"/>
  <c r="H27" i="41"/>
  <c r="D27" i="41"/>
  <c r="H17" i="41"/>
  <c r="G10" i="41"/>
  <c r="I10" i="41" s="1"/>
  <c r="F18" i="41"/>
  <c r="F10" i="41"/>
  <c r="D18" i="41"/>
  <c r="D10" i="41"/>
  <c r="H18" i="41"/>
  <c r="G24" i="41"/>
  <c r="I24" i="41" s="1"/>
  <c r="H24" i="41"/>
  <c r="E10" i="41"/>
  <c r="D15" i="41"/>
  <c r="G19" i="41"/>
  <c r="I19" i="41" s="1"/>
  <c r="G18" i="41"/>
  <c r="I18" i="41" s="1"/>
  <c r="D23" i="41"/>
  <c r="G23" i="41"/>
  <c r="I23" i="41" s="1"/>
  <c r="G15" i="41"/>
  <c r="I15" i="41" s="1"/>
  <c r="E23" i="41"/>
  <c r="M277" i="4"/>
  <c r="J277" i="4"/>
  <c r="P277" i="4"/>
  <c r="P106" i="4"/>
  <c r="G37" i="48" s="1"/>
  <c r="T104" i="4"/>
  <c r="V104" i="4" s="1"/>
  <c r="S277" i="4"/>
  <c r="N11" i="39"/>
  <c r="S13" i="4"/>
  <c r="K11" i="39"/>
  <c r="E11" i="39"/>
  <c r="J55" i="4"/>
  <c r="S44" i="42"/>
  <c r="P51" i="42" s="1"/>
  <c r="S51" i="42" s="1"/>
  <c r="O44" i="42"/>
  <c r="L51" i="42" s="1"/>
  <c r="O51" i="42" s="1"/>
  <c r="K44" i="42"/>
  <c r="H51" i="42" s="1"/>
  <c r="K51" i="42" s="1"/>
  <c r="G44" i="42"/>
  <c r="D51" i="42" s="1"/>
  <c r="G51" i="42" s="1"/>
  <c r="E404" i="4"/>
  <c r="E176" i="4"/>
  <c r="E230" i="4"/>
  <c r="E307" i="4"/>
  <c r="U737" i="4"/>
  <c r="C8" i="45"/>
  <c r="J45" i="44"/>
  <c r="N45" i="44" s="1"/>
  <c r="R45" i="44" s="1"/>
  <c r="C8" i="44"/>
  <c r="C8" i="47"/>
  <c r="J45" i="45"/>
  <c r="N45" i="45" s="1"/>
  <c r="R45" i="45" s="1"/>
  <c r="R7" i="43"/>
  <c r="N7" i="43"/>
  <c r="B60" i="28"/>
  <c r="E60" i="28" s="1"/>
  <c r="E53" i="28"/>
  <c r="D53" i="28"/>
  <c r="C44" i="42"/>
  <c r="I75" i="43"/>
  <c r="Q73" i="43"/>
  <c r="S73" i="43" s="1"/>
  <c r="Q67" i="43"/>
  <c r="I76" i="43"/>
  <c r="E73" i="43"/>
  <c r="E66" i="43"/>
  <c r="M66" i="43"/>
  <c r="E67" i="43"/>
  <c r="I73" i="43"/>
  <c r="M75" i="43"/>
  <c r="Q75" i="43"/>
  <c r="S75" i="43" s="1"/>
  <c r="I67" i="43"/>
  <c r="M73" i="43"/>
  <c r="I66" i="43"/>
  <c r="M67" i="43"/>
  <c r="Q66" i="43"/>
  <c r="E75" i="43"/>
  <c r="S44" i="43"/>
  <c r="O44" i="43"/>
  <c r="K44" i="43"/>
  <c r="H51" i="43" s="1"/>
  <c r="G44" i="43"/>
  <c r="D51" i="43" s="1"/>
  <c r="P118" i="4"/>
  <c r="G39" i="48" s="1"/>
  <c r="S118" i="4"/>
  <c r="H39" i="48" s="1"/>
  <c r="J118" i="4"/>
  <c r="E39" i="48" s="1"/>
  <c r="M118" i="4"/>
  <c r="F39" i="48" s="1"/>
  <c r="H19" i="41"/>
  <c r="H11" i="41"/>
  <c r="E19" i="41"/>
  <c r="G11" i="41"/>
  <c r="I11" i="41" s="1"/>
  <c r="F19" i="41"/>
  <c r="F11" i="41"/>
  <c r="D11" i="41"/>
  <c r="F53" i="28"/>
  <c r="I42" i="39"/>
  <c r="O42" i="39"/>
  <c r="L42" i="39"/>
  <c r="G146" i="4"/>
  <c r="C55" i="28"/>
  <c r="G374" i="4"/>
  <c r="G200" i="4"/>
  <c r="S129" i="4"/>
  <c r="H41" i="48" s="1"/>
  <c r="C66" i="28" l="1"/>
  <c r="F7" i="42"/>
  <c r="T13" i="4"/>
  <c r="V13" i="4" s="1"/>
  <c r="N7" i="42"/>
  <c r="O67" i="43"/>
  <c r="M69" i="42"/>
  <c r="O69" i="42" s="1"/>
  <c r="G66" i="43"/>
  <c r="E68" i="42"/>
  <c r="G68" i="42" s="1"/>
  <c r="O73" i="43"/>
  <c r="M89" i="42"/>
  <c r="O89" i="42" s="1"/>
  <c r="K76" i="43"/>
  <c r="I92" i="42"/>
  <c r="K92" i="42" s="1"/>
  <c r="R7" i="42"/>
  <c r="S10" i="42" s="1"/>
  <c r="R10" i="42"/>
  <c r="S67" i="43"/>
  <c r="Q69" i="42"/>
  <c r="S69" i="42" s="1"/>
  <c r="K75" i="43"/>
  <c r="I91" i="42"/>
  <c r="K91" i="42" s="1"/>
  <c r="O66" i="43"/>
  <c r="M68" i="42"/>
  <c r="O68" i="42" s="1"/>
  <c r="K66" i="43"/>
  <c r="I68" i="42"/>
  <c r="K68" i="42" s="1"/>
  <c r="G73" i="43"/>
  <c r="E89" i="42"/>
  <c r="G89" i="42" s="1"/>
  <c r="K67" i="43"/>
  <c r="I69" i="42"/>
  <c r="K69" i="42" s="1"/>
  <c r="P42" i="39"/>
  <c r="O75" i="43"/>
  <c r="M91" i="42"/>
  <c r="O91" i="42" s="1"/>
  <c r="G75" i="43"/>
  <c r="E91" i="42"/>
  <c r="G91" i="42" s="1"/>
  <c r="K73" i="43"/>
  <c r="I89" i="42"/>
  <c r="K89" i="42" s="1"/>
  <c r="O11" i="44"/>
  <c r="L44" i="44" s="1"/>
  <c r="N11" i="42"/>
  <c r="O11" i="42" s="1"/>
  <c r="P374" i="4"/>
  <c r="P410" i="4" s="1"/>
  <c r="D7" i="47"/>
  <c r="S66" i="43"/>
  <c r="Q68" i="42"/>
  <c r="S68" i="42" s="1"/>
  <c r="G67" i="43"/>
  <c r="E69" i="42"/>
  <c r="G69" i="42" s="1"/>
  <c r="D43" i="46"/>
  <c r="G43" i="46" s="1"/>
  <c r="P43" i="46"/>
  <c r="S43" i="46" s="1"/>
  <c r="P48" i="46"/>
  <c r="S48" i="46" s="1"/>
  <c r="S49" i="46" s="1"/>
  <c r="H43" i="46"/>
  <c r="K43" i="46" s="1"/>
  <c r="H48" i="46"/>
  <c r="K48" i="46" s="1"/>
  <c r="K49" i="46" s="1"/>
  <c r="O7" i="46"/>
  <c r="J200" i="4"/>
  <c r="D7" i="45"/>
  <c r="N44" i="45"/>
  <c r="K44" i="45"/>
  <c r="J146" i="4"/>
  <c r="J181" i="4" s="1"/>
  <c r="D10" i="44"/>
  <c r="D7" i="44"/>
  <c r="N44" i="44"/>
  <c r="K44" i="44"/>
  <c r="P51" i="43"/>
  <c r="S51" i="43" s="1"/>
  <c r="L51" i="43"/>
  <c r="O51" i="43" s="1"/>
  <c r="S48" i="4"/>
  <c r="H29" i="48" s="1"/>
  <c r="H41" i="41"/>
  <c r="G37" i="41"/>
  <c r="F39" i="41"/>
  <c r="J54" i="4"/>
  <c r="J60" i="4" s="1"/>
  <c r="J312" i="4"/>
  <c r="S55" i="4"/>
  <c r="S54" i="4"/>
  <c r="S313" i="4"/>
  <c r="S312" i="4"/>
  <c r="P313" i="4"/>
  <c r="P312" i="4"/>
  <c r="P55" i="4"/>
  <c r="P54" i="4"/>
  <c r="M313" i="4"/>
  <c r="M312" i="4"/>
  <c r="T277" i="4"/>
  <c r="V277" i="4" s="1"/>
  <c r="V24" i="4"/>
  <c r="T25" i="4"/>
  <c r="V25" i="4" s="1"/>
  <c r="E411" i="4"/>
  <c r="E442" i="4" s="1"/>
  <c r="M374" i="4"/>
  <c r="J374" i="4"/>
  <c r="E237" i="4"/>
  <c r="E272" i="4" s="1"/>
  <c r="S200" i="4"/>
  <c r="E183" i="4"/>
  <c r="E195" i="4" s="1"/>
  <c r="S146" i="4"/>
  <c r="T15" i="4"/>
  <c r="V15" i="4" s="1"/>
  <c r="M146" i="4"/>
  <c r="S374" i="4"/>
  <c r="P146" i="4"/>
  <c r="E314" i="4"/>
  <c r="E369" i="4" s="1"/>
  <c r="P200" i="4"/>
  <c r="M200" i="4"/>
  <c r="T233" i="4"/>
  <c r="V233" i="4" s="1"/>
  <c r="V179" i="4"/>
  <c r="K46" i="42"/>
  <c r="J307" i="4"/>
  <c r="J313" i="4"/>
  <c r="J708" i="4"/>
  <c r="J729" i="4" s="1"/>
  <c r="M708" i="4"/>
  <c r="M729" i="4" s="1"/>
  <c r="S708" i="4"/>
  <c r="S729" i="4" s="1"/>
  <c r="M638" i="4"/>
  <c r="J638" i="4"/>
  <c r="J666" i="4" s="1"/>
  <c r="S638" i="4"/>
  <c r="S666" i="4" s="1"/>
  <c r="S558" i="4"/>
  <c r="S596" i="4" s="1"/>
  <c r="M558" i="4"/>
  <c r="M596" i="4" s="1"/>
  <c r="J558" i="4"/>
  <c r="J596" i="4" s="1"/>
  <c r="U741" i="4"/>
  <c r="G49" i="46"/>
  <c r="C49" i="46"/>
  <c r="C48" i="47"/>
  <c r="C55" i="42" s="1"/>
  <c r="T51" i="42"/>
  <c r="G7" i="43"/>
  <c r="G7" i="42"/>
  <c r="O10" i="43"/>
  <c r="S10" i="43"/>
  <c r="P49" i="43" s="1"/>
  <c r="G10" i="43"/>
  <c r="D49" i="43" s="1"/>
  <c r="G11" i="42"/>
  <c r="D49" i="42" s="1"/>
  <c r="S7" i="43"/>
  <c r="O7" i="43"/>
  <c r="O7" i="42"/>
  <c r="G56" i="43"/>
  <c r="K52" i="42"/>
  <c r="K61" i="42" s="1"/>
  <c r="T44" i="42"/>
  <c r="C39" i="46"/>
  <c r="G39" i="46"/>
  <c r="G35" i="41"/>
  <c r="H35" i="41"/>
  <c r="M77" i="4"/>
  <c r="F33" i="48" s="1"/>
  <c r="C123" i="43"/>
  <c r="J43" i="44"/>
  <c r="E33" i="41"/>
  <c r="E76" i="43"/>
  <c r="M76" i="43"/>
  <c r="P77" i="4"/>
  <c r="G33" i="48" s="1"/>
  <c r="S77" i="4"/>
  <c r="H33" i="48" s="1"/>
  <c r="Q76" i="43"/>
  <c r="C78" i="43"/>
  <c r="C44" i="43"/>
  <c r="K51" i="43"/>
  <c r="K52" i="43" s="1"/>
  <c r="K61" i="43" s="1"/>
  <c r="K46" i="43"/>
  <c r="G51" i="43"/>
  <c r="T118" i="4"/>
  <c r="B23" i="28" s="1"/>
  <c r="P129" i="4"/>
  <c r="G41" i="48" s="1"/>
  <c r="G39" i="41"/>
  <c r="E39" i="41"/>
  <c r="H39" i="41"/>
  <c r="V44" i="4"/>
  <c r="J129" i="4"/>
  <c r="F29" i="48"/>
  <c r="M129" i="4"/>
  <c r="F41" i="48" s="1"/>
  <c r="P48" i="4"/>
  <c r="G29" i="48" s="1"/>
  <c r="E29" i="48"/>
  <c r="T106" i="4"/>
  <c r="B22" i="28" s="1"/>
  <c r="K78" i="43" l="1"/>
  <c r="T54" i="4"/>
  <c r="V54" i="4" s="1"/>
  <c r="V48" i="4"/>
  <c r="P409" i="4"/>
  <c r="T75" i="43"/>
  <c r="T73" i="43"/>
  <c r="T66" i="43"/>
  <c r="T11" i="44"/>
  <c r="T89" i="42"/>
  <c r="T68" i="42"/>
  <c r="G76" i="43"/>
  <c r="E92" i="42"/>
  <c r="G92" i="42" s="1"/>
  <c r="T69" i="42"/>
  <c r="T67" i="43"/>
  <c r="S76" i="43"/>
  <c r="S78" i="43" s="1"/>
  <c r="Q92" i="42"/>
  <c r="S92" i="42" s="1"/>
  <c r="S99" i="42" s="1"/>
  <c r="T91" i="42"/>
  <c r="O76" i="43"/>
  <c r="O78" i="43" s="1"/>
  <c r="M92" i="42"/>
  <c r="O92" i="42" s="1"/>
  <c r="O99" i="42" s="1"/>
  <c r="L49" i="42"/>
  <c r="O49" i="42" s="1"/>
  <c r="O39" i="42"/>
  <c r="K99" i="42"/>
  <c r="K217" i="42" s="1"/>
  <c r="H7" i="47"/>
  <c r="G7" i="47"/>
  <c r="T10" i="42"/>
  <c r="S39" i="42"/>
  <c r="P49" i="42"/>
  <c r="S49" i="42" s="1"/>
  <c r="T11" i="42"/>
  <c r="G49" i="42"/>
  <c r="G39" i="42"/>
  <c r="T7" i="42"/>
  <c r="T7" i="46"/>
  <c r="O8" i="46"/>
  <c r="D45" i="46"/>
  <c r="G45" i="46" s="1"/>
  <c r="G46" i="46" s="1"/>
  <c r="J235" i="4"/>
  <c r="J230" i="4"/>
  <c r="J231" i="4" s="1"/>
  <c r="J236" i="4"/>
  <c r="R44" i="45"/>
  <c r="S44" i="45" s="1"/>
  <c r="O44" i="45"/>
  <c r="J182" i="4"/>
  <c r="J183" i="4" s="1"/>
  <c r="H7" i="45"/>
  <c r="G7" i="45"/>
  <c r="H7" i="44"/>
  <c r="G7" i="44"/>
  <c r="R44" i="44"/>
  <c r="S44" i="44" s="1"/>
  <c r="O44" i="44"/>
  <c r="H10" i="44"/>
  <c r="G10" i="44"/>
  <c r="O56" i="43"/>
  <c r="T56" i="43" s="1"/>
  <c r="L49" i="43"/>
  <c r="E41" i="48"/>
  <c r="E63" i="41"/>
  <c r="E63" i="48"/>
  <c r="D55" i="41"/>
  <c r="D53" i="41"/>
  <c r="H65" i="41"/>
  <c r="H65" i="48"/>
  <c r="F65" i="41"/>
  <c r="F65" i="48"/>
  <c r="E61" i="41"/>
  <c r="E61" i="48"/>
  <c r="E65" i="41"/>
  <c r="E65" i="48"/>
  <c r="F61" i="41"/>
  <c r="F61" i="48"/>
  <c r="H61" i="41"/>
  <c r="H61" i="48"/>
  <c r="H63" i="41"/>
  <c r="H63" i="48"/>
  <c r="D51" i="41"/>
  <c r="H29" i="41"/>
  <c r="F29" i="41"/>
  <c r="H33" i="41"/>
  <c r="E29" i="41"/>
  <c r="G33" i="41"/>
  <c r="E41" i="41"/>
  <c r="F33" i="41"/>
  <c r="G29" i="41"/>
  <c r="F41" i="41"/>
  <c r="G41" i="41"/>
  <c r="F11" i="39"/>
  <c r="J410" i="4"/>
  <c r="J409" i="4"/>
  <c r="T311" i="4"/>
  <c r="V311" i="4" s="1"/>
  <c r="S236" i="4"/>
  <c r="S235" i="4"/>
  <c r="P181" i="4"/>
  <c r="P182" i="4"/>
  <c r="S410" i="4"/>
  <c r="S409" i="4"/>
  <c r="M410" i="4"/>
  <c r="M409" i="4"/>
  <c r="M182" i="4"/>
  <c r="M181" i="4"/>
  <c r="M236" i="4"/>
  <c r="M235" i="4"/>
  <c r="S182" i="4"/>
  <c r="S181" i="4"/>
  <c r="P235" i="4"/>
  <c r="P236" i="4"/>
  <c r="T307" i="4"/>
  <c r="T146" i="4"/>
  <c r="T312" i="4"/>
  <c r="V312" i="4" s="1"/>
  <c r="T200" i="4"/>
  <c r="V200" i="4" s="1"/>
  <c r="I11" i="39"/>
  <c r="T374" i="4"/>
  <c r="T404" i="4" s="1"/>
  <c r="T51" i="4"/>
  <c r="V51" i="4" s="1"/>
  <c r="O11" i="39"/>
  <c r="T313" i="4"/>
  <c r="V313" i="4" s="1"/>
  <c r="T55" i="4"/>
  <c r="V55" i="4" s="1"/>
  <c r="L11" i="39"/>
  <c r="V53" i="4"/>
  <c r="S484" i="4"/>
  <c r="M484" i="4"/>
  <c r="J484" i="4"/>
  <c r="S477" i="4"/>
  <c r="P708" i="4"/>
  <c r="P729" i="4" s="1"/>
  <c r="P638" i="4"/>
  <c r="P666" i="4" s="1"/>
  <c r="M477" i="4"/>
  <c r="J477" i="4"/>
  <c r="P558" i="4"/>
  <c r="P596" i="4" s="1"/>
  <c r="P477" i="4"/>
  <c r="G8" i="42"/>
  <c r="T10" i="43"/>
  <c r="J314" i="4"/>
  <c r="J369" i="4" s="1"/>
  <c r="E55" i="48" s="1"/>
  <c r="S314" i="4"/>
  <c r="P314" i="4"/>
  <c r="M314" i="4"/>
  <c r="C49" i="45"/>
  <c r="C49" i="44"/>
  <c r="S8" i="42"/>
  <c r="C8" i="42"/>
  <c r="T7" i="43"/>
  <c r="G39" i="43"/>
  <c r="D50" i="43" s="1"/>
  <c r="G50" i="43" s="1"/>
  <c r="C8" i="43"/>
  <c r="S8" i="43"/>
  <c r="P48" i="43" s="1"/>
  <c r="G8" i="43"/>
  <c r="D55" i="43" s="1"/>
  <c r="O8" i="43"/>
  <c r="L48" i="43" s="1"/>
  <c r="O39" i="43"/>
  <c r="S39" i="43"/>
  <c r="P50" i="43" s="1"/>
  <c r="S50" i="43" s="1"/>
  <c r="O8" i="42"/>
  <c r="L48" i="42" s="1"/>
  <c r="J43" i="45"/>
  <c r="C39" i="45"/>
  <c r="C41" i="46"/>
  <c r="G41" i="46"/>
  <c r="N43" i="44"/>
  <c r="G115" i="43"/>
  <c r="G123" i="43" s="1"/>
  <c r="V77" i="4"/>
  <c r="T51" i="43"/>
  <c r="T44" i="43"/>
  <c r="V118" i="4"/>
  <c r="E31" i="48"/>
  <c r="F35" i="41"/>
  <c r="E35" i="41"/>
  <c r="P176" i="4"/>
  <c r="M176" i="4"/>
  <c r="J176" i="4"/>
  <c r="S176" i="4"/>
  <c r="M307" i="4"/>
  <c r="S307" i="4"/>
  <c r="P230" i="4"/>
  <c r="P307" i="4"/>
  <c r="M230" i="4"/>
  <c r="S230" i="4"/>
  <c r="M404" i="4"/>
  <c r="J404" i="4"/>
  <c r="S404" i="4"/>
  <c r="P404" i="4"/>
  <c r="S60" i="4"/>
  <c r="H31" i="48" s="1"/>
  <c r="M60" i="4"/>
  <c r="F31" i="48" s="1"/>
  <c r="T129" i="4"/>
  <c r="B24" i="28" s="1"/>
  <c r="V106" i="4"/>
  <c r="P60" i="4"/>
  <c r="G31" i="48" s="1"/>
  <c r="T48" i="4"/>
  <c r="B18" i="28" s="1"/>
  <c r="T76" i="43" l="1"/>
  <c r="G78" i="43"/>
  <c r="T78" i="43" s="1"/>
  <c r="T92" i="42"/>
  <c r="T99" i="42" s="1"/>
  <c r="L7" i="47"/>
  <c r="K7" i="47"/>
  <c r="K8" i="47" s="1"/>
  <c r="G99" i="42"/>
  <c r="P50" i="42"/>
  <c r="S50" i="42" s="1"/>
  <c r="G8" i="47"/>
  <c r="P11" i="39"/>
  <c r="T49" i="42"/>
  <c r="L50" i="42"/>
  <c r="O50" i="42" s="1"/>
  <c r="D50" i="42"/>
  <c r="G50" i="42" s="1"/>
  <c r="D48" i="42"/>
  <c r="G48" i="42" s="1"/>
  <c r="D55" i="42"/>
  <c r="G55" i="42" s="1"/>
  <c r="L48" i="46"/>
  <c r="O48" i="46" s="1"/>
  <c r="T8" i="46"/>
  <c r="L43" i="46"/>
  <c r="O43" i="46" s="1"/>
  <c r="T43" i="46" s="1"/>
  <c r="J237" i="4"/>
  <c r="J272" i="4" s="1"/>
  <c r="G8" i="45"/>
  <c r="L7" i="45"/>
  <c r="K7" i="45"/>
  <c r="K8" i="45" s="1"/>
  <c r="T44" i="44"/>
  <c r="T44" i="45"/>
  <c r="L10" i="44"/>
  <c r="K10" i="44"/>
  <c r="G8" i="44"/>
  <c r="L7" i="44"/>
  <c r="K7" i="44"/>
  <c r="K8" i="44" s="1"/>
  <c r="L50" i="43"/>
  <c r="O50" i="43" s="1"/>
  <c r="T50" i="43" s="1"/>
  <c r="T39" i="43"/>
  <c r="M516" i="4"/>
  <c r="G61" i="41"/>
  <c r="I61" i="41" s="1"/>
  <c r="G61" i="48"/>
  <c r="G63" i="41"/>
  <c r="G63" i="48"/>
  <c r="G65" i="41"/>
  <c r="I65" i="41" s="1"/>
  <c r="G65" i="48"/>
  <c r="E31" i="41"/>
  <c r="E44" i="41" s="1"/>
  <c r="E44" i="48"/>
  <c r="G31" i="41"/>
  <c r="G44" i="41" s="1"/>
  <c r="G46" i="41" s="1"/>
  <c r="G48" i="41" s="1"/>
  <c r="G44" i="48"/>
  <c r="F31" i="41"/>
  <c r="F44" i="41" s="1"/>
  <c r="F46" i="41" s="1"/>
  <c r="F48" i="41" s="1"/>
  <c r="F44" i="48"/>
  <c r="H31" i="41"/>
  <c r="H44" i="41" s="1"/>
  <c r="H46" i="41" s="1"/>
  <c r="H48" i="41" s="1"/>
  <c r="H44" i="48"/>
  <c r="I37" i="41"/>
  <c r="I41" i="41"/>
  <c r="I33" i="41"/>
  <c r="I43" i="41"/>
  <c r="I39" i="41"/>
  <c r="I29" i="41"/>
  <c r="O45" i="39"/>
  <c r="F45" i="39"/>
  <c r="L45" i="39"/>
  <c r="T234" i="4"/>
  <c r="V234" i="4" s="1"/>
  <c r="T408" i="4"/>
  <c r="V408" i="4" s="1"/>
  <c r="T180" i="4"/>
  <c r="V180" i="4" s="1"/>
  <c r="V146" i="4"/>
  <c r="T176" i="4"/>
  <c r="V374" i="4"/>
  <c r="V404" i="4" s="1"/>
  <c r="T410" i="4"/>
  <c r="V410" i="4" s="1"/>
  <c r="T181" i="4"/>
  <c r="V181" i="4" s="1"/>
  <c r="T182" i="4"/>
  <c r="V182" i="4" s="1"/>
  <c r="T236" i="4"/>
  <c r="V236" i="4" s="1"/>
  <c r="T480" i="4"/>
  <c r="V480" i="4" s="1"/>
  <c r="T409" i="4"/>
  <c r="V409" i="4" s="1"/>
  <c r="T235" i="4"/>
  <c r="V235" i="4" s="1"/>
  <c r="J516" i="4"/>
  <c r="S516" i="4"/>
  <c r="M369" i="4"/>
  <c r="F55" i="48" s="1"/>
  <c r="P369" i="4"/>
  <c r="G55" i="48" s="1"/>
  <c r="S369" i="4"/>
  <c r="H55" i="48" s="1"/>
  <c r="V708" i="4"/>
  <c r="V729" i="4" s="1"/>
  <c r="T708" i="4"/>
  <c r="T729" i="4" s="1"/>
  <c r="B36" i="28" s="1"/>
  <c r="D25" i="54" s="1"/>
  <c r="V638" i="4"/>
  <c r="T638" i="4"/>
  <c r="V558" i="4"/>
  <c r="V596" i="4" s="1"/>
  <c r="T558" i="4"/>
  <c r="T596" i="4" s="1"/>
  <c r="B34" i="28" s="1"/>
  <c r="D23" i="54" s="1"/>
  <c r="P484" i="4"/>
  <c r="P516" i="4" s="1"/>
  <c r="V477" i="4"/>
  <c r="T477" i="4"/>
  <c r="G49" i="43"/>
  <c r="M237" i="4"/>
  <c r="M272" i="4" s="1"/>
  <c r="F53" i="48" s="1"/>
  <c r="S411" i="4"/>
  <c r="S442" i="4" s="1"/>
  <c r="S183" i="4"/>
  <c r="S195" i="4" s="1"/>
  <c r="H51" i="48" s="1"/>
  <c r="M411" i="4"/>
  <c r="M442" i="4" s="1"/>
  <c r="P237" i="4"/>
  <c r="J195" i="4"/>
  <c r="E51" i="48" s="1"/>
  <c r="P183" i="4"/>
  <c r="P195" i="4" s="1"/>
  <c r="G51" i="48" s="1"/>
  <c r="J411" i="4"/>
  <c r="J442" i="4" s="1"/>
  <c r="P48" i="42"/>
  <c r="S48" i="42" s="1"/>
  <c r="S237" i="4"/>
  <c r="S272" i="4" s="1"/>
  <c r="H53" i="48" s="1"/>
  <c r="M183" i="4"/>
  <c r="M195" i="4" s="1"/>
  <c r="F51" i="48" s="1"/>
  <c r="P411" i="4"/>
  <c r="P442" i="4" s="1"/>
  <c r="P55" i="42"/>
  <c r="S55" i="42" s="1"/>
  <c r="S59" i="42" s="1"/>
  <c r="C59" i="42"/>
  <c r="S48" i="43"/>
  <c r="P55" i="43"/>
  <c r="S55" i="43" s="1"/>
  <c r="S59" i="43" s="1"/>
  <c r="L55" i="42"/>
  <c r="O48" i="42"/>
  <c r="C59" i="43"/>
  <c r="O48" i="43"/>
  <c r="L55" i="43"/>
  <c r="O55" i="43" s="1"/>
  <c r="O59" i="43" s="1"/>
  <c r="S46" i="42"/>
  <c r="D48" i="43"/>
  <c r="G55" i="43"/>
  <c r="G59" i="43" s="1"/>
  <c r="G46" i="42"/>
  <c r="O46" i="43"/>
  <c r="T8" i="43"/>
  <c r="S46" i="43"/>
  <c r="S49" i="43"/>
  <c r="O49" i="43"/>
  <c r="G46" i="43"/>
  <c r="O46" i="42"/>
  <c r="T8" i="42"/>
  <c r="C46" i="43"/>
  <c r="C46" i="42"/>
  <c r="T39" i="42"/>
  <c r="C39" i="47"/>
  <c r="G51" i="46"/>
  <c r="G105" i="46" s="1"/>
  <c r="C41" i="45"/>
  <c r="N43" i="45"/>
  <c r="K39" i="46"/>
  <c r="H45" i="46" s="1"/>
  <c r="K45" i="46" s="1"/>
  <c r="K46" i="46" s="1"/>
  <c r="S39" i="46"/>
  <c r="P45" i="46" s="1"/>
  <c r="S45" i="46" s="1"/>
  <c r="S46" i="46" s="1"/>
  <c r="O39" i="46"/>
  <c r="L45" i="46" s="1"/>
  <c r="O45" i="46" s="1"/>
  <c r="T77" i="4"/>
  <c r="B20" i="28" s="1"/>
  <c r="K115" i="43"/>
  <c r="K123" i="43" s="1"/>
  <c r="K138" i="43" s="1"/>
  <c r="G39" i="44"/>
  <c r="D45" i="44" s="1"/>
  <c r="R43" i="44"/>
  <c r="V230" i="4"/>
  <c r="T230" i="4"/>
  <c r="V129" i="4"/>
  <c r="T60" i="4"/>
  <c r="V307" i="4"/>
  <c r="E22" i="28"/>
  <c r="F22" i="28"/>
  <c r="E23" i="28"/>
  <c r="F23" i="28"/>
  <c r="V60" i="4"/>
  <c r="D109" i="46" l="1"/>
  <c r="G109" i="46" s="1"/>
  <c r="G111" i="46" s="1"/>
  <c r="O46" i="46"/>
  <c r="D42" i="47"/>
  <c r="G42" i="47" s="1"/>
  <c r="D47" i="47"/>
  <c r="G47" i="47" s="1"/>
  <c r="D38" i="54"/>
  <c r="C25" i="54"/>
  <c r="C38" i="54" s="1"/>
  <c r="H47" i="47"/>
  <c r="K47" i="47" s="1"/>
  <c r="K48" i="47" s="1"/>
  <c r="H42" i="47"/>
  <c r="K42" i="47" s="1"/>
  <c r="D36" i="54"/>
  <c r="C23" i="54"/>
  <c r="C36" i="54" s="1"/>
  <c r="P7" i="47"/>
  <c r="S7" i="47" s="1"/>
  <c r="S8" i="47" s="1"/>
  <c r="O7" i="47"/>
  <c r="T50" i="42"/>
  <c r="E53" i="48"/>
  <c r="J737" i="4"/>
  <c r="J739" i="4" s="1"/>
  <c r="G59" i="42"/>
  <c r="O55" i="42"/>
  <c r="T55" i="42" s="1"/>
  <c r="E36" i="28"/>
  <c r="F36" i="28"/>
  <c r="E34" i="28"/>
  <c r="F34" i="28"/>
  <c r="E46" i="41"/>
  <c r="E48" i="41" s="1"/>
  <c r="B19" i="28"/>
  <c r="B26" i="28" s="1"/>
  <c r="O49" i="46"/>
  <c r="T49" i="46" s="1"/>
  <c r="T48" i="46"/>
  <c r="T45" i="46"/>
  <c r="H48" i="45"/>
  <c r="K48" i="45" s="1"/>
  <c r="K49" i="45" s="1"/>
  <c r="H43" i="45"/>
  <c r="K43" i="45" s="1"/>
  <c r="P7" i="45"/>
  <c r="S7" i="45" s="1"/>
  <c r="S8" i="45" s="1"/>
  <c r="O7" i="45"/>
  <c r="O8" i="45" s="1"/>
  <c r="D48" i="45"/>
  <c r="G48" i="45" s="1"/>
  <c r="D43" i="45"/>
  <c r="G43" i="45" s="1"/>
  <c r="G46" i="45" s="1"/>
  <c r="P10" i="44"/>
  <c r="S10" i="44" s="1"/>
  <c r="O10" i="44"/>
  <c r="H43" i="44"/>
  <c r="K43" i="44" s="1"/>
  <c r="H48" i="44"/>
  <c r="K48" i="44" s="1"/>
  <c r="K49" i="44" s="1"/>
  <c r="D43" i="44"/>
  <c r="G43" i="44" s="1"/>
  <c r="D48" i="44"/>
  <c r="G48" i="44" s="1"/>
  <c r="P7" i="44"/>
  <c r="S7" i="44" s="1"/>
  <c r="S8" i="44" s="1"/>
  <c r="O7" i="44"/>
  <c r="O8" i="44" s="1"/>
  <c r="P272" i="4"/>
  <c r="G53" i="48" s="1"/>
  <c r="H57" i="48"/>
  <c r="F57" i="48"/>
  <c r="E57" i="48"/>
  <c r="G59" i="41"/>
  <c r="G59" i="48"/>
  <c r="H59" i="41"/>
  <c r="H59" i="48"/>
  <c r="F59" i="41"/>
  <c r="F59" i="48"/>
  <c r="E59" i="41"/>
  <c r="E59" i="48"/>
  <c r="E46" i="48"/>
  <c r="E48" i="48" s="1"/>
  <c r="F46" i="48"/>
  <c r="F48" i="48" s="1"/>
  <c r="G46" i="48"/>
  <c r="G48" i="48" s="1"/>
  <c r="H46" i="48"/>
  <c r="I31" i="41"/>
  <c r="E51" i="41"/>
  <c r="P45" i="39"/>
  <c r="I45" i="39"/>
  <c r="T484" i="4"/>
  <c r="T516" i="4" s="1"/>
  <c r="B33" i="28" s="1"/>
  <c r="D22" i="54" s="1"/>
  <c r="V484" i="4"/>
  <c r="V516" i="4" s="1"/>
  <c r="F20" i="28"/>
  <c r="T48" i="42"/>
  <c r="G48" i="43"/>
  <c r="G52" i="43" s="1"/>
  <c r="G61" i="43" s="1"/>
  <c r="G138" i="43" s="1"/>
  <c r="S52" i="43"/>
  <c r="S61" i="43" s="1"/>
  <c r="C52" i="43"/>
  <c r="O52" i="43"/>
  <c r="O61" i="43" s="1"/>
  <c r="T55" i="43"/>
  <c r="G52" i="42"/>
  <c r="S52" i="42"/>
  <c r="S61" i="42" s="1"/>
  <c r="S217" i="42" s="1"/>
  <c r="H141" i="43"/>
  <c r="T411" i="4"/>
  <c r="T442" i="4" s="1"/>
  <c r="T314" i="4"/>
  <c r="T369" i="4" s="1"/>
  <c r="B31" i="28" s="1"/>
  <c r="D20" i="54" s="1"/>
  <c r="T46" i="43"/>
  <c r="T49" i="43"/>
  <c r="T46" i="42"/>
  <c r="C52" i="42"/>
  <c r="G39" i="47"/>
  <c r="D44" i="47" s="1"/>
  <c r="G44" i="47" s="1"/>
  <c r="C40" i="47"/>
  <c r="K41" i="46"/>
  <c r="T39" i="46"/>
  <c r="C51" i="46"/>
  <c r="C46" i="45"/>
  <c r="G41" i="45"/>
  <c r="R43" i="45"/>
  <c r="K39" i="45"/>
  <c r="H45" i="45" s="1"/>
  <c r="O41" i="46"/>
  <c r="S41" i="46"/>
  <c r="K39" i="44"/>
  <c r="H45" i="44" s="1"/>
  <c r="G45" i="44"/>
  <c r="G41" i="44"/>
  <c r="C41" i="44"/>
  <c r="S115" i="43"/>
  <c r="S123" i="43" s="1"/>
  <c r="O115" i="43"/>
  <c r="V237" i="4"/>
  <c r="V272" i="4" s="1"/>
  <c r="T237" i="4"/>
  <c r="T272" i="4" s="1"/>
  <c r="B30" i="28" s="1"/>
  <c r="D19" i="54" s="1"/>
  <c r="V183" i="4"/>
  <c r="T183" i="4"/>
  <c r="T195" i="4" s="1"/>
  <c r="B29" i="28" s="1"/>
  <c r="D18" i="54" s="1"/>
  <c r="F53" i="41"/>
  <c r="E53" i="41"/>
  <c r="D44" i="41"/>
  <c r="H51" i="41"/>
  <c r="F51" i="41"/>
  <c r="V176" i="4"/>
  <c r="W48" i="4" s="1"/>
  <c r="H53" i="41"/>
  <c r="H55" i="41"/>
  <c r="E55" i="41"/>
  <c r="F55" i="41"/>
  <c r="D55" i="28"/>
  <c r="D66" i="28" s="1"/>
  <c r="V314" i="4"/>
  <c r="V369" i="4" s="1"/>
  <c r="C61" i="43" l="1"/>
  <c r="C138" i="43" s="1"/>
  <c r="T52" i="43"/>
  <c r="G113" i="46"/>
  <c r="G117" i="46" s="1"/>
  <c r="B32" i="28"/>
  <c r="D21" i="54" s="1"/>
  <c r="D34" i="54" s="1"/>
  <c r="D30" i="54"/>
  <c r="O8" i="47"/>
  <c r="T7" i="47"/>
  <c r="D33" i="54"/>
  <c r="K141" i="43"/>
  <c r="K144" i="43" s="1"/>
  <c r="K146" i="43" s="1"/>
  <c r="K148" i="43" s="1"/>
  <c r="H220" i="42"/>
  <c r="K220" i="42" s="1"/>
  <c r="G48" i="47"/>
  <c r="P42" i="47"/>
  <c r="S42" i="47" s="1"/>
  <c r="P47" i="47"/>
  <c r="S47" i="47" s="1"/>
  <c r="S48" i="47" s="1"/>
  <c r="D31" i="54"/>
  <c r="D35" i="54"/>
  <c r="C22" i="54"/>
  <c r="C35" i="54" s="1"/>
  <c r="F68" i="28"/>
  <c r="C7" i="54"/>
  <c r="G61" i="42"/>
  <c r="G217" i="42" s="1"/>
  <c r="O59" i="42"/>
  <c r="T59" i="42" s="1"/>
  <c r="F31" i="28"/>
  <c r="E31" i="28"/>
  <c r="F30" i="28"/>
  <c r="E30" i="28"/>
  <c r="E33" i="28"/>
  <c r="F33" i="28"/>
  <c r="G45" i="47"/>
  <c r="P48" i="45"/>
  <c r="S48" i="45" s="1"/>
  <c r="S49" i="45" s="1"/>
  <c r="P43" i="45"/>
  <c r="L43" i="45"/>
  <c r="O43" i="45" s="1"/>
  <c r="L48" i="45"/>
  <c r="O48" i="45" s="1"/>
  <c r="O49" i="45" s="1"/>
  <c r="T8" i="44"/>
  <c r="T7" i="45"/>
  <c r="T8" i="45"/>
  <c r="T10" i="44"/>
  <c r="G49" i="45"/>
  <c r="S43" i="45"/>
  <c r="T7" i="44"/>
  <c r="L43" i="44"/>
  <c r="O43" i="44" s="1"/>
  <c r="L48" i="44"/>
  <c r="O48" i="44" s="1"/>
  <c r="O49" i="44" s="1"/>
  <c r="G46" i="44"/>
  <c r="P48" i="44"/>
  <c r="S48" i="44" s="1"/>
  <c r="S49" i="44" s="1"/>
  <c r="P43" i="44"/>
  <c r="S43" i="44" s="1"/>
  <c r="G49" i="44"/>
  <c r="G53" i="41"/>
  <c r="I53" i="41" s="1"/>
  <c r="P737" i="4"/>
  <c r="P739" i="4" s="1"/>
  <c r="F57" i="41"/>
  <c r="S737" i="4"/>
  <c r="S739" i="4" s="1"/>
  <c r="H57" i="41"/>
  <c r="H66" i="41" s="1"/>
  <c r="H68" i="41" s="1"/>
  <c r="H66" i="48"/>
  <c r="H68" i="48" s="1"/>
  <c r="H70" i="48" s="1"/>
  <c r="G57" i="48"/>
  <c r="G66" i="48" s="1"/>
  <c r="G68" i="48" s="1"/>
  <c r="G70" i="48" s="1"/>
  <c r="G72" i="48" s="1"/>
  <c r="G57" i="41"/>
  <c r="E66" i="48"/>
  <c r="E68" i="48" s="1"/>
  <c r="E70" i="48" s="1"/>
  <c r="E72" i="48" s="1"/>
  <c r="I59" i="41"/>
  <c r="H48" i="48"/>
  <c r="V195" i="4"/>
  <c r="E20" i="28"/>
  <c r="T48" i="43"/>
  <c r="F18" i="28"/>
  <c r="T59" i="43"/>
  <c r="O52" i="42"/>
  <c r="T52" i="42" s="1"/>
  <c r="C144" i="43"/>
  <c r="S138" i="43"/>
  <c r="V411" i="4"/>
  <c r="V442" i="4" s="1"/>
  <c r="C61" i="42"/>
  <c r="C217" i="42" s="1"/>
  <c r="K39" i="47"/>
  <c r="H44" i="47" s="1"/>
  <c r="K44" i="47" s="1"/>
  <c r="K45" i="47" s="1"/>
  <c r="S39" i="47"/>
  <c r="P44" i="47" s="1"/>
  <c r="S44" i="47" s="1"/>
  <c r="G40" i="47"/>
  <c r="O39" i="45"/>
  <c r="L45" i="45" s="1"/>
  <c r="C50" i="45"/>
  <c r="K45" i="45"/>
  <c r="K41" i="45"/>
  <c r="C105" i="46"/>
  <c r="O51" i="46"/>
  <c r="O105" i="46" s="1"/>
  <c r="L109" i="46" s="1"/>
  <c r="O109" i="46" s="1"/>
  <c r="O111" i="46" s="1"/>
  <c r="O113" i="46" s="1"/>
  <c r="O117" i="46" s="1"/>
  <c r="T41" i="46"/>
  <c r="C46" i="44"/>
  <c r="C51" i="44" s="1"/>
  <c r="C78" i="44" s="1"/>
  <c r="O123" i="43"/>
  <c r="T115" i="43"/>
  <c r="K45" i="44"/>
  <c r="K46" i="44" s="1"/>
  <c r="K51" i="44" s="1"/>
  <c r="K41" i="44"/>
  <c r="S39" i="44"/>
  <c r="P45" i="44" s="1"/>
  <c r="D141" i="43"/>
  <c r="D220" i="42" s="1"/>
  <c r="G220" i="42" s="1"/>
  <c r="G55" i="41"/>
  <c r="I35" i="41"/>
  <c r="I44" i="41" s="1"/>
  <c r="G51" i="41"/>
  <c r="C146" i="43" l="1"/>
  <c r="C148" i="43" s="1"/>
  <c r="F32" i="28"/>
  <c r="T61" i="43"/>
  <c r="E32" i="28"/>
  <c r="S45" i="47"/>
  <c r="S49" i="47" s="1"/>
  <c r="L42" i="47"/>
  <c r="O42" i="47" s="1"/>
  <c r="T42" i="47" s="1"/>
  <c r="L47" i="47"/>
  <c r="O47" i="47" s="1"/>
  <c r="T8" i="47"/>
  <c r="G7" i="54"/>
  <c r="E7" i="54"/>
  <c r="G141" i="43"/>
  <c r="G144" i="43" s="1"/>
  <c r="G146" i="43" s="1"/>
  <c r="G148" i="43" s="1"/>
  <c r="T43" i="44"/>
  <c r="T43" i="45"/>
  <c r="T49" i="44"/>
  <c r="T48" i="45"/>
  <c r="T49" i="45"/>
  <c r="G50" i="45"/>
  <c r="G86" i="45" s="1"/>
  <c r="G51" i="44"/>
  <c r="G78" i="44" s="1"/>
  <c r="D82" i="44" s="1"/>
  <c r="K78" i="44"/>
  <c r="H82" i="44" s="1"/>
  <c r="T48" i="44"/>
  <c r="S741" i="4"/>
  <c r="P741" i="4"/>
  <c r="J741" i="4"/>
  <c r="H72" i="48"/>
  <c r="G66" i="41"/>
  <c r="G68" i="41" s="1"/>
  <c r="G70" i="41" s="1"/>
  <c r="S51" i="46"/>
  <c r="S105" i="46" s="1"/>
  <c r="P109" i="46" s="1"/>
  <c r="S109" i="46" s="1"/>
  <c r="S111" i="46" s="1"/>
  <c r="S113" i="46" s="1"/>
  <c r="S117" i="46" s="1"/>
  <c r="E18" i="28"/>
  <c r="O61" i="42"/>
  <c r="O217" i="42" s="1"/>
  <c r="H70" i="41"/>
  <c r="E19" i="28"/>
  <c r="F19" i="28"/>
  <c r="P141" i="43"/>
  <c r="G49" i="47"/>
  <c r="S40" i="47"/>
  <c r="O39" i="47"/>
  <c r="K40" i="47"/>
  <c r="C49" i="47"/>
  <c r="C87" i="47" s="1"/>
  <c r="K46" i="45"/>
  <c r="C86" i="45"/>
  <c r="C153" i="43" s="1"/>
  <c r="S39" i="45"/>
  <c r="P45" i="45" s="1"/>
  <c r="C111" i="46"/>
  <c r="C113" i="46" s="1"/>
  <c r="C117" i="46" s="1"/>
  <c r="O45" i="45"/>
  <c r="O46" i="45" s="1"/>
  <c r="O50" i="45" s="1"/>
  <c r="O41" i="45"/>
  <c r="K51" i="46"/>
  <c r="G81" i="44"/>
  <c r="T123" i="43"/>
  <c r="O138" i="43"/>
  <c r="S41" i="44"/>
  <c r="S45" i="44"/>
  <c r="S46" i="44" s="1"/>
  <c r="S51" i="44" s="1"/>
  <c r="O39" i="44"/>
  <c r="L45" i="44" s="1"/>
  <c r="I55" i="41"/>
  <c r="V101" i="4"/>
  <c r="I51" i="41"/>
  <c r="D90" i="45" l="1"/>
  <c r="G90" i="45" s="1"/>
  <c r="G92" i="45" s="1"/>
  <c r="G82" i="44"/>
  <c r="G84" i="44" s="1"/>
  <c r="G86" i="44" s="1"/>
  <c r="G88" i="44" s="1"/>
  <c r="O48" i="47"/>
  <c r="T48" i="47" s="1"/>
  <c r="T47" i="47"/>
  <c r="K82" i="44"/>
  <c r="S141" i="43"/>
  <c r="S144" i="43" s="1"/>
  <c r="S146" i="43" s="1"/>
  <c r="S148" i="43" s="1"/>
  <c r="P220" i="42"/>
  <c r="S220" i="42" s="1"/>
  <c r="T39" i="47"/>
  <c r="L44" i="47"/>
  <c r="O44" i="47" s="1"/>
  <c r="S78" i="44"/>
  <c r="P82" i="44" s="1"/>
  <c r="T46" i="46"/>
  <c r="C84" i="44"/>
  <c r="C86" i="44" s="1"/>
  <c r="C88" i="44" s="1"/>
  <c r="T61" i="42"/>
  <c r="T217" i="42" s="1"/>
  <c r="G72" i="41"/>
  <c r="H72" i="41"/>
  <c r="T138" i="43"/>
  <c r="L141" i="43"/>
  <c r="S87" i="47"/>
  <c r="P91" i="47" s="1"/>
  <c r="S91" i="47" s="1"/>
  <c r="S93" i="47" s="1"/>
  <c r="S95" i="47" s="1"/>
  <c r="S98" i="47" s="1"/>
  <c r="G87" i="47"/>
  <c r="O40" i="47"/>
  <c r="O86" i="45"/>
  <c r="L90" i="45" s="1"/>
  <c r="O90" i="45" s="1"/>
  <c r="O92" i="45" s="1"/>
  <c r="O94" i="45" s="1"/>
  <c r="O97" i="45" s="1"/>
  <c r="K105" i="46"/>
  <c r="T51" i="46"/>
  <c r="K50" i="45"/>
  <c r="S45" i="45"/>
  <c r="S46" i="45" s="1"/>
  <c r="S50" i="45" s="1"/>
  <c r="S41" i="45"/>
  <c r="T39" i="45"/>
  <c r="C92" i="45"/>
  <c r="C94" i="45" s="1"/>
  <c r="K81" i="44"/>
  <c r="O45" i="44"/>
  <c r="O41" i="44"/>
  <c r="T39" i="44"/>
  <c r="F21" i="28"/>
  <c r="E21" i="28"/>
  <c r="E57" i="41"/>
  <c r="D91" i="47" l="1"/>
  <c r="G91" i="47" s="1"/>
  <c r="G93" i="47" s="1"/>
  <c r="H109" i="46"/>
  <c r="K109" i="46" s="1"/>
  <c r="K111" i="46" s="1"/>
  <c r="U105" i="46"/>
  <c r="G94" i="45"/>
  <c r="G97" i="45" s="1"/>
  <c r="K84" i="44"/>
  <c r="K86" i="44" s="1"/>
  <c r="K88" i="44" s="1"/>
  <c r="O141" i="43"/>
  <c r="O144" i="43" s="1"/>
  <c r="O146" i="43" s="1"/>
  <c r="O148" i="43" s="1"/>
  <c r="T148" i="43" s="1"/>
  <c r="L220" i="42"/>
  <c r="O220" i="42" s="1"/>
  <c r="S82" i="44"/>
  <c r="D221" i="42"/>
  <c r="G221" i="42" s="1"/>
  <c r="O45" i="47"/>
  <c r="O49" i="47" s="1"/>
  <c r="O87" i="47" s="1"/>
  <c r="L91" i="47" s="1"/>
  <c r="O91" i="47" s="1"/>
  <c r="O93" i="47" s="1"/>
  <c r="T44" i="47"/>
  <c r="T41" i="44"/>
  <c r="E66" i="41"/>
  <c r="E68" i="41" s="1"/>
  <c r="T105" i="46"/>
  <c r="E24" i="28"/>
  <c r="E26" i="28" s="1"/>
  <c r="D17" i="54" s="1"/>
  <c r="F24" i="28"/>
  <c r="F26" i="28" s="1"/>
  <c r="T40" i="47"/>
  <c r="K49" i="47"/>
  <c r="K87" i="47" s="1"/>
  <c r="C93" i="47"/>
  <c r="C95" i="47" s="1"/>
  <c r="T46" i="45"/>
  <c r="T50" i="45"/>
  <c r="K86" i="45"/>
  <c r="T45" i="45"/>
  <c r="C97" i="45"/>
  <c r="S86" i="45"/>
  <c r="P90" i="45" s="1"/>
  <c r="S90" i="45" s="1"/>
  <c r="S92" i="45" s="1"/>
  <c r="S94" i="45" s="1"/>
  <c r="S97" i="45" s="1"/>
  <c r="T41" i="45"/>
  <c r="S81" i="44"/>
  <c r="O46" i="44"/>
  <c r="T45" i="44"/>
  <c r="T109" i="46" l="1"/>
  <c r="T111" i="46" s="1"/>
  <c r="F33" i="54" s="1"/>
  <c r="U87" i="47"/>
  <c r="H90" i="45"/>
  <c r="K90" i="45" s="1"/>
  <c r="K92" i="45" s="1"/>
  <c r="U86" i="45"/>
  <c r="K113" i="46"/>
  <c r="K117" i="46" s="1"/>
  <c r="T117" i="46" s="1"/>
  <c r="U111" i="46"/>
  <c r="G95" i="47"/>
  <c r="G98" i="47" s="1"/>
  <c r="T141" i="43"/>
  <c r="T144" i="43" s="1"/>
  <c r="B58" i="28" s="1"/>
  <c r="E58" i="28" s="1"/>
  <c r="T146" i="43"/>
  <c r="S84" i="44"/>
  <c r="S86" i="44" s="1"/>
  <c r="S88" i="44" s="1"/>
  <c r="P221" i="42"/>
  <c r="S221" i="42" s="1"/>
  <c r="S223" i="42" s="1"/>
  <c r="S225" i="42" s="1"/>
  <c r="S234" i="42" s="1"/>
  <c r="D29" i="54"/>
  <c r="E70" i="41"/>
  <c r="E72" i="41" s="1"/>
  <c r="T45" i="47"/>
  <c r="O95" i="47"/>
  <c r="C98" i="47"/>
  <c r="T49" i="47"/>
  <c r="T87" i="47" s="1"/>
  <c r="H91" i="47"/>
  <c r="K91" i="47" s="1"/>
  <c r="T86" i="45"/>
  <c r="T46" i="44"/>
  <c r="O51" i="44"/>
  <c r="O78" i="44" s="1"/>
  <c r="F20" i="54" l="1"/>
  <c r="C20" i="54" s="1"/>
  <c r="C33" i="54" s="1"/>
  <c r="V75" i="53"/>
  <c r="T113" i="46"/>
  <c r="K94" i="45"/>
  <c r="T94" i="45" s="1"/>
  <c r="U92" i="45"/>
  <c r="T90" i="45"/>
  <c r="T92" i="45" s="1"/>
  <c r="F19" i="54" s="1"/>
  <c r="C19" i="54" s="1"/>
  <c r="C31" i="54" s="1"/>
  <c r="F29" i="54"/>
  <c r="F17" i="54"/>
  <c r="C17" i="54" s="1"/>
  <c r="C29" i="54" s="1"/>
  <c r="H221" i="42"/>
  <c r="K221" i="42" s="1"/>
  <c r="G223" i="42"/>
  <c r="G225" i="42" s="1"/>
  <c r="G234" i="42" s="1"/>
  <c r="O98" i="47"/>
  <c r="K93" i="47"/>
  <c r="T91" i="47"/>
  <c r="T93" i="47" s="1"/>
  <c r="L82" i="44"/>
  <c r="T51" i="44"/>
  <c r="K97" i="45" l="1"/>
  <c r="T97" i="45" s="1"/>
  <c r="K95" i="47"/>
  <c r="T95" i="47" s="1"/>
  <c r="U93" i="47"/>
  <c r="F31" i="54"/>
  <c r="O82" i="44"/>
  <c r="T82" i="44" s="1"/>
  <c r="L221" i="42"/>
  <c r="O221" i="42" s="1"/>
  <c r="O223" i="42" s="1"/>
  <c r="O225" i="42" s="1"/>
  <c r="O234" i="42" s="1"/>
  <c r="F34" i="54"/>
  <c r="F21" i="54"/>
  <c r="C21" i="54" s="1"/>
  <c r="C34" i="54" s="1"/>
  <c r="T78" i="44"/>
  <c r="O81" i="44"/>
  <c r="K98" i="47" l="1"/>
  <c r="T98" i="47" s="1"/>
  <c r="T102" i="47" s="1"/>
  <c r="F29" i="28"/>
  <c r="O84" i="44"/>
  <c r="O86" i="44" s="1"/>
  <c r="T81" i="44"/>
  <c r="T84" i="44" s="1"/>
  <c r="F18" i="54" l="1"/>
  <c r="C18" i="54" s="1"/>
  <c r="F30" i="54"/>
  <c r="E29" i="28"/>
  <c r="T86" i="44"/>
  <c r="O88" i="44"/>
  <c r="T88" i="44" s="1"/>
  <c r="C30" i="54" l="1"/>
  <c r="D57" i="41"/>
  <c r="E737" i="4" l="1"/>
  <c r="I57" i="41"/>
  <c r="D66" i="41"/>
  <c r="D55" i="48" l="1"/>
  <c r="I55" i="48" s="1"/>
  <c r="D35" i="48"/>
  <c r="I35" i="48" s="1"/>
  <c r="D59" i="48"/>
  <c r="I59" i="48" s="1"/>
  <c r="D65" i="48"/>
  <c r="I65" i="48" s="1"/>
  <c r="D29" i="48"/>
  <c r="I29" i="48" s="1"/>
  <c r="D61" i="48"/>
  <c r="I61" i="48" s="1"/>
  <c r="D39" i="48"/>
  <c r="I39" i="48" s="1"/>
  <c r="D41" i="48"/>
  <c r="I41" i="48" s="1"/>
  <c r="I46" i="41"/>
  <c r="I48" i="41" s="1"/>
  <c r="D37" i="48"/>
  <c r="I37" i="48" s="1"/>
  <c r="E741" i="4"/>
  <c r="D53" i="48"/>
  <c r="I53" i="48" s="1"/>
  <c r="D63" i="48"/>
  <c r="D31" i="48"/>
  <c r="I31" i="48" s="1"/>
  <c r="D57" i="48"/>
  <c r="I57" i="48" s="1"/>
  <c r="D43" i="48"/>
  <c r="I43" i="48" s="1"/>
  <c r="D33" i="48"/>
  <c r="I33" i="48" s="1"/>
  <c r="D51" i="48"/>
  <c r="D48" i="41" l="1"/>
  <c r="D66" i="48"/>
  <c r="I51" i="48"/>
  <c r="D44" i="48"/>
  <c r="D46" i="48" s="1"/>
  <c r="I46" i="48" s="1"/>
  <c r="I48" i="48" s="1"/>
  <c r="I44" i="48"/>
  <c r="D68" i="48" l="1"/>
  <c r="D70" i="48" s="1"/>
  <c r="T220" i="42"/>
  <c r="D68" i="41"/>
  <c r="D70" i="41" s="1"/>
  <c r="D72" i="41" s="1"/>
  <c r="D48" i="48"/>
  <c r="C223" i="42"/>
  <c r="C225" i="42" s="1"/>
  <c r="C234" i="42" s="1"/>
  <c r="M659" i="4"/>
  <c r="M660" i="4" s="1"/>
  <c r="M666" i="4" s="1"/>
  <c r="D72" i="48" l="1"/>
  <c r="T659" i="4"/>
  <c r="T660" i="4" s="1"/>
  <c r="T666" i="4" s="1"/>
  <c r="T737" i="4" s="1"/>
  <c r="F63" i="48"/>
  <c r="M737" i="4"/>
  <c r="M739" i="4" s="1"/>
  <c r="T739" i="4" s="1"/>
  <c r="V739" i="4" s="1"/>
  <c r="F63" i="41"/>
  <c r="B35" i="28" l="1"/>
  <c r="D24" i="54" s="1"/>
  <c r="V659" i="4"/>
  <c r="V660" i="4" s="1"/>
  <c r="V666" i="4" s="1"/>
  <c r="V737" i="4" s="1"/>
  <c r="I63" i="41"/>
  <c r="I66" i="41" s="1"/>
  <c r="F66" i="41"/>
  <c r="F68" i="41" s="1"/>
  <c r="F66" i="48"/>
  <c r="F68" i="48" s="1"/>
  <c r="I63" i="48"/>
  <c r="I66" i="48" s="1"/>
  <c r="D37" i="54" l="1"/>
  <c r="C24" i="54"/>
  <c r="H24" i="54" s="1"/>
  <c r="E35" i="28"/>
  <c r="E37" i="28" s="1"/>
  <c r="E55" i="28" s="1"/>
  <c r="D6" i="54" s="1"/>
  <c r="F35" i="28"/>
  <c r="F37" i="28" s="1"/>
  <c r="B37" i="28"/>
  <c r="B55" i="28" s="1"/>
  <c r="B59" i="28"/>
  <c r="M741" i="4"/>
  <c r="I68" i="48"/>
  <c r="I70" i="48" s="1"/>
  <c r="I72" i="48" s="1"/>
  <c r="F70" i="48"/>
  <c r="F72" i="48" s="1"/>
  <c r="I68" i="41"/>
  <c r="I70" i="41" s="1"/>
  <c r="I72" i="41" s="1"/>
  <c r="F70" i="41"/>
  <c r="C37" i="54" l="1"/>
  <c r="E37" i="54" s="1"/>
  <c r="H20" i="54"/>
  <c r="H18" i="54"/>
  <c r="E17" i="54"/>
  <c r="H22" i="54"/>
  <c r="E23" i="54"/>
  <c r="H25" i="54"/>
  <c r="E21" i="54"/>
  <c r="E22" i="54"/>
  <c r="E20" i="54"/>
  <c r="H23" i="54"/>
  <c r="E19" i="54"/>
  <c r="H21" i="54"/>
  <c r="E25" i="54"/>
  <c r="H19" i="54"/>
  <c r="E18" i="54"/>
  <c r="H17" i="54"/>
  <c r="E24" i="54"/>
  <c r="F55" i="28"/>
  <c r="D5" i="54" s="1"/>
  <c r="B62" i="28"/>
  <c r="B66" i="28" s="1"/>
  <c r="E59" i="28"/>
  <c r="T741" i="4"/>
  <c r="F72" i="41"/>
  <c r="C6" i="54" l="1"/>
  <c r="E6" i="54" s="1"/>
  <c r="W99" i="4"/>
  <c r="V741" i="4"/>
  <c r="H37" i="54"/>
  <c r="H29" i="54"/>
  <c r="E36" i="54"/>
  <c r="H30" i="54"/>
  <c r="E29" i="54"/>
  <c r="E34" i="54"/>
  <c r="E38" i="54"/>
  <c r="E33" i="54"/>
  <c r="H32" i="54"/>
  <c r="H38" i="54"/>
  <c r="H34" i="54"/>
  <c r="H35" i="54"/>
  <c r="E32" i="54"/>
  <c r="H33" i="54"/>
  <c r="H36" i="54"/>
  <c r="E31" i="54"/>
  <c r="H31" i="54"/>
  <c r="E30" i="54"/>
  <c r="E35" i="54"/>
  <c r="E62" i="28"/>
  <c r="T221" i="42"/>
  <c r="T223" i="42" s="1"/>
  <c r="K223" i="42"/>
  <c r="K225" i="42" s="1"/>
  <c r="K234" i="42" s="1"/>
  <c r="F66" i="28" l="1"/>
  <c r="F6" i="54"/>
  <c r="G6" i="54" s="1"/>
  <c r="F12" i="54"/>
  <c r="F5" i="54"/>
  <c r="E66" i="28"/>
  <c r="E70" i="28" s="1"/>
  <c r="T225" i="42"/>
  <c r="T234" i="42" s="1"/>
  <c r="C5" i="54" l="1"/>
  <c r="E5" i="54" s="1"/>
  <c r="C12" i="54"/>
  <c r="H13" i="54" s="1"/>
  <c r="G5" i="54" l="1"/>
  <c r="E13" i="54"/>
  <c r="D12" i="54"/>
  <c r="E12" i="54" s="1"/>
  <c r="H12" i="54" l="1"/>
</calcChain>
</file>

<file path=xl/sharedStrings.xml><?xml version="1.0" encoding="utf-8"?>
<sst xmlns="http://schemas.openxmlformats.org/spreadsheetml/2006/main" count="3440" uniqueCount="834">
  <si>
    <t>ATTACHMENT C-1</t>
  </si>
  <si>
    <t>Budget Summary</t>
  </si>
  <si>
    <t>Program (FFPr or MGD):</t>
  </si>
  <si>
    <t>FFPr</t>
  </si>
  <si>
    <t xml:space="preserve">Country of Operation: </t>
  </si>
  <si>
    <t>Colombia</t>
  </si>
  <si>
    <t>Implementing Organization:</t>
  </si>
  <si>
    <t>Partners of the Americas Inc.</t>
  </si>
  <si>
    <t xml:space="preserve">Fiscal Year:  </t>
  </si>
  <si>
    <t>2024</t>
  </si>
  <si>
    <t xml:space="preserve">Agreement Number: </t>
  </si>
  <si>
    <t>USDA-FAS-10.606-0700-20-(514)</t>
  </si>
  <si>
    <t>Total Amount of Federal Funds Requested</t>
  </si>
  <si>
    <t>Funding Source
(FAS for MGD)
(CCC for FFPr)</t>
  </si>
  <si>
    <t>Funding Year</t>
  </si>
  <si>
    <t>Commodity Cost</t>
  </si>
  <si>
    <t>Freight Cost</t>
  </si>
  <si>
    <t>Administrative Costs (cash portion)</t>
  </si>
  <si>
    <t>Total Federal Funding Obligated</t>
  </si>
  <si>
    <t>2020</t>
  </si>
  <si>
    <t>Project Operating Budget</t>
  </si>
  <si>
    <t>Expense Type</t>
  </si>
  <si>
    <t>Monetization Proceeds (FFPr Only)</t>
  </si>
  <si>
    <t>FAS or CCC Funds (CCC is Admin Only)</t>
  </si>
  <si>
    <t>Cost Share</t>
  </si>
  <si>
    <t>Total w/out Cost Share</t>
  </si>
  <si>
    <t>Total w/Cost Share</t>
  </si>
  <si>
    <t xml:space="preserve">Administration </t>
  </si>
  <si>
    <t>Salaries/Personnel</t>
  </si>
  <si>
    <t>Benefits</t>
  </si>
  <si>
    <t>Travel</t>
  </si>
  <si>
    <t>Professional Services/Contractual</t>
  </si>
  <si>
    <t>Equipment</t>
  </si>
  <si>
    <t>Office</t>
  </si>
  <si>
    <t>Supplies</t>
  </si>
  <si>
    <t>Other</t>
  </si>
  <si>
    <t>Total Administration</t>
  </si>
  <si>
    <t xml:space="preserve">Activities </t>
  </si>
  <si>
    <t>Activity 1: Value Chain Development (Value Chain Analysis, Carbon Assessment, and Living Incomes)</t>
  </si>
  <si>
    <t>Activity 2: Producer Organization Development &amp; Commercialization</t>
  </si>
  <si>
    <t>Activity 3: Agriculture Extension and Production Support</t>
  </si>
  <si>
    <t>Activity 4: Post-Harvest Aggregation &amp; Processing</t>
  </si>
  <si>
    <t>Activity 5: Ensure Financial Service/ Capital Access for Actors in the Value Chains</t>
  </si>
  <si>
    <t>Activity 6: Innovation and Job Creation Through Youth Engagement</t>
  </si>
  <si>
    <t>Activity 7: Establishment of Regional Community of Practice</t>
  </si>
  <si>
    <t>Activity 8: Financial Services: Endowment Establishment, Fundraising and Management</t>
  </si>
  <si>
    <t>Total Activities</t>
  </si>
  <si>
    <t>Commodity and Food Purchases (N/A to FFPr)</t>
  </si>
  <si>
    <t>Commodity Procurement</t>
  </si>
  <si>
    <t>Food Vouchers (N/A to MGD)</t>
  </si>
  <si>
    <t>Cash Transfers (N/A to MGD)</t>
  </si>
  <si>
    <t>Total Commodity Procurement</t>
  </si>
  <si>
    <t>ITSH (N/A to FFPr)</t>
  </si>
  <si>
    <t>Salaries</t>
  </si>
  <si>
    <t>Transportation</t>
  </si>
  <si>
    <t>Professional Services</t>
  </si>
  <si>
    <t>Warehouse</t>
  </si>
  <si>
    <t>Total ITSH</t>
  </si>
  <si>
    <t>Total Direct Costs</t>
  </si>
  <si>
    <t>Indirect Costs</t>
  </si>
  <si>
    <t>ICR on Administration</t>
  </si>
  <si>
    <t>ICR on Activities</t>
  </si>
  <si>
    <t>ICR on Commodity and Food Purchases (N/A to FFPr)</t>
  </si>
  <si>
    <t>ICR on ITSH (N/A to FFPr)</t>
  </si>
  <si>
    <t>Total Indirect Costs</t>
  </si>
  <si>
    <t>Anticipated Program Income</t>
  </si>
  <si>
    <t>Grand Total Costs</t>
  </si>
  <si>
    <t>Total Amount of Federal Award (Total Federal Funds Requested Plus Cost Share):</t>
  </si>
  <si>
    <t>Partners of the Americas – Food for Progress Colombia</t>
  </si>
  <si>
    <r>
      <rPr>
        <b/>
        <sz val="11"/>
        <color rgb="FF000000"/>
        <rFont val="Times New Roman"/>
        <family val="1"/>
      </rPr>
      <t xml:space="preserve">NOFO: </t>
    </r>
    <r>
      <rPr>
        <sz val="11"/>
        <color rgb="FF000000"/>
        <rFont val="Times New Roman"/>
        <family val="1"/>
      </rPr>
      <t xml:space="preserve">USDA-FAS-10.606-0700-20-(514) </t>
    </r>
    <r>
      <rPr>
        <i/>
        <sz val="11"/>
        <color rgb="FF000000"/>
        <rFont val="Times New Roman"/>
        <family val="1"/>
      </rPr>
      <t>[Original]</t>
    </r>
    <r>
      <rPr>
        <sz val="11"/>
        <color rgb="FF000000"/>
        <rFont val="Times New Roman"/>
        <family val="1"/>
      </rPr>
      <t>, USDA-FAS-10606-0700-Merit2024</t>
    </r>
    <r>
      <rPr>
        <i/>
        <sz val="11"/>
        <color rgb="FF000000"/>
        <rFont val="Times New Roman"/>
        <family val="1"/>
      </rPr>
      <t xml:space="preserve"> [Merit Extension]</t>
    </r>
  </si>
  <si>
    <r>
      <t>Duration:</t>
    </r>
    <r>
      <rPr>
        <sz val="11"/>
        <rFont val="Times New Roman"/>
        <family val="1"/>
      </rPr>
      <t xml:space="preserve"> 7.5 Years</t>
    </r>
  </si>
  <si>
    <r>
      <t xml:space="preserve">Country: </t>
    </r>
    <r>
      <rPr>
        <sz val="11"/>
        <rFont val="Times New Roman"/>
        <family val="1"/>
      </rPr>
      <t>Colombia</t>
    </r>
  </si>
  <si>
    <t>Budget Assumptions:</t>
  </si>
  <si>
    <t>Inflation - US Based Goods/Services</t>
  </si>
  <si>
    <t>Inflation - Locally Purchased Goods/Services</t>
  </si>
  <si>
    <t>Merit Based Increases for HQ &amp; Field Staff</t>
  </si>
  <si>
    <t>BUDGET ITEM</t>
  </si>
  <si>
    <t>Year 1 - 4 Total inception through 09/30/2024</t>
  </si>
  <si>
    <t>UNIT</t>
  </si>
  <si>
    <t>RATE/ UNIT</t>
  </si>
  <si>
    <t>Level of Effort (LOE) Year 5</t>
  </si>
  <si>
    <t># of Units</t>
  </si>
  <si>
    <t>Year 5 (10/1/24 - 9/30/25)</t>
  </si>
  <si>
    <t>Level of Effort (LOE) Year 6</t>
  </si>
  <si>
    <t>Year 6 (10/1/25 - 09/30/26)</t>
  </si>
  <si>
    <t>Level of Effort (LOE) Year 7</t>
  </si>
  <si>
    <t>Year 7 (10/1/26 - 09/30/27)</t>
  </si>
  <si>
    <t>Level of Effort (LOE) Year 8</t>
  </si>
  <si>
    <t>Year 8 (10/1/27 - 3/31/28)</t>
  </si>
  <si>
    <t>TOTAL USDA</t>
  </si>
  <si>
    <t>TOTAL COST SHARE</t>
  </si>
  <si>
    <t>PROJECT GRAND TOTAL</t>
  </si>
  <si>
    <t>Salaries/Personnel (Administration)</t>
  </si>
  <si>
    <t>CCN Colombia Field Staff (LOE)</t>
  </si>
  <si>
    <t>Key Personnel: Chief of Party</t>
  </si>
  <si>
    <t>Month</t>
  </si>
  <si>
    <t>Deputy Chief of Party / Value Chain Strengthening Director</t>
  </si>
  <si>
    <t>Key Personnel: Technical Director</t>
  </si>
  <si>
    <t>Activity Lead Agribusiness Senior Specialist (Cacao)</t>
  </si>
  <si>
    <t>Cacao Field Officer</t>
  </si>
  <si>
    <t>Cacao &amp; Complementary Crop Technical Field Leader (2)</t>
  </si>
  <si>
    <t>Extension Agents (45 in Y5 and 25 in Y6)</t>
  </si>
  <si>
    <t>Activity Lead Agribusiness Senior Specialist (Complementary Crop)</t>
  </si>
  <si>
    <t>Complementary Crops Field Officer</t>
  </si>
  <si>
    <t>EPSEAS Specialist</t>
  </si>
  <si>
    <t>Extension Agents for EPSEAS (20 in Y6 and 25 in Y7)</t>
  </si>
  <si>
    <t xml:space="preserve">Senior M&amp;E Director </t>
  </si>
  <si>
    <t>Senior M&amp;E Specialist</t>
  </si>
  <si>
    <t>M&amp;E Specialist</t>
  </si>
  <si>
    <t>M&amp;E Officer</t>
  </si>
  <si>
    <t>Partnerships and Investment Director</t>
  </si>
  <si>
    <t>Partnerships and Investment Specialist</t>
  </si>
  <si>
    <t>Organizational Strengthening Specialist</t>
  </si>
  <si>
    <t>Value Chain Strengthening Director</t>
  </si>
  <si>
    <t>Communications Specialist</t>
  </si>
  <si>
    <t>Value Chain Specialist</t>
  </si>
  <si>
    <t>Contracts &amp; Compliance Director</t>
  </si>
  <si>
    <t>Grants &amp; Procurement Specialist (2)</t>
  </si>
  <si>
    <t xml:space="preserve">F&amp;A Director </t>
  </si>
  <si>
    <t>Accounting &amp; Finance Specialist</t>
  </si>
  <si>
    <t xml:space="preserve">Accountant </t>
  </si>
  <si>
    <t>Finance &amp; Admin Coordinator - 50% LOE</t>
  </si>
  <si>
    <t xml:space="preserve">Administrative Officer </t>
  </si>
  <si>
    <t>Human Resource Manager</t>
  </si>
  <si>
    <t>Human Resource Specialist</t>
  </si>
  <si>
    <t>Headquarters (HQ) Support (LOE)</t>
  </si>
  <si>
    <t xml:space="preserve">Senior Program Director </t>
  </si>
  <si>
    <t>Associate Director</t>
  </si>
  <si>
    <t xml:space="preserve">Senior Program Officer </t>
  </si>
  <si>
    <t>Total Personnel</t>
  </si>
  <si>
    <t>Fringe Benefits</t>
  </si>
  <si>
    <t>Fringe Benefits CCN - Colombia (above $3,350 monthly)</t>
  </si>
  <si>
    <t>%</t>
  </si>
  <si>
    <t>Fringe Benefits CCN - Colombia (below $3,350 monthly)</t>
  </si>
  <si>
    <t>Fringe Benefits - HQ (23.47%)</t>
  </si>
  <si>
    <t>Post (Hardship) Differential for Chief of Party</t>
  </si>
  <si>
    <t>Fringe Benefits Package for Chief of Party</t>
  </si>
  <si>
    <t>Housing Allowance for Chief of Party</t>
  </si>
  <si>
    <t>Reallocation &amp; Demobilization Allowance for Chief of Party</t>
  </si>
  <si>
    <t>Year</t>
  </si>
  <si>
    <t>Annual Home of Record for Chief of Party</t>
  </si>
  <si>
    <t>Total Fringe Benefits</t>
  </si>
  <si>
    <t>HQ Staff Travel - International</t>
  </si>
  <si>
    <t>Airfare - DC-Colombia - HQ Project Management Trip</t>
  </si>
  <si>
    <t>Trip</t>
  </si>
  <si>
    <t>Lodging and M&amp;IE - HQ Project Management Trip</t>
  </si>
  <si>
    <t>Day</t>
  </si>
  <si>
    <t>Local Transportation – HQ Project Management Trip</t>
  </si>
  <si>
    <t>Other Travel Related Expenses – HQ Project Management Trip</t>
  </si>
  <si>
    <t xml:space="preserve">Colombia Staff Travel - International </t>
  </si>
  <si>
    <t>Airfare - Roundtrip - Colombia to USA</t>
  </si>
  <si>
    <t>Lodging and M&amp;IE for Colombia Staff Travel</t>
  </si>
  <si>
    <t>Local Transportation for Colombia Staff Travel</t>
  </si>
  <si>
    <t>Other Travel Related Expenses for Colombia Staff Travel</t>
  </si>
  <si>
    <t xml:space="preserve">Colombia Local Staff Travel - Domestic </t>
  </si>
  <si>
    <t>Vehicle/Motorcycle Fuel Expense</t>
  </si>
  <si>
    <t>Local Transportation – Training, M&amp;E, &amp; Data Collection</t>
  </si>
  <si>
    <t>Lodging and M&amp;IE - Training, M&amp;E, &amp; Data Collection</t>
  </si>
  <si>
    <t>Total Travel</t>
  </si>
  <si>
    <t>Payroll, Accounting and Audit Costs - (Auditoria Fiscal &amp; Program Specific Audits)</t>
  </si>
  <si>
    <t>Legal Fees</t>
  </si>
  <si>
    <t>Monetization Agent Fee</t>
  </si>
  <si>
    <t>Post Monetization Assessment</t>
  </si>
  <si>
    <t>Unit</t>
  </si>
  <si>
    <t>Security Plan and Advisors</t>
  </si>
  <si>
    <t>HQ Consultants &amp; Advisory Support Services</t>
  </si>
  <si>
    <t>Monitoring, Evaluation, and Collection of Reliable Data</t>
  </si>
  <si>
    <t>Evaluations</t>
  </si>
  <si>
    <t>Baseline Evaluation</t>
  </si>
  <si>
    <t>Midterm Evaluation</t>
  </si>
  <si>
    <t>Final Evaluation</t>
  </si>
  <si>
    <t xml:space="preserve">Value Chain Analysis, Carbon Assessment, and Living Incomes </t>
  </si>
  <si>
    <t>Subrecipient</t>
  </si>
  <si>
    <t>Monitoring Guidelines Development</t>
  </si>
  <si>
    <t>Monitoring Guidelines Creation, Translation &amp; Printing</t>
  </si>
  <si>
    <t>Document</t>
  </si>
  <si>
    <t xml:space="preserve">Monitoring Guidelines Staff Training Workshop </t>
  </si>
  <si>
    <t xml:space="preserve">Workshop </t>
  </si>
  <si>
    <t>M&amp;E Database</t>
  </si>
  <si>
    <t>M&amp;E Software Setup</t>
  </si>
  <si>
    <t>M&amp;E Software Fee (Annual)</t>
  </si>
  <si>
    <t>M&amp;E Software Training</t>
  </si>
  <si>
    <t>Monitoring, Evaluation, and Collection of Reliable Data Subtotal</t>
  </si>
  <si>
    <t>Total Professional Services/Contractual</t>
  </si>
  <si>
    <t>Vehicles for Field Office</t>
  </si>
  <si>
    <t>Total Equipment</t>
  </si>
  <si>
    <t>Office Expenses</t>
  </si>
  <si>
    <t xml:space="preserve">Office in Bogota </t>
  </si>
  <si>
    <t>Courier fees/services/Postage</t>
  </si>
  <si>
    <t xml:space="preserve">Email/Internet </t>
  </si>
  <si>
    <t xml:space="preserve">Recruitment/Procurement Advertising </t>
  </si>
  <si>
    <t>Office Rent, Utilities &amp; Security (Bogota)</t>
  </si>
  <si>
    <t>Banking and Cash Handling Fees</t>
  </si>
  <si>
    <t>Office Meeting Expenses and IT/Communications</t>
  </si>
  <si>
    <t>Licenses &amp; Subscriptions</t>
  </si>
  <si>
    <t>Total Office Expenses</t>
  </si>
  <si>
    <t>Office Supplies</t>
  </si>
  <si>
    <t>Motorcycles for Field Office</t>
  </si>
  <si>
    <t xml:space="preserve">Desktop/Laptop Computers </t>
  </si>
  <si>
    <t>Tablets for Rural Data Collection</t>
  </si>
  <si>
    <t>All in One: Printer, Photocopier &amp; Scanner</t>
  </si>
  <si>
    <t>Projector</t>
  </si>
  <si>
    <t>Office Furniture (Includes Desk, Chairs, Table, Shelves, Filing Cabinet, Safes, &amp; A/C Unit)</t>
  </si>
  <si>
    <t>Office Supplies &amp; Personal Protective Equipment</t>
  </si>
  <si>
    <t>Total Office Supplies</t>
  </si>
  <si>
    <t xml:space="preserve">Training, Workshops, Conference and Registration Fees </t>
  </si>
  <si>
    <t>Repair &amp; Maintenance</t>
  </si>
  <si>
    <t>Equipment and Office Repairs and Maintenance</t>
  </si>
  <si>
    <t>Motorcycle Maintenance/repairs/spare parts</t>
  </si>
  <si>
    <t>Vehicle Maintenance/repairs/spare parts</t>
  </si>
  <si>
    <t>Insurances</t>
  </si>
  <si>
    <t>Property and Liability Insurance</t>
  </si>
  <si>
    <t>Motorcycle Insurance</t>
  </si>
  <si>
    <t>Vehicle Insurance</t>
  </si>
  <si>
    <t>Total Other</t>
  </si>
  <si>
    <t>Activities/Costs</t>
  </si>
  <si>
    <t>Personnel Costs for Activity 1</t>
  </si>
  <si>
    <t>Total Personnel Costs for Activity 1</t>
  </si>
  <si>
    <t>Fringe Benefit Costs for Activity 1</t>
  </si>
  <si>
    <t>Total Fringe Benefit Costs for Activity 1</t>
  </si>
  <si>
    <t>Travel for Activity 1</t>
  </si>
  <si>
    <t>Local Transportation – Implementing Regions</t>
  </si>
  <si>
    <t>Lodging and M&amp;IE - Implementing Regions</t>
  </si>
  <si>
    <t>Total Travel for Activity 1</t>
  </si>
  <si>
    <t>Cost Share for Activity 1</t>
  </si>
  <si>
    <t xml:space="preserve">Expert Advisors with in Complementary Crops </t>
  </si>
  <si>
    <t>Hours</t>
  </si>
  <si>
    <t>CIAT Subaward: Value Chain Analysis (Multiple Personnel)</t>
  </si>
  <si>
    <t>Total Cost Share for Activity 1</t>
  </si>
  <si>
    <t>Total Activity 1</t>
  </si>
  <si>
    <t>Personnel Costs for Activity 2</t>
  </si>
  <si>
    <t>Total Personnel Costs for Activity 2</t>
  </si>
  <si>
    <t>Fringe Benefit Costs for Activity 2</t>
  </si>
  <si>
    <t>Total Fringe Benefit Costs for Activity 2</t>
  </si>
  <si>
    <t>Professional Services/Contractual for Activity 2</t>
  </si>
  <si>
    <t>Subrecipient: Training for Producer Organizations - Fundación Julio y Astrida Carrizosa ONG (IC Fundación)</t>
  </si>
  <si>
    <t>Business Plan Advisory Services for Agribusiness Entrepreneurship Grants</t>
  </si>
  <si>
    <t>Contract</t>
  </si>
  <si>
    <t>Total Professional Services/Contractual for Activity 2</t>
  </si>
  <si>
    <t>Supplies for Activity 2</t>
  </si>
  <si>
    <t>Cacao Plants and Seedlings for Producer Organizations</t>
  </si>
  <si>
    <t>Total Supplies for Activity 2</t>
  </si>
  <si>
    <t>Travel for Activity 2</t>
  </si>
  <si>
    <t>Local Transportation – Training &amp; Data Collection</t>
  </si>
  <si>
    <t>Lodging and M&amp;IE - Training, &amp; Data Collection</t>
  </si>
  <si>
    <t>Transport Stipend for Fedecafe Extension Agents for Boot Camp</t>
  </si>
  <si>
    <t>Participant</t>
  </si>
  <si>
    <t>Total Travel for Activity 2</t>
  </si>
  <si>
    <t>Other for Activity 2</t>
  </si>
  <si>
    <t>Small Grants</t>
  </si>
  <si>
    <t>Grants to Support Producer Organization Business Plans</t>
  </si>
  <si>
    <t>Grant</t>
  </si>
  <si>
    <t>Equipment Upgrades and Modernization of Producer Organizations Grants</t>
  </si>
  <si>
    <t xml:space="preserve">Agribusiness Entrepreneurship Grants </t>
  </si>
  <si>
    <t>Trainings/Courses</t>
  </si>
  <si>
    <t>Boot Camp Training for Fedecafe Extension Agents (1-Week)</t>
  </si>
  <si>
    <t>School of Management and Leadership Tuition/Enrollment</t>
  </si>
  <si>
    <t>Student</t>
  </si>
  <si>
    <t>Total Other Expenses for Activity 2</t>
  </si>
  <si>
    <t>Cost Share for Activity 2</t>
  </si>
  <si>
    <t>Expert Advisors to Coach Producer Organizations</t>
  </si>
  <si>
    <t>Organizational Development Advisor</t>
  </si>
  <si>
    <t xml:space="preserve">SENA Consulting for Organizational Development on Small Entrepreneurial Investments </t>
  </si>
  <si>
    <t xml:space="preserve">Cost Share from Subrecipient Fundación Julio y Astrida Carrizosa ONG (IC Fundación) </t>
  </si>
  <si>
    <t>Credit for Producer Organizations</t>
  </si>
  <si>
    <t>Total Cost Share for Activity 2</t>
  </si>
  <si>
    <t>Total Activity 2</t>
  </si>
  <si>
    <t>Personnel Costs for Activity 3</t>
  </si>
  <si>
    <t>Total Personnel Costs for Activity 3</t>
  </si>
  <si>
    <t>Fringe Benefit Costs for Activity 3</t>
  </si>
  <si>
    <t>Total Fringe Benefit Costs for Activity 3</t>
  </si>
  <si>
    <t>Professional Services/Contractual for Activity 3</t>
  </si>
  <si>
    <t xml:space="preserve">Subrecipient: Digital Extension tools/GIS </t>
  </si>
  <si>
    <t>Subrecipient: Food Safety/Gene Editing</t>
  </si>
  <si>
    <t>Digital Training Partnership</t>
  </si>
  <si>
    <t>New Carbon Partnerships</t>
  </si>
  <si>
    <t>Other New Partnerships</t>
  </si>
  <si>
    <t>Cacao Food Safety, Traceability, and Risk Management (&amp; Organic Carmenta Trap Initiative)</t>
  </si>
  <si>
    <t xml:space="preserve">Complementary Crops Food Safety, Traceability, and Risk Management </t>
  </si>
  <si>
    <t>Contract for Local Organization to Support Capacity Building for EPSEAs</t>
  </si>
  <si>
    <t>Contract to Strengthen Fedecacao Extension Services</t>
  </si>
  <si>
    <t>Consultant and Legal Fees for Diagnostic and Mapping of EPSEAs</t>
  </si>
  <si>
    <t>Contract for Business Plan to Monetize Extension Data</t>
  </si>
  <si>
    <t>Total Professional Services/Contractual for Activity 3</t>
  </si>
  <si>
    <t>Supplies for Activity 3</t>
  </si>
  <si>
    <t xml:space="preserve">Seedstock for Private Nurseries </t>
  </si>
  <si>
    <t>Cacao Seedlings for Farmers (Cacao Crop Renewal)</t>
  </si>
  <si>
    <t>Farmer</t>
  </si>
  <si>
    <t>Plantain Seedlings for Farmers</t>
  </si>
  <si>
    <t>Biodegradable Pod Sleeving Pilot</t>
  </si>
  <si>
    <t>Printing Extension Tools for Cacao and Complementary Crops</t>
  </si>
  <si>
    <t>Installation of Tanks and Irrigation Systems</t>
  </si>
  <si>
    <t>Total Supplies for Activity 3</t>
  </si>
  <si>
    <t>Travel for Activity 3</t>
  </si>
  <si>
    <t>Motorcycle Fuel Expense for Extension Agents</t>
  </si>
  <si>
    <t>Transport Stipend for Cacao Farmers for Boot Camp</t>
  </si>
  <si>
    <t>Transport Stipend for Producers Representatives on Cacao and Complementary Crops</t>
  </si>
  <si>
    <t>Transport, Lodging &amp; M&amp;IE for 3 Months for Students of Cacao Extension Professionalization Program</t>
  </si>
  <si>
    <t>Total Travel for Activity 3</t>
  </si>
  <si>
    <t>Other for Activity 3</t>
  </si>
  <si>
    <t>Nursery Start-Up Grants for Producer Organizations</t>
  </si>
  <si>
    <t>Grants for Biofertilizer Program</t>
  </si>
  <si>
    <t>Grants for Export Ready Complementary Crops and Value Chain Improvements</t>
  </si>
  <si>
    <t>Grants to Producers and Organizations for Cacao Crop Renewal and Enhancement of Agricultural Practices</t>
  </si>
  <si>
    <t>Grant to Strengthen Fedecacao</t>
  </si>
  <si>
    <t>Implementacion de algoritmo de segmentacion de C4D</t>
  </si>
  <si>
    <t>Trainings</t>
  </si>
  <si>
    <t xml:space="preserve">Boot Camp for Cacao Farmers for 1 - Week Training </t>
  </si>
  <si>
    <t xml:space="preserve">Training for Produces Representatives on Cacao and Complementary Crops 1 - Week Trainings </t>
  </si>
  <si>
    <t>Total Other Expenses for Activity 3</t>
  </si>
  <si>
    <t>Cost Share for Activity 3</t>
  </si>
  <si>
    <t>CIAT Subaward: Multiple Personnel</t>
  </si>
  <si>
    <t xml:space="preserve">Expert Advisors in Complementary Crops </t>
  </si>
  <si>
    <t>Cacao Hunters - 1 Extension Agent</t>
  </si>
  <si>
    <t>Luker Chocolate Donations</t>
  </si>
  <si>
    <t>Fundación Nutresa Donations</t>
  </si>
  <si>
    <t>Nacional de Chocolates Donations</t>
  </si>
  <si>
    <t>Total Cost Share for Activity 3</t>
  </si>
  <si>
    <t>Total Activity 3</t>
  </si>
  <si>
    <t>Personnel Costs for Activity 4</t>
  </si>
  <si>
    <t>Total Personnel Costs for Activity 4</t>
  </si>
  <si>
    <t>Fringe Benefit Costs for Activity 4</t>
  </si>
  <si>
    <t>Total Fringe Benefit Costs for Activity 4</t>
  </si>
  <si>
    <t>Professional Services/Contractual for Activity 4</t>
  </si>
  <si>
    <t>Subrecipient: Agrosavia</t>
  </si>
  <si>
    <t>New Partnerships in Post-Harvest Aggregation &amp; Processing and Traceability</t>
  </si>
  <si>
    <t xml:space="preserve">Contract for Cacao Fermentation Control Technology </t>
  </si>
  <si>
    <t xml:space="preserve">Contract to Fine Chocolate Industry Association (FCIA) for Positioning for Cacao and Visibility </t>
  </si>
  <si>
    <t>Contract for Technical Mapping for Colombian Cacao Catalogue and Flavour Map</t>
  </si>
  <si>
    <t>Consultant for Graphic Design for Colombian Cacao Catalogue and Flavour Map</t>
  </si>
  <si>
    <t>Total Professional Services/Contractual for Activity 4</t>
  </si>
  <si>
    <t>Travel for Activity 4</t>
  </si>
  <si>
    <t>Total Travel for Activity 4</t>
  </si>
  <si>
    <t>Other for Activity 4</t>
  </si>
  <si>
    <t xml:space="preserve">Grant Fund to Strengthening Small Processors and Aggregators </t>
  </si>
  <si>
    <t>Grant Fund to Upgrade Fermentation Centers</t>
  </si>
  <si>
    <t>Events</t>
  </si>
  <si>
    <t>Support for Local Fine Flavour Cacao Competitions</t>
  </si>
  <si>
    <t>Total Other Expenses for Activity 4</t>
  </si>
  <si>
    <t>Cost Share for Activity 4</t>
  </si>
  <si>
    <t xml:space="preserve">Expert Advisors to Advise Grantees and Serve on Panels </t>
  </si>
  <si>
    <t>Honorarium</t>
  </si>
  <si>
    <t>Fedecacao Donations for Cacao Crop Renewal Program</t>
  </si>
  <si>
    <t>Total Cost Share for Activity 4</t>
  </si>
  <si>
    <t>Total Activity 4</t>
  </si>
  <si>
    <t>Personnel Costs for Activity 5</t>
  </si>
  <si>
    <t>Total Personnel Costs for Activity 5</t>
  </si>
  <si>
    <t>Fringe Benefit Costs for Activity 5</t>
  </si>
  <si>
    <t>Total Fringe Benefit Costs for Activity 5</t>
  </si>
  <si>
    <t>Professional Services/Contractual for Activity 5</t>
  </si>
  <si>
    <t>Incubator/Accelerator Partnerships</t>
  </si>
  <si>
    <t xml:space="preserve">Consultant for Farmer Segmentation as Bankability Tool </t>
  </si>
  <si>
    <t>Total Professional Services/Contractual for Activity 5</t>
  </si>
  <si>
    <t>Supplies for Activity 5</t>
  </si>
  <si>
    <t>Communication &amp; Promotional Fees for Grant RFA</t>
  </si>
  <si>
    <t>Total Supplies for Activity 5</t>
  </si>
  <si>
    <t>Travel for Activity 5</t>
  </si>
  <si>
    <t>Local Transportation to Bogota for Business Plan Presentation to ANDEAN</t>
  </si>
  <si>
    <t>Lodging and M&amp;IE in Bogota for Business Plan Presentation to ANDEAN</t>
  </si>
  <si>
    <t>Total Travel for Activity 5</t>
  </si>
  <si>
    <t>Other for Activity 5</t>
  </si>
  <si>
    <t>Niche Cacao and Complimentary Crop Entrepreneurship Grants</t>
  </si>
  <si>
    <t>Cacao Insurance</t>
  </si>
  <si>
    <r>
      <t>Expand Cacao Crop Insurance Coverage (</t>
    </r>
    <r>
      <rPr>
        <i/>
        <sz val="10"/>
        <rFont val="Times New Roman"/>
        <family val="1"/>
      </rPr>
      <t>Cacao Seguro</t>
    </r>
    <r>
      <rPr>
        <sz val="10"/>
        <rFont val="Times New Roman"/>
        <family val="1"/>
      </rPr>
      <t>) - Policy Cost</t>
    </r>
  </si>
  <si>
    <t>Total Other Expenses for Activity 5</t>
  </si>
  <si>
    <t>Cost Share for Activity 5</t>
  </si>
  <si>
    <t>Advising from Incubator Program to Mentor Small Entrepreneurs</t>
  </si>
  <si>
    <t>Business Experts to Advise Applicants on Grant Competitions</t>
  </si>
  <si>
    <t xml:space="preserve">RCP Mentorship to Entrepreneurs Developing Small Business Pitches </t>
  </si>
  <si>
    <t>Additional Entrepreneurship Grants</t>
  </si>
  <si>
    <t xml:space="preserve">Expert Advisors to Consult on Design of Small Business Competitions </t>
  </si>
  <si>
    <t>Seguros Bolivar - Expand Cacao Parametric Insurance Coverage - Policy Cost</t>
  </si>
  <si>
    <t>Total Cost Share for Activity 5</t>
  </si>
  <si>
    <t>Total Activity 5</t>
  </si>
  <si>
    <t>Personnel Costs for Activity 6</t>
  </si>
  <si>
    <t>Total Personnel Costs for Activity 6</t>
  </si>
  <si>
    <t>Fringe Benefit Costs for Activity 6</t>
  </si>
  <si>
    <t>Total Fringe Benefit Costs for Activity 6</t>
  </si>
  <si>
    <t>Professional Services/Contractual for Activity 6</t>
  </si>
  <si>
    <t>Youth Logistics/Travel Coordinator Consultant</t>
  </si>
  <si>
    <t>New Partnerships with Youth Organizations/Networks/Youth Incubators</t>
  </si>
  <si>
    <t>Total Professional Services/Contractual for Activity 6</t>
  </si>
  <si>
    <t>Supplies for Activity 6</t>
  </si>
  <si>
    <t>Pre-Trip Orientation for Young Agriculture Entrepreneur (Room Rental &amp; Food)</t>
  </si>
  <si>
    <t>Post-Trip Debrief for Young Agriculture Entrepreneur (Room Rental &amp; Food)</t>
  </si>
  <si>
    <t>Communication &amp; Promotional Fees for Grant RFAs</t>
  </si>
  <si>
    <t>Total Supplies for Activity 6</t>
  </si>
  <si>
    <t>Travel for Activity 6</t>
  </si>
  <si>
    <t>Travel for Business Plan Presentation to Regional Community of Practice (RCP)</t>
  </si>
  <si>
    <t>Student Local Transportation -Bogota -Business Plan Presentation to RCP</t>
  </si>
  <si>
    <t>Student Lodging and M&amp;IE - Bogota - Business Plan Presentation to RCP</t>
  </si>
  <si>
    <t>Travel for Youth Business Plan Presentation to ANDEAN</t>
  </si>
  <si>
    <t>Student Local Transportation -Bogota -Business Plan Presentation to ANDEAN</t>
  </si>
  <si>
    <t>Student Lodging and M&amp;IE - Bogota - Business Plan Presentation to ANDEAN</t>
  </si>
  <si>
    <t>Travel for Young Agriculture Entrepreneur International Exchange</t>
  </si>
  <si>
    <t>International Airfare for Young Agriculture Entrepreneur International Exchange</t>
  </si>
  <si>
    <t>Lodging M&amp;IE for Young Agriculture Entrepreneur International Exchange</t>
  </si>
  <si>
    <t>Local Transportation for Young Agriculture Entrepreneur International Exchange</t>
  </si>
  <si>
    <t>Other Travel Related Expenses for Young Agriculture Entrepreneur International Exchange</t>
  </si>
  <si>
    <t>Total Travel for Activity 6</t>
  </si>
  <si>
    <t>Other for Activity 6</t>
  </si>
  <si>
    <t>Niche Cacao and Underutilized Value Chain Market Research Grants</t>
  </si>
  <si>
    <t>Youth Agribusiness Impact Investing Grants</t>
  </si>
  <si>
    <t>Total Other Expenses for Activity 6</t>
  </si>
  <si>
    <t>Cost Share for Activity 6</t>
  </si>
  <si>
    <t xml:space="preserve">RCP Mentorship to Youth Entrepreneurs and Students Researchers </t>
  </si>
  <si>
    <t>Additional Youth Agribusiness Impact Investing and/or Value Chain Market Research Grants</t>
  </si>
  <si>
    <t>Total Cost Share Expenses for Activity 6</t>
  </si>
  <si>
    <t>Total Activity 6</t>
  </si>
  <si>
    <t>Personnel Costs for Activity 7</t>
  </si>
  <si>
    <t>Total Personnel Costs for Activity 7</t>
  </si>
  <si>
    <t>Fringe Benefit Costs for Activity 7</t>
  </si>
  <si>
    <t>Total Fringe Benefit Costs for Activity 7</t>
  </si>
  <si>
    <t>Professional Services/Contractual for Activity 7</t>
  </si>
  <si>
    <t xml:space="preserve">Contracted Technology Platform for Webinars &amp; Resources </t>
  </si>
  <si>
    <t>Total Professional Services/Contractual for Activity 7</t>
  </si>
  <si>
    <t>Travel for Activity 7</t>
  </si>
  <si>
    <t xml:space="preserve">Local Travel for Meetings and Cacao Council </t>
  </si>
  <si>
    <t>International &amp; Domestic Travel for Conferences &amp; Forums</t>
  </si>
  <si>
    <t>International &amp; Domestic Airfare for Conferences &amp; Forums</t>
  </si>
  <si>
    <t>Local Transportation for Conferences &amp; Forums</t>
  </si>
  <si>
    <t>Lodging &amp; M&amp;IE for Conferences &amp; Forums</t>
  </si>
  <si>
    <t xml:space="preserve">Colombia Young Producers Study Trips </t>
  </si>
  <si>
    <t>Colombia Young Producers Stipends for Exchange Trip</t>
  </si>
  <si>
    <t>Total Travel for Activity 7</t>
  </si>
  <si>
    <t>Other for Activity 7</t>
  </si>
  <si>
    <t xml:space="preserve">RCP Events/Conferences </t>
  </si>
  <si>
    <t>Booth for International Communities of Practices/Conferences/Forums on Cacao</t>
  </si>
  <si>
    <t>Booth</t>
  </si>
  <si>
    <t>Registrations for International Communities of Practices/Conferences/Forums on Cacao</t>
  </si>
  <si>
    <t>Community of Practice Initiative Grants</t>
  </si>
  <si>
    <t>Total Other Expenses for Activity 7</t>
  </si>
  <si>
    <t>Cost Share for Activity 7</t>
  </si>
  <si>
    <t>Venue Space for Meetings</t>
  </si>
  <si>
    <t>Days</t>
  </si>
  <si>
    <t>Total Cost Share for Activity 7</t>
  </si>
  <si>
    <t>Total Activity 7</t>
  </si>
  <si>
    <t>Personnel Costs for Activity 8</t>
  </si>
  <si>
    <t>Total Personnel Costs for Activity 8</t>
  </si>
  <si>
    <t>Fringe Benefit Costs for Activity 8</t>
  </si>
  <si>
    <t>Total Fringe Benefit Costs for Activity 8</t>
  </si>
  <si>
    <t>Professional Services/Contractual for Activity 8</t>
  </si>
  <si>
    <t xml:space="preserve">Investment Vehicle Fundraising Consultant </t>
  </si>
  <si>
    <t>Legal Advisor</t>
  </si>
  <si>
    <t>Total Professional Services/Contractual for Activity 8</t>
  </si>
  <si>
    <t>Travel for Activity 8</t>
  </si>
  <si>
    <t>Local Travel for Meetings</t>
  </si>
  <si>
    <t>Total Travel for Activity 8</t>
  </si>
  <si>
    <t>Other for Activity 8</t>
  </si>
  <si>
    <t>Investment Vehicle (Seed Funding)</t>
  </si>
  <si>
    <t>Total Other Expenses for Activity 8</t>
  </si>
  <si>
    <t>Cost Share for Activity 8</t>
  </si>
  <si>
    <t>Expert U.S. Legal Services to Advise on the Philanthropy Fund</t>
  </si>
  <si>
    <t xml:space="preserve">RCP Members on Philanthropic Fund Board/Governance </t>
  </si>
  <si>
    <t>Seed Funding for the Philanthropy Fund</t>
  </si>
  <si>
    <t>Total Cost Share for Activity 8</t>
  </si>
  <si>
    <t>Total Activity 8</t>
  </si>
  <si>
    <t>Internal Transportation Storage and Handling (ITSH)</t>
  </si>
  <si>
    <t>None</t>
  </si>
  <si>
    <t>Total Internal Transportation Storage and Handling (ITSH)</t>
  </si>
  <si>
    <t xml:space="preserve">Total Indirect Costs (NICRA) </t>
  </si>
  <si>
    <t>NICRA less the $3M Philanthropy Fund</t>
  </si>
  <si>
    <t>TOTAL COSTS</t>
  </si>
  <si>
    <t>FFPR Program Budget Summary Sheet</t>
  </si>
  <si>
    <t xml:space="preserve">Total USDA Project </t>
  </si>
  <si>
    <t>Direct $</t>
  </si>
  <si>
    <t>Direct %</t>
  </si>
  <si>
    <t>Indirect Costs $</t>
  </si>
  <si>
    <t>Indirect %</t>
  </si>
  <si>
    <t>OVERALL PROJECT BUDGET</t>
  </si>
  <si>
    <t>USDA</t>
  </si>
  <si>
    <t>Cost Share $</t>
  </si>
  <si>
    <t>% of Direct Funds by Partner</t>
  </si>
  <si>
    <t>BUDGET BY PARTNER</t>
  </si>
  <si>
    <t>POA</t>
  </si>
  <si>
    <t>Sub 1 - Fundación Julio y Astrida Carrizosa ONG</t>
  </si>
  <si>
    <t>% of Direct Funds by Activity</t>
  </si>
  <si>
    <t>BUDGET BY ACTIVITY</t>
  </si>
  <si>
    <t xml:space="preserve">Admin </t>
  </si>
  <si>
    <t xml:space="preserve">Activity 1 </t>
  </si>
  <si>
    <t>Activity 2</t>
  </si>
  <si>
    <t>Activity 3</t>
  </si>
  <si>
    <t>Activity 4</t>
  </si>
  <si>
    <t>Activity 5</t>
  </si>
  <si>
    <t>Activity 6</t>
  </si>
  <si>
    <t>Activity 7</t>
  </si>
  <si>
    <t>Activity 8</t>
  </si>
  <si>
    <t xml:space="preserve">% of Direct Funds by Activity and Subrecipient </t>
  </si>
  <si>
    <t>DETAILS BY ACTIVITY &amp; SUBRECIPIENT</t>
  </si>
  <si>
    <t>Admin - POA</t>
  </si>
  <si>
    <t>Activity 1 - POA</t>
  </si>
  <si>
    <t xml:space="preserve">Activity 2 - POA </t>
  </si>
  <si>
    <t xml:space="preserve">Activity 2 - Sub 1 - Fundación Julio y Astrida Carrizosa ONG </t>
  </si>
  <si>
    <t xml:space="preserve">Activity 3 - POA </t>
  </si>
  <si>
    <t xml:space="preserve">Activity 4 - POA </t>
  </si>
  <si>
    <t xml:space="preserve">Activity 5 - POA </t>
  </si>
  <si>
    <t xml:space="preserve">Activity 6 - POA </t>
  </si>
  <si>
    <t xml:space="preserve">Activity 7 - POA </t>
  </si>
  <si>
    <t xml:space="preserve">Activity 8 - POA </t>
  </si>
  <si>
    <t>Item</t>
  </si>
  <si>
    <t>Type of Unit</t>
  </si>
  <si>
    <t>Year 1 -4 Total Inception through 09/30/2024</t>
  </si>
  <si>
    <t>Total</t>
  </si>
  <si>
    <t>Cost</t>
  </si>
  <si>
    <t>Quantity</t>
  </si>
  <si>
    <t>Percent Allocated</t>
  </si>
  <si>
    <t xml:space="preserve">Direct Costs </t>
  </si>
  <si>
    <t>USN/TCN Staff</t>
  </si>
  <si>
    <t>Total: Expatriate Salaries &amp; Wages</t>
  </si>
  <si>
    <t>CNN Staff</t>
  </si>
  <si>
    <t>Total Local Salary Cost</t>
  </si>
  <si>
    <t xml:space="preserve"> HQ Staff</t>
  </si>
  <si>
    <t>Total HQ Staff</t>
  </si>
  <si>
    <t>Subtotal: Salaries &amp; Wages</t>
  </si>
  <si>
    <t xml:space="preserve"> Fringe</t>
  </si>
  <si>
    <t>CCN - Colombia (above $3,350 monthly)</t>
  </si>
  <si>
    <t>CCN - Colombia (below $3,350 monthly)</t>
  </si>
  <si>
    <t>HQ Staff</t>
  </si>
  <si>
    <t xml:space="preserve">Total: Fringe Benefits  </t>
  </si>
  <si>
    <t>Allowances</t>
  </si>
  <si>
    <t>Total: Allowances</t>
  </si>
  <si>
    <t>Subtotal: Benefits</t>
  </si>
  <si>
    <t>International Travel</t>
  </si>
  <si>
    <t>Local Travel</t>
  </si>
  <si>
    <t>Vehicle Fuel</t>
  </si>
  <si>
    <t>Per Diem</t>
  </si>
  <si>
    <t>Subtotal: Travel</t>
  </si>
  <si>
    <t>Subtotal: Professional Services/Contractual</t>
  </si>
  <si>
    <t>Equipment (&gt;$5000/unit)</t>
  </si>
  <si>
    <t>Subtotal: Equipment</t>
  </si>
  <si>
    <t>Subtotal: Office</t>
  </si>
  <si>
    <t>Subtotal: Supplies</t>
  </si>
  <si>
    <t>Other Direct Cost</t>
  </si>
  <si>
    <t>Grants</t>
  </si>
  <si>
    <t>Maintenance</t>
  </si>
  <si>
    <t>Insurance</t>
  </si>
  <si>
    <t>Seed Funding</t>
  </si>
  <si>
    <t>Subtotal: Other Direct Cost</t>
  </si>
  <si>
    <t>Total Direct Cost</t>
  </si>
  <si>
    <t>Subtotal Indirect Cost</t>
  </si>
  <si>
    <t>Total Estimated Cost (Direct Cost + Indirect Cost)</t>
  </si>
  <si>
    <t>Total Estimated Cost (Direct Cost + Indirect Cost+ Cost Share)</t>
  </si>
  <si>
    <t>Anticipated Program Income (baked in costs and this is for reference)</t>
  </si>
  <si>
    <t>Chart of Accounts</t>
  </si>
  <si>
    <t>Line#</t>
  </si>
  <si>
    <t>Account</t>
  </si>
  <si>
    <t>Account Name</t>
  </si>
  <si>
    <t>50-01-2-020</t>
  </si>
  <si>
    <t>DIR-USN (Expat) Labor</t>
  </si>
  <si>
    <t/>
  </si>
  <si>
    <t>50-03-0-020</t>
  </si>
  <si>
    <t>DIR-Allocated USN Fringe</t>
  </si>
  <si>
    <t>50-03-0-050</t>
  </si>
  <si>
    <t>DIR-CCN Fringe</t>
  </si>
  <si>
    <t>50-03-0-010</t>
  </si>
  <si>
    <t>DIR-Allocated HQ Fringe</t>
  </si>
  <si>
    <t>50-04-8-003</t>
  </si>
  <si>
    <t>DIR-COLA</t>
  </si>
  <si>
    <t>51-04-2-050</t>
  </si>
  <si>
    <t>DIR-Int Travel Other</t>
  </si>
  <si>
    <t>61-01-1-003</t>
  </si>
  <si>
    <t>DIR_Sub-AW (No Fee)</t>
  </si>
  <si>
    <t>51-08-1-004</t>
  </si>
  <si>
    <t>DIR-Office Utilities</t>
  </si>
  <si>
    <t>51-05-1-002</t>
  </si>
  <si>
    <t>DIR-Office Equipment</t>
  </si>
  <si>
    <t>51-02-1-001</t>
  </si>
  <si>
    <t>DIR-Prof. Serv Labor</t>
  </si>
  <si>
    <t>Training</t>
  </si>
  <si>
    <t>51-02-2-008</t>
  </si>
  <si>
    <t>DIR-Security</t>
  </si>
  <si>
    <t>51-08-1-002</t>
  </si>
  <si>
    <t>DIR-Office Make Ready</t>
  </si>
  <si>
    <t>51-08-1-003</t>
  </si>
  <si>
    <t>DIR-Office Maintenance</t>
  </si>
  <si>
    <t>Total Cost Share (for reference)</t>
  </si>
  <si>
    <t>CCN Staff</t>
  </si>
  <si>
    <t>51-05-1-003</t>
  </si>
  <si>
    <t>DIR-Furniture</t>
  </si>
  <si>
    <t>Subrecipient Budget Fundación Julio y Astrida Carrizosa ONG (IC Fundacion)</t>
  </si>
  <si>
    <t>Year 1 -4 Total inception through 09/30/2024</t>
  </si>
  <si>
    <t>Total C4D</t>
  </si>
  <si>
    <t>1.1. Program Coordinator</t>
  </si>
  <si>
    <t>1.2. Business Strengthening Coordinator</t>
  </si>
  <si>
    <t>1.3. Cacao technical specialist</t>
  </si>
  <si>
    <t>1.4. F&amp;A Specialist</t>
  </si>
  <si>
    <t>1.5. F&amp;A Specialist</t>
  </si>
  <si>
    <t>1.6. Business Partner Professional Antioquia, Córdoba (2 people)</t>
  </si>
  <si>
    <t>1.7. Business Partner Professional Caldas</t>
  </si>
  <si>
    <t>1.8. Business Partner Professional Guajira, Cesar, Magdalena (2 people)</t>
  </si>
  <si>
    <t>1.9. Business Partner Professional Huila (2 people)</t>
  </si>
  <si>
    <t>1.10. Business Partner Professional Cauca</t>
  </si>
  <si>
    <t>1.11. Business Partner Professional Tolima (3 people)</t>
  </si>
  <si>
    <t>1.12. Business Partner Professional Cundinamarca y Meta</t>
  </si>
  <si>
    <t>1.13. Business Partner Professional Bolivar</t>
  </si>
  <si>
    <t>1.14. Business Partner Professional Santander</t>
  </si>
  <si>
    <t>1.15. Administrative Coordinator</t>
  </si>
  <si>
    <t>1.16. Accountant assistant</t>
  </si>
  <si>
    <t>1.17. Administrative Assistant</t>
  </si>
  <si>
    <t>1.18. Business Partner Professional Risaralda</t>
  </si>
  <si>
    <t>1.19. Leadership Workshop coordinator</t>
  </si>
  <si>
    <t>1.20. Leadership professional</t>
  </si>
  <si>
    <t>1.21. Commercial Professional</t>
  </si>
  <si>
    <t>1.22. Grants Specialist</t>
  </si>
  <si>
    <t>2.1. Air transportation</t>
  </si>
  <si>
    <t>2.3. Land transportation</t>
  </si>
  <si>
    <t>2.4. Lodging</t>
  </si>
  <si>
    <t>Night</t>
  </si>
  <si>
    <t>2.5. Perdiem</t>
  </si>
  <si>
    <t>Development of cacao and complementary products business models / Muttuo</t>
  </si>
  <si>
    <t>Financial feasibility assessments</t>
  </si>
  <si>
    <t>Evaluation</t>
  </si>
  <si>
    <t>Business consulting (marketing, communications, quality, processes, invoicing)</t>
  </si>
  <si>
    <t>Leadership consultant</t>
  </si>
  <si>
    <t>Laptop rental x 7</t>
  </si>
  <si>
    <t>Financial/bank expenses</t>
  </si>
  <si>
    <t>Life insurance * 7</t>
  </si>
  <si>
    <t>Adobe Acrobat licence</t>
  </si>
  <si>
    <t>License</t>
  </si>
  <si>
    <t>Office and antivirus license 7 computers</t>
  </si>
  <si>
    <t>6.3. Strengthening workshop refreshments (snacks and lunches)</t>
  </si>
  <si>
    <t>Workshop</t>
  </si>
  <si>
    <t>6.4. Strengthening workshop materials (stationery: cardboard, markers, cards, etc.)</t>
  </si>
  <si>
    <t>6.5. Credit Resources/Working Capital</t>
  </si>
  <si>
    <t>6.6 IC Fundación-owned producer organization capacity building tools and methodologies (workshop guides, support tools, etc)</t>
  </si>
  <si>
    <t>Association</t>
  </si>
  <si>
    <t xml:space="preserve">6.7. Participants Land transportation </t>
  </si>
  <si>
    <t>6.8. Participants lodging</t>
  </si>
  <si>
    <t>6.9. Participants Air transportation</t>
  </si>
  <si>
    <t>Roundtrip</t>
  </si>
  <si>
    <t>6.10. Participant lodging leadership workshop 25</t>
  </si>
  <si>
    <t>6.11. Participants Air transportation leadership workshop 25</t>
  </si>
  <si>
    <t>6.12. Participants Land transportation leadership workshop 25</t>
  </si>
  <si>
    <t>6.13. Seguros</t>
  </si>
  <si>
    <t>6.14. Leadership workshop 25 materials</t>
  </si>
  <si>
    <t>Partners of the Americas – FY 2020 FFPr Colombia</t>
  </si>
  <si>
    <t>NOFO: USDA-FAS-10.606-0700-20-(514)</t>
  </si>
  <si>
    <t>Duration: 8 Years</t>
  </si>
  <si>
    <t>Country: Colombia</t>
  </si>
  <si>
    <t>Summary of Indirect Cost Rates Applied</t>
  </si>
  <si>
    <t>YEAR 1-4</t>
  </si>
  <si>
    <t>YEAR 5</t>
  </si>
  <si>
    <t>YEAR 6</t>
  </si>
  <si>
    <t>YEAR 7</t>
  </si>
  <si>
    <t>YEAR 8</t>
  </si>
  <si>
    <t>Administration Salaries/Personnel</t>
  </si>
  <si>
    <t>CCN Colombia National Staff (LOE)</t>
  </si>
  <si>
    <t xml:space="preserve">Key Personnel: Expat Chief of Party </t>
  </si>
  <si>
    <t xml:space="preserve">Key Personnel: Deputy Chief of Party </t>
  </si>
  <si>
    <t xml:space="preserve">M&amp;E Director </t>
  </si>
  <si>
    <t xml:space="preserve">M&amp;E Specialists </t>
  </si>
  <si>
    <t>Activity Lead RCP Manager</t>
  </si>
  <si>
    <t xml:space="preserve">Activity Lead Agribusiness Specialist </t>
  </si>
  <si>
    <t xml:space="preserve">Compliance Officer </t>
  </si>
  <si>
    <t xml:space="preserve">Administrative Assistant </t>
  </si>
  <si>
    <t>Home Office Support (LOE)</t>
  </si>
  <si>
    <t xml:space="preserve">HQ Senior Program Officer </t>
  </si>
  <si>
    <t>Administration Fringe Benefits</t>
  </si>
  <si>
    <t>Administration Travel</t>
  </si>
  <si>
    <t>Administration Professional Services/Contractual</t>
  </si>
  <si>
    <t>Administration Equipment</t>
  </si>
  <si>
    <t>Administration Office Expenses</t>
  </si>
  <si>
    <t>Administration Office Supplies</t>
  </si>
  <si>
    <t>Administration Other</t>
  </si>
  <si>
    <t>Total Administration Direct Costs</t>
  </si>
  <si>
    <t>Total Indirect Costs (NICRA) on Administration</t>
  </si>
  <si>
    <t>TOTAL ADMINISTRATION INDIRECT COSTS</t>
  </si>
  <si>
    <t xml:space="preserve">Total Activities Direct Costs </t>
  </si>
  <si>
    <t>Total Indirect Costs (NICRA) on Activities</t>
  </si>
  <si>
    <t>NICRA less the $3M Investment Vehicle (Seed Funding)</t>
  </si>
  <si>
    <t>TOTAL ACTIVITIES INDIRECT COSTS</t>
  </si>
  <si>
    <t>TOTAL INDIRECT COSTS</t>
  </si>
  <si>
    <t>Level of Effort (LOE) Breakdown by Activity</t>
  </si>
  <si>
    <t>Total Salary Amount Year 1-4</t>
  </si>
  <si>
    <t>Months in Year 5</t>
  </si>
  <si>
    <t>Year 5 LOE</t>
  </si>
  <si>
    <t>Total Salary Amount Year 5</t>
  </si>
  <si>
    <t>Months in Year 6</t>
  </si>
  <si>
    <t>Year 6 LOE</t>
  </si>
  <si>
    <t>Total Salary Amount Year 6</t>
  </si>
  <si>
    <t>Months in Year 7</t>
  </si>
  <si>
    <t>Year 7 LOE</t>
  </si>
  <si>
    <t>Total Salary Amount Year 7</t>
  </si>
  <si>
    <t>Months in Year 8</t>
  </si>
  <si>
    <t>Year 8 LOE</t>
  </si>
  <si>
    <t>Total Salary Amount Year 8</t>
  </si>
  <si>
    <t>Total Amount LOP</t>
  </si>
  <si>
    <t>LOE</t>
  </si>
  <si>
    <t xml:space="preserve">LOE </t>
  </si>
  <si>
    <t>Personnel (Administration)</t>
  </si>
  <si>
    <t xml:space="preserve">Colombia National Staff </t>
  </si>
  <si>
    <t xml:space="preserve">Home Office Support </t>
  </si>
  <si>
    <t>Administration</t>
  </si>
  <si>
    <t>Total LOE</t>
  </si>
  <si>
    <t>Year 5</t>
  </si>
  <si>
    <t xml:space="preserve">Colombian National Staff </t>
  </si>
  <si>
    <t>Year 6</t>
  </si>
  <si>
    <t>Year 7</t>
  </si>
  <si>
    <t>Year 8</t>
  </si>
  <si>
    <t>TRVEVENT-7</t>
  </si>
  <si>
    <t>Entity:</t>
  </si>
  <si>
    <t>P</t>
  </si>
  <si>
    <t>Program-Dept.:</t>
  </si>
  <si>
    <t>Funder-Grant:</t>
  </si>
  <si>
    <t>USDA700</t>
  </si>
  <si>
    <t>Activity (Budget Code)</t>
  </si>
  <si>
    <t>Account Code</t>
  </si>
  <si>
    <t>Country Code (USA or COL2)</t>
  </si>
  <si>
    <t>PERSNL</t>
  </si>
  <si>
    <t>USA</t>
  </si>
  <si>
    <t>COL2</t>
  </si>
  <si>
    <t>FRINGE</t>
  </si>
  <si>
    <t>POST DIFF</t>
  </si>
  <si>
    <t>HOUSE. ALL</t>
  </si>
  <si>
    <t>REALLOC</t>
  </si>
  <si>
    <t>R&amp;RTRIP</t>
  </si>
  <si>
    <t>STFTRAVEL</t>
  </si>
  <si>
    <t>STFTRVCTS</t>
  </si>
  <si>
    <t>86030 (Lodging)/ 86050 (M&amp;IE)</t>
  </si>
  <si>
    <t>INTLTRVLCO</t>
  </si>
  <si>
    <t>LOCAL TRVL</t>
  </si>
  <si>
    <t>LEGAL</t>
  </si>
  <si>
    <t>MONETIZE</t>
  </si>
  <si>
    <t>MONEASSMT</t>
  </si>
  <si>
    <t>CONSULT</t>
  </si>
  <si>
    <t>PAYROLL</t>
  </si>
  <si>
    <t>SECURITY</t>
  </si>
  <si>
    <t>BASELINE</t>
  </si>
  <si>
    <t>MIDTERM</t>
  </si>
  <si>
    <t>ENDLINE</t>
  </si>
  <si>
    <t>VALUECHAIN</t>
  </si>
  <si>
    <t>M&amp;ETRAIN</t>
  </si>
  <si>
    <t>81021 (Translation)/ 85300 (Printing)</t>
  </si>
  <si>
    <t>M&amp;EDATA</t>
  </si>
  <si>
    <t>VEHICLE</t>
  </si>
  <si>
    <t>COMM</t>
  </si>
  <si>
    <t>COL2/USA</t>
  </si>
  <si>
    <t>ADVERTISIN</t>
  </si>
  <si>
    <t>RENT &amp; UT</t>
  </si>
  <si>
    <t>BANK FEES</t>
  </si>
  <si>
    <t>MEETING</t>
  </si>
  <si>
    <t>SUBSCRIPT</t>
  </si>
  <si>
    <t>82100 (Audit)/ 81030 (Payroll)</t>
  </si>
  <si>
    <t>SUPPLIES</t>
  </si>
  <si>
    <t>WORKSHOP</t>
  </si>
  <si>
    <t>EQ.MNT REP</t>
  </si>
  <si>
    <t>INSURANCE</t>
  </si>
  <si>
    <t>PERSNL-1</t>
  </si>
  <si>
    <t>PERSNL-2</t>
  </si>
  <si>
    <t>PERSNL-3</t>
  </si>
  <si>
    <t>PERSNL-4</t>
  </si>
  <si>
    <t>PERSNL-5</t>
  </si>
  <si>
    <t>PERSNL-6</t>
  </si>
  <si>
    <t>PERSNL-7</t>
  </si>
  <si>
    <t>PERSNL-8</t>
  </si>
  <si>
    <t>FRINGE-1</t>
  </si>
  <si>
    <t>POSTDIFF-1</t>
  </si>
  <si>
    <t>FRINGE-2</t>
  </si>
  <si>
    <t>POSTDIFF-2</t>
  </si>
  <si>
    <t>SUBPRODORG</t>
  </si>
  <si>
    <t>COSTSHAR-2</t>
  </si>
  <si>
    <t>LOCALTRV-2</t>
  </si>
  <si>
    <t>FRINGE-3</t>
  </si>
  <si>
    <t>POSTDIFF-3</t>
  </si>
  <si>
    <t>DIGITALPAR</t>
  </si>
  <si>
    <t>CARBONPAR</t>
  </si>
  <si>
    <t>NEWPARTNER</t>
  </si>
  <si>
    <t>DIGITALEXT</t>
  </si>
  <si>
    <t>CACAOSAFE</t>
  </si>
  <si>
    <t>COMPCROPS</t>
  </si>
  <si>
    <t>81000 (Consultants)/ 81010 (Professional Fees)</t>
  </si>
  <si>
    <t>FOODGENE</t>
  </si>
  <si>
    <t>EXTSERVICE</t>
  </si>
  <si>
    <t>LEGALMAP</t>
  </si>
  <si>
    <t>ORGSUPPORT</t>
  </si>
  <si>
    <t>SEEDSTOCK</t>
  </si>
  <si>
    <t>LOCALTRV-3</t>
  </si>
  <si>
    <t>COSTSHAR-3</t>
  </si>
  <si>
    <t>NURSEGRANT</t>
  </si>
  <si>
    <t>GRANTPRORG</t>
  </si>
  <si>
    <t>CACAOSEEDS</t>
  </si>
  <si>
    <t>PLANTSEEDS</t>
  </si>
  <si>
    <t>TANKSIRRIG</t>
  </si>
  <si>
    <t>PRINTEXT</t>
  </si>
  <si>
    <t>86000 (Transport)/ 86030 (Lodging)/ 86050 (M&amp;IE)</t>
  </si>
  <si>
    <t>TRANSTIP-3</t>
  </si>
  <si>
    <t>TRVLSTUD-3</t>
  </si>
  <si>
    <t>BIOGRANT</t>
  </si>
  <si>
    <t>FEDEGRANT</t>
  </si>
  <si>
    <t>BOOTCAMP-3</t>
  </si>
  <si>
    <t>TRAINORG-3</t>
  </si>
  <si>
    <t>FRINGE-4</t>
  </si>
  <si>
    <t>POSTDIFF-4</t>
  </si>
  <si>
    <t>LOCALTRV-4</t>
  </si>
  <si>
    <t>SUBAGROSAV</t>
  </si>
  <si>
    <t>POSTHARVT</t>
  </si>
  <si>
    <t>PROAGRANTS</t>
  </si>
  <si>
    <t>COSTSHAR-4</t>
  </si>
  <si>
    <t>FERMCONTRL</t>
  </si>
  <si>
    <t>FCIAPOSIT</t>
  </si>
  <si>
    <t>CACAOCOMP</t>
  </si>
  <si>
    <t>FRINGE-5</t>
  </si>
  <si>
    <t>POSTDIFF-5</t>
  </si>
  <si>
    <t>ACCELPART</t>
  </si>
  <si>
    <t>LOCALTRV-5</t>
  </si>
  <si>
    <t>COSTSHAR-5</t>
  </si>
  <si>
    <t>ENTREGRANT</t>
  </si>
  <si>
    <t>CROPINSUR</t>
  </si>
  <si>
    <t>BANKTOOL</t>
  </si>
  <si>
    <t>FRINGE-6</t>
  </si>
  <si>
    <t>POSTDIFF-6</t>
  </si>
  <si>
    <t>YOUTHCONSL</t>
  </si>
  <si>
    <t>YOUTHORGS</t>
  </si>
  <si>
    <t>COMPRORFA6</t>
  </si>
  <si>
    <t>SUPPLIES-6</t>
  </si>
  <si>
    <t>VCHAINGRNT</t>
  </si>
  <si>
    <t>AGRIBGRANT</t>
  </si>
  <si>
    <t>LOCTRVRCP6</t>
  </si>
  <si>
    <t>LOCTRVAEI6</t>
  </si>
  <si>
    <t>FRINGE-7</t>
  </si>
  <si>
    <t>POSTDIFF-7</t>
  </si>
  <si>
    <t>LOCALTRV-7</t>
  </si>
  <si>
    <t>TECHWEB</t>
  </si>
  <si>
    <t>STUDYTRIP</t>
  </si>
  <si>
    <t>RCPEVENTS</t>
  </si>
  <si>
    <t>RCPBOOTH</t>
  </si>
  <si>
    <t>RCPREGIST</t>
  </si>
  <si>
    <t>FRINGE-8</t>
  </si>
  <si>
    <t>POSTDIFF-8</t>
  </si>
  <si>
    <t>LOCALTRV-8</t>
  </si>
  <si>
    <t>PHILCONSLT</t>
  </si>
  <si>
    <t>LEGALADV</t>
  </si>
  <si>
    <t>SEEDFUND</t>
  </si>
  <si>
    <t>IDC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</si>
</sst>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\ &quot;Bs&quot;_-;\-* #,##0.00\ &quot;Bs&quot;_-;_-* &quot;-&quot;??\ &quot;Bs&quot;_-;_-@_-"/>
    <numFmt numFmtId="167" formatCode="_-* #,##0.00\ _B_s_-;\-* #,##0.00\ _B_s_-;_-* &quot;-&quot;??\ _B_s_-;_-@_-"/>
    <numFmt numFmtId="168" formatCode="_-* #,##0\ _B_s_-;\-* #,##0\ _B_s_-;_-* &quot;-&quot;??\ _B_s_-;_-@_-"/>
    <numFmt numFmtId="169" formatCode="&quot;On&quot;;&quot;On&quot;;&quot;Off&quot;"/>
    <numFmt numFmtId="170" formatCode="_(* #,##0_);_(* \(#,##0\);_(* &quot;-&quot;??_);_(@_)"/>
    <numFmt numFmtId="171" formatCode="&quot;$&quot;#,##0.00"/>
    <numFmt numFmtId="172" formatCode="0.0%"/>
    <numFmt numFmtId="173" formatCode="_([$$-409]* #,##0.00_);_([$$-409]* \(#,##0.00\);_([$$-409]* &quot;-&quot;??_);_(@_)"/>
    <numFmt numFmtId="174" formatCode="_(&quot;$&quot;* #,##0_);_(&quot;$&quot;* \(#,##0\);_(&quot;$&quot;* &quot;-&quot;??_);_(@_)"/>
    <numFmt numFmtId="175" formatCode="_([$$-409]* #,##0_);_([$$-409]* \(#,##0\);_([$$-409]* &quot;-&quot;??_);_(@_)"/>
    <numFmt numFmtId="176" formatCode="&quot;$&quot;#,##0"/>
    <numFmt numFmtId="177" formatCode="\$#,##0.00;\$#,##0.00"/>
    <numFmt numFmtId="178" formatCode="\$###0.00;\$###0.00"/>
    <numFmt numFmtId="179" formatCode="0_)"/>
    <numFmt numFmtId="180" formatCode="_([$€-2]* #,##0.00_);_([$€-2]* \(#,##0.00\);_([$€-2]* &quot;-&quot;??_)"/>
    <numFmt numFmtId="181" formatCode="00\-0000\-00\-0000\-000"/>
    <numFmt numFmtId="182" formatCode="#,##0."/>
    <numFmt numFmtId="183" formatCode="#,###,##0.00;\(#,###,##0.00\)"/>
    <numFmt numFmtId="184" formatCode="&quot;$&quot;#,###,##0.00;\(&quot;$&quot;#,###,##0.00\)"/>
    <numFmt numFmtId="185" formatCode="#,##0.00%;\(#,##0.00%\)"/>
    <numFmt numFmtId="186" formatCode="mm/dd/yy"/>
    <numFmt numFmtId="187" formatCode="#,##0;#,##0;;"/>
    <numFmt numFmtId="188" formatCode="0.00_)"/>
    <numFmt numFmtId="189" formatCode="General_)"/>
    <numFmt numFmtId="190" formatCode="#,##0.000_);[Red]\(#,##0.000\)"/>
    <numFmt numFmtId="191" formatCode="&quot;FY94P&quot;#"/>
    <numFmt numFmtId="192" formatCode="00\-0000\-00\-0000"/>
    <numFmt numFmtId="193" formatCode="_(* #,##0,_);_(* \(#,##0,\);_(@_)"/>
    <numFmt numFmtId="194" formatCode="_(* #,##0.00_);[Red]_(* \(#,##0.00\);_(* &quot;-&quot;??_);_(@_)"/>
    <numFmt numFmtId="195" formatCode="#,##0.0"/>
    <numFmt numFmtId="196" formatCode="0.000%"/>
    <numFmt numFmtId="197" formatCode="_-* #,##0.0\ _B_s_-;\-* #,##0.0\ _B_s_-;_-* &quot;-&quot;??\ _B_s_-;_-@_-"/>
  </numFmts>
  <fonts count="1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2"/>
      <color indexed="8"/>
      <name val="Times New Roman"/>
      <family val="1"/>
    </font>
    <font>
      <sz val="12"/>
      <name val="Arial"/>
      <family val="2"/>
    </font>
    <font>
      <sz val="9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4"/>
      <color indexed="8"/>
      <name val="Arial"/>
      <family val="2"/>
    </font>
    <font>
      <sz val="11"/>
      <name val="Arial"/>
      <family val="2"/>
    </font>
    <font>
      <sz val="10"/>
      <name val="Arial"/>
      <family val="2"/>
      <charset val="204"/>
    </font>
    <font>
      <sz val="12"/>
      <name val="Times New Roman"/>
      <family val="1"/>
    </font>
    <font>
      <sz val="11"/>
      <name val="Arial"/>
      <family val="2"/>
      <charset val="204"/>
    </font>
    <font>
      <sz val="10"/>
      <name val="Helv"/>
    </font>
    <font>
      <sz val="1"/>
      <color indexed="8"/>
      <name val="Courier"/>
      <family val="3"/>
    </font>
    <font>
      <i/>
      <sz val="9"/>
      <name val="Helv"/>
    </font>
    <font>
      <sz val="10"/>
      <name val="MS Sans Serif"/>
      <family val="2"/>
    </font>
    <font>
      <sz val="12"/>
      <color indexed="24"/>
      <name val="Arial"/>
      <family val="2"/>
    </font>
    <font>
      <sz val="10"/>
      <color indexed="0"/>
      <name val="Arial"/>
      <family val="2"/>
    </font>
    <font>
      <sz val="9"/>
      <name val="Tms Rmn"/>
    </font>
    <font>
      <sz val="12"/>
      <name val="Tms Rmn"/>
    </font>
    <font>
      <u/>
      <sz val="6"/>
      <color indexed="12"/>
      <name val="Helv"/>
    </font>
    <font>
      <u/>
      <sz val="7"/>
      <color indexed="12"/>
      <name val="Helv"/>
    </font>
    <font>
      <sz val="10"/>
      <name val="Times New Roman"/>
      <family val="1"/>
    </font>
    <font>
      <sz val="12"/>
      <name val="Helv"/>
    </font>
    <font>
      <sz val="9"/>
      <name val="Helv"/>
    </font>
    <font>
      <b/>
      <i/>
      <sz val="16"/>
      <name val="Helv"/>
    </font>
    <font>
      <b/>
      <sz val="10"/>
      <name val="MS Sans Serif"/>
      <family val="2"/>
    </font>
    <font>
      <sz val="10"/>
      <name val="Arial MT"/>
    </font>
    <font>
      <b/>
      <i/>
      <sz val="10"/>
      <color indexed="8"/>
      <name val="Times New Roman"/>
      <family val="1"/>
    </font>
    <font>
      <sz val="10"/>
      <color indexed="12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2"/>
      <name val="Calibri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Helv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i/>
      <u/>
      <sz val="10"/>
      <name val="Times New Roman"/>
      <family val="1"/>
    </font>
    <font>
      <sz val="10"/>
      <color rgb="FFFF0000"/>
      <name val="Times New Roman"/>
      <family val="1"/>
    </font>
    <font>
      <i/>
      <sz val="10"/>
      <name val="Times New Roman"/>
      <family val="1"/>
    </font>
    <font>
      <u/>
      <sz val="10"/>
      <name val="Times New Roman"/>
      <family val="1"/>
    </font>
    <font>
      <b/>
      <i/>
      <sz val="11"/>
      <name val="Times New Roman"/>
      <family val="1"/>
    </font>
    <font>
      <b/>
      <i/>
      <u/>
      <sz val="10"/>
      <name val="Times New Roman"/>
      <family val="1"/>
    </font>
    <font>
      <sz val="10"/>
      <color indexed="10"/>
      <name val="Times New Roman"/>
      <family val="1"/>
    </font>
    <font>
      <sz val="1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1"/>
      <color rgb="FF000000"/>
      <name val="Times New Roman"/>
      <family val="1"/>
    </font>
    <font>
      <b/>
      <sz val="11"/>
      <color theme="9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Times New Roman"/>
      <family val="1"/>
    </font>
    <font>
      <sz val="14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i/>
      <sz val="11"/>
      <name val="Calibri"/>
      <family val="2"/>
      <scheme val="minor"/>
    </font>
    <font>
      <i/>
      <sz val="16"/>
      <color indexed="8"/>
      <name val="Calibri"/>
      <family val="2"/>
      <scheme val="minor"/>
    </font>
    <font>
      <i/>
      <sz val="14"/>
      <name val="Calibri"/>
      <family val="2"/>
      <scheme val="minor"/>
    </font>
    <font>
      <i/>
      <sz val="12"/>
      <color theme="4"/>
      <name val="Calibri"/>
      <family val="2"/>
      <scheme val="minor"/>
    </font>
    <font>
      <i/>
      <sz val="12"/>
      <name val="Calibri"/>
      <family val="2"/>
      <scheme val="minor"/>
    </font>
    <font>
      <i/>
      <sz val="16"/>
      <name val="Calibri"/>
      <family val="2"/>
      <scheme val="minor"/>
    </font>
    <font>
      <i/>
      <sz val="12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Tahoma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24"/>
      <name val="Calibri"/>
      <family val="2"/>
      <scheme val="minor"/>
    </font>
    <font>
      <i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lightUp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67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CDDC"/>
        <bgColor rgb="FF000000"/>
      </patternFill>
    </fill>
  </fills>
  <borders count="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>
      <left style="thin">
        <color rgb="FFA09D94"/>
      </left>
      <right/>
      <top style="thin">
        <color rgb="FF424242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424242"/>
      </top>
      <bottom/>
      <diagonal/>
    </border>
    <border>
      <left style="thin">
        <color rgb="FF424242"/>
      </left>
      <right/>
      <top/>
      <bottom style="thin">
        <color rgb="FF424242"/>
      </bottom>
      <diagonal/>
    </border>
    <border>
      <left style="thin">
        <color rgb="FFA09D94"/>
      </left>
      <right/>
      <top/>
      <bottom style="thin">
        <color rgb="FF424242"/>
      </bottom>
      <diagonal/>
    </border>
    <border>
      <left style="thin">
        <color rgb="FF424242"/>
      </left>
      <right style="thin">
        <color indexed="64"/>
      </right>
      <top style="thin">
        <color rgb="FF424242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/>
      <bottom style="thin">
        <color rgb="FF424242"/>
      </bottom>
      <diagonal/>
    </border>
    <border>
      <left style="thin">
        <color indexed="64"/>
      </left>
      <right style="thin">
        <color rgb="FFAFAFAF"/>
      </right>
      <top style="thin">
        <color rgb="FFA09D94"/>
      </top>
      <bottom style="thin">
        <color indexed="64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AFAFAF"/>
      </bottom>
      <diagonal/>
    </border>
    <border>
      <left style="thin">
        <color rgb="FF424242"/>
      </left>
      <right style="thin">
        <color rgb="FFAFAFAF"/>
      </right>
      <top style="thin">
        <color rgb="FF424242"/>
      </top>
      <bottom style="thin">
        <color rgb="FF424242"/>
      </bottom>
      <diagonal/>
    </border>
    <border>
      <left/>
      <right/>
      <top/>
      <bottom style="thin">
        <color rgb="FF424242"/>
      </bottom>
      <diagonal/>
    </border>
    <border>
      <left/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AFAFAF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/>
      <diagonal/>
    </border>
    <border>
      <left/>
      <right/>
      <top style="thin">
        <color rgb="FF424242"/>
      </top>
      <bottom style="thin">
        <color rgb="FFAFAFAF"/>
      </bottom>
      <diagonal/>
    </border>
    <border>
      <left/>
      <right style="thin">
        <color rgb="FFAFAFAF"/>
      </right>
      <top style="thin">
        <color rgb="FFAFAFAF"/>
      </top>
      <bottom style="thin">
        <color rgb="FFAFAFA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FAFAF"/>
      </right>
      <top style="thin">
        <color rgb="FF424242"/>
      </top>
      <bottom/>
      <diagonal/>
    </border>
    <border>
      <left/>
      <right style="thin">
        <color rgb="FF424242"/>
      </right>
      <top style="thin">
        <color rgb="FF424242"/>
      </top>
      <bottom/>
      <diagonal/>
    </border>
    <border>
      <left style="thin">
        <color rgb="FFA09D94"/>
      </left>
      <right/>
      <top style="thin">
        <color rgb="FFA09D94"/>
      </top>
      <bottom style="thin">
        <color rgb="FFA09D94"/>
      </bottom>
      <diagonal/>
    </border>
    <border>
      <left/>
      <right/>
      <top style="thin">
        <color rgb="FFA09D94"/>
      </top>
      <bottom style="thin">
        <color rgb="FFA09D94"/>
      </bottom>
      <diagonal/>
    </border>
    <border>
      <left/>
      <right style="thin">
        <color rgb="FFA09D94"/>
      </right>
      <top style="thin">
        <color rgb="FFA09D94"/>
      </top>
      <bottom style="thin">
        <color rgb="FFA09D94"/>
      </bottom>
      <diagonal/>
    </border>
    <border>
      <left style="thin">
        <color rgb="FFAFAFAF"/>
      </left>
      <right/>
      <top style="thin">
        <color rgb="FFAFAFAF"/>
      </top>
      <bottom style="thin">
        <color rgb="FFAFAFAF"/>
      </bottom>
      <diagonal/>
    </border>
    <border>
      <left/>
      <right/>
      <top style="thin">
        <color rgb="FFAFAFAF"/>
      </top>
      <bottom style="thin">
        <color rgb="FFAFAFA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43">
    <xf numFmtId="0" fontId="0" fillId="0" borderId="0"/>
    <xf numFmtId="180" fontId="71" fillId="30" borderId="0" applyNumberFormat="0" applyBorder="0" applyAlignment="0" applyProtection="0"/>
    <xf numFmtId="180" fontId="71" fillId="31" borderId="0" applyNumberFormat="0" applyBorder="0" applyAlignment="0" applyProtection="0"/>
    <xf numFmtId="180" fontId="71" fillId="32" borderId="0" applyNumberFormat="0" applyBorder="0" applyAlignment="0" applyProtection="0"/>
    <xf numFmtId="180" fontId="18" fillId="4" borderId="0" applyNumberFormat="0" applyBorder="0" applyAlignment="0" applyProtection="0"/>
    <xf numFmtId="180" fontId="71" fillId="33" borderId="0" applyNumberFormat="0" applyBorder="0" applyAlignment="0" applyProtection="0"/>
    <xf numFmtId="180" fontId="71" fillId="34" borderId="0" applyNumberFormat="0" applyBorder="0" applyAlignment="0" applyProtection="0"/>
    <xf numFmtId="180" fontId="71" fillId="35" borderId="0" applyNumberFormat="0" applyBorder="0" applyAlignment="0" applyProtection="0"/>
    <xf numFmtId="180" fontId="29" fillId="6" borderId="0" applyNumberFormat="0" applyBorder="0" applyAlignment="0" applyProtection="0">
      <alignment vertical="center"/>
    </xf>
    <xf numFmtId="180" fontId="29" fillId="7" borderId="0" applyNumberFormat="0" applyBorder="0" applyAlignment="0" applyProtection="0">
      <alignment vertical="center"/>
    </xf>
    <xf numFmtId="180" fontId="29" fillId="8" borderId="0" applyNumberFormat="0" applyBorder="0" applyAlignment="0" applyProtection="0">
      <alignment vertical="center"/>
    </xf>
    <xf numFmtId="180" fontId="29" fillId="4" borderId="0" applyNumberFormat="0" applyBorder="0" applyAlignment="0" applyProtection="0">
      <alignment vertical="center"/>
    </xf>
    <xf numFmtId="180" fontId="29" fillId="5" borderId="0" applyNumberFormat="0" applyBorder="0" applyAlignment="0" applyProtection="0">
      <alignment vertical="center"/>
    </xf>
    <xf numFmtId="180" fontId="29" fillId="2" borderId="0" applyNumberFormat="0" applyBorder="0" applyAlignment="0" applyProtection="0">
      <alignment vertical="center"/>
    </xf>
    <xf numFmtId="180" fontId="71" fillId="36" borderId="0" applyNumberFormat="0" applyBorder="0" applyAlignment="0" applyProtection="0"/>
    <xf numFmtId="180" fontId="71" fillId="37" borderId="0" applyNumberFormat="0" applyBorder="0" applyAlignment="0" applyProtection="0"/>
    <xf numFmtId="180" fontId="71" fillId="38" borderId="0" applyNumberFormat="0" applyBorder="0" applyAlignment="0" applyProtection="0"/>
    <xf numFmtId="180" fontId="71" fillId="39" borderId="0" applyNumberFormat="0" applyBorder="0" applyAlignment="0" applyProtection="0"/>
    <xf numFmtId="180" fontId="71" fillId="40" borderId="0" applyNumberFormat="0" applyBorder="0" applyAlignment="0" applyProtection="0"/>
    <xf numFmtId="180" fontId="71" fillId="41" borderId="0" applyNumberFormat="0" applyBorder="0" applyAlignment="0" applyProtection="0"/>
    <xf numFmtId="180" fontId="29" fillId="12" borderId="0" applyNumberFormat="0" applyBorder="0" applyAlignment="0" applyProtection="0">
      <alignment vertical="center"/>
    </xf>
    <xf numFmtId="180" fontId="29" fillId="10" borderId="0" applyNumberFormat="0" applyBorder="0" applyAlignment="0" applyProtection="0">
      <alignment vertical="center"/>
    </xf>
    <xf numFmtId="180" fontId="29" fillId="13" borderId="0" applyNumberFormat="0" applyBorder="0" applyAlignment="0" applyProtection="0">
      <alignment vertical="center"/>
    </xf>
    <xf numFmtId="180" fontId="29" fillId="4" borderId="0" applyNumberFormat="0" applyBorder="0" applyAlignment="0" applyProtection="0">
      <alignment vertical="center"/>
    </xf>
    <xf numFmtId="180" fontId="29" fillId="12" borderId="0" applyNumberFormat="0" applyBorder="0" applyAlignment="0" applyProtection="0">
      <alignment vertical="center"/>
    </xf>
    <xf numFmtId="180" fontId="29" fillId="14" borderId="0" applyNumberFormat="0" applyBorder="0" applyAlignment="0" applyProtection="0">
      <alignment vertical="center"/>
    </xf>
    <xf numFmtId="180" fontId="72" fillId="42" borderId="0" applyNumberFormat="0" applyBorder="0" applyAlignment="0" applyProtection="0"/>
    <xf numFmtId="180" fontId="72" fillId="43" borderId="0" applyNumberFormat="0" applyBorder="0" applyAlignment="0" applyProtection="0"/>
    <xf numFmtId="180" fontId="72" fillId="44" borderId="0" applyNumberFormat="0" applyBorder="0" applyAlignment="0" applyProtection="0"/>
    <xf numFmtId="180" fontId="72" fillId="45" borderId="0" applyNumberFormat="0" applyBorder="0" applyAlignment="0" applyProtection="0"/>
    <xf numFmtId="180" fontId="72" fillId="46" borderId="0" applyNumberFormat="0" applyBorder="0" applyAlignment="0" applyProtection="0"/>
    <xf numFmtId="180" fontId="72" fillId="47" borderId="0" applyNumberFormat="0" applyBorder="0" applyAlignment="0" applyProtection="0"/>
    <xf numFmtId="180" fontId="30" fillId="16" borderId="0" applyNumberFormat="0" applyBorder="0" applyAlignment="0" applyProtection="0">
      <alignment vertical="center"/>
    </xf>
    <xf numFmtId="180" fontId="30" fillId="10" borderId="0" applyNumberFormat="0" applyBorder="0" applyAlignment="0" applyProtection="0">
      <alignment vertical="center"/>
    </xf>
    <xf numFmtId="180" fontId="30" fillId="13" borderId="0" applyNumberFormat="0" applyBorder="0" applyAlignment="0" applyProtection="0">
      <alignment vertical="center"/>
    </xf>
    <xf numFmtId="180" fontId="30" fillId="17" borderId="0" applyNumberFormat="0" applyBorder="0" applyAlignment="0" applyProtection="0">
      <alignment vertical="center"/>
    </xf>
    <xf numFmtId="180" fontId="30" fillId="15" borderId="0" applyNumberFormat="0" applyBorder="0" applyAlignment="0" applyProtection="0">
      <alignment vertical="center"/>
    </xf>
    <xf numFmtId="180" fontId="30" fillId="18" borderId="0" applyNumberFormat="0" applyBorder="0" applyAlignment="0" applyProtection="0">
      <alignment vertical="center"/>
    </xf>
    <xf numFmtId="180" fontId="72" fillId="48" borderId="0" applyNumberFormat="0" applyBorder="0" applyAlignment="0" applyProtection="0"/>
    <xf numFmtId="180" fontId="19" fillId="19" borderId="0" applyNumberFormat="0" applyBorder="0" applyAlignment="0" applyProtection="0"/>
    <xf numFmtId="180" fontId="72" fillId="49" borderId="0" applyNumberFormat="0" applyBorder="0" applyAlignment="0" applyProtection="0"/>
    <xf numFmtId="180" fontId="72" fillId="50" borderId="0" applyNumberFormat="0" applyBorder="0" applyAlignment="0" applyProtection="0"/>
    <xf numFmtId="180" fontId="72" fillId="51" borderId="0" applyNumberFormat="0" applyBorder="0" applyAlignment="0" applyProtection="0"/>
    <xf numFmtId="180" fontId="72" fillId="52" borderId="0" applyNumberFormat="0" applyBorder="0" applyAlignment="0" applyProtection="0"/>
    <xf numFmtId="180" fontId="72" fillId="53" borderId="0" applyNumberFormat="0" applyBorder="0" applyAlignment="0" applyProtection="0"/>
    <xf numFmtId="3" fontId="27" fillId="0" borderId="0" applyNumberFormat="0" applyFill="0" applyBorder="0" applyAlignment="0" applyProtection="0"/>
    <xf numFmtId="3" fontId="31" fillId="0" borderId="0" applyNumberFormat="0" applyFill="0" applyBorder="0" applyAlignment="0" applyProtection="0"/>
    <xf numFmtId="181" fontId="10" fillId="0" borderId="0" applyFont="0" applyFill="0" applyBorder="0" applyAlignment="0" applyProtection="0"/>
    <xf numFmtId="180" fontId="73" fillId="54" borderId="0" applyNumberFormat="0" applyBorder="0" applyAlignment="0" applyProtection="0"/>
    <xf numFmtId="180" fontId="74" fillId="55" borderId="28" applyNumberFormat="0" applyAlignment="0" applyProtection="0"/>
    <xf numFmtId="180" fontId="20" fillId="21" borderId="2" applyNumberFormat="0" applyAlignment="0" applyProtection="0"/>
    <xf numFmtId="180" fontId="75" fillId="56" borderId="29" applyNumberFormat="0" applyAlignment="0" applyProtection="0"/>
    <xf numFmtId="167" fontId="9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34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180" fontId="36" fillId="0" borderId="0"/>
    <xf numFmtId="180" fontId="36" fillId="0" borderId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182" fontId="37" fillId="0" borderId="0">
      <protection locked="0"/>
    </xf>
    <xf numFmtId="180" fontId="36" fillId="0" borderId="0"/>
    <xf numFmtId="180" fontId="36" fillId="0" borderId="0"/>
    <xf numFmtId="180" fontId="36" fillId="0" borderId="0"/>
    <xf numFmtId="180" fontId="36" fillId="0" borderId="0"/>
    <xf numFmtId="180" fontId="36" fillId="0" borderId="0"/>
    <xf numFmtId="180" fontId="36" fillId="0" borderId="0"/>
    <xf numFmtId="166" fontId="9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69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14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22" fontId="11" fillId="0" borderId="0" applyFont="0" applyFill="0" applyBorder="0" applyAlignment="0" applyProtection="0"/>
    <xf numFmtId="180" fontId="38" fillId="0" borderId="0">
      <alignment horizontal="left" vertical="top" wrapText="1"/>
    </xf>
    <xf numFmtId="7" fontId="3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76" fillId="0" borderId="0" applyNumberFormat="0" applyFill="0" applyBorder="0" applyAlignment="0" applyProtection="0"/>
    <xf numFmtId="180" fontId="40" fillId="0" borderId="0" applyProtection="0"/>
    <xf numFmtId="180" fontId="40" fillId="0" borderId="0" applyProtection="0"/>
    <xf numFmtId="180" fontId="40" fillId="0" borderId="0" applyProtection="0"/>
    <xf numFmtId="180" fontId="40" fillId="0" borderId="0" applyProtection="0"/>
    <xf numFmtId="180" fontId="40" fillId="0" borderId="0" applyProtection="0"/>
    <xf numFmtId="180" fontId="40" fillId="0" borderId="0" applyProtection="0"/>
    <xf numFmtId="180" fontId="40" fillId="0" borderId="0" applyProtection="0"/>
    <xf numFmtId="2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183" fontId="41" fillId="0" borderId="0"/>
    <xf numFmtId="184" fontId="41" fillId="0" borderId="0"/>
    <xf numFmtId="185" fontId="41" fillId="0" borderId="0"/>
    <xf numFmtId="180" fontId="21" fillId="8" borderId="0" applyNumberFormat="0" applyBorder="0" applyAlignment="0" applyProtection="0"/>
    <xf numFmtId="0" fontId="77" fillId="57" borderId="0" applyNumberFormat="0" applyBorder="0" applyAlignment="0" applyProtection="0"/>
    <xf numFmtId="180" fontId="77" fillId="57" borderId="0" applyNumberFormat="0" applyBorder="0" applyAlignment="0" applyProtection="0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180" fontId="42" fillId="22" borderId="3"/>
    <xf numFmtId="38" fontId="10" fillId="23" borderId="0" applyNumberFormat="0" applyBorder="0" applyAlignment="0" applyProtection="0"/>
    <xf numFmtId="1" fontId="43" fillId="0" borderId="4" applyBorder="0">
      <protection locked="0"/>
    </xf>
    <xf numFmtId="180" fontId="28" fillId="0" borderId="5" applyNumberFormat="0" applyAlignment="0" applyProtection="0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28" fillId="0" borderId="6">
      <alignment horizontal="left" vertical="center"/>
    </xf>
    <xf numFmtId="180" fontId="78" fillId="0" borderId="30" applyNumberFormat="0" applyFill="0" applyAlignment="0" applyProtection="0"/>
    <xf numFmtId="180" fontId="79" fillId="0" borderId="31" applyNumberFormat="0" applyFill="0" applyAlignment="0" applyProtection="0"/>
    <xf numFmtId="180" fontId="80" fillId="0" borderId="32" applyNumberFormat="0" applyFill="0" applyAlignment="0" applyProtection="0"/>
    <xf numFmtId="180" fontId="80" fillId="0" borderId="0" applyNumberFormat="0" applyFill="0" applyBorder="0" applyAlignment="0" applyProtection="0"/>
    <xf numFmtId="180" fontId="40" fillId="0" borderId="0" applyProtection="0"/>
    <xf numFmtId="180" fontId="40" fillId="0" borderId="0" applyProtection="0"/>
    <xf numFmtId="180" fontId="81" fillId="0" borderId="0" applyNumberFormat="0" applyFill="0" applyBorder="0" applyAlignment="0" applyProtection="0"/>
    <xf numFmtId="180" fontId="44" fillId="0" borderId="0" applyNumberFormat="0" applyFill="0" applyBorder="0" applyAlignment="0" applyProtection="0">
      <alignment vertical="top"/>
      <protection locked="0"/>
    </xf>
    <xf numFmtId="180" fontId="44" fillId="0" borderId="0" applyNumberFormat="0" applyFill="0" applyBorder="0" applyAlignment="0" applyProtection="0">
      <alignment vertical="top"/>
      <protection locked="0"/>
    </xf>
    <xf numFmtId="180" fontId="45" fillId="0" borderId="0" applyNumberFormat="0" applyFill="0" applyBorder="0" applyAlignment="0" applyProtection="0">
      <alignment vertical="top"/>
      <protection locked="0"/>
    </xf>
    <xf numFmtId="180" fontId="45" fillId="0" borderId="0" applyNumberFormat="0" applyFill="0" applyBorder="0" applyAlignment="0" applyProtection="0">
      <alignment vertical="top"/>
      <protection locked="0"/>
    </xf>
    <xf numFmtId="180" fontId="45" fillId="0" borderId="0" applyNumberFormat="0" applyFill="0" applyBorder="0" applyAlignment="0" applyProtection="0">
      <alignment vertical="top"/>
      <protection locked="0"/>
    </xf>
    <xf numFmtId="180" fontId="45" fillId="0" borderId="0" applyNumberFormat="0" applyFill="0" applyBorder="0" applyAlignment="0" applyProtection="0">
      <alignment vertical="top"/>
      <protection locked="0"/>
    </xf>
    <xf numFmtId="180" fontId="45" fillId="0" borderId="0" applyNumberFormat="0" applyFill="0" applyBorder="0" applyAlignment="0" applyProtection="0">
      <alignment vertical="top"/>
      <protection locked="0"/>
    </xf>
    <xf numFmtId="180" fontId="82" fillId="0" borderId="0" applyNumberFormat="0" applyFill="0" applyBorder="0" applyAlignment="0" applyProtection="0">
      <alignment vertical="top"/>
      <protection locked="0"/>
    </xf>
    <xf numFmtId="180" fontId="83" fillId="0" borderId="0" applyNumberFormat="0" applyFill="0" applyBorder="0" applyAlignment="0" applyProtection="0">
      <alignment vertical="top"/>
      <protection locked="0"/>
    </xf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0" fontId="10" fillId="24" borderId="3" applyNumberFormat="0" applyBorder="0" applyAlignment="0" applyProtection="0"/>
    <xf numFmtId="180" fontId="84" fillId="58" borderId="28" applyNumberFormat="0" applyAlignment="0" applyProtection="0"/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11" fillId="25" borderId="3" applyFont="0" applyFill="0" applyBorder="0" applyAlignment="0" applyProtection="0">
      <alignment horizontal="center"/>
      <protection locked="0"/>
    </xf>
    <xf numFmtId="180" fontId="22" fillId="0" borderId="8" applyNumberFormat="0" applyFill="0" applyAlignment="0" applyProtection="0"/>
    <xf numFmtId="180" fontId="85" fillId="0" borderId="33" applyNumberFormat="0" applyFill="0" applyAlignment="0" applyProtection="0"/>
    <xf numFmtId="180" fontId="46" fillId="23" borderId="0" applyNumberFormat="0" applyBorder="0" applyAlignment="0"/>
    <xf numFmtId="14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87" fontId="48" fillId="0" borderId="0" applyFont="0" applyFill="0" applyBorder="0"/>
    <xf numFmtId="180" fontId="23" fillId="11" borderId="0" applyNumberFormat="0" applyBorder="0" applyAlignment="0" applyProtection="0"/>
    <xf numFmtId="180" fontId="86" fillId="59" borderId="0" applyNumberFormat="0" applyBorder="0" applyAlignment="0" applyProtection="0"/>
    <xf numFmtId="188" fontId="49" fillId="0" borderId="0"/>
    <xf numFmtId="180" fontId="71" fillId="0" borderId="0"/>
    <xf numFmtId="179" fontId="25" fillId="0" borderId="0"/>
    <xf numFmtId="0" fontId="11" fillId="0" borderId="0"/>
    <xf numFmtId="180" fontId="71" fillId="0" borderId="0"/>
    <xf numFmtId="180" fontId="11" fillId="0" borderId="0">
      <alignment horizontal="left"/>
    </xf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0" fontId="13" fillId="0" borderId="0"/>
    <xf numFmtId="180" fontId="33" fillId="0" borderId="0"/>
    <xf numFmtId="180" fontId="33" fillId="0" borderId="0"/>
    <xf numFmtId="180" fontId="33" fillId="0" borderId="0"/>
    <xf numFmtId="180" fontId="33" fillId="0" borderId="0"/>
    <xf numFmtId="180" fontId="33" fillId="0" borderId="0"/>
    <xf numFmtId="180" fontId="33" fillId="0" borderId="0"/>
    <xf numFmtId="180" fontId="33" fillId="0" borderId="0"/>
    <xf numFmtId="180" fontId="33" fillId="0" borderId="0"/>
    <xf numFmtId="180" fontId="34" fillId="0" borderId="0"/>
    <xf numFmtId="179" fontId="25" fillId="0" borderId="0"/>
    <xf numFmtId="0" fontId="11" fillId="0" borderId="0"/>
    <xf numFmtId="169" fontId="36" fillId="0" borderId="0"/>
    <xf numFmtId="0" fontId="71" fillId="0" borderId="0"/>
    <xf numFmtId="180" fontId="33" fillId="0" borderId="0"/>
    <xf numFmtId="180" fontId="11" fillId="0" borderId="0">
      <alignment wrapText="1"/>
    </xf>
    <xf numFmtId="0" fontId="11" fillId="0" borderId="0"/>
    <xf numFmtId="180" fontId="11" fillId="0" borderId="0"/>
    <xf numFmtId="180" fontId="33" fillId="0" borderId="0"/>
    <xf numFmtId="180" fontId="46" fillId="0" borderId="0"/>
    <xf numFmtId="180" fontId="33" fillId="0" borderId="0"/>
    <xf numFmtId="180" fontId="33" fillId="0" borderId="0"/>
    <xf numFmtId="180" fontId="33" fillId="0" borderId="0"/>
    <xf numFmtId="180" fontId="33" fillId="0" borderId="0"/>
    <xf numFmtId="180" fontId="33" fillId="0" borderId="0"/>
    <xf numFmtId="180" fontId="33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180" fontId="11" fillId="0" borderId="0"/>
    <xf numFmtId="0" fontId="11" fillId="0" borderId="0"/>
    <xf numFmtId="180" fontId="33" fillId="0" borderId="0"/>
    <xf numFmtId="180" fontId="11" fillId="0" borderId="0"/>
    <xf numFmtId="180" fontId="11" fillId="0" borderId="0"/>
    <xf numFmtId="0" fontId="11" fillId="0" borderId="0"/>
    <xf numFmtId="176" fontId="36" fillId="0" borderId="0"/>
    <xf numFmtId="0" fontId="11" fillId="0" borderId="0"/>
    <xf numFmtId="180" fontId="11" fillId="0" borderId="0"/>
    <xf numFmtId="180" fontId="11" fillId="0" borderId="0"/>
    <xf numFmtId="180" fontId="11" fillId="0" borderId="0">
      <alignment horizontal="left"/>
    </xf>
    <xf numFmtId="180" fontId="11" fillId="0" borderId="0"/>
    <xf numFmtId="180" fontId="11" fillId="0" borderId="0"/>
    <xf numFmtId="180" fontId="11" fillId="0" borderId="0"/>
    <xf numFmtId="180" fontId="11" fillId="0" borderId="0">
      <alignment wrapText="1"/>
    </xf>
    <xf numFmtId="0" fontId="71" fillId="0" borderId="0"/>
    <xf numFmtId="194" fontId="69" fillId="0" borderId="0" applyBorder="0"/>
    <xf numFmtId="0" fontId="11" fillId="0" borderId="0"/>
    <xf numFmtId="180" fontId="71" fillId="0" borderId="0"/>
    <xf numFmtId="0" fontId="71" fillId="0" borderId="0"/>
    <xf numFmtId="180" fontId="71" fillId="0" borderId="0"/>
    <xf numFmtId="0" fontId="70" fillId="0" borderId="0"/>
    <xf numFmtId="180" fontId="11" fillId="0" borderId="0"/>
    <xf numFmtId="180" fontId="33" fillId="0" borderId="0"/>
    <xf numFmtId="180" fontId="33" fillId="0" borderId="0"/>
    <xf numFmtId="180" fontId="11" fillId="0" borderId="0"/>
    <xf numFmtId="180" fontId="11" fillId="0" borderId="0"/>
    <xf numFmtId="179" fontId="25" fillId="0" borderId="0"/>
    <xf numFmtId="180" fontId="11" fillId="0" borderId="0"/>
    <xf numFmtId="189" fontId="36" fillId="0" borderId="0"/>
    <xf numFmtId="180" fontId="71" fillId="0" borderId="0"/>
    <xf numFmtId="180" fontId="71" fillId="0" borderId="0"/>
    <xf numFmtId="180" fontId="71" fillId="0" borderId="0"/>
    <xf numFmtId="180" fontId="71" fillId="0" borderId="0"/>
    <xf numFmtId="180" fontId="18" fillId="0" borderId="0"/>
    <xf numFmtId="180" fontId="71" fillId="0" borderId="0"/>
    <xf numFmtId="180" fontId="71" fillId="0" borderId="0"/>
    <xf numFmtId="180" fontId="18" fillId="0" borderId="0"/>
    <xf numFmtId="180" fontId="71" fillId="0" borderId="0"/>
    <xf numFmtId="180" fontId="71" fillId="0" borderId="0"/>
    <xf numFmtId="0" fontId="11" fillId="0" borderId="0"/>
    <xf numFmtId="180" fontId="18" fillId="0" borderId="0"/>
    <xf numFmtId="179" fontId="25" fillId="0" borderId="0"/>
    <xf numFmtId="180" fontId="87" fillId="0" borderId="0"/>
    <xf numFmtId="180" fontId="11" fillId="0" borderId="0"/>
    <xf numFmtId="180" fontId="71" fillId="0" borderId="0"/>
    <xf numFmtId="189" fontId="36" fillId="0" borderId="0"/>
    <xf numFmtId="180" fontId="71" fillId="0" borderId="0"/>
    <xf numFmtId="180" fontId="18" fillId="0" borderId="0"/>
    <xf numFmtId="179" fontId="25" fillId="0" borderId="0"/>
    <xf numFmtId="180" fontId="88" fillId="0" borderId="0"/>
    <xf numFmtId="180" fontId="71" fillId="60" borderId="34" applyNumberFormat="0" applyFont="0" applyAlignment="0" applyProtection="0"/>
    <xf numFmtId="38" fontId="11" fillId="0" borderId="0"/>
    <xf numFmtId="40" fontId="11" fillId="0" borderId="10"/>
    <xf numFmtId="190" fontId="11" fillId="0" borderId="11"/>
    <xf numFmtId="190" fontId="11" fillId="0" borderId="11"/>
    <xf numFmtId="180" fontId="11" fillId="0" borderId="0"/>
    <xf numFmtId="180" fontId="89" fillId="55" borderId="35" applyNumberFormat="0" applyAlignment="0" applyProtection="0"/>
    <xf numFmtId="180" fontId="36" fillId="0" borderId="0"/>
    <xf numFmtId="180" fontId="36" fillId="0" borderId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1" fillId="0" borderId="0" applyFont="0" applyFill="0" applyBorder="0" applyAlignment="0" applyProtection="0"/>
    <xf numFmtId="191" fontId="48" fillId="0" borderId="0" applyFont="0" applyFill="0" applyBorder="0" applyProtection="0">
      <alignment horizontal="center"/>
    </xf>
    <xf numFmtId="192" fontId="10" fillId="0" borderId="0" applyFont="0" applyFill="0" applyBorder="0" applyAlignment="0" applyProtection="0"/>
    <xf numFmtId="180" fontId="39" fillId="0" borderId="0" applyNumberFormat="0" applyFont="0" applyFill="0" applyBorder="0" applyAlignment="0" applyProtection="0">
      <alignment horizontal="left"/>
    </xf>
    <xf numFmtId="15" fontId="39" fillId="0" borderId="0" applyFont="0" applyFill="0" applyBorder="0" applyAlignment="0" applyProtection="0"/>
    <xf numFmtId="4" fontId="39" fillId="0" borderId="0" applyFont="0" applyFill="0" applyBorder="0" applyAlignment="0" applyProtection="0"/>
    <xf numFmtId="180" fontId="50" fillId="0" borderId="13">
      <alignment horizontal="center"/>
    </xf>
    <xf numFmtId="3" fontId="39" fillId="0" borderId="0" applyFont="0" applyFill="0" applyBorder="0" applyAlignment="0" applyProtection="0"/>
    <xf numFmtId="180" fontId="39" fillId="26" borderId="0" applyNumberFormat="0" applyFont="0" applyBorder="0" applyAlignment="0" applyProtection="0"/>
    <xf numFmtId="3" fontId="26" fillId="0" borderId="0" applyFill="0" applyBorder="0" applyAlignment="0" applyProtection="0"/>
    <xf numFmtId="3" fontId="25" fillId="0" borderId="0" applyFill="0" applyBorder="0" applyAlignment="0" applyProtection="0"/>
    <xf numFmtId="3" fontId="26" fillId="0" borderId="0" applyFill="0" applyBorder="0" applyAlignment="0" applyProtection="0"/>
    <xf numFmtId="180" fontId="51" fillId="0" borderId="0"/>
    <xf numFmtId="180" fontId="36" fillId="0" borderId="0"/>
    <xf numFmtId="180" fontId="11" fillId="0" borderId="0" applyNumberFormat="0" applyFill="0" applyBorder="0" applyProtection="0">
      <alignment horizontal="right"/>
    </xf>
    <xf numFmtId="180" fontId="12" fillId="0" borderId="0" applyNumberFormat="0" applyFill="0" applyBorder="0" applyProtection="0">
      <alignment horizontal="right"/>
    </xf>
    <xf numFmtId="180" fontId="11" fillId="0" borderId="0" applyNumberFormat="0" applyFill="0" applyBorder="0" applyProtection="0">
      <alignment horizontal="left"/>
    </xf>
    <xf numFmtId="180" fontId="12" fillId="0" borderId="0" applyNumberFormat="0" applyFill="0" applyBorder="0" applyProtection="0">
      <alignment horizontal="left"/>
    </xf>
    <xf numFmtId="180" fontId="12" fillId="0" borderId="0" applyNumberFormat="0" applyFill="0" applyBorder="0" applyProtection="0">
      <alignment horizontal="left"/>
    </xf>
    <xf numFmtId="180" fontId="11" fillId="0" borderId="14" applyNumberFormat="0" applyFont="0" applyFill="0" applyAlignment="0" applyProtection="0"/>
    <xf numFmtId="180" fontId="11" fillId="0" borderId="0" applyNumberFormat="0" applyFont="0" applyFill="0" applyBorder="0" applyProtection="0">
      <alignment wrapText="1"/>
    </xf>
    <xf numFmtId="180" fontId="14" fillId="0" borderId="0" applyNumberFormat="0" applyBorder="0" applyAlignment="0"/>
    <xf numFmtId="180" fontId="14" fillId="0" borderId="0" applyNumberFormat="0" applyBorder="0" applyAlignment="0"/>
    <xf numFmtId="180" fontId="14" fillId="0" borderId="0" applyNumberFormat="0" applyBorder="0" applyAlignment="0"/>
    <xf numFmtId="180" fontId="24" fillId="0" borderId="0" applyNumberFormat="0" applyBorder="0" applyAlignment="0"/>
    <xf numFmtId="180" fontId="16" fillId="0" borderId="0" applyNumberFormat="0" applyBorder="0" applyAlignment="0"/>
    <xf numFmtId="180" fontId="52" fillId="0" borderId="0" applyNumberFormat="0" applyBorder="0" applyAlignment="0"/>
    <xf numFmtId="180" fontId="52" fillId="0" borderId="0" applyNumberFormat="0" applyBorder="0" applyAlignment="0"/>
    <xf numFmtId="180" fontId="11" fillId="0" borderId="0"/>
    <xf numFmtId="193" fontId="11" fillId="0" borderId="0" applyFont="0" applyFill="0" applyBorder="0" applyAlignment="0" applyProtection="0"/>
    <xf numFmtId="180" fontId="90" fillId="0" borderId="0" applyNumberFormat="0" applyFill="0" applyBorder="0" applyAlignment="0" applyProtection="0"/>
    <xf numFmtId="180" fontId="91" fillId="0" borderId="36" applyNumberFormat="0" applyFill="0" applyAlignment="0" applyProtection="0"/>
    <xf numFmtId="180" fontId="11" fillId="0" borderId="0"/>
    <xf numFmtId="180" fontId="53" fillId="0" borderId="0" applyNumberFormat="0" applyBorder="0" applyAlignment="0">
      <protection locked="0"/>
    </xf>
    <xf numFmtId="180" fontId="92" fillId="0" borderId="0" applyNumberFormat="0" applyFill="0" applyBorder="0" applyAlignment="0" applyProtection="0"/>
    <xf numFmtId="180" fontId="11" fillId="0" borderId="0"/>
    <xf numFmtId="180" fontId="30" fillId="27" borderId="0" applyNumberFormat="0" applyBorder="0" applyAlignment="0" applyProtection="0">
      <alignment vertical="center"/>
    </xf>
    <xf numFmtId="180" fontId="30" fillId="19" borderId="0" applyNumberFormat="0" applyBorder="0" applyAlignment="0" applyProtection="0">
      <alignment vertical="center"/>
    </xf>
    <xf numFmtId="180" fontId="30" fillId="28" borderId="0" applyNumberFormat="0" applyBorder="0" applyAlignment="0" applyProtection="0">
      <alignment vertical="center"/>
    </xf>
    <xf numFmtId="180" fontId="30" fillId="17" borderId="0" applyNumberFormat="0" applyBorder="0" applyAlignment="0" applyProtection="0">
      <alignment vertical="center"/>
    </xf>
    <xf numFmtId="180" fontId="30" fillId="15" borderId="0" applyNumberFormat="0" applyBorder="0" applyAlignment="0" applyProtection="0">
      <alignment vertical="center"/>
    </xf>
    <xf numFmtId="180" fontId="30" fillId="20" borderId="0" applyNumberFormat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180" fontId="55" fillId="21" borderId="2" applyNumberFormat="0" applyAlignment="0" applyProtection="0">
      <alignment vertical="center"/>
    </xf>
    <xf numFmtId="180" fontId="56" fillId="11" borderId="0" applyNumberFormat="0" applyBorder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11" fillId="3" borderId="9" applyNumberFormat="0" applyFont="0" applyAlignment="0" applyProtection="0">
      <alignment vertical="center"/>
    </xf>
    <xf numFmtId="180" fontId="57" fillId="0" borderId="8" applyNumberFormat="0" applyFill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8" fillId="2" borderId="1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59" fillId="9" borderId="12" applyNumberFormat="0" applyAlignment="0" applyProtection="0">
      <alignment vertical="center"/>
    </xf>
    <xf numFmtId="180" fontId="60" fillId="7" borderId="0" applyNumberFormat="0" applyBorder="0" applyAlignment="0" applyProtection="0">
      <alignment vertical="center"/>
    </xf>
    <xf numFmtId="180" fontId="61" fillId="8" borderId="0" applyNumberFormat="0" applyBorder="0" applyAlignment="0" applyProtection="0">
      <alignment vertical="center"/>
    </xf>
    <xf numFmtId="180" fontId="62" fillId="0" borderId="15" applyNumberFormat="0" applyFill="0" applyAlignment="0" applyProtection="0">
      <alignment vertical="center"/>
    </xf>
    <xf numFmtId="180" fontId="63" fillId="0" borderId="7" applyNumberFormat="0" applyFill="0" applyAlignment="0" applyProtection="0">
      <alignment vertical="center"/>
    </xf>
    <xf numFmtId="180" fontId="64" fillId="0" borderId="16" applyNumberFormat="0" applyFill="0" applyAlignment="0" applyProtection="0">
      <alignment vertical="center"/>
    </xf>
    <xf numFmtId="180" fontId="64" fillId="0" borderId="0" applyNumberFormat="0" applyFill="0" applyBorder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5" fillId="9" borderId="1" applyNumberFormat="0" applyAlignment="0" applyProtection="0">
      <alignment vertical="center"/>
    </xf>
    <xf numFmtId="180" fontId="66" fillId="0" borderId="0" applyNumberFormat="0" applyFill="0" applyBorder="0" applyAlignment="0" applyProtection="0">
      <alignment vertical="center"/>
    </xf>
    <xf numFmtId="180" fontId="67" fillId="0" borderId="0" applyNumberFormat="0" applyFill="0" applyBorder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180" fontId="68" fillId="0" borderId="17" applyNumberFormat="0" applyFill="0" applyAlignment="0" applyProtection="0">
      <alignment vertical="center"/>
    </xf>
    <xf numFmtId="0" fontId="8" fillId="0" borderId="0"/>
    <xf numFmtId="167" fontId="9" fillId="0" borderId="0" applyFont="0" applyFill="0" applyBorder="0" applyAlignment="0" applyProtection="0"/>
    <xf numFmtId="0" fontId="7" fillId="0" borderId="0"/>
    <xf numFmtId="0" fontId="6" fillId="0" borderId="0"/>
    <xf numFmtId="0" fontId="9" fillId="0" borderId="0"/>
    <xf numFmtId="0" fontId="5" fillId="0" borderId="0"/>
    <xf numFmtId="0" fontId="9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73" borderId="0" applyBorder="0"/>
    <xf numFmtId="44" fontId="9" fillId="0" borderId="0" applyFont="0" applyFill="0" applyBorder="0" applyAlignment="0" applyProtection="0"/>
    <xf numFmtId="0" fontId="4" fillId="0" borderId="0"/>
    <xf numFmtId="9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3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</cellStyleXfs>
  <cellXfs count="667">
    <xf numFmtId="0" fontId="0" fillId="0" borderId="0" xfId="0"/>
    <xf numFmtId="0" fontId="93" fillId="0" borderId="0" xfId="0" applyFont="1" applyAlignment="1">
      <alignment horizontal="center" vertical="center" wrapText="1"/>
    </xf>
    <xf numFmtId="0" fontId="93" fillId="0" borderId="4" xfId="0" applyFont="1" applyBorder="1" applyAlignment="1">
      <alignment horizontal="center" vertical="center" wrapText="1"/>
    </xf>
    <xf numFmtId="173" fontId="93" fillId="0" borderId="0" xfId="98" applyNumberFormat="1" applyFont="1" applyFill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0" fontId="46" fillId="0" borderId="0" xfId="0" applyFont="1"/>
    <xf numFmtId="0" fontId="46" fillId="0" borderId="0" xfId="0" applyFont="1" applyAlignment="1">
      <alignment horizontal="center"/>
    </xf>
    <xf numFmtId="0" fontId="46" fillId="0" borderId="0" xfId="0" applyFont="1" applyAlignment="1">
      <alignment wrapText="1"/>
    </xf>
    <xf numFmtId="0" fontId="46" fillId="0" borderId="0" xfId="0" applyFont="1" applyAlignment="1">
      <alignment horizontal="left"/>
    </xf>
    <xf numFmtId="173" fontId="46" fillId="0" borderId="0" xfId="98" applyNumberFormat="1" applyFont="1" applyAlignment="1">
      <alignment horizontal="center"/>
    </xf>
    <xf numFmtId="9" fontId="46" fillId="0" borderId="0" xfId="345" applyFont="1" applyAlignment="1">
      <alignment horizontal="center"/>
    </xf>
    <xf numFmtId="0" fontId="94" fillId="72" borderId="3" xfId="0" applyFont="1" applyFill="1" applyBorder="1" applyAlignment="1">
      <alignment horizontal="center" vertical="center" wrapText="1"/>
    </xf>
    <xf numFmtId="173" fontId="94" fillId="72" borderId="3" xfId="98" applyNumberFormat="1" applyFont="1" applyFill="1" applyBorder="1" applyAlignment="1">
      <alignment horizontal="center" vertical="center" wrapText="1"/>
    </xf>
    <xf numFmtId="0" fontId="95" fillId="0" borderId="3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center"/>
    </xf>
    <xf numFmtId="173" fontId="17" fillId="0" borderId="3" xfId="98" applyNumberFormat="1" applyFont="1" applyBorder="1" applyAlignment="1">
      <alignment horizontal="center" vertical="center"/>
    </xf>
    <xf numFmtId="0" fontId="95" fillId="0" borderId="0" xfId="0" applyFont="1" applyAlignment="1">
      <alignment horizontal="center" vertical="top"/>
    </xf>
    <xf numFmtId="0" fontId="17" fillId="63" borderId="3" xfId="0" applyFont="1" applyFill="1" applyBorder="1" applyAlignment="1">
      <alignment vertical="center" wrapText="1"/>
    </xf>
    <xf numFmtId="173" fontId="17" fillId="63" borderId="3" xfId="98" applyNumberFormat="1" applyFont="1" applyFill="1" applyBorder="1" applyAlignment="1">
      <alignment vertical="center" wrapText="1"/>
    </xf>
    <xf numFmtId="0" fontId="96" fillId="62" borderId="3" xfId="0" applyFont="1" applyFill="1" applyBorder="1" applyAlignment="1">
      <alignment wrapText="1"/>
    </xf>
    <xf numFmtId="173" fontId="96" fillId="62" borderId="3" xfId="98" applyNumberFormat="1" applyFont="1" applyFill="1" applyBorder="1" applyAlignment="1">
      <alignment wrapText="1"/>
    </xf>
    <xf numFmtId="0" fontId="46" fillId="0" borderId="3" xfId="0" applyFont="1" applyBorder="1" applyAlignment="1">
      <alignment wrapText="1"/>
    </xf>
    <xf numFmtId="9" fontId="46" fillId="0" borderId="3" xfId="337" applyFont="1" applyFill="1" applyBorder="1" applyAlignment="1">
      <alignment horizontal="center" wrapText="1"/>
    </xf>
    <xf numFmtId="175" fontId="46" fillId="0" borderId="3" xfId="98" applyNumberFormat="1" applyFont="1" applyFill="1" applyBorder="1" applyAlignment="1">
      <alignment horizontal="center" wrapText="1"/>
    </xf>
    <xf numFmtId="0" fontId="97" fillId="0" borderId="0" xfId="0" applyFont="1" applyAlignment="1">
      <alignment wrapText="1"/>
    </xf>
    <xf numFmtId="9" fontId="96" fillId="62" borderId="3" xfId="337" applyFont="1" applyFill="1" applyBorder="1" applyAlignment="1">
      <alignment wrapText="1"/>
    </xf>
    <xf numFmtId="0" fontId="17" fillId="61" borderId="3" xfId="0" applyFont="1" applyFill="1" applyBorder="1" applyAlignment="1">
      <alignment wrapText="1"/>
    </xf>
    <xf numFmtId="9" fontId="17" fillId="61" borderId="3" xfId="337" applyFont="1" applyFill="1" applyBorder="1" applyAlignment="1">
      <alignment wrapText="1"/>
    </xf>
    <xf numFmtId="175" fontId="17" fillId="61" borderId="3" xfId="337" applyNumberFormat="1" applyFont="1" applyFill="1" applyBorder="1" applyAlignment="1">
      <alignment wrapText="1"/>
    </xf>
    <xf numFmtId="3" fontId="46" fillId="0" borderId="0" xfId="0" applyNumberFormat="1" applyFont="1" applyAlignment="1">
      <alignment horizontal="center"/>
    </xf>
    <xf numFmtId="0" fontId="17" fillId="0" borderId="0" xfId="0" applyFont="1"/>
    <xf numFmtId="3" fontId="46" fillId="0" borderId="0" xfId="0" applyNumberFormat="1" applyFont="1"/>
    <xf numFmtId="173" fontId="46" fillId="0" borderId="0" xfId="0" applyNumberFormat="1" applyFont="1"/>
    <xf numFmtId="0" fontId="17" fillId="0" borderId="13" xfId="0" applyFont="1" applyBorder="1" applyAlignment="1">
      <alignment horizontal="center" wrapText="1"/>
    </xf>
    <xf numFmtId="3" fontId="17" fillId="0" borderId="13" xfId="0" applyNumberFormat="1" applyFont="1" applyBorder="1" applyAlignment="1">
      <alignment horizontal="center" wrapText="1"/>
    </xf>
    <xf numFmtId="3" fontId="17" fillId="0" borderId="13" xfId="0" applyNumberFormat="1" applyFont="1" applyBorder="1" applyAlignment="1">
      <alignment horizontal="center"/>
    </xf>
    <xf numFmtId="0" fontId="17" fillId="63" borderId="0" xfId="0" applyFont="1" applyFill="1" applyAlignment="1">
      <alignment vertical="center" wrapText="1"/>
    </xf>
    <xf numFmtId="0" fontId="17" fillId="63" borderId="0" xfId="0" applyFont="1" applyFill="1" applyAlignment="1">
      <alignment wrapText="1"/>
    </xf>
    <xf numFmtId="3" fontId="17" fillId="63" borderId="0" xfId="0" applyNumberFormat="1" applyFont="1" applyFill="1" applyAlignment="1">
      <alignment wrapText="1"/>
    </xf>
    <xf numFmtId="3" fontId="46" fillId="63" borderId="0" xfId="0" applyNumberFormat="1" applyFont="1" applyFill="1"/>
    <xf numFmtId="0" fontId="93" fillId="61" borderId="0" xfId="0" applyFont="1" applyFill="1" applyAlignment="1">
      <alignment horizontal="left" wrapText="1"/>
    </xf>
    <xf numFmtId="3" fontId="17" fillId="0" borderId="0" xfId="0" applyNumberFormat="1" applyFont="1" applyAlignment="1">
      <alignment horizontal="right" wrapText="1"/>
    </xf>
    <xf numFmtId="3" fontId="46" fillId="0" borderId="0" xfId="0" applyNumberFormat="1" applyFont="1" applyAlignment="1">
      <alignment horizontal="right" wrapText="1"/>
    </xf>
    <xf numFmtId="168" fontId="46" fillId="0" borderId="0" xfId="0" applyNumberFormat="1" applyFont="1" applyAlignment="1">
      <alignment horizontal="right" wrapText="1"/>
    </xf>
    <xf numFmtId="0" fontId="46" fillId="0" borderId="0" xfId="0" applyFont="1" applyAlignment="1">
      <alignment horizontal="left" wrapText="1"/>
    </xf>
    <xf numFmtId="0" fontId="17" fillId="61" borderId="0" xfId="0" applyFont="1" applyFill="1" applyAlignment="1">
      <alignment horizontal="left" vertical="top"/>
    </xf>
    <xf numFmtId="168" fontId="17" fillId="61" borderId="0" xfId="0" applyNumberFormat="1" applyFont="1" applyFill="1" applyAlignment="1">
      <alignment horizontal="right" wrapText="1"/>
    </xf>
    <xf numFmtId="168" fontId="98" fillId="61" borderId="0" xfId="0" applyNumberFormat="1" applyFont="1" applyFill="1" applyAlignment="1">
      <alignment horizontal="right" wrapText="1"/>
    </xf>
    <xf numFmtId="0" fontId="46" fillId="0" borderId="0" xfId="0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3" fontId="46" fillId="0" borderId="0" xfId="0" applyNumberFormat="1" applyFont="1" applyAlignment="1">
      <alignment wrapText="1"/>
    </xf>
    <xf numFmtId="2" fontId="46" fillId="0" borderId="0" xfId="0" applyNumberFormat="1" applyFont="1"/>
    <xf numFmtId="168" fontId="46" fillId="0" borderId="0" xfId="52" applyNumberFormat="1" applyFont="1" applyFill="1" applyAlignment="1">
      <alignment horizontal="right" wrapText="1"/>
    </xf>
    <xf numFmtId="0" fontId="17" fillId="61" borderId="13" xfId="0" applyFont="1" applyFill="1" applyBorder="1" applyAlignment="1">
      <alignment wrapText="1"/>
    </xf>
    <xf numFmtId="0" fontId="17" fillId="61" borderId="13" xfId="0" applyFont="1" applyFill="1" applyBorder="1" applyAlignment="1">
      <alignment horizontal="right" wrapText="1"/>
    </xf>
    <xf numFmtId="3" fontId="17" fillId="61" borderId="13" xfId="0" applyNumberFormat="1" applyFont="1" applyFill="1" applyBorder="1" applyAlignment="1">
      <alignment horizontal="right" wrapText="1"/>
    </xf>
    <xf numFmtId="175" fontId="17" fillId="61" borderId="13" xfId="0" applyNumberFormat="1" applyFont="1" applyFill="1" applyBorder="1" applyAlignment="1">
      <alignment horizontal="right" wrapText="1"/>
    </xf>
    <xf numFmtId="0" fontId="99" fillId="0" borderId="0" xfId="0" applyFont="1" applyAlignment="1">
      <alignment wrapText="1"/>
    </xf>
    <xf numFmtId="0" fontId="17" fillId="0" borderId="0" xfId="0" applyFont="1" applyAlignment="1">
      <alignment wrapText="1"/>
    </xf>
    <xf numFmtId="10" fontId="46" fillId="0" borderId="0" xfId="337" applyNumberFormat="1" applyFont="1" applyAlignment="1">
      <alignment horizontal="right" wrapText="1"/>
    </xf>
    <xf numFmtId="174" fontId="46" fillId="0" borderId="0" xfId="0" applyNumberFormat="1" applyFont="1" applyAlignment="1">
      <alignment horizontal="right" wrapText="1"/>
    </xf>
    <xf numFmtId="173" fontId="46" fillId="0" borderId="0" xfId="98" applyNumberFormat="1" applyFont="1"/>
    <xf numFmtId="168" fontId="17" fillId="0" borderId="0" xfId="0" applyNumberFormat="1" applyFont="1" applyAlignment="1">
      <alignment horizontal="right" wrapText="1"/>
    </xf>
    <xf numFmtId="10" fontId="46" fillId="0" borderId="0" xfId="0" applyNumberFormat="1" applyFont="1" applyAlignment="1">
      <alignment horizontal="right" wrapText="1"/>
    </xf>
    <xf numFmtId="174" fontId="17" fillId="61" borderId="13" xfId="0" applyNumberFormat="1" applyFont="1" applyFill="1" applyBorder="1" applyAlignment="1">
      <alignment horizontal="right" wrapText="1"/>
    </xf>
    <xf numFmtId="43" fontId="46" fillId="0" borderId="0" xfId="0" applyNumberFormat="1" applyFont="1"/>
    <xf numFmtId="0" fontId="17" fillId="61" borderId="13" xfId="0" applyFont="1" applyFill="1" applyBorder="1" applyAlignment="1">
      <alignment horizontal="left" wrapText="1"/>
    </xf>
    <xf numFmtId="3" fontId="17" fillId="61" borderId="13" xfId="0" applyNumberFormat="1" applyFont="1" applyFill="1" applyBorder="1" applyAlignment="1">
      <alignment wrapText="1"/>
    </xf>
    <xf numFmtId="175" fontId="17" fillId="61" borderId="13" xfId="98" applyNumberFormat="1" applyFont="1" applyFill="1" applyBorder="1" applyAlignment="1">
      <alignment horizontal="right" wrapText="1"/>
    </xf>
    <xf numFmtId="168" fontId="17" fillId="61" borderId="13" xfId="0" applyNumberFormat="1" applyFont="1" applyFill="1" applyBorder="1" applyAlignment="1">
      <alignment horizontal="right" wrapText="1"/>
    </xf>
    <xf numFmtId="177" fontId="46" fillId="0" borderId="0" xfId="0" applyNumberFormat="1" applyFont="1"/>
    <xf numFmtId="171" fontId="46" fillId="0" borderId="0" xfId="0" applyNumberFormat="1" applyFont="1"/>
    <xf numFmtId="2" fontId="96" fillId="62" borderId="3" xfId="337" applyNumberFormat="1" applyFont="1" applyFill="1" applyBorder="1" applyAlignment="1">
      <alignment wrapText="1"/>
    </xf>
    <xf numFmtId="1" fontId="46" fillId="0" borderId="3" xfId="337" applyNumberFormat="1" applyFont="1" applyFill="1" applyBorder="1" applyAlignment="1">
      <alignment horizontal="center" wrapText="1"/>
    </xf>
    <xf numFmtId="9" fontId="17" fillId="0" borderId="13" xfId="337" applyFont="1" applyBorder="1" applyAlignment="1">
      <alignment horizontal="center" wrapText="1"/>
    </xf>
    <xf numFmtId="0" fontId="96" fillId="62" borderId="0" xfId="0" applyFont="1" applyFill="1" applyAlignment="1">
      <alignment wrapText="1"/>
    </xf>
    <xf numFmtId="0" fontId="17" fillId="62" borderId="0" xfId="0" applyFont="1" applyFill="1" applyAlignment="1">
      <alignment horizontal="left" vertical="top"/>
    </xf>
    <xf numFmtId="3" fontId="17" fillId="62" borderId="0" xfId="0" applyNumberFormat="1" applyFont="1" applyFill="1" applyAlignment="1">
      <alignment horizontal="right" wrapText="1"/>
    </xf>
    <xf numFmtId="3" fontId="46" fillId="62" borderId="0" xfId="0" applyNumberFormat="1" applyFont="1" applyFill="1" applyAlignment="1">
      <alignment horizontal="right" wrapText="1"/>
    </xf>
    <xf numFmtId="0" fontId="46" fillId="62" borderId="0" xfId="0" applyFont="1" applyFill="1" applyAlignment="1">
      <alignment horizontal="left" vertical="top"/>
    </xf>
    <xf numFmtId="168" fontId="46" fillId="62" borderId="0" xfId="0" applyNumberFormat="1" applyFont="1" applyFill="1" applyAlignment="1">
      <alignment horizontal="right" wrapText="1"/>
    </xf>
    <xf numFmtId="0" fontId="17" fillId="0" borderId="0" xfId="0" applyFont="1" applyAlignment="1">
      <alignment horizontal="left" vertical="top"/>
    </xf>
    <xf numFmtId="9" fontId="46" fillId="0" borderId="0" xfId="0" applyNumberFormat="1" applyFont="1" applyAlignment="1">
      <alignment horizontal="left" vertical="top" wrapText="1"/>
    </xf>
    <xf numFmtId="170" fontId="46" fillId="0" borderId="0" xfId="0" applyNumberFormat="1" applyFont="1" applyAlignment="1">
      <alignment horizontal="right" wrapText="1"/>
    </xf>
    <xf numFmtId="0" fontId="46" fillId="62" borderId="0" xfId="0" applyFont="1" applyFill="1" applyAlignment="1">
      <alignment wrapText="1"/>
    </xf>
    <xf numFmtId="3" fontId="46" fillId="62" borderId="0" xfId="0" applyNumberFormat="1" applyFont="1" applyFill="1" applyAlignment="1">
      <alignment wrapText="1"/>
    </xf>
    <xf numFmtId="0" fontId="97" fillId="0" borderId="0" xfId="0" applyFont="1" applyAlignment="1">
      <alignment horizontal="right"/>
    </xf>
    <xf numFmtId="0" fontId="93" fillId="71" borderId="0" xfId="0" applyFont="1" applyFill="1" applyAlignment="1">
      <alignment wrapText="1"/>
    </xf>
    <xf numFmtId="9" fontId="46" fillId="71" borderId="0" xfId="0" applyNumberFormat="1" applyFont="1" applyFill="1" applyAlignment="1">
      <alignment horizontal="left" vertical="top" wrapText="1"/>
    </xf>
    <xf numFmtId="172" fontId="46" fillId="71" borderId="0" xfId="0" applyNumberFormat="1" applyFont="1" applyFill="1" applyAlignment="1">
      <alignment wrapText="1"/>
    </xf>
    <xf numFmtId="168" fontId="46" fillId="71" borderId="0" xfId="0" applyNumberFormat="1" applyFont="1" applyFill="1" applyAlignment="1">
      <alignment horizontal="right" wrapText="1"/>
    </xf>
    <xf numFmtId="0" fontId="96" fillId="62" borderId="0" xfId="0" applyFont="1" applyFill="1" applyAlignment="1">
      <alignment horizontal="left" wrapText="1"/>
    </xf>
    <xf numFmtId="3" fontId="46" fillId="62" borderId="0" xfId="0" applyNumberFormat="1" applyFont="1" applyFill="1"/>
    <xf numFmtId="0" fontId="17" fillId="62" borderId="0" xfId="0" applyFont="1" applyFill="1" applyAlignment="1">
      <alignment wrapText="1"/>
    </xf>
    <xf numFmtId="168" fontId="17" fillId="62" borderId="0" xfId="0" applyNumberFormat="1" applyFont="1" applyFill="1" applyAlignment="1">
      <alignment horizontal="right" wrapText="1"/>
    </xf>
    <xf numFmtId="9" fontId="93" fillId="71" borderId="0" xfId="0" applyNumberFormat="1" applyFont="1" applyFill="1" applyAlignment="1">
      <alignment horizontal="left" vertical="top" wrapText="1"/>
    </xf>
    <xf numFmtId="168" fontId="93" fillId="71" borderId="0" xfId="0" applyNumberFormat="1" applyFont="1" applyFill="1" applyAlignment="1">
      <alignment horizontal="right" wrapText="1"/>
    </xf>
    <xf numFmtId="0" fontId="93" fillId="0" borderId="0" xfId="0" applyFont="1"/>
    <xf numFmtId="0" fontId="17" fillId="63" borderId="0" xfId="0" applyFont="1" applyFill="1" applyAlignment="1">
      <alignment vertical="center"/>
    </xf>
    <xf numFmtId="3" fontId="17" fillId="63" borderId="0" xfId="0" applyNumberFormat="1" applyFont="1" applyFill="1"/>
    <xf numFmtId="168" fontId="17" fillId="63" borderId="0" xfId="0" applyNumberFormat="1" applyFont="1" applyFill="1" applyAlignment="1">
      <alignment horizontal="right" wrapText="1"/>
    </xf>
    <xf numFmtId="0" fontId="17" fillId="70" borderId="0" xfId="0" applyFont="1" applyFill="1" applyAlignment="1">
      <alignment horizontal="left" wrapText="1"/>
    </xf>
    <xf numFmtId="0" fontId="17" fillId="70" borderId="0" xfId="0" applyFont="1" applyFill="1" applyAlignment="1">
      <alignment horizontal="left" vertical="top"/>
    </xf>
    <xf numFmtId="168" fontId="17" fillId="70" borderId="0" xfId="0" applyNumberFormat="1" applyFont="1" applyFill="1" applyAlignment="1">
      <alignment horizontal="right" wrapText="1"/>
    </xf>
    <xf numFmtId="0" fontId="93" fillId="0" borderId="0" xfId="0" applyFont="1" applyAlignment="1">
      <alignment horizontal="left" wrapText="1"/>
    </xf>
    <xf numFmtId="168" fontId="98" fillId="0" borderId="0" xfId="0" applyNumberFormat="1" applyFont="1" applyAlignment="1">
      <alignment horizontal="right" wrapText="1"/>
    </xf>
    <xf numFmtId="0" fontId="17" fillId="62" borderId="13" xfId="0" applyFont="1" applyFill="1" applyBorder="1" applyAlignment="1">
      <alignment wrapText="1"/>
    </xf>
    <xf numFmtId="3" fontId="17" fillId="62" borderId="13" xfId="0" applyNumberFormat="1" applyFont="1" applyFill="1" applyBorder="1" applyAlignment="1">
      <alignment horizontal="right" wrapText="1"/>
    </xf>
    <xf numFmtId="175" fontId="17" fillId="62" borderId="13" xfId="0" applyNumberFormat="1" applyFont="1" applyFill="1" applyBorder="1" applyAlignment="1">
      <alignment horizontal="right" wrapText="1"/>
    </xf>
    <xf numFmtId="0" fontId="97" fillId="0" borderId="0" xfId="0" applyFont="1"/>
    <xf numFmtId="10" fontId="17" fillId="0" borderId="0" xfId="0" applyNumberFormat="1" applyFont="1"/>
    <xf numFmtId="175" fontId="46" fillId="0" borderId="0" xfId="0" applyNumberFormat="1" applyFont="1" applyAlignment="1">
      <alignment horizontal="right" wrapText="1"/>
    </xf>
    <xf numFmtId="0" fontId="17" fillId="62" borderId="18" xfId="0" applyFont="1" applyFill="1" applyBorder="1" applyAlignment="1">
      <alignment wrapText="1"/>
    </xf>
    <xf numFmtId="3" fontId="17" fillId="62" borderId="18" xfId="0" applyNumberFormat="1" applyFont="1" applyFill="1" applyBorder="1" applyAlignment="1">
      <alignment horizontal="right" wrapText="1"/>
    </xf>
    <xf numFmtId="175" fontId="17" fillId="62" borderId="18" xfId="98" applyNumberFormat="1" applyFont="1" applyFill="1" applyBorder="1" applyAlignment="1">
      <alignment horizontal="right" wrapText="1"/>
    </xf>
    <xf numFmtId="0" fontId="102" fillId="0" borderId="0" xfId="0" applyFont="1" applyAlignment="1">
      <alignment wrapText="1"/>
    </xf>
    <xf numFmtId="9" fontId="46" fillId="0" borderId="3" xfId="337" applyFont="1" applyBorder="1" applyAlignment="1">
      <alignment horizontal="center" wrapText="1"/>
    </xf>
    <xf numFmtId="9" fontId="17" fillId="63" borderId="0" xfId="337" applyFont="1" applyFill="1" applyBorder="1" applyAlignment="1">
      <alignment horizontal="center" vertical="center" wrapText="1"/>
    </xf>
    <xf numFmtId="9" fontId="96" fillId="62" borderId="0" xfId="337" applyFont="1" applyFill="1" applyBorder="1" applyAlignment="1">
      <alignment horizontal="center" wrapText="1"/>
    </xf>
    <xf numFmtId="9" fontId="46" fillId="0" borderId="0" xfId="337" applyFont="1" applyBorder="1" applyAlignment="1">
      <alignment horizontal="center" wrapText="1"/>
    </xf>
    <xf numFmtId="9" fontId="46" fillId="0" borderId="0" xfId="337" applyFont="1" applyFill="1" applyBorder="1" applyAlignment="1">
      <alignment horizontal="center" wrapText="1"/>
    </xf>
    <xf numFmtId="9" fontId="46" fillId="62" borderId="0" xfId="337" applyFont="1" applyFill="1" applyBorder="1" applyAlignment="1">
      <alignment horizontal="center" wrapText="1"/>
    </xf>
    <xf numFmtId="0" fontId="17" fillId="61" borderId="13" xfId="0" applyFont="1" applyFill="1" applyBorder="1" applyAlignment="1">
      <alignment horizontal="center" wrapText="1"/>
    </xf>
    <xf numFmtId="0" fontId="17" fillId="0" borderId="0" xfId="0" applyFont="1" applyAlignment="1">
      <alignment horizontal="center" vertical="top"/>
    </xf>
    <xf numFmtId="9" fontId="17" fillId="63" borderId="0" xfId="337" applyFont="1" applyFill="1" applyAlignment="1">
      <alignment horizontal="center" wrapText="1"/>
    </xf>
    <xf numFmtId="9" fontId="46" fillId="0" borderId="0" xfId="337" applyFont="1" applyFill="1" applyAlignment="1">
      <alignment horizontal="center" wrapText="1"/>
    </xf>
    <xf numFmtId="9" fontId="17" fillId="61" borderId="13" xfId="337" applyFont="1" applyFill="1" applyBorder="1" applyAlignment="1">
      <alignment horizontal="center" wrapText="1"/>
    </xf>
    <xf numFmtId="9" fontId="96" fillId="62" borderId="0" xfId="337" applyFont="1" applyFill="1" applyAlignment="1">
      <alignment horizontal="center" wrapText="1"/>
    </xf>
    <xf numFmtId="9" fontId="46" fillId="0" borderId="0" xfId="337" applyFont="1" applyAlignment="1">
      <alignment horizontal="center" wrapText="1"/>
    </xf>
    <xf numFmtId="9" fontId="93" fillId="71" borderId="0" xfId="337" applyFont="1" applyFill="1" applyAlignment="1">
      <alignment horizontal="center" wrapText="1"/>
    </xf>
    <xf numFmtId="9" fontId="17" fillId="63" borderId="0" xfId="337" applyFont="1" applyFill="1" applyBorder="1" applyAlignment="1">
      <alignment horizontal="center" vertical="center"/>
    </xf>
    <xf numFmtId="9" fontId="17" fillId="70" borderId="0" xfId="337" applyFont="1" applyFill="1" applyAlignment="1">
      <alignment horizontal="center" wrapText="1"/>
    </xf>
    <xf numFmtId="9" fontId="17" fillId="61" borderId="0" xfId="337" applyFont="1" applyFill="1" applyAlignment="1">
      <alignment horizontal="center" wrapText="1"/>
    </xf>
    <xf numFmtId="9" fontId="17" fillId="0" borderId="0" xfId="337" applyFont="1" applyFill="1" applyAlignment="1">
      <alignment horizontal="center" wrapText="1"/>
    </xf>
    <xf numFmtId="0" fontId="96" fillId="62" borderId="0" xfId="0" applyFont="1" applyFill="1" applyAlignment="1">
      <alignment horizontal="center" wrapText="1"/>
    </xf>
    <xf numFmtId="9" fontId="98" fillId="61" borderId="0" xfId="337" applyFont="1" applyFill="1" applyAlignment="1">
      <alignment horizontal="center" wrapText="1"/>
    </xf>
    <xf numFmtId="9" fontId="17" fillId="0" borderId="0" xfId="337" applyFont="1" applyFill="1" applyBorder="1" applyAlignment="1">
      <alignment horizontal="center" wrapText="1"/>
    </xf>
    <xf numFmtId="9" fontId="17" fillId="62" borderId="13" xfId="337" applyFont="1" applyFill="1" applyBorder="1" applyAlignment="1">
      <alignment horizontal="center" wrapText="1"/>
    </xf>
    <xf numFmtId="9" fontId="99" fillId="0" borderId="0" xfId="337" applyFont="1" applyAlignment="1">
      <alignment horizontal="center" wrapText="1"/>
    </xf>
    <xf numFmtId="9" fontId="17" fillId="62" borderId="18" xfId="337" applyFont="1" applyFill="1" applyBorder="1" applyAlignment="1">
      <alignment horizontal="center" wrapText="1"/>
    </xf>
    <xf numFmtId="0" fontId="93" fillId="0" borderId="0" xfId="0" applyFont="1" applyAlignment="1">
      <alignment horizontal="center"/>
    </xf>
    <xf numFmtId="175" fontId="46" fillId="0" borderId="0" xfId="0" applyNumberFormat="1" applyFont="1" applyAlignment="1">
      <alignment wrapText="1"/>
    </xf>
    <xf numFmtId="0" fontId="17" fillId="61" borderId="0" xfId="0" applyFont="1" applyFill="1" applyAlignment="1">
      <alignment wrapText="1"/>
    </xf>
    <xf numFmtId="3" fontId="17" fillId="61" borderId="0" xfId="0" applyNumberFormat="1" applyFont="1" applyFill="1" applyAlignment="1">
      <alignment wrapText="1"/>
    </xf>
    <xf numFmtId="175" fontId="17" fillId="61" borderId="0" xfId="98" applyNumberFormat="1" applyFont="1" applyFill="1" applyBorder="1" applyAlignment="1">
      <alignment horizontal="right" wrapText="1"/>
    </xf>
    <xf numFmtId="0" fontId="17" fillId="0" borderId="0" xfId="0" applyFont="1" applyAlignment="1">
      <alignment horizontal="center" wrapText="1"/>
    </xf>
    <xf numFmtId="3" fontId="17" fillId="0" borderId="0" xfId="0" applyNumberFormat="1" applyFont="1" applyAlignment="1">
      <alignment horizontal="center" wrapText="1"/>
    </xf>
    <xf numFmtId="3" fontId="17" fillId="0" borderId="0" xfId="0" applyNumberFormat="1" applyFont="1" applyAlignment="1">
      <alignment horizontal="center"/>
    </xf>
    <xf numFmtId="174" fontId="17" fillId="61" borderId="0" xfId="0" applyNumberFormat="1" applyFont="1" applyFill="1" applyAlignment="1">
      <alignment horizontal="right" wrapText="1"/>
    </xf>
    <xf numFmtId="175" fontId="17" fillId="61" borderId="0" xfId="0" applyNumberFormat="1" applyFont="1" applyFill="1" applyAlignment="1">
      <alignment horizontal="right" wrapText="1"/>
    </xf>
    <xf numFmtId="0" fontId="17" fillId="61" borderId="0" xfId="0" applyFont="1" applyFill="1" applyAlignment="1">
      <alignment horizontal="left" wrapText="1"/>
    </xf>
    <xf numFmtId="3" fontId="17" fillId="61" borderId="0" xfId="0" applyNumberFormat="1" applyFont="1" applyFill="1" applyAlignment="1">
      <alignment horizontal="right" wrapText="1"/>
    </xf>
    <xf numFmtId="44" fontId="46" fillId="0" borderId="0" xfId="0" applyNumberFormat="1" applyFont="1"/>
    <xf numFmtId="10" fontId="46" fillId="0" borderId="0" xfId="0" applyNumberFormat="1" applyFont="1" applyAlignment="1">
      <alignment wrapText="1"/>
    </xf>
    <xf numFmtId="175" fontId="17" fillId="0" borderId="3" xfId="98" applyNumberFormat="1" applyFont="1" applyFill="1" applyBorder="1" applyAlignment="1">
      <alignment horizontal="center" wrapText="1"/>
    </xf>
    <xf numFmtId="175" fontId="101" fillId="62" borderId="3" xfId="337" applyNumberFormat="1" applyFont="1" applyFill="1" applyBorder="1" applyAlignment="1">
      <alignment wrapText="1"/>
    </xf>
    <xf numFmtId="9" fontId="46" fillId="0" borderId="0" xfId="0" applyNumberFormat="1" applyFont="1" applyAlignment="1">
      <alignment wrapText="1"/>
    </xf>
    <xf numFmtId="176" fontId="103" fillId="0" borderId="0" xfId="521" applyNumberFormat="1" applyFont="1"/>
    <xf numFmtId="44" fontId="103" fillId="0" borderId="0" xfId="522" applyFont="1"/>
    <xf numFmtId="2" fontId="103" fillId="0" borderId="0" xfId="521" applyNumberFormat="1" applyFont="1"/>
    <xf numFmtId="10" fontId="103" fillId="0" borderId="0" xfId="521" applyNumberFormat="1" applyFont="1"/>
    <xf numFmtId="9" fontId="103" fillId="0" borderId="0" xfId="523" applyFont="1"/>
    <xf numFmtId="37" fontId="103" fillId="0" borderId="0" xfId="522" applyNumberFormat="1" applyFont="1" applyAlignment="1">
      <alignment horizontal="center"/>
    </xf>
    <xf numFmtId="37" fontId="106" fillId="0" borderId="0" xfId="522" applyNumberFormat="1" applyFont="1" applyAlignment="1">
      <alignment horizontal="center"/>
    </xf>
    <xf numFmtId="44" fontId="104" fillId="65" borderId="25" xfId="522" applyFont="1" applyFill="1" applyBorder="1" applyAlignment="1">
      <alignment horizontal="center" vertical="center" wrapText="1"/>
    </xf>
    <xf numFmtId="2" fontId="104" fillId="65" borderId="25" xfId="524" applyNumberFormat="1" applyFont="1" applyFill="1" applyBorder="1" applyAlignment="1">
      <alignment horizontal="center" vertical="center" wrapText="1"/>
    </xf>
    <xf numFmtId="10" fontId="104" fillId="65" borderId="25" xfId="524" applyNumberFormat="1" applyFont="1" applyFill="1" applyBorder="1" applyAlignment="1">
      <alignment horizontal="center" vertical="center" wrapText="1"/>
    </xf>
    <xf numFmtId="9" fontId="104" fillId="65" borderId="25" xfId="523" applyFont="1" applyFill="1" applyBorder="1" applyAlignment="1">
      <alignment horizontal="center" vertical="center" wrapText="1"/>
    </xf>
    <xf numFmtId="44" fontId="104" fillId="65" borderId="10" xfId="522" applyFont="1" applyFill="1" applyBorder="1" applyAlignment="1">
      <alignment horizontal="center" vertical="center" wrapText="1"/>
    </xf>
    <xf numFmtId="176" fontId="108" fillId="74" borderId="26" xfId="524" applyNumberFormat="1" applyFont="1" applyFill="1" applyBorder="1"/>
    <xf numFmtId="44" fontId="108" fillId="74" borderId="20" xfId="522" applyFont="1" applyFill="1" applyBorder="1"/>
    <xf numFmtId="2" fontId="108" fillId="74" borderId="25" xfId="524" applyNumberFormat="1" applyFont="1" applyFill="1" applyBorder="1"/>
    <xf numFmtId="10" fontId="108" fillId="74" borderId="25" xfId="524" applyNumberFormat="1" applyFont="1" applyFill="1" applyBorder="1"/>
    <xf numFmtId="176" fontId="108" fillId="74" borderId="10" xfId="524" applyNumberFormat="1" applyFont="1" applyFill="1" applyBorder="1"/>
    <xf numFmtId="9" fontId="108" fillId="74" borderId="25" xfId="523" applyFont="1" applyFill="1" applyBorder="1"/>
    <xf numFmtId="44" fontId="108" fillId="74" borderId="10" xfId="522" applyFont="1" applyFill="1" applyBorder="1"/>
    <xf numFmtId="44" fontId="108" fillId="74" borderId="25" xfId="522" applyFont="1" applyFill="1" applyBorder="1"/>
    <xf numFmtId="44" fontId="108" fillId="74" borderId="24" xfId="522" applyFont="1" applyFill="1" applyBorder="1"/>
    <xf numFmtId="176" fontId="108" fillId="66" borderId="10" xfId="524" applyNumberFormat="1" applyFont="1" applyFill="1" applyBorder="1" applyAlignment="1">
      <alignment horizontal="center"/>
    </xf>
    <xf numFmtId="176" fontId="107" fillId="0" borderId="71" xfId="521" applyNumberFormat="1" applyFont="1" applyBorder="1"/>
    <xf numFmtId="176" fontId="108" fillId="0" borderId="19" xfId="521" applyNumberFormat="1" applyFont="1" applyBorder="1"/>
    <xf numFmtId="44" fontId="108" fillId="0" borderId="0" xfId="522" applyFont="1" applyAlignment="1">
      <alignment horizontal="right"/>
    </xf>
    <xf numFmtId="2" fontId="108" fillId="0" borderId="0" xfId="521" applyNumberFormat="1" applyFont="1" applyAlignment="1">
      <alignment horizontal="right"/>
    </xf>
    <xf numFmtId="10" fontId="108" fillId="0" borderId="0" xfId="521" applyNumberFormat="1" applyFont="1" applyAlignment="1">
      <alignment horizontal="right"/>
    </xf>
    <xf numFmtId="176" fontId="108" fillId="0" borderId="4" xfId="521" applyNumberFormat="1" applyFont="1" applyBorder="1" applyAlignment="1">
      <alignment horizontal="right"/>
    </xf>
    <xf numFmtId="9" fontId="108" fillId="0" borderId="0" xfId="523" applyFont="1" applyAlignment="1">
      <alignment horizontal="right"/>
    </xf>
    <xf numFmtId="44" fontId="108" fillId="0" borderId="4" xfId="522" applyFont="1" applyBorder="1" applyAlignment="1">
      <alignment horizontal="right"/>
    </xf>
    <xf numFmtId="44" fontId="108" fillId="0" borderId="4" xfId="522" quotePrefix="1" applyFont="1" applyBorder="1" applyAlignment="1">
      <alignment horizontal="right"/>
    </xf>
    <xf numFmtId="176" fontId="109" fillId="0" borderId="0" xfId="521" applyNumberFormat="1" applyFont="1"/>
    <xf numFmtId="176" fontId="108" fillId="0" borderId="0" xfId="521" applyNumberFormat="1" applyFont="1"/>
    <xf numFmtId="176" fontId="110" fillId="0" borderId="71" xfId="521" applyNumberFormat="1" applyFont="1" applyBorder="1"/>
    <xf numFmtId="176" fontId="108" fillId="0" borderId="22" xfId="521" applyNumberFormat="1" applyFont="1" applyBorder="1"/>
    <xf numFmtId="195" fontId="109" fillId="0" borderId="0" xfId="521" applyNumberFormat="1" applyFont="1" applyAlignment="1">
      <alignment horizontal="left"/>
    </xf>
    <xf numFmtId="0" fontId="111" fillId="0" borderId="4" xfId="526" applyFont="1" applyBorder="1" applyAlignment="1">
      <alignment horizontal="left" vertical="top" wrapText="1"/>
    </xf>
    <xf numFmtId="176" fontId="103" fillId="0" borderId="4" xfId="521" applyNumberFormat="1" applyFont="1" applyBorder="1"/>
    <xf numFmtId="44" fontId="103" fillId="0" borderId="0" xfId="522" applyFont="1" applyAlignment="1">
      <alignment horizontal="right"/>
    </xf>
    <xf numFmtId="2" fontId="103" fillId="0" borderId="0" xfId="523" applyNumberFormat="1" applyFont="1" applyAlignment="1">
      <alignment horizontal="right"/>
    </xf>
    <xf numFmtId="10" fontId="103" fillId="0" borderId="0" xfId="521" applyNumberFormat="1" applyFont="1" applyAlignment="1">
      <alignment horizontal="right"/>
    </xf>
    <xf numFmtId="176" fontId="103" fillId="0" borderId="4" xfId="525" applyNumberFormat="1" applyFont="1" applyBorder="1"/>
    <xf numFmtId="9" fontId="103" fillId="0" borderId="0" xfId="523" applyFont="1" applyAlignment="1">
      <alignment horizontal="right"/>
    </xf>
    <xf numFmtId="44" fontId="103" fillId="0" borderId="4" xfId="522" applyFont="1" applyBorder="1"/>
    <xf numFmtId="3" fontId="109" fillId="0" borderId="0" xfId="521" applyNumberFormat="1" applyFont="1" applyAlignment="1">
      <alignment horizontal="left"/>
    </xf>
    <xf numFmtId="176" fontId="112" fillId="0" borderId="0" xfId="521" applyNumberFormat="1" applyFont="1"/>
    <xf numFmtId="176" fontId="103" fillId="75" borderId="4" xfId="524" quotePrefix="1" applyNumberFormat="1" applyFont="1" applyFill="1" applyBorder="1" applyAlignment="1">
      <alignment horizontal="center"/>
    </xf>
    <xf numFmtId="171" fontId="103" fillId="0" borderId="0" xfId="521" applyNumberFormat="1" applyFont="1"/>
    <xf numFmtId="49" fontId="103" fillId="0" borderId="0" xfId="521" applyNumberFormat="1" applyFont="1"/>
    <xf numFmtId="44" fontId="103" fillId="0" borderId="11" xfId="522" applyFont="1" applyBorder="1"/>
    <xf numFmtId="176" fontId="103" fillId="75" borderId="0" xfId="524" quotePrefix="1" applyNumberFormat="1" applyFont="1" applyFill="1" applyBorder="1" applyAlignment="1">
      <alignment horizontal="center"/>
    </xf>
    <xf numFmtId="176" fontId="107" fillId="0" borderId="23" xfId="521" applyNumberFormat="1" applyFont="1" applyBorder="1" applyAlignment="1">
      <alignment horizontal="left"/>
    </xf>
    <xf numFmtId="176" fontId="103" fillId="0" borderId="3" xfId="524" quotePrefix="1" applyNumberFormat="1" applyFont="1" applyFill="1" applyBorder="1" applyAlignment="1">
      <alignment horizontal="center"/>
    </xf>
    <xf numFmtId="44" fontId="103" fillId="68" borderId="6" xfId="522" applyFont="1" applyFill="1" applyBorder="1"/>
    <xf numFmtId="2" fontId="103" fillId="68" borderId="6" xfId="525" applyNumberFormat="1" applyFont="1" applyFill="1" applyBorder="1"/>
    <xf numFmtId="10" fontId="103" fillId="0" borderId="6" xfId="521" applyNumberFormat="1" applyFont="1" applyBorder="1"/>
    <xf numFmtId="176" fontId="108" fillId="0" borderId="24" xfId="525" applyNumberFormat="1" applyFont="1" applyBorder="1"/>
    <xf numFmtId="9" fontId="103" fillId="0" borderId="6" xfId="523" applyFont="1" applyBorder="1"/>
    <xf numFmtId="44" fontId="108" fillId="68" borderId="10" xfId="522" applyFont="1" applyFill="1" applyBorder="1"/>
    <xf numFmtId="176" fontId="103" fillId="0" borderId="22" xfId="524" quotePrefix="1" applyNumberFormat="1" applyFont="1" applyFill="1" applyBorder="1" applyAlignment="1">
      <alignment horizontal="center"/>
    </xf>
    <xf numFmtId="44" fontId="103" fillId="0" borderId="0" xfId="522" applyFont="1" applyBorder="1"/>
    <xf numFmtId="2" fontId="103" fillId="0" borderId="0" xfId="525" applyNumberFormat="1" applyFont="1" applyBorder="1"/>
    <xf numFmtId="10" fontId="113" fillId="0" borderId="0" xfId="521" applyNumberFormat="1" applyFont="1"/>
    <xf numFmtId="9" fontId="113" fillId="0" borderId="0" xfId="523" applyFont="1"/>
    <xf numFmtId="44" fontId="103" fillId="0" borderId="4" xfId="522" applyFont="1" applyFill="1" applyBorder="1"/>
    <xf numFmtId="176" fontId="108" fillId="0" borderId="24" xfId="522" applyNumberFormat="1" applyFont="1" applyBorder="1"/>
    <xf numFmtId="0" fontId="114" fillId="0" borderId="0" xfId="521" applyFont="1" applyAlignment="1">
      <alignment horizontal="center"/>
    </xf>
    <xf numFmtId="0" fontId="115" fillId="0" borderId="0" xfId="521" applyFont="1" applyAlignment="1">
      <alignment horizontal="center"/>
    </xf>
    <xf numFmtId="176" fontId="103" fillId="0" borderId="71" xfId="524" applyNumberFormat="1" applyFont="1" applyFill="1" applyBorder="1" applyAlignment="1">
      <alignment horizontal="left" indent="1"/>
    </xf>
    <xf numFmtId="176" fontId="107" fillId="76" borderId="23" xfId="524" applyNumberFormat="1" applyFont="1" applyFill="1" applyBorder="1"/>
    <xf numFmtId="176" fontId="108" fillId="76" borderId="3" xfId="524" applyNumberFormat="1" applyFont="1" applyFill="1" applyBorder="1"/>
    <xf numFmtId="44" fontId="108" fillId="76" borderId="6" xfId="522" applyFont="1" applyFill="1" applyBorder="1"/>
    <xf numFmtId="2" fontId="108" fillId="76" borderId="6" xfId="525" applyNumberFormat="1" applyFont="1" applyFill="1" applyBorder="1"/>
    <xf numFmtId="10" fontId="108" fillId="76" borderId="6" xfId="525" applyNumberFormat="1" applyFont="1" applyFill="1" applyBorder="1"/>
    <xf numFmtId="176" fontId="108" fillId="76" borderId="24" xfId="525" applyNumberFormat="1" applyFont="1" applyFill="1" applyBorder="1"/>
    <xf numFmtId="9" fontId="108" fillId="76" borderId="6" xfId="523" applyFont="1" applyFill="1" applyBorder="1"/>
    <xf numFmtId="176" fontId="108" fillId="76" borderId="24" xfId="522" applyNumberFormat="1" applyFont="1" applyFill="1" applyBorder="1"/>
    <xf numFmtId="37" fontId="106" fillId="0" borderId="25" xfId="522" applyNumberFormat="1" applyFont="1" applyBorder="1" applyAlignment="1">
      <alignment horizontal="center"/>
    </xf>
    <xf numFmtId="176" fontId="103" fillId="0" borderId="25" xfId="521" applyNumberFormat="1" applyFont="1" applyBorder="1"/>
    <xf numFmtId="176" fontId="108" fillId="0" borderId="25" xfId="521" applyNumberFormat="1" applyFont="1" applyBorder="1"/>
    <xf numFmtId="176" fontId="116" fillId="0" borderId="71" xfId="524" applyNumberFormat="1" applyFont="1" applyFill="1" applyBorder="1" applyAlignment="1">
      <alignment horizontal="left" indent="1"/>
    </xf>
    <xf numFmtId="37" fontId="106" fillId="0" borderId="0" xfId="522" applyNumberFormat="1" applyFont="1" applyFill="1" applyAlignment="1">
      <alignment horizontal="center"/>
    </xf>
    <xf numFmtId="176" fontId="103" fillId="0" borderId="4" xfId="524" quotePrefix="1" applyNumberFormat="1" applyFont="1" applyFill="1" applyBorder="1" applyAlignment="1">
      <alignment horizontal="center"/>
    </xf>
    <xf numFmtId="176" fontId="116" fillId="0" borderId="70" xfId="521" applyNumberFormat="1" applyFont="1" applyBorder="1" applyAlignment="1">
      <alignment horizontal="left" indent="1"/>
    </xf>
    <xf numFmtId="176" fontId="103" fillId="0" borderId="11" xfId="524" quotePrefix="1" applyNumberFormat="1" applyFont="1" applyFill="1" applyBorder="1" applyAlignment="1">
      <alignment horizontal="center"/>
    </xf>
    <xf numFmtId="44" fontId="103" fillId="0" borderId="25" xfId="522" applyFont="1" applyBorder="1"/>
    <xf numFmtId="2" fontId="103" fillId="0" borderId="25" xfId="525" applyNumberFormat="1" applyFont="1" applyBorder="1"/>
    <xf numFmtId="10" fontId="103" fillId="0" borderId="25" xfId="521" applyNumberFormat="1" applyFont="1" applyBorder="1"/>
    <xf numFmtId="176" fontId="103" fillId="0" borderId="10" xfId="525" applyNumberFormat="1" applyFont="1" applyBorder="1"/>
    <xf numFmtId="44" fontId="103" fillId="68" borderId="10" xfId="522" applyFont="1" applyFill="1" applyBorder="1"/>
    <xf numFmtId="176" fontId="103" fillId="0" borderId="22" xfId="524" quotePrefix="1" applyNumberFormat="1" applyFont="1" applyFill="1" applyBorder="1"/>
    <xf numFmtId="176" fontId="103" fillId="0" borderId="4" xfId="524" applyNumberFormat="1" applyFont="1" applyFill="1" applyBorder="1"/>
    <xf numFmtId="176" fontId="107" fillId="76" borderId="70" xfId="524" applyNumberFormat="1" applyFont="1" applyFill="1" applyBorder="1"/>
    <xf numFmtId="176" fontId="108" fillId="76" borderId="11" xfId="524" applyNumberFormat="1" applyFont="1" applyFill="1" applyBorder="1"/>
    <xf numFmtId="44" fontId="108" fillId="76" borderId="25" xfId="522" applyFont="1" applyFill="1" applyBorder="1"/>
    <xf numFmtId="2" fontId="108" fillId="76" borderId="25" xfId="525" applyNumberFormat="1" applyFont="1" applyFill="1" applyBorder="1"/>
    <xf numFmtId="10" fontId="108" fillId="76" borderId="25" xfId="525" applyNumberFormat="1" applyFont="1" applyFill="1" applyBorder="1"/>
    <xf numFmtId="176" fontId="108" fillId="76" borderId="10" xfId="525" applyNumberFormat="1" applyFont="1" applyFill="1" applyBorder="1"/>
    <xf numFmtId="9" fontId="108" fillId="76" borderId="25" xfId="523" applyFont="1" applyFill="1" applyBorder="1"/>
    <xf numFmtId="176" fontId="103" fillId="75" borderId="10" xfId="524" quotePrefix="1" applyNumberFormat="1" applyFont="1" applyFill="1" applyBorder="1" applyAlignment="1">
      <alignment horizontal="center"/>
    </xf>
    <xf numFmtId="37" fontId="114" fillId="0" borderId="25" xfId="522" applyNumberFormat="1" applyFont="1" applyBorder="1" applyAlignment="1">
      <alignment horizontal="center"/>
    </xf>
    <xf numFmtId="176" fontId="117" fillId="0" borderId="25" xfId="521" applyNumberFormat="1" applyFont="1" applyBorder="1"/>
    <xf numFmtId="37" fontId="114" fillId="0" borderId="0" xfId="522" applyNumberFormat="1" applyFont="1" applyAlignment="1">
      <alignment horizontal="center"/>
    </xf>
    <xf numFmtId="176" fontId="117" fillId="0" borderId="0" xfId="521" applyNumberFormat="1" applyFont="1"/>
    <xf numFmtId="176" fontId="107" fillId="76" borderId="3" xfId="524" applyNumberFormat="1" applyFont="1" applyFill="1" applyBorder="1"/>
    <xf numFmtId="2" fontId="108" fillId="76" borderId="6" xfId="524" applyNumberFormat="1" applyFont="1" applyFill="1" applyBorder="1"/>
    <xf numFmtId="10" fontId="108" fillId="76" borderId="6" xfId="524" applyNumberFormat="1" applyFont="1" applyFill="1" applyBorder="1"/>
    <xf numFmtId="176" fontId="103" fillId="0" borderId="22" xfId="524" applyNumberFormat="1" applyFont="1" applyFill="1" applyBorder="1"/>
    <xf numFmtId="2" fontId="103" fillId="0" borderId="0" xfId="525" applyNumberFormat="1" applyFont="1"/>
    <xf numFmtId="10" fontId="103" fillId="0" borderId="0" xfId="524" applyNumberFormat="1" applyFont="1" applyFill="1"/>
    <xf numFmtId="9" fontId="103" fillId="0" borderId="0" xfId="523" applyFont="1" applyFill="1"/>
    <xf numFmtId="176" fontId="103" fillId="75" borderId="22" xfId="524" quotePrefix="1" applyNumberFormat="1" applyFont="1" applyFill="1" applyBorder="1" applyAlignment="1">
      <alignment horizontal="center"/>
    </xf>
    <xf numFmtId="176" fontId="116" fillId="0" borderId="22" xfId="524" applyNumberFormat="1" applyFont="1" applyFill="1" applyBorder="1" applyAlignment="1">
      <alignment horizontal="left" indent="1"/>
    </xf>
    <xf numFmtId="44" fontId="103" fillId="0" borderId="0" xfId="522" applyFont="1" applyFill="1"/>
    <xf numFmtId="2" fontId="103" fillId="0" borderId="0" xfId="525" applyNumberFormat="1" applyFont="1" applyFill="1"/>
    <xf numFmtId="44" fontId="103" fillId="0" borderId="10" xfId="522" applyFont="1" applyBorder="1"/>
    <xf numFmtId="176" fontId="103" fillId="0" borderId="19" xfId="524" quotePrefix="1" applyNumberFormat="1" applyFont="1" applyFill="1" applyBorder="1" applyAlignment="1">
      <alignment horizontal="center"/>
    </xf>
    <xf numFmtId="2" fontId="103" fillId="0" borderId="0" xfId="523" applyNumberFormat="1" applyFont="1"/>
    <xf numFmtId="176" fontId="103" fillId="0" borderId="4" xfId="522" applyNumberFormat="1" applyFont="1" applyBorder="1"/>
    <xf numFmtId="176" fontId="118" fillId="0" borderId="4" xfId="521" applyNumberFormat="1" applyFont="1" applyBorder="1"/>
    <xf numFmtId="44" fontId="103" fillId="0" borderId="0" xfId="522" applyFont="1" applyFill="1" applyBorder="1"/>
    <xf numFmtId="2" fontId="103" fillId="0" borderId="0" xfId="525" applyNumberFormat="1" applyFont="1" applyFill="1" applyBorder="1"/>
    <xf numFmtId="44" fontId="103" fillId="0" borderId="25" xfId="522" applyFont="1" applyFill="1" applyBorder="1"/>
    <xf numFmtId="2" fontId="103" fillId="0" borderId="25" xfId="525" applyNumberFormat="1" applyFont="1" applyFill="1" applyBorder="1"/>
    <xf numFmtId="176" fontId="116" fillId="0" borderId="10" xfId="524" applyNumberFormat="1" applyFont="1" applyFill="1" applyBorder="1" applyAlignment="1">
      <alignment horizontal="left" indent="1"/>
    </xf>
    <xf numFmtId="176" fontId="107" fillId="76" borderId="11" xfId="524" applyNumberFormat="1" applyFont="1" applyFill="1" applyBorder="1"/>
    <xf numFmtId="10" fontId="108" fillId="76" borderId="25" xfId="524" applyNumberFormat="1" applyFont="1" applyFill="1" applyBorder="1"/>
    <xf numFmtId="176" fontId="116" fillId="0" borderId="27" xfId="524" applyNumberFormat="1" applyFont="1" applyFill="1" applyBorder="1" applyAlignment="1">
      <alignment horizontal="left" indent="1"/>
    </xf>
    <xf numFmtId="176" fontId="107" fillId="77" borderId="3" xfId="525" applyNumberFormat="1" applyFont="1" applyFill="1" applyBorder="1"/>
    <xf numFmtId="176" fontId="108" fillId="77" borderId="24" xfId="524" applyNumberFormat="1" applyFont="1" applyFill="1" applyBorder="1" applyAlignment="1">
      <alignment horizontal="center"/>
    </xf>
    <xf numFmtId="44" fontId="108" fillId="77" borderId="6" xfId="522" applyFont="1" applyFill="1" applyBorder="1"/>
    <xf numFmtId="2" fontId="108" fillId="77" borderId="6" xfId="524" applyNumberFormat="1" applyFont="1" applyFill="1" applyBorder="1"/>
    <xf numFmtId="10" fontId="108" fillId="77" borderId="6" xfId="524" applyNumberFormat="1" applyFont="1" applyFill="1" applyBorder="1"/>
    <xf numFmtId="176" fontId="108" fillId="77" borderId="24" xfId="525" applyNumberFormat="1" applyFont="1" applyFill="1" applyBorder="1"/>
    <xf numFmtId="9" fontId="108" fillId="77" borderId="6" xfId="523" applyFont="1" applyFill="1" applyBorder="1"/>
    <xf numFmtId="176" fontId="105" fillId="67" borderId="3" xfId="524" applyNumberFormat="1" applyFont="1" applyFill="1" applyBorder="1"/>
    <xf numFmtId="176" fontId="107" fillId="67" borderId="24" xfId="524" applyNumberFormat="1" applyFont="1" applyFill="1" applyBorder="1"/>
    <xf numFmtId="176" fontId="107" fillId="67" borderId="6" xfId="524" applyNumberFormat="1" applyFont="1" applyFill="1" applyBorder="1"/>
    <xf numFmtId="0" fontId="119" fillId="0" borderId="47" xfId="526" applyFont="1" applyBorder="1" applyAlignment="1">
      <alignment horizontal="left" vertical="top" wrapText="1"/>
    </xf>
    <xf numFmtId="176" fontId="107" fillId="0" borderId="4" xfId="524" applyNumberFormat="1" applyFont="1" applyFill="1" applyBorder="1" applyAlignment="1">
      <alignment horizontal="left"/>
    </xf>
    <xf numFmtId="0" fontId="15" fillId="0" borderId="49" xfId="526" applyFont="1" applyBorder="1" applyAlignment="1">
      <alignment horizontal="left" vertical="top" wrapText="1"/>
    </xf>
    <xf numFmtId="2" fontId="103" fillId="0" borderId="0" xfId="523" applyNumberFormat="1" applyFont="1" applyFill="1"/>
    <xf numFmtId="10" fontId="103" fillId="0" borderId="0" xfId="527" applyNumberFormat="1" applyFont="1" applyAlignment="1">
      <alignment horizontal="right"/>
    </xf>
    <xf numFmtId="176" fontId="103" fillId="0" borderId="10" xfId="524" quotePrefix="1" applyNumberFormat="1" applyFont="1" applyFill="1" applyBorder="1" applyAlignment="1">
      <alignment horizontal="center"/>
    </xf>
    <xf numFmtId="2" fontId="103" fillId="0" borderId="25" xfId="523" applyNumberFormat="1" applyFont="1" applyFill="1" applyBorder="1"/>
    <xf numFmtId="10" fontId="103" fillId="0" borderId="25" xfId="527" applyNumberFormat="1" applyFont="1" applyBorder="1" applyAlignment="1">
      <alignment horizontal="right"/>
    </xf>
    <xf numFmtId="9" fontId="103" fillId="0" borderId="25" xfId="523" applyFont="1" applyBorder="1" applyAlignment="1">
      <alignment horizontal="right"/>
    </xf>
    <xf numFmtId="176" fontId="107" fillId="65" borderId="11" xfId="525" applyNumberFormat="1" applyFont="1" applyFill="1" applyBorder="1"/>
    <xf numFmtId="176" fontId="108" fillId="65" borderId="10" xfId="525" applyNumberFormat="1" applyFont="1" applyFill="1" applyBorder="1" applyAlignment="1">
      <alignment horizontal="center"/>
    </xf>
    <xf numFmtId="44" fontId="108" fillId="65" borderId="25" xfId="522" applyFont="1" applyFill="1" applyBorder="1"/>
    <xf numFmtId="2" fontId="108" fillId="65" borderId="25" xfId="525" applyNumberFormat="1" applyFont="1" applyFill="1" applyBorder="1"/>
    <xf numFmtId="10" fontId="108" fillId="65" borderId="25" xfId="525" applyNumberFormat="1" applyFont="1" applyFill="1" applyBorder="1"/>
    <xf numFmtId="176" fontId="108" fillId="65" borderId="10" xfId="525" applyNumberFormat="1" applyFont="1" applyFill="1" applyBorder="1"/>
    <xf numFmtId="9" fontId="108" fillId="65" borderId="25" xfId="523" applyFont="1" applyFill="1" applyBorder="1"/>
    <xf numFmtId="176" fontId="108" fillId="65" borderId="11" xfId="522" applyNumberFormat="1" applyFont="1" applyFill="1" applyBorder="1"/>
    <xf numFmtId="176" fontId="116" fillId="0" borderId="10" xfId="521" applyNumberFormat="1" applyFont="1" applyBorder="1"/>
    <xf numFmtId="176" fontId="103" fillId="0" borderId="10" xfId="521" applyNumberFormat="1" applyFont="1" applyBorder="1"/>
    <xf numFmtId="2" fontId="103" fillId="0" borderId="25" xfId="521" applyNumberFormat="1" applyFont="1" applyBorder="1"/>
    <xf numFmtId="9" fontId="103" fillId="0" borderId="25" xfId="523" applyFont="1" applyBorder="1"/>
    <xf numFmtId="176" fontId="118" fillId="78" borderId="3" xfId="524" applyNumberFormat="1" applyFont="1" applyFill="1" applyBorder="1" applyAlignment="1">
      <alignment horizontal="left" wrapText="1"/>
    </xf>
    <xf numFmtId="176" fontId="103" fillId="78" borderId="24" xfId="521" applyNumberFormat="1" applyFont="1" applyFill="1" applyBorder="1" applyAlignment="1">
      <alignment horizontal="center"/>
    </xf>
    <xf numFmtId="44" fontId="103" fillId="78" borderId="6" xfId="522" applyFont="1" applyFill="1" applyBorder="1"/>
    <xf numFmtId="2" fontId="103" fillId="78" borderId="6" xfId="521" applyNumberFormat="1" applyFont="1" applyFill="1" applyBorder="1"/>
    <xf numFmtId="10" fontId="103" fillId="78" borderId="6" xfId="521" applyNumberFormat="1" applyFont="1" applyFill="1" applyBorder="1"/>
    <xf numFmtId="176" fontId="103" fillId="78" borderId="24" xfId="521" applyNumberFormat="1" applyFont="1" applyFill="1" applyBorder="1"/>
    <xf numFmtId="9" fontId="103" fillId="78" borderId="6" xfId="523" applyFont="1" applyFill="1" applyBorder="1"/>
    <xf numFmtId="44" fontId="103" fillId="78" borderId="24" xfId="522" applyFont="1" applyFill="1" applyBorder="1"/>
    <xf numFmtId="176" fontId="105" fillId="74" borderId="23" xfId="524" applyNumberFormat="1" applyFont="1" applyFill="1" applyBorder="1" applyAlignment="1">
      <alignment horizontal="center"/>
    </xf>
    <xf numFmtId="176" fontId="103" fillId="0" borderId="22" xfId="521" applyNumberFormat="1" applyFont="1" applyBorder="1" applyAlignment="1">
      <alignment horizontal="left" indent="1"/>
    </xf>
    <xf numFmtId="176" fontId="103" fillId="0" borderId="22" xfId="524" applyNumberFormat="1" applyFont="1" applyFill="1" applyBorder="1" applyAlignment="1">
      <alignment horizontal="left" indent="1"/>
    </xf>
    <xf numFmtId="176" fontId="103" fillId="0" borderId="10" xfId="524" applyNumberFormat="1" applyFont="1" applyFill="1" applyBorder="1" applyAlignment="1">
      <alignment horizontal="left" indent="1"/>
    </xf>
    <xf numFmtId="176" fontId="103" fillId="0" borderId="27" xfId="524" applyNumberFormat="1" applyFont="1" applyFill="1" applyBorder="1" applyAlignment="1">
      <alignment horizontal="left" indent="1"/>
    </xf>
    <xf numFmtId="176" fontId="103" fillId="0" borderId="4" xfId="524" applyNumberFormat="1" applyFont="1" applyFill="1" applyBorder="1" applyAlignment="1">
      <alignment horizontal="left" indent="1"/>
    </xf>
    <xf numFmtId="174" fontId="103" fillId="0" borderId="0" xfId="522" applyNumberFormat="1" applyFont="1"/>
    <xf numFmtId="174" fontId="108" fillId="74" borderId="10" xfId="522" applyNumberFormat="1" applyFont="1" applyFill="1" applyBorder="1"/>
    <xf numFmtId="174" fontId="108" fillId="0" borderId="4" xfId="522" quotePrefix="1" applyNumberFormat="1" applyFont="1" applyBorder="1" applyAlignment="1">
      <alignment horizontal="right"/>
    </xf>
    <xf numFmtId="174" fontId="103" fillId="0" borderId="4" xfId="522" applyNumberFormat="1" applyFont="1" applyBorder="1"/>
    <xf numFmtId="174" fontId="108" fillId="68" borderId="10" xfId="522" applyNumberFormat="1" applyFont="1" applyFill="1" applyBorder="1"/>
    <xf numFmtId="174" fontId="103" fillId="0" borderId="11" xfId="522" applyNumberFormat="1" applyFont="1" applyBorder="1"/>
    <xf numFmtId="174" fontId="108" fillId="76" borderId="24" xfId="522" applyNumberFormat="1" applyFont="1" applyFill="1" applyBorder="1"/>
    <xf numFmtId="174" fontId="103" fillId="68" borderId="10" xfId="522" applyNumberFormat="1" applyFont="1" applyFill="1" applyBorder="1"/>
    <xf numFmtId="174" fontId="103" fillId="0" borderId="10" xfId="522" applyNumberFormat="1" applyFont="1" applyBorder="1"/>
    <xf numFmtId="174" fontId="108" fillId="77" borderId="24" xfId="525" applyNumberFormat="1" applyFont="1" applyFill="1" applyBorder="1"/>
    <xf numFmtId="174" fontId="107" fillId="67" borderId="24" xfId="524" applyNumberFormat="1" applyFont="1" applyFill="1" applyBorder="1"/>
    <xf numFmtId="174" fontId="108" fillId="65" borderId="11" xfId="522" applyNumberFormat="1" applyFont="1" applyFill="1" applyBorder="1"/>
    <xf numFmtId="174" fontId="103" fillId="78" borderId="24" xfId="522" applyNumberFormat="1" applyFont="1" applyFill="1" applyBorder="1"/>
    <xf numFmtId="176" fontId="103" fillId="0" borderId="0" xfId="522" applyNumberFormat="1" applyFont="1" applyBorder="1"/>
    <xf numFmtId="176" fontId="103" fillId="0" borderId="0" xfId="522" applyNumberFormat="1" applyFont="1"/>
    <xf numFmtId="176" fontId="107" fillId="0" borderId="70" xfId="521" applyNumberFormat="1" applyFont="1" applyBorder="1" applyAlignment="1">
      <alignment horizontal="left"/>
    </xf>
    <xf numFmtId="44" fontId="103" fillId="68" borderId="25" xfId="522" applyFont="1" applyFill="1" applyBorder="1"/>
    <xf numFmtId="2" fontId="103" fillId="68" borderId="25" xfId="525" applyNumberFormat="1" applyFont="1" applyFill="1" applyBorder="1"/>
    <xf numFmtId="176" fontId="108" fillId="0" borderId="10" xfId="525" applyNumberFormat="1" applyFont="1" applyBorder="1"/>
    <xf numFmtId="176" fontId="120" fillId="0" borderId="4" xfId="524" applyNumberFormat="1" applyFont="1" applyFill="1" applyBorder="1" applyAlignment="1">
      <alignment horizontal="left"/>
    </xf>
    <xf numFmtId="174" fontId="103" fillId="0" borderId="4" xfId="522" applyNumberFormat="1" applyFont="1" applyFill="1" applyBorder="1"/>
    <xf numFmtId="176" fontId="103" fillId="0" borderId="0" xfId="522" applyNumberFormat="1" applyFont="1" applyAlignment="1">
      <alignment horizontal="right"/>
    </xf>
    <xf numFmtId="174" fontId="104" fillId="65" borderId="25" xfId="522" applyNumberFormat="1" applyFont="1" applyFill="1" applyBorder="1" applyAlignment="1">
      <alignment horizontal="center" vertical="center" wrapText="1"/>
    </xf>
    <xf numFmtId="174" fontId="108" fillId="74" borderId="25" xfId="522" applyNumberFormat="1" applyFont="1" applyFill="1" applyBorder="1"/>
    <xf numFmtId="174" fontId="108" fillId="0" borderId="0" xfId="522" applyNumberFormat="1" applyFont="1" applyAlignment="1">
      <alignment horizontal="right"/>
    </xf>
    <xf numFmtId="174" fontId="103" fillId="0" borderId="0" xfId="522" applyNumberFormat="1" applyFont="1" applyAlignment="1">
      <alignment horizontal="right"/>
    </xf>
    <xf numFmtId="174" fontId="103" fillId="68" borderId="6" xfId="522" applyNumberFormat="1" applyFont="1" applyFill="1" applyBorder="1"/>
    <xf numFmtId="174" fontId="103" fillId="0" borderId="0" xfId="522" applyNumberFormat="1" applyFont="1" applyBorder="1"/>
    <xf numFmtId="174" fontId="108" fillId="76" borderId="6" xfId="522" applyNumberFormat="1" applyFont="1" applyFill="1" applyBorder="1"/>
    <xf numFmtId="174" fontId="108" fillId="76" borderId="25" xfId="522" applyNumberFormat="1" applyFont="1" applyFill="1" applyBorder="1"/>
    <xf numFmtId="174" fontId="103" fillId="0" borderId="0" xfId="522" applyNumberFormat="1" applyFont="1" applyFill="1"/>
    <xf numFmtId="174" fontId="103" fillId="0" borderId="0" xfId="522" applyNumberFormat="1" applyFont="1" applyFill="1" applyBorder="1"/>
    <xf numFmtId="174" fontId="103" fillId="0" borderId="25" xfId="522" applyNumberFormat="1" applyFont="1" applyFill="1" applyBorder="1"/>
    <xf numFmtId="174" fontId="108" fillId="77" borderId="6" xfId="522" applyNumberFormat="1" applyFont="1" applyFill="1" applyBorder="1"/>
    <xf numFmtId="174" fontId="107" fillId="67" borderId="6" xfId="524" applyNumberFormat="1" applyFont="1" applyFill="1" applyBorder="1"/>
    <xf numFmtId="174" fontId="108" fillId="65" borderId="25" xfId="522" applyNumberFormat="1" applyFont="1" applyFill="1" applyBorder="1"/>
    <xf numFmtId="174" fontId="103" fillId="78" borderId="6" xfId="522" applyNumberFormat="1" applyFont="1" applyFill="1" applyBorder="1"/>
    <xf numFmtId="174" fontId="108" fillId="74" borderId="20" xfId="522" applyNumberFormat="1" applyFont="1" applyFill="1" applyBorder="1"/>
    <xf numFmtId="174" fontId="103" fillId="0" borderId="0" xfId="522" applyNumberFormat="1" applyFont="1" applyFill="1" applyAlignment="1">
      <alignment horizontal="right"/>
    </xf>
    <xf numFmtId="2" fontId="103" fillId="0" borderId="0" xfId="523" applyNumberFormat="1" applyFont="1" applyFill="1" applyAlignment="1">
      <alignment horizontal="right"/>
    </xf>
    <xf numFmtId="176" fontId="103" fillId="0" borderId="4" xfId="525" applyNumberFormat="1" applyFont="1" applyFill="1" applyBorder="1"/>
    <xf numFmtId="0" fontId="34" fillId="0" borderId="0" xfId="0" applyFont="1"/>
    <xf numFmtId="177" fontId="34" fillId="0" borderId="0" xfId="0" applyNumberFormat="1" applyFont="1"/>
    <xf numFmtId="171" fontId="34" fillId="0" borderId="0" xfId="0" applyNumberFormat="1" applyFont="1"/>
    <xf numFmtId="0" fontId="121" fillId="0" borderId="0" xfId="0" applyFont="1" applyAlignment="1">
      <alignment horizontal="right"/>
    </xf>
    <xf numFmtId="0" fontId="24" fillId="67" borderId="37" xfId="0" applyFont="1" applyFill="1" applyBorder="1" applyAlignment="1">
      <alignment horizontal="center" vertical="top" wrapText="1"/>
    </xf>
    <xf numFmtId="177" fontId="24" fillId="67" borderId="37" xfId="0" applyNumberFormat="1" applyFont="1" applyFill="1" applyBorder="1" applyAlignment="1">
      <alignment horizontal="center" vertical="top" wrapText="1"/>
    </xf>
    <xf numFmtId="171" fontId="24" fillId="67" borderId="37" xfId="0" applyNumberFormat="1" applyFont="1" applyFill="1" applyBorder="1" applyAlignment="1">
      <alignment horizontal="center" vertical="top" wrapText="1"/>
    </xf>
    <xf numFmtId="0" fontId="119" fillId="0" borderId="37" xfId="0" applyFont="1" applyBorder="1" applyAlignment="1">
      <alignment horizontal="left" vertical="top" wrapText="1"/>
    </xf>
    <xf numFmtId="171" fontId="119" fillId="0" borderId="37" xfId="0" applyNumberFormat="1" applyFont="1" applyBorder="1" applyAlignment="1">
      <alignment horizontal="center" vertical="top" wrapText="1"/>
    </xf>
    <xf numFmtId="0" fontId="119" fillId="0" borderId="0" xfId="0" applyFont="1" applyAlignment="1">
      <alignment horizontal="left" vertical="top" wrapText="1"/>
    </xf>
    <xf numFmtId="177" fontId="119" fillId="0" borderId="0" xfId="0" applyNumberFormat="1" applyFont="1" applyAlignment="1">
      <alignment horizontal="center" vertical="top" wrapText="1"/>
    </xf>
    <xf numFmtId="0" fontId="24" fillId="67" borderId="39" xfId="0" applyFont="1" applyFill="1" applyBorder="1" applyAlignment="1">
      <alignment horizontal="center" vertical="top" wrapText="1"/>
    </xf>
    <xf numFmtId="177" fontId="24" fillId="67" borderId="39" xfId="0" applyNumberFormat="1" applyFont="1" applyFill="1" applyBorder="1" applyAlignment="1">
      <alignment horizontal="center" vertical="top" wrapText="1"/>
    </xf>
    <xf numFmtId="171" fontId="24" fillId="67" borderId="39" xfId="0" applyNumberFormat="1" applyFont="1" applyFill="1" applyBorder="1" applyAlignment="1">
      <alignment horizontal="center" vertical="top" wrapText="1"/>
    </xf>
    <xf numFmtId="0" fontId="24" fillId="0" borderId="40" xfId="0" applyFont="1" applyBorder="1" applyAlignment="1">
      <alignment horizontal="left" vertical="top" wrapText="1"/>
    </xf>
    <xf numFmtId="177" fontId="24" fillId="0" borderId="40" xfId="0" applyNumberFormat="1" applyFont="1" applyBorder="1" applyAlignment="1">
      <alignment horizontal="right" vertical="top" wrapText="1"/>
    </xf>
    <xf numFmtId="177" fontId="119" fillId="0" borderId="0" xfId="0" applyNumberFormat="1" applyFont="1" applyAlignment="1">
      <alignment horizontal="right" vertical="top" wrapText="1"/>
    </xf>
    <xf numFmtId="0" fontId="119" fillId="0" borderId="41" xfId="0" applyFont="1" applyBorder="1" applyAlignment="1">
      <alignment horizontal="left" vertical="top" wrapText="1"/>
    </xf>
    <xf numFmtId="177" fontId="119" fillId="0" borderId="3" xfId="0" applyNumberFormat="1" applyFont="1" applyBorder="1" applyAlignment="1">
      <alignment horizontal="right" vertical="top" wrapText="1"/>
    </xf>
    <xf numFmtId="0" fontId="24" fillId="0" borderId="42" xfId="0" applyFont="1" applyBorder="1" applyAlignment="1">
      <alignment horizontal="left" vertical="top" wrapText="1"/>
    </xf>
    <xf numFmtId="177" fontId="24" fillId="0" borderId="3" xfId="0" applyNumberFormat="1" applyFont="1" applyBorder="1" applyAlignment="1">
      <alignment horizontal="right" vertical="top" wrapText="1"/>
    </xf>
    <xf numFmtId="171" fontId="24" fillId="0" borderId="3" xfId="0" applyNumberFormat="1" applyFont="1" applyBorder="1" applyAlignment="1">
      <alignment horizontal="right" vertical="top" wrapText="1"/>
    </xf>
    <xf numFmtId="0" fontId="24" fillId="0" borderId="43" xfId="0" applyFont="1" applyBorder="1" applyAlignment="1">
      <alignment horizontal="left" vertical="top" wrapText="1"/>
    </xf>
    <xf numFmtId="178" fontId="119" fillId="0" borderId="0" xfId="0" applyNumberFormat="1" applyFont="1" applyAlignment="1">
      <alignment horizontal="right" vertical="top" wrapText="1"/>
    </xf>
    <xf numFmtId="171" fontId="119" fillId="0" borderId="0" xfId="0" applyNumberFormat="1" applyFont="1" applyAlignment="1">
      <alignment horizontal="right" vertical="top" wrapText="1"/>
    </xf>
    <xf numFmtId="0" fontId="119" fillId="0" borderId="44" xfId="0" applyFont="1" applyBorder="1" applyAlignment="1">
      <alignment horizontal="left" vertical="top" wrapText="1"/>
    </xf>
    <xf numFmtId="178" fontId="119" fillId="0" borderId="3" xfId="0" applyNumberFormat="1" applyFont="1" applyBorder="1" applyAlignment="1">
      <alignment horizontal="right" vertical="top" wrapText="1"/>
    </xf>
    <xf numFmtId="171" fontId="119" fillId="0" borderId="3" xfId="0" applyNumberFormat="1" applyFont="1" applyBorder="1" applyAlignment="1">
      <alignment horizontal="right" vertical="top" wrapText="1"/>
    </xf>
    <xf numFmtId="0" fontId="119" fillId="0" borderId="42" xfId="0" applyFont="1" applyBorder="1" applyAlignment="1">
      <alignment horizontal="left" vertical="top" wrapText="1"/>
    </xf>
    <xf numFmtId="177" fontId="119" fillId="29" borderId="48" xfId="0" applyNumberFormat="1" applyFont="1" applyFill="1" applyBorder="1" applyAlignment="1">
      <alignment horizontal="right" vertical="top" wrapText="1"/>
    </xf>
    <xf numFmtId="0" fontId="119" fillId="0" borderId="45" xfId="0" applyFont="1" applyBorder="1" applyAlignment="1">
      <alignment horizontal="left" vertical="top" wrapText="1"/>
    </xf>
    <xf numFmtId="0" fontId="24" fillId="0" borderId="46" xfId="0" applyFont="1" applyBorder="1" applyAlignment="1">
      <alignment horizontal="left" vertical="top" wrapText="1"/>
    </xf>
    <xf numFmtId="0" fontId="34" fillId="0" borderId="46" xfId="0" applyFont="1" applyBorder="1" applyAlignment="1">
      <alignment horizontal="left" vertical="top" wrapText="1"/>
    </xf>
    <xf numFmtId="177" fontId="34" fillId="0" borderId="3" xfId="0" applyNumberFormat="1" applyFont="1" applyBorder="1" applyAlignment="1">
      <alignment horizontal="right" wrapText="1"/>
    </xf>
    <xf numFmtId="0" fontId="34" fillId="0" borderId="3" xfId="0" applyFont="1" applyBorder="1" applyAlignment="1">
      <alignment horizontal="right" wrapText="1"/>
    </xf>
    <xf numFmtId="171" fontId="34" fillId="0" borderId="3" xfId="0" applyNumberFormat="1" applyFont="1" applyBorder="1" applyAlignment="1">
      <alignment horizontal="right" wrapText="1"/>
    </xf>
    <xf numFmtId="177" fontId="24" fillId="0" borderId="3" xfId="0" applyNumberFormat="1" applyFont="1" applyBorder="1" applyAlignment="1">
      <alignment horizontal="right" wrapText="1"/>
    </xf>
    <xf numFmtId="171" fontId="24" fillId="0" borderId="3" xfId="0" applyNumberFormat="1" applyFont="1" applyBorder="1" applyAlignment="1">
      <alignment horizontal="right" wrapText="1"/>
    </xf>
    <xf numFmtId="0" fontId="24" fillId="0" borderId="0" xfId="0" applyFont="1" applyAlignment="1">
      <alignment horizontal="left" vertical="top" wrapText="1"/>
    </xf>
    <xf numFmtId="177" fontId="119" fillId="0" borderId="0" xfId="0" applyNumberFormat="1" applyFont="1" applyAlignment="1">
      <alignment horizontal="right" wrapText="1"/>
    </xf>
    <xf numFmtId="171" fontId="119" fillId="0" borderId="0" xfId="0" applyNumberFormat="1" applyFont="1" applyAlignment="1">
      <alignment horizontal="right" wrapText="1"/>
    </xf>
    <xf numFmtId="0" fontId="24" fillId="0" borderId="47" xfId="0" applyFont="1" applyBorder="1" applyAlignment="1">
      <alignment horizontal="left" vertical="top" wrapText="1"/>
    </xf>
    <xf numFmtId="177" fontId="119" fillId="0" borderId="47" xfId="0" applyNumberFormat="1" applyFont="1" applyBorder="1" applyAlignment="1">
      <alignment horizontal="right" wrapText="1"/>
    </xf>
    <xf numFmtId="177" fontId="119" fillId="0" borderId="44" xfId="0" applyNumberFormat="1" applyFont="1" applyBorder="1" applyAlignment="1">
      <alignment horizontal="right" wrapText="1"/>
    </xf>
    <xf numFmtId="177" fontId="119" fillId="0" borderId="40" xfId="0" applyNumberFormat="1" applyFont="1" applyBorder="1" applyAlignment="1">
      <alignment horizontal="right" wrapText="1"/>
    </xf>
    <xf numFmtId="177" fontId="119" fillId="0" borderId="42" xfId="0" applyNumberFormat="1" applyFont="1" applyBorder="1" applyAlignment="1">
      <alignment horizontal="right" wrapText="1"/>
    </xf>
    <xf numFmtId="0" fontId="24" fillId="0" borderId="49" xfId="0" applyFont="1" applyBorder="1" applyAlignment="1">
      <alignment horizontal="left" vertical="top" wrapText="1"/>
    </xf>
    <xf numFmtId="0" fontId="24" fillId="0" borderId="51" xfId="0" applyFont="1" applyBorder="1" applyAlignment="1">
      <alignment horizontal="left" vertical="top" wrapText="1"/>
    </xf>
    <xf numFmtId="177" fontId="119" fillId="0" borderId="51" xfId="0" applyNumberFormat="1" applyFont="1" applyBorder="1" applyAlignment="1">
      <alignment horizontal="right" wrapText="1"/>
    </xf>
    <xf numFmtId="177" fontId="119" fillId="0" borderId="52" xfId="0" applyNumberFormat="1" applyFont="1" applyBorder="1" applyAlignment="1">
      <alignment horizontal="right" wrapText="1"/>
    </xf>
    <xf numFmtId="0" fontId="24" fillId="61" borderId="49" xfId="0" applyFont="1" applyFill="1" applyBorder="1" applyAlignment="1">
      <alignment horizontal="left" vertical="top" wrapText="1"/>
    </xf>
    <xf numFmtId="0" fontId="34" fillId="0" borderId="53" xfId="0" applyFont="1" applyBorder="1" applyAlignment="1">
      <alignment horizontal="left" vertical="top" wrapText="1"/>
    </xf>
    <xf numFmtId="177" fontId="34" fillId="0" borderId="53" xfId="0" applyNumberFormat="1" applyFont="1" applyBorder="1" applyAlignment="1">
      <alignment horizontal="right" wrapText="1"/>
    </xf>
    <xf numFmtId="0" fontId="34" fillId="0" borderId="53" xfId="0" applyFont="1" applyBorder="1" applyAlignment="1">
      <alignment horizontal="right" wrapText="1"/>
    </xf>
    <xf numFmtId="171" fontId="34" fillId="0" borderId="53" xfId="0" applyNumberFormat="1" applyFont="1" applyBorder="1" applyAlignment="1">
      <alignment horizontal="right" wrapText="1"/>
    </xf>
    <xf numFmtId="177" fontId="119" fillId="0" borderId="52" xfId="0" applyNumberFormat="1" applyFont="1" applyBorder="1" applyAlignment="1">
      <alignment horizontal="right" vertical="top" wrapText="1"/>
    </xf>
    <xf numFmtId="0" fontId="24" fillId="0" borderId="54" xfId="0" applyFont="1" applyBorder="1" applyAlignment="1">
      <alignment horizontal="left" vertical="top" wrapText="1"/>
    </xf>
    <xf numFmtId="0" fontId="24" fillId="0" borderId="55" xfId="0" applyFont="1" applyBorder="1" applyAlignment="1">
      <alignment horizontal="left" vertical="top" wrapText="1"/>
    </xf>
    <xf numFmtId="177" fontId="119" fillId="0" borderId="55" xfId="0" applyNumberFormat="1" applyFont="1" applyBorder="1" applyAlignment="1">
      <alignment horizontal="right" wrapText="1"/>
    </xf>
    <xf numFmtId="171" fontId="119" fillId="0" borderId="55" xfId="0" applyNumberFormat="1" applyFont="1" applyBorder="1" applyAlignment="1">
      <alignment horizontal="right" wrapText="1"/>
    </xf>
    <xf numFmtId="178" fontId="119" fillId="0" borderId="55" xfId="0" applyNumberFormat="1" applyFont="1" applyBorder="1" applyAlignment="1">
      <alignment horizontal="right" wrapText="1"/>
    </xf>
    <xf numFmtId="177" fontId="24" fillId="0" borderId="56" xfId="0" applyNumberFormat="1" applyFont="1" applyBorder="1" applyAlignment="1">
      <alignment horizontal="right" wrapText="1"/>
    </xf>
    <xf numFmtId="4" fontId="46" fillId="0" borderId="0" xfId="0" applyNumberFormat="1" applyFont="1"/>
    <xf numFmtId="9" fontId="106" fillId="0" borderId="25" xfId="337" applyFont="1" applyBorder="1" applyAlignment="1">
      <alignment horizontal="center"/>
    </xf>
    <xf numFmtId="177" fontId="24" fillId="69" borderId="40" xfId="0" applyNumberFormat="1" applyFont="1" applyFill="1" applyBorder="1" applyAlignment="1">
      <alignment horizontal="right" wrapText="1"/>
    </xf>
    <xf numFmtId="171" fontId="24" fillId="69" borderId="40" xfId="0" applyNumberFormat="1" applyFont="1" applyFill="1" applyBorder="1" applyAlignment="1">
      <alignment horizontal="right" wrapText="1"/>
    </xf>
    <xf numFmtId="168" fontId="46" fillId="0" borderId="0" xfId="0" applyNumberFormat="1" applyFont="1"/>
    <xf numFmtId="176" fontId="123" fillId="0" borderId="0" xfId="521" applyNumberFormat="1" applyFont="1"/>
    <xf numFmtId="176" fontId="125" fillId="74" borderId="23" xfId="524" applyNumberFormat="1" applyFont="1" applyFill="1" applyBorder="1" applyAlignment="1">
      <alignment horizontal="center"/>
    </xf>
    <xf numFmtId="176" fontId="125" fillId="0" borderId="71" xfId="521" applyNumberFormat="1" applyFont="1" applyBorder="1"/>
    <xf numFmtId="176" fontId="126" fillId="0" borderId="71" xfId="521" applyNumberFormat="1" applyFont="1" applyBorder="1"/>
    <xf numFmtId="176" fontId="125" fillId="0" borderId="23" xfId="521" applyNumberFormat="1" applyFont="1" applyBorder="1" applyAlignment="1">
      <alignment horizontal="left"/>
    </xf>
    <xf numFmtId="176" fontId="123" fillId="0" borderId="71" xfId="524" applyNumberFormat="1" applyFont="1" applyFill="1" applyBorder="1" applyAlignment="1">
      <alignment horizontal="left" indent="1"/>
    </xf>
    <xf numFmtId="176" fontId="125" fillId="76" borderId="23" xfId="524" applyNumberFormat="1" applyFont="1" applyFill="1" applyBorder="1"/>
    <xf numFmtId="176" fontId="127" fillId="0" borderId="71" xfId="524" applyNumberFormat="1" applyFont="1" applyFill="1" applyBorder="1" applyAlignment="1">
      <alignment horizontal="left" indent="1"/>
    </xf>
    <xf numFmtId="176" fontId="127" fillId="0" borderId="70" xfId="521" applyNumberFormat="1" applyFont="1" applyBorder="1" applyAlignment="1">
      <alignment horizontal="left" indent="1"/>
    </xf>
    <xf numFmtId="176" fontId="125" fillId="76" borderId="70" xfId="524" applyNumberFormat="1" applyFont="1" applyFill="1" applyBorder="1"/>
    <xf numFmtId="176" fontId="127" fillId="0" borderId="22" xfId="521" applyNumberFormat="1" applyFont="1" applyBorder="1" applyAlignment="1">
      <alignment horizontal="left" indent="1"/>
    </xf>
    <xf numFmtId="176" fontId="125" fillId="76" borderId="3" xfId="524" applyNumberFormat="1" applyFont="1" applyFill="1" applyBorder="1"/>
    <xf numFmtId="176" fontId="127" fillId="0" borderId="22" xfId="524" applyNumberFormat="1" applyFont="1" applyFill="1" applyBorder="1" applyAlignment="1">
      <alignment horizontal="left" indent="1"/>
    </xf>
    <xf numFmtId="176" fontId="127" fillId="0" borderId="4" xfId="521" applyNumberFormat="1" applyFont="1" applyBorder="1"/>
    <xf numFmtId="176" fontId="127" fillId="0" borderId="10" xfId="524" applyNumberFormat="1" applyFont="1" applyFill="1" applyBorder="1" applyAlignment="1">
      <alignment horizontal="left" indent="1"/>
    </xf>
    <xf numFmtId="176" fontId="125" fillId="76" borderId="11" xfId="524" applyNumberFormat="1" applyFont="1" applyFill="1" applyBorder="1"/>
    <xf numFmtId="176" fontId="127" fillId="0" borderId="27" xfId="524" applyNumberFormat="1" applyFont="1" applyFill="1" applyBorder="1" applyAlignment="1">
      <alignment horizontal="left" indent="1"/>
    </xf>
    <xf numFmtId="176" fontId="125" fillId="77" borderId="3" xfId="525" applyNumberFormat="1" applyFont="1" applyFill="1" applyBorder="1"/>
    <xf numFmtId="176" fontId="127" fillId="0" borderId="4" xfId="524" applyNumberFormat="1" applyFont="1" applyFill="1" applyBorder="1" applyAlignment="1">
      <alignment horizontal="left" indent="1"/>
    </xf>
    <xf numFmtId="176" fontId="128" fillId="67" borderId="3" xfId="524" applyNumberFormat="1" applyFont="1" applyFill="1" applyBorder="1"/>
    <xf numFmtId="0" fontId="129" fillId="0" borderId="47" xfId="526" applyFont="1" applyBorder="1" applyAlignment="1">
      <alignment horizontal="left" vertical="top" wrapText="1"/>
    </xf>
    <xf numFmtId="0" fontId="130" fillId="0" borderId="49" xfId="526" applyFont="1" applyBorder="1" applyAlignment="1">
      <alignment horizontal="left" vertical="top" wrapText="1"/>
    </xf>
    <xf numFmtId="176" fontId="127" fillId="0" borderId="4" xfId="525" applyNumberFormat="1" applyFont="1" applyBorder="1"/>
    <xf numFmtId="176" fontId="125" fillId="65" borderId="11" xfId="525" applyNumberFormat="1" applyFont="1" applyFill="1" applyBorder="1"/>
    <xf numFmtId="176" fontId="123" fillId="0" borderId="4" xfId="521" applyNumberFormat="1" applyFont="1" applyBorder="1"/>
    <xf numFmtId="176" fontId="127" fillId="78" borderId="3" xfId="524" applyNumberFormat="1" applyFont="1" applyFill="1" applyBorder="1" applyAlignment="1">
      <alignment horizontal="left" wrapText="1"/>
    </xf>
    <xf numFmtId="9" fontId="46" fillId="64" borderId="3" xfId="337" applyFont="1" applyFill="1" applyBorder="1" applyAlignment="1">
      <alignment horizontal="center" wrapText="1"/>
    </xf>
    <xf numFmtId="0" fontId="119" fillId="0" borderId="52" xfId="0" applyFont="1" applyBorder="1" applyAlignment="1">
      <alignment horizontal="left" vertical="top" wrapText="1"/>
    </xf>
    <xf numFmtId="196" fontId="46" fillId="0" borderId="0" xfId="337" applyNumberFormat="1" applyFont="1" applyAlignment="1">
      <alignment horizontal="right" wrapText="1"/>
    </xf>
    <xf numFmtId="168" fontId="46" fillId="0" borderId="0" xfId="52" applyNumberFormat="1" applyFont="1" applyFill="1" applyBorder="1" applyAlignment="1"/>
    <xf numFmtId="0" fontId="46" fillId="0" borderId="0" xfId="0" applyFont="1" applyAlignment="1">
      <alignment horizontal="center" wrapText="1"/>
    </xf>
    <xf numFmtId="0" fontId="46" fillId="0" borderId="0" xfId="0" applyFont="1" applyAlignment="1">
      <alignment horizontal="right" wrapText="1"/>
    </xf>
    <xf numFmtId="43" fontId="17" fillId="0" borderId="0" xfId="0" applyNumberFormat="1" applyFont="1" applyAlignment="1">
      <alignment horizontal="left" vertical="top"/>
    </xf>
    <xf numFmtId="197" fontId="46" fillId="0" borderId="0" xfId="0" applyNumberFormat="1" applyFont="1" applyAlignment="1">
      <alignment horizontal="right" wrapText="1"/>
    </xf>
    <xf numFmtId="167" fontId="46" fillId="0" borderId="0" xfId="0" applyNumberFormat="1" applyFont="1" applyAlignment="1">
      <alignment horizontal="right" wrapText="1"/>
    </xf>
    <xf numFmtId="43" fontId="17" fillId="0" borderId="0" xfId="0" applyNumberFormat="1" applyFont="1" applyAlignment="1">
      <alignment horizontal="center" vertical="top"/>
    </xf>
    <xf numFmtId="175" fontId="17" fillId="61" borderId="0" xfId="98" applyNumberFormat="1" applyFont="1" applyFill="1" applyAlignment="1">
      <alignment horizontal="right" wrapText="1"/>
    </xf>
    <xf numFmtId="43" fontId="46" fillId="0" borderId="0" xfId="0" applyNumberFormat="1" applyFont="1" applyAlignment="1">
      <alignment horizontal="left" vertical="top" wrapText="1"/>
    </xf>
    <xf numFmtId="167" fontId="46" fillId="0" borderId="0" xfId="52" applyFont="1" applyFill="1" applyAlignment="1">
      <alignment horizontal="center" wrapText="1"/>
    </xf>
    <xf numFmtId="177" fontId="131" fillId="0" borderId="0" xfId="0" applyNumberFormat="1" applyFont="1" applyAlignment="1">
      <alignment horizontal="left"/>
    </xf>
    <xf numFmtId="49" fontId="131" fillId="0" borderId="0" xfId="0" applyNumberFormat="1" applyFont="1" applyAlignment="1">
      <alignment horizontal="left"/>
    </xf>
    <xf numFmtId="0" fontId="103" fillId="0" borderId="4" xfId="525" applyNumberFormat="1" applyFont="1" applyBorder="1"/>
    <xf numFmtId="10" fontId="46" fillId="0" borderId="0" xfId="337" applyNumberFormat="1" applyFont="1"/>
    <xf numFmtId="44" fontId="103" fillId="0" borderId="0" xfId="528" applyFont="1"/>
    <xf numFmtId="9" fontId="103" fillId="0" borderId="0" xfId="529" applyFont="1"/>
    <xf numFmtId="44" fontId="104" fillId="65" borderId="25" xfId="528" applyFont="1" applyFill="1" applyBorder="1" applyAlignment="1">
      <alignment horizontal="center" vertical="center" wrapText="1"/>
    </xf>
    <xf numFmtId="9" fontId="104" fillId="65" borderId="25" xfId="529" applyFont="1" applyFill="1" applyBorder="1" applyAlignment="1">
      <alignment horizontal="center" vertical="center" wrapText="1"/>
    </xf>
    <xf numFmtId="44" fontId="104" fillId="65" borderId="10" xfId="528" applyFont="1" applyFill="1" applyBorder="1" applyAlignment="1">
      <alignment horizontal="center" vertical="center" wrapText="1"/>
    </xf>
    <xf numFmtId="44" fontId="108" fillId="74" borderId="20" xfId="528" applyFont="1" applyFill="1" applyBorder="1"/>
    <xf numFmtId="9" fontId="108" fillId="74" borderId="25" xfId="529" applyFont="1" applyFill="1" applyBorder="1"/>
    <xf numFmtId="44" fontId="108" fillId="74" borderId="10" xfId="528" applyFont="1" applyFill="1" applyBorder="1"/>
    <xf numFmtId="44" fontId="108" fillId="74" borderId="25" xfId="528" applyFont="1" applyFill="1" applyBorder="1"/>
    <xf numFmtId="44" fontId="108" fillId="74" borderId="24" xfId="528" applyFont="1" applyFill="1" applyBorder="1"/>
    <xf numFmtId="44" fontId="108" fillId="0" borderId="0" xfId="528" applyFont="1" applyAlignment="1">
      <alignment horizontal="right"/>
    </xf>
    <xf numFmtId="9" fontId="108" fillId="0" borderId="0" xfId="529" applyFont="1" applyAlignment="1">
      <alignment horizontal="right"/>
    </xf>
    <xf numFmtId="44" fontId="108" fillId="0" borderId="4" xfId="528" applyFont="1" applyBorder="1" applyAlignment="1">
      <alignment horizontal="right"/>
    </xf>
    <xf numFmtId="44" fontId="108" fillId="0" borderId="4" xfId="528" quotePrefix="1" applyFont="1" applyBorder="1" applyAlignment="1">
      <alignment horizontal="right"/>
    </xf>
    <xf numFmtId="44" fontId="103" fillId="0" borderId="0" xfId="528" applyFont="1" applyBorder="1"/>
    <xf numFmtId="9" fontId="113" fillId="0" borderId="0" xfId="529" applyFont="1"/>
    <xf numFmtId="44" fontId="103" fillId="0" borderId="4" xfId="528" applyFont="1" applyBorder="1"/>
    <xf numFmtId="174" fontId="103" fillId="0" borderId="4" xfId="528" applyNumberFormat="1" applyFont="1" applyFill="1" applyBorder="1"/>
    <xf numFmtId="0" fontId="111" fillId="0" borderId="4" xfId="530" applyFont="1" applyBorder="1" applyAlignment="1">
      <alignment horizontal="left" vertical="top" wrapText="1"/>
    </xf>
    <xf numFmtId="44" fontId="103" fillId="0" borderId="0" xfId="528" applyFont="1" applyAlignment="1">
      <alignment horizontal="right"/>
    </xf>
    <xf numFmtId="2" fontId="103" fillId="0" borderId="0" xfId="529" applyNumberFormat="1" applyFont="1" applyAlignment="1">
      <alignment horizontal="right"/>
    </xf>
    <xf numFmtId="9" fontId="103" fillId="0" borderId="0" xfId="529" applyFont="1" applyAlignment="1">
      <alignment horizontal="right"/>
    </xf>
    <xf numFmtId="174" fontId="103" fillId="0" borderId="4" xfId="528" applyNumberFormat="1" applyFont="1" applyBorder="1"/>
    <xf numFmtId="44" fontId="108" fillId="76" borderId="6" xfId="528" applyFont="1" applyFill="1" applyBorder="1"/>
    <xf numFmtId="9" fontId="108" fillId="76" borderId="6" xfId="529" applyFont="1" applyFill="1" applyBorder="1"/>
    <xf numFmtId="37" fontId="106" fillId="0" borderId="25" xfId="528" applyNumberFormat="1" applyFont="1" applyBorder="1" applyAlignment="1">
      <alignment horizontal="center"/>
    </xf>
    <xf numFmtId="10" fontId="103" fillId="0" borderId="22" xfId="529" quotePrefix="1" applyNumberFormat="1" applyFont="1" applyFill="1" applyBorder="1" applyAlignment="1">
      <alignment horizontal="center"/>
    </xf>
    <xf numFmtId="176" fontId="103" fillId="0" borderId="0" xfId="528" applyNumberFormat="1" applyFont="1" applyBorder="1"/>
    <xf numFmtId="44" fontId="108" fillId="76" borderId="25" xfId="528" applyFont="1" applyFill="1" applyBorder="1"/>
    <xf numFmtId="9" fontId="108" fillId="76" borderId="25" xfId="529" applyFont="1" applyFill="1" applyBorder="1"/>
    <xf numFmtId="176" fontId="108" fillId="76" borderId="24" xfId="528" applyNumberFormat="1" applyFont="1" applyFill="1" applyBorder="1"/>
    <xf numFmtId="37" fontId="106" fillId="0" borderId="0" xfId="528" applyNumberFormat="1" applyFont="1" applyAlignment="1">
      <alignment horizontal="center"/>
    </xf>
    <xf numFmtId="9" fontId="103" fillId="0" borderId="0" xfId="529" applyFont="1" applyFill="1"/>
    <xf numFmtId="44" fontId="103" fillId="0" borderId="4" xfId="528" applyFont="1" applyFill="1" applyBorder="1"/>
    <xf numFmtId="2" fontId="103" fillId="0" borderId="0" xfId="529" applyNumberFormat="1" applyFont="1"/>
    <xf numFmtId="44" fontId="103" fillId="0" borderId="0" xfId="528" applyFont="1" applyFill="1" applyBorder="1"/>
    <xf numFmtId="174" fontId="103" fillId="0" borderId="0" xfId="528" applyNumberFormat="1" applyFont="1" applyFill="1" applyBorder="1"/>
    <xf numFmtId="1" fontId="103" fillId="0" borderId="0" xfId="525" applyNumberFormat="1" applyFont="1" applyFill="1" applyBorder="1"/>
    <xf numFmtId="44" fontId="103" fillId="0" borderId="25" xfId="528" applyFont="1" applyFill="1" applyBorder="1"/>
    <xf numFmtId="174" fontId="103" fillId="0" borderId="25" xfId="528" applyNumberFormat="1" applyFont="1" applyFill="1" applyBorder="1"/>
    <xf numFmtId="44" fontId="108" fillId="77" borderId="6" xfId="528" applyFont="1" applyFill="1" applyBorder="1"/>
    <xf numFmtId="9" fontId="108" fillId="77" borderId="6" xfId="529" applyFont="1" applyFill="1" applyBorder="1"/>
    <xf numFmtId="9" fontId="103" fillId="0" borderId="4" xfId="529" quotePrefix="1" applyFont="1" applyFill="1" applyBorder="1" applyAlignment="1">
      <alignment horizontal="center"/>
    </xf>
    <xf numFmtId="44" fontId="103" fillId="0" borderId="0" xfId="528" applyFont="1" applyFill="1"/>
    <xf numFmtId="2" fontId="103" fillId="0" borderId="0" xfId="529" applyNumberFormat="1" applyFont="1" applyFill="1"/>
    <xf numFmtId="44" fontId="108" fillId="65" borderId="25" xfId="528" applyFont="1" applyFill="1" applyBorder="1"/>
    <xf numFmtId="9" fontId="108" fillId="65" borderId="25" xfId="529" applyFont="1" applyFill="1" applyBorder="1"/>
    <xf numFmtId="44" fontId="103" fillId="0" borderId="25" xfId="528" applyFont="1" applyBorder="1"/>
    <xf numFmtId="9" fontId="103" fillId="0" borderId="25" xfId="529" applyFont="1" applyBorder="1"/>
    <xf numFmtId="44" fontId="103" fillId="0" borderId="11" xfId="528" applyFont="1" applyBorder="1"/>
    <xf numFmtId="44" fontId="103" fillId="78" borderId="6" xfId="528" applyFont="1" applyFill="1" applyBorder="1"/>
    <xf numFmtId="9" fontId="103" fillId="78" borderId="6" xfId="529" applyFont="1" applyFill="1" applyBorder="1"/>
    <xf numFmtId="44" fontId="103" fillId="78" borderId="24" xfId="528" applyFont="1" applyFill="1" applyBorder="1"/>
    <xf numFmtId="164" fontId="103" fillId="0" borderId="0" xfId="531" applyFont="1"/>
    <xf numFmtId="176" fontId="103" fillId="0" borderId="0" xfId="528" applyNumberFormat="1" applyFont="1" applyAlignment="1">
      <alignment horizontal="right"/>
    </xf>
    <xf numFmtId="176" fontId="103" fillId="0" borderId="0" xfId="528" applyNumberFormat="1" applyFont="1" applyFill="1"/>
    <xf numFmtId="43" fontId="46" fillId="0" borderId="0" xfId="0" applyNumberFormat="1" applyFont="1" applyAlignment="1">
      <alignment horizontal="left" vertical="top"/>
    </xf>
    <xf numFmtId="168" fontId="17" fillId="0" borderId="0" xfId="0" applyNumberFormat="1" applyFont="1" applyAlignment="1">
      <alignment horizontal="left" vertical="top"/>
    </xf>
    <xf numFmtId="0" fontId="2" fillId="0" borderId="0" xfId="542"/>
    <xf numFmtId="0" fontId="91" fillId="79" borderId="23" xfId="542" applyFont="1" applyFill="1" applyBorder="1" applyAlignment="1">
      <alignment wrapText="1"/>
    </xf>
    <xf numFmtId="0" fontId="91" fillId="79" borderId="3" xfId="542" applyFont="1" applyFill="1" applyBorder="1" applyAlignment="1">
      <alignment horizontal="center" vertical="center" wrapText="1"/>
    </xf>
    <xf numFmtId="0" fontId="91" fillId="0" borderId="0" xfId="542" applyFont="1" applyAlignment="1">
      <alignment wrapText="1"/>
    </xf>
    <xf numFmtId="0" fontId="91" fillId="0" borderId="23" xfId="542" applyFont="1" applyBorder="1"/>
    <xf numFmtId="0" fontId="2" fillId="0" borderId="3" xfId="542" applyBorder="1"/>
    <xf numFmtId="6" fontId="2" fillId="0" borderId="3" xfId="542" applyNumberFormat="1" applyBorder="1"/>
    <xf numFmtId="0" fontId="91" fillId="61" borderId="23" xfId="542" applyFont="1" applyFill="1" applyBorder="1"/>
    <xf numFmtId="0" fontId="2" fillId="61" borderId="3" xfId="542" applyFill="1" applyBorder="1"/>
    <xf numFmtId="0" fontId="91" fillId="0" borderId="0" xfId="542" applyFont="1"/>
    <xf numFmtId="6" fontId="2" fillId="0" borderId="0" xfId="542" applyNumberFormat="1"/>
    <xf numFmtId="49" fontId="119" fillId="0" borderId="37" xfId="0" applyNumberFormat="1" applyFont="1" applyBorder="1" applyAlignment="1">
      <alignment horizontal="center" vertical="top" wrapText="1"/>
    </xf>
    <xf numFmtId="177" fontId="119" fillId="0" borderId="37" xfId="0" applyNumberFormat="1" applyFont="1" applyBorder="1" applyAlignment="1">
      <alignment horizontal="center" vertical="top" wrapText="1"/>
    </xf>
    <xf numFmtId="173" fontId="119" fillId="0" borderId="0" xfId="98" applyNumberFormat="1" applyFont="1" applyAlignment="1">
      <alignment horizontal="center" vertical="top" wrapText="1"/>
    </xf>
    <xf numFmtId="6" fontId="136" fillId="0" borderId="4" xfId="0" applyNumberFormat="1" applyFont="1" applyBorder="1"/>
    <xf numFmtId="0" fontId="136" fillId="0" borderId="0" xfId="0" applyFont="1"/>
    <xf numFmtId="0" fontId="136" fillId="0" borderId="4" xfId="0" applyFont="1" applyBorder="1"/>
    <xf numFmtId="6" fontId="137" fillId="80" borderId="24" xfId="0" applyNumberFormat="1" applyFont="1" applyFill="1" applyBorder="1"/>
    <xf numFmtId="0" fontId="137" fillId="0" borderId="4" xfId="0" applyFont="1" applyBorder="1" applyAlignment="1">
      <alignment horizontal="right"/>
    </xf>
    <xf numFmtId="6" fontId="137" fillId="80" borderId="10" xfId="0" applyNumberFormat="1" applyFont="1" applyFill="1" applyBorder="1"/>
    <xf numFmtId="0" fontId="136" fillId="0" borderId="10" xfId="0" applyFont="1" applyBorder="1"/>
    <xf numFmtId="6" fontId="137" fillId="81" borderId="24" xfId="0" applyNumberFormat="1" applyFont="1" applyFill="1" applyBorder="1"/>
    <xf numFmtId="0" fontId="138" fillId="82" borderId="6" xfId="0" applyFont="1" applyFill="1" applyBorder="1"/>
    <xf numFmtId="6" fontId="137" fillId="83" borderId="10" xfId="0" applyNumberFormat="1" applyFont="1" applyFill="1" applyBorder="1"/>
    <xf numFmtId="6" fontId="136" fillId="0" borderId="10" xfId="0" applyNumberFormat="1" applyFont="1" applyBorder="1"/>
    <xf numFmtId="0" fontId="136" fillId="84" borderId="24" xfId="0" applyFont="1" applyFill="1" applyBorder="1"/>
    <xf numFmtId="9" fontId="103" fillId="0" borderId="0" xfId="337" applyFont="1" applyAlignment="1">
      <alignment horizontal="right"/>
    </xf>
    <xf numFmtId="176" fontId="103" fillId="0" borderId="21" xfId="522" applyNumberFormat="1" applyFont="1" applyBorder="1"/>
    <xf numFmtId="171" fontId="103" fillId="0" borderId="0" xfId="528" applyNumberFormat="1" applyFont="1"/>
    <xf numFmtId="44" fontId="103" fillId="0" borderId="0" xfId="522" applyFont="1" applyAlignment="1">
      <alignment horizontal="center"/>
    </xf>
    <xf numFmtId="0" fontId="140" fillId="0" borderId="4" xfId="526" applyFont="1" applyBorder="1" applyAlignment="1">
      <alignment horizontal="left" vertical="top" wrapText="1"/>
    </xf>
    <xf numFmtId="0" fontId="93" fillId="0" borderId="0" xfId="0" applyFont="1" applyAlignment="1">
      <alignment horizontal="left"/>
    </xf>
    <xf numFmtId="176" fontId="103" fillId="0" borderId="11" xfId="522" applyNumberFormat="1" applyFont="1" applyBorder="1"/>
    <xf numFmtId="177" fontId="24" fillId="0" borderId="40" xfId="0" applyNumberFormat="1" applyFont="1" applyBorder="1" applyAlignment="1">
      <alignment horizontal="right" wrapText="1"/>
    </xf>
    <xf numFmtId="177" fontId="24" fillId="29" borderId="48" xfId="0" applyNumberFormat="1" applyFont="1" applyFill="1" applyBorder="1" applyAlignment="1">
      <alignment horizontal="right" vertical="top" wrapText="1"/>
    </xf>
    <xf numFmtId="177" fontId="24" fillId="0" borderId="50" xfId="0" applyNumberFormat="1" applyFont="1" applyBorder="1" applyAlignment="1">
      <alignment horizontal="right" wrapText="1"/>
    </xf>
    <xf numFmtId="0" fontId="1" fillId="0" borderId="3" xfId="542" applyFont="1" applyBorder="1"/>
    <xf numFmtId="10" fontId="1" fillId="0" borderId="3" xfId="337" applyNumberFormat="1" applyFont="1" applyFill="1" applyBorder="1"/>
    <xf numFmtId="6" fontId="1" fillId="0" borderId="3" xfId="542" applyNumberFormat="1" applyFont="1" applyBorder="1"/>
    <xf numFmtId="0" fontId="1" fillId="61" borderId="3" xfId="542" applyFont="1" applyFill="1" applyBorder="1"/>
    <xf numFmtId="0" fontId="1" fillId="0" borderId="0" xfId="542" applyFont="1"/>
    <xf numFmtId="9" fontId="46" fillId="0" borderId="0" xfId="337" applyFont="1" applyFill="1" applyAlignment="1">
      <alignment horizontal="center"/>
    </xf>
    <xf numFmtId="0" fontId="111" fillId="69" borderId="4" xfId="526" applyFont="1" applyFill="1" applyBorder="1" applyAlignment="1">
      <alignment horizontal="left" vertical="top" wrapText="1"/>
    </xf>
    <xf numFmtId="0" fontId="111" fillId="69" borderId="4" xfId="530" applyFont="1" applyFill="1" applyBorder="1" applyAlignment="1">
      <alignment horizontal="left" vertical="top" wrapText="1"/>
    </xf>
    <xf numFmtId="2" fontId="103" fillId="69" borderId="0" xfId="529" applyNumberFormat="1" applyFont="1" applyFill="1" applyAlignment="1">
      <alignment horizontal="right"/>
    </xf>
    <xf numFmtId="1" fontId="103" fillId="69" borderId="0" xfId="525" applyNumberFormat="1" applyFont="1" applyFill="1" applyBorder="1"/>
    <xf numFmtId="1" fontId="103" fillId="69" borderId="0" xfId="525" applyNumberFormat="1" applyFont="1" applyFill="1"/>
    <xf numFmtId="1" fontId="103" fillId="0" borderId="0" xfId="525" applyNumberFormat="1" applyFont="1" applyFill="1"/>
    <xf numFmtId="9" fontId="46" fillId="0" borderId="0" xfId="337" applyFont="1"/>
    <xf numFmtId="9" fontId="46" fillId="0" borderId="0" xfId="337" applyFont="1" applyAlignment="1">
      <alignment horizontal="right" wrapText="1"/>
    </xf>
    <xf numFmtId="172" fontId="46" fillId="0" borderId="0" xfId="0" applyNumberFormat="1" applyFont="1" applyAlignment="1">
      <alignment wrapText="1"/>
    </xf>
    <xf numFmtId="0" fontId="46" fillId="0" borderId="0" xfId="0" applyFont="1" applyAlignment="1">
      <alignment vertical="top" wrapText="1"/>
    </xf>
    <xf numFmtId="0" fontId="46" fillId="69" borderId="0" xfId="0" applyFont="1" applyFill="1" applyAlignment="1">
      <alignment wrapText="1"/>
    </xf>
    <xf numFmtId="167" fontId="98" fillId="61" borderId="0" xfId="0" applyNumberFormat="1" applyFont="1" applyFill="1" applyAlignment="1">
      <alignment horizontal="right" wrapText="1"/>
    </xf>
    <xf numFmtId="167" fontId="17" fillId="0" borderId="0" xfId="0" applyNumberFormat="1" applyFont="1" applyAlignment="1">
      <alignment horizontal="right" wrapText="1"/>
    </xf>
    <xf numFmtId="0" fontId="119" fillId="0" borderId="40" xfId="0" applyFont="1" applyBorder="1" applyAlignment="1">
      <alignment horizontal="left" vertical="top" wrapText="1"/>
    </xf>
    <xf numFmtId="177" fontId="119" fillId="0" borderId="40" xfId="0" applyNumberFormat="1" applyFont="1" applyBorder="1" applyAlignment="1">
      <alignment horizontal="right" vertical="top" wrapText="1"/>
    </xf>
    <xf numFmtId="177" fontId="34" fillId="0" borderId="40" xfId="0" applyNumberFormat="1" applyFont="1" applyBorder="1" applyAlignment="1">
      <alignment horizontal="right" vertical="top" wrapText="1"/>
    </xf>
    <xf numFmtId="171" fontId="119" fillId="0" borderId="40" xfId="0" applyNumberFormat="1" applyFont="1" applyBorder="1" applyAlignment="1">
      <alignment horizontal="right" vertical="top" wrapText="1"/>
    </xf>
    <xf numFmtId="0" fontId="145" fillId="0" borderId="73" xfId="0" applyFont="1" applyBorder="1" applyAlignment="1">
      <alignment horizontal="left" vertical="center"/>
    </xf>
    <xf numFmtId="0" fontId="145" fillId="0" borderId="74" xfId="0" applyFont="1" applyBorder="1" applyAlignment="1">
      <alignment horizontal="left" vertical="center"/>
    </xf>
    <xf numFmtId="0" fontId="145" fillId="0" borderId="75" xfId="0" applyFont="1" applyBorder="1" applyAlignment="1">
      <alignment horizontal="left" vertical="center"/>
    </xf>
    <xf numFmtId="0" fontId="145" fillId="0" borderId="76" xfId="0" applyFont="1" applyBorder="1" applyAlignment="1">
      <alignment horizontal="left" vertical="center"/>
    </xf>
    <xf numFmtId="0" fontId="145" fillId="0" borderId="77" xfId="0" applyFont="1" applyBorder="1" applyAlignment="1">
      <alignment horizontal="left" vertical="center"/>
    </xf>
    <xf numFmtId="0" fontId="145" fillId="0" borderId="78" xfId="0" applyFont="1" applyBorder="1" applyAlignment="1">
      <alignment horizontal="left" vertical="center"/>
    </xf>
    <xf numFmtId="175" fontId="46" fillId="0" borderId="0" xfId="0" applyNumberFormat="1" applyFont="1"/>
    <xf numFmtId="174" fontId="17" fillId="0" borderId="0" xfId="0" applyNumberFormat="1" applyFont="1"/>
    <xf numFmtId="175" fontId="46" fillId="0" borderId="0" xfId="98" applyNumberFormat="1" applyFont="1" applyFill="1"/>
    <xf numFmtId="0" fontId="17" fillId="0" borderId="0" xfId="0" applyFont="1" applyAlignment="1">
      <alignment horizontal="center" vertical="center"/>
    </xf>
    <xf numFmtId="10" fontId="93" fillId="0" borderId="0" xfId="337" applyNumberFormat="1" applyFont="1" applyFill="1"/>
    <xf numFmtId="0" fontId="46" fillId="69" borderId="0" xfId="0" applyFont="1" applyFill="1"/>
    <xf numFmtId="0" fontId="96" fillId="62" borderId="0" xfId="0" applyFont="1" applyFill="1" applyAlignment="1">
      <alignment horizontal="left" vertical="top" wrapText="1"/>
    </xf>
    <xf numFmtId="0" fontId="93" fillId="61" borderId="0" xfId="0" applyFont="1" applyFill="1" applyAlignment="1">
      <alignment horizontal="left" vertical="top" wrapText="1"/>
    </xf>
    <xf numFmtId="0" fontId="93" fillId="0" borderId="0" xfId="0" applyFont="1" applyAlignment="1">
      <alignment horizontal="left" vertical="top" wrapText="1"/>
    </xf>
    <xf numFmtId="0" fontId="17" fillId="0" borderId="13" xfId="0" applyFont="1" applyBorder="1" applyAlignment="1">
      <alignment horizontal="left" wrapText="1"/>
    </xf>
    <xf numFmtId="0" fontId="17" fillId="63" borderId="0" xfId="0" applyFont="1" applyFill="1" applyAlignment="1">
      <alignment horizontal="left" vertical="center" wrapText="1"/>
    </xf>
    <xf numFmtId="0" fontId="17" fillId="63" borderId="0" xfId="0" applyFont="1" applyFill="1" applyAlignment="1">
      <alignment horizontal="left" wrapText="1"/>
    </xf>
    <xf numFmtId="0" fontId="93" fillId="71" borderId="0" xfId="0" applyFont="1" applyFill="1" applyAlignment="1">
      <alignment horizontal="left" wrapText="1"/>
    </xf>
    <xf numFmtId="0" fontId="17" fillId="63" borderId="0" xfId="0" applyFont="1" applyFill="1" applyAlignment="1">
      <alignment horizontal="left" vertical="center"/>
    </xf>
    <xf numFmtId="0" fontId="17" fillId="0" borderId="0" xfId="0" applyFont="1" applyAlignment="1">
      <alignment horizontal="left" wrapText="1"/>
    </xf>
    <xf numFmtId="0" fontId="17" fillId="62" borderId="13" xfId="0" applyFont="1" applyFill="1" applyBorder="1" applyAlignment="1">
      <alignment horizontal="left" wrapText="1"/>
    </xf>
    <xf numFmtId="0" fontId="99" fillId="0" borderId="0" xfId="0" applyFont="1" applyAlignment="1">
      <alignment horizontal="left" wrapText="1"/>
    </xf>
    <xf numFmtId="0" fontId="17" fillId="62" borderId="18" xfId="0" applyFont="1" applyFill="1" applyBorder="1" applyAlignment="1">
      <alignment horizontal="left" wrapText="1"/>
    </xf>
    <xf numFmtId="43" fontId="96" fillId="62" borderId="0" xfId="0" applyNumberFormat="1" applyFont="1" applyFill="1" applyAlignment="1">
      <alignment horizontal="left" wrapText="1"/>
    </xf>
    <xf numFmtId="0" fontId="24" fillId="0" borderId="63" xfId="0" applyFont="1" applyBorder="1" applyAlignment="1">
      <alignment horizontal="right" wrapText="1"/>
    </xf>
    <xf numFmtId="0" fontId="121" fillId="0" borderId="64" xfId="0" applyFont="1" applyBorder="1" applyAlignment="1">
      <alignment horizontal="right" wrapText="1"/>
    </xf>
    <xf numFmtId="0" fontId="132" fillId="0" borderId="0" xfId="0" applyFont="1" applyAlignment="1">
      <alignment horizontal="center" wrapText="1"/>
    </xf>
    <xf numFmtId="0" fontId="133" fillId="0" borderId="0" xfId="0" applyFont="1" applyAlignment="1">
      <alignment horizontal="center" wrapText="1"/>
    </xf>
    <xf numFmtId="0" fontId="121" fillId="0" borderId="57" xfId="0" applyFont="1" applyBorder="1" applyAlignment="1">
      <alignment horizontal="center" wrapText="1"/>
    </xf>
    <xf numFmtId="0" fontId="24" fillId="61" borderId="54" xfId="0" applyFont="1" applyFill="1" applyBorder="1" applyAlignment="1">
      <alignment horizontal="left" vertical="top" wrapText="1"/>
    </xf>
    <xf numFmtId="0" fontId="24" fillId="61" borderId="43" xfId="0" applyFont="1" applyFill="1" applyBorder="1" applyAlignment="1">
      <alignment horizontal="left" vertical="top" wrapText="1"/>
    </xf>
    <xf numFmtId="0" fontId="34" fillId="0" borderId="58" xfId="0" applyFont="1" applyBorder="1" applyAlignment="1">
      <alignment vertical="top" wrapText="1"/>
    </xf>
    <xf numFmtId="0" fontId="34" fillId="0" borderId="52" xfId="0" applyFont="1" applyBorder="1" applyAlignment="1">
      <alignment horizontal="left" vertical="top" wrapText="1"/>
    </xf>
    <xf numFmtId="0" fontId="24" fillId="61" borderId="42" xfId="0" applyFont="1" applyFill="1" applyBorder="1" applyAlignment="1">
      <alignment horizontal="left" vertical="top" wrapText="1"/>
    </xf>
    <xf numFmtId="0" fontId="34" fillId="0" borderId="59" xfId="0" applyFont="1" applyBorder="1" applyAlignment="1">
      <alignment vertical="top" wrapText="1"/>
    </xf>
    <xf numFmtId="0" fontId="34" fillId="61" borderId="43" xfId="0" applyFont="1" applyFill="1" applyBorder="1" applyAlignment="1">
      <alignment vertical="top" wrapText="1"/>
    </xf>
    <xf numFmtId="0" fontId="122" fillId="61" borderId="60" xfId="0" applyFont="1" applyFill="1" applyBorder="1" applyAlignment="1">
      <alignment horizontal="left" vertical="top" wrapText="1"/>
    </xf>
    <xf numFmtId="0" fontId="34" fillId="61" borderId="61" xfId="0" applyFont="1" applyFill="1" applyBorder="1" applyAlignment="1">
      <alignment wrapText="1"/>
    </xf>
    <xf numFmtId="0" fontId="34" fillId="0" borderId="62" xfId="0" applyFont="1" applyBorder="1" applyAlignment="1">
      <alignment wrapText="1"/>
    </xf>
    <xf numFmtId="171" fontId="119" fillId="0" borderId="38" xfId="0" applyNumberFormat="1" applyFont="1" applyBorder="1" applyAlignment="1">
      <alignment horizontal="left" vertical="top" wrapText="1"/>
    </xf>
    <xf numFmtId="0" fontId="141" fillId="71" borderId="3" xfId="0" applyFont="1" applyFill="1" applyBorder="1" applyAlignment="1">
      <alignment horizontal="center" vertical="center" wrapText="1"/>
    </xf>
    <xf numFmtId="0" fontId="100" fillId="71" borderId="3" xfId="0" applyFont="1" applyFill="1" applyBorder="1" applyAlignment="1">
      <alignment horizontal="center" vertical="center" wrapText="1"/>
    </xf>
    <xf numFmtId="0" fontId="100" fillId="0" borderId="26" xfId="0" applyFont="1" applyBorder="1" applyAlignment="1">
      <alignment horizontal="center" wrapText="1"/>
    </xf>
    <xf numFmtId="0" fontId="143" fillId="71" borderId="20" xfId="0" applyFont="1" applyFill="1" applyBorder="1" applyAlignment="1">
      <alignment horizontal="center" vertical="center" wrapText="1"/>
    </xf>
    <xf numFmtId="0" fontId="100" fillId="71" borderId="20" xfId="0" applyFont="1" applyFill="1" applyBorder="1" applyAlignment="1">
      <alignment horizontal="center" vertical="center" wrapText="1"/>
    </xf>
    <xf numFmtId="0" fontId="135" fillId="79" borderId="72" xfId="542" applyFont="1" applyFill="1" applyBorder="1" applyAlignment="1">
      <alignment horizontal="center" vertical="center"/>
    </xf>
    <xf numFmtId="176" fontId="104" fillId="65" borderId="67" xfId="524" applyNumberFormat="1" applyFont="1" applyFill="1" applyBorder="1" applyAlignment="1">
      <alignment horizontal="center" vertical="center" wrapText="1"/>
    </xf>
    <xf numFmtId="176" fontId="104" fillId="65" borderId="68" xfId="524" applyNumberFormat="1" applyFont="1" applyFill="1" applyBorder="1" applyAlignment="1">
      <alignment horizontal="center" vertical="center" wrapText="1"/>
    </xf>
    <xf numFmtId="176" fontId="104" fillId="65" borderId="69" xfId="524" applyNumberFormat="1" applyFont="1" applyFill="1" applyBorder="1" applyAlignment="1">
      <alignment horizontal="center" vertical="center" wrapText="1"/>
    </xf>
    <xf numFmtId="44" fontId="105" fillId="65" borderId="66" xfId="522" applyFont="1" applyFill="1" applyBorder="1" applyAlignment="1">
      <alignment horizontal="center" vertical="center" wrapText="1"/>
    </xf>
    <xf numFmtId="44" fontId="105" fillId="65" borderId="11" xfId="522" applyFont="1" applyFill="1" applyBorder="1" applyAlignment="1">
      <alignment horizontal="center" vertical="center" wrapText="1"/>
    </xf>
    <xf numFmtId="176" fontId="124" fillId="65" borderId="65" xfId="524" applyNumberFormat="1" applyFont="1" applyFill="1" applyBorder="1" applyAlignment="1">
      <alignment horizontal="left"/>
    </xf>
    <xf numFmtId="176" fontId="124" fillId="65" borderId="70" xfId="524" applyNumberFormat="1" applyFont="1" applyFill="1" applyBorder="1" applyAlignment="1">
      <alignment horizontal="left"/>
    </xf>
    <xf numFmtId="176" fontId="104" fillId="65" borderId="66" xfId="524" applyNumberFormat="1" applyFont="1" applyFill="1" applyBorder="1" applyAlignment="1">
      <alignment horizontal="center" wrapText="1"/>
    </xf>
    <xf numFmtId="176" fontId="104" fillId="65" borderId="11" xfId="524" applyNumberFormat="1" applyFont="1" applyFill="1" applyBorder="1" applyAlignment="1">
      <alignment horizontal="center" wrapText="1"/>
    </xf>
    <xf numFmtId="176" fontId="104" fillId="65" borderId="66" xfId="524" applyNumberFormat="1" applyFont="1" applyFill="1" applyBorder="1" applyAlignment="1">
      <alignment horizontal="center" vertical="center" wrapText="1"/>
    </xf>
    <xf numFmtId="176" fontId="104" fillId="65" borderId="11" xfId="524" applyNumberFormat="1" applyFont="1" applyFill="1" applyBorder="1" applyAlignment="1">
      <alignment horizontal="center" vertical="center" wrapText="1"/>
    </xf>
    <xf numFmtId="174" fontId="105" fillId="65" borderId="66" xfId="522" applyNumberFormat="1" applyFont="1" applyFill="1" applyBorder="1" applyAlignment="1">
      <alignment horizontal="center" vertical="center" wrapText="1"/>
    </xf>
    <xf numFmtId="174" fontId="105" fillId="65" borderId="11" xfId="522" applyNumberFormat="1" applyFont="1" applyFill="1" applyBorder="1" applyAlignment="1">
      <alignment horizontal="center" vertical="center" wrapText="1"/>
    </xf>
    <xf numFmtId="176" fontId="104" fillId="65" borderId="65" xfId="524" applyNumberFormat="1" applyFont="1" applyFill="1" applyBorder="1" applyAlignment="1">
      <alignment horizontal="left"/>
    </xf>
    <xf numFmtId="176" fontId="104" fillId="65" borderId="70" xfId="524" applyNumberFormat="1" applyFont="1" applyFill="1" applyBorder="1" applyAlignment="1">
      <alignment horizontal="left"/>
    </xf>
    <xf numFmtId="176" fontId="104" fillId="65" borderId="66" xfId="525" applyNumberFormat="1" applyFont="1" applyFill="1" applyBorder="1" applyAlignment="1">
      <alignment horizontal="center" vertical="center" wrapText="1"/>
    </xf>
    <xf numFmtId="176" fontId="104" fillId="65" borderId="11" xfId="525" applyNumberFormat="1" applyFont="1" applyFill="1" applyBorder="1" applyAlignment="1">
      <alignment horizontal="center" vertical="center" wrapText="1"/>
    </xf>
    <xf numFmtId="176" fontId="104" fillId="65" borderId="22" xfId="525" applyNumberFormat="1" applyFont="1" applyFill="1" applyBorder="1" applyAlignment="1">
      <alignment horizontal="center" vertical="center" wrapText="1"/>
    </xf>
    <xf numFmtId="176" fontId="139" fillId="75" borderId="0" xfId="521" applyNumberFormat="1" applyFont="1" applyFill="1" applyAlignment="1">
      <alignment horizontal="center"/>
    </xf>
    <xf numFmtId="44" fontId="105" fillId="65" borderId="66" xfId="528" applyFont="1" applyFill="1" applyBorder="1" applyAlignment="1">
      <alignment horizontal="center" vertical="center" wrapText="1"/>
    </xf>
    <xf numFmtId="44" fontId="105" fillId="65" borderId="11" xfId="528" applyFont="1" applyFill="1" applyBorder="1" applyAlignment="1">
      <alignment horizontal="center" vertical="center" wrapText="1"/>
    </xf>
    <xf numFmtId="0" fontId="93" fillId="71" borderId="3" xfId="0" applyFont="1" applyFill="1" applyBorder="1" applyAlignment="1">
      <alignment horizontal="center" vertical="center" wrapText="1"/>
    </xf>
  </cellXfs>
  <cellStyles count="5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4 3" xfId="5" xr:uid="{00000000-0005-0000-0000-000004000000}"/>
    <cellStyle name="20% - Accent5 2" xfId="6" xr:uid="{00000000-0005-0000-0000-000005000000}"/>
    <cellStyle name="20% - Accent6 2" xfId="7" xr:uid="{00000000-0005-0000-0000-000006000000}"/>
    <cellStyle name="20% - アクセント 1" xfId="8" xr:uid="{00000000-0005-0000-0000-000007000000}"/>
    <cellStyle name="20% - アクセント 2" xfId="9" xr:uid="{00000000-0005-0000-0000-000008000000}"/>
    <cellStyle name="20% - アクセント 3" xfId="10" xr:uid="{00000000-0005-0000-0000-000009000000}"/>
    <cellStyle name="20% - アクセント 4" xfId="11" xr:uid="{00000000-0005-0000-0000-00000A000000}"/>
    <cellStyle name="20% - アクセント 5" xfId="12" xr:uid="{00000000-0005-0000-0000-00000B000000}"/>
    <cellStyle name="20% - アクセント 6" xfId="13" xr:uid="{00000000-0005-0000-0000-00000C000000}"/>
    <cellStyle name="40% - Accent1 2" xfId="14" xr:uid="{00000000-0005-0000-0000-00000D000000}"/>
    <cellStyle name="40% - Accent2 2" xfId="15" xr:uid="{00000000-0005-0000-0000-00000E000000}"/>
    <cellStyle name="40% - Accent3 2" xfId="16" xr:uid="{00000000-0005-0000-0000-00000F000000}"/>
    <cellStyle name="40% - Accent4 2" xfId="17" xr:uid="{00000000-0005-0000-0000-000010000000}"/>
    <cellStyle name="40% - Accent5 2" xfId="18" xr:uid="{00000000-0005-0000-0000-000011000000}"/>
    <cellStyle name="40% - Accent6 2" xfId="19" xr:uid="{00000000-0005-0000-0000-000012000000}"/>
    <cellStyle name="40% - アクセント 1" xfId="20" xr:uid="{00000000-0005-0000-0000-000013000000}"/>
    <cellStyle name="40% - アクセント 2" xfId="21" xr:uid="{00000000-0005-0000-0000-000014000000}"/>
    <cellStyle name="40% - アクセント 3" xfId="22" xr:uid="{00000000-0005-0000-0000-000015000000}"/>
    <cellStyle name="40% - アクセント 4" xfId="23" xr:uid="{00000000-0005-0000-0000-000016000000}"/>
    <cellStyle name="40% - アクセント 5" xfId="24" xr:uid="{00000000-0005-0000-0000-000017000000}"/>
    <cellStyle name="40% - アクセント 6" xfId="25" xr:uid="{00000000-0005-0000-0000-000018000000}"/>
    <cellStyle name="60% - Accent1 2" xfId="26" xr:uid="{00000000-0005-0000-0000-000019000000}"/>
    <cellStyle name="60% - Accent2 2" xfId="27" xr:uid="{00000000-0005-0000-0000-00001A000000}"/>
    <cellStyle name="60% - Accent3 2" xfId="28" xr:uid="{00000000-0005-0000-0000-00001B000000}"/>
    <cellStyle name="60% - Accent4 2" xfId="29" xr:uid="{00000000-0005-0000-0000-00001C000000}"/>
    <cellStyle name="60% - Accent5 2" xfId="30" xr:uid="{00000000-0005-0000-0000-00001D000000}"/>
    <cellStyle name="60% - Accent6 2" xfId="31" xr:uid="{00000000-0005-0000-0000-00001E000000}"/>
    <cellStyle name="60% - アクセント 1" xfId="32" xr:uid="{00000000-0005-0000-0000-00001F000000}"/>
    <cellStyle name="60% - アクセント 2" xfId="33" xr:uid="{00000000-0005-0000-0000-000020000000}"/>
    <cellStyle name="60% - アクセント 3" xfId="34" xr:uid="{00000000-0005-0000-0000-000021000000}"/>
    <cellStyle name="60% - アクセント 4" xfId="35" xr:uid="{00000000-0005-0000-0000-000022000000}"/>
    <cellStyle name="60% - アクセント 5" xfId="36" xr:uid="{00000000-0005-0000-0000-000023000000}"/>
    <cellStyle name="60% - アクセント 6" xfId="37" xr:uid="{00000000-0005-0000-0000-000024000000}"/>
    <cellStyle name="Accent1 2" xfId="38" xr:uid="{00000000-0005-0000-0000-000025000000}"/>
    <cellStyle name="Accent2 2" xfId="39" xr:uid="{00000000-0005-0000-0000-000026000000}"/>
    <cellStyle name="Accent2 3" xfId="40" xr:uid="{00000000-0005-0000-0000-000027000000}"/>
    <cellStyle name="Accent3 2" xfId="41" xr:uid="{00000000-0005-0000-0000-000028000000}"/>
    <cellStyle name="Accent4 2" xfId="42" xr:uid="{00000000-0005-0000-0000-000029000000}"/>
    <cellStyle name="Accent5 2" xfId="43" xr:uid="{00000000-0005-0000-0000-00002A000000}"/>
    <cellStyle name="Accent6 2" xfId="44" xr:uid="{00000000-0005-0000-0000-00002B000000}"/>
    <cellStyle name="arial12" xfId="45" xr:uid="{00000000-0005-0000-0000-00002C000000}"/>
    <cellStyle name="arial14" xfId="46" xr:uid="{00000000-0005-0000-0000-00002D000000}"/>
    <cellStyle name="B&amp;P" xfId="47" xr:uid="{00000000-0005-0000-0000-00002E000000}"/>
    <cellStyle name="Bad 2" xfId="48" xr:uid="{00000000-0005-0000-0000-00002F000000}"/>
    <cellStyle name="Calculation 2" xfId="49" xr:uid="{00000000-0005-0000-0000-000030000000}"/>
    <cellStyle name="Check Cell 2" xfId="50" xr:uid="{00000000-0005-0000-0000-000031000000}"/>
    <cellStyle name="Check Cell 3" xfId="51" xr:uid="{00000000-0005-0000-0000-000032000000}"/>
    <cellStyle name="Comma" xfId="52" builtinId="3"/>
    <cellStyle name="Comma 10" xfId="532" xr:uid="{70854943-C9CE-471A-8705-02AE73B0E3AA}"/>
    <cellStyle name="Comma 2" xfId="53" xr:uid="{00000000-0005-0000-0000-000034000000}"/>
    <cellStyle name="Comma 2 2" xfId="54" xr:uid="{00000000-0005-0000-0000-000035000000}"/>
    <cellStyle name="Comma 2 2 2" xfId="55" xr:uid="{00000000-0005-0000-0000-000036000000}"/>
    <cellStyle name="Comma 2 2 2 2" xfId="56" xr:uid="{00000000-0005-0000-0000-000037000000}"/>
    <cellStyle name="Comma 2 2 3" xfId="57" xr:uid="{00000000-0005-0000-0000-000038000000}"/>
    <cellStyle name="Comma 2 2 4" xfId="58" xr:uid="{00000000-0005-0000-0000-000039000000}"/>
    <cellStyle name="Comma 2 3" xfId="59" xr:uid="{00000000-0005-0000-0000-00003A000000}"/>
    <cellStyle name="Comma 2 3 2" xfId="60" xr:uid="{00000000-0005-0000-0000-00003B000000}"/>
    <cellStyle name="Comma 2 4" xfId="61" xr:uid="{00000000-0005-0000-0000-00003C000000}"/>
    <cellStyle name="Comma 2 5" xfId="516" xr:uid="{66BAD9F9-31B2-4317-B24D-5D5A31C0F80D}"/>
    <cellStyle name="Comma 2_CHF Armenia SSIP Budget 08 22 2009 Final Internal" xfId="62" xr:uid="{00000000-0005-0000-0000-00003D000000}"/>
    <cellStyle name="Comma 3" xfId="63" xr:uid="{00000000-0005-0000-0000-00003E000000}"/>
    <cellStyle name="Comma 3 2" xfId="64" xr:uid="{00000000-0005-0000-0000-00003F000000}"/>
    <cellStyle name="Comma 3 3" xfId="65" xr:uid="{00000000-0005-0000-0000-000040000000}"/>
    <cellStyle name="Comma 3 4" xfId="66" xr:uid="{00000000-0005-0000-0000-000041000000}"/>
    <cellStyle name="Comma 4" xfId="67" xr:uid="{00000000-0005-0000-0000-000042000000}"/>
    <cellStyle name="Comma 4 2" xfId="68" xr:uid="{00000000-0005-0000-0000-000043000000}"/>
    <cellStyle name="Comma 4 3" xfId="69" xr:uid="{00000000-0005-0000-0000-000044000000}"/>
    <cellStyle name="Comma 4 4" xfId="70" xr:uid="{00000000-0005-0000-0000-000045000000}"/>
    <cellStyle name="Comma 5" xfId="71" xr:uid="{00000000-0005-0000-0000-000046000000}"/>
    <cellStyle name="Comma 5 2" xfId="72" xr:uid="{00000000-0005-0000-0000-000047000000}"/>
    <cellStyle name="Comma 5 2 2" xfId="73" xr:uid="{00000000-0005-0000-0000-000048000000}"/>
    <cellStyle name="Comma 5 3" xfId="74" xr:uid="{00000000-0005-0000-0000-000049000000}"/>
    <cellStyle name="Comma 6" xfId="75" xr:uid="{00000000-0005-0000-0000-00004A000000}"/>
    <cellStyle name="Comma 6 2" xfId="76" xr:uid="{00000000-0005-0000-0000-00004B000000}"/>
    <cellStyle name="Comma 6 2 2" xfId="77" xr:uid="{00000000-0005-0000-0000-00004C000000}"/>
    <cellStyle name="Comma 6 3" xfId="78" xr:uid="{00000000-0005-0000-0000-00004D000000}"/>
    <cellStyle name="Comma 6 4" xfId="79" xr:uid="{00000000-0005-0000-0000-00004E000000}"/>
    <cellStyle name="Comma 7" xfId="80" xr:uid="{00000000-0005-0000-0000-00004F000000}"/>
    <cellStyle name="Comma 7 2" xfId="81" xr:uid="{00000000-0005-0000-0000-000050000000}"/>
    <cellStyle name="Comma 8" xfId="82" xr:uid="{00000000-0005-0000-0000-000051000000}"/>
    <cellStyle name="Comma 8 2" xfId="83" xr:uid="{00000000-0005-0000-0000-000052000000}"/>
    <cellStyle name="Comma 9" xfId="84" xr:uid="{00000000-0005-0000-0000-000053000000}"/>
    <cellStyle name="Comma0" xfId="85" xr:uid="{00000000-0005-0000-0000-000054000000}"/>
    <cellStyle name="Comma0 - Style2" xfId="86" xr:uid="{00000000-0005-0000-0000-000055000000}"/>
    <cellStyle name="Comma0 - Style3" xfId="87" xr:uid="{00000000-0005-0000-0000-000056000000}"/>
    <cellStyle name="Comma0 2" xfId="88" xr:uid="{00000000-0005-0000-0000-000057000000}"/>
    <cellStyle name="Comma0 3" xfId="89" xr:uid="{00000000-0005-0000-0000-000058000000}"/>
    <cellStyle name="Comma0 4" xfId="90" xr:uid="{00000000-0005-0000-0000-000059000000}"/>
    <cellStyle name="Comma0_Copy of S3R-0167pricing v3 Option B _ GMH" xfId="91" xr:uid="{00000000-0005-0000-0000-00005A000000}"/>
    <cellStyle name="Comma1 - Style1" xfId="92" xr:uid="{00000000-0005-0000-0000-00005B000000}"/>
    <cellStyle name="Curren - Style1" xfId="93" xr:uid="{00000000-0005-0000-0000-00005C000000}"/>
    <cellStyle name="Curren - Style2" xfId="94" xr:uid="{00000000-0005-0000-0000-00005D000000}"/>
    <cellStyle name="Curren - Style3" xfId="95" xr:uid="{00000000-0005-0000-0000-00005E000000}"/>
    <cellStyle name="Curren - Style4" xfId="96" xr:uid="{00000000-0005-0000-0000-00005F000000}"/>
    <cellStyle name="Curren - Style5" xfId="97" xr:uid="{00000000-0005-0000-0000-000060000000}"/>
    <cellStyle name="Currency" xfId="98" builtinId="4"/>
    <cellStyle name="Currency 10" xfId="99" xr:uid="{00000000-0005-0000-0000-000062000000}"/>
    <cellStyle name="Currency 11" xfId="522" xr:uid="{7F3E61D0-D818-4CF7-82EE-724BBD2C8466}"/>
    <cellStyle name="Currency 11 2" xfId="528" xr:uid="{1C9A2287-BB2F-48CF-96DF-FA5F0050B901}"/>
    <cellStyle name="Currency 12" xfId="531" xr:uid="{07377C11-81A3-4E8A-9FF5-8AA23EEAA217}"/>
    <cellStyle name="Currency 2" xfId="100" xr:uid="{00000000-0005-0000-0000-000063000000}"/>
    <cellStyle name="Currency 2 2" xfId="101" xr:uid="{00000000-0005-0000-0000-000064000000}"/>
    <cellStyle name="Currency 2 2 2" xfId="102" xr:uid="{00000000-0005-0000-0000-000065000000}"/>
    <cellStyle name="Currency 2 3" xfId="103" xr:uid="{00000000-0005-0000-0000-000066000000}"/>
    <cellStyle name="Currency 2 4" xfId="525" xr:uid="{6C32C04A-8938-4B05-8897-490CAB41CAA0}"/>
    <cellStyle name="Currency 22" xfId="104" xr:uid="{00000000-0005-0000-0000-000067000000}"/>
    <cellStyle name="Currency 3" xfId="105" xr:uid="{00000000-0005-0000-0000-000068000000}"/>
    <cellStyle name="Currency 3 2" xfId="106" xr:uid="{00000000-0005-0000-0000-000069000000}"/>
    <cellStyle name="Currency 4" xfId="107" xr:uid="{00000000-0005-0000-0000-00006A000000}"/>
    <cellStyle name="Currency 4 2" xfId="108" xr:uid="{00000000-0005-0000-0000-00006B000000}"/>
    <cellStyle name="Currency 4 2 2" xfId="109" xr:uid="{00000000-0005-0000-0000-00006C000000}"/>
    <cellStyle name="Currency 4 3" xfId="110" xr:uid="{00000000-0005-0000-0000-00006D000000}"/>
    <cellStyle name="Currency 5" xfId="111" xr:uid="{00000000-0005-0000-0000-00006E000000}"/>
    <cellStyle name="Currency 5 2" xfId="112" xr:uid="{00000000-0005-0000-0000-00006F000000}"/>
    <cellStyle name="Currency 5 3" xfId="113" xr:uid="{00000000-0005-0000-0000-000070000000}"/>
    <cellStyle name="Currency 5 4" xfId="114" xr:uid="{00000000-0005-0000-0000-000071000000}"/>
    <cellStyle name="Currency 6" xfId="115" xr:uid="{00000000-0005-0000-0000-000072000000}"/>
    <cellStyle name="Currency 6 2" xfId="116" xr:uid="{00000000-0005-0000-0000-000073000000}"/>
    <cellStyle name="Currency 7" xfId="117" xr:uid="{00000000-0005-0000-0000-000074000000}"/>
    <cellStyle name="Currency 8" xfId="118" xr:uid="{00000000-0005-0000-0000-000075000000}"/>
    <cellStyle name="Currency 9" xfId="119" xr:uid="{00000000-0005-0000-0000-000076000000}"/>
    <cellStyle name="Currency0" xfId="120" xr:uid="{00000000-0005-0000-0000-000077000000}"/>
    <cellStyle name="Date" xfId="121" xr:uid="{00000000-0005-0000-0000-000078000000}"/>
    <cellStyle name="Date 2" xfId="122" xr:uid="{00000000-0005-0000-0000-000079000000}"/>
    <cellStyle name="DateTime" xfId="123" xr:uid="{00000000-0005-0000-0000-00007A000000}"/>
    <cellStyle name="Desc" xfId="124" xr:uid="{00000000-0005-0000-0000-00007B000000}"/>
    <cellStyle name="dollar" xfId="125" xr:uid="{00000000-0005-0000-0000-00007C000000}"/>
    <cellStyle name="Euro" xfId="126" xr:uid="{00000000-0005-0000-0000-00007D000000}"/>
    <cellStyle name="Explanatory Text 2" xfId="127" xr:uid="{00000000-0005-0000-0000-00007E000000}"/>
    <cellStyle name="F2" xfId="128" xr:uid="{00000000-0005-0000-0000-00007F000000}"/>
    <cellStyle name="F3" xfId="129" xr:uid="{00000000-0005-0000-0000-000080000000}"/>
    <cellStyle name="F4" xfId="130" xr:uid="{00000000-0005-0000-0000-000081000000}"/>
    <cellStyle name="F5" xfId="131" xr:uid="{00000000-0005-0000-0000-000082000000}"/>
    <cellStyle name="F6" xfId="132" xr:uid="{00000000-0005-0000-0000-000083000000}"/>
    <cellStyle name="F7" xfId="133" xr:uid="{00000000-0005-0000-0000-000084000000}"/>
    <cellStyle name="F8" xfId="134" xr:uid="{00000000-0005-0000-0000-000085000000}"/>
    <cellStyle name="Fixed" xfId="135" xr:uid="{00000000-0005-0000-0000-000086000000}"/>
    <cellStyle name="Fixed 2" xfId="136" xr:uid="{00000000-0005-0000-0000-000087000000}"/>
    <cellStyle name="FRxAmtStyle" xfId="137" xr:uid="{00000000-0005-0000-0000-000088000000}"/>
    <cellStyle name="FRxCurrStyle" xfId="138" xr:uid="{00000000-0005-0000-0000-000089000000}"/>
    <cellStyle name="FRxPcntStyle" xfId="139" xr:uid="{00000000-0005-0000-0000-00008A000000}"/>
    <cellStyle name="Good 2" xfId="140" xr:uid="{00000000-0005-0000-0000-00008B000000}"/>
    <cellStyle name="Good 3" xfId="141" xr:uid="{00000000-0005-0000-0000-00008C000000}"/>
    <cellStyle name="Good 4" xfId="142" xr:uid="{00000000-0005-0000-0000-00008D000000}"/>
    <cellStyle name="Green cell" xfId="143" xr:uid="{00000000-0005-0000-0000-00008E000000}"/>
    <cellStyle name="Green cell 2" xfId="144" xr:uid="{00000000-0005-0000-0000-00008F000000}"/>
    <cellStyle name="Green cell 2 2" xfId="145" xr:uid="{00000000-0005-0000-0000-000090000000}"/>
    <cellStyle name="Green cell 2 2 2" xfId="146" xr:uid="{00000000-0005-0000-0000-000091000000}"/>
    <cellStyle name="Green cell 2 3" xfId="147" xr:uid="{00000000-0005-0000-0000-000092000000}"/>
    <cellStyle name="Green cell 3" xfId="148" xr:uid="{00000000-0005-0000-0000-000093000000}"/>
    <cellStyle name="Green cell 3 2" xfId="149" xr:uid="{00000000-0005-0000-0000-000094000000}"/>
    <cellStyle name="Green cell 3 2 2" xfId="150" xr:uid="{00000000-0005-0000-0000-000095000000}"/>
    <cellStyle name="Green cell 3 3" xfId="151" xr:uid="{00000000-0005-0000-0000-000096000000}"/>
    <cellStyle name="Green cell 4" xfId="152" xr:uid="{00000000-0005-0000-0000-000097000000}"/>
    <cellStyle name="Green cell 4 2" xfId="153" xr:uid="{00000000-0005-0000-0000-000098000000}"/>
    <cellStyle name="Green cell 4 2 2" xfId="154" xr:uid="{00000000-0005-0000-0000-000099000000}"/>
    <cellStyle name="Green cell 4 3" xfId="155" xr:uid="{00000000-0005-0000-0000-00009A000000}"/>
    <cellStyle name="Green cell 5" xfId="156" xr:uid="{00000000-0005-0000-0000-00009B000000}"/>
    <cellStyle name="Green cell 5 2" xfId="157" xr:uid="{00000000-0005-0000-0000-00009C000000}"/>
    <cellStyle name="Grey" xfId="158" xr:uid="{00000000-0005-0000-0000-00009D000000}"/>
    <cellStyle name="Header" xfId="159" xr:uid="{00000000-0005-0000-0000-00009E000000}"/>
    <cellStyle name="Header1" xfId="160" xr:uid="{00000000-0005-0000-0000-00009F000000}"/>
    <cellStyle name="Header2" xfId="161" xr:uid="{00000000-0005-0000-0000-0000A0000000}"/>
    <cellStyle name="Header2 2" xfId="162" xr:uid="{00000000-0005-0000-0000-0000A1000000}"/>
    <cellStyle name="Header2 2 2" xfId="163" xr:uid="{00000000-0005-0000-0000-0000A2000000}"/>
    <cellStyle name="Header2 2 2 2" xfId="164" xr:uid="{00000000-0005-0000-0000-0000A3000000}"/>
    <cellStyle name="Header2 2 3" xfId="165" xr:uid="{00000000-0005-0000-0000-0000A4000000}"/>
    <cellStyle name="Header2 3" xfId="166" xr:uid="{00000000-0005-0000-0000-0000A5000000}"/>
    <cellStyle name="Header2 3 2" xfId="167" xr:uid="{00000000-0005-0000-0000-0000A6000000}"/>
    <cellStyle name="Header2 3 2 2" xfId="168" xr:uid="{00000000-0005-0000-0000-0000A7000000}"/>
    <cellStyle name="Header2 3 3" xfId="169" xr:uid="{00000000-0005-0000-0000-0000A8000000}"/>
    <cellStyle name="Header2 4" xfId="170" xr:uid="{00000000-0005-0000-0000-0000A9000000}"/>
    <cellStyle name="Header2 4 2" xfId="171" xr:uid="{00000000-0005-0000-0000-0000AA000000}"/>
    <cellStyle name="Heading 1 2" xfId="172" xr:uid="{00000000-0005-0000-0000-0000AB000000}"/>
    <cellStyle name="Heading 2 2" xfId="173" xr:uid="{00000000-0005-0000-0000-0000AC000000}"/>
    <cellStyle name="Heading 3 2" xfId="174" xr:uid="{00000000-0005-0000-0000-0000AD000000}"/>
    <cellStyle name="Heading 4 2" xfId="175" xr:uid="{00000000-0005-0000-0000-0000AE000000}"/>
    <cellStyle name="HEADING1" xfId="176" xr:uid="{00000000-0005-0000-0000-0000AF000000}"/>
    <cellStyle name="HEADING2" xfId="177" xr:uid="{00000000-0005-0000-0000-0000B0000000}"/>
    <cellStyle name="Hyperlink 2" xfId="178" xr:uid="{00000000-0005-0000-0000-0000B1000000}"/>
    <cellStyle name="Hyperlink 2 2" xfId="179" xr:uid="{00000000-0005-0000-0000-0000B2000000}"/>
    <cellStyle name="Hyperlink 2 3" xfId="180" xr:uid="{00000000-0005-0000-0000-0000B3000000}"/>
    <cellStyle name="Hyperlink 3" xfId="181" xr:uid="{00000000-0005-0000-0000-0000B4000000}"/>
    <cellStyle name="Hyperlink 3 2" xfId="182" xr:uid="{00000000-0005-0000-0000-0000B5000000}"/>
    <cellStyle name="Hyperlink 3 3" xfId="183" xr:uid="{00000000-0005-0000-0000-0000B6000000}"/>
    <cellStyle name="Hyperlink 3 4" xfId="184" xr:uid="{00000000-0005-0000-0000-0000B7000000}"/>
    <cellStyle name="Hyperlink 3 5" xfId="185" xr:uid="{00000000-0005-0000-0000-0000B8000000}"/>
    <cellStyle name="Hyperlink 4" xfId="186" xr:uid="{00000000-0005-0000-0000-0000B9000000}"/>
    <cellStyle name="Hyperlink 5" xfId="187" xr:uid="{00000000-0005-0000-0000-0000BA000000}"/>
    <cellStyle name="Input [yellow]" xfId="188" xr:uid="{00000000-0005-0000-0000-0000BB000000}"/>
    <cellStyle name="Input [yellow] 2" xfId="189" xr:uid="{00000000-0005-0000-0000-0000BC000000}"/>
    <cellStyle name="Input [yellow] 2 2" xfId="190" xr:uid="{00000000-0005-0000-0000-0000BD000000}"/>
    <cellStyle name="Input [yellow] 2 2 2" xfId="191" xr:uid="{00000000-0005-0000-0000-0000BE000000}"/>
    <cellStyle name="Input [yellow] 2 3" xfId="192" xr:uid="{00000000-0005-0000-0000-0000BF000000}"/>
    <cellStyle name="Input [yellow] 3" xfId="193" xr:uid="{00000000-0005-0000-0000-0000C0000000}"/>
    <cellStyle name="Input [yellow] 3 2" xfId="194" xr:uid="{00000000-0005-0000-0000-0000C1000000}"/>
    <cellStyle name="Input [yellow] 3 2 2" xfId="195" xr:uid="{00000000-0005-0000-0000-0000C2000000}"/>
    <cellStyle name="Input [yellow] 3 3" xfId="196" xr:uid="{00000000-0005-0000-0000-0000C3000000}"/>
    <cellStyle name="Input [yellow] 4" xfId="197" xr:uid="{00000000-0005-0000-0000-0000C4000000}"/>
    <cellStyle name="Input [yellow] 4 2" xfId="198" xr:uid="{00000000-0005-0000-0000-0000C5000000}"/>
    <cellStyle name="Input [yellow] 4 2 2" xfId="199" xr:uid="{00000000-0005-0000-0000-0000C6000000}"/>
    <cellStyle name="Input [yellow] 4 3" xfId="200" xr:uid="{00000000-0005-0000-0000-0000C7000000}"/>
    <cellStyle name="Input [yellow] 5" xfId="201" xr:uid="{00000000-0005-0000-0000-0000C8000000}"/>
    <cellStyle name="Input [yellow] 5 2" xfId="202" xr:uid="{00000000-0005-0000-0000-0000C9000000}"/>
    <cellStyle name="Input 2" xfId="203" xr:uid="{00000000-0005-0000-0000-0000CA000000}"/>
    <cellStyle name="Jim" xfId="204" xr:uid="{00000000-0005-0000-0000-0000CB000000}"/>
    <cellStyle name="Jim 2" xfId="205" xr:uid="{00000000-0005-0000-0000-0000CC000000}"/>
    <cellStyle name="Jim 2 2" xfId="206" xr:uid="{00000000-0005-0000-0000-0000CD000000}"/>
    <cellStyle name="Jim 2 2 2" xfId="207" xr:uid="{00000000-0005-0000-0000-0000CE000000}"/>
    <cellStyle name="Jim 2 3" xfId="208" xr:uid="{00000000-0005-0000-0000-0000CF000000}"/>
    <cellStyle name="Jim 3" xfId="209" xr:uid="{00000000-0005-0000-0000-0000D0000000}"/>
    <cellStyle name="Jim 3 2" xfId="210" xr:uid="{00000000-0005-0000-0000-0000D1000000}"/>
    <cellStyle name="Jim 3 2 2" xfId="211" xr:uid="{00000000-0005-0000-0000-0000D2000000}"/>
    <cellStyle name="Jim 3 3" xfId="212" xr:uid="{00000000-0005-0000-0000-0000D3000000}"/>
    <cellStyle name="Jim 4" xfId="213" xr:uid="{00000000-0005-0000-0000-0000D4000000}"/>
    <cellStyle name="Jim 4 2" xfId="214" xr:uid="{00000000-0005-0000-0000-0000D5000000}"/>
    <cellStyle name="Jim 4 2 2" xfId="215" xr:uid="{00000000-0005-0000-0000-0000D6000000}"/>
    <cellStyle name="Jim 4 3" xfId="216" xr:uid="{00000000-0005-0000-0000-0000D7000000}"/>
    <cellStyle name="Jim 5" xfId="217" xr:uid="{00000000-0005-0000-0000-0000D8000000}"/>
    <cellStyle name="Jim 5 2" xfId="218" xr:uid="{00000000-0005-0000-0000-0000D9000000}"/>
    <cellStyle name="Linked Cell 2" xfId="219" xr:uid="{00000000-0005-0000-0000-0000DA000000}"/>
    <cellStyle name="Linked Cell 3" xfId="220" xr:uid="{00000000-0005-0000-0000-0000DB000000}"/>
    <cellStyle name="Locked" xfId="221" xr:uid="{00000000-0005-0000-0000-0000DC000000}"/>
    <cellStyle name="m/d/y" xfId="222" xr:uid="{00000000-0005-0000-0000-0000DD000000}"/>
    <cellStyle name="mm/dd/yy" xfId="223" xr:uid="{00000000-0005-0000-0000-0000DE000000}"/>
    <cellStyle name="N,NNN (blank 0)" xfId="224" xr:uid="{00000000-0005-0000-0000-0000DF000000}"/>
    <cellStyle name="Neutral 2" xfId="225" xr:uid="{00000000-0005-0000-0000-0000E0000000}"/>
    <cellStyle name="Neutral 3" xfId="226" xr:uid="{00000000-0005-0000-0000-0000E1000000}"/>
    <cellStyle name="Normal" xfId="0" builtinId="0"/>
    <cellStyle name="Normal - Style1" xfId="227" xr:uid="{00000000-0005-0000-0000-0000E3000000}"/>
    <cellStyle name="Normal 10" xfId="228" xr:uid="{00000000-0005-0000-0000-0000E4000000}"/>
    <cellStyle name="Normal 10 2" xfId="229" xr:uid="{00000000-0005-0000-0000-0000E5000000}"/>
    <cellStyle name="Normal 10 2 2" xfId="230" xr:uid="{00000000-0005-0000-0000-0000E6000000}"/>
    <cellStyle name="Normal 10 8" xfId="231" xr:uid="{00000000-0005-0000-0000-0000E7000000}"/>
    <cellStyle name="Normal 11" xfId="232" xr:uid="{00000000-0005-0000-0000-0000E8000000}"/>
    <cellStyle name="Normal 12" xfId="233" xr:uid="{00000000-0005-0000-0000-0000E9000000}"/>
    <cellStyle name="Normal 13" xfId="234" xr:uid="{00000000-0005-0000-0000-0000EA000000}"/>
    <cellStyle name="Normal 14" xfId="235" xr:uid="{00000000-0005-0000-0000-0000EB000000}"/>
    <cellStyle name="Normal 15" xfId="236" xr:uid="{00000000-0005-0000-0000-0000EC000000}"/>
    <cellStyle name="Normal 16" xfId="237" xr:uid="{00000000-0005-0000-0000-0000ED000000}"/>
    <cellStyle name="Normal 17" xfId="238" xr:uid="{00000000-0005-0000-0000-0000EE000000}"/>
    <cellStyle name="Normal 18" xfId="239" xr:uid="{00000000-0005-0000-0000-0000EF000000}"/>
    <cellStyle name="Normal 19" xfId="240" xr:uid="{00000000-0005-0000-0000-0000F0000000}"/>
    <cellStyle name="Normal 2" xfId="241" xr:uid="{00000000-0005-0000-0000-0000F1000000}"/>
    <cellStyle name="Normal 2 10" xfId="242" xr:uid="{00000000-0005-0000-0000-0000F2000000}"/>
    <cellStyle name="Normal 2 11" xfId="243" xr:uid="{00000000-0005-0000-0000-0000F3000000}"/>
    <cellStyle name="Normal 2 12" xfId="244" xr:uid="{00000000-0005-0000-0000-0000F4000000}"/>
    <cellStyle name="Normal 2 13" xfId="245" xr:uid="{00000000-0005-0000-0000-0000F5000000}"/>
    <cellStyle name="Normal 2 14" xfId="246" xr:uid="{00000000-0005-0000-0000-0000F6000000}"/>
    <cellStyle name="Normal 2 15" xfId="247" xr:uid="{00000000-0005-0000-0000-0000F7000000}"/>
    <cellStyle name="Normal 2 16" xfId="248" xr:uid="{00000000-0005-0000-0000-0000F8000000}"/>
    <cellStyle name="Normal 2 17" xfId="249" xr:uid="{00000000-0005-0000-0000-0000F9000000}"/>
    <cellStyle name="Normal 2 18" xfId="250" xr:uid="{00000000-0005-0000-0000-0000FA000000}"/>
    <cellStyle name="Normal 2 19" xfId="251" xr:uid="{00000000-0005-0000-0000-0000FB000000}"/>
    <cellStyle name="Normal 2 2" xfId="252" xr:uid="{00000000-0005-0000-0000-0000FC000000}"/>
    <cellStyle name="Normal 2 2 2" xfId="253" xr:uid="{00000000-0005-0000-0000-0000FD000000}"/>
    <cellStyle name="Normal 2 2 3" xfId="254" xr:uid="{00000000-0005-0000-0000-0000FE000000}"/>
    <cellStyle name="Normal 2 2 4" xfId="255" xr:uid="{00000000-0005-0000-0000-0000FF000000}"/>
    <cellStyle name="Normal 2 20" xfId="256" xr:uid="{00000000-0005-0000-0000-000000010000}"/>
    <cellStyle name="Normal 2 21" xfId="257" xr:uid="{00000000-0005-0000-0000-000001010000}"/>
    <cellStyle name="Normal 2 22" xfId="258" xr:uid="{00000000-0005-0000-0000-000002010000}"/>
    <cellStyle name="Normal 2 23" xfId="521" xr:uid="{3117EBDE-CC54-46E8-AF1B-1A5252C13AEC}"/>
    <cellStyle name="Normal 2 24" xfId="533" xr:uid="{D17EA4F9-C128-4A14-931E-9C4D7DF204C5}"/>
    <cellStyle name="Normal 2 3" xfId="259" xr:uid="{00000000-0005-0000-0000-000003010000}"/>
    <cellStyle name="Normal 2 3 2" xfId="260" xr:uid="{00000000-0005-0000-0000-000004010000}"/>
    <cellStyle name="Normal 2 4" xfId="261" xr:uid="{00000000-0005-0000-0000-000005010000}"/>
    <cellStyle name="Normal 2 5" xfId="262" xr:uid="{00000000-0005-0000-0000-000006010000}"/>
    <cellStyle name="Normal 2 6" xfId="263" xr:uid="{00000000-0005-0000-0000-000007010000}"/>
    <cellStyle name="Normal 2 7" xfId="264" xr:uid="{00000000-0005-0000-0000-000008010000}"/>
    <cellStyle name="Normal 2 8" xfId="265" xr:uid="{00000000-0005-0000-0000-000009010000}"/>
    <cellStyle name="Normal 2 9" xfId="266" xr:uid="{00000000-0005-0000-0000-00000A010000}"/>
    <cellStyle name="Normal 2_ARD CEP 2 Budget Final" xfId="267" xr:uid="{00000000-0005-0000-0000-00000B010000}"/>
    <cellStyle name="Normal 20" xfId="268" xr:uid="{00000000-0005-0000-0000-00000C010000}"/>
    <cellStyle name="Normal 21" xfId="269" xr:uid="{00000000-0005-0000-0000-00000D010000}"/>
    <cellStyle name="Normal 22" xfId="270" xr:uid="{00000000-0005-0000-0000-00000E010000}"/>
    <cellStyle name="Normal 23" xfId="271" xr:uid="{00000000-0005-0000-0000-00000F010000}"/>
    <cellStyle name="Normal 24" xfId="272" xr:uid="{00000000-0005-0000-0000-000010010000}"/>
    <cellStyle name="Normal 25" xfId="273" xr:uid="{00000000-0005-0000-0000-000011010000}"/>
    <cellStyle name="Normal 26" xfId="274" xr:uid="{00000000-0005-0000-0000-000012010000}"/>
    <cellStyle name="Normal 27" xfId="275" xr:uid="{00000000-0005-0000-0000-000013010000}"/>
    <cellStyle name="Normal 28" xfId="276" xr:uid="{00000000-0005-0000-0000-000014010000}"/>
    <cellStyle name="Normal 29" xfId="277" xr:uid="{00000000-0005-0000-0000-000015010000}"/>
    <cellStyle name="Normal 3" xfId="278" xr:uid="{00000000-0005-0000-0000-000016010000}"/>
    <cellStyle name="Normal 3 2" xfId="279" xr:uid="{00000000-0005-0000-0000-000017010000}"/>
    <cellStyle name="Normal 3 2 2" xfId="280" xr:uid="{00000000-0005-0000-0000-000018010000}"/>
    <cellStyle name="Normal 3 2 2 2" xfId="281" xr:uid="{00000000-0005-0000-0000-000019010000}"/>
    <cellStyle name="Normal 3 2 2 3" xfId="282" xr:uid="{00000000-0005-0000-0000-00001A010000}"/>
    <cellStyle name="Normal 3 2 3" xfId="283" xr:uid="{00000000-0005-0000-0000-00001B010000}"/>
    <cellStyle name="Normal 3 2 3 2" xfId="284" xr:uid="{00000000-0005-0000-0000-00001C010000}"/>
    <cellStyle name="Normal 3 3" xfId="285" xr:uid="{00000000-0005-0000-0000-00001D010000}"/>
    <cellStyle name="Normal 3 4" xfId="286" xr:uid="{00000000-0005-0000-0000-00001E010000}"/>
    <cellStyle name="Normal 3_CHF-GEII Schools Rehab &amp; WatSan Combined Budget 9 7 2009 FINAL" xfId="287" xr:uid="{00000000-0005-0000-0000-00001F010000}"/>
    <cellStyle name="Normal 30" xfId="288" xr:uid="{00000000-0005-0000-0000-000020010000}"/>
    <cellStyle name="Normal 31" xfId="289" xr:uid="{00000000-0005-0000-0000-000021010000}"/>
    <cellStyle name="Normal 32" xfId="290" xr:uid="{00000000-0005-0000-0000-000022010000}"/>
    <cellStyle name="Normal 33" xfId="291" xr:uid="{00000000-0005-0000-0000-000023010000}"/>
    <cellStyle name="Normal 34" xfId="292" xr:uid="{00000000-0005-0000-0000-000024010000}"/>
    <cellStyle name="Normal 35" xfId="293" xr:uid="{00000000-0005-0000-0000-000025010000}"/>
    <cellStyle name="Normal 36" xfId="294" xr:uid="{00000000-0005-0000-0000-000026010000}"/>
    <cellStyle name="Normal 37" xfId="295" xr:uid="{00000000-0005-0000-0000-000027010000}"/>
    <cellStyle name="Normal 38" xfId="515" xr:uid="{D98FBAD3-AA2F-4AD7-8C43-93B948557DDD}"/>
    <cellStyle name="Normal 38 2" xfId="542" xr:uid="{5C86CA8F-AD82-4EDE-A85F-2828FDC13035}"/>
    <cellStyle name="Normal 39" xfId="517" xr:uid="{9AB7FD94-7D35-4FE5-AF55-7668E4611BB7}"/>
    <cellStyle name="Normal 39 2" xfId="518" xr:uid="{318D78A5-79CE-4202-9905-7E5E7A60F1E7}"/>
    <cellStyle name="Normal 39 3" xfId="520" xr:uid="{7A9F400D-4917-4B3A-BDDD-8E81E9712054}"/>
    <cellStyle name="Normal 4" xfId="296" xr:uid="{00000000-0005-0000-0000-000028010000}"/>
    <cellStyle name="Normal 4 2" xfId="297" xr:uid="{00000000-0005-0000-0000-000029010000}"/>
    <cellStyle name="Normal 40" xfId="519" xr:uid="{8A08F67B-C5C6-4B8C-AA4A-943DE13FB1D9}"/>
    <cellStyle name="Normal 41" xfId="526" xr:uid="{229B1DDF-56C3-4C6A-889C-68A2198DEAF8}"/>
    <cellStyle name="Normal 41 2" xfId="530" xr:uid="{2EDE51E4-7275-4CB8-9AD0-0FCADD1A95A4}"/>
    <cellStyle name="Normal 42" xfId="534" xr:uid="{C6D480C7-3A8D-47A1-822D-E4AF6E575E8E}"/>
    <cellStyle name="Normal 43" xfId="535" xr:uid="{8D02F820-7125-46BD-A1D9-775D0419EB7E}"/>
    <cellStyle name="Normal 44" xfId="298" xr:uid="{00000000-0005-0000-0000-00002A010000}"/>
    <cellStyle name="Normal 45" xfId="536" xr:uid="{8DBB60BA-BB5F-41CB-8774-9BFC03BAAD37}"/>
    <cellStyle name="Normal 46" xfId="537" xr:uid="{F90727F6-5367-4BDC-A19B-86B9088985F3}"/>
    <cellStyle name="Normal 47" xfId="538" xr:uid="{0AF49170-509E-4DC7-8D1F-A77D2B51E0F9}"/>
    <cellStyle name="Normal 48" xfId="539" xr:uid="{CE774F06-A4CC-49E8-94CE-9E31941895A6}"/>
    <cellStyle name="Normal 49" xfId="540" xr:uid="{7FBFA179-4A06-4E9C-85A8-CC99FF46EA13}"/>
    <cellStyle name="Normal 5" xfId="299" xr:uid="{00000000-0005-0000-0000-00002B010000}"/>
    <cellStyle name="Normal 5 2" xfId="300" xr:uid="{00000000-0005-0000-0000-00002C010000}"/>
    <cellStyle name="Normal 5 2 2" xfId="301" xr:uid="{00000000-0005-0000-0000-00002D010000}"/>
    <cellStyle name="Normal 5 2 3" xfId="302" xr:uid="{00000000-0005-0000-0000-00002E010000}"/>
    <cellStyle name="Normal 5_12 04 20 Iraq Budget_ICNL BACKUP" xfId="303" xr:uid="{00000000-0005-0000-0000-00002F010000}"/>
    <cellStyle name="Normal 50" xfId="541" xr:uid="{E950A1E9-9CD5-4F6F-AD63-77F6256C8BED}"/>
    <cellStyle name="Normal 6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7" xfId="307" xr:uid="{00000000-0005-0000-0000-000033010000}"/>
    <cellStyle name="Normal 7 2" xfId="308" xr:uid="{00000000-0005-0000-0000-000034010000}"/>
    <cellStyle name="Normal 7 2 2" xfId="309" xr:uid="{00000000-0005-0000-0000-000035010000}"/>
    <cellStyle name="Normal 7 2 3" xfId="310" xr:uid="{00000000-0005-0000-0000-000036010000}"/>
    <cellStyle name="Normal 7 2_12 04 20 Iraq Budget_ICNL BACKUP" xfId="311" xr:uid="{00000000-0005-0000-0000-000037010000}"/>
    <cellStyle name="Normal 7 3" xfId="312" xr:uid="{00000000-0005-0000-0000-000038010000}"/>
    <cellStyle name="Normal 7 3 2" xfId="313" xr:uid="{00000000-0005-0000-0000-000039010000}"/>
    <cellStyle name="Normal 7 3_12 04 20 Iraq Budget_ICNL BACKUP" xfId="314" xr:uid="{00000000-0005-0000-0000-00003A010000}"/>
    <cellStyle name="Normal 7 4" xfId="315" xr:uid="{00000000-0005-0000-0000-00003B010000}"/>
    <cellStyle name="Normal 7 5" xfId="316" xr:uid="{00000000-0005-0000-0000-00003C010000}"/>
    <cellStyle name="Normal 7 6" xfId="317" xr:uid="{00000000-0005-0000-0000-00003D010000}"/>
    <cellStyle name="Normal 7_12 04 20 Iraq Budget_ICNL BACKUP" xfId="318" xr:uid="{00000000-0005-0000-0000-00003E010000}"/>
    <cellStyle name="Normal 8" xfId="319" xr:uid="{00000000-0005-0000-0000-00003F010000}"/>
    <cellStyle name="Normal 8 2" xfId="320" xr:uid="{00000000-0005-0000-0000-000040010000}"/>
    <cellStyle name="Normal 8 3" xfId="321" xr:uid="{00000000-0005-0000-0000-000041010000}"/>
    <cellStyle name="Normal 8 4" xfId="322" xr:uid="{00000000-0005-0000-0000-000042010000}"/>
    <cellStyle name="Normal 8 5" xfId="323" xr:uid="{00000000-0005-0000-0000-000043010000}"/>
    <cellStyle name="Normal 8 6" xfId="324" xr:uid="{00000000-0005-0000-0000-000044010000}"/>
    <cellStyle name="Normal 8_12 04 20 Iraq Budget_ICNL BACKUP" xfId="325" xr:uid="{00000000-0005-0000-0000-000045010000}"/>
    <cellStyle name="Normal 9" xfId="326" xr:uid="{00000000-0005-0000-0000-000046010000}"/>
    <cellStyle name="Normal 9 2" xfId="327" xr:uid="{00000000-0005-0000-0000-000047010000}"/>
    <cellStyle name="Normal_UKRAINE SME BUDGET" xfId="524" xr:uid="{0F1D21C7-9B1E-4AEC-B138-93CE5E548B08}"/>
    <cellStyle name="Note 2" xfId="328" xr:uid="{00000000-0005-0000-0000-000048010000}"/>
    <cellStyle name="Number" xfId="329" xr:uid="{00000000-0005-0000-0000-000049010000}"/>
    <cellStyle name="Number 2" xfId="330" xr:uid="{00000000-0005-0000-0000-00004A010000}"/>
    <cellStyle name="number 3" xfId="331" xr:uid="{00000000-0005-0000-0000-00004B010000}"/>
    <cellStyle name="number 3 2" xfId="332" xr:uid="{00000000-0005-0000-0000-00004C010000}"/>
    <cellStyle name="Option" xfId="333" xr:uid="{00000000-0005-0000-0000-00004D010000}"/>
    <cellStyle name="Output 2" xfId="334" xr:uid="{00000000-0005-0000-0000-00004E010000}"/>
    <cellStyle name="Percen - Style1" xfId="335" xr:uid="{00000000-0005-0000-0000-00004F010000}"/>
    <cellStyle name="Percen - Style3" xfId="336" xr:uid="{00000000-0005-0000-0000-000050010000}"/>
    <cellStyle name="Percent" xfId="337" builtinId="5"/>
    <cellStyle name="Percent [0]" xfId="338" xr:uid="{00000000-0005-0000-0000-000052010000}"/>
    <cellStyle name="Percent [2]" xfId="339" xr:uid="{00000000-0005-0000-0000-000053010000}"/>
    <cellStyle name="Percent 10" xfId="523" xr:uid="{F2AB75FB-EB56-43CF-9F9C-054A28781697}"/>
    <cellStyle name="Percent 10 2" xfId="529" xr:uid="{1AADB7E0-34C7-44E2-B0B7-1BF364C557CC}"/>
    <cellStyle name="Percent 2" xfId="340" xr:uid="{00000000-0005-0000-0000-000054010000}"/>
    <cellStyle name="Percent 2 2" xfId="341" xr:uid="{00000000-0005-0000-0000-000055010000}"/>
    <cellStyle name="Percent 2 2 2" xfId="342" xr:uid="{00000000-0005-0000-0000-000056010000}"/>
    <cellStyle name="Percent 2 2 3" xfId="343" xr:uid="{00000000-0005-0000-0000-000057010000}"/>
    <cellStyle name="Percent 2 2 4" xfId="344" xr:uid="{00000000-0005-0000-0000-000058010000}"/>
    <cellStyle name="Percent 2 3" xfId="345" xr:uid="{00000000-0005-0000-0000-000059010000}"/>
    <cellStyle name="Percent 2 3 2" xfId="346" xr:uid="{00000000-0005-0000-0000-00005A010000}"/>
    <cellStyle name="Percent 2 4" xfId="527" xr:uid="{3F9F6B81-C47C-4496-B2B1-30CC3037A95D}"/>
    <cellStyle name="Percent 3" xfId="347" xr:uid="{00000000-0005-0000-0000-00005B010000}"/>
    <cellStyle name="Percent 3 2" xfId="348" xr:uid="{00000000-0005-0000-0000-00005C010000}"/>
    <cellStyle name="Percent 4" xfId="349" xr:uid="{00000000-0005-0000-0000-00005D010000}"/>
    <cellStyle name="Percent 4 2" xfId="350" xr:uid="{00000000-0005-0000-0000-00005E010000}"/>
    <cellStyle name="Percent 4 2 2" xfId="351" xr:uid="{00000000-0005-0000-0000-00005F010000}"/>
    <cellStyle name="Percent 4 3" xfId="352" xr:uid="{00000000-0005-0000-0000-000060010000}"/>
    <cellStyle name="Percent 5" xfId="353" xr:uid="{00000000-0005-0000-0000-000061010000}"/>
    <cellStyle name="Percent 5 2" xfId="354" xr:uid="{00000000-0005-0000-0000-000062010000}"/>
    <cellStyle name="Percent 5 2 2" xfId="355" xr:uid="{00000000-0005-0000-0000-000063010000}"/>
    <cellStyle name="Percent 5 3" xfId="356" xr:uid="{00000000-0005-0000-0000-000064010000}"/>
    <cellStyle name="Percent 6" xfId="357" xr:uid="{00000000-0005-0000-0000-000065010000}"/>
    <cellStyle name="Percent 6 2" xfId="358" xr:uid="{00000000-0005-0000-0000-000066010000}"/>
    <cellStyle name="Percent 7" xfId="359" xr:uid="{00000000-0005-0000-0000-000067010000}"/>
    <cellStyle name="Percent 8" xfId="360" xr:uid="{00000000-0005-0000-0000-000068010000}"/>
    <cellStyle name="Percent 9" xfId="361" xr:uid="{00000000-0005-0000-0000-000069010000}"/>
    <cellStyle name="Period" xfId="362" xr:uid="{00000000-0005-0000-0000-00006A010000}"/>
    <cellStyle name="PROJ_NUM" xfId="363" xr:uid="{00000000-0005-0000-0000-00006B010000}"/>
    <cellStyle name="PSChar" xfId="364" xr:uid="{00000000-0005-0000-0000-00006C010000}"/>
    <cellStyle name="PSDate" xfId="365" xr:uid="{00000000-0005-0000-0000-00006D010000}"/>
    <cellStyle name="PSDec" xfId="366" xr:uid="{00000000-0005-0000-0000-00006E010000}"/>
    <cellStyle name="PSHeading" xfId="367" xr:uid="{00000000-0005-0000-0000-00006F010000}"/>
    <cellStyle name="PSInt" xfId="368" xr:uid="{00000000-0005-0000-0000-000070010000}"/>
    <cellStyle name="PSSpacer" xfId="369" xr:uid="{00000000-0005-0000-0000-000071010000}"/>
    <cellStyle name="RAMEY" xfId="370" xr:uid="{00000000-0005-0000-0000-000072010000}"/>
    <cellStyle name="Ramey $k" xfId="371" xr:uid="{00000000-0005-0000-0000-000073010000}"/>
    <cellStyle name="RAMEY_P&amp;O BKUP" xfId="372" xr:uid="{00000000-0005-0000-0000-000074010000}"/>
    <cellStyle name="STYL1 - Style1" xfId="373" xr:uid="{00000000-0005-0000-0000-000075010000}"/>
    <cellStyle name="Style 1" xfId="374" xr:uid="{00000000-0005-0000-0000-000076010000}"/>
    <cellStyle name="Style 21" xfId="375" xr:uid="{00000000-0005-0000-0000-000077010000}"/>
    <cellStyle name="Style 22" xfId="376" xr:uid="{00000000-0005-0000-0000-000078010000}"/>
    <cellStyle name="Style 23" xfId="377" xr:uid="{00000000-0005-0000-0000-000079010000}"/>
    <cellStyle name="Style 24" xfId="378" xr:uid="{00000000-0005-0000-0000-00007A010000}"/>
    <cellStyle name="Style 25" xfId="379" xr:uid="{00000000-0005-0000-0000-00007B010000}"/>
    <cellStyle name="Style 26" xfId="380" xr:uid="{00000000-0005-0000-0000-00007C010000}"/>
    <cellStyle name="Style 27" xfId="381" xr:uid="{00000000-0005-0000-0000-00007D010000}"/>
    <cellStyle name="STYLE1" xfId="382" xr:uid="{00000000-0005-0000-0000-00007E010000}"/>
    <cellStyle name="STYLE1 2" xfId="383" xr:uid="{00000000-0005-0000-0000-00007F010000}"/>
    <cellStyle name="STYLE1 3" xfId="384" xr:uid="{00000000-0005-0000-0000-000080010000}"/>
    <cellStyle name="STYLE2" xfId="385" xr:uid="{00000000-0005-0000-0000-000081010000}"/>
    <cellStyle name="STYLE3" xfId="386" xr:uid="{00000000-0005-0000-0000-000082010000}"/>
    <cellStyle name="STYLE4" xfId="387" xr:uid="{00000000-0005-0000-0000-000083010000}"/>
    <cellStyle name="STYLE5" xfId="388" xr:uid="{00000000-0005-0000-0000-000084010000}"/>
    <cellStyle name="þ_x0011_Í-&amp;ý&amp;‰ýG_x0008_Æ_x0009__x000a__x0007__x0001__x0001_" xfId="389" xr:uid="{00000000-0005-0000-0000-000085010000}"/>
    <cellStyle name="Thousands" xfId="390" xr:uid="{00000000-0005-0000-0000-000086010000}"/>
    <cellStyle name="Title 2" xfId="391" xr:uid="{00000000-0005-0000-0000-000087010000}"/>
    <cellStyle name="Total 2" xfId="392" xr:uid="{00000000-0005-0000-0000-000088010000}"/>
    <cellStyle name="Unit" xfId="393" xr:uid="{00000000-0005-0000-0000-000089010000}"/>
    <cellStyle name="Unlocked" xfId="394" xr:uid="{00000000-0005-0000-0000-00008A010000}"/>
    <cellStyle name="Warning Text 2" xfId="395" xr:uid="{00000000-0005-0000-0000-00008B010000}"/>
    <cellStyle name="Обычный_Budget_final_25_02_02" xfId="396" xr:uid="{00000000-0005-0000-0000-00008C010000}"/>
    <cellStyle name="アクセント 1" xfId="397" xr:uid="{00000000-0005-0000-0000-00008D010000}"/>
    <cellStyle name="アクセント 2" xfId="398" xr:uid="{00000000-0005-0000-0000-00008E010000}"/>
    <cellStyle name="アクセント 3" xfId="399" xr:uid="{00000000-0005-0000-0000-00008F010000}"/>
    <cellStyle name="アクセント 4" xfId="400" xr:uid="{00000000-0005-0000-0000-000090010000}"/>
    <cellStyle name="アクセント 5" xfId="401" xr:uid="{00000000-0005-0000-0000-000091010000}"/>
    <cellStyle name="アクセント 6" xfId="402" xr:uid="{00000000-0005-0000-0000-000092010000}"/>
    <cellStyle name="タイトル" xfId="403" xr:uid="{00000000-0005-0000-0000-000093010000}"/>
    <cellStyle name="チェック セル" xfId="404" xr:uid="{00000000-0005-0000-0000-000094010000}"/>
    <cellStyle name="どちらでもない" xfId="405" xr:uid="{00000000-0005-0000-0000-000095010000}"/>
    <cellStyle name="メモ" xfId="406" xr:uid="{00000000-0005-0000-0000-000096010000}"/>
    <cellStyle name="メモ 2" xfId="407" xr:uid="{00000000-0005-0000-0000-000097010000}"/>
    <cellStyle name="メモ 2 2" xfId="408" xr:uid="{00000000-0005-0000-0000-000098010000}"/>
    <cellStyle name="メモ 2 2 2" xfId="409" xr:uid="{00000000-0005-0000-0000-000099010000}"/>
    <cellStyle name="メモ 2 3" xfId="410" xr:uid="{00000000-0005-0000-0000-00009A010000}"/>
    <cellStyle name="メモ 3" xfId="411" xr:uid="{00000000-0005-0000-0000-00009B010000}"/>
    <cellStyle name="メモ 3 2" xfId="412" xr:uid="{00000000-0005-0000-0000-00009C010000}"/>
    <cellStyle name="メモ 3 2 2" xfId="413" xr:uid="{00000000-0005-0000-0000-00009D010000}"/>
    <cellStyle name="メモ 3 3" xfId="414" xr:uid="{00000000-0005-0000-0000-00009E010000}"/>
    <cellStyle name="メモ 4" xfId="415" xr:uid="{00000000-0005-0000-0000-00009F010000}"/>
    <cellStyle name="メモ 4 2" xfId="416" xr:uid="{00000000-0005-0000-0000-0000A0010000}"/>
    <cellStyle name="メモ 4 2 2" xfId="417" xr:uid="{00000000-0005-0000-0000-0000A1010000}"/>
    <cellStyle name="メモ 4 3" xfId="418" xr:uid="{00000000-0005-0000-0000-0000A2010000}"/>
    <cellStyle name="メモ 5" xfId="419" xr:uid="{00000000-0005-0000-0000-0000A3010000}"/>
    <cellStyle name="メモ 5 2" xfId="420" xr:uid="{00000000-0005-0000-0000-0000A4010000}"/>
    <cellStyle name="メモ 5 2 2" xfId="421" xr:uid="{00000000-0005-0000-0000-0000A5010000}"/>
    <cellStyle name="メモ 5 3" xfId="422" xr:uid="{00000000-0005-0000-0000-0000A6010000}"/>
    <cellStyle name="メモ 6" xfId="423" xr:uid="{00000000-0005-0000-0000-0000A7010000}"/>
    <cellStyle name="メモ 6 2" xfId="424" xr:uid="{00000000-0005-0000-0000-0000A8010000}"/>
    <cellStyle name="メモ 7" xfId="425" xr:uid="{00000000-0005-0000-0000-0000A9010000}"/>
    <cellStyle name="リンク セル" xfId="426" xr:uid="{00000000-0005-0000-0000-0000AA010000}"/>
    <cellStyle name="入力" xfId="427" xr:uid="{00000000-0005-0000-0000-0000AB010000}"/>
    <cellStyle name="入力 2" xfId="428" xr:uid="{00000000-0005-0000-0000-0000AC010000}"/>
    <cellStyle name="入力 2 2" xfId="429" xr:uid="{00000000-0005-0000-0000-0000AD010000}"/>
    <cellStyle name="入力 2 2 2" xfId="430" xr:uid="{00000000-0005-0000-0000-0000AE010000}"/>
    <cellStyle name="入力 2 3" xfId="431" xr:uid="{00000000-0005-0000-0000-0000AF010000}"/>
    <cellStyle name="入力 3" xfId="432" xr:uid="{00000000-0005-0000-0000-0000B0010000}"/>
    <cellStyle name="入力 3 2" xfId="433" xr:uid="{00000000-0005-0000-0000-0000B1010000}"/>
    <cellStyle name="入力 3 2 2" xfId="434" xr:uid="{00000000-0005-0000-0000-0000B2010000}"/>
    <cellStyle name="入力 3 3" xfId="435" xr:uid="{00000000-0005-0000-0000-0000B3010000}"/>
    <cellStyle name="入力 4" xfId="436" xr:uid="{00000000-0005-0000-0000-0000B4010000}"/>
    <cellStyle name="入力 4 2" xfId="437" xr:uid="{00000000-0005-0000-0000-0000B5010000}"/>
    <cellStyle name="入力 4 2 2" xfId="438" xr:uid="{00000000-0005-0000-0000-0000B6010000}"/>
    <cellStyle name="入力 4 3" xfId="439" xr:uid="{00000000-0005-0000-0000-0000B7010000}"/>
    <cellStyle name="入力 5" xfId="440" xr:uid="{00000000-0005-0000-0000-0000B8010000}"/>
    <cellStyle name="入力 5 2" xfId="441" xr:uid="{00000000-0005-0000-0000-0000B9010000}"/>
    <cellStyle name="入力 5 2 2" xfId="442" xr:uid="{00000000-0005-0000-0000-0000BA010000}"/>
    <cellStyle name="入力 5 3" xfId="443" xr:uid="{00000000-0005-0000-0000-0000BB010000}"/>
    <cellStyle name="入力 6" xfId="444" xr:uid="{00000000-0005-0000-0000-0000BC010000}"/>
    <cellStyle name="入力 6 2" xfId="445" xr:uid="{00000000-0005-0000-0000-0000BD010000}"/>
    <cellStyle name="入力 7" xfId="446" xr:uid="{00000000-0005-0000-0000-0000BE010000}"/>
    <cellStyle name="出力" xfId="447" xr:uid="{00000000-0005-0000-0000-0000BF010000}"/>
    <cellStyle name="出力 2" xfId="448" xr:uid="{00000000-0005-0000-0000-0000C0010000}"/>
    <cellStyle name="出力 2 2" xfId="449" xr:uid="{00000000-0005-0000-0000-0000C1010000}"/>
    <cellStyle name="出力 2 2 2" xfId="450" xr:uid="{00000000-0005-0000-0000-0000C2010000}"/>
    <cellStyle name="出力 2 3" xfId="451" xr:uid="{00000000-0005-0000-0000-0000C3010000}"/>
    <cellStyle name="出力 3" xfId="452" xr:uid="{00000000-0005-0000-0000-0000C4010000}"/>
    <cellStyle name="出力 3 2" xfId="453" xr:uid="{00000000-0005-0000-0000-0000C5010000}"/>
    <cellStyle name="出力 3 2 2" xfId="454" xr:uid="{00000000-0005-0000-0000-0000C6010000}"/>
    <cellStyle name="出力 3 3" xfId="455" xr:uid="{00000000-0005-0000-0000-0000C7010000}"/>
    <cellStyle name="出力 4" xfId="456" xr:uid="{00000000-0005-0000-0000-0000C8010000}"/>
    <cellStyle name="出力 4 2" xfId="457" xr:uid="{00000000-0005-0000-0000-0000C9010000}"/>
    <cellStyle name="出力 4 2 2" xfId="458" xr:uid="{00000000-0005-0000-0000-0000CA010000}"/>
    <cellStyle name="出力 4 3" xfId="459" xr:uid="{00000000-0005-0000-0000-0000CB010000}"/>
    <cellStyle name="出力 5" xfId="460" xr:uid="{00000000-0005-0000-0000-0000CC010000}"/>
    <cellStyle name="出力 5 2" xfId="461" xr:uid="{00000000-0005-0000-0000-0000CD010000}"/>
    <cellStyle name="出力 5 2 2" xfId="462" xr:uid="{00000000-0005-0000-0000-0000CE010000}"/>
    <cellStyle name="出力 5 3" xfId="463" xr:uid="{00000000-0005-0000-0000-0000CF010000}"/>
    <cellStyle name="出力 6" xfId="464" xr:uid="{00000000-0005-0000-0000-0000D0010000}"/>
    <cellStyle name="出力 6 2" xfId="465" xr:uid="{00000000-0005-0000-0000-0000D1010000}"/>
    <cellStyle name="出力 7" xfId="466" xr:uid="{00000000-0005-0000-0000-0000D2010000}"/>
    <cellStyle name="悪い" xfId="467" xr:uid="{00000000-0005-0000-0000-0000D3010000}"/>
    <cellStyle name="良い" xfId="468" xr:uid="{00000000-0005-0000-0000-0000D4010000}"/>
    <cellStyle name="見出し 1" xfId="469" xr:uid="{00000000-0005-0000-0000-0000D5010000}"/>
    <cellStyle name="見出し 2" xfId="470" xr:uid="{00000000-0005-0000-0000-0000D6010000}"/>
    <cellStyle name="見出し 3" xfId="471" xr:uid="{00000000-0005-0000-0000-0000D7010000}"/>
    <cellStyle name="見出し 4" xfId="472" xr:uid="{00000000-0005-0000-0000-0000D8010000}"/>
    <cellStyle name="計算" xfId="473" xr:uid="{00000000-0005-0000-0000-0000D9010000}"/>
    <cellStyle name="計算 2" xfId="474" xr:uid="{00000000-0005-0000-0000-0000DA010000}"/>
    <cellStyle name="計算 2 2" xfId="475" xr:uid="{00000000-0005-0000-0000-0000DB010000}"/>
    <cellStyle name="計算 2 2 2" xfId="476" xr:uid="{00000000-0005-0000-0000-0000DC010000}"/>
    <cellStyle name="計算 2 3" xfId="477" xr:uid="{00000000-0005-0000-0000-0000DD010000}"/>
    <cellStyle name="計算 3" xfId="478" xr:uid="{00000000-0005-0000-0000-0000DE010000}"/>
    <cellStyle name="計算 3 2" xfId="479" xr:uid="{00000000-0005-0000-0000-0000DF010000}"/>
    <cellStyle name="計算 3 2 2" xfId="480" xr:uid="{00000000-0005-0000-0000-0000E0010000}"/>
    <cellStyle name="計算 3 3" xfId="481" xr:uid="{00000000-0005-0000-0000-0000E1010000}"/>
    <cellStyle name="計算 4" xfId="482" xr:uid="{00000000-0005-0000-0000-0000E2010000}"/>
    <cellStyle name="計算 4 2" xfId="483" xr:uid="{00000000-0005-0000-0000-0000E3010000}"/>
    <cellStyle name="計算 4 2 2" xfId="484" xr:uid="{00000000-0005-0000-0000-0000E4010000}"/>
    <cellStyle name="計算 4 3" xfId="485" xr:uid="{00000000-0005-0000-0000-0000E5010000}"/>
    <cellStyle name="計算 5" xfId="486" xr:uid="{00000000-0005-0000-0000-0000E6010000}"/>
    <cellStyle name="計算 5 2" xfId="487" xr:uid="{00000000-0005-0000-0000-0000E7010000}"/>
    <cellStyle name="計算 5 2 2" xfId="488" xr:uid="{00000000-0005-0000-0000-0000E8010000}"/>
    <cellStyle name="計算 5 3" xfId="489" xr:uid="{00000000-0005-0000-0000-0000E9010000}"/>
    <cellStyle name="計算 6" xfId="490" xr:uid="{00000000-0005-0000-0000-0000EA010000}"/>
    <cellStyle name="計算 6 2" xfId="491" xr:uid="{00000000-0005-0000-0000-0000EB010000}"/>
    <cellStyle name="計算 7" xfId="492" xr:uid="{00000000-0005-0000-0000-0000EC010000}"/>
    <cellStyle name="説明文" xfId="493" xr:uid="{00000000-0005-0000-0000-0000ED010000}"/>
    <cellStyle name="警告文" xfId="494" xr:uid="{00000000-0005-0000-0000-0000EE010000}"/>
    <cellStyle name="集計" xfId="495" xr:uid="{00000000-0005-0000-0000-0000EF010000}"/>
    <cellStyle name="集計 2" xfId="496" xr:uid="{00000000-0005-0000-0000-0000F0010000}"/>
    <cellStyle name="集計 2 2" xfId="497" xr:uid="{00000000-0005-0000-0000-0000F1010000}"/>
    <cellStyle name="集計 2 2 2" xfId="498" xr:uid="{00000000-0005-0000-0000-0000F2010000}"/>
    <cellStyle name="集計 2 3" xfId="499" xr:uid="{00000000-0005-0000-0000-0000F3010000}"/>
    <cellStyle name="集計 3" xfId="500" xr:uid="{00000000-0005-0000-0000-0000F4010000}"/>
    <cellStyle name="集計 3 2" xfId="501" xr:uid="{00000000-0005-0000-0000-0000F5010000}"/>
    <cellStyle name="集計 3 2 2" xfId="502" xr:uid="{00000000-0005-0000-0000-0000F6010000}"/>
    <cellStyle name="集計 3 3" xfId="503" xr:uid="{00000000-0005-0000-0000-0000F7010000}"/>
    <cellStyle name="集計 4" xfId="504" xr:uid="{00000000-0005-0000-0000-0000F8010000}"/>
    <cellStyle name="集計 4 2" xfId="505" xr:uid="{00000000-0005-0000-0000-0000F9010000}"/>
    <cellStyle name="集計 4 2 2" xfId="506" xr:uid="{00000000-0005-0000-0000-0000FA010000}"/>
    <cellStyle name="集計 4 3" xfId="507" xr:uid="{00000000-0005-0000-0000-0000FB010000}"/>
    <cellStyle name="集計 5" xfId="508" xr:uid="{00000000-0005-0000-0000-0000FC010000}"/>
    <cellStyle name="集計 5 2" xfId="509" xr:uid="{00000000-0005-0000-0000-0000FD010000}"/>
    <cellStyle name="集計 5 2 2" xfId="510" xr:uid="{00000000-0005-0000-0000-0000FE010000}"/>
    <cellStyle name="集計 5 3" xfId="511" xr:uid="{00000000-0005-0000-0000-0000FF010000}"/>
    <cellStyle name="集計 6" xfId="512" xr:uid="{00000000-0005-0000-0000-000000020000}"/>
    <cellStyle name="集計 6 2" xfId="513" xr:uid="{00000000-0005-0000-0000-000001020000}"/>
    <cellStyle name="集計 7" xfId="514" xr:uid="{00000000-0005-0000-0000-00000202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42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9.xml"/><Relationship Id="rId63" Type="http://schemas.openxmlformats.org/officeDocument/2006/relationships/externalLink" Target="externalLinks/externalLink45.xml"/><Relationship Id="rId6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48.xml"/><Relationship Id="rId7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3.xml"/><Relationship Id="rId19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46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3.xml"/><Relationship Id="rId72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1.xml"/><Relationship Id="rId67" Type="http://schemas.openxmlformats.org/officeDocument/2006/relationships/theme" Target="theme/theme1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54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44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3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47.xml"/><Relationship Id="rId73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1.xml"/><Relationship Id="rId34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37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p3.ncsc.dni.us/My%20Documents/NCSC/Macedonia/Business%20Proposal/NCSC%20Macedonia%20Budget--internal%20final%203-21-02%207%20p.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My%20Documents/NCSC/Macedonia/Business%20Proposal/NCSC%20Macedonia%20Budget--internal%20final%203-21-02%207%20p.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sprotacio/My%20Documents/SMTs/Copy%20of%20SC_Budget_ARMM_HEALTH_Jun19%20with%20Community%20Matc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Katya/AppData/Local/Microsoft/Windows/Temporary%20Internet%20Files/Content.Outlook/3MW8ZO8X/Peru_Decentralization_Cost_5_9_CM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BUSOPS/CEP/R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,%20RAMP,%20consistent%20with%20contract,%20with%20subs%20chang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Dewey%20Thomas/Local%20Settings/Temporary%20Internet%20Files/OLK2/SubK%20TM%20budget%20template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C%20disk\vahan.CP\Desktop\Acc%20CPI\300_Salary\Salary%20Calculatin\Salary%20FY%20201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ISE%20Ethiopia%20MLVP%20to%20DAI%20Budget%2011-1-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GL%20!!!/Voucher%20form-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_Cost_Spreadsheets.Mali_TRADE_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AR%20Timor%20Leste%20Budget%20and%20Track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S1028023222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I%20COST%20MOD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%20Budget%20-%20Overall%20v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Jazami/OneDrive%20-%20Counterpart%20International/Desktop/PSR%20review%20summary%20-%20FY19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C%20disk/vahan.CP/Desktop/Acc%20CPI/777_Vouchers/2009/11/Voucher/CPI-GL-2010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harepoint.cnfa.org\DavWWWRoot\Project%20Accounting\Archives\Archive%20Files_Vinod%20Goyal\Documents\AGP-LMD%202015-16\INVOICE%20TO%20USAID\Invoice%202017\LMD%20August%202017%20Voucher%2062\(08b)%20August%2031%202017_ETH%20Payroll%20and%20Reconciliation%20Revised%20AG.xlsx?5421C9AF" TargetMode="External"/><Relationship Id="rId1" Type="http://schemas.openxmlformats.org/officeDocument/2006/relationships/externalLinkPath" Target="file:///\\5421C9AF\(08b)%20August%2031%202017_ETH%20Payroll%20and%20Reconciliation%20Revised%20AG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ersonal/carlodaniel_abuyuan_usda_gov/Documents/Budget%20templates/Nofo/Revised%20Agribusiness%20Investment%20Budget_8.1.2022%20CA%20(2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Karen\Desktop\Salary%20Calculation%20for%20April%20201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rogram%20files/eudora/attach/BUDGET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imadanat\Documents\Programs\Cameron%20FFP%202012\REV6254%20of%20Cameroon%20FFE%202012Budget%20-%20Sep%2030%20-%20Entered%20in%20FAIS%20syste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gram%20Development%20Unit\2.%20Proposals\REGIONAL%20-%20Africa\2013%20REGIS-AG\5.%20Cost%20Application\Counterpart%20REGIS-AG%20Draft%20Version%2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\MDREXLER\RFP\BUD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_MOBIS%20Peru%20ADP%20Budget%20Comp%20Range%20DL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unterpart1org-my.sharepoint.com/Budgets%20--%20Funded/Belarus/PACT/Proposed%20Revisions/08%2008%2012%20%20Pact%20Proposal%20Budget-%20ICN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MACRO%20II%20-%20El%20Salvador%20Profitability%20Analysis%20Fina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Template--AMAP-MF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WestBankGaz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xico%20AMAP%20Budget%20final.da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.chemonics.net\regions\eaf\Proposals\Ethiopia_SIPED_II\Cost\CPFF%20Spreadsheet%20Shell_SIPED%20II%20v9%20to%20editor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4\Q1\I3R\JE%20I3R%20Mar2004%202004004%20mappi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backup3\lgasparian\Desktop\Training\Trackers%20and%20templates\Project%20Equipment%20Inventory%20Tracke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Romania%20Civil%20Society%20Strenghtening/Cost%20Application/Budget%20&amp;%20Notes/MSI/MSI%20Budge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9_DAI%20Peru%20AD%20Cost%20Proposal%20-%20Comp%20Range24nov03.l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3\Q4_2003\I3RH\I3RH-12120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FILES/RFP/MALIRC/MAL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lgasparian/Desktop/Training/Trackers%20and%20templates/Project%20Equipment%20Inventory%20Tracker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lgasparian\Desktop\Training\Trackers%20and%20templates\Project%20Equipment%20Inventory%20Tracker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ADA%20Budget%20BAFO%20II_final%20(unprotected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lgasparian/Desktop/Training/Trackers%20and%20templates/Project%20Equipment%20Inventory%20Tracker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2_Mexico%20AMAP%20Budget%20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G%20PhP_ECA%20Budget_FIN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09\Africa\Morocco%20-%20Youth%20Education%20Program%20RFA\Submission\Morocco%20Youth%20Budget%20FIN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10\Africa\Mozambique%20-%20Integrated%20Health%20Social%20Marketing\Budget\Mozambique%20Draft%20Budget%20Dec%201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fkarim\LOCALS~1\Temp\XPgrpwise\Kosovo%20KASS%20Budget%206.16-ep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  <sheetName val="."/>
      <sheetName val="Sheet2"/>
      <sheetName val="Drop downs"/>
      <sheetName val="IRC SUMMARY"/>
      <sheetName val="Dropdown Menus"/>
      <sheetName val="ABR"/>
      <sheetName val="Key"/>
      <sheetName val="Details GG266"/>
      <sheetName val="IVAP Budget (IRC)"/>
      <sheetName val="Formula Sheet"/>
      <sheetName val="NCSC_SUMMARY"/>
      <sheetName val="NCSC_DETAIL"/>
      <sheetName val="Schedule_A"/>
      <sheetName val="Schedule_B"/>
      <sheetName val="SB_ESTIMATE"/>
      <sheetName val="IRC_SUMMARY"/>
      <sheetName val="_"/>
      <sheetName val="Dropdown_Menus"/>
      <sheetName val="Drop_downs"/>
      <sheetName val="Details_GG266"/>
      <sheetName val="Summary"/>
      <sheetName val="Range_Page6"/>
      <sheetName val="AdminNames"/>
      <sheetName val="Range_Page1"/>
      <sheetName val="Signature_sheet"/>
      <sheetName val="Pricing"/>
      <sheetName val="CODES"/>
      <sheetName val="Baseline_Calc1"/>
      <sheetName val="DropDown"/>
      <sheetName val="Config"/>
      <sheetName val="Summary_Pact"/>
      <sheetName val="Account_code_lookups-_internal"/>
      <sheetName val="Rates"/>
      <sheetName val="Option-Year2"/>
      <sheetName val="CIOSP"/>
      <sheetName val="COST___CASE1"/>
      <sheetName val="Definitions"/>
      <sheetName val="Backend_serv"/>
      <sheetName val="List"/>
      <sheetName val="Budget"/>
      <sheetName val="1411"/>
      <sheetName val="Data,Jan-Mar"/>
      <sheetName val="Data,Apr-Jun"/>
      <sheetName val="Data,Jul-Sept"/>
      <sheetName val="IRC_Format1"/>
      <sheetName val="template"/>
      <sheetName val="Detail_Pact"/>
      <sheetName val="PARAMETER"/>
      <sheetName val="Backend_drugs"/>
      <sheetName val="PARAMETRES"/>
      <sheetName val="#Lookup"/>
      <sheetName val="Budget__by_Objective2"/>
      <sheetName val="Original_Budget1"/>
      <sheetName val="Refs"/>
      <sheetName val="Lists"/>
      <sheetName val="IRC_Format-Detailed_Budget"/>
      <sheetName val="COMMITMENT_TO_BVA2"/>
      <sheetName val="TablesCodes"/>
      <sheetName val="COMMITMENT_TO_BVA1"/>
      <sheetName val="ALL_ACTUALS1"/>
      <sheetName val="Budget__by_Objective4"/>
      <sheetName val="Do_Not_Touch1"/>
      <sheetName val="1_Parameters"/>
      <sheetName val="Budget_Line_Item"/>
      <sheetName val="renvoi"/>
      <sheetName val="Summary_KE_&amp;_SO"/>
      <sheetName val="Grants_in_Pipeline"/>
      <sheetName val="Budget_Line_Item1"/>
      <sheetName val="Country_Budget_x_66"/>
      <sheetName val="Personnel_Costs"/>
      <sheetName val="Facilities"/>
      <sheetName val="insurance_current-SEPT-work"/>
      <sheetName val="Budget__by_Objective1"/>
      <sheetName val="ref1"/>
      <sheetName val="quarters"/>
      <sheetName val="Share_cost_allocation_sheet1"/>
      <sheetName val="Shared_costs_table1"/>
      <sheetName val="SDAs_impact_datasources"/>
      <sheetName val="Sdc's"/>
      <sheetName val="ALL_ACTUALS3"/>
      <sheetName val="Parameters"/>
      <sheetName val="Worksheet_1_Project_budget1"/>
      <sheetName val="Actuals"/>
      <sheetName val="Currencies"/>
      <sheetName val="paramètres"/>
      <sheetName val="CONSOLIDATED SHEET"/>
      <sheetName val="Categories"/>
      <sheetName val="2NER_SF Financial overview - Y2"/>
      <sheetName val="2NER_SF Financial overview - Y3"/>
      <sheetName val="Account"/>
      <sheetName val="Sammary"/>
      <sheetName val="Scenario 1"/>
      <sheetName val="01. Summary Comb"/>
      <sheetName val="CN28302Entry"/>
      <sheetName val="CN28302"/>
      <sheetName val="Cost Notes &amp; Analysi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</sheetNames>
    <sheetDataSet>
      <sheetData sheetId="0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Notes1"/>
      <sheetName val="Budget Notes2"/>
      <sheetName val="Budget Summary-SAVE"/>
      <sheetName val="Detailed Budget-SAVE"/>
      <sheetName val="Fringes-SAVE"/>
      <sheetName val="Equipment, Materials &amp; Suppls"/>
      <sheetName val="Component 1- COMMUNITY"/>
      <sheetName val="Component 2- HEALTH SYSTEM"/>
      <sheetName val="Component 3- LG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ed"/>
      <sheetName val="JHPIEGO"/>
      <sheetName val="HKI"/>
      <sheetName val="TRG"/>
      <sheetName val="Georgetown"/>
      <sheetName val="The Mitchell Group"/>
      <sheetName val="Pop Council"/>
      <sheetName val="Prospect International"/>
      <sheetName val="EVF"/>
      <sheetName val="Training"/>
      <sheetName val="LOE"/>
      <sheetName val="Parameters"/>
      <sheetName val="Chart of Account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1a. USAID Summary Budget"/>
      <sheetName val="1b. USAID Detail Budget"/>
      <sheetName val="1c. Summary"/>
      <sheetName val="1d. Summary by CLIN"/>
      <sheetName val="2a. LOE"/>
      <sheetName val="CLIN factor"/>
      <sheetName val="2b. LOE by CLIN"/>
      <sheetName val="3a. Main Detailed"/>
      <sheetName val="3b. CLIN 1 Detailed"/>
      <sheetName val="3c. CLIN 2 Detailed"/>
      <sheetName val="3d. CLIN 3 Detailed"/>
      <sheetName val="4. Travel"/>
      <sheetName val="5. Allowances"/>
      <sheetName val="6. EVF"/>
      <sheetName val="7. Training"/>
      <sheetName val="Annex A. Quals for LT Positions"/>
      <sheetName val="Annex B. STTA Scale"/>
      <sheetName val="Annex C. Fee Percent Breakdown"/>
      <sheetName val="Annex D. Fee Breakdown"/>
      <sheetName val="1a__USAID_Summary_Budget"/>
      <sheetName val="1b__USAID_Detail_Budget"/>
      <sheetName val="1c__Summary"/>
      <sheetName val="1d__Summary_by_CLIN"/>
      <sheetName val="2a__LOE"/>
      <sheetName val="CLIN_factor"/>
      <sheetName val="2b__LOE_by_CLIN"/>
      <sheetName val="3a__Main_Detailed"/>
      <sheetName val="3b__CLIN_1_Detailed"/>
      <sheetName val="3c__CLIN_2_Detailed"/>
      <sheetName val="3d__CLIN_3_Detailed"/>
      <sheetName val="4__Travel"/>
      <sheetName val="5__Allowances"/>
      <sheetName val="6__EVF"/>
      <sheetName val="7__Training"/>
      <sheetName val="Annex_A__Quals_for_LT_Positions"/>
      <sheetName val="Annex_B__STTA_Scale"/>
      <sheetName val="Annex_C__Fee_Percent_Breakdown"/>
      <sheetName val="Annex_D__Fee_Breakdown"/>
      <sheetName val="1a__USAID_Summary_Budget1"/>
      <sheetName val="1b__USAID_Detail_Budget1"/>
      <sheetName val="1c__Summary1"/>
      <sheetName val="1d__Summary_by_CLIN1"/>
      <sheetName val="2a__LOE1"/>
      <sheetName val="CLIN_factor1"/>
      <sheetName val="2b__LOE_by_CLIN1"/>
      <sheetName val="3a__Main_Detailed1"/>
      <sheetName val="3b__CLIN_1_Detailed1"/>
      <sheetName val="3c__CLIN_2_Detailed1"/>
      <sheetName val="3d__CLIN_3_Detailed1"/>
      <sheetName val="4__Travel1"/>
      <sheetName val="5__Allowances1"/>
      <sheetName val="6__EVF1"/>
      <sheetName val="7__Training1"/>
      <sheetName val="Annex_A__Quals_for_LT_Position1"/>
      <sheetName val="Annex_B__STTA_Scale1"/>
      <sheetName val="Annex_C__Fee_Percent_Breakdown1"/>
      <sheetName val="Annex_D__Fee_Breakdow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Chart2"/>
      <sheetName val="Bill Rates"/>
      <sheetName val="#REF"/>
      <sheetName val="Actuals"/>
      <sheetName val="Profit"/>
      <sheetName val="Task 000"/>
      <sheetName val="Forecast"/>
      <sheetName val="001"/>
      <sheetName val="1618000 Roll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ummary"/>
      <sheetName val="Summary by CLIN"/>
      <sheetName val="LOE CLIN 1"/>
      <sheetName val="LOE Total"/>
      <sheetName val="Chemonics"/>
      <sheetName val="CLIN 1"/>
      <sheetName val="CLIN 2"/>
      <sheetName val="CLIN 3"/>
      <sheetName val="CLIN 4"/>
      <sheetName val="Shorebank CLIN 1"/>
      <sheetName val="IFDC CLIN 1"/>
      <sheetName val="Profitabilit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-Wide Fringe Benefit Calc"/>
      <sheetName val="Fringe Benefit Calc"/>
      <sheetName val="OH calc"/>
      <sheetName val="Labor Calc"/>
      <sheetName val="Notes"/>
      <sheetName val="sample fringe calc"/>
      <sheetName val="sample OH calc"/>
      <sheetName val="sample labor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11NH 1"/>
      <sheetName val="1111KT"/>
      <sheetName val="1111NH 2"/>
      <sheetName val="November-11"/>
      <sheetName val="December-11"/>
      <sheetName val="1211LG"/>
      <sheetName val="1211AS"/>
      <sheetName val="Increase &amp; Bonus 2011"/>
      <sheetName val="January-12"/>
      <sheetName val="0112RM"/>
      <sheetName val="February-12"/>
      <sheetName val="March-12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0512TM"/>
      <sheetName val="June-12"/>
      <sheetName val="0612MT"/>
      <sheetName val="0612VD"/>
      <sheetName val="0612AA"/>
      <sheetName val="0612MS"/>
      <sheetName val="July-12"/>
      <sheetName val="0712NH"/>
      <sheetName val="0712SS"/>
      <sheetName val="0712TM"/>
      <sheetName val="0712GM"/>
      <sheetName val="0712VA"/>
      <sheetName val="0712PY"/>
      <sheetName val="0712AM"/>
      <sheetName val="0712AP"/>
      <sheetName val="0712KH"/>
      <sheetName val="0712AA"/>
      <sheetName val="0712AD"/>
      <sheetName val="0712VD"/>
      <sheetName val="0712AS"/>
      <sheetName val="Aug-12"/>
      <sheetName val="Guards recalculation Aug-12"/>
      <sheetName val="Armen A. recalculation Aug-12"/>
      <sheetName val="0812AD"/>
      <sheetName val="0812AS"/>
      <sheetName val="0812AM"/>
      <sheetName val="0812MH"/>
      <sheetName val="0812LH"/>
      <sheetName val="0812MS"/>
      <sheetName val="0812LA"/>
      <sheetName val="0812TD"/>
      <sheetName val="0812GV"/>
      <sheetName val="0812AK"/>
      <sheetName val="0812KT"/>
      <sheetName val="0812MT"/>
      <sheetName val="Sep-12"/>
      <sheetName val="0912MH"/>
      <sheetName val="0912KH"/>
      <sheetName val="0912KH (2)"/>
      <sheetName val="0912TM"/>
      <sheetName val="Ani Melikyan 1003 Project"/>
      <sheetName val="0912GP"/>
      <sheetName val="0912VD"/>
      <sheetName val="0912SS"/>
      <sheetName val="Oct-12"/>
      <sheetName val="1012AM"/>
      <sheetName val="Nov-12"/>
      <sheetName val="Salary recalculation for KH"/>
      <sheetName val="1112LA"/>
      <sheetName val="1112NH"/>
      <sheetName val="1112RH"/>
      <sheetName val="Dec-12"/>
      <sheetName val="13-th salary for 2012"/>
      <sheetName val="Jan-13"/>
      <sheetName val="Salary recalculation for KH &amp;AA"/>
      <sheetName val="0113LG"/>
      <sheetName val="0113MT"/>
      <sheetName val="0113AM"/>
      <sheetName val="Feb-13"/>
      <sheetName val="March-13"/>
      <sheetName val="0313AM"/>
      <sheetName val="Sheet2"/>
      <sheetName val="484CR"/>
      <sheetName val="1033Cr"/>
      <sheetName val="PO 484CR"/>
      <sheetName val="PO 1033CR"/>
      <sheetName val="Sheet1"/>
      <sheetName val="Sheet1 (2)"/>
      <sheetName val="Sheet1 (3)"/>
      <sheetName val="Rounding"/>
      <sheetName val="Data-in proces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Year1"/>
      <sheetName val="Year2"/>
      <sheetName val="RATES"/>
      <sheetName val="Parameter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Voucher"/>
      <sheetName val="Sheet3"/>
      <sheetName val="Sheet2"/>
      <sheetName val="Sheet1"/>
      <sheetName val="Sheet5"/>
      <sheetName val="Nomenclatura Contab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3. LOE"/>
      <sheetName val="Links"/>
      <sheetName val="1. CLIN"/>
      <sheetName val="2. Sum-Yr"/>
      <sheetName val="4. Main"/>
      <sheetName val="5. Travel"/>
      <sheetName val="6. Allow"/>
      <sheetName val="7. EVF"/>
      <sheetName val="8. AIRD"/>
      <sheetName val="9. CARE"/>
      <sheetName val="10. IBI"/>
      <sheetName val="RATES"/>
      <sheetName val="Parameters"/>
      <sheetName val="Travel Vouch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  <sheetName val="LOE Tracker"/>
      <sheetName val="Burn Chart"/>
      <sheetName val="INPUTS - Totals by Units"/>
      <sheetName val="INPUTS Year 1"/>
      <sheetName val="INPUTS Year 2"/>
      <sheetName val="INPUTS Year 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ly Planner"/>
      <sheetName val="Appointments"/>
      <sheetName val="calcs"/>
      <sheetName val="TS1028023222"/>
      <sheetName val="Legend"/>
    </sheetNames>
    <definedNames>
      <definedName name="StartYear" sheetId="0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"/>
      <sheetName val="BAHODC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INDIRECTS"/>
      <sheetName val="RATES"/>
      <sheetName val="read me first"/>
      <sheetName val="DCAA APPROVED INDIRECT RATES"/>
      <sheetName val="Parameter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Assumptions"/>
      <sheetName val="Summary"/>
      <sheetName val="Loaded"/>
      <sheetName val="Overall"/>
      <sheetName val="CORE"/>
      <sheetName val="Liberia"/>
      <sheetName val="Nigeria"/>
      <sheetName val="Jordan"/>
      <sheetName val="Pakistan"/>
      <sheetName val="ENE"/>
      <sheetName val="LAC"/>
      <sheetName val="ANE"/>
      <sheetName val="AFR"/>
      <sheetName val="ENE(b)"/>
      <sheetName val="LAC1"/>
      <sheetName val="LAC2"/>
      <sheetName val="ANE1"/>
      <sheetName val="ANE2"/>
      <sheetName val="ARF1"/>
      <sheetName val="ARF2"/>
      <sheetName val="ENE1"/>
      <sheetName val="ENE2"/>
      <sheetName val="Budget Notes"/>
      <sheetName val="Cost Shar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byYear"/>
      <sheetName val="Detailed"/>
      <sheetName val="LOE"/>
      <sheetName val="EVF"/>
      <sheetName val="EVF-OVC"/>
      <sheetName val="TRG"/>
      <sheetName val="Dev Assoc"/>
      <sheetName val="IGH CEIHD"/>
      <sheetName val="Porter Novelli"/>
      <sheetName val="Citizens"/>
      <sheetName val="HealthScope"/>
      <sheetName val="Parameters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RA"/>
      <sheetName val="Active Project"/>
      <sheetName val="Summary"/>
      <sheetName val="Cash Receipt by Project"/>
      <sheetName val="Cost Share"/>
      <sheetName val="Cash Adjustment"/>
      <sheetName val="Cash Receipt-Master"/>
      <sheetName val="FY19"/>
      <sheetName val="FY18"/>
      <sheetName val="FY17"/>
      <sheetName val="FY16"/>
      <sheetName val="FY15"/>
      <sheetName val="FY14"/>
      <sheetName val="FY13"/>
      <sheetName val="FY12"/>
      <sheetName val="FY11"/>
      <sheetName val="FY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GL-Bank"/>
      <sheetName val="PT"/>
      <sheetName val="PT (2)"/>
      <sheetName val="Chart of Acc"/>
      <sheetName val="Tx-Acc"/>
      <sheetName val="Classes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iliation"/>
      <sheetName val="Payroll August "/>
      <sheetName val="Bank Transfer CBE"/>
      <sheetName val="Income tax"/>
      <sheetName val="Tax rec."/>
      <sheetName val="Inc. tax Rec."/>
      <sheetName val="Pension"/>
      <sheetName val="Pen. rec"/>
      <sheetName val="Pension Rec."/>
      <sheetName val="Abebe Tafa "/>
      <sheetName val="Zenah Aug"/>
      <sheetName val="Severance"/>
      <sheetName val="Rec. work out"/>
      <sheetName val="July back pay"/>
      <sheetName val="Payroll July"/>
      <sheetName val="Backup Formul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udget"/>
      <sheetName val="Revised Budget - CNFA"/>
      <sheetName val="Sheet1"/>
      <sheetName val="Year 4  Projected Budget"/>
      <sheetName val="Consultancies"/>
      <sheetName val="To do"/>
      <sheetName val="100120-Nigeria-Pipeline"/>
      <sheetName val="Y4 2022 Budget Tracker"/>
      <sheetName val="Y5 2022 Budget Tracker"/>
      <sheetName val="Subs"/>
      <sheetName val="rev summary 5-31 (2)"/>
      <sheetName val="Payroll Jan22"/>
      <sheetName val="Allowances"/>
      <sheetName val="JE Austin"/>
      <sheetName val="rev summary 5-31"/>
      <sheetName val="JAA Projections Y4"/>
      <sheetName val="JAA Projections Y5"/>
      <sheetName val="Connexus"/>
      <sheetName val="FY22 Connexus Budget"/>
      <sheetName val="FY23 Connexus Budget"/>
      <sheetName val="LOE"/>
      <sheetName val="Chart of Ac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0-HA"/>
      <sheetName val="1110-HA"/>
      <sheetName val="Oct10"/>
      <sheetName val="Nov10"/>
      <sheetName val="12-10SH"/>
      <sheetName val="Ani"/>
      <sheetName val="Dec10"/>
      <sheetName val="01-11AKh"/>
      <sheetName val="01-11HM"/>
      <sheetName val="Jan11"/>
      <sheetName val="02-11HM"/>
      <sheetName val="02-11AKh"/>
      <sheetName val="02-11SH"/>
      <sheetName val="Feb11"/>
      <sheetName val="March11"/>
      <sheetName val="0411AA"/>
      <sheetName val="0411NH"/>
      <sheetName val="0411AD"/>
      <sheetName val="Apr11"/>
      <sheetName val="May-11"/>
      <sheetName val="0611VM"/>
      <sheetName val="0611NA"/>
      <sheetName val="June-11"/>
      <sheetName val="0711PY"/>
      <sheetName val="0711AM"/>
      <sheetName val="0711AD"/>
      <sheetName val="0711MS"/>
      <sheetName val="0711AsM"/>
      <sheetName val="0711MB"/>
      <sheetName val="0711GV"/>
      <sheetName val="0711HS"/>
      <sheetName val="0711AV"/>
      <sheetName val="0711AKh"/>
      <sheetName val="0711LA"/>
      <sheetName val="July-11"/>
      <sheetName val="0811AV"/>
      <sheetName val="0811AKh"/>
      <sheetName val="0811LA"/>
      <sheetName val="0811MB"/>
      <sheetName val="0811AA"/>
      <sheetName val="0811KnH"/>
      <sheetName val="0811NH"/>
      <sheetName val="0811PY"/>
      <sheetName val="0811KH"/>
      <sheetName val="0811AS"/>
      <sheetName val="0811MS"/>
      <sheetName val="0811RH"/>
      <sheetName val="0811AD"/>
      <sheetName val="0811TD"/>
      <sheetName val="0811SA"/>
      <sheetName val="August-11"/>
      <sheetName val="0911AA"/>
      <sheetName val="0911SA"/>
      <sheetName val="0911GP"/>
      <sheetName val="0911HS"/>
      <sheetName val="0911HM"/>
      <sheetName val="September-11"/>
      <sheetName val="1011AsM"/>
      <sheetName val="1011SH"/>
      <sheetName val="1011TD"/>
      <sheetName val="1011MB"/>
      <sheetName val="October-11"/>
      <sheetName val="1111NH 1"/>
      <sheetName val="1111KT"/>
      <sheetName val="1111NH 2"/>
      <sheetName val="November-11"/>
      <sheetName val="December-11"/>
      <sheetName val="1211LG"/>
      <sheetName val="1211AS"/>
      <sheetName val="January-12"/>
      <sheetName val="0112RM"/>
      <sheetName val="February-12"/>
      <sheetName val="March-12"/>
      <sheetName val="Increase &amp; Bonus 2011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484CR"/>
      <sheetName val="816Cr"/>
      <sheetName val="1000Cr"/>
      <sheetName val="PO 484CR"/>
      <sheetName val="PO 816CR"/>
      <sheetName val="PO 1000CR"/>
      <sheetName val="Data-in process"/>
      <sheetName val="Sheet1"/>
      <sheetName val="Sheet1 (2)"/>
      <sheetName val="Sheet1 (3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E"/>
      <sheetName val="Budget"/>
      <sheetName val="formulas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New Format Budget Y1-3"/>
      <sheetName val="Budget Summary  "/>
      <sheetName val=" Budget Y1  "/>
      <sheetName val="Budget Y2"/>
      <sheetName val="Budget Y3"/>
      <sheetName val="Drp Down Menu lists "/>
      <sheetName val="HK Budget"/>
      <sheetName val="Pricing Table"/>
      <sheetName val="LOE"/>
      <sheetName val="Activity - Detailed Budge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 Burkina Faso"/>
      <sheetName val="DETAIL Niger"/>
      <sheetName val="Travel Table"/>
      <sheetName val="Training"/>
      <sheetName val="NXP"/>
      <sheetName val="DETAIL_Burkina_Fas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ong-term project staff"/>
      <sheetName val="Short Term Technical Assistance"/>
      <sheetName val="Travel"/>
      <sheetName val="Other Direct Costs"/>
      <sheetName val="Allowances"/>
      <sheetName val="EDP"/>
      <sheetName val="formulas"/>
      <sheetName val="Long-term_project_staff"/>
      <sheetName val="Short_Term_Technical_Assistance"/>
      <sheetName val="Other_Direct_Costs"/>
      <sheetName val="Long-term_project_staff1"/>
      <sheetName val="Short_Term_Technical_Assistanc1"/>
      <sheetName val="Other_Direct_Cost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MOBIS Schedule-Salary Analysis"/>
      <sheetName val="Summary by Year"/>
      <sheetName val="Summary by CLIN"/>
      <sheetName val="Staffing List"/>
      <sheetName val="Profitability"/>
      <sheetName val="Schedule Items-Labor"/>
      <sheetName val="Summary-Non-Labor"/>
      <sheetName val="Schedule Items-Other"/>
      <sheetName val="Non-Sch ODCs"/>
      <sheetName val="Procurement"/>
      <sheetName val="Local Travel "/>
      <sheetName val="Project Activity ODCs"/>
      <sheetName val="CLIN Ref"/>
      <sheetName val="DAI CLIN 1"/>
      <sheetName val="DAI CLIN 2"/>
      <sheetName val="DAI CLIN 3"/>
      <sheetName val="DAI CLIN 4"/>
      <sheetName val="Assumptions"/>
      <sheetName val="MOBIS Labor Categories"/>
      <sheetName val="MOBIS Schedule"/>
      <sheetName val="MOBIS Sch Expat"/>
      <sheetName val="MOBIS Schedule CCN "/>
      <sheetName val="Referenc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SF424"/>
      <sheetName val="SF424A1"/>
      <sheetName val="SF424A2"/>
      <sheetName val="Links"/>
    </sheetNames>
    <sheetDataSet>
      <sheetData sheetId="0">
        <row r="1">
          <cell r="J1">
            <v>1.05</v>
          </cell>
        </row>
      </sheetData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Profitability"/>
      <sheetName val="Summary"/>
      <sheetName val="DAI Budget "/>
      <sheetName val="DevTech"/>
      <sheetName val="The M Group "/>
      <sheetName val="Office"/>
      <sheetName val="US FBR"/>
      <sheetName val="Assumptions"/>
      <sheetName val="Schedule Items-Labo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MAP-MF"/>
      <sheetName val="DAI Budget "/>
      <sheetName val="Pricin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AP-MF"/>
      <sheetName val="IT Specs"/>
      <sheetName val="Office Gear"/>
      <sheetName val="Assumptions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ervice Revenue"/>
      <sheetName val="Profitabilit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AMAP-M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arameters"/>
      <sheetName val="Back of Envelope"/>
      <sheetName val="1A. USAID Summary"/>
      <sheetName val="1B. Summary"/>
      <sheetName val="2. LOE"/>
      <sheetName val="3. Main Detailed"/>
      <sheetName val="4. Travel"/>
      <sheetName val="5. Allowances"/>
      <sheetName val="6. EVF"/>
      <sheetName val="7. CRS"/>
      <sheetName val="Subplan Goal Estimator"/>
      <sheetName val="Profit Analysis"/>
      <sheetName val="Unallowable Costs"/>
      <sheetName val="Back_of_Envelope"/>
      <sheetName val="1A__USAID_Summary"/>
      <sheetName val="1B__Summary"/>
      <sheetName val="2__LOE"/>
      <sheetName val="3__Main_Detailed"/>
      <sheetName val="4__Travel"/>
      <sheetName val="5__Allowances"/>
      <sheetName val="6__EVF"/>
      <sheetName val="7__CRS"/>
      <sheetName val="Subplan_Goal_Estimator"/>
      <sheetName val="Profit_Analysis"/>
      <sheetName val="Unallowable_Costs"/>
      <sheetName val="Back_of_Envelope1"/>
      <sheetName val="1A__USAID_Summary1"/>
      <sheetName val="1B__Summary1"/>
      <sheetName val="2__LOE1"/>
      <sheetName val="3__Main_Detailed1"/>
      <sheetName val="4__Travel1"/>
      <sheetName val="5__Allowances1"/>
      <sheetName val="6__EVF1"/>
      <sheetName val="7__CRS1"/>
      <sheetName val="Subplan_Goal_Estimator1"/>
      <sheetName val="Profit_Analysis1"/>
      <sheetName val="Unallowable_Costs1"/>
      <sheetName val="Back_of_Envelope2"/>
      <sheetName val="1A__USAID_Summary2"/>
      <sheetName val="1B__Summary2"/>
      <sheetName val="2__LOE2"/>
      <sheetName val="3__Main_Detailed2"/>
      <sheetName val="4__Travel2"/>
      <sheetName val="5__Allowances2"/>
      <sheetName val="6__EVF2"/>
      <sheetName val="7__CRS2"/>
      <sheetName val="Subplan_Goal_Estimator2"/>
      <sheetName val="Profit_Analysis2"/>
      <sheetName val="Unallowable_Cos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Entry"/>
      <sheetName val="mapping"/>
      <sheetName val="Categories"/>
      <sheetName val="TRANSACTION I3R Mar 200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udget"/>
      <sheetName val="Info"/>
      <sheetName val="Summary_Budget"/>
    </sheetNames>
    <sheetDataSet>
      <sheetData sheetId="0"/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Comp"/>
      <sheetName val="Summary by Year"/>
      <sheetName val="Summary by CLIN"/>
      <sheetName val="Summary Fee"/>
      <sheetName val="CLIN 1 Fee"/>
      <sheetName val="CLIN 2 Fee "/>
      <sheetName val="CLIN 3 Fee"/>
      <sheetName val="CLIN 4 Fee"/>
      <sheetName val="CLIN 5 Fee "/>
      <sheetName val="LABOR SUMMARY by CLIN"/>
      <sheetName val="Prof Labor by Year"/>
      <sheetName val="CCN Rates"/>
      <sheetName val="Prof Labor by CLIN"/>
      <sheetName val="Service &amp; Support Staff by Year"/>
      <sheetName val="Service &amp; Support by CLIN "/>
      <sheetName val="Fringe-US Expats by Year"/>
      <sheetName val="Fringe-US Expats by CLIN"/>
      <sheetName val="Social Charges-CCN by Year"/>
      <sheetName val="Social Charges-CCNs by CLIN"/>
      <sheetName val="Social Charges-S&amp;S by Year"/>
      <sheetName val="Social Charges-S&amp;S by CLIN"/>
      <sheetName val="Overhead-Prof Labor by Year"/>
      <sheetName val="Overhead-Prof Labor by CLIN"/>
      <sheetName val="Local Labor by Year"/>
      <sheetName val="Local Labor by CLIN"/>
      <sheetName val="LOCAL OH&amp;Soc. Costs"/>
      <sheetName val="Post Diff by Year"/>
      <sheetName val="Post Diff by CLIN"/>
      <sheetName val="Post Allow by Year"/>
      <sheetName val="Post Allow by CLIN"/>
      <sheetName val="Danger Pay by Year"/>
      <sheetName val="Danger Pay by CLIN"/>
      <sheetName val=" DBA-FGL by Year"/>
      <sheetName val=" DBA-FGL by CLIN"/>
      <sheetName val="US Allow by Year"/>
      <sheetName val="US Allow by CLIN"/>
      <sheetName val=" Travel-Start-up"/>
      <sheetName val="Local Travel by Year"/>
      <sheetName val=" Int'l Travel by Year"/>
      <sheetName val="Travel by CLIN"/>
      <sheetName val=" Program Support Costs"/>
      <sheetName val="Program Support Detail"/>
      <sheetName val="Computer Equipment"/>
      <sheetName val="Office Gear"/>
      <sheetName val="G&amp; C by Year"/>
      <sheetName val="G&amp;C by CLIN"/>
      <sheetName val="G&amp;C Detail"/>
      <sheetName val="Annex B Mtg-Wsh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TRIAL"/>
      <sheetName val="02CASH BANK"/>
      <sheetName val="03PAYABLE"/>
      <sheetName val="04EXPEND"/>
      <sheetName val="05TRA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 Values"/>
      <sheetName val="Formula_Values"/>
      <sheetName val="formulas"/>
      <sheetName val="Info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ob Cost"/>
      <sheetName val="Michael T."/>
      <sheetName val="COMPENSATION"/>
      <sheetName val="DAI Summary (CPFF)"/>
      <sheetName val="Salaries (CPFF)"/>
      <sheetName val="Fringe"/>
      <sheetName val="Overhead"/>
      <sheetName val="Gross Margin"/>
      <sheetName val="Profit Sum"/>
      <sheetName val="Labor Profit"/>
      <sheetName val="LOE Totals"/>
      <sheetName val="Sum By Yr"/>
      <sheetName val="Sum By Component"/>
      <sheetName val="Budget Comp 1"/>
      <sheetName val="Budget Comp 2 "/>
      <sheetName val="Budget Comp 3"/>
      <sheetName val="Budget Comp 4"/>
      <sheetName val="Budget Comp 5"/>
      <sheetName val="Est. Labor LOE by Comp."/>
      <sheetName val="ODCs"/>
      <sheetName val="Travel"/>
      <sheetName val="Allowances"/>
      <sheetName val="Training"/>
      <sheetName val="Equipment"/>
      <sheetName val="Severence Pay"/>
      <sheetName val="OTF Sum"/>
      <sheetName val="WRI Sum"/>
      <sheetName val="changes"/>
      <sheetName val="Changes2"/>
      <sheetName val="Assumptions"/>
      <sheetName val="Labor By Comp"/>
      <sheetName val="MOBIS Days"/>
      <sheetName val="Salaries"/>
      <sheetName val="TQSA Calc"/>
      <sheetName val="HH Exp Calc"/>
      <sheetName val="OTF Budget"/>
      <sheetName val="WRI Budget"/>
      <sheetName val="MOBIS Schedule"/>
      <sheetName val="Subcontracts"/>
      <sheetName val="IRM (old)"/>
      <sheetName val="IRM (dai)"/>
      <sheetName val="PACT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 Program Support 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SF 1411"/>
      <sheetName val="Budget Summary by Cost Element"/>
      <sheetName val="LTTA and STTA Summary"/>
      <sheetName val="Summary Staffing Matrix"/>
      <sheetName val="5-Year Detailed Budget Estimate"/>
      <sheetName val="Rate Approval Request"/>
      <sheetName val="CCN Social Cost Estimate"/>
      <sheetName val="Travel Fares Analysis"/>
      <sheetName val="IRG Inflation &amp; Merit Factors"/>
      <sheetName val="IQC Labor categories"/>
      <sheetName val="Graph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424"/>
      <sheetName val="SF424-A"/>
      <sheetName val="SUMMARY"/>
      <sheetName val="DETAIL"/>
    </sheetNames>
    <sheetDataSet>
      <sheetData sheetId="0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424A"/>
      <sheetName val="SF424"/>
      <sheetName val="SUMMARY"/>
      <sheetName val="DETAIL"/>
      <sheetName val="STTA LOE"/>
      <sheetName val="STTA_LOE"/>
      <sheetName val="STTA_LOE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D SUMMARY BUDGET"/>
      <sheetName val="AED DETAILED BUDGET"/>
      <sheetName val="AED EQUIPMENT SCHEDULE"/>
      <sheetName val="KEC"/>
      <sheetName val="AED_SUMMARY_BUDGET"/>
      <sheetName val="AED_DETAILED_BUDGET"/>
      <sheetName val="AED_EQUIPMENT_SCHEDULE"/>
      <sheetName val="AED_SUMMARY_BUDGET1"/>
      <sheetName val="AED_DETAILED_BUDGET1"/>
      <sheetName val="AED_EQUIPMENT_SCHE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javascript:fin_gldrill('',0,59,'04/30/2024','12/31/2018','04/30/2024','Allocations;true','','','%7B%22_obj__acctgrp%22:%22Expenditures%22,%22_obj__ITEMID_SUBS%22:%22false%22,%22_obj__loc%22:%22Combined_Entities--Combined%20Entities%22,%22_obj__ytdbal%22:%22false%22,%22_obj__reportingBook%22:%22ACCRUAL%22,%22_obj__ADJUSTMENTBOOK%22:%22Allocations%22,%22_obj__INCLUDEREPBOOK%22:%22true%22,%22_projectdimkey%22:%221220%22,%22_itemdimkey%22:%221785%22,%22_obj__dept%22:%22%22%7D')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5"/>
  <sheetViews>
    <sheetView topLeftCell="A27" zoomScale="110" zoomScaleNormal="110" workbookViewId="0">
      <selection activeCell="F36" sqref="F36"/>
    </sheetView>
  </sheetViews>
  <sheetFormatPr defaultColWidth="8.83203125" defaultRowHeight="12.6"/>
  <cols>
    <col min="1" max="1" width="62.5546875" style="5" customWidth="1"/>
    <col min="2" max="2" width="19.1640625" style="70" customWidth="1"/>
    <col min="3" max="3" width="21.5546875" style="5" bestFit="1" customWidth="1"/>
    <col min="4" max="4" width="15.5546875" style="5" customWidth="1"/>
    <col min="5" max="5" width="18.44140625" style="5" customWidth="1"/>
    <col min="6" max="6" width="17.83203125" style="5" bestFit="1" customWidth="1"/>
    <col min="7" max="7" width="8.83203125" style="5"/>
    <col min="8" max="8" width="10.38671875" style="5" bestFit="1" customWidth="1"/>
    <col min="9" max="16384" width="8.83203125" style="5"/>
  </cols>
  <sheetData>
    <row r="1" spans="1:6" ht="19.8">
      <c r="A1" s="625" t="s">
        <v>0</v>
      </c>
      <c r="B1" s="625"/>
      <c r="C1" s="625"/>
      <c r="D1" s="625"/>
      <c r="E1" s="625"/>
      <c r="F1" s="625"/>
    </row>
    <row r="2" spans="1:6" ht="17.399999999999999">
      <c r="A2" s="626" t="s">
        <v>1</v>
      </c>
      <c r="B2" s="626"/>
      <c r="C2" s="626"/>
      <c r="D2" s="626"/>
      <c r="E2" s="626"/>
      <c r="F2" s="626"/>
    </row>
    <row r="3" spans="1:6" ht="15.3">
      <c r="A3" s="371"/>
      <c r="B3" s="372"/>
      <c r="C3" s="371"/>
      <c r="D3" s="373"/>
      <c r="E3" s="371"/>
      <c r="F3" s="371"/>
    </row>
    <row r="4" spans="1:6" ht="15.3">
      <c r="A4" s="374" t="s">
        <v>2</v>
      </c>
      <c r="B4" s="477" t="s">
        <v>3</v>
      </c>
      <c r="C4" s="371"/>
      <c r="D4" s="373"/>
      <c r="E4" s="371"/>
      <c r="F4" s="371"/>
    </row>
    <row r="5" spans="1:6" ht="15.3">
      <c r="A5" s="374" t="s">
        <v>4</v>
      </c>
      <c r="B5" s="477" t="s">
        <v>5</v>
      </c>
      <c r="C5" s="371"/>
      <c r="D5" s="373"/>
      <c r="E5" s="371"/>
      <c r="F5" s="371"/>
    </row>
    <row r="6" spans="1:6" ht="15.3">
      <c r="A6" s="374" t="s">
        <v>6</v>
      </c>
      <c r="B6" s="477" t="s">
        <v>7</v>
      </c>
      <c r="C6" s="371"/>
      <c r="D6" s="373"/>
      <c r="E6" s="371"/>
      <c r="F6" s="371"/>
    </row>
    <row r="7" spans="1:6" ht="15.3">
      <c r="A7" s="374" t="s">
        <v>8</v>
      </c>
      <c r="B7" s="478" t="s">
        <v>9</v>
      </c>
      <c r="C7" s="371"/>
      <c r="D7" s="373"/>
      <c r="E7" s="371"/>
      <c r="F7" s="371"/>
    </row>
    <row r="8" spans="1:6" ht="15.3">
      <c r="A8" s="374" t="s">
        <v>10</v>
      </c>
      <c r="B8" s="477" t="s">
        <v>11</v>
      </c>
      <c r="C8" s="371"/>
      <c r="D8" s="373"/>
      <c r="E8" s="371"/>
      <c r="F8" s="371"/>
    </row>
    <row r="9" spans="1:6" ht="15.3">
      <c r="A9" s="371"/>
      <c r="B9" s="372"/>
      <c r="C9" s="371"/>
      <c r="D9" s="373"/>
      <c r="E9" s="371"/>
      <c r="F9" s="371"/>
    </row>
    <row r="10" spans="1:6" ht="15">
      <c r="A10" s="627" t="s">
        <v>12</v>
      </c>
      <c r="B10" s="627"/>
      <c r="C10" s="627"/>
      <c r="D10" s="627"/>
      <c r="E10" s="627"/>
      <c r="F10" s="627"/>
    </row>
    <row r="11" spans="1:6" ht="45">
      <c r="A11" s="375" t="s">
        <v>13</v>
      </c>
      <c r="B11" s="376" t="s">
        <v>14</v>
      </c>
      <c r="C11" s="375" t="s">
        <v>15</v>
      </c>
      <c r="D11" s="377" t="s">
        <v>16</v>
      </c>
      <c r="E11" s="377" t="s">
        <v>17</v>
      </c>
      <c r="F11" s="375" t="s">
        <v>18</v>
      </c>
    </row>
    <row r="12" spans="1:6" ht="15.3">
      <c r="A12" s="378"/>
      <c r="B12" s="550" t="s">
        <v>19</v>
      </c>
      <c r="C12" s="551">
        <v>21924000</v>
      </c>
      <c r="D12" s="379">
        <v>9591750</v>
      </c>
      <c r="E12" s="379">
        <v>2280000</v>
      </c>
      <c r="F12" s="551">
        <v>33795750</v>
      </c>
    </row>
    <row r="13" spans="1:6" ht="15.3">
      <c r="A13" s="378"/>
      <c r="B13" s="550" t="s">
        <v>9</v>
      </c>
      <c r="C13" s="551">
        <v>9000000</v>
      </c>
      <c r="D13" s="379">
        <v>0</v>
      </c>
      <c r="E13" s="379">
        <v>0</v>
      </c>
      <c r="F13" s="551">
        <f>E13+D13+C13</f>
        <v>9000000</v>
      </c>
    </row>
    <row r="14" spans="1:6" ht="15.3">
      <c r="A14" s="380"/>
      <c r="B14" s="381"/>
      <c r="C14" s="552"/>
      <c r="D14" s="638"/>
      <c r="E14" s="638"/>
      <c r="F14" s="638"/>
    </row>
    <row r="15" spans="1:6" ht="15">
      <c r="A15" s="627" t="s">
        <v>20</v>
      </c>
      <c r="B15" s="627"/>
      <c r="C15" s="627"/>
      <c r="D15" s="627"/>
      <c r="E15" s="627"/>
      <c r="F15" s="627"/>
    </row>
    <row r="16" spans="1:6" ht="45">
      <c r="A16" s="382" t="s">
        <v>21</v>
      </c>
      <c r="B16" s="383" t="s">
        <v>22</v>
      </c>
      <c r="C16" s="382" t="s">
        <v>23</v>
      </c>
      <c r="D16" s="384" t="s">
        <v>24</v>
      </c>
      <c r="E16" s="382" t="s">
        <v>25</v>
      </c>
      <c r="F16" s="382" t="s">
        <v>26</v>
      </c>
    </row>
    <row r="17" spans="1:8" ht="15.3">
      <c r="A17" s="628" t="s">
        <v>27</v>
      </c>
      <c r="B17" s="629"/>
      <c r="C17" s="629"/>
      <c r="D17" s="629"/>
      <c r="E17" s="629"/>
      <c r="F17" s="630"/>
    </row>
    <row r="18" spans="1:8" ht="15.3">
      <c r="A18" s="594" t="s">
        <v>28</v>
      </c>
      <c r="B18" s="595">
        <f>'Program Budget'!T48-C18</f>
        <v>1352931.1816824998</v>
      </c>
      <c r="C18" s="596">
        <v>430000</v>
      </c>
      <c r="D18" s="597">
        <f>'Program Budget'!U48</f>
        <v>0</v>
      </c>
      <c r="E18" s="595">
        <f>B18+C18</f>
        <v>1782931.1816824998</v>
      </c>
      <c r="F18" s="595">
        <f>B18+C18+D18</f>
        <v>1782931.1816824998</v>
      </c>
    </row>
    <row r="19" spans="1:8" ht="15.3">
      <c r="A19" s="594" t="s">
        <v>29</v>
      </c>
      <c r="B19" s="595">
        <f>'Program Budget'!T60-C19</f>
        <v>735534.8905442867</v>
      </c>
      <c r="C19" s="595">
        <v>225648</v>
      </c>
      <c r="D19" s="597">
        <f>'Program Budget'!U60</f>
        <v>0</v>
      </c>
      <c r="E19" s="595">
        <f t="shared" ref="E19:E25" si="0">B19+C19</f>
        <v>961182.8905442867</v>
      </c>
      <c r="F19" s="595">
        <f t="shared" ref="F19:F25" si="1">B19+C19+D19</f>
        <v>961182.8905442867</v>
      </c>
    </row>
    <row r="20" spans="1:8" ht="15.3">
      <c r="A20" s="594" t="s">
        <v>30</v>
      </c>
      <c r="B20" s="595">
        <f>'Program Budget'!T77-C20</f>
        <v>258899.221708</v>
      </c>
      <c r="C20" s="596">
        <v>39104</v>
      </c>
      <c r="D20" s="597">
        <f>'Program Budget'!U77</f>
        <v>0</v>
      </c>
      <c r="E20" s="595">
        <f t="shared" si="0"/>
        <v>298003.221708</v>
      </c>
      <c r="F20" s="595">
        <f t="shared" si="1"/>
        <v>298003.221708</v>
      </c>
    </row>
    <row r="21" spans="1:8" ht="15.3">
      <c r="A21" s="594" t="s">
        <v>31</v>
      </c>
      <c r="B21" s="595">
        <f>'Program Budget'!T101-C21</f>
        <v>1563376.88</v>
      </c>
      <c r="C21" s="596">
        <v>862147.25</v>
      </c>
      <c r="D21" s="597">
        <f>'Program Budget'!U101</f>
        <v>0</v>
      </c>
      <c r="E21" s="595">
        <f t="shared" si="0"/>
        <v>2425524.13</v>
      </c>
      <c r="F21" s="595">
        <f t="shared" si="1"/>
        <v>2425524.13</v>
      </c>
    </row>
    <row r="22" spans="1:8" ht="15.3">
      <c r="A22" s="594" t="s">
        <v>32</v>
      </c>
      <c r="B22" s="595">
        <f>'Program Budget'!T106-C22</f>
        <v>0</v>
      </c>
      <c r="C22" s="596">
        <v>72554.429999999993</v>
      </c>
      <c r="D22" s="597">
        <f>'Program Budget'!U106</f>
        <v>0</v>
      </c>
      <c r="E22" s="595">
        <f t="shared" si="0"/>
        <v>72554.429999999993</v>
      </c>
      <c r="F22" s="595">
        <f t="shared" si="1"/>
        <v>72554.429999999993</v>
      </c>
    </row>
    <row r="23" spans="1:8" ht="15.3">
      <c r="A23" s="594" t="s">
        <v>33</v>
      </c>
      <c r="B23" s="595">
        <f>'Program Budget'!T118-C23</f>
        <v>448367.27092800004</v>
      </c>
      <c r="C23" s="596">
        <v>81389.570000000007</v>
      </c>
      <c r="D23" s="597">
        <f>'Program Budget'!U118</f>
        <v>0</v>
      </c>
      <c r="E23" s="595">
        <f t="shared" si="0"/>
        <v>529756.84092800005</v>
      </c>
      <c r="F23" s="595">
        <f t="shared" si="1"/>
        <v>529756.84092800005</v>
      </c>
    </row>
    <row r="24" spans="1:8" ht="15.3">
      <c r="A24" s="594" t="s">
        <v>34</v>
      </c>
      <c r="B24" s="595">
        <f>'Program Budget'!T129-C24</f>
        <v>159456.87799999997</v>
      </c>
      <c r="C24" s="596">
        <v>41096</v>
      </c>
      <c r="D24" s="597">
        <f>'Program Budget'!U129</f>
        <v>0</v>
      </c>
      <c r="E24" s="595">
        <f t="shared" si="0"/>
        <v>200552.87799999997</v>
      </c>
      <c r="F24" s="595">
        <f t="shared" si="1"/>
        <v>200552.87799999997</v>
      </c>
      <c r="H24" s="433"/>
    </row>
    <row r="25" spans="1:8" ht="15.3">
      <c r="A25" s="594" t="s">
        <v>35</v>
      </c>
      <c r="B25" s="595">
        <f>'Program Budget'!T141-C25</f>
        <v>64958.728000000003</v>
      </c>
      <c r="C25" s="596">
        <v>19760</v>
      </c>
      <c r="D25" s="597">
        <f>'Program Budget'!U141</f>
        <v>0</v>
      </c>
      <c r="E25" s="595">
        <f t="shared" si="0"/>
        <v>84718.728000000003</v>
      </c>
      <c r="F25" s="595">
        <f t="shared" si="1"/>
        <v>84718.728000000003</v>
      </c>
      <c r="H25" s="71"/>
    </row>
    <row r="26" spans="1:8" s="30" customFormat="1" ht="15">
      <c r="A26" s="385" t="s">
        <v>36</v>
      </c>
      <c r="B26" s="386">
        <f>SUM(B18:B25)</f>
        <v>4583525.0508627864</v>
      </c>
      <c r="C26" s="386">
        <f t="shared" ref="C26:F26" si="2">SUM(C18:C25)</f>
        <v>1771699.25</v>
      </c>
      <c r="D26" s="386">
        <f t="shared" si="2"/>
        <v>0</v>
      </c>
      <c r="E26" s="386">
        <f t="shared" si="2"/>
        <v>6355224.3008627864</v>
      </c>
      <c r="F26" s="386">
        <f t="shared" si="2"/>
        <v>6355224.3008627864</v>
      </c>
    </row>
    <row r="27" spans="1:8" ht="15.3">
      <c r="A27" s="631"/>
      <c r="B27" s="631"/>
      <c r="C27" s="631"/>
      <c r="D27" s="631"/>
      <c r="E27" s="631"/>
      <c r="F27" s="387"/>
      <c r="H27" s="71"/>
    </row>
    <row r="28" spans="1:8" ht="15.3">
      <c r="A28" s="632" t="s">
        <v>37</v>
      </c>
      <c r="B28" s="629"/>
      <c r="C28" s="629"/>
      <c r="D28" s="629"/>
      <c r="E28" s="629"/>
      <c r="F28" s="633"/>
    </row>
    <row r="29" spans="1:8" ht="30.6">
      <c r="A29" s="388" t="s">
        <v>38</v>
      </c>
      <c r="B29" s="389">
        <f>'Program Budget'!T195</f>
        <v>272696.75</v>
      </c>
      <c r="C29" s="389">
        <v>0</v>
      </c>
      <c r="D29" s="389">
        <f>'Program Budget'!U195</f>
        <v>0</v>
      </c>
      <c r="E29" s="389">
        <f>B29+C29</f>
        <v>272696.75</v>
      </c>
      <c r="F29" s="389">
        <f t="shared" ref="F29" si="3">B29+C29+D29</f>
        <v>272696.75</v>
      </c>
    </row>
    <row r="30" spans="1:8" ht="30.6">
      <c r="A30" s="388" t="s">
        <v>39</v>
      </c>
      <c r="B30" s="389">
        <f>'Program Budget'!T272</f>
        <v>2209930.0967690814</v>
      </c>
      <c r="C30" s="389">
        <v>0</v>
      </c>
      <c r="D30" s="389">
        <f>'Program Budget'!U272</f>
        <v>312219.19</v>
      </c>
      <c r="E30" s="389">
        <f t="shared" ref="E30:E36" si="4">B30+C30</f>
        <v>2209930.0967690814</v>
      </c>
      <c r="F30" s="389">
        <f t="shared" ref="F30:F36" si="5">B30+C30+D30</f>
        <v>2522149.2867690814</v>
      </c>
    </row>
    <row r="31" spans="1:8" ht="15.3">
      <c r="A31" s="388" t="s">
        <v>40</v>
      </c>
      <c r="B31" s="389">
        <f>'Program Budget'!T369</f>
        <v>7469424.7042913325</v>
      </c>
      <c r="C31" s="389">
        <v>0</v>
      </c>
      <c r="D31" s="389">
        <f>'Program Budget'!U369</f>
        <v>939590.56</v>
      </c>
      <c r="E31" s="389">
        <f t="shared" si="4"/>
        <v>7469424.7042913325</v>
      </c>
      <c r="F31" s="389">
        <f t="shared" si="5"/>
        <v>8409015.264291333</v>
      </c>
    </row>
    <row r="32" spans="1:8" ht="15.3">
      <c r="A32" s="388" t="s">
        <v>41</v>
      </c>
      <c r="B32" s="389">
        <f>'Program Budget'!T442</f>
        <v>1992268.164910662</v>
      </c>
      <c r="C32" s="389">
        <v>0</v>
      </c>
      <c r="D32" s="389">
        <f>'Program Budget'!U442</f>
        <v>141928.5</v>
      </c>
      <c r="E32" s="389">
        <f t="shared" si="4"/>
        <v>1992268.164910662</v>
      </c>
      <c r="F32" s="389">
        <f t="shared" si="5"/>
        <v>2134196.664910662</v>
      </c>
    </row>
    <row r="33" spans="1:6" ht="30.6">
      <c r="A33" s="465" t="s">
        <v>42</v>
      </c>
      <c r="B33" s="389">
        <f>'Program Budget'!T516</f>
        <v>1105173.6343967868</v>
      </c>
      <c r="C33" s="389">
        <v>0</v>
      </c>
      <c r="D33" s="389">
        <f>'Program Budget'!U516</f>
        <v>584189.75</v>
      </c>
      <c r="E33" s="389">
        <f t="shared" si="4"/>
        <v>1105173.6343967868</v>
      </c>
      <c r="F33" s="389">
        <f t="shared" si="5"/>
        <v>1689363.3843967868</v>
      </c>
    </row>
    <row r="34" spans="1:6" ht="15.3">
      <c r="A34" s="465" t="s">
        <v>43</v>
      </c>
      <c r="B34" s="389">
        <f>'Program Budget'!T596</f>
        <v>819624.40401920001</v>
      </c>
      <c r="C34" s="389">
        <v>0</v>
      </c>
      <c r="D34" s="389">
        <f>'Program Budget'!U596</f>
        <v>0</v>
      </c>
      <c r="E34" s="389">
        <f t="shared" si="4"/>
        <v>819624.40401920001</v>
      </c>
      <c r="F34" s="389">
        <f t="shared" si="5"/>
        <v>819624.40401920001</v>
      </c>
    </row>
    <row r="35" spans="1:6" ht="15.3">
      <c r="A35" s="465" t="s">
        <v>44</v>
      </c>
      <c r="B35" s="389">
        <f>'Program Budget'!T666</f>
        <v>1274251.0083335619</v>
      </c>
      <c r="C35" s="389">
        <v>0</v>
      </c>
      <c r="D35" s="389">
        <f>'Program Budget'!U666</f>
        <v>0</v>
      </c>
      <c r="E35" s="389">
        <f t="shared" si="4"/>
        <v>1274251.0083335619</v>
      </c>
      <c r="F35" s="389">
        <f t="shared" si="5"/>
        <v>1274251.0083335619</v>
      </c>
    </row>
    <row r="36" spans="1:6" ht="30.6">
      <c r="A36" s="465" t="s">
        <v>45</v>
      </c>
      <c r="B36" s="389">
        <f>'Program Budget'!T729</f>
        <v>3539784.7614192003</v>
      </c>
      <c r="C36" s="389">
        <v>0</v>
      </c>
      <c r="D36" s="389">
        <f>'Program Budget'!U729</f>
        <v>0</v>
      </c>
      <c r="E36" s="389">
        <f t="shared" si="4"/>
        <v>3539784.7614192003</v>
      </c>
      <c r="F36" s="389">
        <f t="shared" si="5"/>
        <v>3539784.7614192003</v>
      </c>
    </row>
    <row r="37" spans="1:6" s="30" customFormat="1" ht="15">
      <c r="A37" s="390" t="s">
        <v>46</v>
      </c>
      <c r="B37" s="391">
        <f>SUM(B29:B36)</f>
        <v>18683153.524139825</v>
      </c>
      <c r="C37" s="391">
        <f t="shared" ref="C37:F37" si="6">SUM(C29:C36)</f>
        <v>0</v>
      </c>
      <c r="D37" s="391">
        <f t="shared" si="6"/>
        <v>1977928</v>
      </c>
      <c r="E37" s="391">
        <f t="shared" si="6"/>
        <v>18683153.524139825</v>
      </c>
      <c r="F37" s="391">
        <f t="shared" si="6"/>
        <v>20661081.524139822</v>
      </c>
    </row>
    <row r="38" spans="1:6" ht="15.3">
      <c r="A38" s="393"/>
      <c r="B38" s="387"/>
      <c r="C38" s="394"/>
      <c r="D38" s="395"/>
      <c r="E38" s="387"/>
      <c r="F38" s="387"/>
    </row>
    <row r="39" spans="1:6" ht="15.3">
      <c r="A39" s="632" t="s">
        <v>47</v>
      </c>
      <c r="B39" s="634"/>
      <c r="C39" s="634"/>
      <c r="D39" s="634"/>
      <c r="E39" s="634"/>
      <c r="F39" s="633"/>
    </row>
    <row r="40" spans="1:6" ht="15.3">
      <c r="A40" s="396" t="s">
        <v>48</v>
      </c>
      <c r="B40" s="389">
        <v>0</v>
      </c>
      <c r="C40" s="397">
        <v>0</v>
      </c>
      <c r="D40" s="398">
        <v>0</v>
      </c>
      <c r="E40" s="389">
        <f>B40+C40</f>
        <v>0</v>
      </c>
      <c r="F40" s="389">
        <f>B40+C40+D40</f>
        <v>0</v>
      </c>
    </row>
    <row r="41" spans="1:6" ht="15.3">
      <c r="A41" s="399" t="s">
        <v>49</v>
      </c>
      <c r="B41" s="400"/>
      <c r="C41" s="400"/>
      <c r="D41" s="400"/>
      <c r="E41" s="400"/>
      <c r="F41" s="400"/>
    </row>
    <row r="42" spans="1:6" ht="15.3">
      <c r="A42" s="399" t="s">
        <v>50</v>
      </c>
      <c r="B42" s="400"/>
      <c r="C42" s="400"/>
      <c r="D42" s="400"/>
      <c r="E42" s="400"/>
      <c r="F42" s="400"/>
    </row>
    <row r="43" spans="1:6" s="30" customFormat="1" ht="15">
      <c r="A43" s="390" t="s">
        <v>51</v>
      </c>
      <c r="B43" s="391">
        <f>SUM(B40:B42)</f>
        <v>0</v>
      </c>
      <c r="C43" s="391">
        <f>SUM(C40:C42)</f>
        <v>0</v>
      </c>
      <c r="D43" s="391">
        <f>SUM(D40:D42)</f>
        <v>0</v>
      </c>
      <c r="E43" s="391">
        <f>SUM(E40:E42)</f>
        <v>0</v>
      </c>
      <c r="F43" s="391">
        <f>SUM(F40:F42)</f>
        <v>0</v>
      </c>
    </row>
    <row r="44" spans="1:6" ht="15.3">
      <c r="A44" s="393"/>
      <c r="B44" s="387"/>
      <c r="C44" s="394"/>
      <c r="D44" s="395"/>
      <c r="E44" s="387"/>
      <c r="F44" s="387"/>
    </row>
    <row r="45" spans="1:6" ht="15.3">
      <c r="A45" s="632" t="s">
        <v>52</v>
      </c>
      <c r="B45" s="629"/>
      <c r="C45" s="629"/>
      <c r="D45" s="629"/>
      <c r="E45" s="629"/>
      <c r="F45" s="633"/>
    </row>
    <row r="46" spans="1:6" ht="15.3">
      <c r="A46" s="401" t="s">
        <v>53</v>
      </c>
      <c r="B46" s="389">
        <v>0</v>
      </c>
      <c r="C46" s="389">
        <v>0</v>
      </c>
      <c r="D46" s="398">
        <v>0</v>
      </c>
      <c r="E46" s="389">
        <f t="shared" ref="E46:E52" si="7">B46+C46</f>
        <v>0</v>
      </c>
      <c r="F46" s="389">
        <f>B46+C46+D46</f>
        <v>0</v>
      </c>
    </row>
    <row r="47" spans="1:6" ht="15.3">
      <c r="A47" s="388" t="s">
        <v>29</v>
      </c>
      <c r="B47" s="389">
        <v>0</v>
      </c>
      <c r="C47" s="389">
        <v>0</v>
      </c>
      <c r="D47" s="398">
        <v>0</v>
      </c>
      <c r="E47" s="389">
        <f t="shared" si="7"/>
        <v>0</v>
      </c>
      <c r="F47" s="389">
        <f t="shared" ref="F47:F52" si="8">B47+C47+D47</f>
        <v>0</v>
      </c>
    </row>
    <row r="48" spans="1:6" ht="15.3">
      <c r="A48" s="388" t="s">
        <v>54</v>
      </c>
      <c r="B48" s="389">
        <v>0</v>
      </c>
      <c r="C48" s="389">
        <v>0</v>
      </c>
      <c r="D48" s="398">
        <v>0</v>
      </c>
      <c r="E48" s="389">
        <f t="shared" si="7"/>
        <v>0</v>
      </c>
      <c r="F48" s="389">
        <f t="shared" si="8"/>
        <v>0</v>
      </c>
    </row>
    <row r="49" spans="1:6" ht="15.3">
      <c r="A49" s="388" t="s">
        <v>55</v>
      </c>
      <c r="B49" s="389">
        <v>0</v>
      </c>
      <c r="C49" s="389">
        <v>0</v>
      </c>
      <c r="D49" s="398">
        <f>0</f>
        <v>0</v>
      </c>
      <c r="E49" s="389">
        <f t="shared" si="7"/>
        <v>0</v>
      </c>
      <c r="F49" s="389">
        <f t="shared" si="8"/>
        <v>0</v>
      </c>
    </row>
    <row r="50" spans="1:6" ht="15.3">
      <c r="A50" s="388" t="s">
        <v>56</v>
      </c>
      <c r="B50" s="389">
        <v>0</v>
      </c>
      <c r="C50" s="389">
        <v>0</v>
      </c>
      <c r="D50" s="398">
        <v>0</v>
      </c>
      <c r="E50" s="389">
        <f t="shared" si="7"/>
        <v>0</v>
      </c>
      <c r="F50" s="389">
        <f t="shared" si="8"/>
        <v>0</v>
      </c>
    </row>
    <row r="51" spans="1:6" ht="15.3">
      <c r="A51" s="388" t="s">
        <v>34</v>
      </c>
      <c r="B51" s="389">
        <v>0</v>
      </c>
      <c r="C51" s="389">
        <v>0</v>
      </c>
      <c r="D51" s="398">
        <v>0</v>
      </c>
      <c r="E51" s="389">
        <f t="shared" si="7"/>
        <v>0</v>
      </c>
      <c r="F51" s="389">
        <f t="shared" si="8"/>
        <v>0</v>
      </c>
    </row>
    <row r="52" spans="1:6" ht="15.3">
      <c r="A52" s="388" t="s">
        <v>35</v>
      </c>
      <c r="B52" s="389">
        <v>0</v>
      </c>
      <c r="C52" s="389">
        <v>0</v>
      </c>
      <c r="D52" s="398">
        <v>0</v>
      </c>
      <c r="E52" s="389">
        <f t="shared" si="7"/>
        <v>0</v>
      </c>
      <c r="F52" s="389">
        <f t="shared" si="8"/>
        <v>0</v>
      </c>
    </row>
    <row r="53" spans="1:6" s="30" customFormat="1" ht="15">
      <c r="A53" s="402" t="s">
        <v>57</v>
      </c>
      <c r="B53" s="391">
        <f>SUM(B46:B52)</f>
        <v>0</v>
      </c>
      <c r="C53" s="391">
        <v>0</v>
      </c>
      <c r="D53" s="392">
        <f>SUM(D46:D52)</f>
        <v>0</v>
      </c>
      <c r="E53" s="392">
        <f>SUM(E46:E52)</f>
        <v>0</v>
      </c>
      <c r="F53" s="391">
        <f>SUM(F46:F52)</f>
        <v>0</v>
      </c>
    </row>
    <row r="54" spans="1:6" ht="15.3">
      <c r="A54" s="403"/>
      <c r="B54" s="404"/>
      <c r="C54" s="405"/>
      <c r="D54" s="406"/>
      <c r="E54" s="405"/>
      <c r="F54" s="389"/>
    </row>
    <row r="55" spans="1:6" s="30" customFormat="1" ht="15">
      <c r="A55" s="402" t="s">
        <v>58</v>
      </c>
      <c r="B55" s="407">
        <f>B26+B37+B53+B43</f>
        <v>23266678.575002611</v>
      </c>
      <c r="C55" s="407">
        <f>C26+C37+C53+C43</f>
        <v>1771699.25</v>
      </c>
      <c r="D55" s="408">
        <f>D26+D37+D53+D43</f>
        <v>1977928</v>
      </c>
      <c r="E55" s="407">
        <f>E43+E37+E26+E53</f>
        <v>25038377.825002611</v>
      </c>
      <c r="F55" s="407">
        <f>F43+F37+F26+F53</f>
        <v>27016305.825002607</v>
      </c>
    </row>
    <row r="56" spans="1:6" ht="15.3">
      <c r="A56" s="409"/>
      <c r="B56" s="410"/>
      <c r="C56" s="410"/>
      <c r="D56" s="411"/>
      <c r="E56" s="410"/>
      <c r="F56" s="387"/>
    </row>
    <row r="57" spans="1:6" ht="15.3">
      <c r="A57" s="635" t="s">
        <v>59</v>
      </c>
      <c r="B57" s="636"/>
      <c r="C57" s="636"/>
      <c r="D57" s="636"/>
      <c r="E57" s="636"/>
      <c r="F57" s="637"/>
    </row>
    <row r="58" spans="1:6" ht="15.3">
      <c r="A58" s="412" t="s">
        <v>60</v>
      </c>
      <c r="B58" s="413">
        <f>Admin!T144-C58</f>
        <v>1320067.4779204149</v>
      </c>
      <c r="C58" s="413">
        <v>508300.75</v>
      </c>
      <c r="D58" s="400"/>
      <c r="E58" s="414">
        <f>B58+C58</f>
        <v>1828368.2279204149</v>
      </c>
      <c r="F58" s="400"/>
    </row>
    <row r="59" spans="1:6" ht="15.3">
      <c r="A59" s="412" t="s">
        <v>61</v>
      </c>
      <c r="B59" s="415">
        <f>'Program Budget'!T739-E58</f>
        <v>4476117.8475269629</v>
      </c>
      <c r="C59" s="415">
        <f>C37*0.2828</f>
        <v>0</v>
      </c>
      <c r="D59" s="400"/>
      <c r="E59" s="416">
        <f>B59+C59</f>
        <v>4476117.8475269629</v>
      </c>
      <c r="F59" s="400"/>
    </row>
    <row r="60" spans="1:6" ht="15.3">
      <c r="A60" s="385" t="s">
        <v>62</v>
      </c>
      <c r="B60" s="415">
        <f>B43*0.2828</f>
        <v>0</v>
      </c>
      <c r="C60" s="415">
        <f>C43*0.2828</f>
        <v>0</v>
      </c>
      <c r="D60" s="400"/>
      <c r="E60" s="416">
        <f>B60+C60</f>
        <v>0</v>
      </c>
      <c r="F60" s="400"/>
    </row>
    <row r="61" spans="1:6" ht="15.3">
      <c r="A61" s="417" t="s">
        <v>63</v>
      </c>
      <c r="B61" s="415">
        <f>B53*0.2828</f>
        <v>0</v>
      </c>
      <c r="C61" s="415">
        <f>C53*0.2828</f>
        <v>0</v>
      </c>
      <c r="D61" s="400"/>
      <c r="E61" s="416">
        <f>B61+C61</f>
        <v>0</v>
      </c>
      <c r="F61" s="400"/>
    </row>
    <row r="62" spans="1:6" ht="15.3">
      <c r="A62" s="385" t="s">
        <v>64</v>
      </c>
      <c r="B62" s="572">
        <f>SUM(B58:B61)</f>
        <v>5796185.3254473777</v>
      </c>
      <c r="C62" s="572">
        <f>SUM(C58:C61)</f>
        <v>508300.75</v>
      </c>
      <c r="D62" s="573"/>
      <c r="E62" s="574">
        <f>SUM(E58:E61)</f>
        <v>6304486.0754473777</v>
      </c>
      <c r="F62" s="400"/>
    </row>
    <row r="63" spans="1:6" ht="15.3">
      <c r="A63" s="418"/>
      <c r="B63" s="419"/>
      <c r="C63" s="419"/>
      <c r="D63" s="419"/>
      <c r="E63" s="419"/>
      <c r="F63" s="420"/>
    </row>
    <row r="64" spans="1:6" ht="15.3">
      <c r="A64" s="421" t="s">
        <v>65</v>
      </c>
      <c r="B64" s="400"/>
      <c r="C64" s="400"/>
      <c r="D64" s="400"/>
      <c r="E64" s="400"/>
      <c r="F64" s="415">
        <f>932916</f>
        <v>932916</v>
      </c>
    </row>
    <row r="65" spans="1:6" ht="15.3">
      <c r="A65" s="422"/>
      <c r="B65" s="423"/>
      <c r="C65" s="424"/>
      <c r="D65" s="425"/>
      <c r="E65" s="424"/>
      <c r="F65" s="426"/>
    </row>
    <row r="66" spans="1:6" s="30" customFormat="1" ht="15">
      <c r="A66" s="427" t="s">
        <v>66</v>
      </c>
      <c r="B66" s="435">
        <f>(B62+B55)</f>
        <v>29062863.900449988</v>
      </c>
      <c r="C66" s="435">
        <f>(C62+C55)</f>
        <v>2280000</v>
      </c>
      <c r="D66" s="435">
        <f>(D62+D55)</f>
        <v>1977928</v>
      </c>
      <c r="E66" s="435">
        <f>(E62+E55)</f>
        <v>31342863.900449988</v>
      </c>
      <c r="F66" s="436">
        <f>(F55+E62)</f>
        <v>33320791.900449984</v>
      </c>
    </row>
    <row r="67" spans="1:6" ht="15.3">
      <c r="A67" s="428"/>
      <c r="B67" s="429"/>
      <c r="C67" s="429"/>
      <c r="D67" s="430"/>
      <c r="E67" s="429"/>
      <c r="F67" s="431"/>
    </row>
    <row r="68" spans="1:6" ht="15">
      <c r="A68" s="623" t="s">
        <v>67</v>
      </c>
      <c r="B68" s="624"/>
      <c r="C68" s="624"/>
      <c r="D68" s="624"/>
      <c r="E68" s="624"/>
      <c r="F68" s="432">
        <f>F13+D66+F12</f>
        <v>44773678</v>
      </c>
    </row>
    <row r="69" spans="1:6">
      <c r="D69" s="71"/>
    </row>
    <row r="70" spans="1:6">
      <c r="D70" s="71"/>
      <c r="E70" s="61">
        <f>E66*10%</f>
        <v>3134286.3900449988</v>
      </c>
    </row>
    <row r="71" spans="1:6" ht="15">
      <c r="C71" s="70"/>
      <c r="D71" s="70"/>
      <c r="E71" s="70"/>
      <c r="F71" s="432"/>
    </row>
    <row r="72" spans="1:6">
      <c r="D72" s="71"/>
    </row>
    <row r="73" spans="1:6">
      <c r="C73" s="70"/>
      <c r="D73" s="71"/>
    </row>
    <row r="74" spans="1:6">
      <c r="C74" s="70"/>
      <c r="D74" s="71"/>
    </row>
    <row r="75" spans="1:6">
      <c r="C75" s="70"/>
      <c r="D75" s="71"/>
    </row>
    <row r="76" spans="1:6">
      <c r="D76" s="71"/>
    </row>
    <row r="77" spans="1:6">
      <c r="C77" s="70"/>
      <c r="D77" s="71"/>
    </row>
    <row r="78" spans="1:6">
      <c r="C78" s="70"/>
      <c r="D78" s="71"/>
    </row>
    <row r="79" spans="1:6">
      <c r="C79" s="70"/>
      <c r="D79" s="71"/>
    </row>
    <row r="80" spans="1:6">
      <c r="D80" s="71"/>
    </row>
    <row r="81" spans="3:4">
      <c r="D81" s="71"/>
    </row>
    <row r="82" spans="3:4">
      <c r="C82" s="71"/>
      <c r="D82" s="71"/>
    </row>
    <row r="83" spans="3:4">
      <c r="D83" s="71"/>
    </row>
    <row r="84" spans="3:4">
      <c r="D84" s="71"/>
    </row>
    <row r="85" spans="3:4">
      <c r="C85" s="433"/>
      <c r="D85" s="71"/>
    </row>
    <row r="86" spans="3:4">
      <c r="D86" s="71"/>
    </row>
    <row r="87" spans="3:4">
      <c r="D87" s="71"/>
    </row>
    <row r="88" spans="3:4">
      <c r="D88" s="71"/>
    </row>
    <row r="89" spans="3:4">
      <c r="D89" s="71"/>
    </row>
    <row r="90" spans="3:4">
      <c r="D90" s="71"/>
    </row>
    <row r="91" spans="3:4">
      <c r="D91" s="71"/>
    </row>
    <row r="92" spans="3:4">
      <c r="D92" s="71"/>
    </row>
    <row r="93" spans="3:4">
      <c r="D93" s="71"/>
    </row>
    <row r="94" spans="3:4">
      <c r="D94" s="71"/>
    </row>
    <row r="95" spans="3:4">
      <c r="D95" s="71"/>
    </row>
    <row r="96" spans="3:4">
      <c r="D96" s="71"/>
    </row>
    <row r="97" spans="4:4">
      <c r="D97" s="71"/>
    </row>
    <row r="98" spans="4:4">
      <c r="D98" s="71"/>
    </row>
    <row r="99" spans="4:4">
      <c r="D99" s="71"/>
    </row>
    <row r="100" spans="4:4">
      <c r="D100" s="71"/>
    </row>
    <row r="101" spans="4:4">
      <c r="D101" s="71"/>
    </row>
    <row r="102" spans="4:4">
      <c r="D102" s="71"/>
    </row>
    <row r="103" spans="4:4">
      <c r="D103" s="71"/>
    </row>
    <row r="104" spans="4:4">
      <c r="D104" s="71"/>
    </row>
    <row r="105" spans="4:4">
      <c r="D105" s="71"/>
    </row>
    <row r="106" spans="4:4">
      <c r="D106" s="71"/>
    </row>
    <row r="107" spans="4:4">
      <c r="D107" s="71"/>
    </row>
    <row r="108" spans="4:4">
      <c r="D108" s="71"/>
    </row>
    <row r="109" spans="4:4">
      <c r="D109" s="71"/>
    </row>
    <row r="110" spans="4:4">
      <c r="D110" s="71"/>
    </row>
    <row r="111" spans="4:4">
      <c r="D111" s="71"/>
    </row>
    <row r="112" spans="4:4">
      <c r="D112" s="71"/>
    </row>
    <row r="113" spans="4:4">
      <c r="D113" s="71"/>
    </row>
    <row r="114" spans="4:4">
      <c r="D114" s="71"/>
    </row>
    <row r="115" spans="4:4">
      <c r="D115" s="71"/>
    </row>
    <row r="116" spans="4:4">
      <c r="D116" s="71"/>
    </row>
    <row r="117" spans="4:4">
      <c r="D117" s="71"/>
    </row>
    <row r="118" spans="4:4">
      <c r="D118" s="71"/>
    </row>
    <row r="119" spans="4:4">
      <c r="D119" s="71"/>
    </row>
    <row r="120" spans="4:4">
      <c r="D120" s="71"/>
    </row>
    <row r="121" spans="4:4">
      <c r="D121" s="71"/>
    </row>
    <row r="122" spans="4:4">
      <c r="D122" s="71"/>
    </row>
    <row r="123" spans="4:4">
      <c r="D123" s="71"/>
    </row>
    <row r="124" spans="4:4">
      <c r="D124" s="71"/>
    </row>
    <row r="125" spans="4:4">
      <c r="D125" s="71"/>
    </row>
  </sheetData>
  <mergeCells count="12">
    <mergeCell ref="A68:E68"/>
    <mergeCell ref="A1:F1"/>
    <mergeCell ref="A2:F2"/>
    <mergeCell ref="A10:F10"/>
    <mergeCell ref="A15:F15"/>
    <mergeCell ref="A17:F17"/>
    <mergeCell ref="A27:E27"/>
    <mergeCell ref="A28:F28"/>
    <mergeCell ref="A39:F39"/>
    <mergeCell ref="A45:F45"/>
    <mergeCell ref="A57:F57"/>
    <mergeCell ref="D14:F14"/>
  </mergeCells>
  <pageMargins left="1" right="1" top="1" bottom="1" header="0.3" footer="0.3"/>
  <pageSetup scale="54" fitToHeight="0" orientation="portrait" r:id="rId1"/>
  <headerFooter>
    <oddFooter>&amp;C&amp;"Times New Roman,Regular"&amp;12&amp;K01+000                                                                          Partners of the Americas – FY 2023 FFPr Mauritania – USDA-FAS-10.606-0700-23-(557) &amp;R&amp;"Times New Roman,Regular"&amp;12 73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42"/>
  <sheetViews>
    <sheetView tabSelected="1" zoomScale="85" zoomScaleNormal="85" zoomScaleSheetLayoutView="90" workbookViewId="0">
      <pane ySplit="10" topLeftCell="A126" activePane="bottomLeft" state="frozen"/>
      <selection pane="bottomLeft" activeCell="B140" sqref="B140"/>
    </sheetView>
  </sheetViews>
  <sheetFormatPr defaultColWidth="11.44140625" defaultRowHeight="12.6"/>
  <cols>
    <col min="1" max="1" width="15.5" style="7" customWidth="1"/>
    <col min="2" max="2" width="19.88671875" style="44" customWidth="1"/>
    <col min="3" max="3" width="15.5" style="7" customWidth="1"/>
    <col min="4" max="4" width="41.5546875" style="7" customWidth="1"/>
    <col min="5" max="5" width="18" style="31" customWidth="1"/>
    <col min="6" max="6" width="11.83203125" style="7" customWidth="1"/>
    <col min="7" max="7" width="11.5546875" style="50" bestFit="1" customWidth="1"/>
    <col min="8" max="8" width="11.1640625" style="29" customWidth="1"/>
    <col min="9" max="9" width="8.1640625" style="31" bestFit="1" customWidth="1"/>
    <col min="10" max="10" width="11.44140625" style="31" customWidth="1"/>
    <col min="11" max="11" width="11.1640625" style="29" customWidth="1"/>
    <col min="12" max="12" width="7.44140625" style="31" customWidth="1"/>
    <col min="13" max="13" width="11.44140625" style="31" bestFit="1" customWidth="1"/>
    <col min="14" max="14" width="11.1640625" style="29" bestFit="1" customWidth="1"/>
    <col min="15" max="15" width="8.44140625" style="31" bestFit="1" customWidth="1"/>
    <col min="16" max="16" width="11.1640625" style="31" bestFit="1" customWidth="1"/>
    <col min="17" max="17" width="11.1640625" style="29" customWidth="1"/>
    <col min="18" max="18" width="8.5546875" style="31" customWidth="1"/>
    <col min="19" max="19" width="10.5546875" style="31" customWidth="1"/>
    <col min="20" max="20" width="12.83203125" style="31" bestFit="1" customWidth="1"/>
    <col min="21" max="21" width="12.44140625" style="31" customWidth="1"/>
    <col min="22" max="22" width="11.71875" style="31" bestFit="1" customWidth="1"/>
    <col min="23" max="16384" width="11.44140625" style="5"/>
  </cols>
  <sheetData>
    <row r="1" spans="1:24" ht="13.8">
      <c r="A1" s="5"/>
      <c r="B1" s="8"/>
      <c r="C1" s="5"/>
      <c r="D1" s="639" t="s">
        <v>68</v>
      </c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39"/>
      <c r="U1" s="639"/>
      <c r="V1" s="639"/>
    </row>
    <row r="2" spans="1:24" ht="13.8">
      <c r="A2" s="5"/>
      <c r="B2" s="8"/>
      <c r="C2" s="5"/>
      <c r="D2" s="642" t="s">
        <v>69</v>
      </c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</row>
    <row r="3" spans="1:24" ht="13.8">
      <c r="A3" s="5"/>
      <c r="B3" s="8"/>
      <c r="C3" s="5"/>
      <c r="D3" s="639" t="s">
        <v>70</v>
      </c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0"/>
    </row>
    <row r="4" spans="1:24" ht="13.8">
      <c r="A4" s="5"/>
      <c r="B4" s="8"/>
      <c r="C4" s="5"/>
      <c r="D4" s="639" t="s">
        <v>71</v>
      </c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0"/>
    </row>
    <row r="5" spans="1:24" ht="14.1" thickBot="1">
      <c r="A5" s="5"/>
      <c r="B5" s="8"/>
      <c r="C5" s="5"/>
      <c r="D5" s="641" t="s">
        <v>72</v>
      </c>
      <c r="E5" s="64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4" ht="14.1">
      <c r="A6" s="598" t="s">
        <v>700</v>
      </c>
      <c r="B6" s="599" t="s">
        <v>701</v>
      </c>
      <c r="C6" s="21"/>
      <c r="D6" s="21" t="s">
        <v>73</v>
      </c>
      <c r="E6" s="116">
        <v>1.03</v>
      </c>
    </row>
    <row r="7" spans="1:24" ht="14.1">
      <c r="A7" s="600" t="s">
        <v>702</v>
      </c>
      <c r="B7" s="601">
        <v>30100</v>
      </c>
      <c r="C7" s="21"/>
      <c r="D7" s="21" t="s">
        <v>74</v>
      </c>
      <c r="E7" s="116">
        <v>1.04</v>
      </c>
    </row>
    <row r="8" spans="1:24" ht="14.4" thickBot="1">
      <c r="A8" s="602" t="s">
        <v>703</v>
      </c>
      <c r="B8" s="603" t="s">
        <v>704</v>
      </c>
      <c r="C8" s="21"/>
      <c r="D8" s="21" t="s">
        <v>75</v>
      </c>
      <c r="E8" s="116">
        <v>1.05</v>
      </c>
    </row>
    <row r="10" spans="1:24" ht="37.5" thickBot="1">
      <c r="A10" s="33" t="s">
        <v>705</v>
      </c>
      <c r="B10" s="613" t="s">
        <v>706</v>
      </c>
      <c r="C10" s="33" t="s">
        <v>707</v>
      </c>
      <c r="D10" s="33" t="s">
        <v>76</v>
      </c>
      <c r="E10" s="34" t="s">
        <v>77</v>
      </c>
      <c r="F10" s="33" t="s">
        <v>78</v>
      </c>
      <c r="G10" s="34" t="s">
        <v>79</v>
      </c>
      <c r="H10" s="74" t="s">
        <v>80</v>
      </c>
      <c r="I10" s="34" t="s">
        <v>81</v>
      </c>
      <c r="J10" s="34" t="s">
        <v>82</v>
      </c>
      <c r="K10" s="74" t="s">
        <v>83</v>
      </c>
      <c r="L10" s="33" t="s">
        <v>81</v>
      </c>
      <c r="M10" s="34" t="s">
        <v>84</v>
      </c>
      <c r="N10" s="74" t="s">
        <v>85</v>
      </c>
      <c r="O10" s="33" t="s">
        <v>81</v>
      </c>
      <c r="P10" s="34" t="s">
        <v>86</v>
      </c>
      <c r="Q10" s="74" t="s">
        <v>87</v>
      </c>
      <c r="R10" s="35" t="s">
        <v>81</v>
      </c>
      <c r="S10" s="34" t="s">
        <v>88</v>
      </c>
      <c r="T10" s="35" t="s">
        <v>89</v>
      </c>
      <c r="U10" s="34" t="s">
        <v>90</v>
      </c>
      <c r="V10" s="34" t="s">
        <v>91</v>
      </c>
    </row>
    <row r="11" spans="1:24">
      <c r="A11" s="36"/>
      <c r="B11" s="614"/>
      <c r="C11" s="36"/>
      <c r="D11" s="36" t="s">
        <v>92</v>
      </c>
      <c r="E11" s="39"/>
      <c r="F11" s="37"/>
      <c r="G11" s="38"/>
      <c r="H11" s="117"/>
      <c r="I11" s="39"/>
      <c r="J11" s="39"/>
      <c r="K11" s="117"/>
      <c r="L11" s="39"/>
      <c r="M11" s="39"/>
      <c r="N11" s="117"/>
      <c r="O11" s="39"/>
      <c r="P11" s="39"/>
      <c r="Q11" s="117"/>
      <c r="R11" s="39"/>
      <c r="S11" s="39"/>
      <c r="T11" s="39"/>
      <c r="U11" s="39"/>
      <c r="V11" s="39"/>
    </row>
    <row r="12" spans="1:24" ht="14.5" customHeight="1">
      <c r="A12" s="75"/>
      <c r="B12" s="91"/>
      <c r="C12" s="75"/>
      <c r="D12" s="75" t="s">
        <v>93</v>
      </c>
      <c r="E12" s="78"/>
      <c r="F12" s="76"/>
      <c r="G12" s="77"/>
      <c r="H12" s="118"/>
      <c r="I12" s="78"/>
      <c r="J12" s="78"/>
      <c r="K12" s="118"/>
      <c r="L12" s="78"/>
      <c r="M12" s="78"/>
      <c r="N12" s="118"/>
      <c r="O12" s="78"/>
      <c r="P12" s="78"/>
      <c r="Q12" s="118"/>
      <c r="R12" s="78"/>
      <c r="S12" s="78"/>
      <c r="T12" s="78"/>
      <c r="U12" s="78"/>
      <c r="V12" s="78"/>
      <c r="W12" s="437"/>
      <c r="X12" s="437"/>
    </row>
    <row r="13" spans="1:24">
      <c r="A13" s="7" t="s">
        <v>708</v>
      </c>
      <c r="B13" s="44">
        <v>50000</v>
      </c>
      <c r="C13" s="7" t="s">
        <v>709</v>
      </c>
      <c r="D13" s="7" t="s">
        <v>94</v>
      </c>
      <c r="E13" s="43">
        <v>225257</v>
      </c>
      <c r="F13" s="49" t="s">
        <v>95</v>
      </c>
      <c r="G13" s="43">
        <f>171000/12</f>
        <v>14250</v>
      </c>
      <c r="H13" s="119">
        <f>'LOE Breakdown by Year'!D11</f>
        <v>0.1</v>
      </c>
      <c r="I13" s="43">
        <v>12</v>
      </c>
      <c r="J13" s="43">
        <f>I13*G13*H13</f>
        <v>17100</v>
      </c>
      <c r="K13" s="119">
        <f>'LOE Breakdown by Year'!D51</f>
        <v>0.05</v>
      </c>
      <c r="L13" s="43">
        <v>12</v>
      </c>
      <c r="M13" s="43">
        <f>L13*G13*$K13*$E$8</f>
        <v>8977.5</v>
      </c>
      <c r="N13" s="119">
        <f>'LOE Breakdown by Year'!D91</f>
        <v>0.05</v>
      </c>
      <c r="O13" s="43">
        <v>12</v>
      </c>
      <c r="P13" s="43">
        <f>O13*G13*$N13*$E$8*$E$8</f>
        <v>9426.375</v>
      </c>
      <c r="Q13" s="120">
        <f>'LOE Breakdown by Year'!D131</f>
        <v>0.05</v>
      </c>
      <c r="R13" s="43">
        <v>0</v>
      </c>
      <c r="S13" s="43">
        <f>R13*G13*$Q13*$E$8*$E$8*$E$8</f>
        <v>0</v>
      </c>
      <c r="T13" s="43">
        <f>SUM(P13,M13,J13,E13,S13)</f>
        <v>260760.875</v>
      </c>
      <c r="U13" s="43">
        <v>0</v>
      </c>
      <c r="V13" s="43">
        <f>SUM(T13:U13)</f>
        <v>260760.875</v>
      </c>
      <c r="W13" s="437"/>
    </row>
    <row r="14" spans="1:24" ht="25.2">
      <c r="A14" s="7" t="s">
        <v>708</v>
      </c>
      <c r="B14" s="44">
        <v>70000</v>
      </c>
      <c r="C14" s="7" t="s">
        <v>710</v>
      </c>
      <c r="D14" s="7" t="s">
        <v>96</v>
      </c>
      <c r="E14" s="43"/>
      <c r="F14" s="49" t="s">
        <v>95</v>
      </c>
      <c r="G14" s="43">
        <f>60000/12</f>
        <v>5000</v>
      </c>
      <c r="H14" s="119">
        <f>'LOE Breakdown by Year'!D12</f>
        <v>0.1</v>
      </c>
      <c r="I14" s="43">
        <v>12</v>
      </c>
      <c r="J14" s="43">
        <f t="shared" ref="J14" si="0">I14*G14*H14</f>
        <v>6000</v>
      </c>
      <c r="K14" s="119">
        <f>'LOE Breakdown by Year'!D52</f>
        <v>0.25</v>
      </c>
      <c r="L14" s="43">
        <v>12</v>
      </c>
      <c r="M14" s="43">
        <f t="shared" ref="M14" si="1">L14*G14*$K14*$E$8</f>
        <v>15750</v>
      </c>
      <c r="N14" s="119">
        <f>'LOE Breakdown by Year'!D92</f>
        <v>0.25</v>
      </c>
      <c r="O14" s="43">
        <v>12</v>
      </c>
      <c r="P14" s="43">
        <f t="shared" ref="P14" si="2">O14*G14*$N14*$E$8*$E$8</f>
        <v>16537.5</v>
      </c>
      <c r="Q14" s="120">
        <f>'LOE Breakdown by Year'!D132</f>
        <v>0.25</v>
      </c>
      <c r="R14" s="43">
        <v>6</v>
      </c>
      <c r="S14" s="43">
        <f t="shared" ref="S14" si="3">R14*G14*$Q14*$E$8*$E$8*$E$8</f>
        <v>8682.1875</v>
      </c>
      <c r="T14" s="43">
        <f>SUM(P14,M14,J14,E14,S14)</f>
        <v>46969.6875</v>
      </c>
      <c r="U14" s="43">
        <v>0</v>
      </c>
      <c r="V14" s="43">
        <f t="shared" ref="V14:V18" si="4">SUM(T14:U14)</f>
        <v>46969.6875</v>
      </c>
      <c r="W14" s="437"/>
    </row>
    <row r="15" spans="1:24">
      <c r="A15" s="7" t="s">
        <v>708</v>
      </c>
      <c r="B15" s="44">
        <v>70000</v>
      </c>
      <c r="C15" s="7" t="s">
        <v>710</v>
      </c>
      <c r="D15" s="7" t="s">
        <v>97</v>
      </c>
      <c r="E15" s="43">
        <v>0</v>
      </c>
      <c r="F15" s="49" t="s">
        <v>95</v>
      </c>
      <c r="G15" s="43">
        <f>55000/12</f>
        <v>4583.333333333333</v>
      </c>
      <c r="H15" s="119">
        <f>'LOE Breakdown by Year'!D13</f>
        <v>0.05</v>
      </c>
      <c r="I15" s="43">
        <v>12</v>
      </c>
      <c r="J15" s="43">
        <f t="shared" ref="J15:J42" si="5">I15*G15*H15</f>
        <v>2750</v>
      </c>
      <c r="K15" s="119">
        <f>'LOE Breakdown by Year'!D53</f>
        <v>0.05</v>
      </c>
      <c r="L15" s="43">
        <v>12</v>
      </c>
      <c r="M15" s="43">
        <f t="shared" ref="M15:M42" si="6">L15*G15*$K15*$E$8</f>
        <v>2887.5</v>
      </c>
      <c r="N15" s="119">
        <f>'LOE Breakdown by Year'!D93</f>
        <v>0.05</v>
      </c>
      <c r="O15" s="43">
        <v>12</v>
      </c>
      <c r="P15" s="43">
        <f t="shared" ref="P15:P42" si="7">O15*G15*$N15*$E$8*$E$8</f>
        <v>3031.875</v>
      </c>
      <c r="Q15" s="120">
        <f>'LOE Breakdown by Year'!D133</f>
        <v>0.05</v>
      </c>
      <c r="R15" s="43">
        <v>5</v>
      </c>
      <c r="S15" s="43">
        <f t="shared" ref="S15:S42" si="8">R15*G15*$Q15*$E$8*$E$8*$E$8</f>
        <v>1326.4453125</v>
      </c>
      <c r="T15" s="43">
        <f t="shared" ref="T15:T35" si="9">SUM(P15,M15,J15,E15,S15)</f>
        <v>9995.8203125</v>
      </c>
      <c r="U15" s="43">
        <v>0</v>
      </c>
      <c r="V15" s="43">
        <f t="shared" si="4"/>
        <v>9995.8203125</v>
      </c>
      <c r="W15" s="437"/>
    </row>
    <row r="16" spans="1:24">
      <c r="A16" s="7" t="s">
        <v>708</v>
      </c>
      <c r="B16" s="44">
        <v>70000</v>
      </c>
      <c r="C16" s="7" t="s">
        <v>710</v>
      </c>
      <c r="D16" s="7" t="s">
        <v>98</v>
      </c>
      <c r="E16" s="43">
        <v>0</v>
      </c>
      <c r="F16" s="49" t="s">
        <v>95</v>
      </c>
      <c r="G16" s="43">
        <f>34000/12</f>
        <v>2833.3333333333335</v>
      </c>
      <c r="H16" s="119">
        <f>'LOE Breakdown by Year'!D14</f>
        <v>0.1</v>
      </c>
      <c r="I16" s="43">
        <v>12</v>
      </c>
      <c r="J16" s="43">
        <f t="shared" si="5"/>
        <v>3400</v>
      </c>
      <c r="K16" s="119">
        <f>'LOE Breakdown by Year'!D54</f>
        <v>0</v>
      </c>
      <c r="L16" s="43">
        <v>12</v>
      </c>
      <c r="M16" s="43">
        <f t="shared" si="6"/>
        <v>0</v>
      </c>
      <c r="N16" s="119">
        <f>'LOE Breakdown by Year'!D94</f>
        <v>0</v>
      </c>
      <c r="O16" s="43">
        <v>12</v>
      </c>
      <c r="P16" s="43">
        <f t="shared" si="7"/>
        <v>0</v>
      </c>
      <c r="Q16" s="120">
        <f>'LOE Breakdown by Year'!D134</f>
        <v>0</v>
      </c>
      <c r="R16" s="43">
        <v>2</v>
      </c>
      <c r="S16" s="43">
        <f t="shared" si="8"/>
        <v>0</v>
      </c>
      <c r="T16" s="43">
        <f>SUM(P16,M16,J16,E16,S16)</f>
        <v>3400</v>
      </c>
      <c r="U16" s="43">
        <v>0</v>
      </c>
      <c r="V16" s="43">
        <f t="shared" si="4"/>
        <v>3400</v>
      </c>
      <c r="W16" s="437"/>
    </row>
    <row r="17" spans="1:23" hidden="1">
      <c r="A17" s="7" t="s">
        <v>708</v>
      </c>
      <c r="B17" s="44">
        <v>70000</v>
      </c>
      <c r="C17" s="7" t="s">
        <v>710</v>
      </c>
      <c r="D17" s="7" t="s">
        <v>99</v>
      </c>
      <c r="E17" s="43"/>
      <c r="F17" s="49" t="s">
        <v>95</v>
      </c>
      <c r="G17" s="43">
        <f>16000/12</f>
        <v>1333.3333333333333</v>
      </c>
      <c r="H17" s="119">
        <f>'LOE Breakdown by Year'!D15</f>
        <v>0</v>
      </c>
      <c r="I17" s="43">
        <v>12</v>
      </c>
      <c r="J17" s="43">
        <f t="shared" si="5"/>
        <v>0</v>
      </c>
      <c r="K17" s="119">
        <f>'LOE Breakdown by Year'!D55</f>
        <v>0</v>
      </c>
      <c r="L17" s="43">
        <v>12</v>
      </c>
      <c r="M17" s="43">
        <f t="shared" si="6"/>
        <v>0</v>
      </c>
      <c r="N17" s="119">
        <f>'LOE Breakdown by Year'!D95</f>
        <v>0</v>
      </c>
      <c r="O17" s="43">
        <v>12</v>
      </c>
      <c r="P17" s="43">
        <f t="shared" si="7"/>
        <v>0</v>
      </c>
      <c r="Q17" s="120">
        <f>'LOE Breakdown by Year'!D135</f>
        <v>0</v>
      </c>
      <c r="R17" s="43">
        <v>0</v>
      </c>
      <c r="S17" s="43">
        <f t="shared" si="8"/>
        <v>0</v>
      </c>
      <c r="T17" s="43">
        <f t="shared" ref="T17" si="10">SUM(P17,M17,J17,E17,S17)</f>
        <v>0</v>
      </c>
      <c r="U17" s="43">
        <v>0</v>
      </c>
      <c r="V17" s="43">
        <f t="shared" si="4"/>
        <v>0</v>
      </c>
      <c r="W17" s="437"/>
    </row>
    <row r="18" spans="1:23" ht="25.2" hidden="1">
      <c r="A18" s="7" t="s">
        <v>708</v>
      </c>
      <c r="B18" s="44">
        <v>70000</v>
      </c>
      <c r="C18" s="7" t="s">
        <v>710</v>
      </c>
      <c r="D18" s="7" t="s">
        <v>100</v>
      </c>
      <c r="E18" s="43"/>
      <c r="F18" s="49" t="s">
        <v>95</v>
      </c>
      <c r="G18" s="43">
        <f>(21000/12)*2</f>
        <v>3500</v>
      </c>
      <c r="H18" s="119">
        <f>'LOE Breakdown by Year'!D16</f>
        <v>0</v>
      </c>
      <c r="I18" s="43">
        <v>6</v>
      </c>
      <c r="J18" s="43">
        <f t="shared" si="5"/>
        <v>0</v>
      </c>
      <c r="K18" s="119">
        <f>'LOE Breakdown by Year'!D56</f>
        <v>0</v>
      </c>
      <c r="L18" s="43">
        <v>12</v>
      </c>
      <c r="M18" s="43">
        <f t="shared" si="6"/>
        <v>0</v>
      </c>
      <c r="N18" s="119">
        <f>'LOE Breakdown by Year'!D96</f>
        <v>0</v>
      </c>
      <c r="O18" s="43">
        <v>12</v>
      </c>
      <c r="P18" s="43">
        <f t="shared" si="7"/>
        <v>0</v>
      </c>
      <c r="Q18" s="120">
        <f>'LOE Breakdown by Year'!D136</f>
        <v>0</v>
      </c>
      <c r="R18" s="43">
        <v>0</v>
      </c>
      <c r="S18" s="43">
        <f t="shared" si="8"/>
        <v>0</v>
      </c>
      <c r="T18" s="43">
        <f t="shared" ref="T18:T21" si="11">SUM(P18,M18,J18,E18,S18)</f>
        <v>0</v>
      </c>
      <c r="U18" s="43">
        <v>0</v>
      </c>
      <c r="V18" s="43">
        <f t="shared" si="4"/>
        <v>0</v>
      </c>
      <c r="W18" s="437"/>
    </row>
    <row r="19" spans="1:23" hidden="1">
      <c r="A19" s="7" t="s">
        <v>708</v>
      </c>
      <c r="B19" s="44">
        <v>70000</v>
      </c>
      <c r="C19" s="7" t="s">
        <v>710</v>
      </c>
      <c r="D19" s="7" t="s">
        <v>101</v>
      </c>
      <c r="E19" s="43">
        <v>0</v>
      </c>
      <c r="F19" s="49" t="s">
        <v>95</v>
      </c>
      <c r="G19" s="43">
        <f>1000</f>
        <v>1000</v>
      </c>
      <c r="H19" s="119">
        <f>'LOE Breakdown by Year'!D17</f>
        <v>0</v>
      </c>
      <c r="I19" s="43">
        <v>12</v>
      </c>
      <c r="J19" s="43">
        <f>I19*(G19*45)*H19</f>
        <v>0</v>
      </c>
      <c r="K19" s="119">
        <f>'LOE Breakdown by Year'!D57</f>
        <v>0</v>
      </c>
      <c r="L19" s="43">
        <v>12</v>
      </c>
      <c r="M19" s="43">
        <f>L19*((G19*25))*$K19*$E$8</f>
        <v>0</v>
      </c>
      <c r="N19" s="119">
        <f>'LOE Breakdown by Year'!D97</f>
        <v>0</v>
      </c>
      <c r="O19" s="43">
        <v>0</v>
      </c>
      <c r="P19" s="43">
        <f>O19*(G19*0)*$N19*$E$8*$E$8</f>
        <v>0</v>
      </c>
      <c r="Q19" s="120">
        <f>'LOE Breakdown by Year'!D137</f>
        <v>0</v>
      </c>
      <c r="R19" s="43">
        <v>0</v>
      </c>
      <c r="S19" s="43">
        <f t="shared" si="8"/>
        <v>0</v>
      </c>
      <c r="T19" s="43">
        <f t="shared" si="11"/>
        <v>0</v>
      </c>
      <c r="U19" s="43">
        <v>0</v>
      </c>
      <c r="V19" s="43">
        <f t="shared" ref="V19" si="12">SUM(T19:U19)</f>
        <v>0</v>
      </c>
      <c r="W19" s="437"/>
    </row>
    <row r="20" spans="1:23" ht="25.2" hidden="1">
      <c r="A20" s="7" t="s">
        <v>708</v>
      </c>
      <c r="B20" s="44">
        <v>70000</v>
      </c>
      <c r="C20" s="7" t="s">
        <v>710</v>
      </c>
      <c r="D20" s="7" t="s">
        <v>102</v>
      </c>
      <c r="E20" s="43">
        <v>0</v>
      </c>
      <c r="F20" s="49" t="s">
        <v>95</v>
      </c>
      <c r="G20" s="43">
        <f>34000/12</f>
        <v>2833.3333333333335</v>
      </c>
      <c r="H20" s="119">
        <f>'LOE Breakdown by Year'!D18</f>
        <v>0</v>
      </c>
      <c r="I20" s="43">
        <v>12</v>
      </c>
      <c r="J20" s="43">
        <f t="shared" si="5"/>
        <v>0</v>
      </c>
      <c r="K20" s="119">
        <f>'LOE Breakdown by Year'!D58</f>
        <v>0</v>
      </c>
      <c r="L20" s="43">
        <v>12</v>
      </c>
      <c r="M20" s="43">
        <f t="shared" si="6"/>
        <v>0</v>
      </c>
      <c r="N20" s="119">
        <f>'LOE Breakdown by Year'!D98</f>
        <v>0</v>
      </c>
      <c r="O20" s="43">
        <v>12</v>
      </c>
      <c r="P20" s="43">
        <f t="shared" si="7"/>
        <v>0</v>
      </c>
      <c r="Q20" s="120">
        <f>'LOE Breakdown by Year'!D138</f>
        <v>0</v>
      </c>
      <c r="R20" s="43">
        <v>0</v>
      </c>
      <c r="S20" s="43">
        <f t="shared" si="8"/>
        <v>0</v>
      </c>
      <c r="T20" s="43">
        <f t="shared" si="11"/>
        <v>0</v>
      </c>
      <c r="U20" s="43">
        <v>0</v>
      </c>
      <c r="V20" s="43">
        <f>SUM(T20:U20)</f>
        <v>0</v>
      </c>
      <c r="W20" s="437"/>
    </row>
    <row r="21" spans="1:23" hidden="1">
      <c r="A21" s="7" t="s">
        <v>708</v>
      </c>
      <c r="B21" s="44">
        <v>70000</v>
      </c>
      <c r="C21" s="7" t="s">
        <v>710</v>
      </c>
      <c r="D21" s="7" t="s">
        <v>103</v>
      </c>
      <c r="E21" s="43"/>
      <c r="F21" s="49" t="s">
        <v>95</v>
      </c>
      <c r="G21" s="43">
        <f>0/12</f>
        <v>0</v>
      </c>
      <c r="H21" s="119">
        <f>'LOE Breakdown by Year'!D19</f>
        <v>0</v>
      </c>
      <c r="I21" s="43">
        <v>0</v>
      </c>
      <c r="J21" s="43">
        <f t="shared" si="5"/>
        <v>0</v>
      </c>
      <c r="K21" s="119">
        <f>'LOE Breakdown by Year'!D59</f>
        <v>0</v>
      </c>
      <c r="L21" s="43">
        <v>12</v>
      </c>
      <c r="M21" s="43">
        <f t="shared" si="6"/>
        <v>0</v>
      </c>
      <c r="N21" s="119">
        <f>'LOE Breakdown by Year'!D99</f>
        <v>0</v>
      </c>
      <c r="O21" s="43">
        <v>12</v>
      </c>
      <c r="P21" s="43">
        <f t="shared" si="7"/>
        <v>0</v>
      </c>
      <c r="Q21" s="120">
        <f>'LOE Breakdown by Year'!D139</f>
        <v>0</v>
      </c>
      <c r="R21" s="43">
        <v>0</v>
      </c>
      <c r="S21" s="43">
        <f t="shared" si="8"/>
        <v>0</v>
      </c>
      <c r="T21" s="43">
        <f t="shared" si="11"/>
        <v>0</v>
      </c>
      <c r="U21" s="43">
        <v>0</v>
      </c>
      <c r="V21" s="43">
        <f>SUM(T21:U21)</f>
        <v>0</v>
      </c>
      <c r="W21" s="437"/>
    </row>
    <row r="22" spans="1:23" hidden="1">
      <c r="A22" s="7" t="s">
        <v>708</v>
      </c>
      <c r="B22" s="44">
        <v>70000</v>
      </c>
      <c r="C22" s="7" t="s">
        <v>710</v>
      </c>
      <c r="D22" s="7" t="s">
        <v>104</v>
      </c>
      <c r="E22" s="43">
        <v>0</v>
      </c>
      <c r="F22" s="49" t="s">
        <v>95</v>
      </c>
      <c r="G22" s="43">
        <f>0/12</f>
        <v>0</v>
      </c>
      <c r="H22" s="119">
        <f>'LOE Breakdown by Year'!D20</f>
        <v>0</v>
      </c>
      <c r="I22" s="43">
        <v>0</v>
      </c>
      <c r="J22" s="43">
        <f t="shared" si="5"/>
        <v>0</v>
      </c>
      <c r="K22" s="119">
        <f>'LOE Breakdown by Year'!D60</f>
        <v>0</v>
      </c>
      <c r="L22" s="43">
        <v>12</v>
      </c>
      <c r="M22" s="43">
        <f t="shared" si="6"/>
        <v>0</v>
      </c>
      <c r="N22" s="119">
        <f>'LOE Breakdown by Year'!D100</f>
        <v>0</v>
      </c>
      <c r="O22" s="43">
        <v>12</v>
      </c>
      <c r="P22" s="43">
        <f t="shared" si="7"/>
        <v>0</v>
      </c>
      <c r="Q22" s="120">
        <f>'LOE Breakdown by Year'!D140</f>
        <v>0</v>
      </c>
      <c r="R22" s="43">
        <v>0</v>
      </c>
      <c r="S22" s="43">
        <f t="shared" si="8"/>
        <v>0</v>
      </c>
      <c r="T22" s="43">
        <f t="shared" ref="T22:T23" si="13">SUM(P22,M22,J22,E22,S22)</f>
        <v>0</v>
      </c>
      <c r="U22" s="43">
        <v>0</v>
      </c>
      <c r="V22" s="43">
        <f>SUM(T22:U22)</f>
        <v>0</v>
      </c>
      <c r="W22" s="437"/>
    </row>
    <row r="23" spans="1:23" hidden="1">
      <c r="A23" s="7" t="s">
        <v>708</v>
      </c>
      <c r="B23" s="44">
        <v>70000</v>
      </c>
      <c r="C23" s="7" t="s">
        <v>710</v>
      </c>
      <c r="D23" s="7" t="s">
        <v>105</v>
      </c>
      <c r="E23" s="43">
        <v>0</v>
      </c>
      <c r="F23" s="49" t="s">
        <v>95</v>
      </c>
      <c r="G23" s="43">
        <v>1000</v>
      </c>
      <c r="H23" s="119">
        <f>'LOE Breakdown by Year'!D21</f>
        <v>0</v>
      </c>
      <c r="I23" s="43">
        <v>0</v>
      </c>
      <c r="J23" s="43">
        <f t="shared" si="5"/>
        <v>0</v>
      </c>
      <c r="K23" s="119">
        <f>'LOE Breakdown by Year'!D61</f>
        <v>0</v>
      </c>
      <c r="L23" s="43">
        <v>12</v>
      </c>
      <c r="M23" s="43">
        <f>L23*((1000*20))*$K23*$E$8</f>
        <v>0</v>
      </c>
      <c r="N23" s="119">
        <f>'LOE Breakdown by Year'!D101</f>
        <v>0</v>
      </c>
      <c r="O23" s="43">
        <v>12</v>
      </c>
      <c r="P23" s="43">
        <f t="shared" si="7"/>
        <v>0</v>
      </c>
      <c r="Q23" s="120">
        <f>'LOE Breakdown by Year'!D141</f>
        <v>0</v>
      </c>
      <c r="R23" s="43">
        <v>0</v>
      </c>
      <c r="S23" s="43">
        <f t="shared" si="8"/>
        <v>0</v>
      </c>
      <c r="T23" s="43">
        <f t="shared" si="13"/>
        <v>0</v>
      </c>
      <c r="U23" s="43">
        <v>0</v>
      </c>
      <c r="V23" s="43">
        <f t="shared" ref="V23" si="14">SUM(T23:U23)</f>
        <v>0</v>
      </c>
      <c r="W23" s="437"/>
    </row>
    <row r="24" spans="1:23">
      <c r="A24" s="7" t="s">
        <v>708</v>
      </c>
      <c r="B24" s="44">
        <v>70000</v>
      </c>
      <c r="C24" s="7" t="s">
        <v>710</v>
      </c>
      <c r="D24" s="7" t="s">
        <v>106</v>
      </c>
      <c r="E24" s="43">
        <v>28275.7</v>
      </c>
      <c r="F24" s="49" t="s">
        <v>95</v>
      </c>
      <c r="G24" s="43">
        <f>75000/12</f>
        <v>6250</v>
      </c>
      <c r="H24" s="119">
        <f>'LOE Breakdown by Year'!D22</f>
        <v>0.1</v>
      </c>
      <c r="I24" s="43">
        <v>12</v>
      </c>
      <c r="J24" s="43">
        <f t="shared" si="5"/>
        <v>7500</v>
      </c>
      <c r="K24" s="119">
        <f>'LOE Breakdown by Year'!D62</f>
        <v>0.05</v>
      </c>
      <c r="L24" s="43">
        <v>12</v>
      </c>
      <c r="M24" s="43">
        <f t="shared" si="6"/>
        <v>3937.5</v>
      </c>
      <c r="N24" s="119">
        <f>'LOE Breakdown by Year'!D102</f>
        <v>0.05</v>
      </c>
      <c r="O24" s="43">
        <v>12</v>
      </c>
      <c r="P24" s="43">
        <f t="shared" si="7"/>
        <v>4134.375</v>
      </c>
      <c r="Q24" s="120">
        <f>'LOE Breakdown by Year'!D142</f>
        <v>0.05</v>
      </c>
      <c r="R24" s="43">
        <v>6</v>
      </c>
      <c r="S24" s="43">
        <f t="shared" si="8"/>
        <v>2170.546875</v>
      </c>
      <c r="T24" s="43">
        <f>SUM(P24,M24,J24,E24,S24)</f>
        <v>46018.121874999997</v>
      </c>
      <c r="U24" s="43">
        <v>0</v>
      </c>
      <c r="V24" s="43">
        <f t="shared" ref="V24:V25" si="15">SUM(T24:U24)</f>
        <v>46018.121874999997</v>
      </c>
      <c r="W24" s="437"/>
    </row>
    <row r="25" spans="1:23">
      <c r="A25" s="7" t="s">
        <v>708</v>
      </c>
      <c r="B25" s="44">
        <v>70000</v>
      </c>
      <c r="C25" s="7" t="s">
        <v>710</v>
      </c>
      <c r="D25" s="7" t="s">
        <v>107</v>
      </c>
      <c r="E25" s="43">
        <v>24675.7</v>
      </c>
      <c r="F25" s="49" t="s">
        <v>95</v>
      </c>
      <c r="G25" s="43">
        <f>34000/12</f>
        <v>2833.3333333333335</v>
      </c>
      <c r="H25" s="119">
        <f>'LOE Breakdown by Year'!D23</f>
        <v>0.1</v>
      </c>
      <c r="I25" s="43">
        <v>12</v>
      </c>
      <c r="J25" s="43">
        <f t="shared" si="5"/>
        <v>3400</v>
      </c>
      <c r="K25" s="119">
        <f>'LOE Breakdown by Year'!D63</f>
        <v>0.05</v>
      </c>
      <c r="L25" s="43">
        <v>12</v>
      </c>
      <c r="M25" s="43">
        <f t="shared" si="6"/>
        <v>1785</v>
      </c>
      <c r="N25" s="119">
        <f>'LOE Breakdown by Year'!D103</f>
        <v>0.05</v>
      </c>
      <c r="O25" s="43">
        <v>12</v>
      </c>
      <c r="P25" s="43">
        <f t="shared" si="7"/>
        <v>1874.25</v>
      </c>
      <c r="Q25" s="120">
        <f>'LOE Breakdown by Year'!D143</f>
        <v>0.05</v>
      </c>
      <c r="R25" s="43">
        <v>6</v>
      </c>
      <c r="S25" s="43">
        <f t="shared" si="8"/>
        <v>983.98125000000005</v>
      </c>
      <c r="T25" s="43">
        <f t="shared" si="9"/>
        <v>32718.931250000001</v>
      </c>
      <c r="U25" s="43">
        <v>0</v>
      </c>
      <c r="V25" s="43">
        <f t="shared" si="15"/>
        <v>32718.931250000001</v>
      </c>
      <c r="W25" s="437"/>
    </row>
    <row r="26" spans="1:23">
      <c r="A26" s="7" t="s">
        <v>708</v>
      </c>
      <c r="B26" s="44">
        <v>70000</v>
      </c>
      <c r="C26" s="7" t="s">
        <v>710</v>
      </c>
      <c r="D26" s="7" t="s">
        <v>108</v>
      </c>
      <c r="E26" s="43">
        <v>22491.26</v>
      </c>
      <c r="F26" s="49" t="s">
        <v>95</v>
      </c>
      <c r="G26" s="43">
        <f>30000/12</f>
        <v>2500</v>
      </c>
      <c r="H26" s="119">
        <f>'LOE Breakdown by Year'!D24</f>
        <v>0.1</v>
      </c>
      <c r="I26" s="43">
        <v>12</v>
      </c>
      <c r="J26" s="43">
        <f t="shared" si="5"/>
        <v>3000</v>
      </c>
      <c r="K26" s="119">
        <f>'LOE Breakdown by Year'!D64</f>
        <v>0.05</v>
      </c>
      <c r="L26" s="43">
        <v>12</v>
      </c>
      <c r="M26" s="43">
        <f t="shared" si="6"/>
        <v>1575</v>
      </c>
      <c r="N26" s="119">
        <f>'LOE Breakdown by Year'!D104</f>
        <v>0.05</v>
      </c>
      <c r="O26" s="43">
        <v>12</v>
      </c>
      <c r="P26" s="43">
        <f t="shared" si="7"/>
        <v>1653.75</v>
      </c>
      <c r="Q26" s="120">
        <f>'LOE Breakdown by Year'!D144</f>
        <v>0.05</v>
      </c>
      <c r="R26" s="43">
        <v>3</v>
      </c>
      <c r="S26" s="43">
        <f t="shared" si="8"/>
        <v>434.109375</v>
      </c>
      <c r="T26" s="43">
        <f t="shared" si="9"/>
        <v>29154.119374999998</v>
      </c>
      <c r="U26" s="43">
        <v>0</v>
      </c>
      <c r="V26" s="43">
        <f t="shared" ref="V26:V28" si="16">SUM(T26:U26)</f>
        <v>29154.119374999998</v>
      </c>
      <c r="W26" s="437"/>
    </row>
    <row r="27" spans="1:23">
      <c r="A27" s="7" t="s">
        <v>708</v>
      </c>
      <c r="B27" s="44">
        <v>70000</v>
      </c>
      <c r="C27" s="7" t="s">
        <v>710</v>
      </c>
      <c r="D27" s="7" t="s">
        <v>109</v>
      </c>
      <c r="E27" s="43">
        <v>30491.26</v>
      </c>
      <c r="F27" s="49" t="s">
        <v>95</v>
      </c>
      <c r="G27" s="43">
        <f>12000/12</f>
        <v>1000</v>
      </c>
      <c r="H27" s="119">
        <f>'LOE Breakdown by Year'!D25</f>
        <v>0.1</v>
      </c>
      <c r="I27" s="43">
        <v>12</v>
      </c>
      <c r="J27" s="43">
        <f t="shared" si="5"/>
        <v>1200</v>
      </c>
      <c r="K27" s="119">
        <f>'LOE Breakdown by Year'!D65</f>
        <v>0.05</v>
      </c>
      <c r="L27" s="43">
        <v>12</v>
      </c>
      <c r="M27" s="43">
        <f t="shared" si="6"/>
        <v>630</v>
      </c>
      <c r="N27" s="119">
        <f>'LOE Breakdown by Year'!D105</f>
        <v>0.05</v>
      </c>
      <c r="O27" s="43">
        <v>12</v>
      </c>
      <c r="P27" s="43">
        <f t="shared" si="7"/>
        <v>661.5</v>
      </c>
      <c r="Q27" s="120">
        <f>'LOE Breakdown by Year'!D145</f>
        <v>0.05</v>
      </c>
      <c r="R27" s="43">
        <v>3</v>
      </c>
      <c r="S27" s="43">
        <f t="shared" si="8"/>
        <v>173.64375000000001</v>
      </c>
      <c r="T27" s="43">
        <f t="shared" ref="T27" si="17">SUM(P27,M27,J27,E27,S27)</f>
        <v>33156.403749999998</v>
      </c>
      <c r="U27" s="43">
        <v>0</v>
      </c>
      <c r="V27" s="43">
        <f t="shared" si="16"/>
        <v>33156.403749999998</v>
      </c>
      <c r="W27" s="437"/>
    </row>
    <row r="28" spans="1:23">
      <c r="A28" s="7" t="s">
        <v>708</v>
      </c>
      <c r="B28" s="44">
        <v>70000</v>
      </c>
      <c r="C28" s="7" t="s">
        <v>710</v>
      </c>
      <c r="D28" s="7" t="s">
        <v>110</v>
      </c>
      <c r="E28" s="43">
        <v>36550</v>
      </c>
      <c r="F28" s="49" t="s">
        <v>95</v>
      </c>
      <c r="G28" s="43">
        <f>55000/12</f>
        <v>4583.333333333333</v>
      </c>
      <c r="H28" s="119">
        <f>'LOE Breakdown by Year'!D26</f>
        <v>0.1</v>
      </c>
      <c r="I28" s="43">
        <v>12</v>
      </c>
      <c r="J28" s="43">
        <f t="shared" si="5"/>
        <v>5500</v>
      </c>
      <c r="K28" s="119">
        <f>'LOE Breakdown by Year'!D66</f>
        <v>0.05</v>
      </c>
      <c r="L28" s="43">
        <v>12</v>
      </c>
      <c r="M28" s="43">
        <f t="shared" si="6"/>
        <v>2887.5</v>
      </c>
      <c r="N28" s="119">
        <f>'LOE Breakdown by Year'!D106</f>
        <v>0.05</v>
      </c>
      <c r="O28" s="43">
        <v>12</v>
      </c>
      <c r="P28" s="43">
        <f t="shared" si="7"/>
        <v>3031.875</v>
      </c>
      <c r="Q28" s="120">
        <f>'LOE Breakdown by Year'!D146</f>
        <v>0.05</v>
      </c>
      <c r="R28" s="43">
        <v>0</v>
      </c>
      <c r="S28" s="43">
        <f t="shared" si="8"/>
        <v>0</v>
      </c>
      <c r="T28" s="43">
        <f t="shared" si="9"/>
        <v>47969.375</v>
      </c>
      <c r="U28" s="43">
        <v>0</v>
      </c>
      <c r="V28" s="43">
        <f t="shared" si="16"/>
        <v>47969.375</v>
      </c>
      <c r="W28" s="437"/>
    </row>
    <row r="29" spans="1:23">
      <c r="A29" s="7" t="s">
        <v>708</v>
      </c>
      <c r="B29" s="44">
        <v>70000</v>
      </c>
      <c r="C29" s="7" t="s">
        <v>710</v>
      </c>
      <c r="D29" s="7" t="s">
        <v>111</v>
      </c>
      <c r="E29" s="43">
        <v>0</v>
      </c>
      <c r="F29" s="49" t="s">
        <v>95</v>
      </c>
      <c r="G29" s="43">
        <f>21000/12</f>
        <v>1750</v>
      </c>
      <c r="H29" s="119">
        <f>'LOE Breakdown by Year'!D27</f>
        <v>0.1</v>
      </c>
      <c r="I29" s="43">
        <v>12</v>
      </c>
      <c r="J29" s="43">
        <f t="shared" si="5"/>
        <v>2100</v>
      </c>
      <c r="K29" s="119">
        <f>'LOE Breakdown by Year'!D67</f>
        <v>0</v>
      </c>
      <c r="L29" s="43">
        <v>12</v>
      </c>
      <c r="M29" s="43">
        <f t="shared" si="6"/>
        <v>0</v>
      </c>
      <c r="N29" s="119">
        <f>'LOE Breakdown by Year'!D107</f>
        <v>0</v>
      </c>
      <c r="O29" s="43">
        <v>12</v>
      </c>
      <c r="P29" s="43">
        <f t="shared" si="7"/>
        <v>0</v>
      </c>
      <c r="Q29" s="120">
        <f>'LOE Breakdown by Year'!D147</f>
        <v>0</v>
      </c>
      <c r="R29" s="43">
        <v>0</v>
      </c>
      <c r="S29" s="43">
        <f t="shared" si="8"/>
        <v>0</v>
      </c>
      <c r="T29" s="43">
        <f t="shared" ref="T29:T31" si="18">SUM(P29,M29,J29,E29,S29)</f>
        <v>2100</v>
      </c>
      <c r="U29" s="43">
        <v>0</v>
      </c>
      <c r="V29" s="43">
        <f t="shared" ref="V29:V31" si="19">SUM(T29:U29)</f>
        <v>2100</v>
      </c>
      <c r="W29" s="437"/>
    </row>
    <row r="30" spans="1:23">
      <c r="A30" s="7" t="s">
        <v>708</v>
      </c>
      <c r="B30" s="44">
        <v>70000</v>
      </c>
      <c r="C30" s="7" t="s">
        <v>710</v>
      </c>
      <c r="D30" s="7" t="s">
        <v>112</v>
      </c>
      <c r="E30" s="43">
        <v>0</v>
      </c>
      <c r="F30" s="49" t="s">
        <v>95</v>
      </c>
      <c r="G30" s="43">
        <f>21000/12</f>
        <v>1750</v>
      </c>
      <c r="H30" s="119">
        <f>'LOE Breakdown by Year'!D28</f>
        <v>0.1</v>
      </c>
      <c r="I30" s="43">
        <v>12</v>
      </c>
      <c r="J30" s="43">
        <f t="shared" si="5"/>
        <v>2100</v>
      </c>
      <c r="K30" s="119">
        <f>'LOE Breakdown by Year'!D68</f>
        <v>0</v>
      </c>
      <c r="L30" s="43">
        <v>12</v>
      </c>
      <c r="M30" s="43">
        <f t="shared" si="6"/>
        <v>0</v>
      </c>
      <c r="N30" s="119">
        <f>'LOE Breakdown by Year'!D108</f>
        <v>0</v>
      </c>
      <c r="O30" s="43">
        <v>12</v>
      </c>
      <c r="P30" s="43">
        <f t="shared" si="7"/>
        <v>0</v>
      </c>
      <c r="Q30" s="120">
        <f>'LOE Breakdown by Year'!D148</f>
        <v>0</v>
      </c>
      <c r="R30" s="43">
        <v>0</v>
      </c>
      <c r="S30" s="43">
        <f t="shared" si="8"/>
        <v>0</v>
      </c>
      <c r="T30" s="43">
        <f t="shared" si="18"/>
        <v>2100</v>
      </c>
      <c r="U30" s="43">
        <v>0</v>
      </c>
      <c r="V30" s="43">
        <f t="shared" si="19"/>
        <v>2100</v>
      </c>
      <c r="W30" s="437"/>
    </row>
    <row r="31" spans="1:23" hidden="1">
      <c r="A31" s="7" t="s">
        <v>708</v>
      </c>
      <c r="B31" s="44">
        <v>70000</v>
      </c>
      <c r="C31" s="7" t="s">
        <v>710</v>
      </c>
      <c r="D31" s="7" t="s">
        <v>113</v>
      </c>
      <c r="E31" s="43">
        <v>0</v>
      </c>
      <c r="F31" s="49" t="s">
        <v>95</v>
      </c>
      <c r="G31" s="43">
        <f>0/12</f>
        <v>0</v>
      </c>
      <c r="H31" s="119">
        <f>'LOE Breakdown by Year'!D29</f>
        <v>0.1</v>
      </c>
      <c r="I31" s="43">
        <v>12</v>
      </c>
      <c r="J31" s="43">
        <f t="shared" si="5"/>
        <v>0</v>
      </c>
      <c r="K31" s="119">
        <f>'LOE Breakdown by Year'!D69</f>
        <v>0.05</v>
      </c>
      <c r="L31" s="43">
        <v>12</v>
      </c>
      <c r="M31" s="43">
        <f t="shared" si="6"/>
        <v>0</v>
      </c>
      <c r="N31" s="119">
        <f>'LOE Breakdown by Year'!D109</f>
        <v>0.05</v>
      </c>
      <c r="O31" s="43">
        <v>12</v>
      </c>
      <c r="P31" s="43">
        <f t="shared" si="7"/>
        <v>0</v>
      </c>
      <c r="Q31" s="119">
        <f>'LOE Breakdown by Year'!D149</f>
        <v>0.05</v>
      </c>
      <c r="R31" s="43">
        <v>4</v>
      </c>
      <c r="S31" s="43">
        <f t="shared" si="8"/>
        <v>0</v>
      </c>
      <c r="T31" s="43">
        <f t="shared" si="18"/>
        <v>0</v>
      </c>
      <c r="U31" s="43">
        <v>0</v>
      </c>
      <c r="V31" s="43">
        <f t="shared" si="19"/>
        <v>0</v>
      </c>
      <c r="W31" s="437"/>
    </row>
    <row r="32" spans="1:23">
      <c r="A32" s="7" t="s">
        <v>708</v>
      </c>
      <c r="B32" s="44">
        <v>70000</v>
      </c>
      <c r="C32" s="7" t="s">
        <v>710</v>
      </c>
      <c r="D32" s="7" t="s">
        <v>114</v>
      </c>
      <c r="E32" s="43">
        <v>0</v>
      </c>
      <c r="F32" s="49" t="s">
        <v>95</v>
      </c>
      <c r="G32" s="43">
        <f>21000/12</f>
        <v>1750</v>
      </c>
      <c r="H32" s="120">
        <f>'LOE Breakdown by Year'!D30</f>
        <v>0.1</v>
      </c>
      <c r="I32" s="43">
        <v>12</v>
      </c>
      <c r="J32" s="43">
        <f t="shared" si="5"/>
        <v>2100</v>
      </c>
      <c r="K32" s="120">
        <f>'LOE Breakdown by Year'!D70</f>
        <v>0.1</v>
      </c>
      <c r="L32" s="43">
        <v>12</v>
      </c>
      <c r="M32" s="43">
        <f t="shared" si="6"/>
        <v>2205</v>
      </c>
      <c r="N32" s="120">
        <f>'LOE Breakdown by Year'!D110</f>
        <v>0.1</v>
      </c>
      <c r="O32" s="43">
        <v>12</v>
      </c>
      <c r="P32" s="43">
        <f t="shared" si="7"/>
        <v>2315.25</v>
      </c>
      <c r="Q32" s="120">
        <f>'LOE Breakdown by Year'!D150</f>
        <v>0.1</v>
      </c>
      <c r="R32" s="43">
        <v>0</v>
      </c>
      <c r="S32" s="43">
        <f t="shared" si="8"/>
        <v>0</v>
      </c>
      <c r="T32" s="43">
        <f t="shared" ref="T32" si="20">SUM(P32,M32,J32,E32,S32)</f>
        <v>6620.25</v>
      </c>
      <c r="U32" s="43">
        <v>0</v>
      </c>
      <c r="V32" s="43">
        <f t="shared" ref="V32" si="21">SUM(T32:U32)</f>
        <v>6620.25</v>
      </c>
      <c r="W32" s="437"/>
    </row>
    <row r="33" spans="1:23">
      <c r="A33" s="7" t="s">
        <v>708</v>
      </c>
      <c r="B33" s="44">
        <v>70000</v>
      </c>
      <c r="C33" s="7" t="s">
        <v>710</v>
      </c>
      <c r="D33" s="7" t="s">
        <v>115</v>
      </c>
      <c r="E33" s="43">
        <v>0</v>
      </c>
      <c r="F33" s="49" t="s">
        <v>95</v>
      </c>
      <c r="G33" s="43">
        <f>30000/12</f>
        <v>2500</v>
      </c>
      <c r="H33" s="120">
        <f>'LOE Breakdown by Year'!D31</f>
        <v>0.1</v>
      </c>
      <c r="I33" s="43">
        <v>12</v>
      </c>
      <c r="J33" s="43">
        <f t="shared" si="5"/>
        <v>3000</v>
      </c>
      <c r="K33" s="120">
        <f>'LOE Breakdown by Year'!D71</f>
        <v>0</v>
      </c>
      <c r="L33" s="43">
        <v>12</v>
      </c>
      <c r="M33" s="43">
        <f t="shared" si="6"/>
        <v>0</v>
      </c>
      <c r="N33" s="120">
        <f>'LOE Breakdown by Year'!D111</f>
        <v>0</v>
      </c>
      <c r="O33" s="43">
        <v>12</v>
      </c>
      <c r="P33" s="43">
        <f t="shared" si="7"/>
        <v>0</v>
      </c>
      <c r="Q33" s="120">
        <f>'LOE Breakdown by Year'!D151</f>
        <v>0</v>
      </c>
      <c r="R33" s="43">
        <v>0</v>
      </c>
      <c r="S33" s="43">
        <f t="shared" si="8"/>
        <v>0</v>
      </c>
      <c r="T33" s="43">
        <f t="shared" ref="T33" si="22">SUM(P33,M33,J33,E33,S33)</f>
        <v>3000</v>
      </c>
      <c r="U33" s="43">
        <v>0</v>
      </c>
      <c r="V33" s="43">
        <f t="shared" ref="V33" si="23">SUM(T33:U33)</f>
        <v>3000</v>
      </c>
      <c r="W33" s="437"/>
    </row>
    <row r="34" spans="1:23">
      <c r="A34" s="7" t="s">
        <v>708</v>
      </c>
      <c r="B34" s="44">
        <v>70000</v>
      </c>
      <c r="C34" s="7" t="s">
        <v>710</v>
      </c>
      <c r="D34" s="7" t="s">
        <v>116</v>
      </c>
      <c r="E34" s="43">
        <v>29123.27</v>
      </c>
      <c r="F34" s="49" t="s">
        <v>95</v>
      </c>
      <c r="G34" s="43">
        <f>55000/12</f>
        <v>4583.333333333333</v>
      </c>
      <c r="H34" s="120">
        <f>'LOE Breakdown by Year'!D32</f>
        <v>0.1</v>
      </c>
      <c r="I34" s="43">
        <v>12</v>
      </c>
      <c r="J34" s="43">
        <f t="shared" si="5"/>
        <v>5500</v>
      </c>
      <c r="K34" s="120">
        <f>'LOE Breakdown by Year'!D72</f>
        <v>0.1</v>
      </c>
      <c r="L34" s="43">
        <v>12</v>
      </c>
      <c r="M34" s="43">
        <f t="shared" si="6"/>
        <v>5775</v>
      </c>
      <c r="N34" s="120">
        <f>'LOE Breakdown by Year'!D112</f>
        <v>0.1</v>
      </c>
      <c r="O34" s="43">
        <v>12</v>
      </c>
      <c r="P34" s="43">
        <f t="shared" si="7"/>
        <v>6063.75</v>
      </c>
      <c r="Q34" s="120">
        <f>'LOE Breakdown by Year'!D152</f>
        <v>0.1</v>
      </c>
      <c r="R34" s="43">
        <v>3</v>
      </c>
      <c r="S34" s="43">
        <f t="shared" si="8"/>
        <v>1591.734375</v>
      </c>
      <c r="T34" s="43">
        <f t="shared" si="9"/>
        <v>48053.754375000004</v>
      </c>
      <c r="U34" s="43">
        <v>0</v>
      </c>
      <c r="V34" s="43">
        <f t="shared" ref="V34:V35" si="24">SUM(T34:U34)</f>
        <v>48053.754375000004</v>
      </c>
      <c r="W34" s="437"/>
    </row>
    <row r="35" spans="1:23">
      <c r="A35" s="7" t="s">
        <v>708</v>
      </c>
      <c r="B35" s="44">
        <v>70000</v>
      </c>
      <c r="C35" s="7" t="s">
        <v>710</v>
      </c>
      <c r="D35" s="7" t="s">
        <v>117</v>
      </c>
      <c r="E35" s="43">
        <v>0</v>
      </c>
      <c r="F35" s="49" t="s">
        <v>95</v>
      </c>
      <c r="G35" s="43">
        <f>(21000/12)*2</f>
        <v>3500</v>
      </c>
      <c r="H35" s="120">
        <f>'LOE Breakdown by Year'!D33</f>
        <v>0.05</v>
      </c>
      <c r="I35" s="43">
        <v>12</v>
      </c>
      <c r="J35" s="43">
        <f t="shared" si="5"/>
        <v>2100</v>
      </c>
      <c r="K35" s="120">
        <f>'LOE Breakdown by Year'!D73</f>
        <v>0.1</v>
      </c>
      <c r="L35" s="43">
        <v>12</v>
      </c>
      <c r="M35" s="43">
        <f t="shared" si="6"/>
        <v>4410</v>
      </c>
      <c r="N35" s="120">
        <f>'LOE Breakdown by Year'!D113</f>
        <v>0.1</v>
      </c>
      <c r="O35" s="43">
        <v>12</v>
      </c>
      <c r="P35" s="43">
        <f t="shared" si="7"/>
        <v>4630.5</v>
      </c>
      <c r="Q35" s="120">
        <f>'LOE Breakdown by Year'!D153</f>
        <v>0.1</v>
      </c>
      <c r="R35" s="43">
        <v>0</v>
      </c>
      <c r="S35" s="43">
        <f t="shared" si="8"/>
        <v>0</v>
      </c>
      <c r="T35" s="43">
        <f t="shared" si="9"/>
        <v>11140.5</v>
      </c>
      <c r="U35" s="43">
        <v>0</v>
      </c>
      <c r="V35" s="43">
        <f t="shared" si="24"/>
        <v>11140.5</v>
      </c>
      <c r="W35" s="437"/>
    </row>
    <row r="36" spans="1:23" ht="18.75" customHeight="1">
      <c r="A36" s="7" t="s">
        <v>708</v>
      </c>
      <c r="B36" s="44">
        <v>70000</v>
      </c>
      <c r="C36" s="7" t="s">
        <v>710</v>
      </c>
      <c r="D36" s="7" t="s">
        <v>118</v>
      </c>
      <c r="E36" s="43">
        <v>170750.48</v>
      </c>
      <c r="F36" s="49" t="s">
        <v>95</v>
      </c>
      <c r="G36" s="43">
        <f>(72000/12)*87.99%</f>
        <v>5279.4</v>
      </c>
      <c r="H36" s="120">
        <f>'LOE Breakdown by Year'!D34</f>
        <v>0.15</v>
      </c>
      <c r="I36" s="43">
        <v>12</v>
      </c>
      <c r="J36" s="43">
        <f>I36*G36*H36</f>
        <v>9502.9199999999983</v>
      </c>
      <c r="K36" s="120">
        <f>'LOE Breakdown by Year'!D74</f>
        <v>0.15</v>
      </c>
      <c r="L36" s="43">
        <v>12</v>
      </c>
      <c r="M36" s="43">
        <f>L36*G36*$K36*$E$8</f>
        <v>9978.0659999999989</v>
      </c>
      <c r="N36" s="120">
        <f>'LOE Breakdown by Year'!D114</f>
        <v>0.15</v>
      </c>
      <c r="O36" s="43">
        <v>12</v>
      </c>
      <c r="P36" s="43">
        <f>O36*G36*$N36*$E$8*$E$8</f>
        <v>10476.969299999999</v>
      </c>
      <c r="Q36" s="120">
        <f>'LOE Breakdown by Year'!D154</f>
        <v>0.15</v>
      </c>
      <c r="R36" s="43">
        <v>6</v>
      </c>
      <c r="S36" s="43">
        <f>R36*G36*$Q36*$E$8*$E$8*$E$8</f>
        <v>5500.4088824999999</v>
      </c>
      <c r="T36" s="43">
        <f t="shared" ref="T36:T42" si="25">SUM(P36,M36,J36,E36,S36)</f>
        <v>206208.8441825</v>
      </c>
      <c r="U36" s="43">
        <v>0</v>
      </c>
      <c r="V36" s="43">
        <f>SUM(T36:U36)</f>
        <v>206208.8441825</v>
      </c>
      <c r="W36" s="437"/>
    </row>
    <row r="37" spans="1:23">
      <c r="A37" s="7" t="s">
        <v>708</v>
      </c>
      <c r="B37" s="44">
        <v>70000</v>
      </c>
      <c r="C37" s="7" t="s">
        <v>710</v>
      </c>
      <c r="D37" s="7" t="s">
        <v>119</v>
      </c>
      <c r="E37" s="43">
        <v>0</v>
      </c>
      <c r="F37" s="49" t="s">
        <v>95</v>
      </c>
      <c r="G37" s="43">
        <f>21000/12</f>
        <v>1750</v>
      </c>
      <c r="H37" s="120">
        <f>'LOE Breakdown by Year'!D35</f>
        <v>0.1</v>
      </c>
      <c r="I37" s="43">
        <v>12</v>
      </c>
      <c r="J37" s="43">
        <f t="shared" si="5"/>
        <v>2100</v>
      </c>
      <c r="K37" s="120">
        <f>'LOE Breakdown by Year'!D75</f>
        <v>0.2</v>
      </c>
      <c r="L37" s="43">
        <v>12</v>
      </c>
      <c r="M37" s="43">
        <f t="shared" si="6"/>
        <v>4410</v>
      </c>
      <c r="N37" s="120">
        <f>'LOE Breakdown by Year'!D115</f>
        <v>0.2</v>
      </c>
      <c r="O37" s="43">
        <v>12</v>
      </c>
      <c r="P37" s="43">
        <f t="shared" si="7"/>
        <v>4630.5</v>
      </c>
      <c r="Q37" s="120">
        <f>'LOE Breakdown by Year'!D155</f>
        <v>0.2</v>
      </c>
      <c r="R37" s="43">
        <v>3</v>
      </c>
      <c r="S37" s="43">
        <f t="shared" si="8"/>
        <v>1215.5062500000001</v>
      </c>
      <c r="T37" s="43">
        <f t="shared" si="25"/>
        <v>12356.00625</v>
      </c>
      <c r="U37" s="43">
        <v>0</v>
      </c>
      <c r="V37" s="43">
        <f t="shared" ref="V37:V38" si="26">SUM(T37:U37)</f>
        <v>12356.00625</v>
      </c>
      <c r="W37" s="437"/>
    </row>
    <row r="38" spans="1:23">
      <c r="A38" s="7" t="s">
        <v>708</v>
      </c>
      <c r="B38" s="44">
        <v>70000</v>
      </c>
      <c r="C38" s="7" t="s">
        <v>710</v>
      </c>
      <c r="D38" s="7" t="s">
        <v>120</v>
      </c>
      <c r="E38" s="43">
        <v>57428.39</v>
      </c>
      <c r="F38" s="49" t="s">
        <v>95</v>
      </c>
      <c r="G38" s="43">
        <f>(21000/12)</f>
        <v>1750</v>
      </c>
      <c r="H38" s="120">
        <f>'LOE Breakdown by Year'!D36</f>
        <v>0.1</v>
      </c>
      <c r="I38" s="43">
        <v>12</v>
      </c>
      <c r="J38" s="43">
        <f t="shared" si="5"/>
        <v>2100</v>
      </c>
      <c r="K38" s="120">
        <f>'LOE Breakdown by Year'!D76</f>
        <v>0.2</v>
      </c>
      <c r="L38" s="43">
        <v>12</v>
      </c>
      <c r="M38" s="43">
        <f t="shared" si="6"/>
        <v>4410</v>
      </c>
      <c r="N38" s="120">
        <f>'LOE Breakdown by Year'!D116</f>
        <v>0.2</v>
      </c>
      <c r="O38" s="43">
        <v>12</v>
      </c>
      <c r="P38" s="43">
        <f t="shared" si="7"/>
        <v>4630.5</v>
      </c>
      <c r="Q38" s="120">
        <f>'LOE Breakdown by Year'!D156</f>
        <v>0.2</v>
      </c>
      <c r="R38" s="43">
        <v>5</v>
      </c>
      <c r="S38" s="43">
        <f t="shared" si="8"/>
        <v>2025.84375</v>
      </c>
      <c r="T38" s="43">
        <f t="shared" si="25"/>
        <v>70594.733749999999</v>
      </c>
      <c r="U38" s="43">
        <v>0</v>
      </c>
      <c r="V38" s="43">
        <f t="shared" si="26"/>
        <v>70594.733749999999</v>
      </c>
      <c r="W38" s="437"/>
    </row>
    <row r="39" spans="1:23">
      <c r="A39" s="7" t="s">
        <v>708</v>
      </c>
      <c r="B39" s="44">
        <v>70000</v>
      </c>
      <c r="C39" s="7" t="s">
        <v>710</v>
      </c>
      <c r="D39" s="7" t="s">
        <v>121</v>
      </c>
      <c r="E39" s="43">
        <v>0</v>
      </c>
      <c r="F39" s="49" t="s">
        <v>95</v>
      </c>
      <c r="G39" s="43">
        <f>31000/12</f>
        <v>2583.3333333333335</v>
      </c>
      <c r="H39" s="120">
        <f>'LOE Breakdown by Year'!D37</f>
        <v>0.1</v>
      </c>
      <c r="I39" s="43">
        <v>12</v>
      </c>
      <c r="J39" s="43">
        <f t="shared" si="5"/>
        <v>3100</v>
      </c>
      <c r="K39" s="120">
        <f>'LOE Breakdown by Year'!D77</f>
        <v>0.1</v>
      </c>
      <c r="L39" s="43">
        <v>12</v>
      </c>
      <c r="M39" s="43">
        <f t="shared" si="6"/>
        <v>3255</v>
      </c>
      <c r="N39" s="120">
        <f>'LOE Breakdown by Year'!D117</f>
        <v>0.1</v>
      </c>
      <c r="O39" s="43">
        <v>12</v>
      </c>
      <c r="P39" s="43">
        <f t="shared" si="7"/>
        <v>3417.75</v>
      </c>
      <c r="Q39" s="120">
        <f>'LOE Breakdown by Year'!D157</f>
        <v>0.1</v>
      </c>
      <c r="R39" s="43">
        <v>6</v>
      </c>
      <c r="S39" s="43">
        <f t="shared" si="8"/>
        <v>1794.3187500000001</v>
      </c>
      <c r="T39" s="43">
        <f t="shared" si="25"/>
        <v>11567.06875</v>
      </c>
      <c r="U39" s="43">
        <v>0</v>
      </c>
      <c r="V39" s="43">
        <f>SUM(T39:U39)</f>
        <v>11567.06875</v>
      </c>
      <c r="W39" s="437"/>
    </row>
    <row r="40" spans="1:23">
      <c r="A40" s="7" t="s">
        <v>708</v>
      </c>
      <c r="B40" s="44">
        <v>70000</v>
      </c>
      <c r="C40" s="7" t="s">
        <v>710</v>
      </c>
      <c r="D40" s="7" t="s">
        <v>122</v>
      </c>
      <c r="E40" s="43">
        <v>31713.93</v>
      </c>
      <c r="F40" s="49" t="s">
        <v>95</v>
      </c>
      <c r="G40" s="43">
        <f>12000/12</f>
        <v>1000</v>
      </c>
      <c r="H40" s="120">
        <f>'LOE Breakdown by Year'!D38</f>
        <v>0.1</v>
      </c>
      <c r="I40" s="43">
        <v>12</v>
      </c>
      <c r="J40" s="43">
        <f t="shared" ref="J40" si="27">I40*G40*H40</f>
        <v>1200</v>
      </c>
      <c r="K40" s="120">
        <f>'LOE Breakdown by Year'!D78</f>
        <v>0.3</v>
      </c>
      <c r="L40" s="43">
        <v>12</v>
      </c>
      <c r="M40" s="43">
        <f t="shared" ref="M40" si="28">L40*G40*$K40*$E$8</f>
        <v>3780</v>
      </c>
      <c r="N40" s="120">
        <f>'LOE Breakdown by Year'!D118</f>
        <v>0.3</v>
      </c>
      <c r="O40" s="43">
        <v>12</v>
      </c>
      <c r="P40" s="43">
        <f t="shared" ref="P40" si="29">O40*G40*$N40*$E$8*$E$8</f>
        <v>3969</v>
      </c>
      <c r="Q40" s="120">
        <f>'LOE Breakdown by Year'!D158</f>
        <v>0.3</v>
      </c>
      <c r="R40" s="43">
        <v>3</v>
      </c>
      <c r="S40" s="43">
        <f t="shared" ref="S40" si="30">R40*G40*$Q40*$E$8*$E$8*$E$8</f>
        <v>1041.8625</v>
      </c>
      <c r="T40" s="43">
        <f t="shared" ref="T40" si="31">SUM(P40,M40,J40,E40,S40)</f>
        <v>41704.792500000003</v>
      </c>
      <c r="U40" s="43">
        <v>0</v>
      </c>
      <c r="V40" s="43">
        <f>SUM(T40:U40)</f>
        <v>41704.792500000003</v>
      </c>
      <c r="W40" s="437"/>
    </row>
    <row r="41" spans="1:23">
      <c r="A41" s="7" t="s">
        <v>708</v>
      </c>
      <c r="B41" s="44">
        <v>70000</v>
      </c>
      <c r="C41" s="7" t="s">
        <v>710</v>
      </c>
      <c r="D41" s="7" t="s">
        <v>123</v>
      </c>
      <c r="E41" s="43">
        <v>0</v>
      </c>
      <c r="F41" s="49" t="s">
        <v>95</v>
      </c>
      <c r="G41" s="43">
        <f>(35000/12)*67%</f>
        <v>1954.1666666666667</v>
      </c>
      <c r="H41" s="120">
        <f>'LOE Breakdown by Year'!D39</f>
        <v>0.1</v>
      </c>
      <c r="I41" s="43">
        <v>12</v>
      </c>
      <c r="J41" s="43">
        <f t="shared" ref="J41" si="32">I41*G41*H41</f>
        <v>2345</v>
      </c>
      <c r="K41" s="120">
        <f>'LOE Breakdown by Year'!D79</f>
        <v>0.3</v>
      </c>
      <c r="L41" s="43">
        <v>12</v>
      </c>
      <c r="M41" s="43">
        <f t="shared" ref="M41" si="33">L41*G41*$K41*$E$8</f>
        <v>7386.75</v>
      </c>
      <c r="N41" s="120">
        <f>'LOE Breakdown by Year'!D119</f>
        <v>0.3</v>
      </c>
      <c r="O41" s="43">
        <v>12</v>
      </c>
      <c r="P41" s="43">
        <f t="shared" ref="P41" si="34">O41*G41*$N41*$E$8*$E$8</f>
        <v>7756.0875000000005</v>
      </c>
      <c r="Q41" s="120">
        <f>'LOE Breakdown by Year'!D159</f>
        <v>0.3</v>
      </c>
      <c r="R41" s="43">
        <v>6</v>
      </c>
      <c r="S41" s="43">
        <f t="shared" ref="S41" si="35">R41*G41*$Q41*$E$8*$E$8*$E$8</f>
        <v>4071.9459375000006</v>
      </c>
      <c r="T41" s="43">
        <f t="shared" ref="T41" si="36">SUM(P41,M41,J41,E41,S41)</f>
        <v>21559.783437500002</v>
      </c>
      <c r="U41" s="43">
        <v>0</v>
      </c>
      <c r="V41" s="43">
        <f>SUM(T41:U41)</f>
        <v>21559.783437500002</v>
      </c>
      <c r="W41" s="437"/>
    </row>
    <row r="42" spans="1:23">
      <c r="A42" s="7" t="s">
        <v>708</v>
      </c>
      <c r="B42" s="44">
        <v>70000</v>
      </c>
      <c r="C42" s="7" t="s">
        <v>710</v>
      </c>
      <c r="D42" s="7" t="s">
        <v>124</v>
      </c>
      <c r="E42" s="43">
        <v>0</v>
      </c>
      <c r="F42" s="49" t="s">
        <v>95</v>
      </c>
      <c r="G42" s="43">
        <f>21000/12</f>
        <v>1750</v>
      </c>
      <c r="H42" s="120">
        <f>'LOE Breakdown by Year'!D40</f>
        <v>0.1</v>
      </c>
      <c r="I42" s="43">
        <v>12</v>
      </c>
      <c r="J42" s="43">
        <f t="shared" si="5"/>
        <v>2100</v>
      </c>
      <c r="K42" s="120">
        <f>'LOE Breakdown by Year'!D80</f>
        <v>0.3</v>
      </c>
      <c r="L42" s="43">
        <v>12</v>
      </c>
      <c r="M42" s="43">
        <f t="shared" si="6"/>
        <v>6615</v>
      </c>
      <c r="N42" s="120">
        <f>'LOE Breakdown by Year'!D120</f>
        <v>0.3</v>
      </c>
      <c r="O42" s="43">
        <v>12</v>
      </c>
      <c r="P42" s="43">
        <f t="shared" si="7"/>
        <v>6945.75</v>
      </c>
      <c r="Q42" s="120">
        <f>'LOE Breakdown by Year'!D160</f>
        <v>0.3</v>
      </c>
      <c r="R42" s="43">
        <v>3</v>
      </c>
      <c r="S42" s="43">
        <f t="shared" si="8"/>
        <v>1823.2593750000001</v>
      </c>
      <c r="T42" s="43">
        <f t="shared" si="25"/>
        <v>17484.009375000001</v>
      </c>
      <c r="U42" s="43">
        <v>0</v>
      </c>
      <c r="V42" s="43">
        <f>SUM(T42:U42)</f>
        <v>17484.009375000001</v>
      </c>
      <c r="W42" s="437"/>
    </row>
    <row r="43" spans="1:23">
      <c r="A43" s="75"/>
      <c r="B43" s="91"/>
      <c r="C43" s="75"/>
      <c r="D43" s="75" t="s">
        <v>125</v>
      </c>
      <c r="E43" s="79"/>
      <c r="F43" s="79"/>
      <c r="G43" s="80"/>
      <c r="H43" s="121"/>
      <c r="I43" s="80"/>
      <c r="J43" s="80"/>
      <c r="K43" s="80"/>
      <c r="L43" s="80"/>
      <c r="M43" s="80"/>
      <c r="N43" s="121"/>
      <c r="O43" s="80"/>
      <c r="P43" s="80"/>
      <c r="Q43" s="121"/>
      <c r="R43" s="80"/>
      <c r="S43" s="80"/>
      <c r="T43" s="80"/>
      <c r="U43" s="80"/>
      <c r="V43" s="80"/>
      <c r="W43" s="437"/>
    </row>
    <row r="44" spans="1:23">
      <c r="A44" s="7" t="s">
        <v>708</v>
      </c>
      <c r="B44" s="44">
        <v>50000</v>
      </c>
      <c r="C44" s="7" t="s">
        <v>709</v>
      </c>
      <c r="D44" s="7" t="s">
        <v>126</v>
      </c>
      <c r="E44" s="43">
        <v>105808.88</v>
      </c>
      <c r="F44" s="49" t="s">
        <v>95</v>
      </c>
      <c r="G44" s="43">
        <f>150000/12</f>
        <v>12500</v>
      </c>
      <c r="H44" s="120">
        <f>'LOE Breakdown by Year'!D42</f>
        <v>0.25</v>
      </c>
      <c r="I44" s="43">
        <v>12</v>
      </c>
      <c r="J44" s="43">
        <f>I44*G44*H44</f>
        <v>37500</v>
      </c>
      <c r="K44" s="120">
        <f>'LOE Breakdown by Year'!D82</f>
        <v>0.25</v>
      </c>
      <c r="L44" s="43">
        <v>12</v>
      </c>
      <c r="M44" s="43">
        <f>L44*G44*$K44*$E$8</f>
        <v>39375</v>
      </c>
      <c r="N44" s="120">
        <f>'LOE Breakdown by Year'!D122</f>
        <v>0.25</v>
      </c>
      <c r="O44" s="43">
        <v>12</v>
      </c>
      <c r="P44" s="43">
        <f>O44*G44*$N44*$E$8*$E$8</f>
        <v>41343.75</v>
      </c>
      <c r="Q44" s="120">
        <f>'LOE Breakdown by Year'!D162</f>
        <v>0.25</v>
      </c>
      <c r="R44" s="43">
        <v>6</v>
      </c>
      <c r="S44" s="43">
        <f t="shared" ref="S44" si="37">R44*G44*$Q44*$E$8*$E$8*$E$8</f>
        <v>21705.46875</v>
      </c>
      <c r="T44" s="43">
        <f>SUM(P44,M44,J44,E44,S44)</f>
        <v>245733.09875</v>
      </c>
      <c r="U44" s="43">
        <v>0</v>
      </c>
      <c r="V44" s="43">
        <f>SUM(T44:U44)</f>
        <v>245733.09875</v>
      </c>
      <c r="W44" s="437"/>
    </row>
    <row r="45" spans="1:23">
      <c r="A45" s="7" t="s">
        <v>708</v>
      </c>
      <c r="B45" s="44">
        <v>50000</v>
      </c>
      <c r="C45" s="7" t="s">
        <v>709</v>
      </c>
      <c r="D45" s="7" t="s">
        <v>127</v>
      </c>
      <c r="E45" s="43">
        <f>317426.65-146724</f>
        <v>170702.65000000002</v>
      </c>
      <c r="F45" s="49" t="s">
        <v>95</v>
      </c>
      <c r="G45" s="43">
        <f>100000/12</f>
        <v>8333.3333333333339</v>
      </c>
      <c r="H45" s="120">
        <f>'LOE Breakdown by Year'!D43</f>
        <v>0.65</v>
      </c>
      <c r="I45" s="43">
        <v>12</v>
      </c>
      <c r="J45" s="43">
        <f t="shared" ref="J45:J46" si="38">I45*G45*H45</f>
        <v>65000</v>
      </c>
      <c r="K45" s="120">
        <f>'LOE Breakdown by Year'!D83</f>
        <v>0.65</v>
      </c>
      <c r="L45" s="43">
        <v>12</v>
      </c>
      <c r="M45" s="43">
        <f t="shared" ref="M45:M46" si="39">L45*G45*$K45*$E$8</f>
        <v>68250</v>
      </c>
      <c r="N45" s="120">
        <f>'LOE Breakdown by Year'!D123</f>
        <v>0.65</v>
      </c>
      <c r="O45" s="43">
        <v>12</v>
      </c>
      <c r="P45" s="43">
        <f t="shared" ref="P45:P46" si="40">O45*G45*$N45*$E$8*$E$8</f>
        <v>71662.5</v>
      </c>
      <c r="Q45" s="120">
        <f>'LOE Breakdown by Year'!D163</f>
        <v>0.65</v>
      </c>
      <c r="R45" s="43">
        <v>6</v>
      </c>
      <c r="S45" s="43">
        <f t="shared" ref="S45:S46" si="41">R45*G45*$Q45*$E$8*$E$8*$E$8</f>
        <v>37622.8125</v>
      </c>
      <c r="T45" s="43">
        <f t="shared" ref="T45:T46" si="42">SUM(P45,M45,J45,E45,S45)</f>
        <v>413237.96250000002</v>
      </c>
      <c r="U45" s="43">
        <v>0</v>
      </c>
      <c r="V45" s="43">
        <f t="shared" ref="V45:V46" si="43">SUM(T45:U45)</f>
        <v>413237.96250000002</v>
      </c>
      <c r="W45" s="437"/>
    </row>
    <row r="46" spans="1:23">
      <c r="A46" s="7" t="s">
        <v>708</v>
      </c>
      <c r="B46" s="44">
        <v>50000</v>
      </c>
      <c r="C46" s="7" t="s">
        <v>709</v>
      </c>
      <c r="D46" s="7" t="s">
        <v>128</v>
      </c>
      <c r="E46" s="43">
        <v>0</v>
      </c>
      <c r="F46" s="49" t="s">
        <v>95</v>
      </c>
      <c r="G46" s="43">
        <f>70000/12</f>
        <v>5833.333333333333</v>
      </c>
      <c r="H46" s="120">
        <f>'LOE Breakdown by Year'!D44</f>
        <v>0.61</v>
      </c>
      <c r="I46" s="43">
        <v>12</v>
      </c>
      <c r="J46" s="43">
        <f t="shared" si="38"/>
        <v>42700</v>
      </c>
      <c r="K46" s="120">
        <f>'LOE Breakdown by Year'!D84</f>
        <v>0.61</v>
      </c>
      <c r="L46" s="43">
        <v>12</v>
      </c>
      <c r="M46" s="43">
        <f t="shared" si="39"/>
        <v>44835</v>
      </c>
      <c r="N46" s="120">
        <f>'LOE Breakdown by Year'!D124</f>
        <v>0.61</v>
      </c>
      <c r="O46" s="43">
        <v>12</v>
      </c>
      <c r="P46" s="43">
        <f t="shared" si="40"/>
        <v>47076.75</v>
      </c>
      <c r="Q46" s="120">
        <f>'LOE Breakdown by Year'!D164</f>
        <v>0.61</v>
      </c>
      <c r="R46" s="43">
        <v>6</v>
      </c>
      <c r="S46" s="43">
        <f t="shared" si="41"/>
        <v>24715.293750000001</v>
      </c>
      <c r="T46" s="43">
        <f t="shared" si="42"/>
        <v>159327.04375000001</v>
      </c>
      <c r="U46" s="43">
        <v>0</v>
      </c>
      <c r="V46" s="43">
        <f t="shared" si="43"/>
        <v>159327.04375000001</v>
      </c>
      <c r="W46" s="437"/>
    </row>
    <row r="47" spans="1:23">
      <c r="E47" s="43"/>
      <c r="F47" s="537"/>
      <c r="G47" s="43"/>
      <c r="H47" s="119"/>
      <c r="I47" s="43"/>
      <c r="J47" s="43"/>
      <c r="K47" s="119"/>
      <c r="L47" s="43"/>
      <c r="M47" s="43"/>
      <c r="N47" s="119"/>
      <c r="O47" s="43"/>
      <c r="P47" s="43"/>
      <c r="Q47" s="119"/>
      <c r="R47" s="43"/>
      <c r="S47" s="43"/>
      <c r="T47" s="43"/>
      <c r="U47" s="43"/>
      <c r="V47" s="43"/>
    </row>
    <row r="48" spans="1:23" ht="12.9" thickBot="1">
      <c r="A48" s="53"/>
      <c r="B48" s="66"/>
      <c r="C48" s="53"/>
      <c r="D48" s="53" t="s">
        <v>129</v>
      </c>
      <c r="E48" s="56">
        <f>SUM(E13:E47)</f>
        <v>933268.52000000014</v>
      </c>
      <c r="F48" s="53"/>
      <c r="G48" s="53"/>
      <c r="H48" s="122"/>
      <c r="I48" s="56"/>
      <c r="J48" s="56">
        <f>SUM(J13:J46)</f>
        <v>234397.91999999998</v>
      </c>
      <c r="K48" s="122"/>
      <c r="L48" s="56"/>
      <c r="M48" s="56">
        <f>SUM(M13:M46)</f>
        <v>243114.81599999999</v>
      </c>
      <c r="N48" s="122"/>
      <c r="O48" s="56"/>
      <c r="P48" s="56">
        <f>SUM(P13:P46)</f>
        <v>255270.55679999999</v>
      </c>
      <c r="Q48" s="122"/>
      <c r="R48" s="56"/>
      <c r="S48" s="56">
        <f>SUM(S13:S46)</f>
        <v>116879.3688825</v>
      </c>
      <c r="T48" s="56">
        <f>SUM(T13:T46)</f>
        <v>1782931.1816824998</v>
      </c>
      <c r="U48" s="56">
        <f>SUM(U13:U46)</f>
        <v>0</v>
      </c>
      <c r="V48" s="56">
        <f>SUM(V13:V46)</f>
        <v>1782931.1816824998</v>
      </c>
      <c r="W48" s="604">
        <f>SUM(V48,V176,V230,V307,V404,V477,V551,V631,V701)</f>
        <v>8060160.8376749996</v>
      </c>
    </row>
    <row r="49" spans="1:24">
      <c r="A49" s="81"/>
      <c r="B49" s="81"/>
      <c r="C49" s="81"/>
      <c r="D49" s="81"/>
      <c r="E49" s="62"/>
      <c r="F49" s="538"/>
      <c r="G49" s="62"/>
      <c r="H49" s="123"/>
      <c r="I49" s="62"/>
      <c r="J49" s="62"/>
      <c r="K49" s="123"/>
      <c r="L49" s="62"/>
      <c r="M49" s="62"/>
      <c r="N49" s="123"/>
      <c r="O49" s="62"/>
      <c r="P49" s="62"/>
      <c r="Q49" s="123"/>
      <c r="R49" s="62"/>
      <c r="S49" s="62"/>
      <c r="T49" s="62"/>
      <c r="U49" s="62"/>
      <c r="V49" s="62"/>
    </row>
    <row r="50" spans="1:24">
      <c r="A50" s="37"/>
      <c r="B50" s="615"/>
      <c r="C50" s="37"/>
      <c r="D50" s="37" t="s">
        <v>130</v>
      </c>
      <c r="E50" s="39"/>
      <c r="F50" s="37"/>
      <c r="G50" s="38"/>
      <c r="H50" s="124"/>
      <c r="I50" s="39"/>
      <c r="J50" s="39"/>
      <c r="K50" s="124"/>
      <c r="L50" s="39"/>
      <c r="M50" s="39"/>
      <c r="N50" s="124"/>
      <c r="O50" s="39"/>
      <c r="P50" s="39"/>
      <c r="Q50" s="124"/>
      <c r="R50" s="39"/>
      <c r="S50" s="39"/>
      <c r="T50" s="39"/>
      <c r="U50" s="39"/>
      <c r="V50" s="39"/>
    </row>
    <row r="51" spans="1:24" ht="25.2">
      <c r="A51" s="7" t="s">
        <v>711</v>
      </c>
      <c r="B51" s="44">
        <v>70015</v>
      </c>
      <c r="C51" s="7" t="s">
        <v>710</v>
      </c>
      <c r="D51" s="7" t="s">
        <v>131</v>
      </c>
      <c r="E51" s="43">
        <v>38320.449999999997</v>
      </c>
      <c r="F51" s="82" t="s">
        <v>132</v>
      </c>
      <c r="G51" s="466">
        <v>0.53864000000000001</v>
      </c>
      <c r="H51" s="120"/>
      <c r="I51" s="43"/>
      <c r="J51" s="43">
        <f>(J15+J24+J28+J31+J34+J36+J14)*$G$51</f>
        <v>19796.5928288</v>
      </c>
      <c r="K51" s="120"/>
      <c r="L51" s="43"/>
      <c r="M51" s="43">
        <f>(M15+M24+M28+M31+M34+M36+M14)*$G$51</f>
        <v>22200.352470239999</v>
      </c>
      <c r="N51" s="120"/>
      <c r="O51" s="43"/>
      <c r="P51" s="43">
        <f>(P15+P24+P28+P31+P34+P36+P14)*$G$51</f>
        <v>23310.370093751997</v>
      </c>
      <c r="Q51" s="120"/>
      <c r="R51" s="43"/>
      <c r="S51" s="43">
        <f>(S15+S24+S28+S31+S34+S36+S14)*$G$51</f>
        <v>10380.3053910948</v>
      </c>
      <c r="T51" s="43">
        <f>SUM(P51,M51,J51,E51,S51)</f>
        <v>114008.0707838868</v>
      </c>
      <c r="U51" s="43">
        <v>0</v>
      </c>
      <c r="V51" s="43">
        <f>SUM(T51:U51)</f>
        <v>114008.0707838868</v>
      </c>
    </row>
    <row r="52" spans="1:24" ht="25.2">
      <c r="A52" s="7" t="s">
        <v>711</v>
      </c>
      <c r="B52" s="44">
        <v>70015</v>
      </c>
      <c r="C52" s="7" t="s">
        <v>710</v>
      </c>
      <c r="D52" s="7" t="s">
        <v>133</v>
      </c>
      <c r="E52" s="43">
        <v>221449.96</v>
      </c>
      <c r="F52" s="82" t="s">
        <v>132</v>
      </c>
      <c r="G52" s="466">
        <v>0.44863999999999998</v>
      </c>
      <c r="H52" s="120"/>
      <c r="I52" s="43"/>
      <c r="J52" s="43">
        <f>(J16+J17+J18+J19+J20+J21+J22+J23+J25+J26+J27+J29+J30+J32+J33+J35+J37+J38+J39+J40+J41+J42)*$G$52</f>
        <v>15857.1808</v>
      </c>
      <c r="K52" s="120"/>
      <c r="L52" s="43"/>
      <c r="M52" s="43">
        <f>(M16+M17+M18+M19+M20+M21+M22+M23+M25+M26+M27+M29+M30+M32+M33+M35+M37+M38+M39+M40+M41+M42)*$G$52</f>
        <v>18152.75952</v>
      </c>
      <c r="N52" s="120"/>
      <c r="O52" s="43"/>
      <c r="P52" s="43">
        <f>(P16+P17+P18+P19+P20+P21+P22+P23+P25+P26+P27+P29+P30+P32+P33+P35+P37+P38+P39+P40+P41+P42)*$G$52</f>
        <v>19060.397496000001</v>
      </c>
      <c r="Q52" s="120"/>
      <c r="R52" s="43"/>
      <c r="S52" s="43">
        <f>(S16+S17+S18+S19+S20+S21+S22+S23+S25+S26+S27+S29+S30+S32+S33+S35+S37+S38+S39+S40+S41+S42)*$G$52</f>
        <v>6085.5642413999994</v>
      </c>
      <c r="T52" s="43">
        <f t="shared" ref="T52:T58" si="44">SUM(P52,M52,J52,E52,S52)</f>
        <v>280605.86205739999</v>
      </c>
      <c r="U52" s="43">
        <v>0</v>
      </c>
      <c r="V52" s="43">
        <f t="shared" ref="V52:V58" si="45">SUM(T52:U52)</f>
        <v>280605.86205739999</v>
      </c>
    </row>
    <row r="53" spans="1:24">
      <c r="A53" s="7" t="s">
        <v>711</v>
      </c>
      <c r="B53" s="44">
        <v>50900</v>
      </c>
      <c r="C53" s="7" t="s">
        <v>709</v>
      </c>
      <c r="D53" s="7" t="s">
        <v>134</v>
      </c>
      <c r="E53" s="43">
        <v>99333.38</v>
      </c>
      <c r="F53" s="82" t="s">
        <v>132</v>
      </c>
      <c r="G53" s="63">
        <v>0.23469999999999999</v>
      </c>
      <c r="H53" s="120"/>
      <c r="I53" s="43"/>
      <c r="J53" s="43">
        <f>(J44+J45+J46)*$G$53</f>
        <v>34078.44</v>
      </c>
      <c r="K53" s="120"/>
      <c r="L53" s="43"/>
      <c r="M53" s="43">
        <f>(M44+M45+M46)*$G$53</f>
        <v>35782.362000000001</v>
      </c>
      <c r="N53" s="120"/>
      <c r="O53" s="43"/>
      <c r="P53" s="43">
        <f>(P44+P45+P46)*$G$53</f>
        <v>37571.480100000001</v>
      </c>
      <c r="Q53" s="120"/>
      <c r="R53" s="43"/>
      <c r="S53" s="43">
        <f>(S44+S45+S46)*$G$53</f>
        <v>19725.027052499998</v>
      </c>
      <c r="T53" s="43">
        <f>SUM(P53,M53,J53,E53,S53)</f>
        <v>226490.68915250001</v>
      </c>
      <c r="U53" s="43">
        <v>0</v>
      </c>
      <c r="V53" s="43">
        <f t="shared" si="45"/>
        <v>226490.68915250001</v>
      </c>
    </row>
    <row r="54" spans="1:24">
      <c r="A54" s="5" t="s">
        <v>712</v>
      </c>
      <c r="B54" s="44">
        <v>50202</v>
      </c>
      <c r="C54" s="7" t="s">
        <v>710</v>
      </c>
      <c r="D54" s="44" t="s">
        <v>135</v>
      </c>
      <c r="E54" s="83">
        <v>59486.729999999996</v>
      </c>
      <c r="F54" s="82" t="s">
        <v>132</v>
      </c>
      <c r="G54" s="156">
        <v>0.15</v>
      </c>
      <c r="H54" s="125"/>
      <c r="I54" s="83"/>
      <c r="J54" s="83">
        <f>J13*$G$54</f>
        <v>2565</v>
      </c>
      <c r="K54" s="125"/>
      <c r="L54" s="83"/>
      <c r="M54" s="83">
        <f>M13*$G$54</f>
        <v>1346.625</v>
      </c>
      <c r="N54" s="125"/>
      <c r="O54" s="83"/>
      <c r="P54" s="83">
        <f>P13*$G$54</f>
        <v>1413.95625</v>
      </c>
      <c r="Q54" s="125"/>
      <c r="R54" s="83"/>
      <c r="S54" s="83">
        <f>S13*$G$54</f>
        <v>0</v>
      </c>
      <c r="T54" s="43">
        <f>SUM(P54,M54,J54,E54,S54)</f>
        <v>64812.311249999999</v>
      </c>
      <c r="U54" s="43">
        <v>0</v>
      </c>
      <c r="V54" s="43">
        <f t="shared" si="45"/>
        <v>64812.311249999999</v>
      </c>
      <c r="X54" s="437"/>
    </row>
    <row r="55" spans="1:24">
      <c r="A55" s="7" t="s">
        <v>711</v>
      </c>
      <c r="B55" s="44">
        <v>50900</v>
      </c>
      <c r="C55" s="7" t="s">
        <v>709</v>
      </c>
      <c r="D55" s="44" t="s">
        <v>136</v>
      </c>
      <c r="E55" s="83">
        <v>64022.09</v>
      </c>
      <c r="F55" s="82" t="s">
        <v>132</v>
      </c>
      <c r="G55" s="153">
        <v>0.56469999999999998</v>
      </c>
      <c r="H55" s="125"/>
      <c r="I55" s="83"/>
      <c r="J55" s="83">
        <f>J13*$G$55</f>
        <v>9656.369999999999</v>
      </c>
      <c r="K55" s="125"/>
      <c r="L55" s="83"/>
      <c r="M55" s="83">
        <f>M13*$G$55</f>
        <v>5069.5942500000001</v>
      </c>
      <c r="N55" s="125"/>
      <c r="O55" s="83"/>
      <c r="P55" s="83">
        <f>P13*$G$55</f>
        <v>5323.0739624999997</v>
      </c>
      <c r="Q55" s="125"/>
      <c r="R55" s="83"/>
      <c r="S55" s="83">
        <f>S13*$G$55</f>
        <v>0</v>
      </c>
      <c r="T55" s="43">
        <f t="shared" si="44"/>
        <v>84071.1282125</v>
      </c>
      <c r="U55" s="43">
        <v>0</v>
      </c>
      <c r="V55" s="43">
        <f t="shared" si="45"/>
        <v>84071.1282125</v>
      </c>
    </row>
    <row r="56" spans="1:24">
      <c r="A56" s="5" t="s">
        <v>713</v>
      </c>
      <c r="B56" s="44">
        <v>50203</v>
      </c>
      <c r="C56" s="7" t="s">
        <v>710</v>
      </c>
      <c r="D56" s="7" t="s">
        <v>137</v>
      </c>
      <c r="E56" s="43">
        <v>68428.33</v>
      </c>
      <c r="F56" s="7" t="s">
        <v>95</v>
      </c>
      <c r="G56" s="43">
        <v>3000</v>
      </c>
      <c r="H56" s="128"/>
      <c r="I56" s="43">
        <v>12</v>
      </c>
      <c r="J56" s="43">
        <f>G56*I56</f>
        <v>36000</v>
      </c>
      <c r="K56" s="128"/>
      <c r="L56" s="43">
        <v>12</v>
      </c>
      <c r="M56" s="43">
        <f>G56*L56*$E$7</f>
        <v>37440</v>
      </c>
      <c r="N56" s="128"/>
      <c r="O56" s="43">
        <v>12</v>
      </c>
      <c r="P56" s="43">
        <f>G56*O56*$E$7*$E$7</f>
        <v>38937.599999999999</v>
      </c>
      <c r="Q56" s="128"/>
      <c r="R56" s="43">
        <v>0</v>
      </c>
      <c r="S56" s="43">
        <f>R56*G56*$E$7*$E$7*$E$7</f>
        <v>0</v>
      </c>
      <c r="T56" s="43">
        <f t="shared" si="44"/>
        <v>180805.93</v>
      </c>
      <c r="U56" s="43">
        <v>0</v>
      </c>
      <c r="V56" s="43">
        <f t="shared" si="45"/>
        <v>180805.93</v>
      </c>
    </row>
    <row r="57" spans="1:24" ht="25.2">
      <c r="A57" s="7" t="s">
        <v>714</v>
      </c>
      <c r="B57" s="44">
        <v>50205</v>
      </c>
      <c r="C57" s="7" t="s">
        <v>710</v>
      </c>
      <c r="D57" s="7" t="s">
        <v>138</v>
      </c>
      <c r="E57" s="43">
        <v>1565.26</v>
      </c>
      <c r="F57" s="7" t="s">
        <v>139</v>
      </c>
      <c r="G57" s="43">
        <v>2583.9299999999998</v>
      </c>
      <c r="H57" s="128"/>
      <c r="I57" s="43">
        <v>0</v>
      </c>
      <c r="J57" s="43">
        <f t="shared" ref="J57:J58" si="46">G57*I57</f>
        <v>0</v>
      </c>
      <c r="K57" s="128"/>
      <c r="L57" s="43">
        <v>0</v>
      </c>
      <c r="M57" s="43">
        <f>G57*L57*$E$7</f>
        <v>0</v>
      </c>
      <c r="N57" s="128"/>
      <c r="O57" s="43">
        <v>1</v>
      </c>
      <c r="P57" s="43">
        <f t="shared" ref="P57:P58" si="47">G57*O57*$E$7*$E$7</f>
        <v>2794.7786879999999</v>
      </c>
      <c r="Q57" s="128"/>
      <c r="R57" s="43">
        <v>0</v>
      </c>
      <c r="S57" s="43">
        <f t="shared" ref="S57:S58" si="48">R57*G57*$E$7*$E$7*$E$7</f>
        <v>0</v>
      </c>
      <c r="T57" s="43">
        <f>SUM(P57,M57,J57,E57,S57)</f>
        <v>4360.0386879999996</v>
      </c>
      <c r="U57" s="43">
        <v>0</v>
      </c>
      <c r="V57" s="43">
        <f t="shared" si="45"/>
        <v>4360.0386879999996</v>
      </c>
    </row>
    <row r="58" spans="1:24">
      <c r="A58" s="5" t="s">
        <v>715</v>
      </c>
      <c r="B58" s="44">
        <v>50206</v>
      </c>
      <c r="C58" s="7" t="s">
        <v>710</v>
      </c>
      <c r="D58" s="7" t="s">
        <v>140</v>
      </c>
      <c r="E58" s="43">
        <v>1357.75</v>
      </c>
      <c r="F58" s="7" t="s">
        <v>139</v>
      </c>
      <c r="G58" s="43">
        <v>1100</v>
      </c>
      <c r="H58" s="128"/>
      <c r="I58" s="43">
        <v>1</v>
      </c>
      <c r="J58" s="43">
        <f t="shared" si="46"/>
        <v>1100</v>
      </c>
      <c r="K58" s="128"/>
      <c r="L58" s="43">
        <v>1</v>
      </c>
      <c r="M58" s="43">
        <f t="shared" ref="M58" si="49">G58*L58*$E$7</f>
        <v>1144</v>
      </c>
      <c r="N58" s="128"/>
      <c r="O58" s="43">
        <v>1</v>
      </c>
      <c r="P58" s="43">
        <f t="shared" si="47"/>
        <v>1189.76</v>
      </c>
      <c r="Q58" s="128"/>
      <c r="R58" s="43">
        <v>1</v>
      </c>
      <c r="S58" s="43">
        <f t="shared" si="48"/>
        <v>1237.3504</v>
      </c>
      <c r="T58" s="43">
        <f t="shared" si="44"/>
        <v>6028.8604000000005</v>
      </c>
      <c r="U58" s="43">
        <v>0</v>
      </c>
      <c r="V58" s="43">
        <f t="shared" si="45"/>
        <v>6028.8604000000005</v>
      </c>
    </row>
    <row r="59" spans="1:24">
      <c r="A59" s="44"/>
      <c r="C59" s="44"/>
      <c r="D59" s="44"/>
      <c r="E59" s="43"/>
      <c r="H59" s="125"/>
      <c r="I59" s="43"/>
      <c r="J59" s="43"/>
      <c r="K59" s="125"/>
      <c r="L59" s="43"/>
      <c r="M59" s="43"/>
      <c r="N59" s="125"/>
      <c r="O59" s="43"/>
      <c r="P59" s="43"/>
      <c r="Q59" s="125"/>
      <c r="R59" s="43"/>
      <c r="S59" s="43"/>
      <c r="T59" s="43"/>
      <c r="U59" s="43"/>
      <c r="V59" s="43"/>
    </row>
    <row r="60" spans="1:24" ht="12.9" thickBot="1">
      <c r="A60" s="66"/>
      <c r="B60" s="66"/>
      <c r="C60" s="66"/>
      <c r="D60" s="66" t="s">
        <v>141</v>
      </c>
      <c r="E60" s="56">
        <f>SUM(E51:E59)</f>
        <v>553963.94999999995</v>
      </c>
      <c r="F60" s="53"/>
      <c r="G60" s="55"/>
      <c r="H60" s="126"/>
      <c r="I60" s="56"/>
      <c r="J60" s="56">
        <f>SUM(J51:J59)</f>
        <v>119053.5836288</v>
      </c>
      <c r="K60" s="126"/>
      <c r="L60" s="56"/>
      <c r="M60" s="56">
        <f>SUM(M51:M59)</f>
        <v>121135.69324023998</v>
      </c>
      <c r="N60" s="126"/>
      <c r="O60" s="56"/>
      <c r="P60" s="56">
        <f>SUM(P51:P59)</f>
        <v>129601.41659025199</v>
      </c>
      <c r="Q60" s="126"/>
      <c r="R60" s="56"/>
      <c r="S60" s="56">
        <f>SUM(S51:S59)</f>
        <v>37428.2470849948</v>
      </c>
      <c r="T60" s="56">
        <f>SUM(T51:T59)</f>
        <v>961182.8905442867</v>
      </c>
      <c r="U60" s="56">
        <f>SUM(U51:U59)</f>
        <v>0</v>
      </c>
      <c r="V60" s="56">
        <f>SUM(V51:V59)</f>
        <v>961182.8905442867</v>
      </c>
    </row>
    <row r="61" spans="1:24">
      <c r="A61" s="81"/>
      <c r="B61" s="81"/>
      <c r="C61" s="81"/>
      <c r="D61" s="81"/>
      <c r="E61" s="62"/>
      <c r="F61" s="81"/>
      <c r="G61" s="62"/>
      <c r="H61" s="123"/>
      <c r="I61" s="62"/>
      <c r="J61" s="62"/>
      <c r="K61" s="123"/>
      <c r="L61" s="62"/>
      <c r="M61" s="62"/>
      <c r="N61" s="123"/>
      <c r="O61" s="62"/>
      <c r="P61" s="62"/>
      <c r="Q61" s="123"/>
      <c r="R61" s="62"/>
      <c r="S61" s="62"/>
      <c r="T61" s="62"/>
      <c r="U61" s="62"/>
      <c r="V61" s="62"/>
    </row>
    <row r="62" spans="1:24">
      <c r="A62" s="37"/>
      <c r="B62" s="615"/>
      <c r="C62" s="37"/>
      <c r="D62" s="37" t="s">
        <v>30</v>
      </c>
      <c r="E62" s="39"/>
      <c r="F62" s="37"/>
      <c r="G62" s="38"/>
      <c r="H62" s="124"/>
      <c r="I62" s="39"/>
      <c r="J62" s="39"/>
      <c r="K62" s="124"/>
      <c r="L62" s="39"/>
      <c r="M62" s="39"/>
      <c r="N62" s="124"/>
      <c r="O62" s="39"/>
      <c r="P62" s="39"/>
      <c r="Q62" s="124"/>
      <c r="R62" s="39"/>
      <c r="S62" s="39"/>
      <c r="T62" s="39"/>
      <c r="U62" s="39"/>
      <c r="V62" s="39"/>
      <c r="W62" s="604"/>
    </row>
    <row r="63" spans="1:24">
      <c r="A63" s="75"/>
      <c r="B63" s="91"/>
      <c r="C63" s="75"/>
      <c r="D63" s="75" t="s">
        <v>142</v>
      </c>
      <c r="E63" s="80"/>
      <c r="F63" s="84"/>
      <c r="G63" s="80"/>
      <c r="H63" s="127"/>
      <c r="I63" s="80"/>
      <c r="J63" s="80"/>
      <c r="K63" s="127"/>
      <c r="L63" s="80"/>
      <c r="M63" s="80"/>
      <c r="N63" s="127"/>
      <c r="O63" s="80"/>
      <c r="P63" s="80"/>
      <c r="Q63" s="127"/>
      <c r="R63" s="80"/>
      <c r="S63" s="80"/>
      <c r="T63" s="80"/>
      <c r="U63" s="80"/>
      <c r="V63" s="80"/>
    </row>
    <row r="64" spans="1:24">
      <c r="A64" s="7" t="s">
        <v>716</v>
      </c>
      <c r="B64" s="44">
        <v>86040</v>
      </c>
      <c r="C64" s="7" t="s">
        <v>709</v>
      </c>
      <c r="D64" s="7" t="s">
        <v>143</v>
      </c>
      <c r="E64" s="43">
        <v>12141.749999999998</v>
      </c>
      <c r="F64" s="7" t="s">
        <v>144</v>
      </c>
      <c r="G64" s="43">
        <v>800</v>
      </c>
      <c r="H64" s="128"/>
      <c r="I64" s="43">
        <v>4</v>
      </c>
      <c r="J64" s="43">
        <f>G64*I64</f>
        <v>3200</v>
      </c>
      <c r="K64" s="128"/>
      <c r="L64" s="43">
        <v>4</v>
      </c>
      <c r="M64" s="43">
        <f>G64*L64*$E$7</f>
        <v>3328</v>
      </c>
      <c r="N64" s="128"/>
      <c r="O64" s="43">
        <v>4</v>
      </c>
      <c r="P64" s="43">
        <f>G64*O64*$E$7*$E$7</f>
        <v>3461.12</v>
      </c>
      <c r="Q64" s="128"/>
      <c r="R64" s="43">
        <v>4</v>
      </c>
      <c r="S64" s="43">
        <f>R64*G64*$E$7*$E$7*$E$7</f>
        <v>3599.5648000000001</v>
      </c>
      <c r="T64" s="43">
        <f t="shared" ref="T64:T66" si="50">SUM(P64,M64,J64,E64,S64)</f>
        <v>25730.434799999995</v>
      </c>
      <c r="U64" s="43">
        <v>0</v>
      </c>
      <c r="V64" s="43">
        <f t="shared" ref="V64:V67" si="51">SUM(T64:U64)</f>
        <v>25730.434799999995</v>
      </c>
    </row>
    <row r="65" spans="1:23" ht="25.2">
      <c r="A65" s="7" t="s">
        <v>717</v>
      </c>
      <c r="B65" s="44" t="s">
        <v>718</v>
      </c>
      <c r="C65" s="7" t="s">
        <v>709</v>
      </c>
      <c r="D65" s="7" t="s">
        <v>145</v>
      </c>
      <c r="E65" s="43">
        <v>13828.71</v>
      </c>
      <c r="F65" s="7" t="s">
        <v>146</v>
      </c>
      <c r="G65" s="43">
        <f>166+120</f>
        <v>286</v>
      </c>
      <c r="H65" s="128"/>
      <c r="I65" s="43">
        <f>I64*5</f>
        <v>20</v>
      </c>
      <c r="J65" s="43">
        <f>G65*I65</f>
        <v>5720</v>
      </c>
      <c r="K65" s="128"/>
      <c r="L65" s="43">
        <f>L64*5</f>
        <v>20</v>
      </c>
      <c r="M65" s="43">
        <f>G65*L65*$E$7</f>
        <v>5948.8</v>
      </c>
      <c r="N65" s="128"/>
      <c r="O65" s="43">
        <f>O64*5</f>
        <v>20</v>
      </c>
      <c r="P65" s="43">
        <f t="shared" ref="P65:P66" si="52">G65*O65*$E$7*$E$7</f>
        <v>6186.7520000000004</v>
      </c>
      <c r="Q65" s="128"/>
      <c r="R65" s="43">
        <f>R64*5</f>
        <v>20</v>
      </c>
      <c r="S65" s="43">
        <f t="shared" ref="S65:S66" si="53">R65*G65*$E$7*$E$7*$E$7</f>
        <v>6434.2220800000005</v>
      </c>
      <c r="T65" s="43">
        <f t="shared" si="50"/>
        <v>38118.484080000002</v>
      </c>
      <c r="U65" s="43">
        <v>0</v>
      </c>
      <c r="V65" s="43">
        <f t="shared" si="51"/>
        <v>38118.484080000002</v>
      </c>
    </row>
    <row r="66" spans="1:23">
      <c r="A66" s="7" t="s">
        <v>717</v>
      </c>
      <c r="B66" s="44">
        <v>86000</v>
      </c>
      <c r="C66" s="7" t="s">
        <v>709</v>
      </c>
      <c r="D66" s="7" t="s">
        <v>147</v>
      </c>
      <c r="E66" s="43">
        <v>1104.45</v>
      </c>
      <c r="F66" s="7" t="s">
        <v>144</v>
      </c>
      <c r="G66" s="43">
        <v>100</v>
      </c>
      <c r="H66" s="128"/>
      <c r="I66" s="43">
        <f>I64</f>
        <v>4</v>
      </c>
      <c r="J66" s="43">
        <f>G66*I66</f>
        <v>400</v>
      </c>
      <c r="K66" s="128"/>
      <c r="L66" s="43">
        <f>L64</f>
        <v>4</v>
      </c>
      <c r="M66" s="43">
        <f>G66*L66*$E$7</f>
        <v>416</v>
      </c>
      <c r="N66" s="128"/>
      <c r="O66" s="43">
        <f>O64</f>
        <v>4</v>
      </c>
      <c r="P66" s="43">
        <f t="shared" si="52"/>
        <v>432.64</v>
      </c>
      <c r="Q66" s="128"/>
      <c r="R66" s="43">
        <f>R64</f>
        <v>4</v>
      </c>
      <c r="S66" s="43">
        <f t="shared" si="53"/>
        <v>449.94560000000001</v>
      </c>
      <c r="T66" s="43">
        <f t="shared" si="50"/>
        <v>2803.0356000000002</v>
      </c>
      <c r="U66" s="43">
        <v>0</v>
      </c>
      <c r="V66" s="43">
        <f t="shared" si="51"/>
        <v>2803.0356000000002</v>
      </c>
    </row>
    <row r="67" spans="1:23" ht="25.2">
      <c r="A67" s="7" t="s">
        <v>717</v>
      </c>
      <c r="B67" s="44">
        <v>86050</v>
      </c>
      <c r="C67" s="7" t="s">
        <v>709</v>
      </c>
      <c r="D67" s="7" t="s">
        <v>148</v>
      </c>
      <c r="E67" s="43">
        <v>118.18</v>
      </c>
      <c r="F67" s="7" t="s">
        <v>144</v>
      </c>
      <c r="G67" s="43">
        <v>25</v>
      </c>
      <c r="H67" s="128"/>
      <c r="I67" s="43">
        <f>I64</f>
        <v>4</v>
      </c>
      <c r="J67" s="43">
        <f t="shared" ref="J67" si="54">G67*I67</f>
        <v>100</v>
      </c>
      <c r="K67" s="128"/>
      <c r="L67" s="43">
        <f>L64</f>
        <v>4</v>
      </c>
      <c r="M67" s="43">
        <f>G67*L67*$E$7</f>
        <v>104</v>
      </c>
      <c r="N67" s="128"/>
      <c r="O67" s="43">
        <f>O64</f>
        <v>4</v>
      </c>
      <c r="P67" s="43">
        <f>G67*O67*$E$7*$E$7</f>
        <v>108.16</v>
      </c>
      <c r="Q67" s="128"/>
      <c r="R67" s="43">
        <f>R64</f>
        <v>4</v>
      </c>
      <c r="S67" s="43">
        <f>R67*G67*$E$7*$E$7*$E$7</f>
        <v>112.4864</v>
      </c>
      <c r="T67" s="43">
        <f>SUM(P67,M67,J67,E67,S67)</f>
        <v>542.82639999999992</v>
      </c>
      <c r="U67" s="43">
        <v>0</v>
      </c>
      <c r="V67" s="43">
        <f t="shared" si="51"/>
        <v>542.82639999999992</v>
      </c>
    </row>
    <row r="68" spans="1:23">
      <c r="A68" s="75"/>
      <c r="B68" s="91"/>
      <c r="C68" s="75"/>
      <c r="D68" s="75" t="s">
        <v>149</v>
      </c>
      <c r="E68" s="80"/>
      <c r="F68" s="84"/>
      <c r="G68" s="80"/>
      <c r="H68" s="127"/>
      <c r="I68" s="80"/>
      <c r="J68" s="80"/>
      <c r="K68" s="127"/>
      <c r="L68" s="80"/>
      <c r="M68" s="80"/>
      <c r="N68" s="127"/>
      <c r="O68" s="80"/>
      <c r="P68" s="80"/>
      <c r="Q68" s="127"/>
      <c r="R68" s="80"/>
      <c r="S68" s="80"/>
      <c r="T68" s="80"/>
      <c r="U68" s="80"/>
      <c r="V68" s="80"/>
    </row>
    <row r="69" spans="1:23">
      <c r="A69" s="7" t="s">
        <v>719</v>
      </c>
      <c r="B69" s="44">
        <v>86040</v>
      </c>
      <c r="C69" s="7" t="s">
        <v>710</v>
      </c>
      <c r="D69" s="7" t="s">
        <v>150</v>
      </c>
      <c r="E69" s="43">
        <f>722.14+843.97+2684+661.75+3905.7-177</f>
        <v>8640.5600000000013</v>
      </c>
      <c r="F69" s="7" t="s">
        <v>144</v>
      </c>
      <c r="G69" s="43">
        <v>800</v>
      </c>
      <c r="H69" s="128"/>
      <c r="I69" s="43">
        <v>4</v>
      </c>
      <c r="J69" s="43">
        <f>G69*I69</f>
        <v>3200</v>
      </c>
      <c r="K69" s="128"/>
      <c r="L69" s="43">
        <v>4</v>
      </c>
      <c r="M69" s="43">
        <f>G69*L69*$E$6</f>
        <v>3296</v>
      </c>
      <c r="N69" s="128"/>
      <c r="O69" s="43">
        <v>4</v>
      </c>
      <c r="P69" s="43">
        <f>G69*O69*$E$6*$E$6</f>
        <v>3394.88</v>
      </c>
      <c r="Q69" s="128"/>
      <c r="R69" s="43">
        <v>4</v>
      </c>
      <c r="S69" s="43">
        <f>R69*G69*$E$6*$E$6*$E$6</f>
        <v>3496.7264</v>
      </c>
      <c r="T69" s="43">
        <f>SUM(P69,M69,J69,E69,S69)</f>
        <v>22028.166400000002</v>
      </c>
      <c r="U69" s="43">
        <v>0</v>
      </c>
      <c r="V69" s="43">
        <f t="shared" ref="V69:V72" si="55">SUM(T69:U69)</f>
        <v>22028.166400000002</v>
      </c>
    </row>
    <row r="70" spans="1:23" ht="25.2">
      <c r="A70" s="7" t="s">
        <v>719</v>
      </c>
      <c r="B70" s="44" t="s">
        <v>718</v>
      </c>
      <c r="C70" s="7" t="s">
        <v>710</v>
      </c>
      <c r="D70" s="7" t="s">
        <v>151</v>
      </c>
      <c r="E70" s="43">
        <f>1063.2+432+46.87+3624.64+1849.98+1143.7</f>
        <v>8160.39</v>
      </c>
      <c r="F70" s="7" t="s">
        <v>146</v>
      </c>
      <c r="G70" s="43">
        <f>72+188</f>
        <v>260</v>
      </c>
      <c r="H70" s="128"/>
      <c r="I70" s="43">
        <f>10*I69</f>
        <v>40</v>
      </c>
      <c r="J70" s="43">
        <f t="shared" ref="J70:J72" si="56">G70*I70</f>
        <v>10400</v>
      </c>
      <c r="K70" s="128"/>
      <c r="L70" s="43">
        <f>10*L69</f>
        <v>40</v>
      </c>
      <c r="M70" s="43">
        <f>G70*L70*$E$6</f>
        <v>10712</v>
      </c>
      <c r="N70" s="128"/>
      <c r="O70" s="43">
        <f>10*O69</f>
        <v>40</v>
      </c>
      <c r="P70" s="43">
        <f t="shared" ref="P70:P72" si="57">G70*O70*$E$6*$E$6</f>
        <v>11033.36</v>
      </c>
      <c r="Q70" s="128"/>
      <c r="R70" s="43">
        <f>10*R69</f>
        <v>40</v>
      </c>
      <c r="S70" s="43">
        <f t="shared" ref="S70:S72" si="58">R70*G70*$E$6*$E$6*$E$6</f>
        <v>11364.3608</v>
      </c>
      <c r="T70" s="43">
        <f t="shared" ref="T70:T72" si="59">SUM(P70,M70,J70,E70,S70)</f>
        <v>51670.110800000002</v>
      </c>
      <c r="U70" s="43">
        <v>0</v>
      </c>
      <c r="V70" s="43">
        <f t="shared" si="55"/>
        <v>51670.110800000002</v>
      </c>
    </row>
    <row r="71" spans="1:23">
      <c r="A71" s="7" t="s">
        <v>719</v>
      </c>
      <c r="B71" s="44">
        <v>86000</v>
      </c>
      <c r="C71" s="7" t="s">
        <v>710</v>
      </c>
      <c r="D71" s="7" t="s">
        <v>152</v>
      </c>
      <c r="E71" s="43">
        <v>895.05</v>
      </c>
      <c r="F71" s="7" t="s">
        <v>144</v>
      </c>
      <c r="G71" s="43">
        <v>100</v>
      </c>
      <c r="H71" s="128"/>
      <c r="I71" s="43">
        <f>I69</f>
        <v>4</v>
      </c>
      <c r="J71" s="43">
        <f t="shared" si="56"/>
        <v>400</v>
      </c>
      <c r="K71" s="128"/>
      <c r="L71" s="43">
        <f>L69</f>
        <v>4</v>
      </c>
      <c r="M71" s="43">
        <f t="shared" ref="M71:M72" si="60">G71*L71*$E$6</f>
        <v>412</v>
      </c>
      <c r="N71" s="128"/>
      <c r="O71" s="43">
        <f>O69</f>
        <v>4</v>
      </c>
      <c r="P71" s="43">
        <f t="shared" si="57"/>
        <v>424.36</v>
      </c>
      <c r="Q71" s="128"/>
      <c r="R71" s="43">
        <f>R69</f>
        <v>4</v>
      </c>
      <c r="S71" s="43">
        <f t="shared" si="58"/>
        <v>437.0908</v>
      </c>
      <c r="T71" s="43">
        <f t="shared" si="59"/>
        <v>2568.5007999999998</v>
      </c>
      <c r="U71" s="43">
        <v>0</v>
      </c>
      <c r="V71" s="43">
        <f t="shared" si="55"/>
        <v>2568.5007999999998</v>
      </c>
    </row>
    <row r="72" spans="1:23" ht="25.2">
      <c r="A72" s="7" t="s">
        <v>719</v>
      </c>
      <c r="B72" s="44">
        <v>86050</v>
      </c>
      <c r="C72" s="7" t="s">
        <v>710</v>
      </c>
      <c r="D72" s="7" t="s">
        <v>153</v>
      </c>
      <c r="E72" s="43">
        <f>165.86+208.63</f>
        <v>374.49</v>
      </c>
      <c r="F72" s="7" t="s">
        <v>144</v>
      </c>
      <c r="G72" s="43">
        <v>25</v>
      </c>
      <c r="H72" s="128"/>
      <c r="I72" s="43">
        <f>I69</f>
        <v>4</v>
      </c>
      <c r="J72" s="43">
        <f t="shared" si="56"/>
        <v>100</v>
      </c>
      <c r="K72" s="128"/>
      <c r="L72" s="43">
        <f>L69</f>
        <v>4</v>
      </c>
      <c r="M72" s="43">
        <f t="shared" si="60"/>
        <v>103</v>
      </c>
      <c r="N72" s="128"/>
      <c r="O72" s="43">
        <f>O69</f>
        <v>4</v>
      </c>
      <c r="P72" s="43">
        <f t="shared" si="57"/>
        <v>106.09</v>
      </c>
      <c r="Q72" s="128"/>
      <c r="R72" s="43">
        <f>R69</f>
        <v>4</v>
      </c>
      <c r="S72" s="43">
        <f t="shared" si="58"/>
        <v>109.2727</v>
      </c>
      <c r="T72" s="43">
        <f t="shared" si="59"/>
        <v>792.85270000000003</v>
      </c>
      <c r="U72" s="43">
        <v>0</v>
      </c>
      <c r="V72" s="43">
        <f t="shared" si="55"/>
        <v>792.85270000000003</v>
      </c>
    </row>
    <row r="73" spans="1:23">
      <c r="A73" s="75"/>
      <c r="B73" s="91"/>
      <c r="C73" s="75"/>
      <c r="D73" s="75" t="s">
        <v>154</v>
      </c>
      <c r="E73" s="80"/>
      <c r="F73" s="84"/>
      <c r="G73" s="80"/>
      <c r="H73" s="127"/>
      <c r="I73" s="80"/>
      <c r="J73" s="80"/>
      <c r="K73" s="127"/>
      <c r="L73" s="80"/>
      <c r="M73" s="80"/>
      <c r="N73" s="127"/>
      <c r="O73" s="80"/>
      <c r="P73" s="80"/>
      <c r="Q73" s="127"/>
      <c r="R73" s="80"/>
      <c r="S73" s="80"/>
      <c r="T73" s="80"/>
      <c r="U73" s="80"/>
      <c r="V73" s="80"/>
    </row>
    <row r="74" spans="1:23">
      <c r="A74" s="7" t="s">
        <v>720</v>
      </c>
      <c r="B74" s="44">
        <v>86000</v>
      </c>
      <c r="C74" s="7" t="s">
        <v>710</v>
      </c>
      <c r="D74" s="7" t="s">
        <v>155</v>
      </c>
      <c r="E74" s="43">
        <v>9640.86</v>
      </c>
      <c r="F74" s="7" t="s">
        <v>95</v>
      </c>
      <c r="G74" s="43">
        <v>200</v>
      </c>
      <c r="H74" s="125"/>
      <c r="I74" s="43">
        <v>12</v>
      </c>
      <c r="J74" s="43">
        <f>G74*I74</f>
        <v>2400</v>
      </c>
      <c r="K74" s="125"/>
      <c r="L74" s="43">
        <v>12</v>
      </c>
      <c r="M74" s="43">
        <f>L74*G74*$E$7</f>
        <v>2496</v>
      </c>
      <c r="N74" s="125"/>
      <c r="O74" s="43">
        <v>12</v>
      </c>
      <c r="P74" s="43">
        <f>O74*G74*$E$7*$E$7</f>
        <v>2595.84</v>
      </c>
      <c r="Q74" s="125"/>
      <c r="R74" s="43">
        <v>3</v>
      </c>
      <c r="S74" s="43">
        <f>R74*G74*$E$7*$E$7*$E$7</f>
        <v>674.91840000000002</v>
      </c>
      <c r="T74" s="43">
        <f>SUM(P74,M74,J74,E74,S74)</f>
        <v>17807.618399999999</v>
      </c>
      <c r="U74" s="43">
        <v>0</v>
      </c>
      <c r="V74" s="43">
        <f t="shared" ref="V74:V76" si="61">SUM(T74:U74)</f>
        <v>17807.618399999999</v>
      </c>
    </row>
    <row r="75" spans="1:23" ht="25.2">
      <c r="A75" s="7" t="s">
        <v>720</v>
      </c>
      <c r="B75" s="44">
        <v>86000</v>
      </c>
      <c r="C75" s="7" t="s">
        <v>710</v>
      </c>
      <c r="D75" s="7" t="s">
        <v>156</v>
      </c>
      <c r="E75" s="43">
        <v>32433.77</v>
      </c>
      <c r="F75" s="7" t="s">
        <v>144</v>
      </c>
      <c r="G75" s="43">
        <v>100</v>
      </c>
      <c r="H75" s="128"/>
      <c r="I75" s="43">
        <f>12*3</f>
        <v>36</v>
      </c>
      <c r="J75" s="43">
        <f t="shared" ref="J75:J76" si="62">G75*I75</f>
        <v>3600</v>
      </c>
      <c r="K75" s="128"/>
      <c r="L75" s="43">
        <f>12*3</f>
        <v>36</v>
      </c>
      <c r="M75" s="43">
        <f t="shared" ref="M75" si="63">L75*G75*$E$7</f>
        <v>3744</v>
      </c>
      <c r="N75" s="128"/>
      <c r="O75" s="43">
        <f>12*3</f>
        <v>36</v>
      </c>
      <c r="P75" s="43">
        <f t="shared" ref="P75:P76" si="64">O75*G75*$E$7*$E$7</f>
        <v>3893.76</v>
      </c>
      <c r="Q75" s="128"/>
      <c r="R75" s="43">
        <f>3*3</f>
        <v>9</v>
      </c>
      <c r="S75" s="43">
        <f t="shared" ref="S75:S76" si="65">R75*G75*$E$7*$E$7*$E$7</f>
        <v>1012.3776000000001</v>
      </c>
      <c r="T75" s="43">
        <f>SUM(P75,M75,J75,E75,S75)</f>
        <v>44683.907599999999</v>
      </c>
      <c r="U75" s="43">
        <v>0</v>
      </c>
      <c r="V75" s="43">
        <f t="shared" si="61"/>
        <v>44683.907599999999</v>
      </c>
    </row>
    <row r="76" spans="1:23" ht="25.2">
      <c r="A76" s="7" t="s">
        <v>720</v>
      </c>
      <c r="B76" s="44" t="s">
        <v>718</v>
      </c>
      <c r="C76" s="7" t="s">
        <v>710</v>
      </c>
      <c r="D76" s="7" t="s">
        <v>157</v>
      </c>
      <c r="E76" s="43">
        <v>14326.42</v>
      </c>
      <c r="F76" s="7" t="s">
        <v>146</v>
      </c>
      <c r="G76" s="43">
        <f>77+80</f>
        <v>157</v>
      </c>
      <c r="H76" s="128"/>
      <c r="I76" s="43">
        <f>4*I75</f>
        <v>144</v>
      </c>
      <c r="J76" s="43">
        <f t="shared" si="62"/>
        <v>22608</v>
      </c>
      <c r="K76" s="128"/>
      <c r="L76" s="43">
        <f>4*L75</f>
        <v>144</v>
      </c>
      <c r="M76" s="43">
        <f>L76*G76*$E$7</f>
        <v>23512.32</v>
      </c>
      <c r="N76" s="128"/>
      <c r="O76" s="43">
        <f>4*O75</f>
        <v>144</v>
      </c>
      <c r="P76" s="43">
        <f t="shared" si="64"/>
        <v>24452.8128</v>
      </c>
      <c r="Q76" s="128"/>
      <c r="R76" s="43">
        <f>4*R75</f>
        <v>36</v>
      </c>
      <c r="S76" s="43">
        <f t="shared" si="65"/>
        <v>6357.7313279999998</v>
      </c>
      <c r="T76" s="43">
        <f t="shared" ref="T76" si="66">SUM(P76,M76,J76,E76,S76)</f>
        <v>91257.284127999985</v>
      </c>
      <c r="U76" s="43">
        <v>0</v>
      </c>
      <c r="V76" s="43">
        <f t="shared" si="61"/>
        <v>91257.284127999985</v>
      </c>
    </row>
    <row r="77" spans="1:23" ht="12.9" thickBot="1">
      <c r="A77" s="53"/>
      <c r="B77" s="66"/>
      <c r="C77" s="53"/>
      <c r="D77" s="53" t="s">
        <v>158</v>
      </c>
      <c r="E77" s="56">
        <f>SUM(E63:E76)</f>
        <v>101664.63</v>
      </c>
      <c r="F77" s="54"/>
      <c r="G77" s="55"/>
      <c r="H77" s="126"/>
      <c r="I77" s="56"/>
      <c r="J77" s="56">
        <f>SUM(J63:J76)</f>
        <v>52128</v>
      </c>
      <c r="K77" s="126"/>
      <c r="L77" s="56"/>
      <c r="M77" s="56">
        <f>SUM(M63:M76)</f>
        <v>54072.119999999995</v>
      </c>
      <c r="N77" s="126"/>
      <c r="O77" s="56"/>
      <c r="P77" s="56">
        <f>SUM(P63:P76)</f>
        <v>56089.774799999999</v>
      </c>
      <c r="Q77" s="126"/>
      <c r="R77" s="56"/>
      <c r="S77" s="56">
        <f>SUM(S63:S76)</f>
        <v>34048.696907999998</v>
      </c>
      <c r="T77" s="56">
        <f>SUM(T63:T76)</f>
        <v>298003.221708</v>
      </c>
      <c r="U77" s="56">
        <f>SUM(U63:U76)</f>
        <v>0</v>
      </c>
      <c r="V77" s="56">
        <f>SUM(V63:V76)</f>
        <v>298003.221708</v>
      </c>
    </row>
    <row r="78" spans="1:23">
      <c r="A78" s="81"/>
      <c r="B78" s="81"/>
      <c r="C78" s="81"/>
      <c r="D78" s="81"/>
      <c r="E78" s="62"/>
      <c r="F78" s="81"/>
      <c r="G78" s="62"/>
      <c r="H78" s="123"/>
      <c r="I78" s="62"/>
      <c r="J78" s="62"/>
      <c r="K78" s="123"/>
      <c r="L78" s="62"/>
      <c r="M78" s="62"/>
      <c r="N78" s="123"/>
      <c r="O78" s="62"/>
      <c r="P78" s="62"/>
      <c r="Q78" s="123"/>
      <c r="R78" s="62"/>
      <c r="S78" s="62"/>
      <c r="T78" s="62"/>
      <c r="U78" s="62"/>
      <c r="V78" s="62"/>
    </row>
    <row r="79" spans="1:23">
      <c r="A79" s="37"/>
      <c r="B79" s="615"/>
      <c r="C79" s="37"/>
      <c r="D79" s="37" t="s">
        <v>31</v>
      </c>
      <c r="E79" s="39"/>
      <c r="F79" s="37"/>
      <c r="G79" s="38"/>
      <c r="H79" s="124"/>
      <c r="I79" s="39"/>
      <c r="J79" s="39"/>
      <c r="K79" s="124"/>
      <c r="L79" s="39"/>
      <c r="M79" s="39"/>
      <c r="N79" s="124"/>
      <c r="O79" s="39"/>
      <c r="P79" s="39"/>
      <c r="Q79" s="124"/>
      <c r="R79" s="39"/>
      <c r="S79" s="39"/>
      <c r="T79" s="39"/>
      <c r="U79" s="39"/>
      <c r="V79" s="39"/>
      <c r="W79" s="605"/>
    </row>
    <row r="80" spans="1:23" ht="25.2">
      <c r="A80" s="609" t="s">
        <v>725</v>
      </c>
      <c r="B80" s="44" t="s">
        <v>742</v>
      </c>
      <c r="C80" s="7" t="s">
        <v>710</v>
      </c>
      <c r="D80" s="7" t="s">
        <v>159</v>
      </c>
      <c r="E80" s="43">
        <v>26306.36</v>
      </c>
      <c r="F80" s="48" t="s">
        <v>139</v>
      </c>
      <c r="G80" s="43">
        <v>13000</v>
      </c>
      <c r="H80" s="125"/>
      <c r="I80" s="43">
        <v>1</v>
      </c>
      <c r="J80" s="43">
        <f>I80*G80</f>
        <v>13000</v>
      </c>
      <c r="K80" s="125"/>
      <c r="L80" s="43">
        <v>1</v>
      </c>
      <c r="M80" s="43">
        <f>L80*G80</f>
        <v>13000</v>
      </c>
      <c r="N80" s="125"/>
      <c r="O80" s="43">
        <v>1</v>
      </c>
      <c r="P80" s="43">
        <f t="shared" ref="P80:P85" si="67">O80*G80</f>
        <v>13000</v>
      </c>
      <c r="Q80" s="125"/>
      <c r="R80" s="471">
        <v>0.5</v>
      </c>
      <c r="S80" s="43">
        <f>R80*G80</f>
        <v>6500</v>
      </c>
      <c r="T80" s="43">
        <f>SUM(P80,M80,J80,E80,S80)</f>
        <v>71806.36</v>
      </c>
      <c r="U80" s="43">
        <v>0</v>
      </c>
      <c r="V80" s="43">
        <f t="shared" ref="V80" si="68">SUM(T80:U80)</f>
        <v>71806.36</v>
      </c>
      <c r="W80" s="65"/>
    </row>
    <row r="81" spans="1:27">
      <c r="A81" s="5" t="s">
        <v>721</v>
      </c>
      <c r="B81" s="8">
        <v>81010</v>
      </c>
      <c r="C81" s="7" t="s">
        <v>710</v>
      </c>
      <c r="D81" s="7" t="s">
        <v>160</v>
      </c>
      <c r="E81" s="43">
        <v>22150.080000000002</v>
      </c>
      <c r="F81" s="48" t="s">
        <v>139</v>
      </c>
      <c r="G81" s="43">
        <f>2625+1800</f>
        <v>4425</v>
      </c>
      <c r="H81" s="125"/>
      <c r="I81" s="43">
        <v>1</v>
      </c>
      <c r="J81" s="43">
        <f t="shared" ref="J81:J85" si="69">I81*G81</f>
        <v>4425</v>
      </c>
      <c r="K81" s="125"/>
      <c r="L81" s="43">
        <v>1</v>
      </c>
      <c r="M81" s="43">
        <f>L81*G81</f>
        <v>4425</v>
      </c>
      <c r="N81" s="125"/>
      <c r="O81" s="43">
        <v>1</v>
      </c>
      <c r="P81" s="43">
        <f t="shared" si="67"/>
        <v>4425</v>
      </c>
      <c r="Q81" s="125"/>
      <c r="R81" s="471">
        <v>1</v>
      </c>
      <c r="S81" s="43">
        <f t="shared" ref="S81:S84" si="70">R81*G81</f>
        <v>4425</v>
      </c>
      <c r="T81" s="43">
        <f>SUM(P81,M81,J81,E81,S81)</f>
        <v>39850.080000000002</v>
      </c>
      <c r="U81" s="43">
        <v>0</v>
      </c>
      <c r="V81" s="43">
        <f t="shared" ref="V81:V85" si="71">SUM(T81:U81)</f>
        <v>39850.080000000002</v>
      </c>
    </row>
    <row r="82" spans="1:27">
      <c r="A82" s="5" t="s">
        <v>722</v>
      </c>
      <c r="B82" s="8">
        <v>81010</v>
      </c>
      <c r="C82" s="7" t="s">
        <v>709</v>
      </c>
      <c r="D82" s="7" t="s">
        <v>161</v>
      </c>
      <c r="E82" s="43">
        <v>512975</v>
      </c>
      <c r="F82" s="82" t="s">
        <v>132</v>
      </c>
      <c r="G82" s="589">
        <v>2.5000000000000001E-2</v>
      </c>
      <c r="H82" s="125"/>
      <c r="I82" s="43">
        <v>1</v>
      </c>
      <c r="J82" s="43">
        <f>G82*9000000</f>
        <v>225000</v>
      </c>
      <c r="K82" s="125"/>
      <c r="L82" s="43">
        <v>0</v>
      </c>
      <c r="M82" s="43">
        <v>0</v>
      </c>
      <c r="N82" s="125"/>
      <c r="O82" s="43">
        <v>0</v>
      </c>
      <c r="P82" s="43">
        <f t="shared" si="67"/>
        <v>0</v>
      </c>
      <c r="Q82" s="125"/>
      <c r="R82" s="43">
        <v>0</v>
      </c>
      <c r="S82" s="43">
        <f t="shared" si="70"/>
        <v>0</v>
      </c>
      <c r="T82" s="43">
        <f>SUM(P82,M82,J82,E82,S82)</f>
        <v>737975</v>
      </c>
      <c r="U82" s="43">
        <v>0</v>
      </c>
      <c r="V82" s="43">
        <f t="shared" si="71"/>
        <v>737975</v>
      </c>
    </row>
    <row r="83" spans="1:27">
      <c r="A83" s="5" t="s">
        <v>723</v>
      </c>
      <c r="B83" s="8">
        <v>81010</v>
      </c>
      <c r="C83" s="7" t="s">
        <v>710</v>
      </c>
      <c r="D83" s="7" t="s">
        <v>162</v>
      </c>
      <c r="E83" s="43">
        <v>47918.55</v>
      </c>
      <c r="F83" s="48" t="s">
        <v>163</v>
      </c>
      <c r="G83" s="43">
        <f>E83</f>
        <v>47918.55</v>
      </c>
      <c r="H83" s="125"/>
      <c r="I83" s="43">
        <v>0</v>
      </c>
      <c r="J83" s="43">
        <f t="shared" si="69"/>
        <v>0</v>
      </c>
      <c r="K83" s="125"/>
      <c r="L83" s="43">
        <v>0</v>
      </c>
      <c r="M83" s="43">
        <f>L83*G83</f>
        <v>0</v>
      </c>
      <c r="N83" s="125"/>
      <c r="O83" s="43">
        <v>0</v>
      </c>
      <c r="P83" s="43">
        <f t="shared" si="67"/>
        <v>0</v>
      </c>
      <c r="Q83" s="125"/>
      <c r="R83" s="43">
        <v>0</v>
      </c>
      <c r="S83" s="43">
        <f t="shared" si="70"/>
        <v>0</v>
      </c>
      <c r="T83" s="43">
        <f t="shared" ref="T83:T85" si="72">SUM(P83,M83,J83,E83,S83)</f>
        <v>47918.55</v>
      </c>
      <c r="U83" s="43">
        <v>0</v>
      </c>
      <c r="V83" s="43">
        <f t="shared" si="71"/>
        <v>47918.55</v>
      </c>
    </row>
    <row r="84" spans="1:27">
      <c r="A84" s="5" t="s">
        <v>726</v>
      </c>
      <c r="B84" s="44">
        <v>86110</v>
      </c>
      <c r="C84" s="7" t="s">
        <v>710</v>
      </c>
      <c r="D84" s="7" t="s">
        <v>164</v>
      </c>
      <c r="E84" s="43">
        <v>0</v>
      </c>
      <c r="F84" s="48" t="s">
        <v>139</v>
      </c>
      <c r="G84" s="43">
        <v>25000</v>
      </c>
      <c r="H84" s="125"/>
      <c r="I84" s="43">
        <v>1</v>
      </c>
      <c r="J84" s="43">
        <f t="shared" si="69"/>
        <v>25000</v>
      </c>
      <c r="K84" s="125"/>
      <c r="L84" s="43">
        <v>1</v>
      </c>
      <c r="M84" s="43">
        <f>L84*G84</f>
        <v>25000</v>
      </c>
      <c r="N84" s="125"/>
      <c r="O84" s="43">
        <v>1</v>
      </c>
      <c r="P84" s="43">
        <f t="shared" si="67"/>
        <v>25000</v>
      </c>
      <c r="Q84" s="125"/>
      <c r="R84" s="471">
        <v>0.5</v>
      </c>
      <c r="S84" s="43">
        <f t="shared" si="70"/>
        <v>12500</v>
      </c>
      <c r="T84" s="43">
        <f>SUM(P84,M84,J84,E84,S84)</f>
        <v>87500</v>
      </c>
      <c r="U84" s="43">
        <v>0</v>
      </c>
      <c r="V84" s="43">
        <f t="shared" si="71"/>
        <v>87500</v>
      </c>
    </row>
    <row r="85" spans="1:27">
      <c r="A85" s="5" t="s">
        <v>724</v>
      </c>
      <c r="B85" s="44">
        <v>81000</v>
      </c>
      <c r="C85" s="7" t="s">
        <v>710</v>
      </c>
      <c r="D85" s="7" t="s">
        <v>165</v>
      </c>
      <c r="E85" s="43">
        <v>68599.100000000006</v>
      </c>
      <c r="F85" s="48" t="s">
        <v>95</v>
      </c>
      <c r="G85" s="43">
        <v>1125</v>
      </c>
      <c r="H85" s="125"/>
      <c r="I85" s="43">
        <v>12</v>
      </c>
      <c r="J85" s="43">
        <f t="shared" si="69"/>
        <v>13500</v>
      </c>
      <c r="K85" s="125"/>
      <c r="L85" s="43">
        <v>12</v>
      </c>
      <c r="M85" s="43">
        <f>L85*G85</f>
        <v>13500</v>
      </c>
      <c r="N85" s="125"/>
      <c r="O85" s="43">
        <v>12</v>
      </c>
      <c r="P85" s="43">
        <f t="shared" si="67"/>
        <v>13500</v>
      </c>
      <c r="Q85" s="125"/>
      <c r="R85" s="43">
        <v>6</v>
      </c>
      <c r="S85" s="43">
        <f>R85*G85</f>
        <v>6750</v>
      </c>
      <c r="T85" s="43">
        <f t="shared" si="72"/>
        <v>115849.1</v>
      </c>
      <c r="U85" s="43">
        <v>0</v>
      </c>
      <c r="V85" s="43">
        <f t="shared" si="71"/>
        <v>115849.1</v>
      </c>
      <c r="W85" s="43"/>
    </row>
    <row r="86" spans="1:27" ht="24.9">
      <c r="A86" s="87"/>
      <c r="B86" s="616"/>
      <c r="C86" s="87"/>
      <c r="D86" s="87" t="s">
        <v>166</v>
      </c>
      <c r="E86" s="90"/>
      <c r="F86" s="88"/>
      <c r="G86" s="89"/>
      <c r="H86" s="129"/>
      <c r="I86" s="90"/>
      <c r="J86" s="90"/>
      <c r="K86" s="129"/>
      <c r="L86" s="90"/>
      <c r="M86" s="90"/>
      <c r="N86" s="129"/>
      <c r="O86" s="90"/>
      <c r="P86" s="90"/>
      <c r="Q86" s="129"/>
      <c r="R86" s="90"/>
      <c r="S86" s="90"/>
      <c r="T86" s="90"/>
      <c r="U86" s="90"/>
      <c r="V86" s="90"/>
    </row>
    <row r="87" spans="1:27">
      <c r="A87" s="91"/>
      <c r="B87" s="91"/>
      <c r="C87" s="91"/>
      <c r="D87" s="91" t="s">
        <v>167</v>
      </c>
      <c r="E87" s="92"/>
      <c r="F87" s="84"/>
      <c r="G87" s="85"/>
      <c r="H87" s="127"/>
      <c r="I87" s="92"/>
      <c r="J87" s="92"/>
      <c r="K87" s="127"/>
      <c r="L87" s="92"/>
      <c r="M87" s="92"/>
      <c r="N87" s="127"/>
      <c r="O87" s="92"/>
      <c r="P87" s="92"/>
      <c r="Q87" s="127"/>
      <c r="R87" s="92"/>
      <c r="S87" s="92"/>
      <c r="T87" s="80"/>
      <c r="U87" s="80"/>
      <c r="V87" s="92"/>
    </row>
    <row r="88" spans="1:27">
      <c r="A88" s="5" t="s">
        <v>727</v>
      </c>
      <c r="B88" s="8">
        <v>81010</v>
      </c>
      <c r="C88" s="7" t="s">
        <v>710</v>
      </c>
      <c r="D88" s="7" t="s">
        <v>168</v>
      </c>
      <c r="E88" s="43">
        <v>151977.65</v>
      </c>
      <c r="F88" s="49" t="s">
        <v>163</v>
      </c>
      <c r="G88" s="43">
        <f>E88</f>
        <v>151977.65</v>
      </c>
      <c r="H88" s="125"/>
      <c r="I88" s="43">
        <v>0</v>
      </c>
      <c r="J88" s="43">
        <f>I88*G88</f>
        <v>0</v>
      </c>
      <c r="K88" s="125"/>
      <c r="L88" s="43">
        <v>0</v>
      </c>
      <c r="M88" s="43">
        <f>L88*G88</f>
        <v>0</v>
      </c>
      <c r="N88" s="125"/>
      <c r="O88" s="43">
        <v>0</v>
      </c>
      <c r="P88" s="43">
        <f>O88*G88</f>
        <v>0</v>
      </c>
      <c r="Q88" s="125"/>
      <c r="R88" s="43">
        <v>0</v>
      </c>
      <c r="S88" s="43">
        <f>R88*G88</f>
        <v>0</v>
      </c>
      <c r="T88" s="43">
        <f>SUM(P88,M88,J88,E88,S88)</f>
        <v>151977.65</v>
      </c>
      <c r="U88" s="43">
        <v>0</v>
      </c>
      <c r="V88" s="43">
        <f t="shared" ref="V88" si="73">SUM(T88:U88)</f>
        <v>151977.65</v>
      </c>
      <c r="W88" s="43"/>
      <c r="X88" s="31"/>
      <c r="Y88" s="31"/>
      <c r="Z88" s="467"/>
      <c r="AA88" s="467"/>
    </row>
    <row r="89" spans="1:27">
      <c r="A89" s="5" t="s">
        <v>728</v>
      </c>
      <c r="B89" s="8">
        <v>81010</v>
      </c>
      <c r="C89" s="7" t="s">
        <v>710</v>
      </c>
      <c r="D89" s="7" t="s">
        <v>169</v>
      </c>
      <c r="E89" s="43">
        <v>18463</v>
      </c>
      <c r="F89" s="49" t="s">
        <v>163</v>
      </c>
      <c r="G89" s="43">
        <v>166537</v>
      </c>
      <c r="H89" s="125"/>
      <c r="I89" s="43">
        <v>1</v>
      </c>
      <c r="J89" s="43">
        <f>I89*G89</f>
        <v>166537</v>
      </c>
      <c r="K89" s="125"/>
      <c r="L89" s="43">
        <v>0</v>
      </c>
      <c r="M89" s="43">
        <f>L89*G89</f>
        <v>0</v>
      </c>
      <c r="N89" s="125"/>
      <c r="O89" s="43">
        <v>0</v>
      </c>
      <c r="P89" s="43">
        <f t="shared" ref="P89:P90" si="74">O89*G89</f>
        <v>0</v>
      </c>
      <c r="Q89" s="125"/>
      <c r="R89" s="43">
        <v>0</v>
      </c>
      <c r="S89" s="43">
        <f t="shared" ref="S89:S91" si="75">R89*G89</f>
        <v>0</v>
      </c>
      <c r="T89" s="43">
        <f>SUM(P89,M89,J89,E89,S89)</f>
        <v>185000</v>
      </c>
      <c r="U89" s="43">
        <v>0</v>
      </c>
      <c r="V89" s="43">
        <f t="shared" ref="V89:V91" si="76">SUM(T89:U89)</f>
        <v>185000</v>
      </c>
    </row>
    <row r="90" spans="1:27">
      <c r="A90" s="5" t="s">
        <v>729</v>
      </c>
      <c r="B90" s="8">
        <v>81010</v>
      </c>
      <c r="C90" s="7" t="s">
        <v>710</v>
      </c>
      <c r="D90" s="7" t="s">
        <v>170</v>
      </c>
      <c r="E90" s="43">
        <v>0</v>
      </c>
      <c r="F90" s="49" t="s">
        <v>163</v>
      </c>
      <c r="G90" s="43">
        <v>225000</v>
      </c>
      <c r="H90" s="125"/>
      <c r="I90" s="43">
        <v>0</v>
      </c>
      <c r="J90" s="43">
        <f t="shared" ref="J90" si="77">I90*G90</f>
        <v>0</v>
      </c>
      <c r="K90" s="125"/>
      <c r="L90" s="43">
        <v>0</v>
      </c>
      <c r="M90" s="43">
        <f t="shared" ref="M90:M91" si="78">L90*G90</f>
        <v>0</v>
      </c>
      <c r="N90" s="125"/>
      <c r="O90" s="43">
        <v>0</v>
      </c>
      <c r="P90" s="43">
        <f t="shared" si="74"/>
        <v>0</v>
      </c>
      <c r="Q90" s="125"/>
      <c r="R90" s="43">
        <v>1</v>
      </c>
      <c r="S90" s="43">
        <f t="shared" si="75"/>
        <v>225000</v>
      </c>
      <c r="T90" s="43">
        <f t="shared" ref="T90" si="79">SUM(P90,M90,J90,E90,S90)</f>
        <v>225000</v>
      </c>
      <c r="U90" s="43">
        <v>0</v>
      </c>
      <c r="V90" s="43">
        <f t="shared" si="76"/>
        <v>225000</v>
      </c>
    </row>
    <row r="91" spans="1:27" ht="25.2">
      <c r="A91" s="7" t="s">
        <v>730</v>
      </c>
      <c r="B91" s="8">
        <v>81010</v>
      </c>
      <c r="C91" s="7" t="s">
        <v>710</v>
      </c>
      <c r="D91" s="7" t="s">
        <v>171</v>
      </c>
      <c r="E91" s="43">
        <v>542898.59</v>
      </c>
      <c r="F91" s="48" t="s">
        <v>172</v>
      </c>
      <c r="G91" s="43">
        <f>E91</f>
        <v>542898.59</v>
      </c>
      <c r="H91" s="125"/>
      <c r="I91" s="43">
        <v>1</v>
      </c>
      <c r="J91" s="43">
        <v>31587</v>
      </c>
      <c r="K91" s="125"/>
      <c r="L91" s="43">
        <v>0</v>
      </c>
      <c r="M91" s="43">
        <f t="shared" si="78"/>
        <v>0</v>
      </c>
      <c r="N91" s="125"/>
      <c r="O91" s="43">
        <v>1</v>
      </c>
      <c r="P91" s="43">
        <v>43803.95</v>
      </c>
      <c r="Q91" s="125"/>
      <c r="R91" s="43">
        <v>0</v>
      </c>
      <c r="S91" s="43">
        <f t="shared" si="75"/>
        <v>0</v>
      </c>
      <c r="T91" s="43">
        <f>SUM(P91,M91,J91,E91,S91)</f>
        <v>618289.53999999992</v>
      </c>
      <c r="U91" s="43">
        <v>0</v>
      </c>
      <c r="V91" s="43">
        <f t="shared" si="76"/>
        <v>618289.53999999992</v>
      </c>
      <c r="W91" s="437"/>
    </row>
    <row r="92" spans="1:27">
      <c r="A92" s="91"/>
      <c r="B92" s="91"/>
      <c r="C92" s="91"/>
      <c r="D92" s="91" t="s">
        <v>173</v>
      </c>
      <c r="E92" s="92"/>
      <c r="F92" s="84"/>
      <c r="G92" s="85"/>
      <c r="H92" s="127"/>
      <c r="I92" s="92"/>
      <c r="J92" s="92"/>
      <c r="K92" s="127"/>
      <c r="L92" s="92"/>
      <c r="M92" s="92"/>
      <c r="N92" s="127"/>
      <c r="O92" s="92"/>
      <c r="P92" s="92"/>
      <c r="Q92" s="127"/>
      <c r="R92" s="92"/>
      <c r="S92" s="92"/>
      <c r="T92" s="80"/>
      <c r="U92" s="80"/>
      <c r="V92" s="92"/>
    </row>
    <row r="93" spans="1:27" ht="25.2">
      <c r="A93" s="7" t="s">
        <v>731</v>
      </c>
      <c r="B93" s="44" t="s">
        <v>732</v>
      </c>
      <c r="C93" s="7" t="s">
        <v>710</v>
      </c>
      <c r="D93" s="44" t="s">
        <v>174</v>
      </c>
      <c r="E93" s="31">
        <v>0</v>
      </c>
      <c r="F93" s="7" t="s">
        <v>175</v>
      </c>
      <c r="G93" s="50">
        <v>6000</v>
      </c>
      <c r="H93" s="125"/>
      <c r="I93" s="43">
        <v>1</v>
      </c>
      <c r="J93" s="43">
        <f>I93*G93</f>
        <v>6000</v>
      </c>
      <c r="K93" s="125"/>
      <c r="L93" s="43">
        <v>0</v>
      </c>
      <c r="M93" s="43">
        <f>L93*G93</f>
        <v>0</v>
      </c>
      <c r="N93" s="125"/>
      <c r="O93" s="43">
        <v>0</v>
      </c>
      <c r="P93" s="43">
        <f>O93*G93</f>
        <v>0</v>
      </c>
      <c r="Q93" s="125"/>
      <c r="R93" s="43">
        <v>0</v>
      </c>
      <c r="S93" s="43">
        <f>R93*I93</f>
        <v>0</v>
      </c>
      <c r="T93" s="43">
        <f t="shared" ref="T93:T94" si="80">SUM(P93,M93,J93,E93,S93)</f>
        <v>6000</v>
      </c>
      <c r="U93" s="43">
        <v>0</v>
      </c>
      <c r="V93" s="43">
        <f t="shared" ref="V93:V94" si="81">SUM(T93:U93)</f>
        <v>6000</v>
      </c>
    </row>
    <row r="94" spans="1:27">
      <c r="A94" s="7" t="s">
        <v>731</v>
      </c>
      <c r="B94" s="8">
        <v>87000</v>
      </c>
      <c r="C94" s="7" t="s">
        <v>710</v>
      </c>
      <c r="D94" s="44" t="s">
        <v>176</v>
      </c>
      <c r="E94" s="31">
        <v>63.84</v>
      </c>
      <c r="F94" s="7" t="s">
        <v>177</v>
      </c>
      <c r="G94" s="50">
        <v>6800</v>
      </c>
      <c r="H94" s="125"/>
      <c r="I94" s="43">
        <v>1</v>
      </c>
      <c r="J94" s="43">
        <f>I94*G94</f>
        <v>6800</v>
      </c>
      <c r="K94" s="125"/>
      <c r="L94" s="43">
        <v>1</v>
      </c>
      <c r="M94" s="43">
        <f>L94*G94</f>
        <v>6800</v>
      </c>
      <c r="N94" s="125"/>
      <c r="O94" s="43">
        <v>1</v>
      </c>
      <c r="P94" s="43">
        <f>O94*G94</f>
        <v>6800</v>
      </c>
      <c r="Q94" s="125"/>
      <c r="R94" s="43">
        <v>0</v>
      </c>
      <c r="S94" s="43">
        <f>R94*G94</f>
        <v>0</v>
      </c>
      <c r="T94" s="43">
        <f t="shared" si="80"/>
        <v>20463.84</v>
      </c>
      <c r="U94" s="43">
        <v>0</v>
      </c>
      <c r="V94" s="43">
        <f t="shared" si="81"/>
        <v>20463.84</v>
      </c>
    </row>
    <row r="95" spans="1:27">
      <c r="A95" s="91"/>
      <c r="B95" s="91"/>
      <c r="C95" s="91"/>
      <c r="D95" s="91" t="s">
        <v>178</v>
      </c>
      <c r="E95" s="94"/>
      <c r="F95" s="93"/>
      <c r="G95" s="94"/>
      <c r="H95" s="127"/>
      <c r="I95" s="94"/>
      <c r="J95" s="94"/>
      <c r="K95" s="127"/>
      <c r="L95" s="94"/>
      <c r="M95" s="94"/>
      <c r="N95" s="127"/>
      <c r="O95" s="94"/>
      <c r="P95" s="94"/>
      <c r="Q95" s="127"/>
      <c r="R95" s="94"/>
      <c r="S95" s="94"/>
      <c r="T95" s="80"/>
      <c r="U95" s="80"/>
      <c r="V95" s="94"/>
    </row>
    <row r="96" spans="1:27">
      <c r="A96" s="5" t="s">
        <v>733</v>
      </c>
      <c r="B96" s="8">
        <v>81000</v>
      </c>
      <c r="C96" s="5" t="s">
        <v>709</v>
      </c>
      <c r="D96" s="7" t="s">
        <v>179</v>
      </c>
      <c r="E96" s="43">
        <v>33269.83</v>
      </c>
      <c r="F96" s="48" t="s">
        <v>139</v>
      </c>
      <c r="G96" s="43">
        <f>E96</f>
        <v>33269.83</v>
      </c>
      <c r="H96" s="128"/>
      <c r="I96" s="43">
        <v>0</v>
      </c>
      <c r="J96" s="43">
        <f>I96*G96</f>
        <v>0</v>
      </c>
      <c r="K96" s="128"/>
      <c r="L96" s="43">
        <v>0</v>
      </c>
      <c r="M96" s="43">
        <f>L96*G96</f>
        <v>0</v>
      </c>
      <c r="N96" s="128"/>
      <c r="O96" s="43">
        <v>0</v>
      </c>
      <c r="P96" s="43">
        <f>O96*G96</f>
        <v>0</v>
      </c>
      <c r="Q96" s="128"/>
      <c r="R96" s="43">
        <v>0</v>
      </c>
      <c r="S96" s="43">
        <f>R96*G96</f>
        <v>0</v>
      </c>
      <c r="T96" s="43">
        <f t="shared" ref="T96:T98" si="82">SUM(P96,M96,J96,E96,S96)</f>
        <v>33269.83</v>
      </c>
      <c r="U96" s="43">
        <v>0</v>
      </c>
      <c r="V96" s="43">
        <f t="shared" ref="V96:V98" si="83">SUM(T96:U96)</f>
        <v>33269.83</v>
      </c>
    </row>
    <row r="97" spans="1:23">
      <c r="A97" s="5" t="s">
        <v>733</v>
      </c>
      <c r="B97" s="8">
        <v>89400</v>
      </c>
      <c r="C97" s="5" t="s">
        <v>709</v>
      </c>
      <c r="D97" s="7" t="s">
        <v>180</v>
      </c>
      <c r="E97" s="43">
        <v>44624.18</v>
      </c>
      <c r="F97" s="7" t="s">
        <v>139</v>
      </c>
      <c r="G97" s="43">
        <v>10000</v>
      </c>
      <c r="H97" s="128"/>
      <c r="I97" s="43">
        <v>1</v>
      </c>
      <c r="J97" s="43">
        <f>I97*G97</f>
        <v>10000</v>
      </c>
      <c r="K97" s="128"/>
      <c r="L97" s="43">
        <v>1</v>
      </c>
      <c r="M97" s="43">
        <f>L97*G97</f>
        <v>10000</v>
      </c>
      <c r="N97" s="128"/>
      <c r="O97" s="43">
        <v>1</v>
      </c>
      <c r="P97" s="43">
        <f>O97*G97</f>
        <v>10000</v>
      </c>
      <c r="Q97" s="128"/>
      <c r="R97" s="43">
        <v>1</v>
      </c>
      <c r="S97" s="43">
        <f>R97*G97</f>
        <v>10000</v>
      </c>
      <c r="T97" s="43">
        <f>SUM(P97,M97,J97,E97,S97)</f>
        <v>84624.18</v>
      </c>
      <c r="U97" s="43">
        <v>0</v>
      </c>
      <c r="V97" s="43">
        <f t="shared" si="83"/>
        <v>84624.18</v>
      </c>
      <c r="W97" s="606"/>
    </row>
    <row r="98" spans="1:23">
      <c r="A98" s="5" t="s">
        <v>733</v>
      </c>
      <c r="B98" s="8">
        <v>87000</v>
      </c>
      <c r="C98" s="5" t="s">
        <v>709</v>
      </c>
      <c r="D98" s="7" t="s">
        <v>181</v>
      </c>
      <c r="E98" s="43">
        <v>0</v>
      </c>
      <c r="F98" s="7" t="s">
        <v>139</v>
      </c>
      <c r="G98" s="43">
        <v>0</v>
      </c>
      <c r="H98" s="128"/>
      <c r="I98" s="43">
        <v>1</v>
      </c>
      <c r="J98" s="43">
        <f>I98*G98</f>
        <v>0</v>
      </c>
      <c r="K98" s="128"/>
      <c r="L98" s="43"/>
      <c r="M98" s="43">
        <f>L98*G98</f>
        <v>0</v>
      </c>
      <c r="N98" s="128"/>
      <c r="O98" s="43"/>
      <c r="P98" s="43">
        <f>O98*G98</f>
        <v>0</v>
      </c>
      <c r="Q98" s="128"/>
      <c r="R98" s="43"/>
      <c r="S98" s="43">
        <f>R98*G98</f>
        <v>0</v>
      </c>
      <c r="T98" s="43">
        <f t="shared" si="82"/>
        <v>0</v>
      </c>
      <c r="U98" s="43">
        <v>0</v>
      </c>
      <c r="V98" s="43">
        <f t="shared" si="83"/>
        <v>0</v>
      </c>
      <c r="W98" s="607"/>
    </row>
    <row r="99" spans="1:23" s="97" customFormat="1" ht="24.6">
      <c r="A99" s="87"/>
      <c r="B99" s="616"/>
      <c r="C99" s="87"/>
      <c r="D99" s="87" t="s">
        <v>182</v>
      </c>
      <c r="E99" s="96">
        <f>SUM(E87:E98)</f>
        <v>791297.09</v>
      </c>
      <c r="F99" s="95"/>
      <c r="G99" s="96"/>
      <c r="H99" s="129"/>
      <c r="I99" s="96"/>
      <c r="J99" s="96">
        <f>SUM(J87:J98)</f>
        <v>220924</v>
      </c>
      <c r="K99" s="129"/>
      <c r="L99" s="96"/>
      <c r="M99" s="96">
        <f>SUM(M87:M98)</f>
        <v>16800</v>
      </c>
      <c r="N99" s="129"/>
      <c r="O99" s="96"/>
      <c r="P99" s="96">
        <f>SUM(P87:P98)</f>
        <v>60603.95</v>
      </c>
      <c r="Q99" s="129"/>
      <c r="R99" s="96"/>
      <c r="S99" s="96">
        <f>SUM(S87:S98)</f>
        <v>235000</v>
      </c>
      <c r="T99" s="96">
        <f>SUM(T87:T98)</f>
        <v>1324625.04</v>
      </c>
      <c r="U99" s="96">
        <f>SUM(U87:U98)</f>
        <v>0</v>
      </c>
      <c r="V99" s="96">
        <f>SUM(V87:V98)</f>
        <v>1324625.04</v>
      </c>
      <c r="W99" s="608">
        <f>V99/T741</f>
        <v>4.2262412401343527E-2</v>
      </c>
    </row>
    <row r="100" spans="1:23">
      <c r="E100" s="43"/>
      <c r="F100" s="48"/>
      <c r="G100" s="43"/>
      <c r="H100" s="125"/>
      <c r="I100" s="43"/>
      <c r="J100" s="43"/>
      <c r="K100" s="125"/>
      <c r="L100" s="43"/>
      <c r="M100" s="43"/>
      <c r="N100" s="125"/>
      <c r="O100" s="43"/>
      <c r="P100" s="43"/>
      <c r="Q100" s="125"/>
      <c r="R100" s="43"/>
      <c r="S100" s="43"/>
      <c r="T100" s="43"/>
      <c r="U100" s="43"/>
      <c r="V100" s="43"/>
    </row>
    <row r="101" spans="1:23" ht="12.9" thickBot="1">
      <c r="A101" s="53"/>
      <c r="B101" s="66"/>
      <c r="C101" s="53"/>
      <c r="D101" s="53" t="s">
        <v>183</v>
      </c>
      <c r="E101" s="56">
        <f>SUM(E80:E98)</f>
        <v>1469246.1800000002</v>
      </c>
      <c r="F101" s="54"/>
      <c r="G101" s="55"/>
      <c r="H101" s="126"/>
      <c r="I101" s="56"/>
      <c r="J101" s="56">
        <f>SUM(J80:J98)</f>
        <v>501849</v>
      </c>
      <c r="K101" s="126"/>
      <c r="L101" s="56"/>
      <c r="M101" s="56">
        <f>SUM(M80:M98)</f>
        <v>72725</v>
      </c>
      <c r="N101" s="126"/>
      <c r="O101" s="56"/>
      <c r="P101" s="56">
        <f>SUM(P80:P98)</f>
        <v>116528.95</v>
      </c>
      <c r="Q101" s="126"/>
      <c r="R101" s="56"/>
      <c r="S101" s="56">
        <f>SUM(S80:S98)</f>
        <v>265175</v>
      </c>
      <c r="T101" s="56">
        <f>SUM(T80:T98)</f>
        <v>2425524.13</v>
      </c>
      <c r="U101" s="56">
        <f>SUM(U80:U98)</f>
        <v>0</v>
      </c>
      <c r="V101" s="64">
        <f>SUM(T101:U101)</f>
        <v>2425524.13</v>
      </c>
    </row>
    <row r="102" spans="1:23">
      <c r="A102" s="81"/>
      <c r="B102" s="81"/>
      <c r="C102" s="81"/>
      <c r="D102" s="81"/>
      <c r="E102" s="62"/>
      <c r="F102" s="81"/>
      <c r="G102" s="62"/>
      <c r="H102" s="123"/>
      <c r="I102" s="62"/>
      <c r="J102" s="62"/>
      <c r="K102" s="123"/>
      <c r="L102" s="62"/>
      <c r="M102" s="62"/>
      <c r="N102" s="123"/>
      <c r="O102" s="62"/>
      <c r="P102" s="62"/>
      <c r="Q102" s="123"/>
      <c r="R102" s="62"/>
      <c r="S102" s="62"/>
      <c r="T102" s="62"/>
      <c r="U102" s="62"/>
      <c r="V102" s="62"/>
    </row>
    <row r="103" spans="1:23">
      <c r="A103" s="37"/>
      <c r="B103" s="615"/>
      <c r="C103" s="37"/>
      <c r="D103" s="37" t="s">
        <v>32</v>
      </c>
      <c r="E103" s="39"/>
      <c r="F103" s="37"/>
      <c r="G103" s="38"/>
      <c r="H103" s="124"/>
      <c r="I103" s="39"/>
      <c r="J103" s="39"/>
      <c r="K103" s="124"/>
      <c r="L103" s="39"/>
      <c r="M103" s="39"/>
      <c r="N103" s="124"/>
      <c r="O103" s="39"/>
      <c r="P103" s="39"/>
      <c r="Q103" s="124"/>
      <c r="R103" s="39"/>
      <c r="S103" s="39"/>
      <c r="T103" s="39"/>
      <c r="U103" s="39"/>
      <c r="V103" s="39"/>
    </row>
    <row r="104" spans="1:23">
      <c r="A104" s="5" t="s">
        <v>734</v>
      </c>
      <c r="B104" s="8">
        <v>85200</v>
      </c>
      <c r="C104" s="7" t="s">
        <v>710</v>
      </c>
      <c r="D104" s="7" t="s">
        <v>184</v>
      </c>
      <c r="E104" s="43">
        <v>72554.429999999993</v>
      </c>
      <c r="F104" s="49" t="s">
        <v>163</v>
      </c>
      <c r="G104" s="43">
        <f>E104</f>
        <v>72554.429999999993</v>
      </c>
      <c r="H104" s="125"/>
      <c r="I104" s="43">
        <v>0</v>
      </c>
      <c r="J104" s="43">
        <f>I104*G104</f>
        <v>0</v>
      </c>
      <c r="K104" s="125"/>
      <c r="L104" s="43">
        <v>0</v>
      </c>
      <c r="M104" s="43">
        <f>L104*G104</f>
        <v>0</v>
      </c>
      <c r="N104" s="125"/>
      <c r="O104" s="43">
        <v>0</v>
      </c>
      <c r="P104" s="43">
        <f>O104*G104</f>
        <v>0</v>
      </c>
      <c r="Q104" s="125"/>
      <c r="R104" s="43">
        <v>0</v>
      </c>
      <c r="S104" s="43">
        <f>R104*I104</f>
        <v>0</v>
      </c>
      <c r="T104" s="43">
        <f>SUM(P104,M104,J104,E104,S104)</f>
        <v>72554.429999999993</v>
      </c>
      <c r="U104" s="43">
        <v>0</v>
      </c>
      <c r="V104" s="43">
        <f t="shared" ref="V104" si="84">SUM(T104:U104)</f>
        <v>72554.429999999993</v>
      </c>
    </row>
    <row r="105" spans="1:23">
      <c r="E105" s="43"/>
      <c r="F105" s="48"/>
      <c r="G105" s="43"/>
      <c r="H105" s="125"/>
      <c r="I105" s="43"/>
      <c r="J105" s="43"/>
      <c r="K105" s="125"/>
      <c r="L105" s="43"/>
      <c r="M105" s="43"/>
      <c r="N105" s="125"/>
      <c r="O105" s="43"/>
      <c r="P105" s="43"/>
      <c r="Q105" s="125"/>
      <c r="R105" s="43"/>
      <c r="S105" s="43"/>
      <c r="T105" s="43"/>
      <c r="U105" s="43"/>
      <c r="V105" s="43"/>
    </row>
    <row r="106" spans="1:23" ht="12.9" thickBot="1">
      <c r="A106" s="53"/>
      <c r="B106" s="66"/>
      <c r="C106" s="53"/>
      <c r="D106" s="53" t="s">
        <v>185</v>
      </c>
      <c r="E106" s="56">
        <f>SUM(E104:E104)</f>
        <v>72554.429999999993</v>
      </c>
      <c r="F106" s="54"/>
      <c r="G106" s="55"/>
      <c r="H106" s="126"/>
      <c r="I106" s="56"/>
      <c r="J106" s="56">
        <f>SUM(J104:J104)</f>
        <v>0</v>
      </c>
      <c r="K106" s="126"/>
      <c r="L106" s="56"/>
      <c r="M106" s="56">
        <f>SUM(M104:M104)</f>
        <v>0</v>
      </c>
      <c r="N106" s="126"/>
      <c r="O106" s="56"/>
      <c r="P106" s="56">
        <f>SUM(P104:P104)</f>
        <v>0</v>
      </c>
      <c r="Q106" s="126"/>
      <c r="R106" s="56"/>
      <c r="S106" s="56">
        <f>SUM(S104:S104)</f>
        <v>0</v>
      </c>
      <c r="T106" s="56">
        <f>SUM(T104:T105)</f>
        <v>72554.429999999993</v>
      </c>
      <c r="U106" s="56">
        <f>SUM(U104:U104)</f>
        <v>0</v>
      </c>
      <c r="V106" s="64">
        <f>SUM(T106:U106)</f>
        <v>72554.429999999993</v>
      </c>
    </row>
    <row r="107" spans="1:23">
      <c r="A107" s="81"/>
      <c r="B107" s="81"/>
      <c r="C107" s="81"/>
      <c r="D107" s="81"/>
      <c r="E107" s="62"/>
      <c r="F107" s="470"/>
      <c r="G107" s="62"/>
      <c r="H107" s="123"/>
      <c r="I107" s="62"/>
      <c r="J107" s="62"/>
      <c r="K107" s="123"/>
      <c r="L107" s="62"/>
      <c r="M107" s="62"/>
      <c r="N107" s="123"/>
      <c r="O107" s="62"/>
      <c r="P107" s="62"/>
      <c r="Q107" s="123"/>
      <c r="R107" s="62"/>
      <c r="S107" s="62"/>
      <c r="T107" s="62"/>
      <c r="U107" s="62"/>
      <c r="V107" s="62"/>
    </row>
    <row r="108" spans="1:23">
      <c r="A108" s="37"/>
      <c r="B108" s="615"/>
      <c r="C108" s="37"/>
      <c r="D108" s="37" t="s">
        <v>186</v>
      </c>
      <c r="E108" s="39"/>
      <c r="F108" s="37"/>
      <c r="G108" s="38"/>
      <c r="H108" s="124"/>
      <c r="I108" s="39"/>
      <c r="J108" s="39"/>
      <c r="K108" s="124"/>
      <c r="L108" s="39"/>
      <c r="M108" s="39"/>
      <c r="N108" s="124"/>
      <c r="O108" s="39"/>
      <c r="P108" s="39"/>
      <c r="Q108" s="124"/>
      <c r="R108" s="39"/>
      <c r="S108" s="39"/>
      <c r="T108" s="39"/>
      <c r="U108" s="39"/>
      <c r="V108" s="39"/>
    </row>
    <row r="109" spans="1:23">
      <c r="A109" s="91"/>
      <c r="B109" s="91"/>
      <c r="C109" s="91"/>
      <c r="D109" s="91" t="s">
        <v>187</v>
      </c>
      <c r="E109" s="622"/>
      <c r="F109" s="622"/>
      <c r="G109" s="91"/>
      <c r="H109" s="134"/>
      <c r="I109" s="91"/>
      <c r="J109" s="91"/>
      <c r="K109" s="134"/>
      <c r="L109" s="91"/>
      <c r="M109" s="91"/>
      <c r="N109" s="134"/>
      <c r="O109" s="91"/>
      <c r="P109" s="91"/>
      <c r="Q109" s="134"/>
      <c r="R109" s="91"/>
      <c r="S109" s="91"/>
      <c r="T109" s="91"/>
      <c r="U109" s="91"/>
      <c r="V109" s="91"/>
    </row>
    <row r="110" spans="1:23">
      <c r="A110" s="5" t="s">
        <v>735</v>
      </c>
      <c r="B110" s="8">
        <v>82350</v>
      </c>
      <c r="C110" s="7" t="s">
        <v>736</v>
      </c>
      <c r="D110" s="7" t="s">
        <v>188</v>
      </c>
      <c r="E110" s="43">
        <v>1093.45</v>
      </c>
      <c r="F110" s="48" t="s">
        <v>95</v>
      </c>
      <c r="G110" s="43">
        <v>30</v>
      </c>
      <c r="H110" s="128"/>
      <c r="I110" s="43">
        <v>12</v>
      </c>
      <c r="J110" s="43">
        <f>I110*G110</f>
        <v>360</v>
      </c>
      <c r="K110" s="128"/>
      <c r="L110" s="43">
        <v>12</v>
      </c>
      <c r="M110" s="43">
        <f>L110*G110*$E$7</f>
        <v>374.40000000000003</v>
      </c>
      <c r="N110" s="128"/>
      <c r="O110" s="43">
        <v>12</v>
      </c>
      <c r="P110" s="43">
        <f>O110*G110*$E$7*$E$7</f>
        <v>389.37600000000003</v>
      </c>
      <c r="Q110" s="128"/>
      <c r="R110" s="43">
        <v>6</v>
      </c>
      <c r="S110" s="43">
        <f>R110*G110*$E$7*$E$7*$E$7</f>
        <v>202.47552000000002</v>
      </c>
      <c r="T110" s="43">
        <f>SUM(P110,M110,J110,E110,S110)</f>
        <v>2419.7015200000001</v>
      </c>
      <c r="U110" s="43">
        <v>0</v>
      </c>
      <c r="V110" s="43">
        <f t="shared" ref="V110" si="85">SUM(T110:U110)</f>
        <v>2419.7015200000001</v>
      </c>
    </row>
    <row r="111" spans="1:23">
      <c r="A111" s="5" t="s">
        <v>735</v>
      </c>
      <c r="B111" s="8">
        <v>82030</v>
      </c>
      <c r="C111" s="7" t="s">
        <v>736</v>
      </c>
      <c r="D111" s="7" t="s">
        <v>189</v>
      </c>
      <c r="E111" s="43">
        <v>17482.46</v>
      </c>
      <c r="F111" s="48" t="s">
        <v>95</v>
      </c>
      <c r="G111" s="43">
        <v>375</v>
      </c>
      <c r="H111" s="128"/>
      <c r="I111" s="43">
        <v>12</v>
      </c>
      <c r="J111" s="43">
        <f t="shared" ref="J111:J116" si="86">I111*G111</f>
        <v>4500</v>
      </c>
      <c r="K111" s="128"/>
      <c r="L111" s="43">
        <v>12</v>
      </c>
      <c r="M111" s="43">
        <f t="shared" ref="M111:M116" si="87">L111*G111*$E$7</f>
        <v>4680</v>
      </c>
      <c r="N111" s="128"/>
      <c r="O111" s="43">
        <v>12</v>
      </c>
      <c r="P111" s="43">
        <f t="shared" ref="P111:P116" si="88">O111*G111*$E$7*$E$7</f>
        <v>4867.2</v>
      </c>
      <c r="Q111" s="128"/>
      <c r="R111" s="43">
        <v>6</v>
      </c>
      <c r="S111" s="43">
        <f t="shared" ref="S111:S116" si="89">R111*G111*$E$7*$E$7*$E$7</f>
        <v>2530.944</v>
      </c>
      <c r="T111" s="43">
        <f>SUM(P111,M111,J111,E111,S111)</f>
        <v>34060.603999999999</v>
      </c>
      <c r="U111" s="43">
        <v>0</v>
      </c>
      <c r="V111" s="43">
        <f t="shared" ref="V111:V116" si="90">SUM(T111:U111)</f>
        <v>34060.603999999999</v>
      </c>
    </row>
    <row r="112" spans="1:23">
      <c r="A112" s="5" t="s">
        <v>737</v>
      </c>
      <c r="B112" s="8">
        <v>90450</v>
      </c>
      <c r="C112" s="7" t="s">
        <v>736</v>
      </c>
      <c r="D112" s="7" t="s">
        <v>190</v>
      </c>
      <c r="E112" s="43">
        <v>15559.669999999998</v>
      </c>
      <c r="F112" s="48" t="s">
        <v>139</v>
      </c>
      <c r="G112" s="43">
        <v>3500</v>
      </c>
      <c r="H112" s="128"/>
      <c r="I112" s="43">
        <v>1</v>
      </c>
      <c r="J112" s="43">
        <f>I112*G112</f>
        <v>3500</v>
      </c>
      <c r="K112" s="128"/>
      <c r="L112" s="43">
        <v>1</v>
      </c>
      <c r="M112" s="43">
        <f>L112*G112*$E$7</f>
        <v>3640</v>
      </c>
      <c r="N112" s="128"/>
      <c r="O112" s="43">
        <v>1</v>
      </c>
      <c r="P112" s="43">
        <f t="shared" si="88"/>
        <v>3785.6</v>
      </c>
      <c r="Q112" s="128"/>
      <c r="R112" s="471">
        <v>0.5</v>
      </c>
      <c r="S112" s="43">
        <f t="shared" si="89"/>
        <v>1968.5119999999999</v>
      </c>
      <c r="T112" s="43">
        <f t="shared" ref="T112:T116" si="91">SUM(P112,M112,J112,E112,S112)</f>
        <v>28453.781999999996</v>
      </c>
      <c r="U112" s="43">
        <v>0</v>
      </c>
      <c r="V112" s="43">
        <f t="shared" si="90"/>
        <v>28453.781999999996</v>
      </c>
    </row>
    <row r="113" spans="1:27">
      <c r="A113" s="5" t="s">
        <v>738</v>
      </c>
      <c r="B113" s="8">
        <v>85180</v>
      </c>
      <c r="C113" s="7" t="s">
        <v>710</v>
      </c>
      <c r="D113" s="7" t="s">
        <v>191</v>
      </c>
      <c r="E113" s="43">
        <v>114429.83</v>
      </c>
      <c r="F113" s="48" t="s">
        <v>95</v>
      </c>
      <c r="G113" s="43">
        <v>4000</v>
      </c>
      <c r="H113" s="125"/>
      <c r="I113" s="43">
        <v>12</v>
      </c>
      <c r="J113" s="43">
        <f t="shared" si="86"/>
        <v>48000</v>
      </c>
      <c r="K113" s="125"/>
      <c r="L113" s="43">
        <v>12</v>
      </c>
      <c r="M113" s="43">
        <f t="shared" si="87"/>
        <v>49920</v>
      </c>
      <c r="N113" s="125"/>
      <c r="O113" s="43">
        <v>12</v>
      </c>
      <c r="P113" s="43">
        <f t="shared" si="88"/>
        <v>51916.800000000003</v>
      </c>
      <c r="Q113" s="125"/>
      <c r="R113" s="43">
        <v>6</v>
      </c>
      <c r="S113" s="43">
        <f t="shared" si="89"/>
        <v>26996.736000000001</v>
      </c>
      <c r="T113" s="43">
        <f t="shared" si="91"/>
        <v>291263.36599999998</v>
      </c>
      <c r="U113" s="43">
        <v>0</v>
      </c>
      <c r="V113" s="43">
        <f t="shared" si="90"/>
        <v>291263.36599999998</v>
      </c>
    </row>
    <row r="114" spans="1:27">
      <c r="A114" s="7" t="s">
        <v>739</v>
      </c>
      <c r="B114" s="44">
        <v>90900</v>
      </c>
      <c r="C114" s="7" t="s">
        <v>736</v>
      </c>
      <c r="D114" s="7" t="s">
        <v>192</v>
      </c>
      <c r="E114" s="43">
        <v>6601.99</v>
      </c>
      <c r="F114" s="48" t="s">
        <v>95</v>
      </c>
      <c r="G114" s="43">
        <v>200</v>
      </c>
      <c r="H114" s="125"/>
      <c r="I114" s="43">
        <v>12</v>
      </c>
      <c r="J114" s="43">
        <f t="shared" si="86"/>
        <v>2400</v>
      </c>
      <c r="K114" s="125"/>
      <c r="L114" s="43">
        <v>12</v>
      </c>
      <c r="M114" s="43">
        <f t="shared" si="87"/>
        <v>2496</v>
      </c>
      <c r="N114" s="125"/>
      <c r="O114" s="43">
        <v>12</v>
      </c>
      <c r="P114" s="43">
        <f t="shared" si="88"/>
        <v>2595.84</v>
      </c>
      <c r="Q114" s="125"/>
      <c r="R114" s="43">
        <v>6</v>
      </c>
      <c r="S114" s="43">
        <f t="shared" si="89"/>
        <v>1349.8368</v>
      </c>
      <c r="T114" s="43">
        <f t="shared" si="91"/>
        <v>15443.666799999999</v>
      </c>
      <c r="U114" s="43">
        <v>0</v>
      </c>
      <c r="V114" s="43">
        <f t="shared" si="90"/>
        <v>15443.666799999999</v>
      </c>
    </row>
    <row r="115" spans="1:27">
      <c r="A115" s="5" t="s">
        <v>740</v>
      </c>
      <c r="B115" s="8">
        <v>87010</v>
      </c>
      <c r="C115" s="7" t="s">
        <v>736</v>
      </c>
      <c r="D115" s="7" t="s">
        <v>193</v>
      </c>
      <c r="E115" s="43">
        <v>23514.01</v>
      </c>
      <c r="F115" s="48" t="s">
        <v>95</v>
      </c>
      <c r="G115" s="43">
        <v>600</v>
      </c>
      <c r="H115" s="125"/>
      <c r="I115" s="43">
        <v>12</v>
      </c>
      <c r="J115" s="43">
        <f t="shared" si="86"/>
        <v>7200</v>
      </c>
      <c r="K115" s="125"/>
      <c r="L115" s="43">
        <v>12</v>
      </c>
      <c r="M115" s="43">
        <f t="shared" si="87"/>
        <v>7488</v>
      </c>
      <c r="N115" s="125"/>
      <c r="O115" s="43">
        <v>12</v>
      </c>
      <c r="P115" s="43">
        <f t="shared" si="88"/>
        <v>7787.52</v>
      </c>
      <c r="Q115" s="125"/>
      <c r="R115" s="43">
        <v>6</v>
      </c>
      <c r="S115" s="43">
        <f t="shared" si="89"/>
        <v>4049.5104000000006</v>
      </c>
      <c r="T115" s="43">
        <f t="shared" si="91"/>
        <v>50039.040399999998</v>
      </c>
      <c r="U115" s="43">
        <v>0</v>
      </c>
      <c r="V115" s="43">
        <f t="shared" si="90"/>
        <v>50039.040399999998</v>
      </c>
    </row>
    <row r="116" spans="1:27">
      <c r="A116" s="5" t="s">
        <v>741</v>
      </c>
      <c r="B116" s="8">
        <v>89400</v>
      </c>
      <c r="C116" s="7" t="s">
        <v>736</v>
      </c>
      <c r="D116" s="7" t="s">
        <v>194</v>
      </c>
      <c r="E116" s="43">
        <v>41970.409999999996</v>
      </c>
      <c r="F116" s="48" t="s">
        <v>95</v>
      </c>
      <c r="G116" s="43">
        <f>(5*76)+(12*76)+(1840/12)+50</f>
        <v>1495.3333333333333</v>
      </c>
      <c r="H116" s="125"/>
      <c r="I116" s="43">
        <v>12</v>
      </c>
      <c r="J116" s="43">
        <f t="shared" si="86"/>
        <v>17944</v>
      </c>
      <c r="K116" s="125"/>
      <c r="L116" s="43">
        <v>12</v>
      </c>
      <c r="M116" s="43">
        <f t="shared" si="87"/>
        <v>18661.760000000002</v>
      </c>
      <c r="N116" s="125"/>
      <c r="O116" s="43">
        <v>12</v>
      </c>
      <c r="P116" s="43">
        <f t="shared" si="88"/>
        <v>19408.230400000004</v>
      </c>
      <c r="Q116" s="125"/>
      <c r="R116" s="43">
        <v>6</v>
      </c>
      <c r="S116" s="43">
        <f t="shared" si="89"/>
        <v>10092.279808000003</v>
      </c>
      <c r="T116" s="43">
        <f t="shared" si="91"/>
        <v>108076.68020800002</v>
      </c>
      <c r="U116" s="43">
        <v>0</v>
      </c>
      <c r="V116" s="43">
        <f t="shared" si="90"/>
        <v>108076.68020800002</v>
      </c>
    </row>
    <row r="117" spans="1:27">
      <c r="F117" s="48"/>
      <c r="H117" s="125"/>
      <c r="K117" s="125"/>
      <c r="N117" s="125"/>
      <c r="Q117" s="125"/>
    </row>
    <row r="118" spans="1:27" ht="12.9" thickBot="1">
      <c r="A118" s="53"/>
      <c r="B118" s="66"/>
      <c r="C118" s="53"/>
      <c r="D118" s="53" t="s">
        <v>195</v>
      </c>
      <c r="E118" s="68">
        <f>SUM(E110:E116)</f>
        <v>220651.82</v>
      </c>
      <c r="F118" s="53"/>
      <c r="G118" s="67"/>
      <c r="H118" s="126"/>
      <c r="I118" s="68"/>
      <c r="J118" s="68">
        <f>SUM(J110:J116)</f>
        <v>83904</v>
      </c>
      <c r="K118" s="126"/>
      <c r="L118" s="68"/>
      <c r="M118" s="68">
        <f>SUM(M110:M116)</f>
        <v>87260.160000000003</v>
      </c>
      <c r="N118" s="126"/>
      <c r="O118" s="68"/>
      <c r="P118" s="68">
        <f>SUM(P110:P116)</f>
        <v>90750.566400000011</v>
      </c>
      <c r="Q118" s="126"/>
      <c r="R118" s="68"/>
      <c r="S118" s="68">
        <f>SUM(S110:S116)</f>
        <v>47190.294527999999</v>
      </c>
      <c r="T118" s="68">
        <f>SUM(T110:T116)</f>
        <v>529756.84092800005</v>
      </c>
      <c r="U118" s="68">
        <f>SUM(U110:U116)</f>
        <v>0</v>
      </c>
      <c r="V118" s="68">
        <f>SUM(V110:V116)</f>
        <v>529756.84092800005</v>
      </c>
    </row>
    <row r="119" spans="1:27">
      <c r="A119" s="81"/>
      <c r="B119" s="81"/>
      <c r="C119" s="81"/>
      <c r="D119" s="81"/>
      <c r="E119" s="62"/>
      <c r="F119" s="81"/>
      <c r="G119" s="62"/>
      <c r="H119" s="123"/>
      <c r="I119" s="62"/>
      <c r="J119" s="62"/>
      <c r="K119" s="123"/>
      <c r="L119" s="62"/>
      <c r="M119" s="62"/>
      <c r="N119" s="123"/>
      <c r="O119" s="62"/>
      <c r="P119" s="62"/>
      <c r="Q119" s="123"/>
      <c r="R119" s="62"/>
      <c r="S119" s="62"/>
      <c r="T119" s="62"/>
      <c r="U119" s="62"/>
      <c r="V119" s="62"/>
    </row>
    <row r="120" spans="1:27">
      <c r="A120" s="37"/>
      <c r="B120" s="615"/>
      <c r="C120" s="37"/>
      <c r="D120" s="37" t="s">
        <v>196</v>
      </c>
      <c r="E120" s="39"/>
      <c r="F120" s="37"/>
      <c r="G120" s="38"/>
      <c r="H120" s="124"/>
      <c r="I120" s="39"/>
      <c r="J120" s="39"/>
      <c r="K120" s="124"/>
      <c r="L120" s="39"/>
      <c r="M120" s="39"/>
      <c r="N120" s="124"/>
      <c r="O120" s="39"/>
      <c r="P120" s="39"/>
      <c r="Q120" s="124"/>
      <c r="R120" s="39"/>
      <c r="S120" s="39"/>
      <c r="T120" s="39"/>
      <c r="U120" s="39"/>
      <c r="V120" s="39"/>
    </row>
    <row r="121" spans="1:27" hidden="1">
      <c r="D121" s="7" t="s">
        <v>197</v>
      </c>
      <c r="E121" s="43">
        <v>0</v>
      </c>
      <c r="F121" s="49" t="s">
        <v>163</v>
      </c>
      <c r="G121" s="43">
        <v>1100</v>
      </c>
      <c r="H121" s="125"/>
      <c r="I121" s="43">
        <v>0</v>
      </c>
      <c r="J121" s="43">
        <f t="shared" ref="J121:J127" si="92">I121*G121</f>
        <v>0</v>
      </c>
      <c r="K121" s="125"/>
      <c r="L121" s="43">
        <v>0</v>
      </c>
      <c r="M121" s="43">
        <f t="shared" ref="M121:M126" si="93">L121*G121</f>
        <v>0</v>
      </c>
      <c r="N121" s="125"/>
      <c r="O121" s="43">
        <v>0</v>
      </c>
      <c r="P121" s="43">
        <f t="shared" ref="P121:P126" si="94">O121*G121</f>
        <v>0</v>
      </c>
      <c r="Q121" s="125"/>
      <c r="R121" s="43">
        <v>0</v>
      </c>
      <c r="S121" s="43">
        <f>R121*I121</f>
        <v>0</v>
      </c>
      <c r="T121" s="43">
        <f t="shared" ref="T121" si="95">SUM(P121,M121,J121,E121,S121)</f>
        <v>0</v>
      </c>
      <c r="U121" s="43">
        <v>0</v>
      </c>
      <c r="V121" s="43">
        <f t="shared" ref="V121" si="96">SUM(T121:U121)</f>
        <v>0</v>
      </c>
    </row>
    <row r="122" spans="1:27">
      <c r="A122" s="7" t="s">
        <v>743</v>
      </c>
      <c r="B122" s="44">
        <v>82401</v>
      </c>
      <c r="C122" s="7" t="s">
        <v>736</v>
      </c>
      <c r="D122" s="7" t="s">
        <v>198</v>
      </c>
      <c r="E122" s="43">
        <f>11819.5+13597.92</f>
        <v>25417.42</v>
      </c>
      <c r="F122" s="49" t="s">
        <v>163</v>
      </c>
      <c r="G122" s="43">
        <v>1250</v>
      </c>
      <c r="H122" s="125"/>
      <c r="I122" s="43">
        <v>2</v>
      </c>
      <c r="J122" s="43">
        <f t="shared" si="92"/>
        <v>2500</v>
      </c>
      <c r="K122" s="125"/>
      <c r="L122" s="43">
        <v>0</v>
      </c>
      <c r="M122" s="43">
        <f t="shared" si="93"/>
        <v>0</v>
      </c>
      <c r="N122" s="125"/>
      <c r="O122" s="43">
        <v>0</v>
      </c>
      <c r="P122" s="43">
        <f t="shared" si="94"/>
        <v>0</v>
      </c>
      <c r="Q122" s="125"/>
      <c r="R122" s="43">
        <v>0</v>
      </c>
      <c r="S122" s="43">
        <f t="shared" ref="S122:S126" si="97">R122*I122</f>
        <v>0</v>
      </c>
      <c r="T122" s="43">
        <f t="shared" ref="T122:T127" si="98">SUM(P122,M122,J122,E122,S122)</f>
        <v>27917.42</v>
      </c>
      <c r="U122" s="43">
        <v>0</v>
      </c>
      <c r="V122" s="43">
        <f t="shared" ref="V122:V127" si="99">SUM(T122:U122)</f>
        <v>27917.42</v>
      </c>
      <c r="W122" s="43"/>
      <c r="X122" s="31"/>
      <c r="Y122" s="31"/>
      <c r="Z122" s="467"/>
      <c r="AA122" s="467"/>
    </row>
    <row r="123" spans="1:27">
      <c r="A123" s="7" t="s">
        <v>743</v>
      </c>
      <c r="B123" s="44">
        <v>82401</v>
      </c>
      <c r="C123" s="7" t="s">
        <v>736</v>
      </c>
      <c r="D123" s="7" t="s">
        <v>199</v>
      </c>
      <c r="E123" s="43">
        <v>10065.73</v>
      </c>
      <c r="F123" s="49" t="s">
        <v>163</v>
      </c>
      <c r="G123" s="43">
        <v>850</v>
      </c>
      <c r="H123" s="125"/>
      <c r="I123" s="43">
        <v>0</v>
      </c>
      <c r="J123" s="43">
        <f t="shared" si="92"/>
        <v>0</v>
      </c>
      <c r="K123" s="125"/>
      <c r="L123" s="43">
        <v>2</v>
      </c>
      <c r="M123" s="43">
        <f t="shared" si="93"/>
        <v>1700</v>
      </c>
      <c r="N123" s="125"/>
      <c r="O123" s="43">
        <v>0</v>
      </c>
      <c r="P123" s="43">
        <f t="shared" si="94"/>
        <v>0</v>
      </c>
      <c r="Q123" s="125"/>
      <c r="R123" s="43">
        <v>0</v>
      </c>
      <c r="S123" s="43">
        <f t="shared" si="97"/>
        <v>0</v>
      </c>
      <c r="T123" s="43">
        <f t="shared" si="98"/>
        <v>11765.73</v>
      </c>
      <c r="U123" s="43">
        <v>0</v>
      </c>
      <c r="V123" s="43">
        <f t="shared" si="99"/>
        <v>11765.73</v>
      </c>
    </row>
    <row r="124" spans="1:27">
      <c r="A124" s="7" t="s">
        <v>743</v>
      </c>
      <c r="B124" s="44">
        <v>82401</v>
      </c>
      <c r="C124" s="7" t="s">
        <v>736</v>
      </c>
      <c r="D124" s="7" t="s">
        <v>200</v>
      </c>
      <c r="E124" s="43">
        <v>2255.23</v>
      </c>
      <c r="F124" s="49" t="s">
        <v>163</v>
      </c>
      <c r="G124" s="43">
        <v>840</v>
      </c>
      <c r="H124" s="125"/>
      <c r="I124" s="43">
        <v>0</v>
      </c>
      <c r="J124" s="43">
        <f t="shared" si="92"/>
        <v>0</v>
      </c>
      <c r="K124" s="125"/>
      <c r="L124" s="43">
        <v>0</v>
      </c>
      <c r="M124" s="43">
        <f t="shared" si="93"/>
        <v>0</v>
      </c>
      <c r="N124" s="125"/>
      <c r="O124" s="43">
        <v>0</v>
      </c>
      <c r="P124" s="43">
        <f t="shared" si="94"/>
        <v>0</v>
      </c>
      <c r="Q124" s="125"/>
      <c r="R124" s="43">
        <v>0</v>
      </c>
      <c r="S124" s="43">
        <f>R124*I124</f>
        <v>0</v>
      </c>
      <c r="T124" s="43">
        <f t="shared" si="98"/>
        <v>2255.23</v>
      </c>
      <c r="U124" s="43">
        <v>0</v>
      </c>
      <c r="V124" s="43">
        <f t="shared" si="99"/>
        <v>2255.23</v>
      </c>
    </row>
    <row r="125" spans="1:27" hidden="1">
      <c r="D125" s="7" t="s">
        <v>201</v>
      </c>
      <c r="E125" s="43">
        <v>0</v>
      </c>
      <c r="F125" s="49" t="s">
        <v>163</v>
      </c>
      <c r="G125" s="43">
        <v>634.5</v>
      </c>
      <c r="H125" s="125"/>
      <c r="I125" s="43">
        <v>0</v>
      </c>
      <c r="J125" s="43">
        <f t="shared" si="92"/>
        <v>0</v>
      </c>
      <c r="K125" s="125"/>
      <c r="L125" s="43">
        <v>0</v>
      </c>
      <c r="M125" s="43">
        <f t="shared" si="93"/>
        <v>0</v>
      </c>
      <c r="N125" s="125"/>
      <c r="O125" s="43">
        <v>0</v>
      </c>
      <c r="P125" s="43">
        <f t="shared" si="94"/>
        <v>0</v>
      </c>
      <c r="Q125" s="125"/>
      <c r="R125" s="43">
        <v>0</v>
      </c>
      <c r="S125" s="43">
        <f t="shared" si="97"/>
        <v>0</v>
      </c>
      <c r="T125" s="43">
        <f t="shared" si="98"/>
        <v>0</v>
      </c>
      <c r="U125" s="43">
        <v>0</v>
      </c>
      <c r="V125" s="43">
        <f t="shared" si="99"/>
        <v>0</v>
      </c>
    </row>
    <row r="126" spans="1:27" ht="25.2">
      <c r="A126" s="7" t="s">
        <v>743</v>
      </c>
      <c r="B126" s="44">
        <v>82401</v>
      </c>
      <c r="C126" s="7" t="s">
        <v>736</v>
      </c>
      <c r="D126" s="7" t="s">
        <v>202</v>
      </c>
      <c r="E126" s="43">
        <f>1093.05+57.9</f>
        <v>1150.95</v>
      </c>
      <c r="F126" s="49" t="s">
        <v>163</v>
      </c>
      <c r="G126" s="43">
        <f>E126</f>
        <v>1150.95</v>
      </c>
      <c r="H126" s="125"/>
      <c r="I126" s="43">
        <v>0</v>
      </c>
      <c r="J126" s="43">
        <f t="shared" si="92"/>
        <v>0</v>
      </c>
      <c r="K126" s="125"/>
      <c r="L126" s="43">
        <v>0</v>
      </c>
      <c r="M126" s="43">
        <f t="shared" si="93"/>
        <v>0</v>
      </c>
      <c r="N126" s="125"/>
      <c r="O126" s="43">
        <v>0</v>
      </c>
      <c r="P126" s="43">
        <f t="shared" si="94"/>
        <v>0</v>
      </c>
      <c r="Q126" s="125"/>
      <c r="R126" s="43">
        <v>0</v>
      </c>
      <c r="S126" s="43">
        <f t="shared" si="97"/>
        <v>0</v>
      </c>
      <c r="T126" s="43">
        <f t="shared" si="98"/>
        <v>1150.95</v>
      </c>
      <c r="U126" s="43">
        <v>0</v>
      </c>
      <c r="V126" s="43">
        <f t="shared" si="99"/>
        <v>1150.95</v>
      </c>
    </row>
    <row r="127" spans="1:27">
      <c r="A127" s="7" t="s">
        <v>743</v>
      </c>
      <c r="B127" s="44">
        <v>82401</v>
      </c>
      <c r="C127" s="7" t="s">
        <v>736</v>
      </c>
      <c r="D127" s="7" t="s">
        <v>203</v>
      </c>
      <c r="E127" s="43">
        <v>69046.780000000013</v>
      </c>
      <c r="F127" s="48" t="s">
        <v>95</v>
      </c>
      <c r="G127" s="43">
        <v>2000</v>
      </c>
      <c r="H127" s="128"/>
      <c r="I127" s="43">
        <v>12</v>
      </c>
      <c r="J127" s="43">
        <f t="shared" si="92"/>
        <v>24000</v>
      </c>
      <c r="K127" s="128"/>
      <c r="L127" s="43">
        <v>12</v>
      </c>
      <c r="M127" s="43">
        <f>L127*G127*$E$7</f>
        <v>24960</v>
      </c>
      <c r="N127" s="128"/>
      <c r="O127" s="43">
        <v>12</v>
      </c>
      <c r="P127" s="43">
        <f>O127*G127*$E$7*$E$7</f>
        <v>25958.400000000001</v>
      </c>
      <c r="Q127" s="128"/>
      <c r="R127" s="43">
        <v>6</v>
      </c>
      <c r="S127" s="43">
        <f>R127*G127*$E$7*$E$7*$E$7</f>
        <v>13498.368</v>
      </c>
      <c r="T127" s="43">
        <f t="shared" si="98"/>
        <v>157463.54799999998</v>
      </c>
      <c r="U127" s="43">
        <v>0</v>
      </c>
      <c r="V127" s="43">
        <f t="shared" si="99"/>
        <v>157463.54799999998</v>
      </c>
    </row>
    <row r="128" spans="1:27">
      <c r="F128" s="475"/>
      <c r="H128" s="476"/>
      <c r="K128" s="125"/>
      <c r="N128" s="125"/>
      <c r="Q128" s="125"/>
    </row>
    <row r="129" spans="1:23" ht="12.9" thickBot="1">
      <c r="A129" s="53"/>
      <c r="B129" s="66"/>
      <c r="C129" s="53"/>
      <c r="D129" s="53" t="s">
        <v>204</v>
      </c>
      <c r="E129" s="68">
        <f>SUM(E121:E128)</f>
        <v>107936.11000000002</v>
      </c>
      <c r="F129" s="53"/>
      <c r="G129" s="67"/>
      <c r="H129" s="126"/>
      <c r="I129" s="68"/>
      <c r="J129" s="68">
        <f>SUM(J121:J128)</f>
        <v>26500</v>
      </c>
      <c r="K129" s="126"/>
      <c r="L129" s="68"/>
      <c r="M129" s="68">
        <f>SUM(M121:M128)</f>
        <v>26660</v>
      </c>
      <c r="N129" s="126"/>
      <c r="O129" s="68"/>
      <c r="P129" s="68">
        <f>SUM(P121:P128)</f>
        <v>25958.400000000001</v>
      </c>
      <c r="Q129" s="126"/>
      <c r="R129" s="68"/>
      <c r="S129" s="68">
        <f>SUM(S121:S128)</f>
        <v>13498.368</v>
      </c>
      <c r="T129" s="68">
        <f>SUM(T121:T128)</f>
        <v>200552.87799999997</v>
      </c>
      <c r="U129" s="68">
        <f>SUM(U121:U128)</f>
        <v>0</v>
      </c>
      <c r="V129" s="68">
        <f>SUM(V121:V128)</f>
        <v>200552.87799999997</v>
      </c>
    </row>
    <row r="130" spans="1:23">
      <c r="A130" s="81"/>
      <c r="B130" s="81"/>
      <c r="C130" s="81"/>
      <c r="D130" s="81"/>
      <c r="E130" s="62"/>
      <c r="F130" s="81"/>
      <c r="G130" s="62"/>
      <c r="H130" s="473"/>
      <c r="I130" s="62"/>
      <c r="J130" s="62"/>
      <c r="K130" s="123"/>
      <c r="L130" s="62"/>
      <c r="M130" s="62"/>
      <c r="N130" s="123"/>
      <c r="O130" s="62"/>
      <c r="P130" s="62"/>
      <c r="Q130" s="123"/>
      <c r="R130" s="62"/>
      <c r="S130" s="62"/>
      <c r="T130" s="62"/>
      <c r="U130" s="62"/>
      <c r="V130" s="62"/>
    </row>
    <row r="131" spans="1:23">
      <c r="A131" s="37"/>
      <c r="B131" s="615"/>
      <c r="C131" s="37"/>
      <c r="D131" s="37" t="s">
        <v>35</v>
      </c>
      <c r="E131" s="39"/>
      <c r="F131" s="37"/>
      <c r="G131" s="38"/>
      <c r="H131" s="124"/>
      <c r="I131" s="39"/>
      <c r="J131" s="39"/>
      <c r="K131" s="124"/>
      <c r="L131" s="39"/>
      <c r="M131" s="39"/>
      <c r="N131" s="124"/>
      <c r="O131" s="39"/>
      <c r="P131" s="39"/>
      <c r="Q131" s="124"/>
      <c r="R131" s="39"/>
      <c r="S131" s="39"/>
      <c r="T131" s="39"/>
      <c r="U131" s="39"/>
      <c r="V131" s="39"/>
    </row>
    <row r="132" spans="1:23">
      <c r="A132" s="7" t="s">
        <v>744</v>
      </c>
      <c r="B132" s="44">
        <v>87000</v>
      </c>
      <c r="C132" s="7" t="s">
        <v>736</v>
      </c>
      <c r="D132" s="7" t="s">
        <v>205</v>
      </c>
      <c r="E132" s="43">
        <v>39594.83</v>
      </c>
      <c r="F132" s="48" t="s">
        <v>163</v>
      </c>
      <c r="G132" s="43">
        <v>1500</v>
      </c>
      <c r="H132" s="125"/>
      <c r="I132" s="43">
        <v>3</v>
      </c>
      <c r="J132" s="43">
        <f>I132*G132</f>
        <v>4500</v>
      </c>
      <c r="K132" s="125"/>
      <c r="L132" s="43">
        <v>3</v>
      </c>
      <c r="M132" s="43">
        <f>L132*G132*$E$7</f>
        <v>4680</v>
      </c>
      <c r="N132" s="125"/>
      <c r="O132" s="43">
        <v>3</v>
      </c>
      <c r="P132" s="43">
        <f>O132*G132*$E$7*$E$7</f>
        <v>4867.2</v>
      </c>
      <c r="Q132" s="125"/>
      <c r="R132" s="43">
        <v>3</v>
      </c>
      <c r="S132" s="43">
        <f>R132*G132*$E$7*$E$7*$E$7</f>
        <v>5061.8879999999999</v>
      </c>
      <c r="T132" s="43">
        <f>SUM(P132,M132,J132,E132,S132)</f>
        <v>58703.917999999998</v>
      </c>
      <c r="U132" s="43">
        <v>0</v>
      </c>
      <c r="V132" s="43">
        <f t="shared" ref="V132" si="100">SUM(T132:U132)</f>
        <v>58703.917999999998</v>
      </c>
      <c r="W132" s="43"/>
    </row>
    <row r="133" spans="1:23">
      <c r="A133" s="91"/>
      <c r="B133" s="91"/>
      <c r="C133" s="91"/>
      <c r="D133" s="91" t="s">
        <v>206</v>
      </c>
      <c r="E133" s="91"/>
      <c r="F133" s="91"/>
      <c r="G133" s="91"/>
      <c r="H133" s="134"/>
      <c r="I133" s="91"/>
      <c r="J133" s="91"/>
      <c r="K133" s="134"/>
      <c r="L133" s="91"/>
      <c r="M133" s="91"/>
      <c r="N133" s="134"/>
      <c r="O133" s="91"/>
      <c r="P133" s="91"/>
      <c r="Q133" s="134"/>
      <c r="R133" s="91"/>
      <c r="S133" s="91"/>
      <c r="T133" s="91"/>
      <c r="U133" s="91"/>
      <c r="V133" s="91"/>
    </row>
    <row r="134" spans="1:23">
      <c r="A134" s="7" t="s">
        <v>745</v>
      </c>
      <c r="B134" s="8">
        <v>85105</v>
      </c>
      <c r="C134" s="7" t="s">
        <v>710</v>
      </c>
      <c r="D134" s="7" t="s">
        <v>207</v>
      </c>
      <c r="E134" s="43">
        <v>388.89</v>
      </c>
      <c r="F134" s="48" t="s">
        <v>139</v>
      </c>
      <c r="G134" s="43">
        <v>500</v>
      </c>
      <c r="H134" s="125"/>
      <c r="I134" s="43">
        <v>1</v>
      </c>
      <c r="J134" s="43">
        <f>I134*G134</f>
        <v>500</v>
      </c>
      <c r="K134" s="125"/>
      <c r="L134" s="43">
        <v>1</v>
      </c>
      <c r="M134" s="43">
        <f>L134*G134*$E$7</f>
        <v>520</v>
      </c>
      <c r="N134" s="125"/>
      <c r="O134" s="43">
        <v>1</v>
      </c>
      <c r="P134" s="43">
        <f>O134*G134*$E$7*$E$7</f>
        <v>540.80000000000007</v>
      </c>
      <c r="Q134" s="125"/>
      <c r="R134" s="43">
        <v>1</v>
      </c>
      <c r="S134" s="43">
        <f>R134*G134*$E$7*$E$7*$E$7</f>
        <v>562.43200000000013</v>
      </c>
      <c r="T134" s="43">
        <f>SUM(P134,M134,J134,E134,S134)</f>
        <v>2512.1220000000003</v>
      </c>
      <c r="U134" s="43">
        <v>0</v>
      </c>
      <c r="V134" s="43">
        <f t="shared" ref="V134:V136" si="101">SUM(T134:U134)</f>
        <v>2512.1220000000003</v>
      </c>
    </row>
    <row r="135" spans="1:23">
      <c r="A135" s="7" t="s">
        <v>745</v>
      </c>
      <c r="B135" s="8">
        <v>85105</v>
      </c>
      <c r="C135" s="7" t="s">
        <v>710</v>
      </c>
      <c r="D135" s="7" t="s">
        <v>208</v>
      </c>
      <c r="E135" s="43">
        <v>0</v>
      </c>
      <c r="F135" s="48" t="s">
        <v>95</v>
      </c>
      <c r="G135" s="43">
        <f>25*15</f>
        <v>375</v>
      </c>
      <c r="H135" s="125"/>
      <c r="I135" s="43">
        <v>0</v>
      </c>
      <c r="J135" s="43">
        <f>I135*G135</f>
        <v>0</v>
      </c>
      <c r="K135" s="125"/>
      <c r="L135" s="43">
        <v>0</v>
      </c>
      <c r="M135" s="43">
        <f>L135*G135*$E$7</f>
        <v>0</v>
      </c>
      <c r="N135" s="125"/>
      <c r="O135" s="43">
        <v>0</v>
      </c>
      <c r="P135" s="43">
        <f t="shared" ref="P135:P140" si="102">O135*G135*$E$7*$E$7</f>
        <v>0</v>
      </c>
      <c r="Q135" s="125"/>
      <c r="R135" s="43">
        <v>0</v>
      </c>
      <c r="S135" s="43">
        <f t="shared" ref="S135:S140" si="103">R135*G135*$E$7*$E$7*$E$7</f>
        <v>0</v>
      </c>
      <c r="T135" s="43">
        <f t="shared" ref="T135:T136" si="104">SUM(P135,M135,J135,E135,S135)</f>
        <v>0</v>
      </c>
      <c r="U135" s="43">
        <v>0</v>
      </c>
      <c r="V135" s="43">
        <f t="shared" si="101"/>
        <v>0</v>
      </c>
    </row>
    <row r="136" spans="1:23">
      <c r="A136" s="7" t="s">
        <v>745</v>
      </c>
      <c r="B136" s="8">
        <v>85105</v>
      </c>
      <c r="C136" s="7" t="s">
        <v>710</v>
      </c>
      <c r="D136" s="7" t="s">
        <v>209</v>
      </c>
      <c r="E136" s="43">
        <v>2381.52</v>
      </c>
      <c r="F136" s="48" t="s">
        <v>95</v>
      </c>
      <c r="G136" s="43">
        <v>100</v>
      </c>
      <c r="H136" s="125"/>
      <c r="I136" s="43">
        <v>12</v>
      </c>
      <c r="J136" s="43">
        <f>I136*G136</f>
        <v>1200</v>
      </c>
      <c r="K136" s="125"/>
      <c r="L136" s="43">
        <v>12</v>
      </c>
      <c r="M136" s="43">
        <f>L136*G136*$E$7</f>
        <v>1248</v>
      </c>
      <c r="N136" s="125"/>
      <c r="O136" s="43">
        <v>12</v>
      </c>
      <c r="P136" s="43">
        <f t="shared" si="102"/>
        <v>1297.92</v>
      </c>
      <c r="Q136" s="125"/>
      <c r="R136" s="43">
        <v>6</v>
      </c>
      <c r="S136" s="43">
        <f t="shared" si="103"/>
        <v>674.91840000000002</v>
      </c>
      <c r="T136" s="43">
        <f t="shared" si="104"/>
        <v>6802.358400000001</v>
      </c>
      <c r="U136" s="43">
        <v>0</v>
      </c>
      <c r="V136" s="43">
        <f t="shared" si="101"/>
        <v>6802.358400000001</v>
      </c>
    </row>
    <row r="137" spans="1:23">
      <c r="A137" s="91"/>
      <c r="B137" s="91"/>
      <c r="C137" s="91"/>
      <c r="D137" s="91" t="s">
        <v>210</v>
      </c>
      <c r="E137" s="91"/>
      <c r="F137" s="91"/>
      <c r="G137" s="91"/>
      <c r="H137" s="134"/>
      <c r="I137" s="91"/>
      <c r="J137" s="91"/>
      <c r="K137" s="134"/>
      <c r="L137" s="91"/>
      <c r="M137" s="91"/>
      <c r="N137" s="134"/>
      <c r="O137" s="91"/>
      <c r="P137" s="91"/>
      <c r="Q137" s="134"/>
      <c r="R137" s="91"/>
      <c r="S137" s="91"/>
      <c r="T137" s="91"/>
      <c r="U137" s="91"/>
      <c r="V137" s="91"/>
    </row>
    <row r="138" spans="1:23" hidden="1">
      <c r="D138" s="7" t="s">
        <v>211</v>
      </c>
      <c r="E138" s="43">
        <v>0</v>
      </c>
      <c r="F138" s="48" t="s">
        <v>139</v>
      </c>
      <c r="G138" s="43">
        <v>500</v>
      </c>
      <c r="H138" s="125"/>
      <c r="I138" s="43">
        <v>0</v>
      </c>
      <c r="J138" s="43">
        <f>I138*G138</f>
        <v>0</v>
      </c>
      <c r="K138" s="125"/>
      <c r="L138" s="43">
        <v>0</v>
      </c>
      <c r="M138" s="43">
        <f>L138*G138*$E$7</f>
        <v>0</v>
      </c>
      <c r="N138" s="125"/>
      <c r="O138" s="43">
        <v>0</v>
      </c>
      <c r="P138" s="43">
        <f t="shared" si="102"/>
        <v>0</v>
      </c>
      <c r="Q138" s="125"/>
      <c r="R138" s="43">
        <v>0</v>
      </c>
      <c r="S138" s="43">
        <f t="shared" si="103"/>
        <v>0</v>
      </c>
      <c r="T138" s="43">
        <f t="shared" ref="T138" si="105">SUM(P138,M138,J138,E138,S138)</f>
        <v>0</v>
      </c>
      <c r="U138" s="43">
        <v>0</v>
      </c>
      <c r="V138" s="43">
        <f t="shared" ref="V138:V140" si="106">SUM(T138:U138)</f>
        <v>0</v>
      </c>
    </row>
    <row r="139" spans="1:23" hidden="1">
      <c r="D139" s="7" t="s">
        <v>212</v>
      </c>
      <c r="E139" s="43">
        <v>0</v>
      </c>
      <c r="F139" s="48" t="s">
        <v>139</v>
      </c>
      <c r="G139" s="43">
        <v>100</v>
      </c>
      <c r="H139" s="128"/>
      <c r="I139" s="43">
        <v>0</v>
      </c>
      <c r="J139" s="43">
        <f t="shared" ref="J139:J140" si="107">I139*G139</f>
        <v>0</v>
      </c>
      <c r="K139" s="128"/>
      <c r="L139" s="43">
        <v>0</v>
      </c>
      <c r="M139" s="43">
        <f t="shared" ref="M139:M140" si="108">L139*G139*$E$7</f>
        <v>0</v>
      </c>
      <c r="N139" s="128"/>
      <c r="O139" s="43">
        <v>0</v>
      </c>
      <c r="P139" s="43">
        <f t="shared" si="102"/>
        <v>0</v>
      </c>
      <c r="Q139" s="128"/>
      <c r="R139" s="43">
        <v>0</v>
      </c>
      <c r="S139" s="43">
        <f t="shared" si="103"/>
        <v>0</v>
      </c>
      <c r="T139" s="43">
        <f>SUM(P139,M139,J139,E139,S139)</f>
        <v>0</v>
      </c>
      <c r="U139" s="43">
        <v>0</v>
      </c>
      <c r="V139" s="43">
        <f t="shared" si="106"/>
        <v>0</v>
      </c>
    </row>
    <row r="140" spans="1:23">
      <c r="A140" s="7" t="s">
        <v>746</v>
      </c>
      <c r="B140" s="44">
        <v>89500</v>
      </c>
      <c r="C140" s="7" t="s">
        <v>710</v>
      </c>
      <c r="D140" s="7" t="s">
        <v>213</v>
      </c>
      <c r="E140" s="43">
        <v>8101.24</v>
      </c>
      <c r="F140" s="48" t="s">
        <v>139</v>
      </c>
      <c r="G140" s="43">
        <v>2025</v>
      </c>
      <c r="H140" s="125"/>
      <c r="I140" s="43">
        <v>1</v>
      </c>
      <c r="J140" s="43">
        <f t="shared" si="107"/>
        <v>2025</v>
      </c>
      <c r="K140" s="125"/>
      <c r="L140" s="43">
        <v>1</v>
      </c>
      <c r="M140" s="43">
        <f t="shared" si="108"/>
        <v>2106</v>
      </c>
      <c r="N140" s="125"/>
      <c r="O140" s="43">
        <v>1</v>
      </c>
      <c r="P140" s="43">
        <f t="shared" si="102"/>
        <v>2190.2400000000002</v>
      </c>
      <c r="Q140" s="125"/>
      <c r="R140" s="43">
        <v>1</v>
      </c>
      <c r="S140" s="43">
        <f t="shared" si="103"/>
        <v>2277.8496000000005</v>
      </c>
      <c r="T140" s="43">
        <f>SUM(P140,M140,J140,E140,S140)</f>
        <v>16700.329600000001</v>
      </c>
      <c r="U140" s="43">
        <v>0</v>
      </c>
      <c r="V140" s="43">
        <f t="shared" si="106"/>
        <v>16700.329600000001</v>
      </c>
    </row>
    <row r="141" spans="1:23" ht="12.9" thickBot="1">
      <c r="A141" s="53"/>
      <c r="B141" s="66"/>
      <c r="C141" s="53"/>
      <c r="D141" s="53" t="s">
        <v>214</v>
      </c>
      <c r="E141" s="68">
        <f>SUM(E132:E140)</f>
        <v>50466.479999999996</v>
      </c>
      <c r="F141" s="53"/>
      <c r="G141" s="67"/>
      <c r="H141" s="126"/>
      <c r="I141" s="68"/>
      <c r="J141" s="68">
        <f>SUM(J132:J140)</f>
        <v>8225</v>
      </c>
      <c r="K141" s="126"/>
      <c r="L141" s="68"/>
      <c r="M141" s="68">
        <f>SUM(M132:M140)</f>
        <v>8554</v>
      </c>
      <c r="N141" s="126"/>
      <c r="O141" s="68"/>
      <c r="P141" s="68">
        <f>SUM(P132:P140)</f>
        <v>8896.16</v>
      </c>
      <c r="Q141" s="126"/>
      <c r="R141" s="68"/>
      <c r="S141" s="68">
        <f>SUM(S132:S140)</f>
        <v>8577.0879999999997</v>
      </c>
      <c r="T141" s="68">
        <f>SUM(T132:T140)</f>
        <v>84718.728000000003</v>
      </c>
      <c r="U141" s="68">
        <f>SUM(U132:U140)</f>
        <v>0</v>
      </c>
      <c r="V141" s="68">
        <f>SUM(V132:V140)</f>
        <v>84718.728000000003</v>
      </c>
    </row>
    <row r="142" spans="1:23">
      <c r="A142" s="81"/>
      <c r="B142" s="81"/>
      <c r="C142" s="81"/>
      <c r="D142" s="81"/>
      <c r="E142" s="62"/>
      <c r="F142" s="81"/>
      <c r="G142" s="62"/>
      <c r="H142" s="123"/>
      <c r="I142" s="62"/>
      <c r="J142" s="62"/>
      <c r="K142" s="123"/>
      <c r="L142" s="62"/>
      <c r="M142" s="62"/>
      <c r="N142" s="123"/>
      <c r="O142" s="62"/>
      <c r="P142" s="62"/>
      <c r="Q142" s="123"/>
      <c r="R142" s="62"/>
      <c r="S142" s="62"/>
      <c r="T142" s="62"/>
      <c r="U142" s="62"/>
      <c r="V142" s="62"/>
    </row>
    <row r="143" spans="1:23">
      <c r="A143" s="98"/>
      <c r="B143" s="617"/>
      <c r="C143" s="98"/>
      <c r="D143" s="98" t="str">
        <f>'USDA Budget Summary'!A29</f>
        <v>Activity 1: Value Chain Development (Value Chain Analysis, Carbon Assessment, and Living Incomes)</v>
      </c>
      <c r="E143" s="99"/>
      <c r="F143" s="37"/>
      <c r="G143" s="38"/>
      <c r="H143" s="130"/>
      <c r="I143" s="99"/>
      <c r="J143" s="99"/>
      <c r="K143" s="130"/>
      <c r="L143" s="99"/>
      <c r="M143" s="99"/>
      <c r="N143" s="130"/>
      <c r="O143" s="99"/>
      <c r="P143" s="99"/>
      <c r="Q143" s="130"/>
      <c r="R143" s="99"/>
      <c r="S143" s="99"/>
      <c r="T143" s="99"/>
      <c r="U143" s="100"/>
      <c r="V143" s="99"/>
    </row>
    <row r="144" spans="1:23">
      <c r="A144" s="101"/>
      <c r="B144" s="101"/>
      <c r="C144" s="101"/>
      <c r="D144" s="101" t="s">
        <v>215</v>
      </c>
      <c r="E144" s="103"/>
      <c r="F144" s="102"/>
      <c r="G144" s="103"/>
      <c r="H144" s="131"/>
      <c r="I144" s="103"/>
      <c r="J144" s="103"/>
      <c r="K144" s="131"/>
      <c r="L144" s="103"/>
      <c r="M144" s="103"/>
      <c r="N144" s="131"/>
      <c r="O144" s="103"/>
      <c r="P144" s="103"/>
      <c r="Q144" s="131"/>
      <c r="R144" s="103"/>
      <c r="S144" s="103"/>
      <c r="T144" s="103"/>
      <c r="U144" s="103"/>
      <c r="V144" s="103"/>
    </row>
    <row r="145" spans="1:22">
      <c r="A145" s="40"/>
      <c r="B145" s="40"/>
      <c r="C145" s="40"/>
      <c r="D145" s="40" t="s">
        <v>216</v>
      </c>
      <c r="E145" s="46"/>
      <c r="F145" s="45"/>
      <c r="G145" s="46"/>
      <c r="H145" s="132"/>
      <c r="I145" s="46"/>
      <c r="J145" s="46"/>
      <c r="K145" s="132"/>
      <c r="L145" s="46"/>
      <c r="M145" s="46"/>
      <c r="N145" s="132"/>
      <c r="O145" s="46"/>
      <c r="P145" s="46"/>
      <c r="Q145" s="132"/>
      <c r="R145" s="46"/>
      <c r="S145" s="46"/>
      <c r="T145" s="46"/>
      <c r="U145" s="46"/>
      <c r="V145" s="46"/>
    </row>
    <row r="146" spans="1:22">
      <c r="A146" s="7" t="s">
        <v>747</v>
      </c>
      <c r="B146" s="44">
        <v>50000</v>
      </c>
      <c r="C146" s="7" t="s">
        <v>709</v>
      </c>
      <c r="D146" s="7" t="str">
        <f t="shared" ref="D146:D175" si="109">D13</f>
        <v>Key Personnel: Chief of Party</v>
      </c>
      <c r="E146" s="43">
        <v>106264</v>
      </c>
      <c r="F146" s="49" t="s">
        <v>95</v>
      </c>
      <c r="G146" s="43">
        <f t="shared" ref="G146:G175" si="110">G13</f>
        <v>14250</v>
      </c>
      <c r="H146" s="119">
        <f>'LOE Breakdown by Year'!E11</f>
        <v>0</v>
      </c>
      <c r="I146" s="43">
        <f t="shared" ref="I146:I175" si="111">I13</f>
        <v>12</v>
      </c>
      <c r="J146" s="43">
        <f>I146*G146*$H146</f>
        <v>0</v>
      </c>
      <c r="K146" s="119">
        <f>'LOE Breakdown by Year'!E51</f>
        <v>0</v>
      </c>
      <c r="L146" s="43">
        <f t="shared" ref="L146:L175" si="112">L13</f>
        <v>12</v>
      </c>
      <c r="M146" s="43">
        <f>L146*G146*$K146*$E$8</f>
        <v>0</v>
      </c>
      <c r="N146" s="119">
        <f>'LOE Breakdown by Year'!E91</f>
        <v>0</v>
      </c>
      <c r="O146" s="43">
        <f t="shared" ref="O146:O175" si="113">O13</f>
        <v>12</v>
      </c>
      <c r="P146" s="43">
        <f>O146*G146*$N146*$E$8*$E$8</f>
        <v>0</v>
      </c>
      <c r="Q146" s="119">
        <f>'LOE Breakdown by Year'!E131</f>
        <v>0</v>
      </c>
      <c r="R146" s="43">
        <f t="shared" ref="R146:R175" si="114">R13</f>
        <v>0</v>
      </c>
      <c r="S146" s="43">
        <f>R146*G146*$Q146*$E$8*$E$8*$E$8</f>
        <v>0</v>
      </c>
      <c r="T146" s="43">
        <f t="shared" ref="T146" si="115">SUM(P146,M146,J146,E146,S146)</f>
        <v>106264</v>
      </c>
      <c r="U146" s="43">
        <v>0</v>
      </c>
      <c r="V146" s="43">
        <f t="shared" ref="V146" si="116">SUM(T146:U146)</f>
        <v>106264</v>
      </c>
    </row>
    <row r="147" spans="1:22" hidden="1">
      <c r="D147" s="7" t="str">
        <f t="shared" si="109"/>
        <v>Deputy Chief of Party / Value Chain Strengthening Director</v>
      </c>
      <c r="E147" s="43">
        <v>0</v>
      </c>
      <c r="F147" s="49" t="s">
        <v>95</v>
      </c>
      <c r="G147" s="43">
        <f t="shared" si="110"/>
        <v>5000</v>
      </c>
      <c r="H147" s="119">
        <f>'LOE Breakdown by Year'!E12</f>
        <v>0</v>
      </c>
      <c r="I147" s="43">
        <f t="shared" si="111"/>
        <v>12</v>
      </c>
      <c r="J147" s="43">
        <f>I147*G147*$H147</f>
        <v>0</v>
      </c>
      <c r="K147" s="119">
        <f>'LOE Breakdown by Year'!E52</f>
        <v>0</v>
      </c>
      <c r="L147" s="43">
        <f t="shared" si="112"/>
        <v>12</v>
      </c>
      <c r="M147" s="43">
        <f>L147*G147*$K147*$E$8</f>
        <v>0</v>
      </c>
      <c r="N147" s="119">
        <f>'LOE Breakdown by Year'!E92</f>
        <v>0</v>
      </c>
      <c r="O147" s="43">
        <f t="shared" si="113"/>
        <v>12</v>
      </c>
      <c r="P147" s="43">
        <f>O147*G147*$N147*$E$8*$E$8</f>
        <v>0</v>
      </c>
      <c r="Q147" s="119">
        <f>'LOE Breakdown by Year'!E132</f>
        <v>0</v>
      </c>
      <c r="R147" s="43">
        <f t="shared" si="114"/>
        <v>6</v>
      </c>
      <c r="S147" s="43">
        <f>R147*G147*$Q147*$E$8*$E$8*$E$8</f>
        <v>0</v>
      </c>
      <c r="T147" s="43">
        <f t="shared" ref="T147" si="117">SUM(P147,M147,J147,E147,S147)</f>
        <v>0</v>
      </c>
      <c r="U147" s="43">
        <v>0</v>
      </c>
      <c r="V147" s="43">
        <f t="shared" ref="V147" si="118">SUM(T147:U147)</f>
        <v>0</v>
      </c>
    </row>
    <row r="148" spans="1:22">
      <c r="A148" s="7" t="s">
        <v>747</v>
      </c>
      <c r="B148" s="44">
        <v>70000</v>
      </c>
      <c r="C148" s="7" t="s">
        <v>710</v>
      </c>
      <c r="D148" s="7" t="str">
        <f t="shared" si="109"/>
        <v>Key Personnel: Technical Director</v>
      </c>
      <c r="E148" s="43">
        <v>22300.32</v>
      </c>
      <c r="F148" s="49" t="s">
        <v>95</v>
      </c>
      <c r="G148" s="43">
        <f t="shared" si="110"/>
        <v>4583.333333333333</v>
      </c>
      <c r="H148" s="119">
        <f>'LOE Breakdown by Year'!E13</f>
        <v>0</v>
      </c>
      <c r="I148" s="43">
        <f t="shared" si="111"/>
        <v>12</v>
      </c>
      <c r="J148" s="43">
        <f t="shared" ref="J148:J172" si="119">I148*G148*$H148</f>
        <v>0</v>
      </c>
      <c r="K148" s="119">
        <f>'LOE Breakdown by Year'!E53</f>
        <v>0</v>
      </c>
      <c r="L148" s="43">
        <f t="shared" si="112"/>
        <v>12</v>
      </c>
      <c r="M148" s="43">
        <f t="shared" ref="M148:M172" si="120">L148*G148*$K148*$E$8</f>
        <v>0</v>
      </c>
      <c r="N148" s="119">
        <f>'LOE Breakdown by Year'!E93</f>
        <v>0</v>
      </c>
      <c r="O148" s="43">
        <f t="shared" si="113"/>
        <v>12</v>
      </c>
      <c r="P148" s="43">
        <f t="shared" ref="P148:P172" si="121">O148*G148*$N148*$E$8*$E$8</f>
        <v>0</v>
      </c>
      <c r="Q148" s="119">
        <f>'LOE Breakdown by Year'!E133</f>
        <v>0</v>
      </c>
      <c r="R148" s="43">
        <f t="shared" si="114"/>
        <v>5</v>
      </c>
      <c r="S148" s="43">
        <f t="shared" ref="S148:S172" si="122">R148*G148*$Q148*$E$8*$E$8*$E$8</f>
        <v>0</v>
      </c>
      <c r="T148" s="43">
        <f>SUM(P148,M148,J148,E148,S148)</f>
        <v>22300.32</v>
      </c>
      <c r="U148" s="43">
        <v>0</v>
      </c>
      <c r="V148" s="43">
        <f t="shared" ref="V148:V149" si="123">SUM(T148:U148)</f>
        <v>22300.32</v>
      </c>
    </row>
    <row r="149" spans="1:22">
      <c r="A149" s="7" t="s">
        <v>747</v>
      </c>
      <c r="B149" s="44">
        <v>70000</v>
      </c>
      <c r="C149" s="7" t="s">
        <v>710</v>
      </c>
      <c r="D149" s="7" t="str">
        <f t="shared" si="109"/>
        <v>Activity Lead Agribusiness Senior Specialist (Cacao)</v>
      </c>
      <c r="E149" s="43">
        <v>3487.19</v>
      </c>
      <c r="F149" s="49" t="s">
        <v>95</v>
      </c>
      <c r="G149" s="43">
        <f t="shared" si="110"/>
        <v>2833.3333333333335</v>
      </c>
      <c r="H149" s="119">
        <f>'LOE Breakdown by Year'!E14</f>
        <v>0</v>
      </c>
      <c r="I149" s="43">
        <f t="shared" si="111"/>
        <v>12</v>
      </c>
      <c r="J149" s="43">
        <f t="shared" si="119"/>
        <v>0</v>
      </c>
      <c r="K149" s="119">
        <f>'LOE Breakdown by Year'!E54</f>
        <v>0</v>
      </c>
      <c r="L149" s="43">
        <f t="shared" si="112"/>
        <v>12</v>
      </c>
      <c r="M149" s="43">
        <f t="shared" si="120"/>
        <v>0</v>
      </c>
      <c r="N149" s="119">
        <f>'LOE Breakdown by Year'!E94</f>
        <v>0</v>
      </c>
      <c r="O149" s="43">
        <f t="shared" si="113"/>
        <v>12</v>
      </c>
      <c r="P149" s="43">
        <f t="shared" si="121"/>
        <v>0</v>
      </c>
      <c r="Q149" s="119">
        <f>'LOE Breakdown by Year'!E134</f>
        <v>0</v>
      </c>
      <c r="R149" s="43">
        <f t="shared" si="114"/>
        <v>2</v>
      </c>
      <c r="S149" s="43">
        <f t="shared" si="122"/>
        <v>0</v>
      </c>
      <c r="T149" s="43">
        <f t="shared" ref="T149" si="124">SUM(P149,M149,J149,E149,S149)</f>
        <v>3487.19</v>
      </c>
      <c r="U149" s="43">
        <v>0</v>
      </c>
      <c r="V149" s="43">
        <f t="shared" si="123"/>
        <v>3487.19</v>
      </c>
    </row>
    <row r="150" spans="1:22" hidden="1">
      <c r="A150" s="7" t="s">
        <v>747</v>
      </c>
      <c r="B150" s="44">
        <v>70000</v>
      </c>
      <c r="C150" s="7" t="s">
        <v>710</v>
      </c>
      <c r="D150" s="7" t="str">
        <f t="shared" si="109"/>
        <v>Cacao Field Officer</v>
      </c>
      <c r="E150" s="43">
        <v>0</v>
      </c>
      <c r="F150" s="49" t="s">
        <v>95</v>
      </c>
      <c r="G150" s="43">
        <f t="shared" si="110"/>
        <v>1333.3333333333333</v>
      </c>
      <c r="H150" s="119">
        <f>'LOE Breakdown by Year'!E15</f>
        <v>0</v>
      </c>
      <c r="I150" s="43">
        <f t="shared" si="111"/>
        <v>12</v>
      </c>
      <c r="J150" s="43">
        <f t="shared" si="119"/>
        <v>0</v>
      </c>
      <c r="K150" s="119">
        <f>'LOE Breakdown by Year'!E55</f>
        <v>0</v>
      </c>
      <c r="L150" s="43">
        <f t="shared" si="112"/>
        <v>12</v>
      </c>
      <c r="M150" s="43">
        <f t="shared" si="120"/>
        <v>0</v>
      </c>
      <c r="N150" s="119">
        <f>'LOE Breakdown by Year'!E95</f>
        <v>0</v>
      </c>
      <c r="O150" s="43">
        <f t="shared" si="113"/>
        <v>12</v>
      </c>
      <c r="P150" s="43">
        <f t="shared" si="121"/>
        <v>0</v>
      </c>
      <c r="Q150" s="119">
        <f>'LOE Breakdown by Year'!E135</f>
        <v>0</v>
      </c>
      <c r="R150" s="43">
        <f t="shared" si="114"/>
        <v>0</v>
      </c>
      <c r="S150" s="43">
        <f t="shared" si="122"/>
        <v>0</v>
      </c>
      <c r="T150" s="43">
        <f t="shared" ref="T150:T172" si="125">SUM(P150,M150,J150,E150,S150)</f>
        <v>0</v>
      </c>
      <c r="U150" s="43">
        <v>0</v>
      </c>
      <c r="V150" s="43">
        <f t="shared" ref="V150:V172" si="126">SUM(T150:U150)</f>
        <v>0</v>
      </c>
    </row>
    <row r="151" spans="1:22" ht="25.2" hidden="1">
      <c r="A151" s="7" t="s">
        <v>747</v>
      </c>
      <c r="B151" s="44">
        <v>70000</v>
      </c>
      <c r="C151" s="7" t="s">
        <v>710</v>
      </c>
      <c r="D151" s="7" t="str">
        <f t="shared" si="109"/>
        <v>Cacao &amp; Complementary Crop Technical Field Leader (2)</v>
      </c>
      <c r="E151" s="43">
        <v>0</v>
      </c>
      <c r="F151" s="49" t="s">
        <v>95</v>
      </c>
      <c r="G151" s="43">
        <f t="shared" si="110"/>
        <v>3500</v>
      </c>
      <c r="H151" s="119">
        <f>'LOE Breakdown by Year'!E16</f>
        <v>0</v>
      </c>
      <c r="I151" s="43">
        <f t="shared" si="111"/>
        <v>6</v>
      </c>
      <c r="J151" s="43">
        <f t="shared" si="119"/>
        <v>0</v>
      </c>
      <c r="K151" s="119">
        <f>'LOE Breakdown by Year'!E56</f>
        <v>0</v>
      </c>
      <c r="L151" s="43">
        <f t="shared" si="112"/>
        <v>12</v>
      </c>
      <c r="M151" s="43">
        <f t="shared" si="120"/>
        <v>0</v>
      </c>
      <c r="N151" s="119">
        <f>'LOE Breakdown by Year'!E96</f>
        <v>0</v>
      </c>
      <c r="O151" s="43">
        <f t="shared" si="113"/>
        <v>12</v>
      </c>
      <c r="P151" s="43">
        <f t="shared" si="121"/>
        <v>0</v>
      </c>
      <c r="Q151" s="119">
        <f>'LOE Breakdown by Year'!E136</f>
        <v>0</v>
      </c>
      <c r="R151" s="43">
        <f t="shared" si="114"/>
        <v>0</v>
      </c>
      <c r="S151" s="43">
        <f t="shared" si="122"/>
        <v>0</v>
      </c>
      <c r="T151" s="43">
        <f t="shared" si="125"/>
        <v>0</v>
      </c>
      <c r="U151" s="43">
        <v>0</v>
      </c>
      <c r="V151" s="43">
        <f t="shared" si="126"/>
        <v>0</v>
      </c>
    </row>
    <row r="152" spans="1:22">
      <c r="A152" s="7" t="s">
        <v>747</v>
      </c>
      <c r="B152" s="44">
        <v>70000</v>
      </c>
      <c r="C152" s="7" t="s">
        <v>710</v>
      </c>
      <c r="D152" s="7" t="str">
        <f t="shared" si="109"/>
        <v>Extension Agents (45 in Y5 and 25 in Y6)</v>
      </c>
      <c r="E152" s="43">
        <v>3487.19</v>
      </c>
      <c r="F152" s="49" t="s">
        <v>95</v>
      </c>
      <c r="G152" s="43">
        <f t="shared" si="110"/>
        <v>1000</v>
      </c>
      <c r="H152" s="119">
        <f>'LOE Breakdown by Year'!E17</f>
        <v>0</v>
      </c>
      <c r="I152" s="43">
        <f t="shared" si="111"/>
        <v>12</v>
      </c>
      <c r="J152" s="43">
        <f t="shared" si="119"/>
        <v>0</v>
      </c>
      <c r="K152" s="119">
        <f>'LOE Breakdown by Year'!E57</f>
        <v>0</v>
      </c>
      <c r="L152" s="43">
        <f t="shared" si="112"/>
        <v>12</v>
      </c>
      <c r="M152" s="43">
        <f t="shared" si="120"/>
        <v>0</v>
      </c>
      <c r="N152" s="119">
        <f>'LOE Breakdown by Year'!E97</f>
        <v>0</v>
      </c>
      <c r="O152" s="43">
        <f t="shared" si="113"/>
        <v>0</v>
      </c>
      <c r="P152" s="43">
        <f t="shared" si="121"/>
        <v>0</v>
      </c>
      <c r="Q152" s="119">
        <f>'LOE Breakdown by Year'!E137</f>
        <v>0</v>
      </c>
      <c r="R152" s="43">
        <f t="shared" si="114"/>
        <v>0</v>
      </c>
      <c r="S152" s="43">
        <f t="shared" si="122"/>
        <v>0</v>
      </c>
      <c r="T152" s="43">
        <f t="shared" si="125"/>
        <v>3487.19</v>
      </c>
      <c r="U152" s="43">
        <v>0</v>
      </c>
      <c r="V152" s="43">
        <f t="shared" si="126"/>
        <v>3487.19</v>
      </c>
    </row>
    <row r="153" spans="1:22" ht="25.2" hidden="1">
      <c r="A153" s="7" t="s">
        <v>747</v>
      </c>
      <c r="B153" s="44">
        <v>70000</v>
      </c>
      <c r="C153" s="7" t="s">
        <v>710</v>
      </c>
      <c r="D153" s="7" t="str">
        <f t="shared" si="109"/>
        <v>Activity Lead Agribusiness Senior Specialist (Complementary Crop)</v>
      </c>
      <c r="E153" s="43">
        <v>0</v>
      </c>
      <c r="F153" s="49" t="s">
        <v>95</v>
      </c>
      <c r="G153" s="43">
        <f t="shared" si="110"/>
        <v>2833.3333333333335</v>
      </c>
      <c r="H153" s="119">
        <f>'LOE Breakdown by Year'!E18</f>
        <v>0</v>
      </c>
      <c r="I153" s="43">
        <f t="shared" si="111"/>
        <v>12</v>
      </c>
      <c r="J153" s="43">
        <f t="shared" si="119"/>
        <v>0</v>
      </c>
      <c r="K153" s="119">
        <f>'LOE Breakdown by Year'!E58</f>
        <v>0</v>
      </c>
      <c r="L153" s="43">
        <f t="shared" si="112"/>
        <v>12</v>
      </c>
      <c r="M153" s="43">
        <f t="shared" si="120"/>
        <v>0</v>
      </c>
      <c r="N153" s="119">
        <f>'LOE Breakdown by Year'!E98</f>
        <v>0</v>
      </c>
      <c r="O153" s="43">
        <f t="shared" si="113"/>
        <v>12</v>
      </c>
      <c r="P153" s="43">
        <f t="shared" si="121"/>
        <v>0</v>
      </c>
      <c r="Q153" s="119">
        <f>'LOE Breakdown by Year'!E138</f>
        <v>0</v>
      </c>
      <c r="R153" s="43">
        <f t="shared" si="114"/>
        <v>0</v>
      </c>
      <c r="S153" s="43">
        <f t="shared" si="122"/>
        <v>0</v>
      </c>
      <c r="T153" s="43">
        <f t="shared" si="125"/>
        <v>0</v>
      </c>
      <c r="U153" s="43">
        <v>0</v>
      </c>
      <c r="V153" s="43">
        <f t="shared" si="126"/>
        <v>0</v>
      </c>
    </row>
    <row r="154" spans="1:22" hidden="1">
      <c r="A154" s="7" t="s">
        <v>747</v>
      </c>
      <c r="B154" s="44">
        <v>70000</v>
      </c>
      <c r="C154" s="7" t="s">
        <v>710</v>
      </c>
      <c r="D154" s="7" t="str">
        <f t="shared" si="109"/>
        <v>Complementary Crops Field Officer</v>
      </c>
      <c r="E154" s="43">
        <v>0</v>
      </c>
      <c r="F154" s="49" t="s">
        <v>95</v>
      </c>
      <c r="G154" s="43">
        <f t="shared" si="110"/>
        <v>0</v>
      </c>
      <c r="H154" s="119">
        <f>'LOE Breakdown by Year'!E19</f>
        <v>0</v>
      </c>
      <c r="I154" s="43">
        <f t="shared" si="111"/>
        <v>0</v>
      </c>
      <c r="J154" s="43">
        <f t="shared" si="119"/>
        <v>0</v>
      </c>
      <c r="K154" s="119">
        <f>'LOE Breakdown by Year'!E59</f>
        <v>0</v>
      </c>
      <c r="L154" s="43">
        <f t="shared" si="112"/>
        <v>12</v>
      </c>
      <c r="M154" s="43">
        <f t="shared" si="120"/>
        <v>0</v>
      </c>
      <c r="N154" s="119">
        <f>'LOE Breakdown by Year'!E99</f>
        <v>0</v>
      </c>
      <c r="O154" s="43">
        <f t="shared" si="113"/>
        <v>12</v>
      </c>
      <c r="P154" s="43">
        <f t="shared" si="121"/>
        <v>0</v>
      </c>
      <c r="Q154" s="119">
        <f>'LOE Breakdown by Year'!E139</f>
        <v>0</v>
      </c>
      <c r="R154" s="43">
        <f t="shared" si="114"/>
        <v>0</v>
      </c>
      <c r="S154" s="43">
        <f t="shared" si="122"/>
        <v>0</v>
      </c>
      <c r="T154" s="43">
        <f t="shared" si="125"/>
        <v>0</v>
      </c>
      <c r="U154" s="43">
        <v>0</v>
      </c>
      <c r="V154" s="43">
        <f t="shared" si="126"/>
        <v>0</v>
      </c>
    </row>
    <row r="155" spans="1:22" hidden="1">
      <c r="A155" s="7" t="s">
        <v>747</v>
      </c>
      <c r="B155" s="44">
        <v>70000</v>
      </c>
      <c r="C155" s="7" t="s">
        <v>710</v>
      </c>
      <c r="D155" s="7" t="str">
        <f t="shared" si="109"/>
        <v>EPSEAS Specialist</v>
      </c>
      <c r="E155" s="43">
        <v>0</v>
      </c>
      <c r="F155" s="49" t="s">
        <v>95</v>
      </c>
      <c r="G155" s="43">
        <f t="shared" si="110"/>
        <v>0</v>
      </c>
      <c r="H155" s="119">
        <f>'LOE Breakdown by Year'!E20</f>
        <v>0</v>
      </c>
      <c r="I155" s="43">
        <f t="shared" si="111"/>
        <v>0</v>
      </c>
      <c r="J155" s="43">
        <f t="shared" si="119"/>
        <v>0</v>
      </c>
      <c r="K155" s="119">
        <f>'LOE Breakdown by Year'!E60</f>
        <v>0</v>
      </c>
      <c r="L155" s="43">
        <f t="shared" si="112"/>
        <v>12</v>
      </c>
      <c r="M155" s="43">
        <f t="shared" si="120"/>
        <v>0</v>
      </c>
      <c r="N155" s="119">
        <f>'LOE Breakdown by Year'!E100</f>
        <v>0</v>
      </c>
      <c r="O155" s="43">
        <f t="shared" si="113"/>
        <v>12</v>
      </c>
      <c r="P155" s="43">
        <f t="shared" si="121"/>
        <v>0</v>
      </c>
      <c r="Q155" s="119">
        <f>'LOE Breakdown by Year'!E140</f>
        <v>0</v>
      </c>
      <c r="R155" s="43">
        <f t="shared" si="114"/>
        <v>0</v>
      </c>
      <c r="S155" s="43">
        <f t="shared" si="122"/>
        <v>0</v>
      </c>
      <c r="T155" s="43">
        <f t="shared" si="125"/>
        <v>0</v>
      </c>
      <c r="U155" s="43">
        <v>0</v>
      </c>
      <c r="V155" s="43">
        <f t="shared" si="126"/>
        <v>0</v>
      </c>
    </row>
    <row r="156" spans="1:22" hidden="1">
      <c r="A156" s="7" t="s">
        <v>747</v>
      </c>
      <c r="B156" s="44">
        <v>70000</v>
      </c>
      <c r="C156" s="7" t="s">
        <v>710</v>
      </c>
      <c r="D156" s="7" t="str">
        <f t="shared" si="109"/>
        <v>Extension Agents for EPSEAS (20 in Y6 and 25 in Y7)</v>
      </c>
      <c r="E156" s="43">
        <v>0</v>
      </c>
      <c r="F156" s="49" t="s">
        <v>95</v>
      </c>
      <c r="G156" s="43">
        <f t="shared" si="110"/>
        <v>1000</v>
      </c>
      <c r="H156" s="119">
        <f>'LOE Breakdown by Year'!E21</f>
        <v>0</v>
      </c>
      <c r="I156" s="43">
        <f t="shared" si="111"/>
        <v>0</v>
      </c>
      <c r="J156" s="43">
        <f t="shared" si="119"/>
        <v>0</v>
      </c>
      <c r="K156" s="119">
        <f>'LOE Breakdown by Year'!E61</f>
        <v>0</v>
      </c>
      <c r="L156" s="43">
        <f t="shared" si="112"/>
        <v>12</v>
      </c>
      <c r="M156" s="43">
        <f t="shared" si="120"/>
        <v>0</v>
      </c>
      <c r="N156" s="119">
        <f>'LOE Breakdown by Year'!E101</f>
        <v>0</v>
      </c>
      <c r="O156" s="43">
        <f t="shared" si="113"/>
        <v>12</v>
      </c>
      <c r="P156" s="43">
        <f t="shared" si="121"/>
        <v>0</v>
      </c>
      <c r="Q156" s="119">
        <f>'LOE Breakdown by Year'!E141</f>
        <v>0</v>
      </c>
      <c r="R156" s="43">
        <f t="shared" si="114"/>
        <v>0</v>
      </c>
      <c r="S156" s="43">
        <f t="shared" si="122"/>
        <v>0</v>
      </c>
      <c r="T156" s="43">
        <f t="shared" si="125"/>
        <v>0</v>
      </c>
      <c r="U156" s="43">
        <v>0</v>
      </c>
      <c r="V156" s="43">
        <f t="shared" si="126"/>
        <v>0</v>
      </c>
    </row>
    <row r="157" spans="1:22" hidden="1">
      <c r="A157" s="7" t="s">
        <v>747</v>
      </c>
      <c r="B157" s="44">
        <v>70000</v>
      </c>
      <c r="C157" s="7" t="s">
        <v>710</v>
      </c>
      <c r="D157" s="7" t="str">
        <f t="shared" si="109"/>
        <v xml:space="preserve">Senior M&amp;E Director </v>
      </c>
      <c r="E157" s="43">
        <v>0</v>
      </c>
      <c r="F157" s="49" t="s">
        <v>95</v>
      </c>
      <c r="G157" s="43">
        <f t="shared" si="110"/>
        <v>6250</v>
      </c>
      <c r="H157" s="119">
        <f>'LOE Breakdown by Year'!E22</f>
        <v>0</v>
      </c>
      <c r="I157" s="43">
        <f t="shared" si="111"/>
        <v>12</v>
      </c>
      <c r="J157" s="43">
        <f t="shared" si="119"/>
        <v>0</v>
      </c>
      <c r="K157" s="119">
        <f>'LOE Breakdown by Year'!E62</f>
        <v>0</v>
      </c>
      <c r="L157" s="43">
        <f t="shared" si="112"/>
        <v>12</v>
      </c>
      <c r="M157" s="43">
        <f t="shared" si="120"/>
        <v>0</v>
      </c>
      <c r="N157" s="119">
        <f>'LOE Breakdown by Year'!E102</f>
        <v>0</v>
      </c>
      <c r="O157" s="43">
        <f t="shared" si="113"/>
        <v>12</v>
      </c>
      <c r="P157" s="43">
        <f t="shared" si="121"/>
        <v>0</v>
      </c>
      <c r="Q157" s="119">
        <f>'LOE Breakdown by Year'!E142</f>
        <v>0</v>
      </c>
      <c r="R157" s="43">
        <f t="shared" si="114"/>
        <v>6</v>
      </c>
      <c r="S157" s="43">
        <f t="shared" si="122"/>
        <v>0</v>
      </c>
      <c r="T157" s="43">
        <f t="shared" si="125"/>
        <v>0</v>
      </c>
      <c r="U157" s="43">
        <v>0</v>
      </c>
      <c r="V157" s="43">
        <f t="shared" si="126"/>
        <v>0</v>
      </c>
    </row>
    <row r="158" spans="1:22" hidden="1">
      <c r="A158" s="7" t="s">
        <v>747</v>
      </c>
      <c r="B158" s="44">
        <v>70000</v>
      </c>
      <c r="C158" s="7" t="s">
        <v>710</v>
      </c>
      <c r="D158" s="7" t="str">
        <f t="shared" si="109"/>
        <v>Senior M&amp;E Specialist</v>
      </c>
      <c r="E158" s="43">
        <v>0</v>
      </c>
      <c r="F158" s="49" t="s">
        <v>95</v>
      </c>
      <c r="G158" s="43">
        <f t="shared" si="110"/>
        <v>2833.3333333333335</v>
      </c>
      <c r="H158" s="119">
        <f>'LOE Breakdown by Year'!E23</f>
        <v>0</v>
      </c>
      <c r="I158" s="43">
        <f t="shared" si="111"/>
        <v>12</v>
      </c>
      <c r="J158" s="43">
        <f t="shared" si="119"/>
        <v>0</v>
      </c>
      <c r="K158" s="119">
        <f>'LOE Breakdown by Year'!E63</f>
        <v>0</v>
      </c>
      <c r="L158" s="43">
        <f t="shared" si="112"/>
        <v>12</v>
      </c>
      <c r="M158" s="43">
        <f t="shared" si="120"/>
        <v>0</v>
      </c>
      <c r="N158" s="119">
        <f>'LOE Breakdown by Year'!E103</f>
        <v>0</v>
      </c>
      <c r="O158" s="43">
        <f t="shared" si="113"/>
        <v>12</v>
      </c>
      <c r="P158" s="43">
        <f t="shared" si="121"/>
        <v>0</v>
      </c>
      <c r="Q158" s="119">
        <f>'LOE Breakdown by Year'!E143</f>
        <v>0</v>
      </c>
      <c r="R158" s="43">
        <f t="shared" si="114"/>
        <v>6</v>
      </c>
      <c r="S158" s="43">
        <f t="shared" si="122"/>
        <v>0</v>
      </c>
      <c r="T158" s="43">
        <f t="shared" si="125"/>
        <v>0</v>
      </c>
      <c r="U158" s="43">
        <v>0</v>
      </c>
      <c r="V158" s="43">
        <f t="shared" si="126"/>
        <v>0</v>
      </c>
    </row>
    <row r="159" spans="1:22">
      <c r="A159" s="7" t="s">
        <v>747</v>
      </c>
      <c r="B159" s="44">
        <v>70000</v>
      </c>
      <c r="C159" s="7" t="s">
        <v>710</v>
      </c>
      <c r="D159" s="7" t="str">
        <f t="shared" si="109"/>
        <v>M&amp;E Specialist</v>
      </c>
      <c r="E159" s="43">
        <v>6230.78</v>
      </c>
      <c r="F159" s="49" t="s">
        <v>95</v>
      </c>
      <c r="G159" s="43">
        <f t="shared" si="110"/>
        <v>2500</v>
      </c>
      <c r="H159" s="119">
        <f>'LOE Breakdown by Year'!E24</f>
        <v>0</v>
      </c>
      <c r="I159" s="43">
        <f t="shared" si="111"/>
        <v>12</v>
      </c>
      <c r="J159" s="43">
        <f t="shared" si="119"/>
        <v>0</v>
      </c>
      <c r="K159" s="119">
        <f>'LOE Breakdown by Year'!E64</f>
        <v>0</v>
      </c>
      <c r="L159" s="43">
        <f t="shared" si="112"/>
        <v>12</v>
      </c>
      <c r="M159" s="43">
        <f t="shared" si="120"/>
        <v>0</v>
      </c>
      <c r="N159" s="119">
        <f>'LOE Breakdown by Year'!E104</f>
        <v>0</v>
      </c>
      <c r="O159" s="43">
        <f t="shared" si="113"/>
        <v>12</v>
      </c>
      <c r="P159" s="43">
        <f t="shared" si="121"/>
        <v>0</v>
      </c>
      <c r="Q159" s="119">
        <f>'LOE Breakdown by Year'!E144</f>
        <v>0</v>
      </c>
      <c r="R159" s="43">
        <f t="shared" si="114"/>
        <v>3</v>
      </c>
      <c r="S159" s="43">
        <f t="shared" si="122"/>
        <v>0</v>
      </c>
      <c r="T159" s="43">
        <f t="shared" si="125"/>
        <v>6230.78</v>
      </c>
      <c r="U159" s="43">
        <v>0</v>
      </c>
      <c r="V159" s="43">
        <f t="shared" si="126"/>
        <v>6230.78</v>
      </c>
    </row>
    <row r="160" spans="1:22">
      <c r="A160" s="7" t="s">
        <v>747</v>
      </c>
      <c r="B160" s="44">
        <v>70000</v>
      </c>
      <c r="C160" s="7" t="s">
        <v>710</v>
      </c>
      <c r="D160" s="7" t="str">
        <f t="shared" si="109"/>
        <v>M&amp;E Officer</v>
      </c>
      <c r="E160" s="43">
        <v>4230.7700000000004</v>
      </c>
      <c r="F160" s="49" t="s">
        <v>95</v>
      </c>
      <c r="G160" s="43">
        <f t="shared" si="110"/>
        <v>1000</v>
      </c>
      <c r="H160" s="119">
        <f>'LOE Breakdown by Year'!E25</f>
        <v>0</v>
      </c>
      <c r="I160" s="43">
        <f t="shared" si="111"/>
        <v>12</v>
      </c>
      <c r="J160" s="43">
        <f t="shared" si="119"/>
        <v>0</v>
      </c>
      <c r="K160" s="119">
        <f>'LOE Breakdown by Year'!E65</f>
        <v>0</v>
      </c>
      <c r="L160" s="43">
        <f t="shared" si="112"/>
        <v>12</v>
      </c>
      <c r="M160" s="43">
        <f t="shared" si="120"/>
        <v>0</v>
      </c>
      <c r="N160" s="119">
        <f>'LOE Breakdown by Year'!E105</f>
        <v>0</v>
      </c>
      <c r="O160" s="43">
        <f t="shared" si="113"/>
        <v>12</v>
      </c>
      <c r="P160" s="43">
        <f t="shared" si="121"/>
        <v>0</v>
      </c>
      <c r="Q160" s="119">
        <f>'LOE Breakdown by Year'!E145</f>
        <v>0</v>
      </c>
      <c r="R160" s="43">
        <f t="shared" si="114"/>
        <v>3</v>
      </c>
      <c r="S160" s="43">
        <f t="shared" si="122"/>
        <v>0</v>
      </c>
      <c r="T160" s="43">
        <f t="shared" si="125"/>
        <v>4230.7700000000004</v>
      </c>
      <c r="U160" s="43">
        <v>0</v>
      </c>
      <c r="V160" s="43">
        <f t="shared" si="126"/>
        <v>4230.7700000000004</v>
      </c>
    </row>
    <row r="161" spans="1:22">
      <c r="A161" s="7" t="s">
        <v>747</v>
      </c>
      <c r="B161" s="44">
        <v>70000</v>
      </c>
      <c r="C161" s="7" t="s">
        <v>710</v>
      </c>
      <c r="D161" s="7" t="str">
        <f t="shared" si="109"/>
        <v>Partnerships and Investment Director</v>
      </c>
      <c r="E161" s="43">
        <v>17435.93</v>
      </c>
      <c r="F161" s="49" t="s">
        <v>95</v>
      </c>
      <c r="G161" s="43">
        <f t="shared" si="110"/>
        <v>4583.333333333333</v>
      </c>
      <c r="H161" s="119">
        <f>'LOE Breakdown by Year'!E26</f>
        <v>0</v>
      </c>
      <c r="I161" s="43">
        <f t="shared" si="111"/>
        <v>12</v>
      </c>
      <c r="J161" s="43">
        <f t="shared" si="119"/>
        <v>0</v>
      </c>
      <c r="K161" s="119">
        <f>'LOE Breakdown by Year'!E66</f>
        <v>0</v>
      </c>
      <c r="L161" s="43">
        <f t="shared" si="112"/>
        <v>12</v>
      </c>
      <c r="M161" s="43">
        <f t="shared" si="120"/>
        <v>0</v>
      </c>
      <c r="N161" s="119">
        <f>'LOE Breakdown by Year'!E106</f>
        <v>0</v>
      </c>
      <c r="O161" s="43">
        <f t="shared" si="113"/>
        <v>12</v>
      </c>
      <c r="P161" s="43">
        <f t="shared" si="121"/>
        <v>0</v>
      </c>
      <c r="Q161" s="119">
        <f>'LOE Breakdown by Year'!E146</f>
        <v>0</v>
      </c>
      <c r="R161" s="43">
        <f t="shared" si="114"/>
        <v>0</v>
      </c>
      <c r="S161" s="43">
        <f t="shared" si="122"/>
        <v>0</v>
      </c>
      <c r="T161" s="43">
        <f t="shared" si="125"/>
        <v>17435.93</v>
      </c>
      <c r="U161" s="43">
        <v>0</v>
      </c>
      <c r="V161" s="43">
        <f t="shared" si="126"/>
        <v>17435.93</v>
      </c>
    </row>
    <row r="162" spans="1:22" hidden="1">
      <c r="A162" s="7" t="s">
        <v>747</v>
      </c>
      <c r="B162" s="44">
        <v>70000</v>
      </c>
      <c r="C162" s="7" t="s">
        <v>710</v>
      </c>
      <c r="D162" s="7" t="str">
        <f t="shared" si="109"/>
        <v>Partnerships and Investment Specialist</v>
      </c>
      <c r="E162" s="43">
        <v>0</v>
      </c>
      <c r="F162" s="49" t="s">
        <v>95</v>
      </c>
      <c r="G162" s="43">
        <f t="shared" si="110"/>
        <v>1750</v>
      </c>
      <c r="H162" s="119">
        <f>'LOE Breakdown by Year'!E27</f>
        <v>0</v>
      </c>
      <c r="I162" s="43">
        <f t="shared" si="111"/>
        <v>12</v>
      </c>
      <c r="J162" s="43">
        <f t="shared" si="119"/>
        <v>0</v>
      </c>
      <c r="K162" s="119">
        <f>'LOE Breakdown by Year'!E67</f>
        <v>0</v>
      </c>
      <c r="L162" s="43">
        <f t="shared" si="112"/>
        <v>12</v>
      </c>
      <c r="M162" s="43">
        <f t="shared" si="120"/>
        <v>0</v>
      </c>
      <c r="N162" s="119">
        <f>'LOE Breakdown by Year'!E107</f>
        <v>0</v>
      </c>
      <c r="O162" s="43">
        <f t="shared" si="113"/>
        <v>12</v>
      </c>
      <c r="P162" s="43">
        <f t="shared" si="121"/>
        <v>0</v>
      </c>
      <c r="Q162" s="119">
        <f>'LOE Breakdown by Year'!E147</f>
        <v>0</v>
      </c>
      <c r="R162" s="43">
        <f t="shared" si="114"/>
        <v>0</v>
      </c>
      <c r="S162" s="43">
        <f t="shared" si="122"/>
        <v>0</v>
      </c>
      <c r="T162" s="43">
        <f t="shared" si="125"/>
        <v>0</v>
      </c>
      <c r="U162" s="43">
        <v>0</v>
      </c>
      <c r="V162" s="43">
        <f t="shared" si="126"/>
        <v>0</v>
      </c>
    </row>
    <row r="163" spans="1:22" hidden="1">
      <c r="A163" s="7" t="s">
        <v>747</v>
      </c>
      <c r="B163" s="44">
        <v>70000</v>
      </c>
      <c r="C163" s="7" t="s">
        <v>710</v>
      </c>
      <c r="D163" s="7" t="str">
        <f t="shared" si="109"/>
        <v>Organizational Strengthening Specialist</v>
      </c>
      <c r="E163" s="43">
        <v>0</v>
      </c>
      <c r="F163" s="49" t="s">
        <v>95</v>
      </c>
      <c r="G163" s="43">
        <f t="shared" si="110"/>
        <v>1750</v>
      </c>
      <c r="H163" s="119">
        <f>'LOE Breakdown by Year'!E28</f>
        <v>0</v>
      </c>
      <c r="I163" s="43">
        <f t="shared" si="111"/>
        <v>12</v>
      </c>
      <c r="J163" s="43">
        <f t="shared" si="119"/>
        <v>0</v>
      </c>
      <c r="K163" s="119">
        <f>'LOE Breakdown by Year'!E68</f>
        <v>0</v>
      </c>
      <c r="L163" s="43">
        <f t="shared" si="112"/>
        <v>12</v>
      </c>
      <c r="M163" s="43">
        <f t="shared" si="120"/>
        <v>0</v>
      </c>
      <c r="N163" s="119">
        <f>'LOE Breakdown by Year'!E108</f>
        <v>0</v>
      </c>
      <c r="O163" s="43">
        <f t="shared" si="113"/>
        <v>12</v>
      </c>
      <c r="P163" s="43">
        <f t="shared" si="121"/>
        <v>0</v>
      </c>
      <c r="Q163" s="119">
        <f>'LOE Breakdown by Year'!E148</f>
        <v>0</v>
      </c>
      <c r="R163" s="43">
        <f t="shared" si="114"/>
        <v>0</v>
      </c>
      <c r="S163" s="43">
        <f t="shared" si="122"/>
        <v>0</v>
      </c>
      <c r="T163" s="43">
        <f t="shared" si="125"/>
        <v>0</v>
      </c>
      <c r="U163" s="43">
        <v>0</v>
      </c>
      <c r="V163" s="43">
        <f t="shared" si="126"/>
        <v>0</v>
      </c>
    </row>
    <row r="164" spans="1:22" hidden="1">
      <c r="A164" s="7" t="s">
        <v>747</v>
      </c>
      <c r="B164" s="44">
        <v>70000</v>
      </c>
      <c r="C164" s="7" t="s">
        <v>710</v>
      </c>
      <c r="D164" s="7" t="str">
        <f t="shared" si="109"/>
        <v>Value Chain Strengthening Director</v>
      </c>
      <c r="E164" s="43">
        <v>0</v>
      </c>
      <c r="F164" s="49" t="s">
        <v>95</v>
      </c>
      <c r="G164" s="43">
        <f t="shared" si="110"/>
        <v>0</v>
      </c>
      <c r="H164" s="119">
        <f>'LOE Breakdown by Year'!E29</f>
        <v>0</v>
      </c>
      <c r="I164" s="43">
        <f t="shared" si="111"/>
        <v>12</v>
      </c>
      <c r="J164" s="43">
        <f t="shared" si="119"/>
        <v>0</v>
      </c>
      <c r="K164" s="119">
        <f>'LOE Breakdown by Year'!E69</f>
        <v>0</v>
      </c>
      <c r="L164" s="43">
        <f t="shared" si="112"/>
        <v>12</v>
      </c>
      <c r="M164" s="43">
        <f t="shared" si="120"/>
        <v>0</v>
      </c>
      <c r="N164" s="119">
        <f>'LOE Breakdown by Year'!E109</f>
        <v>0</v>
      </c>
      <c r="O164" s="43">
        <f t="shared" si="113"/>
        <v>12</v>
      </c>
      <c r="P164" s="43">
        <f t="shared" si="121"/>
        <v>0</v>
      </c>
      <c r="Q164" s="119">
        <f>'LOE Breakdown by Year'!E149</f>
        <v>0</v>
      </c>
      <c r="R164" s="43">
        <f t="shared" si="114"/>
        <v>4</v>
      </c>
      <c r="S164" s="43">
        <f t="shared" si="122"/>
        <v>0</v>
      </c>
      <c r="T164" s="43">
        <f t="shared" si="125"/>
        <v>0</v>
      </c>
      <c r="U164" s="43">
        <v>0</v>
      </c>
      <c r="V164" s="43">
        <f t="shared" si="126"/>
        <v>0</v>
      </c>
    </row>
    <row r="165" spans="1:22" hidden="1">
      <c r="A165" s="7" t="s">
        <v>747</v>
      </c>
      <c r="B165" s="44">
        <v>70000</v>
      </c>
      <c r="C165" s="7" t="s">
        <v>710</v>
      </c>
      <c r="D165" s="7" t="str">
        <f t="shared" si="109"/>
        <v>Communications Specialist</v>
      </c>
      <c r="E165" s="43">
        <v>0</v>
      </c>
      <c r="F165" s="49" t="s">
        <v>95</v>
      </c>
      <c r="G165" s="43">
        <f t="shared" si="110"/>
        <v>1750</v>
      </c>
      <c r="H165" s="119">
        <f>'LOE Breakdown by Year'!E30</f>
        <v>0</v>
      </c>
      <c r="I165" s="43">
        <f t="shared" si="111"/>
        <v>12</v>
      </c>
      <c r="J165" s="43">
        <f t="shared" si="119"/>
        <v>0</v>
      </c>
      <c r="K165" s="119">
        <f>'LOE Breakdown by Year'!E70</f>
        <v>0</v>
      </c>
      <c r="L165" s="43">
        <f t="shared" si="112"/>
        <v>12</v>
      </c>
      <c r="M165" s="43">
        <f t="shared" si="120"/>
        <v>0</v>
      </c>
      <c r="N165" s="119">
        <f>'LOE Breakdown by Year'!E110</f>
        <v>0</v>
      </c>
      <c r="O165" s="43">
        <f t="shared" si="113"/>
        <v>12</v>
      </c>
      <c r="P165" s="43">
        <f t="shared" si="121"/>
        <v>0</v>
      </c>
      <c r="Q165" s="119">
        <f>'LOE Breakdown by Year'!E150</f>
        <v>0</v>
      </c>
      <c r="R165" s="43">
        <f t="shared" si="114"/>
        <v>0</v>
      </c>
      <c r="S165" s="43">
        <f t="shared" si="122"/>
        <v>0</v>
      </c>
      <c r="T165" s="43">
        <f t="shared" si="125"/>
        <v>0</v>
      </c>
      <c r="U165" s="43">
        <v>0</v>
      </c>
      <c r="V165" s="43">
        <f t="shared" si="126"/>
        <v>0</v>
      </c>
    </row>
    <row r="166" spans="1:22" hidden="1">
      <c r="A166" s="7" t="s">
        <v>747</v>
      </c>
      <c r="B166" s="44">
        <v>70000</v>
      </c>
      <c r="C166" s="7" t="s">
        <v>710</v>
      </c>
      <c r="D166" s="7" t="str">
        <f t="shared" si="109"/>
        <v>Value Chain Specialist</v>
      </c>
      <c r="E166" s="43">
        <v>0</v>
      </c>
      <c r="F166" s="49" t="s">
        <v>95</v>
      </c>
      <c r="G166" s="43">
        <f t="shared" si="110"/>
        <v>2500</v>
      </c>
      <c r="H166" s="119">
        <f>'LOE Breakdown by Year'!E31</f>
        <v>0</v>
      </c>
      <c r="I166" s="43">
        <f t="shared" si="111"/>
        <v>12</v>
      </c>
      <c r="J166" s="43">
        <f t="shared" si="119"/>
        <v>0</v>
      </c>
      <c r="K166" s="119">
        <f>'LOE Breakdown by Year'!E71</f>
        <v>0</v>
      </c>
      <c r="L166" s="43">
        <f t="shared" si="112"/>
        <v>12</v>
      </c>
      <c r="M166" s="43">
        <f t="shared" si="120"/>
        <v>0</v>
      </c>
      <c r="N166" s="119">
        <f>'LOE Breakdown by Year'!E111</f>
        <v>0</v>
      </c>
      <c r="O166" s="43">
        <f t="shared" si="113"/>
        <v>12</v>
      </c>
      <c r="P166" s="43">
        <f t="shared" si="121"/>
        <v>0</v>
      </c>
      <c r="Q166" s="119">
        <f>'LOE Breakdown by Year'!E151</f>
        <v>0</v>
      </c>
      <c r="R166" s="43">
        <f t="shared" si="114"/>
        <v>0</v>
      </c>
      <c r="S166" s="43">
        <f t="shared" si="122"/>
        <v>0</v>
      </c>
      <c r="T166" s="43">
        <f t="shared" si="125"/>
        <v>0</v>
      </c>
      <c r="U166" s="43">
        <v>0</v>
      </c>
      <c r="V166" s="43">
        <f t="shared" si="126"/>
        <v>0</v>
      </c>
    </row>
    <row r="167" spans="1:22">
      <c r="A167" s="7" t="s">
        <v>747</v>
      </c>
      <c r="B167" s="44">
        <v>70000</v>
      </c>
      <c r="C167" s="7" t="s">
        <v>710</v>
      </c>
      <c r="D167" s="7" t="str">
        <f t="shared" si="109"/>
        <v>Contracts &amp; Compliance Director</v>
      </c>
      <c r="E167" s="43">
        <v>5692.33</v>
      </c>
      <c r="F167" s="49" t="s">
        <v>95</v>
      </c>
      <c r="G167" s="43">
        <f t="shared" si="110"/>
        <v>4583.333333333333</v>
      </c>
      <c r="H167" s="119">
        <f>'LOE Breakdown by Year'!E32</f>
        <v>0</v>
      </c>
      <c r="I167" s="43">
        <f t="shared" si="111"/>
        <v>12</v>
      </c>
      <c r="J167" s="43">
        <f t="shared" si="119"/>
        <v>0</v>
      </c>
      <c r="K167" s="119">
        <f>'LOE Breakdown by Year'!E72</f>
        <v>0</v>
      </c>
      <c r="L167" s="43">
        <f t="shared" si="112"/>
        <v>12</v>
      </c>
      <c r="M167" s="43">
        <f t="shared" si="120"/>
        <v>0</v>
      </c>
      <c r="N167" s="119">
        <f>'LOE Breakdown by Year'!E112</f>
        <v>0</v>
      </c>
      <c r="O167" s="43">
        <f t="shared" si="113"/>
        <v>12</v>
      </c>
      <c r="P167" s="43">
        <f t="shared" si="121"/>
        <v>0</v>
      </c>
      <c r="Q167" s="119">
        <f>'LOE Breakdown by Year'!E152</f>
        <v>0</v>
      </c>
      <c r="R167" s="43">
        <f t="shared" si="114"/>
        <v>3</v>
      </c>
      <c r="S167" s="43">
        <f t="shared" si="122"/>
        <v>0</v>
      </c>
      <c r="T167" s="43">
        <f t="shared" si="125"/>
        <v>5692.33</v>
      </c>
      <c r="U167" s="43">
        <v>0</v>
      </c>
      <c r="V167" s="43">
        <f t="shared" si="126"/>
        <v>5692.33</v>
      </c>
    </row>
    <row r="168" spans="1:22" hidden="1">
      <c r="A168" s="7" t="s">
        <v>747</v>
      </c>
      <c r="B168" s="44">
        <v>70000</v>
      </c>
      <c r="C168" s="7" t="s">
        <v>710</v>
      </c>
      <c r="D168" s="7" t="str">
        <f t="shared" si="109"/>
        <v>Grants &amp; Procurement Specialist (2)</v>
      </c>
      <c r="E168" s="43">
        <v>0</v>
      </c>
      <c r="F168" s="49" t="s">
        <v>95</v>
      </c>
      <c r="G168" s="43">
        <f t="shared" si="110"/>
        <v>3500</v>
      </c>
      <c r="H168" s="119">
        <f>'LOE Breakdown by Year'!E33</f>
        <v>0</v>
      </c>
      <c r="I168" s="43">
        <f t="shared" si="111"/>
        <v>12</v>
      </c>
      <c r="J168" s="43">
        <f t="shared" si="119"/>
        <v>0</v>
      </c>
      <c r="K168" s="119">
        <f>'LOE Breakdown by Year'!E73</f>
        <v>0</v>
      </c>
      <c r="L168" s="43">
        <f t="shared" si="112"/>
        <v>12</v>
      </c>
      <c r="M168" s="43">
        <f t="shared" si="120"/>
        <v>0</v>
      </c>
      <c r="N168" s="119">
        <f>'LOE Breakdown by Year'!E113</f>
        <v>0</v>
      </c>
      <c r="O168" s="43">
        <f t="shared" si="113"/>
        <v>12</v>
      </c>
      <c r="P168" s="43">
        <f t="shared" si="121"/>
        <v>0</v>
      </c>
      <c r="Q168" s="119">
        <f>'LOE Breakdown by Year'!E153</f>
        <v>0</v>
      </c>
      <c r="R168" s="43">
        <f t="shared" si="114"/>
        <v>0</v>
      </c>
      <c r="S168" s="43">
        <f t="shared" si="122"/>
        <v>0</v>
      </c>
      <c r="T168" s="43">
        <f t="shared" si="125"/>
        <v>0</v>
      </c>
      <c r="U168" s="43">
        <v>0</v>
      </c>
      <c r="V168" s="43">
        <f t="shared" si="126"/>
        <v>0</v>
      </c>
    </row>
    <row r="169" spans="1:22">
      <c r="A169" s="7" t="s">
        <v>747</v>
      </c>
      <c r="B169" s="44">
        <v>70000</v>
      </c>
      <c r="C169" s="7" t="s">
        <v>710</v>
      </c>
      <c r="D169" s="7" t="str">
        <f t="shared" si="109"/>
        <v xml:space="preserve">F&amp;A Director </v>
      </c>
      <c r="E169" s="43">
        <v>5230.78</v>
      </c>
      <c r="F169" s="49" t="s">
        <v>95</v>
      </c>
      <c r="G169" s="43">
        <f t="shared" si="110"/>
        <v>5279.4</v>
      </c>
      <c r="H169" s="119">
        <f>'LOE Breakdown by Year'!E34</f>
        <v>0</v>
      </c>
      <c r="I169" s="43">
        <f t="shared" si="111"/>
        <v>12</v>
      </c>
      <c r="J169" s="43">
        <f t="shared" si="119"/>
        <v>0</v>
      </c>
      <c r="K169" s="119">
        <f>'LOE Breakdown by Year'!E74</f>
        <v>0</v>
      </c>
      <c r="L169" s="43">
        <f t="shared" si="112"/>
        <v>12</v>
      </c>
      <c r="M169" s="43">
        <f t="shared" si="120"/>
        <v>0</v>
      </c>
      <c r="N169" s="119">
        <f>'LOE Breakdown by Year'!E114</f>
        <v>0</v>
      </c>
      <c r="O169" s="43">
        <f t="shared" si="113"/>
        <v>12</v>
      </c>
      <c r="P169" s="43">
        <f t="shared" si="121"/>
        <v>0</v>
      </c>
      <c r="Q169" s="119">
        <f>'LOE Breakdown by Year'!E154</f>
        <v>0</v>
      </c>
      <c r="R169" s="43">
        <f t="shared" si="114"/>
        <v>6</v>
      </c>
      <c r="S169" s="43">
        <f t="shared" si="122"/>
        <v>0</v>
      </c>
      <c r="T169" s="43">
        <f>SUM(P169,M169,J169,E169,S169)</f>
        <v>5230.78</v>
      </c>
      <c r="U169" s="43">
        <v>0</v>
      </c>
      <c r="V169" s="43">
        <f t="shared" si="126"/>
        <v>5230.78</v>
      </c>
    </row>
    <row r="170" spans="1:22" hidden="1">
      <c r="D170" s="7" t="str">
        <f t="shared" si="109"/>
        <v>Accounting &amp; Finance Specialist</v>
      </c>
      <c r="E170" s="43">
        <v>0</v>
      </c>
      <c r="F170" s="49" t="s">
        <v>95</v>
      </c>
      <c r="G170" s="43">
        <f t="shared" si="110"/>
        <v>1750</v>
      </c>
      <c r="H170" s="119">
        <f>'LOE Breakdown by Year'!E35</f>
        <v>0</v>
      </c>
      <c r="I170" s="43">
        <f t="shared" si="111"/>
        <v>12</v>
      </c>
      <c r="J170" s="43">
        <f t="shared" si="119"/>
        <v>0</v>
      </c>
      <c r="K170" s="119">
        <f>'LOE Breakdown by Year'!E75</f>
        <v>0</v>
      </c>
      <c r="L170" s="43">
        <f t="shared" si="112"/>
        <v>12</v>
      </c>
      <c r="M170" s="43">
        <f t="shared" si="120"/>
        <v>0</v>
      </c>
      <c r="N170" s="119">
        <f>'LOE Breakdown by Year'!E115</f>
        <v>0</v>
      </c>
      <c r="O170" s="43">
        <f t="shared" si="113"/>
        <v>12</v>
      </c>
      <c r="P170" s="43">
        <f t="shared" si="121"/>
        <v>0</v>
      </c>
      <c r="Q170" s="119">
        <f>'LOE Breakdown by Year'!E155</f>
        <v>0</v>
      </c>
      <c r="R170" s="43">
        <f t="shared" si="114"/>
        <v>3</v>
      </c>
      <c r="S170" s="43">
        <f t="shared" si="122"/>
        <v>0</v>
      </c>
      <c r="T170" s="43">
        <f t="shared" si="125"/>
        <v>0</v>
      </c>
      <c r="U170" s="43">
        <v>0</v>
      </c>
      <c r="V170" s="43">
        <f t="shared" si="126"/>
        <v>0</v>
      </c>
    </row>
    <row r="171" spans="1:22" hidden="1">
      <c r="D171" s="7" t="str">
        <f t="shared" si="109"/>
        <v xml:space="preserve">Accountant </v>
      </c>
      <c r="E171" s="43">
        <v>0</v>
      </c>
      <c r="F171" s="49" t="s">
        <v>95</v>
      </c>
      <c r="G171" s="43">
        <f t="shared" si="110"/>
        <v>1750</v>
      </c>
      <c r="H171" s="119">
        <f>'LOE Breakdown by Year'!E36</f>
        <v>0</v>
      </c>
      <c r="I171" s="43">
        <f t="shared" si="111"/>
        <v>12</v>
      </c>
      <c r="J171" s="43">
        <f t="shared" si="119"/>
        <v>0</v>
      </c>
      <c r="K171" s="119">
        <f>'LOE Breakdown by Year'!E76</f>
        <v>0</v>
      </c>
      <c r="L171" s="43">
        <f t="shared" si="112"/>
        <v>12</v>
      </c>
      <c r="M171" s="43">
        <f t="shared" si="120"/>
        <v>0</v>
      </c>
      <c r="N171" s="119">
        <f>'LOE Breakdown by Year'!E116</f>
        <v>0</v>
      </c>
      <c r="O171" s="43">
        <f t="shared" si="113"/>
        <v>12</v>
      </c>
      <c r="P171" s="43">
        <f t="shared" si="121"/>
        <v>0</v>
      </c>
      <c r="Q171" s="119">
        <f>'LOE Breakdown by Year'!E156</f>
        <v>0</v>
      </c>
      <c r="R171" s="43">
        <f t="shared" si="114"/>
        <v>5</v>
      </c>
      <c r="S171" s="43">
        <f t="shared" si="122"/>
        <v>0</v>
      </c>
      <c r="T171" s="43">
        <f t="shared" si="125"/>
        <v>0</v>
      </c>
      <c r="U171" s="43">
        <v>0</v>
      </c>
      <c r="V171" s="43">
        <f t="shared" si="126"/>
        <v>0</v>
      </c>
    </row>
    <row r="172" spans="1:22" hidden="1">
      <c r="D172" s="7" t="str">
        <f t="shared" si="109"/>
        <v>Finance &amp; Admin Coordinator - 50% LOE</v>
      </c>
      <c r="E172" s="43">
        <v>0</v>
      </c>
      <c r="F172" s="49" t="s">
        <v>95</v>
      </c>
      <c r="G172" s="43">
        <f t="shared" si="110"/>
        <v>2583.3333333333335</v>
      </c>
      <c r="H172" s="119">
        <f>'LOE Breakdown by Year'!E37</f>
        <v>0</v>
      </c>
      <c r="I172" s="43">
        <f t="shared" si="111"/>
        <v>12</v>
      </c>
      <c r="J172" s="43">
        <f t="shared" si="119"/>
        <v>0</v>
      </c>
      <c r="K172" s="119">
        <f>'LOE Breakdown by Year'!E77</f>
        <v>0</v>
      </c>
      <c r="L172" s="43">
        <f t="shared" si="112"/>
        <v>12</v>
      </c>
      <c r="M172" s="43">
        <f t="shared" si="120"/>
        <v>0</v>
      </c>
      <c r="N172" s="119">
        <f>'LOE Breakdown by Year'!E117</f>
        <v>0</v>
      </c>
      <c r="O172" s="43">
        <f t="shared" si="113"/>
        <v>12</v>
      </c>
      <c r="P172" s="43">
        <f t="shared" si="121"/>
        <v>0</v>
      </c>
      <c r="Q172" s="119">
        <f>'LOE Breakdown by Year'!E157</f>
        <v>0</v>
      </c>
      <c r="R172" s="43">
        <f t="shared" si="114"/>
        <v>6</v>
      </c>
      <c r="S172" s="43">
        <f t="shared" si="122"/>
        <v>0</v>
      </c>
      <c r="T172" s="43">
        <f t="shared" si="125"/>
        <v>0</v>
      </c>
      <c r="U172" s="43">
        <v>0</v>
      </c>
      <c r="V172" s="43">
        <f t="shared" si="126"/>
        <v>0</v>
      </c>
    </row>
    <row r="173" spans="1:22" hidden="1">
      <c r="D173" s="7" t="str">
        <f t="shared" si="109"/>
        <v xml:space="preserve">Administrative Officer </v>
      </c>
      <c r="E173" s="43">
        <v>0</v>
      </c>
      <c r="F173" s="49" t="s">
        <v>95</v>
      </c>
      <c r="G173" s="43">
        <f t="shared" si="110"/>
        <v>1000</v>
      </c>
      <c r="H173" s="119">
        <f>'LOE Breakdown by Year'!E38</f>
        <v>0</v>
      </c>
      <c r="I173" s="43">
        <f t="shared" si="111"/>
        <v>12</v>
      </c>
      <c r="J173" s="43">
        <f t="shared" ref="J173" si="127">I173*G173*$H173</f>
        <v>0</v>
      </c>
      <c r="K173" s="119">
        <f>'LOE Breakdown by Year'!E78</f>
        <v>0</v>
      </c>
      <c r="L173" s="43">
        <f t="shared" si="112"/>
        <v>12</v>
      </c>
      <c r="M173" s="43">
        <f t="shared" ref="M173" si="128">L173*G173*$K173*$E$8</f>
        <v>0</v>
      </c>
      <c r="N173" s="119">
        <f>'LOE Breakdown by Year'!E118</f>
        <v>0</v>
      </c>
      <c r="O173" s="43">
        <f t="shared" si="113"/>
        <v>12</v>
      </c>
      <c r="P173" s="43">
        <f t="shared" ref="P173" si="129">O173*G173*$N173*$E$8*$E$8</f>
        <v>0</v>
      </c>
      <c r="Q173" s="119">
        <f>'LOE Breakdown by Year'!E158</f>
        <v>0</v>
      </c>
      <c r="R173" s="43">
        <f t="shared" si="114"/>
        <v>3</v>
      </c>
      <c r="S173" s="43">
        <f t="shared" ref="S173" si="130">R173*G173*$Q173*$E$8*$E$8*$E$8</f>
        <v>0</v>
      </c>
      <c r="T173" s="43">
        <f t="shared" ref="T173" si="131">SUM(P173,M173,J173,E173,S173)</f>
        <v>0</v>
      </c>
      <c r="U173" s="43">
        <v>0</v>
      </c>
      <c r="V173" s="43">
        <f t="shared" ref="V173" si="132">SUM(T173:U173)</f>
        <v>0</v>
      </c>
    </row>
    <row r="174" spans="1:22" hidden="1">
      <c r="D174" s="7" t="str">
        <f t="shared" si="109"/>
        <v>Human Resource Manager</v>
      </c>
      <c r="E174" s="43">
        <v>0</v>
      </c>
      <c r="F174" s="49" t="s">
        <v>95</v>
      </c>
      <c r="G174" s="43">
        <f t="shared" si="110"/>
        <v>1954.1666666666667</v>
      </c>
      <c r="H174" s="119">
        <f>'LOE Breakdown by Year'!E39</f>
        <v>0</v>
      </c>
      <c r="I174" s="43">
        <f t="shared" si="111"/>
        <v>12</v>
      </c>
      <c r="J174" s="43">
        <f t="shared" ref="J174:J175" si="133">I174*G174*$H174</f>
        <v>0</v>
      </c>
      <c r="K174" s="119">
        <f>'LOE Breakdown by Year'!E79</f>
        <v>0</v>
      </c>
      <c r="L174" s="43">
        <f t="shared" si="112"/>
        <v>12</v>
      </c>
      <c r="M174" s="43">
        <f t="shared" ref="M174:M175" si="134">L174*G174*$K174*$E$8</f>
        <v>0</v>
      </c>
      <c r="N174" s="119">
        <f>'LOE Breakdown by Year'!E119</f>
        <v>0</v>
      </c>
      <c r="O174" s="43">
        <f t="shared" si="113"/>
        <v>12</v>
      </c>
      <c r="P174" s="43">
        <f t="shared" ref="P174:P175" si="135">O174*G174*$N174*$E$8*$E$8</f>
        <v>0</v>
      </c>
      <c r="Q174" s="119">
        <f>'LOE Breakdown by Year'!E159</f>
        <v>0</v>
      </c>
      <c r="R174" s="43">
        <f t="shared" si="114"/>
        <v>6</v>
      </c>
      <c r="S174" s="43">
        <f t="shared" ref="S174:S175" si="136">R174*G174*$Q174*$E$8*$E$8*$E$8</f>
        <v>0</v>
      </c>
      <c r="T174" s="43">
        <f t="shared" ref="T174:T175" si="137">SUM(P174,M174,J174,E174,S174)</f>
        <v>0</v>
      </c>
      <c r="U174" s="43">
        <v>0</v>
      </c>
      <c r="V174" s="43">
        <f t="shared" ref="V174:V175" si="138">SUM(T174:U174)</f>
        <v>0</v>
      </c>
    </row>
    <row r="175" spans="1:22" hidden="1">
      <c r="D175" s="7" t="str">
        <f t="shared" si="109"/>
        <v>Human Resource Specialist</v>
      </c>
      <c r="E175" s="43">
        <v>0</v>
      </c>
      <c r="F175" s="49" t="s">
        <v>95</v>
      </c>
      <c r="G175" s="43">
        <f t="shared" si="110"/>
        <v>1750</v>
      </c>
      <c r="H175" s="119">
        <f>'LOE Breakdown by Year'!E42</f>
        <v>0</v>
      </c>
      <c r="I175" s="43">
        <f t="shared" si="111"/>
        <v>12</v>
      </c>
      <c r="J175" s="43">
        <f t="shared" si="133"/>
        <v>0</v>
      </c>
      <c r="K175" s="119">
        <f>'LOE Breakdown by Year'!E80</f>
        <v>0</v>
      </c>
      <c r="L175" s="43">
        <f t="shared" si="112"/>
        <v>12</v>
      </c>
      <c r="M175" s="43">
        <f t="shared" si="134"/>
        <v>0</v>
      </c>
      <c r="N175" s="119">
        <f>'LOE Breakdown by Year'!E120</f>
        <v>0</v>
      </c>
      <c r="O175" s="43">
        <f t="shared" si="113"/>
        <v>12</v>
      </c>
      <c r="P175" s="43">
        <f t="shared" si="135"/>
        <v>0</v>
      </c>
      <c r="Q175" s="119">
        <f>'LOE Breakdown by Year'!E160</f>
        <v>0</v>
      </c>
      <c r="R175" s="43">
        <f t="shared" si="114"/>
        <v>3</v>
      </c>
      <c r="S175" s="43">
        <f t="shared" si="136"/>
        <v>0</v>
      </c>
      <c r="T175" s="43">
        <f t="shared" si="137"/>
        <v>0</v>
      </c>
      <c r="U175" s="43">
        <v>0</v>
      </c>
      <c r="V175" s="43">
        <f t="shared" si="138"/>
        <v>0</v>
      </c>
    </row>
    <row r="176" spans="1:22">
      <c r="A176" s="40"/>
      <c r="B176" s="40"/>
      <c r="C176" s="40"/>
      <c r="D176" s="40" t="s">
        <v>217</v>
      </c>
      <c r="E176" s="47">
        <f>SUM(E146:E175)</f>
        <v>174359.28999999998</v>
      </c>
      <c r="F176" s="45"/>
      <c r="G176" s="46"/>
      <c r="H176" s="132"/>
      <c r="I176" s="47"/>
      <c r="J176" s="47">
        <f>SUM(J146:J175)</f>
        <v>0</v>
      </c>
      <c r="K176" s="132"/>
      <c r="L176" s="47"/>
      <c r="M176" s="47">
        <f>SUM(M146:M175)</f>
        <v>0</v>
      </c>
      <c r="N176" s="132"/>
      <c r="O176" s="47"/>
      <c r="P176" s="47">
        <f>SUM(P146:P175)</f>
        <v>0</v>
      </c>
      <c r="Q176" s="132"/>
      <c r="R176" s="47"/>
      <c r="S176" s="47">
        <f>SUM(S146:S175)</f>
        <v>0</v>
      </c>
      <c r="T176" s="47">
        <f>SUM(T146:T175)</f>
        <v>174359.28999999998</v>
      </c>
      <c r="U176" s="47">
        <f>SUM(U146:U175)</f>
        <v>0</v>
      </c>
      <c r="V176" s="47">
        <f>SUM(V146:V175)</f>
        <v>174359.28999999998</v>
      </c>
    </row>
    <row r="177" spans="1:22">
      <c r="A177" s="104"/>
      <c r="B177" s="104"/>
      <c r="C177" s="104"/>
      <c r="D177" s="104"/>
      <c r="E177" s="593"/>
      <c r="F177" s="538"/>
      <c r="G177" s="62"/>
      <c r="H177" s="133"/>
      <c r="I177" s="62"/>
      <c r="J177" s="62"/>
      <c r="K177" s="133"/>
      <c r="L177" s="62"/>
      <c r="M177" s="62"/>
      <c r="N177" s="133"/>
      <c r="O177" s="62"/>
      <c r="P177" s="62"/>
      <c r="Q177" s="133"/>
      <c r="R177" s="62"/>
      <c r="S177" s="62"/>
      <c r="T177" s="62"/>
      <c r="U177" s="62"/>
      <c r="V177" s="62"/>
    </row>
    <row r="178" spans="1:22">
      <c r="A178" s="40"/>
      <c r="B178" s="40"/>
      <c r="C178" s="40"/>
      <c r="D178" s="40" t="s">
        <v>218</v>
      </c>
      <c r="E178" s="47"/>
      <c r="F178" s="45"/>
      <c r="G178" s="46"/>
      <c r="H178" s="132"/>
      <c r="I178" s="47"/>
      <c r="J178" s="47"/>
      <c r="K178" s="132"/>
      <c r="L178" s="47"/>
      <c r="M178" s="47"/>
      <c r="N178" s="132"/>
      <c r="O178" s="47"/>
      <c r="P178" s="47"/>
      <c r="Q178" s="132"/>
      <c r="R178" s="47"/>
      <c r="S178" s="47"/>
      <c r="T178" s="47"/>
      <c r="U178" s="47"/>
      <c r="V178" s="47"/>
    </row>
    <row r="179" spans="1:22" ht="25.2">
      <c r="A179" s="7" t="s">
        <v>755</v>
      </c>
      <c r="B179" s="44">
        <v>70015</v>
      </c>
      <c r="C179" s="7" t="s">
        <v>710</v>
      </c>
      <c r="D179" s="7" t="str">
        <f>D51</f>
        <v>Fringe Benefits CCN - Colombia (above $3,350 monthly)</v>
      </c>
      <c r="E179" s="43">
        <v>7867</v>
      </c>
      <c r="F179" s="82" t="s">
        <v>132</v>
      </c>
      <c r="G179" s="59">
        <f>G51</f>
        <v>0.53864000000000001</v>
      </c>
      <c r="H179" s="120"/>
      <c r="I179" s="43"/>
      <c r="J179" s="43">
        <f>(J148+J164+J157+J161+J169+J167+J147)*$G$51</f>
        <v>0</v>
      </c>
      <c r="K179" s="120"/>
      <c r="L179" s="43"/>
      <c r="M179" s="43">
        <f>(M148+M164+M157+M161+M169+M167+M147)*$G$51</f>
        <v>0</v>
      </c>
      <c r="N179" s="120"/>
      <c r="O179" s="43"/>
      <c r="P179" s="43">
        <f>(P148+P164+P157+P161+P169+P167+P147)*$G$51</f>
        <v>0</v>
      </c>
      <c r="Q179" s="120"/>
      <c r="R179" s="43"/>
      <c r="S179" s="43">
        <f>(S148+S164+S157+S161+S169+S167+S147)*$G$51</f>
        <v>0</v>
      </c>
      <c r="T179" s="43">
        <f>SUM(P179,M179,J179,E179,S179)</f>
        <v>7867</v>
      </c>
      <c r="U179" s="43">
        <v>0</v>
      </c>
      <c r="V179" s="43">
        <f t="shared" ref="V179" si="139">SUM(T179:U179)</f>
        <v>7867</v>
      </c>
    </row>
    <row r="180" spans="1:22" ht="25.2">
      <c r="A180" s="7" t="s">
        <v>755</v>
      </c>
      <c r="B180" s="44">
        <v>70015</v>
      </c>
      <c r="C180" s="7" t="s">
        <v>710</v>
      </c>
      <c r="D180" s="7" t="str">
        <f>D52</f>
        <v>Fringe Benefits CCN - Colombia (below $3,350 monthly)</v>
      </c>
      <c r="E180" s="83">
        <v>78279.3</v>
      </c>
      <c r="F180" s="82" t="s">
        <v>132</v>
      </c>
      <c r="G180" s="59">
        <f>G52</f>
        <v>0.44863999999999998</v>
      </c>
      <c r="H180" s="125"/>
      <c r="I180" s="83"/>
      <c r="J180" s="43">
        <f>(J149+J150+J151+J152+J153+J154+J155+J156+J158+J159+J160+J162+J163+J165+J166+J168+J170+J171+J172+J173+J174+J175)*$G$52</f>
        <v>0</v>
      </c>
      <c r="K180" s="125"/>
      <c r="L180" s="83"/>
      <c r="M180" s="43">
        <f>(M149+M150+M151+M152+M153+M154+M155+M156+M158+M159+M160+M162+M163+M165+M166+M168+M170+M171+M172+M173+M174+M175)*$G$52</f>
        <v>0</v>
      </c>
      <c r="N180" s="125"/>
      <c r="O180" s="83"/>
      <c r="P180" s="43">
        <f>(P149+P150+P151+P152+P153+P154+P155+P156+P158+P159+P160+P162+P163+P165+P166+P168+P170+P171+P172+P173+P174+P175)*$G$52</f>
        <v>0</v>
      </c>
      <c r="Q180" s="125"/>
      <c r="R180" s="83"/>
      <c r="S180" s="43">
        <f>(S149+S150+S151+S152+S153+S154+S155+S156+S158+S159+S160+S162+S163+S165+S166+S168+S170+S171+S172+S173+S174+S175)*$G$52</f>
        <v>0</v>
      </c>
      <c r="T180" s="43">
        <f t="shared" ref="T180:T182" si="140">SUM(P180,M180,J180,E180,S180)</f>
        <v>78279.3</v>
      </c>
      <c r="U180" s="43">
        <v>0</v>
      </c>
      <c r="V180" s="43">
        <f t="shared" ref="V180:V182" si="141">SUM(T180:U180)</f>
        <v>78279.3</v>
      </c>
    </row>
    <row r="181" spans="1:22">
      <c r="A181" s="7" t="s">
        <v>756</v>
      </c>
      <c r="B181" s="44">
        <v>50202</v>
      </c>
      <c r="C181" s="7" t="s">
        <v>709</v>
      </c>
      <c r="D181" s="7" t="str">
        <f>D54</f>
        <v>Post (Hardship) Differential for Chief of Party</v>
      </c>
      <c r="E181" s="83">
        <v>9241.0400000000009</v>
      </c>
      <c r="F181" s="82" t="s">
        <v>132</v>
      </c>
      <c r="G181" s="59">
        <f>G54</f>
        <v>0.15</v>
      </c>
      <c r="H181" s="125"/>
      <c r="I181" s="83"/>
      <c r="J181" s="83">
        <f>J146*$G$181</f>
        <v>0</v>
      </c>
      <c r="K181" s="125"/>
      <c r="L181" s="83"/>
      <c r="M181" s="83">
        <f>M146*$G$181</f>
        <v>0</v>
      </c>
      <c r="N181" s="125"/>
      <c r="O181" s="83"/>
      <c r="P181" s="83">
        <f>P146*$G$181</f>
        <v>0</v>
      </c>
      <c r="Q181" s="125"/>
      <c r="R181" s="83"/>
      <c r="S181" s="83">
        <f>S146*$G$181</f>
        <v>0</v>
      </c>
      <c r="T181" s="43">
        <f t="shared" si="140"/>
        <v>9241.0400000000009</v>
      </c>
      <c r="U181" s="43">
        <v>0</v>
      </c>
      <c r="V181" s="43">
        <f t="shared" si="141"/>
        <v>9241.0400000000009</v>
      </c>
    </row>
    <row r="182" spans="1:22">
      <c r="A182" s="7" t="s">
        <v>755</v>
      </c>
      <c r="B182" s="44">
        <v>50900</v>
      </c>
      <c r="C182" s="7" t="s">
        <v>709</v>
      </c>
      <c r="D182" s="7" t="str">
        <f>D55</f>
        <v>Fringe Benefits Package for Chief of Party</v>
      </c>
      <c r="E182" s="83">
        <v>2950.12</v>
      </c>
      <c r="F182" s="82" t="s">
        <v>132</v>
      </c>
      <c r="G182" s="59">
        <f>G55</f>
        <v>0.56469999999999998</v>
      </c>
      <c r="H182" s="125"/>
      <c r="I182" s="83"/>
      <c r="J182" s="83">
        <f>J146*$G$182</f>
        <v>0</v>
      </c>
      <c r="K182" s="125"/>
      <c r="L182" s="83"/>
      <c r="M182" s="83">
        <f>M146*$G$182</f>
        <v>0</v>
      </c>
      <c r="N182" s="125"/>
      <c r="O182" s="83"/>
      <c r="P182" s="83">
        <f>P146*$G$182</f>
        <v>0</v>
      </c>
      <c r="Q182" s="125"/>
      <c r="R182" s="83"/>
      <c r="S182" s="83">
        <f>S146*$G$182</f>
        <v>0</v>
      </c>
      <c r="T182" s="43">
        <f t="shared" si="140"/>
        <v>2950.12</v>
      </c>
      <c r="U182" s="43">
        <v>0</v>
      </c>
      <c r="V182" s="43">
        <f t="shared" si="141"/>
        <v>2950.12</v>
      </c>
    </row>
    <row r="183" spans="1:22">
      <c r="A183" s="40"/>
      <c r="B183" s="40"/>
      <c r="C183" s="40"/>
      <c r="D183" s="40" t="s">
        <v>219</v>
      </c>
      <c r="E183" s="47">
        <f>SUM(E179:E182)</f>
        <v>98337.459999999992</v>
      </c>
      <c r="F183" s="45"/>
      <c r="G183" s="46"/>
      <c r="H183" s="132"/>
      <c r="I183" s="47"/>
      <c r="J183" s="47">
        <f>SUM(J179:J182)</f>
        <v>0</v>
      </c>
      <c r="K183" s="132"/>
      <c r="L183" s="47"/>
      <c r="M183" s="47">
        <f>SUM(M179:M182)</f>
        <v>0</v>
      </c>
      <c r="N183" s="132"/>
      <c r="O183" s="47"/>
      <c r="P183" s="47">
        <f>SUM(P179:P182)</f>
        <v>0</v>
      </c>
      <c r="Q183" s="132"/>
      <c r="R183" s="47"/>
      <c r="S183" s="47">
        <f>SUM(S179:S182)</f>
        <v>0</v>
      </c>
      <c r="T183" s="47">
        <f>SUM(T179:T182)</f>
        <v>98337.459999999992</v>
      </c>
      <c r="U183" s="47">
        <f>SUM(U179:U182)</f>
        <v>0</v>
      </c>
      <c r="V183" s="47">
        <f>SUM(V179:V182)</f>
        <v>98337.459999999992</v>
      </c>
    </row>
    <row r="184" spans="1:22" hidden="1">
      <c r="A184" s="104"/>
      <c r="B184" s="104"/>
      <c r="C184" s="104"/>
      <c r="D184" s="104"/>
      <c r="E184" s="105"/>
      <c r="F184" s="81"/>
      <c r="G184" s="62"/>
      <c r="H184" s="133"/>
      <c r="I184" s="105"/>
      <c r="J184" s="105"/>
      <c r="K184" s="133"/>
      <c r="L184" s="105"/>
      <c r="M184" s="105"/>
      <c r="N184" s="133"/>
      <c r="O184" s="105"/>
      <c r="P184" s="105"/>
      <c r="Q184" s="133"/>
      <c r="R184" s="105"/>
      <c r="S184" s="105"/>
      <c r="T184" s="105"/>
      <c r="U184" s="105"/>
      <c r="V184" s="105"/>
    </row>
    <row r="185" spans="1:22" hidden="1">
      <c r="A185" s="40"/>
      <c r="B185" s="40"/>
      <c r="C185" s="40"/>
      <c r="D185" s="40" t="s">
        <v>220</v>
      </c>
      <c r="E185" s="46"/>
      <c r="F185" s="45"/>
      <c r="G185" s="46"/>
      <c r="H185" s="132"/>
      <c r="I185" s="46"/>
      <c r="J185" s="46"/>
      <c r="K185" s="132"/>
      <c r="L185" s="46"/>
      <c r="M185" s="46"/>
      <c r="N185" s="132"/>
      <c r="O185" s="46"/>
      <c r="P185" s="46"/>
      <c r="Q185" s="132"/>
      <c r="R185" s="46"/>
      <c r="S185" s="46"/>
      <c r="T185" s="46"/>
      <c r="U185" s="46"/>
      <c r="V185" s="46"/>
    </row>
    <row r="186" spans="1:22" hidden="1">
      <c r="D186" s="7" t="s">
        <v>221</v>
      </c>
      <c r="E186" s="43">
        <v>0</v>
      </c>
      <c r="F186" s="7" t="s">
        <v>144</v>
      </c>
      <c r="G186" s="43">
        <v>25</v>
      </c>
      <c r="H186" s="128"/>
      <c r="I186" s="43">
        <v>0</v>
      </c>
      <c r="J186" s="43">
        <f>G186*I186</f>
        <v>0</v>
      </c>
      <c r="K186" s="128"/>
      <c r="L186" s="43">
        <v>0</v>
      </c>
      <c r="M186" s="43">
        <f>G186*L186*$E$7</f>
        <v>0</v>
      </c>
      <c r="N186" s="128"/>
      <c r="O186" s="43">
        <v>0</v>
      </c>
      <c r="P186" s="43">
        <f>G186*O186*$E$7*$E$7</f>
        <v>0</v>
      </c>
      <c r="Q186" s="128"/>
      <c r="R186" s="43">
        <v>0</v>
      </c>
      <c r="S186" s="43">
        <f>G186*R186*$E$7*$E$7*$E$7</f>
        <v>0</v>
      </c>
      <c r="T186" s="43">
        <f t="shared" ref="T186:T187" si="142">SUM(P186,M186,J186,E186,S186)</f>
        <v>0</v>
      </c>
      <c r="U186" s="43">
        <v>0</v>
      </c>
      <c r="V186" s="43">
        <f t="shared" ref="V186:V187" si="143">SUM(T186:U186)</f>
        <v>0</v>
      </c>
    </row>
    <row r="187" spans="1:22" hidden="1">
      <c r="D187" s="7" t="s">
        <v>222</v>
      </c>
      <c r="E187" s="43">
        <v>0</v>
      </c>
      <c r="F187" s="7" t="s">
        <v>146</v>
      </c>
      <c r="G187" s="43">
        <v>100</v>
      </c>
      <c r="H187" s="128"/>
      <c r="I187" s="43">
        <f>10*I186</f>
        <v>0</v>
      </c>
      <c r="J187" s="43">
        <f>G187*I187</f>
        <v>0</v>
      </c>
      <c r="K187" s="128"/>
      <c r="L187" s="43">
        <f>20*L186</f>
        <v>0</v>
      </c>
      <c r="M187" s="43">
        <f>G187*L187*$E$7</f>
        <v>0</v>
      </c>
      <c r="N187" s="128"/>
      <c r="O187" s="43">
        <f>20*O186</f>
        <v>0</v>
      </c>
      <c r="P187" s="43">
        <f>G187*O187*$E$7*$E$7</f>
        <v>0</v>
      </c>
      <c r="Q187" s="128"/>
      <c r="R187" s="43">
        <f>20*R186</f>
        <v>0</v>
      </c>
      <c r="S187" s="43">
        <f>G187*R187*$E$7*$E$7*$E$7</f>
        <v>0</v>
      </c>
      <c r="T187" s="43">
        <f t="shared" si="142"/>
        <v>0</v>
      </c>
      <c r="U187" s="43">
        <v>0</v>
      </c>
      <c r="V187" s="43">
        <f t="shared" si="143"/>
        <v>0</v>
      </c>
    </row>
    <row r="188" spans="1:22" hidden="1">
      <c r="A188" s="40"/>
      <c r="B188" s="40"/>
      <c r="C188" s="40"/>
      <c r="D188" s="40" t="s">
        <v>223</v>
      </c>
      <c r="E188" s="47">
        <f>SUM(E186:E187)</f>
        <v>0</v>
      </c>
      <c r="F188" s="45"/>
      <c r="G188" s="46"/>
      <c r="H188" s="132"/>
      <c r="I188" s="47"/>
      <c r="J188" s="47">
        <f>SUM(J186:J187)</f>
        <v>0</v>
      </c>
      <c r="K188" s="132"/>
      <c r="L188" s="47"/>
      <c r="M188" s="47">
        <f>SUM(M186:M187)</f>
        <v>0</v>
      </c>
      <c r="N188" s="132"/>
      <c r="O188" s="47"/>
      <c r="P188" s="47">
        <f>SUM(P186:P187)</f>
        <v>0</v>
      </c>
      <c r="Q188" s="132"/>
      <c r="R188" s="47"/>
      <c r="S188" s="47">
        <f>SUM(S186:S187)</f>
        <v>0</v>
      </c>
      <c r="T188" s="47">
        <f>SUM(T186:T187)</f>
        <v>0</v>
      </c>
      <c r="U188" s="47">
        <f>SUM(U186:U187)</f>
        <v>0</v>
      </c>
      <c r="V188" s="47">
        <f>SUM(V186:V187)</f>
        <v>0</v>
      </c>
    </row>
    <row r="189" spans="1:22" hidden="1">
      <c r="A189" s="104"/>
      <c r="B189" s="104"/>
      <c r="C189" s="104"/>
      <c r="D189" s="104"/>
      <c r="E189" s="105"/>
      <c r="F189" s="81"/>
      <c r="G189" s="62"/>
      <c r="H189" s="133"/>
      <c r="I189" s="105"/>
      <c r="J189" s="105"/>
      <c r="K189" s="133"/>
      <c r="L189" s="105"/>
      <c r="M189" s="105"/>
      <c r="N189" s="133"/>
      <c r="O189" s="105"/>
      <c r="P189" s="105"/>
      <c r="Q189" s="133"/>
      <c r="R189" s="105"/>
      <c r="S189" s="105"/>
      <c r="T189" s="105"/>
      <c r="U189" s="105"/>
      <c r="V189" s="105"/>
    </row>
    <row r="190" spans="1:22" hidden="1">
      <c r="A190" s="40"/>
      <c r="B190" s="40"/>
      <c r="C190" s="40"/>
      <c r="D190" s="40" t="s">
        <v>224</v>
      </c>
      <c r="E190" s="46"/>
      <c r="F190" s="45"/>
      <c r="G190" s="46"/>
      <c r="H190" s="132"/>
      <c r="I190" s="46"/>
      <c r="J190" s="46"/>
      <c r="K190" s="132"/>
      <c r="L190" s="46"/>
      <c r="M190" s="46"/>
      <c r="N190" s="132"/>
      <c r="O190" s="46"/>
      <c r="P190" s="46"/>
      <c r="Q190" s="132"/>
      <c r="R190" s="46"/>
      <c r="S190" s="46"/>
      <c r="T190" s="46"/>
      <c r="U190" s="46"/>
      <c r="V190" s="46"/>
    </row>
    <row r="191" spans="1:22" hidden="1">
      <c r="A191" s="44"/>
      <c r="C191" s="44"/>
      <c r="D191" s="44" t="s">
        <v>225</v>
      </c>
      <c r="E191" s="43">
        <v>0</v>
      </c>
      <c r="F191" s="48" t="s">
        <v>226</v>
      </c>
      <c r="G191" s="43">
        <f>522/8</f>
        <v>65.25</v>
      </c>
      <c r="H191" s="128"/>
      <c r="I191" s="43">
        <v>0</v>
      </c>
      <c r="J191" s="43">
        <v>0</v>
      </c>
      <c r="K191" s="128"/>
      <c r="L191" s="43">
        <v>0</v>
      </c>
      <c r="M191" s="43">
        <v>0</v>
      </c>
      <c r="N191" s="128"/>
      <c r="O191" s="43">
        <v>0</v>
      </c>
      <c r="P191" s="43">
        <v>0</v>
      </c>
      <c r="Q191" s="128"/>
      <c r="R191" s="43">
        <v>0</v>
      </c>
      <c r="S191" s="43">
        <v>0</v>
      </c>
      <c r="T191" s="43">
        <f t="shared" ref="T191:T192" si="144">SUM(P191,M191,J191,E191,S191)</f>
        <v>0</v>
      </c>
      <c r="U191" s="43">
        <v>0</v>
      </c>
      <c r="V191" s="43">
        <f t="shared" ref="V191:V192" si="145">SUM(T191:U191)</f>
        <v>0</v>
      </c>
    </row>
    <row r="192" spans="1:22" ht="25.2" hidden="1">
      <c r="D192" s="7" t="s">
        <v>227</v>
      </c>
      <c r="E192" s="43">
        <v>0</v>
      </c>
      <c r="F192" s="48" t="s">
        <v>95</v>
      </c>
      <c r="G192" s="43">
        <v>10556</v>
      </c>
      <c r="H192" s="128"/>
      <c r="I192" s="43">
        <v>0</v>
      </c>
      <c r="J192" s="43">
        <v>0</v>
      </c>
      <c r="K192" s="128"/>
      <c r="L192" s="43">
        <v>0</v>
      </c>
      <c r="M192" s="43">
        <v>0</v>
      </c>
      <c r="N192" s="128"/>
      <c r="O192" s="43">
        <v>0</v>
      </c>
      <c r="P192" s="43">
        <v>0</v>
      </c>
      <c r="Q192" s="128"/>
      <c r="R192" s="43">
        <v>0</v>
      </c>
      <c r="S192" s="43">
        <v>0</v>
      </c>
      <c r="T192" s="43">
        <f t="shared" si="144"/>
        <v>0</v>
      </c>
      <c r="U192" s="43">
        <v>0</v>
      </c>
      <c r="V192" s="43">
        <f t="shared" si="145"/>
        <v>0</v>
      </c>
    </row>
    <row r="193" spans="1:22" hidden="1">
      <c r="A193" s="40"/>
      <c r="B193" s="40"/>
      <c r="C193" s="40"/>
      <c r="D193" s="40" t="s">
        <v>228</v>
      </c>
      <c r="E193" s="47">
        <f>SUM(E191:E192)</f>
        <v>0</v>
      </c>
      <c r="F193" s="45"/>
      <c r="G193" s="46"/>
      <c r="H193" s="132"/>
      <c r="I193" s="47"/>
      <c r="J193" s="47">
        <f>SUM(J191:J192)</f>
        <v>0</v>
      </c>
      <c r="K193" s="132"/>
      <c r="L193" s="47"/>
      <c r="M193" s="47">
        <f>SUM(M191:M192)</f>
        <v>0</v>
      </c>
      <c r="N193" s="132"/>
      <c r="O193" s="47"/>
      <c r="P193" s="47">
        <f>SUM(P191:P192)</f>
        <v>0</v>
      </c>
      <c r="Q193" s="132"/>
      <c r="R193" s="47"/>
      <c r="S193" s="47">
        <f>SUM(S191:S192)</f>
        <v>0</v>
      </c>
      <c r="T193" s="47">
        <f>SUM(T191:T192)</f>
        <v>0</v>
      </c>
      <c r="U193" s="47">
        <f>SUM(U191:U192)</f>
        <v>0</v>
      </c>
      <c r="V193" s="47">
        <f>SUM(V191:V192)</f>
        <v>0</v>
      </c>
    </row>
    <row r="194" spans="1:22">
      <c r="A194" s="104"/>
      <c r="B194" s="104"/>
      <c r="C194" s="104"/>
      <c r="D194" s="104"/>
      <c r="E194" s="105"/>
      <c r="F194" s="81"/>
      <c r="G194" s="62"/>
      <c r="H194" s="133"/>
      <c r="I194" s="105"/>
      <c r="J194" s="105"/>
      <c r="K194" s="133"/>
      <c r="L194" s="105"/>
      <c r="M194" s="105"/>
      <c r="N194" s="133"/>
      <c r="O194" s="105"/>
      <c r="P194" s="105"/>
      <c r="Q194" s="133"/>
      <c r="R194" s="105"/>
      <c r="S194" s="105"/>
      <c r="T194" s="105"/>
      <c r="U194" s="105"/>
      <c r="V194" s="105"/>
    </row>
    <row r="195" spans="1:22" ht="12.9" thickBot="1">
      <c r="A195" s="53"/>
      <c r="B195" s="66"/>
      <c r="C195" s="53"/>
      <c r="D195" s="53" t="s">
        <v>229</v>
      </c>
      <c r="E195" s="64">
        <f>SUM(E188+E183+E176+E193)</f>
        <v>272696.75</v>
      </c>
      <c r="F195" s="53"/>
      <c r="G195" s="69"/>
      <c r="H195" s="126"/>
      <c r="I195" s="64"/>
      <c r="J195" s="64">
        <f>SUM(J188+J183+J176+J193)</f>
        <v>0</v>
      </c>
      <c r="K195" s="126"/>
      <c r="L195" s="64"/>
      <c r="M195" s="64">
        <f>SUM(M188+M183+M176+M193)</f>
        <v>0</v>
      </c>
      <c r="N195" s="126"/>
      <c r="O195" s="64"/>
      <c r="P195" s="64">
        <f>SUM(P188+P183+P176+P193)</f>
        <v>0</v>
      </c>
      <c r="Q195" s="126"/>
      <c r="R195" s="64"/>
      <c r="S195" s="64">
        <f>SUM(S188+S183+S176+S193)</f>
        <v>0</v>
      </c>
      <c r="T195" s="64">
        <f>SUM(T188+T183+T176+T193)</f>
        <v>272696.75</v>
      </c>
      <c r="U195" s="64">
        <f>SUM(U188+U183+U176+U193)</f>
        <v>0</v>
      </c>
      <c r="V195" s="64">
        <f>SUM(V188+V183+V176+V193)</f>
        <v>272696.75</v>
      </c>
    </row>
    <row r="196" spans="1:22">
      <c r="A196" s="81"/>
      <c r="B196" s="81"/>
      <c r="C196" s="81"/>
      <c r="D196" s="81"/>
      <c r="E196" s="62"/>
      <c r="F196" s="81"/>
      <c r="G196" s="62"/>
      <c r="H196" s="123"/>
      <c r="I196" s="62"/>
      <c r="J196" s="62"/>
      <c r="K196" s="123"/>
      <c r="L196" s="62"/>
      <c r="M196" s="62"/>
      <c r="N196" s="123"/>
      <c r="O196" s="62"/>
      <c r="P196" s="62"/>
      <c r="Q196" s="123"/>
      <c r="R196" s="62"/>
      <c r="S196" s="62"/>
      <c r="T196" s="62"/>
      <c r="U196" s="62"/>
      <c r="V196" s="62"/>
    </row>
    <row r="197" spans="1:22">
      <c r="A197" s="98"/>
      <c r="B197" s="617"/>
      <c r="C197" s="98"/>
      <c r="D197" s="98" t="str">
        <f>'USDA Budget Summary'!A30</f>
        <v>Activity 2: Producer Organization Development &amp; Commercialization</v>
      </c>
      <c r="E197" s="99"/>
      <c r="F197" s="37"/>
      <c r="G197" s="38"/>
      <c r="H197" s="130"/>
      <c r="I197" s="99"/>
      <c r="J197" s="99"/>
      <c r="K197" s="130"/>
      <c r="L197" s="99"/>
      <c r="M197" s="99"/>
      <c r="N197" s="130"/>
      <c r="O197" s="99"/>
      <c r="P197" s="99"/>
      <c r="Q197" s="130"/>
      <c r="R197" s="99"/>
      <c r="S197" s="99"/>
      <c r="T197" s="99"/>
      <c r="U197" s="100"/>
      <c r="V197" s="99"/>
    </row>
    <row r="198" spans="1:22">
      <c r="A198" s="101"/>
      <c r="B198" s="101"/>
      <c r="C198" s="101"/>
      <c r="D198" s="101" t="s">
        <v>215</v>
      </c>
      <c r="E198" s="103"/>
      <c r="F198" s="102"/>
      <c r="G198" s="103"/>
      <c r="H198" s="131"/>
      <c r="I198" s="103"/>
      <c r="J198" s="103"/>
      <c r="K198" s="131"/>
      <c r="L198" s="103"/>
      <c r="M198" s="103"/>
      <c r="N198" s="131"/>
      <c r="O198" s="103"/>
      <c r="P198" s="103"/>
      <c r="Q198" s="131"/>
      <c r="R198" s="103"/>
      <c r="S198" s="103"/>
      <c r="T198" s="103"/>
      <c r="U198" s="103"/>
      <c r="V198" s="103"/>
    </row>
    <row r="199" spans="1:22">
      <c r="A199" s="40"/>
      <c r="B199" s="40"/>
      <c r="C199" s="40"/>
      <c r="D199" s="40" t="s">
        <v>230</v>
      </c>
      <c r="E199" s="46"/>
      <c r="F199" s="45"/>
      <c r="G199" s="46"/>
      <c r="H199" s="132"/>
      <c r="I199" s="46"/>
      <c r="J199" s="46"/>
      <c r="K199" s="132"/>
      <c r="L199" s="46"/>
      <c r="M199" s="46"/>
      <c r="N199" s="132"/>
      <c r="O199" s="46"/>
      <c r="P199" s="46"/>
      <c r="Q199" s="132"/>
      <c r="R199" s="46"/>
      <c r="S199" s="46"/>
      <c r="T199" s="46"/>
      <c r="U199" s="46"/>
      <c r="V199" s="46"/>
    </row>
    <row r="200" spans="1:22">
      <c r="A200" s="7" t="s">
        <v>748</v>
      </c>
      <c r="B200" s="44">
        <v>50000</v>
      </c>
      <c r="C200" s="7" t="s">
        <v>709</v>
      </c>
      <c r="D200" s="7" t="str">
        <f t="shared" ref="D200:D229" si="146">D13</f>
        <v>Key Personnel: Chief of Party</v>
      </c>
      <c r="E200" s="43">
        <v>40245</v>
      </c>
      <c r="F200" s="49" t="s">
        <v>95</v>
      </c>
      <c r="G200" s="43">
        <f t="shared" ref="G200:G229" si="147">G13</f>
        <v>14250</v>
      </c>
      <c r="H200" s="119">
        <f>'LOE Breakdown by Year'!F11</f>
        <v>0.15</v>
      </c>
      <c r="I200" s="43">
        <f t="shared" ref="I200:I229" si="148">I13</f>
        <v>12</v>
      </c>
      <c r="J200" s="43">
        <f>I200*G200*$H200</f>
        <v>25650</v>
      </c>
      <c r="K200" s="119">
        <f>'LOE Breakdown by Year'!F51</f>
        <v>0.19</v>
      </c>
      <c r="L200" s="43">
        <f t="shared" ref="L200:L229" si="149">L13</f>
        <v>12</v>
      </c>
      <c r="M200" s="43">
        <f>L200*G200*$K200*$E$8</f>
        <v>34114.5</v>
      </c>
      <c r="N200" s="119">
        <f>'LOE Breakdown by Year'!F91</f>
        <v>0.19</v>
      </c>
      <c r="O200" s="43">
        <f t="shared" ref="O200:O229" si="150">O13</f>
        <v>12</v>
      </c>
      <c r="P200" s="43">
        <f>O200*G200*$N200*$E$8*$E$8</f>
        <v>35820.224999999999</v>
      </c>
      <c r="Q200" s="119">
        <f>'LOE Breakdown by Year'!F131</f>
        <v>0.19</v>
      </c>
      <c r="R200" s="43">
        <f t="shared" ref="R200:R229" si="151">R13</f>
        <v>0</v>
      </c>
      <c r="S200" s="43">
        <f>R200*G200*$Q200*$E$8*$E$8*$E$8</f>
        <v>0</v>
      </c>
      <c r="T200" s="43">
        <f t="shared" ref="T200" si="152">SUM(P200,M200,J200,E200,S200)</f>
        <v>135829.72500000001</v>
      </c>
      <c r="U200" s="43">
        <v>0</v>
      </c>
      <c r="V200" s="43">
        <f t="shared" ref="V200" si="153">SUM(T200:U200)</f>
        <v>135829.72500000001</v>
      </c>
    </row>
    <row r="201" spans="1:22" ht="25.2">
      <c r="A201" s="7" t="s">
        <v>748</v>
      </c>
      <c r="B201" s="44">
        <v>70000</v>
      </c>
      <c r="C201" s="7" t="s">
        <v>710</v>
      </c>
      <c r="D201" s="7" t="str">
        <f t="shared" si="146"/>
        <v>Deputy Chief of Party / Value Chain Strengthening Director</v>
      </c>
      <c r="E201" s="43">
        <v>0</v>
      </c>
      <c r="F201" s="49" t="s">
        <v>95</v>
      </c>
      <c r="G201" s="43">
        <f t="shared" si="147"/>
        <v>5000</v>
      </c>
      <c r="H201" s="119">
        <f>'LOE Breakdown by Year'!F12</f>
        <v>0.15</v>
      </c>
      <c r="I201" s="43">
        <f t="shared" si="148"/>
        <v>12</v>
      </c>
      <c r="J201" s="43">
        <f>I201*G201*$H201</f>
        <v>9000</v>
      </c>
      <c r="K201" s="119">
        <f>'LOE Breakdown by Year'!F52</f>
        <v>0.15</v>
      </c>
      <c r="L201" s="43">
        <f t="shared" si="149"/>
        <v>12</v>
      </c>
      <c r="M201" s="43">
        <f>L201*G201*$K201*$E$8</f>
        <v>9450</v>
      </c>
      <c r="N201" s="119">
        <f>'LOE Breakdown by Year'!F92</f>
        <v>0.15</v>
      </c>
      <c r="O201" s="43">
        <f t="shared" si="150"/>
        <v>12</v>
      </c>
      <c r="P201" s="43">
        <f>O201*G201*$N201*$E$8*$E$8</f>
        <v>9922.5</v>
      </c>
      <c r="Q201" s="119">
        <f>'LOE Breakdown by Year'!F132</f>
        <v>0.15</v>
      </c>
      <c r="R201" s="43">
        <f t="shared" si="151"/>
        <v>6</v>
      </c>
      <c r="S201" s="43">
        <f>R201*G201*$Q201*$E$8*$E$8*$E$8</f>
        <v>5209.3125</v>
      </c>
      <c r="T201" s="43">
        <f t="shared" ref="T201" si="154">SUM(P201,M201,J201,E201,S201)</f>
        <v>33581.8125</v>
      </c>
      <c r="U201" s="43">
        <v>0</v>
      </c>
      <c r="V201" s="43">
        <f t="shared" ref="V201" si="155">SUM(T201:U201)</f>
        <v>33581.8125</v>
      </c>
    </row>
    <row r="202" spans="1:22">
      <c r="A202" s="7" t="s">
        <v>748</v>
      </c>
      <c r="B202" s="44">
        <v>70000</v>
      </c>
      <c r="C202" s="7" t="s">
        <v>710</v>
      </c>
      <c r="D202" s="7" t="str">
        <f t="shared" si="146"/>
        <v>Key Personnel: Technical Director</v>
      </c>
      <c r="E202" s="43">
        <v>0</v>
      </c>
      <c r="F202" s="49" t="s">
        <v>95</v>
      </c>
      <c r="G202" s="43">
        <f t="shared" si="147"/>
        <v>4583.333333333333</v>
      </c>
      <c r="H202" s="119">
        <f>'LOE Breakdown by Year'!F13</f>
        <v>0.1</v>
      </c>
      <c r="I202" s="43">
        <f t="shared" si="148"/>
        <v>12</v>
      </c>
      <c r="J202" s="43">
        <f t="shared" ref="J202:J218" si="156">I202*G202*$H202</f>
        <v>5500</v>
      </c>
      <c r="K202" s="119">
        <f>'LOE Breakdown by Year'!F53</f>
        <v>0.2</v>
      </c>
      <c r="L202" s="43">
        <f t="shared" si="149"/>
        <v>12</v>
      </c>
      <c r="M202" s="43">
        <f t="shared" ref="M202:M218" si="157">L202*G202*$K202*$E$8</f>
        <v>11550</v>
      </c>
      <c r="N202" s="119">
        <f>'LOE Breakdown by Year'!F93</f>
        <v>0.2</v>
      </c>
      <c r="O202" s="43">
        <f t="shared" si="150"/>
        <v>12</v>
      </c>
      <c r="P202" s="43">
        <f t="shared" ref="P202:P218" si="158">O202*G202*$N202*$E$8*$E$8</f>
        <v>12127.5</v>
      </c>
      <c r="Q202" s="119">
        <f>'LOE Breakdown by Year'!F133</f>
        <v>0.2</v>
      </c>
      <c r="R202" s="43">
        <f t="shared" si="151"/>
        <v>5</v>
      </c>
      <c r="S202" s="43">
        <f t="shared" ref="S202:S218" si="159">R202*G202*$Q202*$E$8*$E$8*$E$8</f>
        <v>5305.78125</v>
      </c>
      <c r="T202" s="43">
        <f t="shared" ref="T202:T218" si="160">SUM(P202,M202,J202,E202,S202)</f>
        <v>34483.28125</v>
      </c>
      <c r="U202" s="43">
        <v>0</v>
      </c>
      <c r="V202" s="43">
        <f t="shared" ref="V202:V218" si="161">SUM(T202:U202)</f>
        <v>34483.28125</v>
      </c>
    </row>
    <row r="203" spans="1:22">
      <c r="A203" s="7" t="s">
        <v>748</v>
      </c>
      <c r="B203" s="44">
        <v>70000</v>
      </c>
      <c r="C203" s="7" t="s">
        <v>710</v>
      </c>
      <c r="D203" s="7" t="str">
        <f t="shared" si="146"/>
        <v>Activity Lead Agribusiness Senior Specialist (Cacao)</v>
      </c>
      <c r="E203" s="43">
        <v>0</v>
      </c>
      <c r="F203" s="49" t="s">
        <v>95</v>
      </c>
      <c r="G203" s="43">
        <f t="shared" si="147"/>
        <v>2833.3333333333335</v>
      </c>
      <c r="H203" s="119">
        <f>'LOE Breakdown by Year'!F14</f>
        <v>0.15</v>
      </c>
      <c r="I203" s="43">
        <f t="shared" si="148"/>
        <v>12</v>
      </c>
      <c r="J203" s="43">
        <f t="shared" si="156"/>
        <v>5100</v>
      </c>
      <c r="K203" s="119">
        <f>'LOE Breakdown by Year'!F54</f>
        <v>0.1</v>
      </c>
      <c r="L203" s="43">
        <f t="shared" si="149"/>
        <v>12</v>
      </c>
      <c r="M203" s="43">
        <f t="shared" si="157"/>
        <v>3570</v>
      </c>
      <c r="N203" s="119">
        <f>'LOE Breakdown by Year'!F94</f>
        <v>0.1</v>
      </c>
      <c r="O203" s="43">
        <f t="shared" si="150"/>
        <v>12</v>
      </c>
      <c r="P203" s="43">
        <f t="shared" si="158"/>
        <v>3748.5</v>
      </c>
      <c r="Q203" s="119">
        <f>'LOE Breakdown by Year'!F134</f>
        <v>0.1</v>
      </c>
      <c r="R203" s="43">
        <f t="shared" si="151"/>
        <v>2</v>
      </c>
      <c r="S203" s="43">
        <f t="shared" si="159"/>
        <v>655.98750000000018</v>
      </c>
      <c r="T203" s="43">
        <f t="shared" si="160"/>
        <v>13074.487499999999</v>
      </c>
      <c r="U203" s="43">
        <v>0</v>
      </c>
      <c r="V203" s="43">
        <f t="shared" si="161"/>
        <v>13074.487499999999</v>
      </c>
    </row>
    <row r="204" spans="1:22" hidden="1">
      <c r="A204" s="7" t="s">
        <v>748</v>
      </c>
      <c r="B204" s="44">
        <v>70000</v>
      </c>
      <c r="C204" s="7" t="s">
        <v>710</v>
      </c>
      <c r="D204" s="7" t="str">
        <f t="shared" si="146"/>
        <v>Cacao Field Officer</v>
      </c>
      <c r="E204" s="43">
        <v>0</v>
      </c>
      <c r="F204" s="49" t="s">
        <v>95</v>
      </c>
      <c r="G204" s="43">
        <f t="shared" si="147"/>
        <v>1333.3333333333333</v>
      </c>
      <c r="H204" s="119">
        <f>'LOE Breakdown by Year'!F15</f>
        <v>0</v>
      </c>
      <c r="I204" s="43">
        <f t="shared" si="148"/>
        <v>12</v>
      </c>
      <c r="J204" s="43">
        <f t="shared" si="156"/>
        <v>0</v>
      </c>
      <c r="K204" s="119">
        <f>'LOE Breakdown by Year'!F55</f>
        <v>0</v>
      </c>
      <c r="L204" s="43">
        <f t="shared" si="149"/>
        <v>12</v>
      </c>
      <c r="M204" s="43">
        <f t="shared" si="157"/>
        <v>0</v>
      </c>
      <c r="N204" s="119">
        <f>'LOE Breakdown by Year'!F95</f>
        <v>0</v>
      </c>
      <c r="O204" s="43">
        <f t="shared" si="150"/>
        <v>12</v>
      </c>
      <c r="P204" s="43">
        <f t="shared" si="158"/>
        <v>0</v>
      </c>
      <c r="Q204" s="119">
        <f>'LOE Breakdown by Year'!F135</f>
        <v>0</v>
      </c>
      <c r="R204" s="43">
        <f t="shared" si="151"/>
        <v>0</v>
      </c>
      <c r="S204" s="43">
        <f t="shared" si="159"/>
        <v>0</v>
      </c>
      <c r="T204" s="43">
        <f t="shared" si="160"/>
        <v>0</v>
      </c>
      <c r="U204" s="43">
        <v>0</v>
      </c>
      <c r="V204" s="43">
        <f t="shared" si="161"/>
        <v>0</v>
      </c>
    </row>
    <row r="205" spans="1:22" ht="25.2" hidden="1">
      <c r="A205" s="7" t="s">
        <v>748</v>
      </c>
      <c r="B205" s="44">
        <v>70000</v>
      </c>
      <c r="C205" s="7" t="s">
        <v>710</v>
      </c>
      <c r="D205" s="7" t="str">
        <f t="shared" si="146"/>
        <v>Cacao &amp; Complementary Crop Technical Field Leader (2)</v>
      </c>
      <c r="E205" s="43">
        <v>0</v>
      </c>
      <c r="F205" s="49" t="s">
        <v>95</v>
      </c>
      <c r="G205" s="43">
        <f t="shared" si="147"/>
        <v>3500</v>
      </c>
      <c r="H205" s="119">
        <f>'LOE Breakdown by Year'!F16</f>
        <v>0</v>
      </c>
      <c r="I205" s="43">
        <f t="shared" si="148"/>
        <v>6</v>
      </c>
      <c r="J205" s="43">
        <f t="shared" si="156"/>
        <v>0</v>
      </c>
      <c r="K205" s="119">
        <f>'LOE Breakdown by Year'!F56</f>
        <v>0</v>
      </c>
      <c r="L205" s="43">
        <f t="shared" si="149"/>
        <v>12</v>
      </c>
      <c r="M205" s="43">
        <f t="shared" si="157"/>
        <v>0</v>
      </c>
      <c r="N205" s="119">
        <f>'LOE Breakdown by Year'!F96</f>
        <v>0</v>
      </c>
      <c r="O205" s="43">
        <f t="shared" si="150"/>
        <v>12</v>
      </c>
      <c r="P205" s="43">
        <f t="shared" si="158"/>
        <v>0</v>
      </c>
      <c r="Q205" s="119">
        <f>'LOE Breakdown by Year'!F136</f>
        <v>0</v>
      </c>
      <c r="R205" s="43">
        <f t="shared" si="151"/>
        <v>0</v>
      </c>
      <c r="S205" s="43">
        <f t="shared" si="159"/>
        <v>0</v>
      </c>
      <c r="T205" s="43">
        <f t="shared" si="160"/>
        <v>0</v>
      </c>
      <c r="U205" s="43">
        <v>0</v>
      </c>
      <c r="V205" s="43">
        <f t="shared" si="161"/>
        <v>0</v>
      </c>
    </row>
    <row r="206" spans="1:22" hidden="1">
      <c r="A206" s="7" t="s">
        <v>748</v>
      </c>
      <c r="B206" s="44">
        <v>70000</v>
      </c>
      <c r="C206" s="7" t="s">
        <v>710</v>
      </c>
      <c r="D206" s="7" t="str">
        <f t="shared" si="146"/>
        <v>Extension Agents (45 in Y5 and 25 in Y6)</v>
      </c>
      <c r="E206" s="43">
        <v>0</v>
      </c>
      <c r="F206" s="49" t="s">
        <v>95</v>
      </c>
      <c r="G206" s="43">
        <f t="shared" si="147"/>
        <v>1000</v>
      </c>
      <c r="H206" s="119">
        <f>'LOE Breakdown by Year'!F17</f>
        <v>0</v>
      </c>
      <c r="I206" s="43">
        <f t="shared" si="148"/>
        <v>12</v>
      </c>
      <c r="J206" s="43">
        <f t="shared" si="156"/>
        <v>0</v>
      </c>
      <c r="K206" s="119">
        <f>'LOE Breakdown by Year'!F57</f>
        <v>0</v>
      </c>
      <c r="L206" s="43">
        <f t="shared" si="149"/>
        <v>12</v>
      </c>
      <c r="M206" s="43">
        <f t="shared" si="157"/>
        <v>0</v>
      </c>
      <c r="N206" s="119">
        <f>'LOE Breakdown by Year'!F97</f>
        <v>0</v>
      </c>
      <c r="O206" s="43">
        <f t="shared" si="150"/>
        <v>0</v>
      </c>
      <c r="P206" s="43">
        <f t="shared" si="158"/>
        <v>0</v>
      </c>
      <c r="Q206" s="119">
        <f>'LOE Breakdown by Year'!F137</f>
        <v>0</v>
      </c>
      <c r="R206" s="43">
        <f t="shared" si="151"/>
        <v>0</v>
      </c>
      <c r="S206" s="43">
        <f t="shared" si="159"/>
        <v>0</v>
      </c>
      <c r="T206" s="43">
        <f t="shared" si="160"/>
        <v>0</v>
      </c>
      <c r="U206" s="43">
        <v>0</v>
      </c>
      <c r="V206" s="43">
        <f t="shared" si="161"/>
        <v>0</v>
      </c>
    </row>
    <row r="207" spans="1:22" ht="25.2">
      <c r="A207" s="7" t="s">
        <v>748</v>
      </c>
      <c r="B207" s="44">
        <v>70000</v>
      </c>
      <c r="C207" s="7" t="s">
        <v>710</v>
      </c>
      <c r="D207" s="7" t="str">
        <f t="shared" si="146"/>
        <v>Activity Lead Agribusiness Senior Specialist (Complementary Crop)</v>
      </c>
      <c r="E207" s="43">
        <v>15350.92</v>
      </c>
      <c r="F207" s="49" t="s">
        <v>95</v>
      </c>
      <c r="G207" s="43">
        <f t="shared" si="147"/>
        <v>2833.3333333333335</v>
      </c>
      <c r="H207" s="119">
        <f>'LOE Breakdown by Year'!F18</f>
        <v>0</v>
      </c>
      <c r="I207" s="43">
        <f t="shared" si="148"/>
        <v>12</v>
      </c>
      <c r="J207" s="43">
        <f t="shared" si="156"/>
        <v>0</v>
      </c>
      <c r="K207" s="119">
        <f>'LOE Breakdown by Year'!F58</f>
        <v>0</v>
      </c>
      <c r="L207" s="43">
        <f t="shared" si="149"/>
        <v>12</v>
      </c>
      <c r="M207" s="43">
        <f t="shared" si="157"/>
        <v>0</v>
      </c>
      <c r="N207" s="119">
        <f>'LOE Breakdown by Year'!F98</f>
        <v>0</v>
      </c>
      <c r="O207" s="43">
        <f t="shared" si="150"/>
        <v>12</v>
      </c>
      <c r="P207" s="43">
        <f t="shared" si="158"/>
        <v>0</v>
      </c>
      <c r="Q207" s="119">
        <f>'LOE Breakdown by Year'!F138</f>
        <v>0</v>
      </c>
      <c r="R207" s="43">
        <f t="shared" si="151"/>
        <v>0</v>
      </c>
      <c r="S207" s="43">
        <f t="shared" si="159"/>
        <v>0</v>
      </c>
      <c r="T207" s="43">
        <f t="shared" si="160"/>
        <v>15350.92</v>
      </c>
      <c r="U207" s="43">
        <v>0</v>
      </c>
      <c r="V207" s="43">
        <f t="shared" si="161"/>
        <v>15350.92</v>
      </c>
    </row>
    <row r="208" spans="1:22" hidden="1">
      <c r="A208" s="7" t="s">
        <v>748</v>
      </c>
      <c r="B208" s="44">
        <v>70000</v>
      </c>
      <c r="C208" s="7" t="s">
        <v>710</v>
      </c>
      <c r="D208" s="7" t="str">
        <f t="shared" si="146"/>
        <v>Complementary Crops Field Officer</v>
      </c>
      <c r="E208" s="43">
        <v>0</v>
      </c>
      <c r="F208" s="49" t="s">
        <v>95</v>
      </c>
      <c r="G208" s="43">
        <f t="shared" si="147"/>
        <v>0</v>
      </c>
      <c r="H208" s="119">
        <f>'LOE Breakdown by Year'!F19</f>
        <v>0</v>
      </c>
      <c r="I208" s="43">
        <f t="shared" si="148"/>
        <v>0</v>
      </c>
      <c r="J208" s="43">
        <f t="shared" si="156"/>
        <v>0</v>
      </c>
      <c r="K208" s="119">
        <f>'LOE Breakdown by Year'!F59</f>
        <v>0</v>
      </c>
      <c r="L208" s="43">
        <f t="shared" si="149"/>
        <v>12</v>
      </c>
      <c r="M208" s="43">
        <f t="shared" si="157"/>
        <v>0</v>
      </c>
      <c r="N208" s="119">
        <f>'LOE Breakdown by Year'!F99</f>
        <v>0</v>
      </c>
      <c r="O208" s="43">
        <f t="shared" si="150"/>
        <v>12</v>
      </c>
      <c r="P208" s="43">
        <f t="shared" si="158"/>
        <v>0</v>
      </c>
      <c r="Q208" s="119">
        <f>'LOE Breakdown by Year'!F139</f>
        <v>0</v>
      </c>
      <c r="R208" s="43">
        <f t="shared" si="151"/>
        <v>0</v>
      </c>
      <c r="S208" s="43">
        <f t="shared" si="159"/>
        <v>0</v>
      </c>
      <c r="T208" s="43">
        <f t="shared" si="160"/>
        <v>0</v>
      </c>
      <c r="U208" s="43">
        <v>0</v>
      </c>
      <c r="V208" s="43">
        <f t="shared" si="161"/>
        <v>0</v>
      </c>
    </row>
    <row r="209" spans="1:22" hidden="1">
      <c r="A209" s="7" t="s">
        <v>748</v>
      </c>
      <c r="B209" s="44">
        <v>70000</v>
      </c>
      <c r="C209" s="7" t="s">
        <v>710</v>
      </c>
      <c r="D209" s="7" t="str">
        <f t="shared" si="146"/>
        <v>EPSEAS Specialist</v>
      </c>
      <c r="E209" s="43">
        <v>0</v>
      </c>
      <c r="F209" s="49" t="s">
        <v>95</v>
      </c>
      <c r="G209" s="43">
        <f t="shared" si="147"/>
        <v>0</v>
      </c>
      <c r="H209" s="119">
        <f>'LOE Breakdown by Year'!F20</f>
        <v>0</v>
      </c>
      <c r="I209" s="43">
        <f t="shared" si="148"/>
        <v>0</v>
      </c>
      <c r="J209" s="43">
        <f t="shared" si="156"/>
        <v>0</v>
      </c>
      <c r="K209" s="119">
        <f>'LOE Breakdown by Year'!F60</f>
        <v>0</v>
      </c>
      <c r="L209" s="43">
        <f t="shared" si="149"/>
        <v>12</v>
      </c>
      <c r="M209" s="43">
        <f t="shared" si="157"/>
        <v>0</v>
      </c>
      <c r="N209" s="119">
        <f>'LOE Breakdown by Year'!F100</f>
        <v>0</v>
      </c>
      <c r="O209" s="43">
        <f t="shared" si="150"/>
        <v>12</v>
      </c>
      <c r="P209" s="43">
        <f t="shared" si="158"/>
        <v>0</v>
      </c>
      <c r="Q209" s="119">
        <f>'LOE Breakdown by Year'!F140</f>
        <v>0</v>
      </c>
      <c r="R209" s="43">
        <f t="shared" si="151"/>
        <v>0</v>
      </c>
      <c r="S209" s="43">
        <f t="shared" si="159"/>
        <v>0</v>
      </c>
      <c r="T209" s="43">
        <f t="shared" si="160"/>
        <v>0</v>
      </c>
      <c r="U209" s="43">
        <v>0</v>
      </c>
      <c r="V209" s="43">
        <f t="shared" si="161"/>
        <v>0</v>
      </c>
    </row>
    <row r="210" spans="1:22" hidden="1">
      <c r="A210" s="7" t="s">
        <v>748</v>
      </c>
      <c r="B210" s="44">
        <v>70000</v>
      </c>
      <c r="C210" s="7" t="s">
        <v>710</v>
      </c>
      <c r="D210" s="7" t="str">
        <f t="shared" si="146"/>
        <v>Extension Agents for EPSEAS (20 in Y6 and 25 in Y7)</v>
      </c>
      <c r="E210" s="43">
        <v>0</v>
      </c>
      <c r="F210" s="49" t="s">
        <v>95</v>
      </c>
      <c r="G210" s="43">
        <f t="shared" si="147"/>
        <v>1000</v>
      </c>
      <c r="H210" s="119">
        <f>'LOE Breakdown by Year'!F21</f>
        <v>0</v>
      </c>
      <c r="I210" s="43">
        <f t="shared" si="148"/>
        <v>0</v>
      </c>
      <c r="J210" s="43">
        <f t="shared" si="156"/>
        <v>0</v>
      </c>
      <c r="K210" s="119">
        <f>'LOE Breakdown by Year'!F61</f>
        <v>0</v>
      </c>
      <c r="L210" s="43">
        <f t="shared" si="149"/>
        <v>12</v>
      </c>
      <c r="M210" s="43">
        <f t="shared" si="157"/>
        <v>0</v>
      </c>
      <c r="N210" s="119">
        <f>'LOE Breakdown by Year'!F101</f>
        <v>0</v>
      </c>
      <c r="O210" s="43">
        <f t="shared" si="150"/>
        <v>12</v>
      </c>
      <c r="P210" s="43">
        <f t="shared" si="158"/>
        <v>0</v>
      </c>
      <c r="Q210" s="119">
        <f>'LOE Breakdown by Year'!F141</f>
        <v>0</v>
      </c>
      <c r="R210" s="43">
        <f t="shared" si="151"/>
        <v>0</v>
      </c>
      <c r="S210" s="43">
        <f t="shared" si="159"/>
        <v>0</v>
      </c>
      <c r="T210" s="43">
        <f t="shared" si="160"/>
        <v>0</v>
      </c>
      <c r="U210" s="43">
        <v>0</v>
      </c>
      <c r="V210" s="43">
        <f t="shared" si="161"/>
        <v>0</v>
      </c>
    </row>
    <row r="211" spans="1:22">
      <c r="A211" s="7" t="s">
        <v>748</v>
      </c>
      <c r="B211" s="44">
        <v>70000</v>
      </c>
      <c r="C211" s="7" t="s">
        <v>710</v>
      </c>
      <c r="D211" s="7" t="str">
        <f t="shared" si="146"/>
        <v xml:space="preserve">Senior M&amp;E Director </v>
      </c>
      <c r="E211" s="43">
        <v>8050.18</v>
      </c>
      <c r="F211" s="49" t="s">
        <v>95</v>
      </c>
      <c r="G211" s="43">
        <f t="shared" si="147"/>
        <v>6250</v>
      </c>
      <c r="H211" s="119">
        <f>'LOE Breakdown by Year'!F22</f>
        <v>0.15</v>
      </c>
      <c r="I211" s="43">
        <f t="shared" si="148"/>
        <v>12</v>
      </c>
      <c r="J211" s="43">
        <f t="shared" si="156"/>
        <v>11250</v>
      </c>
      <c r="K211" s="119">
        <f>'LOE Breakdown by Year'!F62</f>
        <v>0.19</v>
      </c>
      <c r="L211" s="43">
        <f t="shared" si="149"/>
        <v>12</v>
      </c>
      <c r="M211" s="43">
        <f t="shared" si="157"/>
        <v>14962.5</v>
      </c>
      <c r="N211" s="119">
        <f>'LOE Breakdown by Year'!F102</f>
        <v>0.19</v>
      </c>
      <c r="O211" s="43">
        <f t="shared" si="150"/>
        <v>12</v>
      </c>
      <c r="P211" s="43">
        <f t="shared" si="158"/>
        <v>15710.625</v>
      </c>
      <c r="Q211" s="119">
        <f>'LOE Breakdown by Year'!F142</f>
        <v>0.19</v>
      </c>
      <c r="R211" s="43">
        <f t="shared" si="151"/>
        <v>6</v>
      </c>
      <c r="S211" s="43">
        <f t="shared" si="159"/>
        <v>8248.078125</v>
      </c>
      <c r="T211" s="43">
        <f t="shared" si="160"/>
        <v>58221.383125</v>
      </c>
      <c r="U211" s="43">
        <v>0</v>
      </c>
      <c r="V211" s="43">
        <f t="shared" si="161"/>
        <v>58221.383125</v>
      </c>
    </row>
    <row r="212" spans="1:22">
      <c r="A212" s="7" t="s">
        <v>748</v>
      </c>
      <c r="B212" s="44">
        <v>70000</v>
      </c>
      <c r="C212" s="7" t="s">
        <v>710</v>
      </c>
      <c r="D212" s="7" t="str">
        <f t="shared" si="146"/>
        <v>Senior M&amp;E Specialist</v>
      </c>
      <c r="E212" s="43">
        <v>7070.18</v>
      </c>
      <c r="F212" s="49" t="s">
        <v>95</v>
      </c>
      <c r="G212" s="43">
        <f t="shared" si="147"/>
        <v>2833.3333333333335</v>
      </c>
      <c r="H212" s="119">
        <f>'LOE Breakdown by Year'!F23</f>
        <v>0.15</v>
      </c>
      <c r="I212" s="43">
        <f t="shared" si="148"/>
        <v>12</v>
      </c>
      <c r="J212" s="43">
        <f t="shared" si="156"/>
        <v>5100</v>
      </c>
      <c r="K212" s="119">
        <f>'LOE Breakdown by Year'!F63</f>
        <v>0.19</v>
      </c>
      <c r="L212" s="43">
        <f t="shared" si="149"/>
        <v>12</v>
      </c>
      <c r="M212" s="43">
        <f t="shared" si="157"/>
        <v>6783</v>
      </c>
      <c r="N212" s="119">
        <f>'LOE Breakdown by Year'!F103</f>
        <v>0.19</v>
      </c>
      <c r="O212" s="43">
        <f t="shared" si="150"/>
        <v>12</v>
      </c>
      <c r="P212" s="43">
        <f t="shared" si="158"/>
        <v>7122.1500000000005</v>
      </c>
      <c r="Q212" s="119">
        <f>'LOE Breakdown by Year'!F143</f>
        <v>0.19</v>
      </c>
      <c r="R212" s="43">
        <f t="shared" si="151"/>
        <v>6</v>
      </c>
      <c r="S212" s="43">
        <f t="shared" si="159"/>
        <v>3739.1287500000003</v>
      </c>
      <c r="T212" s="43">
        <f t="shared" si="160"/>
        <v>29814.458750000002</v>
      </c>
      <c r="U212" s="43">
        <v>0</v>
      </c>
      <c r="V212" s="43">
        <f t="shared" si="161"/>
        <v>29814.458750000002</v>
      </c>
    </row>
    <row r="213" spans="1:22">
      <c r="A213" s="7" t="s">
        <v>748</v>
      </c>
      <c r="B213" s="44">
        <v>70000</v>
      </c>
      <c r="C213" s="7" t="s">
        <v>710</v>
      </c>
      <c r="D213" s="7" t="str">
        <f t="shared" si="146"/>
        <v>M&amp;E Specialist</v>
      </c>
      <c r="E213" s="43">
        <v>4060.12</v>
      </c>
      <c r="F213" s="49" t="s">
        <v>95</v>
      </c>
      <c r="G213" s="43">
        <f t="shared" si="147"/>
        <v>2500</v>
      </c>
      <c r="H213" s="119">
        <f>'LOE Breakdown by Year'!F24</f>
        <v>0.15</v>
      </c>
      <c r="I213" s="43">
        <f t="shared" si="148"/>
        <v>12</v>
      </c>
      <c r="J213" s="43">
        <f t="shared" si="156"/>
        <v>4500</v>
      </c>
      <c r="K213" s="119">
        <f>'LOE Breakdown by Year'!F64</f>
        <v>0.19</v>
      </c>
      <c r="L213" s="43">
        <f t="shared" si="149"/>
        <v>12</v>
      </c>
      <c r="M213" s="43">
        <f t="shared" si="157"/>
        <v>5985</v>
      </c>
      <c r="N213" s="119">
        <f>'LOE Breakdown by Year'!F104</f>
        <v>0.19</v>
      </c>
      <c r="O213" s="43">
        <f t="shared" si="150"/>
        <v>12</v>
      </c>
      <c r="P213" s="43">
        <f t="shared" si="158"/>
        <v>6284.25</v>
      </c>
      <c r="Q213" s="119">
        <f>'LOE Breakdown by Year'!F144</f>
        <v>0.19</v>
      </c>
      <c r="R213" s="43">
        <f t="shared" si="151"/>
        <v>3</v>
      </c>
      <c r="S213" s="43">
        <f t="shared" si="159"/>
        <v>1649.6156250000001</v>
      </c>
      <c r="T213" s="43">
        <f t="shared" si="160"/>
        <v>22478.985624999998</v>
      </c>
      <c r="U213" s="43">
        <v>0</v>
      </c>
      <c r="V213" s="43">
        <f t="shared" si="161"/>
        <v>22478.985624999998</v>
      </c>
    </row>
    <row r="214" spans="1:22">
      <c r="A214" s="7" t="s">
        <v>748</v>
      </c>
      <c r="B214" s="44">
        <v>70000</v>
      </c>
      <c r="C214" s="7" t="s">
        <v>710</v>
      </c>
      <c r="D214" s="7" t="str">
        <f t="shared" si="146"/>
        <v>M&amp;E Officer</v>
      </c>
      <c r="E214" s="43">
        <v>2030.0600000000002</v>
      </c>
      <c r="F214" s="49" t="s">
        <v>95</v>
      </c>
      <c r="G214" s="43">
        <f t="shared" si="147"/>
        <v>1000</v>
      </c>
      <c r="H214" s="119">
        <f>'LOE Breakdown by Year'!F25</f>
        <v>0.15</v>
      </c>
      <c r="I214" s="43">
        <f t="shared" si="148"/>
        <v>12</v>
      </c>
      <c r="J214" s="43">
        <f t="shared" si="156"/>
        <v>1800</v>
      </c>
      <c r="K214" s="119">
        <f>'LOE Breakdown by Year'!F65</f>
        <v>0.4</v>
      </c>
      <c r="L214" s="43">
        <f t="shared" si="149"/>
        <v>12</v>
      </c>
      <c r="M214" s="43">
        <f t="shared" si="157"/>
        <v>5040</v>
      </c>
      <c r="N214" s="119">
        <f>'LOE Breakdown by Year'!F105</f>
        <v>0.4</v>
      </c>
      <c r="O214" s="43">
        <f t="shared" si="150"/>
        <v>12</v>
      </c>
      <c r="P214" s="43">
        <f t="shared" si="158"/>
        <v>5292</v>
      </c>
      <c r="Q214" s="119">
        <f>'LOE Breakdown by Year'!F145</f>
        <v>0.4</v>
      </c>
      <c r="R214" s="43">
        <f t="shared" si="151"/>
        <v>3</v>
      </c>
      <c r="S214" s="43">
        <f t="shared" si="159"/>
        <v>1389.15</v>
      </c>
      <c r="T214" s="43">
        <f t="shared" si="160"/>
        <v>15551.21</v>
      </c>
      <c r="U214" s="43">
        <v>0</v>
      </c>
      <c r="V214" s="43">
        <f t="shared" si="161"/>
        <v>15551.21</v>
      </c>
    </row>
    <row r="215" spans="1:22">
      <c r="A215" s="7" t="s">
        <v>748</v>
      </c>
      <c r="B215" s="44">
        <v>70000</v>
      </c>
      <c r="C215" s="7" t="s">
        <v>710</v>
      </c>
      <c r="D215" s="7" t="str">
        <f t="shared" si="146"/>
        <v>Partnerships and Investment Director</v>
      </c>
      <c r="E215" s="43">
        <v>41280.740000000005</v>
      </c>
      <c r="F215" s="49" t="s">
        <v>95</v>
      </c>
      <c r="G215" s="43">
        <f t="shared" si="147"/>
        <v>4583.333333333333</v>
      </c>
      <c r="H215" s="119">
        <f>'LOE Breakdown by Year'!F26</f>
        <v>0.15</v>
      </c>
      <c r="I215" s="43">
        <f t="shared" si="148"/>
        <v>12</v>
      </c>
      <c r="J215" s="43">
        <f t="shared" si="156"/>
        <v>8250</v>
      </c>
      <c r="K215" s="119">
        <f>'LOE Breakdown by Year'!F66</f>
        <v>0.4</v>
      </c>
      <c r="L215" s="43">
        <f t="shared" si="149"/>
        <v>12</v>
      </c>
      <c r="M215" s="43">
        <f t="shared" si="157"/>
        <v>23100</v>
      </c>
      <c r="N215" s="119">
        <f>'LOE Breakdown by Year'!F106</f>
        <v>0.4</v>
      </c>
      <c r="O215" s="43">
        <f t="shared" si="150"/>
        <v>12</v>
      </c>
      <c r="P215" s="43">
        <f t="shared" si="158"/>
        <v>24255</v>
      </c>
      <c r="Q215" s="119">
        <f>'LOE Breakdown by Year'!F146</f>
        <v>0.4</v>
      </c>
      <c r="R215" s="43">
        <f t="shared" si="151"/>
        <v>0</v>
      </c>
      <c r="S215" s="43">
        <f t="shared" si="159"/>
        <v>0</v>
      </c>
      <c r="T215" s="43">
        <f t="shared" si="160"/>
        <v>96885.74</v>
      </c>
      <c r="U215" s="43">
        <v>0</v>
      </c>
      <c r="V215" s="43">
        <f t="shared" si="161"/>
        <v>96885.74</v>
      </c>
    </row>
    <row r="216" spans="1:22">
      <c r="A216" s="7" t="s">
        <v>748</v>
      </c>
      <c r="B216" s="44">
        <v>70000</v>
      </c>
      <c r="C216" s="7" t="s">
        <v>710</v>
      </c>
      <c r="D216" s="7" t="str">
        <f t="shared" si="146"/>
        <v>Partnerships and Investment Specialist</v>
      </c>
      <c r="E216" s="43">
        <v>0</v>
      </c>
      <c r="F216" s="49" t="s">
        <v>95</v>
      </c>
      <c r="G216" s="43">
        <f t="shared" si="147"/>
        <v>1750</v>
      </c>
      <c r="H216" s="119">
        <f>'LOE Breakdown by Year'!F27</f>
        <v>0.15</v>
      </c>
      <c r="I216" s="43">
        <f t="shared" si="148"/>
        <v>12</v>
      </c>
      <c r="J216" s="43">
        <f t="shared" si="156"/>
        <v>3150</v>
      </c>
      <c r="K216" s="119">
        <f>'LOE Breakdown by Year'!F67</f>
        <v>0.2</v>
      </c>
      <c r="L216" s="43">
        <f t="shared" si="149"/>
        <v>12</v>
      </c>
      <c r="M216" s="43">
        <f t="shared" si="157"/>
        <v>4410</v>
      </c>
      <c r="N216" s="119">
        <f>'LOE Breakdown by Year'!F107</f>
        <v>0.2</v>
      </c>
      <c r="O216" s="43">
        <f t="shared" si="150"/>
        <v>12</v>
      </c>
      <c r="P216" s="43">
        <f t="shared" si="158"/>
        <v>4630.5</v>
      </c>
      <c r="Q216" s="119">
        <f>'LOE Breakdown by Year'!F147</f>
        <v>0.2</v>
      </c>
      <c r="R216" s="43">
        <f t="shared" si="151"/>
        <v>0</v>
      </c>
      <c r="S216" s="43">
        <f t="shared" si="159"/>
        <v>0</v>
      </c>
      <c r="T216" s="43">
        <f t="shared" si="160"/>
        <v>12190.5</v>
      </c>
      <c r="U216" s="43">
        <v>0</v>
      </c>
      <c r="V216" s="43">
        <f t="shared" si="161"/>
        <v>12190.5</v>
      </c>
    </row>
    <row r="217" spans="1:22">
      <c r="A217" s="7" t="s">
        <v>748</v>
      </c>
      <c r="B217" s="44">
        <v>70000</v>
      </c>
      <c r="C217" s="7" t="s">
        <v>710</v>
      </c>
      <c r="D217" s="7" t="str">
        <f t="shared" si="146"/>
        <v>Organizational Strengthening Specialist</v>
      </c>
      <c r="E217" s="43">
        <v>0</v>
      </c>
      <c r="F217" s="49" t="s">
        <v>95</v>
      </c>
      <c r="G217" s="43">
        <f t="shared" si="147"/>
        <v>1750</v>
      </c>
      <c r="H217" s="119">
        <f>'LOE Breakdown by Year'!F28</f>
        <v>0.15</v>
      </c>
      <c r="I217" s="43">
        <f t="shared" si="148"/>
        <v>12</v>
      </c>
      <c r="J217" s="43">
        <f t="shared" si="156"/>
        <v>3150</v>
      </c>
      <c r="K217" s="119">
        <f>'LOE Breakdown by Year'!F68</f>
        <v>0.5</v>
      </c>
      <c r="L217" s="43">
        <f t="shared" si="149"/>
        <v>12</v>
      </c>
      <c r="M217" s="43">
        <f t="shared" si="157"/>
        <v>11025</v>
      </c>
      <c r="N217" s="119">
        <f>'LOE Breakdown by Year'!F108</f>
        <v>0.5</v>
      </c>
      <c r="O217" s="43">
        <f t="shared" si="150"/>
        <v>12</v>
      </c>
      <c r="P217" s="43">
        <f t="shared" si="158"/>
        <v>11576.25</v>
      </c>
      <c r="Q217" s="119">
        <f>'LOE Breakdown by Year'!F148</f>
        <v>0.5</v>
      </c>
      <c r="R217" s="43">
        <f t="shared" si="151"/>
        <v>0</v>
      </c>
      <c r="S217" s="43">
        <f t="shared" si="159"/>
        <v>0</v>
      </c>
      <c r="T217" s="43">
        <f t="shared" si="160"/>
        <v>25751.25</v>
      </c>
      <c r="U217" s="43">
        <v>0</v>
      </c>
      <c r="V217" s="43">
        <f t="shared" si="161"/>
        <v>25751.25</v>
      </c>
    </row>
    <row r="218" spans="1:22" hidden="1">
      <c r="A218" s="7" t="s">
        <v>748</v>
      </c>
      <c r="B218" s="44">
        <v>70000</v>
      </c>
      <c r="C218" s="7" t="s">
        <v>710</v>
      </c>
      <c r="D218" s="7" t="str">
        <f t="shared" si="146"/>
        <v>Value Chain Strengthening Director</v>
      </c>
      <c r="E218" s="43">
        <v>0</v>
      </c>
      <c r="F218" s="49" t="s">
        <v>95</v>
      </c>
      <c r="G218" s="43">
        <f t="shared" si="147"/>
        <v>0</v>
      </c>
      <c r="H218" s="119">
        <f>'LOE Breakdown by Year'!F29</f>
        <v>0.15</v>
      </c>
      <c r="I218" s="43">
        <f t="shared" si="148"/>
        <v>12</v>
      </c>
      <c r="J218" s="43">
        <f t="shared" si="156"/>
        <v>0</v>
      </c>
      <c r="K218" s="119">
        <f>'LOE Breakdown by Year'!F69</f>
        <v>0.05</v>
      </c>
      <c r="L218" s="43">
        <f t="shared" si="149"/>
        <v>12</v>
      </c>
      <c r="M218" s="43">
        <f t="shared" si="157"/>
        <v>0</v>
      </c>
      <c r="N218" s="119">
        <f>'LOE Breakdown by Year'!F109</f>
        <v>0.05</v>
      </c>
      <c r="O218" s="43">
        <f t="shared" si="150"/>
        <v>12</v>
      </c>
      <c r="P218" s="43">
        <f t="shared" si="158"/>
        <v>0</v>
      </c>
      <c r="Q218" s="119">
        <f>'LOE Breakdown by Year'!F149</f>
        <v>0.05</v>
      </c>
      <c r="R218" s="43">
        <f t="shared" si="151"/>
        <v>4</v>
      </c>
      <c r="S218" s="43">
        <f t="shared" si="159"/>
        <v>0</v>
      </c>
      <c r="T218" s="43">
        <f t="shared" si="160"/>
        <v>0</v>
      </c>
      <c r="U218" s="43">
        <v>0</v>
      </c>
      <c r="V218" s="43">
        <f t="shared" si="161"/>
        <v>0</v>
      </c>
    </row>
    <row r="219" spans="1:22">
      <c r="A219" s="7" t="s">
        <v>748</v>
      </c>
      <c r="B219" s="44">
        <v>70000</v>
      </c>
      <c r="C219" s="7" t="s">
        <v>710</v>
      </c>
      <c r="D219" s="7" t="str">
        <f t="shared" si="146"/>
        <v>Communications Specialist</v>
      </c>
      <c r="E219" s="43">
        <v>0</v>
      </c>
      <c r="F219" s="49" t="s">
        <v>95</v>
      </c>
      <c r="G219" s="43">
        <f t="shared" si="147"/>
        <v>1750</v>
      </c>
      <c r="H219" s="119">
        <f>'LOE Breakdown by Year'!F30</f>
        <v>0.15</v>
      </c>
      <c r="I219" s="43">
        <f t="shared" si="148"/>
        <v>12</v>
      </c>
      <c r="J219" s="43">
        <f t="shared" ref="J219:J229" si="162">I219*G219*$H219</f>
        <v>3150</v>
      </c>
      <c r="K219" s="119">
        <f>'LOE Breakdown by Year'!F70</f>
        <v>0.18</v>
      </c>
      <c r="L219" s="43">
        <f t="shared" si="149"/>
        <v>12</v>
      </c>
      <c r="M219" s="43">
        <f t="shared" ref="M219:M229" si="163">L219*G219*$K219*$E$8</f>
        <v>3969</v>
      </c>
      <c r="N219" s="119">
        <f>'LOE Breakdown by Year'!F110</f>
        <v>0.18</v>
      </c>
      <c r="O219" s="43">
        <f t="shared" si="150"/>
        <v>12</v>
      </c>
      <c r="P219" s="43">
        <f t="shared" ref="P219:P229" si="164">O219*G219*$N219*$E$8*$E$8</f>
        <v>4167.45</v>
      </c>
      <c r="Q219" s="119">
        <f>'LOE Breakdown by Year'!F150</f>
        <v>0.18</v>
      </c>
      <c r="R219" s="43">
        <f t="shared" si="151"/>
        <v>0</v>
      </c>
      <c r="S219" s="43">
        <f t="shared" ref="S219:S229" si="165">R219*G219*$Q219*$E$8*$E$8*$E$8</f>
        <v>0</v>
      </c>
      <c r="T219" s="43">
        <f t="shared" ref="T219:T229" si="166">SUM(P219,M219,J219,E219,S219)</f>
        <v>11286.45</v>
      </c>
      <c r="U219" s="43">
        <v>0</v>
      </c>
      <c r="V219" s="43">
        <f t="shared" ref="V219:V229" si="167">SUM(T219:U219)</f>
        <v>11286.45</v>
      </c>
    </row>
    <row r="220" spans="1:22">
      <c r="A220" s="7" t="s">
        <v>748</v>
      </c>
      <c r="B220" s="44">
        <v>70000</v>
      </c>
      <c r="C220" s="7" t="s">
        <v>710</v>
      </c>
      <c r="D220" s="7" t="str">
        <f t="shared" si="146"/>
        <v>Value Chain Specialist</v>
      </c>
      <c r="E220" s="43">
        <v>0</v>
      </c>
      <c r="F220" s="49" t="s">
        <v>95</v>
      </c>
      <c r="G220" s="43">
        <f t="shared" si="147"/>
        <v>2500</v>
      </c>
      <c r="H220" s="119">
        <f>'LOE Breakdown by Year'!F31</f>
        <v>0.15</v>
      </c>
      <c r="I220" s="43">
        <f t="shared" si="148"/>
        <v>12</v>
      </c>
      <c r="J220" s="43">
        <f t="shared" si="162"/>
        <v>4500</v>
      </c>
      <c r="K220" s="119">
        <f>'LOE Breakdown by Year'!F71</f>
        <v>0</v>
      </c>
      <c r="L220" s="43">
        <f t="shared" si="149"/>
        <v>12</v>
      </c>
      <c r="M220" s="43">
        <f t="shared" si="163"/>
        <v>0</v>
      </c>
      <c r="N220" s="119">
        <f>'LOE Breakdown by Year'!F111</f>
        <v>0</v>
      </c>
      <c r="O220" s="43">
        <f t="shared" si="150"/>
        <v>12</v>
      </c>
      <c r="P220" s="43">
        <f t="shared" si="164"/>
        <v>0</v>
      </c>
      <c r="Q220" s="119">
        <f>'LOE Breakdown by Year'!F151</f>
        <v>0</v>
      </c>
      <c r="R220" s="43">
        <f t="shared" si="151"/>
        <v>0</v>
      </c>
      <c r="S220" s="43">
        <f t="shared" si="165"/>
        <v>0</v>
      </c>
      <c r="T220" s="43">
        <f t="shared" si="166"/>
        <v>4500</v>
      </c>
      <c r="U220" s="43">
        <v>0</v>
      </c>
      <c r="V220" s="43">
        <f t="shared" si="167"/>
        <v>4500</v>
      </c>
    </row>
    <row r="221" spans="1:22">
      <c r="A221" s="7" t="s">
        <v>748</v>
      </c>
      <c r="B221" s="44">
        <v>70000</v>
      </c>
      <c r="C221" s="7" t="s">
        <v>710</v>
      </c>
      <c r="D221" s="7" t="str">
        <f t="shared" si="146"/>
        <v>Contracts &amp; Compliance Director</v>
      </c>
      <c r="E221" s="43">
        <v>8484.2199999999993</v>
      </c>
      <c r="F221" s="49" t="s">
        <v>95</v>
      </c>
      <c r="G221" s="43">
        <f t="shared" si="147"/>
        <v>4583.333333333333</v>
      </c>
      <c r="H221" s="119">
        <f>'LOE Breakdown by Year'!F32</f>
        <v>0.15</v>
      </c>
      <c r="I221" s="43">
        <f t="shared" si="148"/>
        <v>12</v>
      </c>
      <c r="J221" s="43">
        <f t="shared" si="162"/>
        <v>8250</v>
      </c>
      <c r="K221" s="119">
        <f>'LOE Breakdown by Year'!F72</f>
        <v>0.18</v>
      </c>
      <c r="L221" s="43">
        <f t="shared" si="149"/>
        <v>12</v>
      </c>
      <c r="M221" s="43">
        <f t="shared" si="163"/>
        <v>10395</v>
      </c>
      <c r="N221" s="119">
        <f>'LOE Breakdown by Year'!F112</f>
        <v>0.18</v>
      </c>
      <c r="O221" s="43">
        <f t="shared" si="150"/>
        <v>12</v>
      </c>
      <c r="P221" s="43">
        <f t="shared" si="164"/>
        <v>10914.75</v>
      </c>
      <c r="Q221" s="119">
        <f>'LOE Breakdown by Year'!F152</f>
        <v>0.18</v>
      </c>
      <c r="R221" s="43">
        <f t="shared" si="151"/>
        <v>3</v>
      </c>
      <c r="S221" s="43">
        <f t="shared" si="165"/>
        <v>2865.1218750000003</v>
      </c>
      <c r="T221" s="43">
        <f t="shared" si="166"/>
        <v>40909.091874999998</v>
      </c>
      <c r="U221" s="43">
        <v>0</v>
      </c>
      <c r="V221" s="43">
        <f t="shared" si="167"/>
        <v>40909.091874999998</v>
      </c>
    </row>
    <row r="222" spans="1:22">
      <c r="A222" s="7" t="s">
        <v>748</v>
      </c>
      <c r="B222" s="44">
        <v>70000</v>
      </c>
      <c r="C222" s="7" t="s">
        <v>710</v>
      </c>
      <c r="D222" s="7" t="str">
        <f t="shared" si="146"/>
        <v>Grants &amp; Procurement Specialist (2)</v>
      </c>
      <c r="E222" s="43">
        <v>0</v>
      </c>
      <c r="F222" s="49" t="s">
        <v>95</v>
      </c>
      <c r="G222" s="43">
        <f t="shared" si="147"/>
        <v>3500</v>
      </c>
      <c r="H222" s="119">
        <f>'LOE Breakdown by Year'!F33</f>
        <v>0.25</v>
      </c>
      <c r="I222" s="43">
        <f t="shared" si="148"/>
        <v>12</v>
      </c>
      <c r="J222" s="43">
        <f t="shared" si="162"/>
        <v>10500</v>
      </c>
      <c r="K222" s="119">
        <f>'LOE Breakdown by Year'!F73</f>
        <v>0.25</v>
      </c>
      <c r="L222" s="43">
        <f t="shared" si="149"/>
        <v>12</v>
      </c>
      <c r="M222" s="43">
        <f t="shared" si="163"/>
        <v>11025</v>
      </c>
      <c r="N222" s="119">
        <f>'LOE Breakdown by Year'!F113</f>
        <v>0.25</v>
      </c>
      <c r="O222" s="43">
        <f t="shared" si="150"/>
        <v>12</v>
      </c>
      <c r="P222" s="43">
        <f t="shared" si="164"/>
        <v>11576.25</v>
      </c>
      <c r="Q222" s="119">
        <f>'LOE Breakdown by Year'!F153</f>
        <v>0.25</v>
      </c>
      <c r="R222" s="43">
        <f t="shared" si="151"/>
        <v>0</v>
      </c>
      <c r="S222" s="43">
        <f t="shared" si="165"/>
        <v>0</v>
      </c>
      <c r="T222" s="43">
        <f t="shared" si="166"/>
        <v>33101.25</v>
      </c>
      <c r="U222" s="43">
        <v>0</v>
      </c>
      <c r="V222" s="43">
        <f t="shared" si="167"/>
        <v>33101.25</v>
      </c>
    </row>
    <row r="223" spans="1:22">
      <c r="A223" s="7" t="s">
        <v>748</v>
      </c>
      <c r="B223" s="44">
        <v>70000</v>
      </c>
      <c r="C223" s="7" t="s">
        <v>710</v>
      </c>
      <c r="D223" s="7" t="str">
        <f t="shared" si="146"/>
        <v xml:space="preserve">F&amp;A Director </v>
      </c>
      <c r="E223" s="43">
        <v>3535.09</v>
      </c>
      <c r="F223" s="49" t="s">
        <v>95</v>
      </c>
      <c r="G223" s="43">
        <f t="shared" si="147"/>
        <v>5279.4</v>
      </c>
      <c r="H223" s="119">
        <f>'LOE Breakdown by Year'!F34</f>
        <v>0.1</v>
      </c>
      <c r="I223" s="43">
        <f t="shared" si="148"/>
        <v>12</v>
      </c>
      <c r="J223" s="43">
        <f t="shared" si="162"/>
        <v>6335.28</v>
      </c>
      <c r="K223" s="119">
        <f>'LOE Breakdown by Year'!F74</f>
        <v>0.2</v>
      </c>
      <c r="L223" s="43">
        <f t="shared" si="149"/>
        <v>12</v>
      </c>
      <c r="M223" s="43">
        <f t="shared" si="163"/>
        <v>13304.088</v>
      </c>
      <c r="N223" s="119">
        <f>'LOE Breakdown by Year'!F114</f>
        <v>0.2</v>
      </c>
      <c r="O223" s="43">
        <f t="shared" si="150"/>
        <v>12</v>
      </c>
      <c r="P223" s="43">
        <f t="shared" si="164"/>
        <v>13969.2924</v>
      </c>
      <c r="Q223" s="119">
        <f>'LOE Breakdown by Year'!F154</f>
        <v>0.2</v>
      </c>
      <c r="R223" s="43">
        <f t="shared" si="151"/>
        <v>6</v>
      </c>
      <c r="S223" s="43">
        <f t="shared" si="165"/>
        <v>7333.8785100000005</v>
      </c>
      <c r="T223" s="43">
        <f t="shared" si="166"/>
        <v>44477.628910000007</v>
      </c>
      <c r="U223" s="43">
        <v>0</v>
      </c>
      <c r="V223" s="43">
        <f t="shared" si="167"/>
        <v>44477.628910000007</v>
      </c>
    </row>
    <row r="224" spans="1:22">
      <c r="A224" s="7" t="s">
        <v>748</v>
      </c>
      <c r="B224" s="44">
        <v>70000</v>
      </c>
      <c r="C224" s="7" t="s">
        <v>710</v>
      </c>
      <c r="D224" s="7" t="str">
        <f t="shared" si="146"/>
        <v>Accounting &amp; Finance Specialist</v>
      </c>
      <c r="E224" s="43">
        <v>0</v>
      </c>
      <c r="F224" s="49" t="s">
        <v>95</v>
      </c>
      <c r="G224" s="43">
        <f t="shared" si="147"/>
        <v>1750</v>
      </c>
      <c r="H224" s="119">
        <f>'LOE Breakdown by Year'!F35</f>
        <v>0.15</v>
      </c>
      <c r="I224" s="43">
        <f t="shared" si="148"/>
        <v>12</v>
      </c>
      <c r="J224" s="43">
        <f t="shared" si="162"/>
        <v>3150</v>
      </c>
      <c r="K224" s="119">
        <f>'LOE Breakdown by Year'!F75</f>
        <v>0.16</v>
      </c>
      <c r="L224" s="43">
        <f t="shared" si="149"/>
        <v>12</v>
      </c>
      <c r="M224" s="43">
        <f t="shared" si="163"/>
        <v>3528</v>
      </c>
      <c r="N224" s="119">
        <f>'LOE Breakdown by Year'!F115</f>
        <v>0.16</v>
      </c>
      <c r="O224" s="43">
        <f t="shared" si="150"/>
        <v>12</v>
      </c>
      <c r="P224" s="43">
        <f t="shared" si="164"/>
        <v>3704.4</v>
      </c>
      <c r="Q224" s="119">
        <f>'LOE Breakdown by Year'!F155</f>
        <v>0.16</v>
      </c>
      <c r="R224" s="43">
        <f t="shared" si="151"/>
        <v>3</v>
      </c>
      <c r="S224" s="43">
        <f t="shared" si="165"/>
        <v>972.40500000000009</v>
      </c>
      <c r="T224" s="43">
        <f t="shared" si="166"/>
        <v>11354.805</v>
      </c>
      <c r="U224" s="43">
        <v>0</v>
      </c>
      <c r="V224" s="43">
        <f t="shared" si="167"/>
        <v>11354.805</v>
      </c>
    </row>
    <row r="225" spans="1:24">
      <c r="A225" s="7" t="s">
        <v>748</v>
      </c>
      <c r="B225" s="44">
        <v>70000</v>
      </c>
      <c r="C225" s="7" t="s">
        <v>710</v>
      </c>
      <c r="D225" s="7" t="str">
        <f t="shared" si="146"/>
        <v xml:space="preserve">Accountant </v>
      </c>
      <c r="E225" s="43">
        <v>6570.82</v>
      </c>
      <c r="F225" s="49" t="s">
        <v>95</v>
      </c>
      <c r="G225" s="43">
        <f t="shared" si="147"/>
        <v>1750</v>
      </c>
      <c r="H225" s="119">
        <f>'LOE Breakdown by Year'!F36</f>
        <v>0.15</v>
      </c>
      <c r="I225" s="43">
        <f t="shared" si="148"/>
        <v>12</v>
      </c>
      <c r="J225" s="43">
        <f t="shared" si="162"/>
        <v>3150</v>
      </c>
      <c r="K225" s="119">
        <f>'LOE Breakdown by Year'!F76</f>
        <v>0.16</v>
      </c>
      <c r="L225" s="43">
        <f t="shared" si="149"/>
        <v>12</v>
      </c>
      <c r="M225" s="43">
        <f t="shared" si="163"/>
        <v>3528</v>
      </c>
      <c r="N225" s="119">
        <f>'LOE Breakdown by Year'!F116</f>
        <v>0.16</v>
      </c>
      <c r="O225" s="43">
        <f t="shared" si="150"/>
        <v>12</v>
      </c>
      <c r="P225" s="43">
        <f t="shared" si="164"/>
        <v>3704.4</v>
      </c>
      <c r="Q225" s="119">
        <f>'LOE Breakdown by Year'!F156</f>
        <v>0.16</v>
      </c>
      <c r="R225" s="43">
        <f t="shared" si="151"/>
        <v>5</v>
      </c>
      <c r="S225" s="43">
        <f t="shared" si="165"/>
        <v>1620.6750000000002</v>
      </c>
      <c r="T225" s="43">
        <f t="shared" si="166"/>
        <v>18573.895</v>
      </c>
      <c r="U225" s="43">
        <v>0</v>
      </c>
      <c r="V225" s="43">
        <f t="shared" si="167"/>
        <v>18573.895</v>
      </c>
    </row>
    <row r="226" spans="1:24">
      <c r="A226" s="7" t="s">
        <v>748</v>
      </c>
      <c r="B226" s="44">
        <v>70000</v>
      </c>
      <c r="C226" s="7" t="s">
        <v>710</v>
      </c>
      <c r="D226" s="7" t="str">
        <f t="shared" si="146"/>
        <v>Finance &amp; Admin Coordinator - 50% LOE</v>
      </c>
      <c r="E226" s="43">
        <v>0</v>
      </c>
      <c r="F226" s="49" t="s">
        <v>95</v>
      </c>
      <c r="G226" s="43">
        <f t="shared" si="147"/>
        <v>2583.3333333333335</v>
      </c>
      <c r="H226" s="119">
        <f>'LOE Breakdown by Year'!F37</f>
        <v>0.05</v>
      </c>
      <c r="I226" s="43">
        <f t="shared" si="148"/>
        <v>12</v>
      </c>
      <c r="J226" s="43">
        <f t="shared" si="162"/>
        <v>1550</v>
      </c>
      <c r="K226" s="119">
        <f>'LOE Breakdown by Year'!F77</f>
        <v>0.1</v>
      </c>
      <c r="L226" s="43">
        <f t="shared" si="149"/>
        <v>12</v>
      </c>
      <c r="M226" s="43">
        <f t="shared" si="163"/>
        <v>3255</v>
      </c>
      <c r="N226" s="119">
        <f>'LOE Breakdown by Year'!F117</f>
        <v>0.1</v>
      </c>
      <c r="O226" s="43">
        <f t="shared" si="150"/>
        <v>12</v>
      </c>
      <c r="P226" s="43">
        <f t="shared" si="164"/>
        <v>3417.75</v>
      </c>
      <c r="Q226" s="119">
        <f>'LOE Breakdown by Year'!F157</f>
        <v>0.1</v>
      </c>
      <c r="R226" s="43">
        <f t="shared" si="151"/>
        <v>6</v>
      </c>
      <c r="S226" s="43">
        <f t="shared" si="165"/>
        <v>1794.3187500000001</v>
      </c>
      <c r="T226" s="43">
        <f t="shared" si="166"/>
        <v>10017.06875</v>
      </c>
      <c r="U226" s="43">
        <v>0</v>
      </c>
      <c r="V226" s="43">
        <f t="shared" si="167"/>
        <v>10017.06875</v>
      </c>
    </row>
    <row r="227" spans="1:24">
      <c r="A227" s="7" t="s">
        <v>748</v>
      </c>
      <c r="B227" s="44">
        <v>70000</v>
      </c>
      <c r="C227" s="7" t="s">
        <v>710</v>
      </c>
      <c r="D227" s="7" t="str">
        <f t="shared" si="146"/>
        <v xml:space="preserve">Administrative Officer </v>
      </c>
      <c r="E227" s="43">
        <v>1191.24</v>
      </c>
      <c r="F227" s="49" t="s">
        <v>95</v>
      </c>
      <c r="G227" s="43">
        <f t="shared" si="147"/>
        <v>1000</v>
      </c>
      <c r="H227" s="119">
        <f>'LOE Breakdown by Year'!F38</f>
        <v>0.15</v>
      </c>
      <c r="I227" s="43">
        <f t="shared" si="148"/>
        <v>12</v>
      </c>
      <c r="J227" s="43">
        <f t="shared" si="162"/>
        <v>1800</v>
      </c>
      <c r="K227" s="119">
        <f>'LOE Breakdown by Year'!F78</f>
        <v>0.1</v>
      </c>
      <c r="L227" s="43">
        <f t="shared" si="149"/>
        <v>12</v>
      </c>
      <c r="M227" s="43">
        <f t="shared" si="163"/>
        <v>1260</v>
      </c>
      <c r="N227" s="119">
        <f>'LOE Breakdown by Year'!F118</f>
        <v>0.1</v>
      </c>
      <c r="O227" s="43">
        <f t="shared" si="150"/>
        <v>12</v>
      </c>
      <c r="P227" s="43">
        <f t="shared" si="164"/>
        <v>1323</v>
      </c>
      <c r="Q227" s="119">
        <f>'LOE Breakdown by Year'!F158</f>
        <v>0.1</v>
      </c>
      <c r="R227" s="43">
        <f t="shared" si="151"/>
        <v>3</v>
      </c>
      <c r="S227" s="43">
        <f t="shared" si="165"/>
        <v>347.28750000000002</v>
      </c>
      <c r="T227" s="43">
        <f t="shared" si="166"/>
        <v>5921.5275000000001</v>
      </c>
      <c r="U227" s="43">
        <v>0</v>
      </c>
      <c r="V227" s="43">
        <f t="shared" si="167"/>
        <v>5921.5275000000001</v>
      </c>
    </row>
    <row r="228" spans="1:24">
      <c r="A228" s="7" t="s">
        <v>748</v>
      </c>
      <c r="B228" s="44">
        <v>70000</v>
      </c>
      <c r="C228" s="7" t="s">
        <v>710</v>
      </c>
      <c r="D228" s="7" t="str">
        <f t="shared" si="146"/>
        <v>Human Resource Manager</v>
      </c>
      <c r="E228" s="43">
        <v>0</v>
      </c>
      <c r="F228" s="49" t="s">
        <v>95</v>
      </c>
      <c r="G228" s="43">
        <f t="shared" si="147"/>
        <v>1954.1666666666667</v>
      </c>
      <c r="H228" s="119">
        <f>'LOE Breakdown by Year'!F39</f>
        <v>0.15</v>
      </c>
      <c r="I228" s="43">
        <f t="shared" si="148"/>
        <v>12</v>
      </c>
      <c r="J228" s="43">
        <f t="shared" si="162"/>
        <v>3517.5</v>
      </c>
      <c r="K228" s="119">
        <f>'LOE Breakdown by Year'!F79</f>
        <v>0.1</v>
      </c>
      <c r="L228" s="43">
        <f t="shared" si="149"/>
        <v>12</v>
      </c>
      <c r="M228" s="43">
        <f t="shared" si="163"/>
        <v>2462.25</v>
      </c>
      <c r="N228" s="119">
        <f>'LOE Breakdown by Year'!F119</f>
        <v>0.1</v>
      </c>
      <c r="O228" s="43">
        <f t="shared" si="150"/>
        <v>12</v>
      </c>
      <c r="P228" s="43">
        <f t="shared" si="164"/>
        <v>2585.3625000000002</v>
      </c>
      <c r="Q228" s="119">
        <f>'LOE Breakdown by Year'!F159</f>
        <v>0.1</v>
      </c>
      <c r="R228" s="43">
        <f t="shared" si="151"/>
        <v>6</v>
      </c>
      <c r="S228" s="43">
        <f t="shared" si="165"/>
        <v>1357.3153125000001</v>
      </c>
      <c r="T228" s="43">
        <f t="shared" si="166"/>
        <v>9922.4278125000001</v>
      </c>
      <c r="U228" s="43">
        <v>0</v>
      </c>
      <c r="V228" s="43">
        <f t="shared" si="167"/>
        <v>9922.4278125000001</v>
      </c>
    </row>
    <row r="229" spans="1:24">
      <c r="A229" s="7" t="s">
        <v>748</v>
      </c>
      <c r="B229" s="44">
        <v>70000</v>
      </c>
      <c r="C229" s="7" t="s">
        <v>710</v>
      </c>
      <c r="D229" s="7" t="str">
        <f t="shared" si="146"/>
        <v>Human Resource Specialist</v>
      </c>
      <c r="E229" s="43">
        <v>0</v>
      </c>
      <c r="F229" s="49" t="s">
        <v>95</v>
      </c>
      <c r="G229" s="43">
        <f t="shared" si="147"/>
        <v>1750</v>
      </c>
      <c r="H229" s="119">
        <f>'LOE Breakdown by Year'!F40</f>
        <v>0.15</v>
      </c>
      <c r="I229" s="43">
        <f t="shared" si="148"/>
        <v>12</v>
      </c>
      <c r="J229" s="43">
        <f t="shared" si="162"/>
        <v>3150</v>
      </c>
      <c r="K229" s="119">
        <f>'LOE Breakdown by Year'!F80</f>
        <v>0.1</v>
      </c>
      <c r="L229" s="43">
        <f t="shared" si="149"/>
        <v>12</v>
      </c>
      <c r="M229" s="43">
        <f t="shared" si="163"/>
        <v>2205</v>
      </c>
      <c r="N229" s="119">
        <f>'LOE Breakdown by Year'!F120</f>
        <v>0.1</v>
      </c>
      <c r="O229" s="43">
        <f t="shared" si="150"/>
        <v>12</v>
      </c>
      <c r="P229" s="43">
        <f t="shared" si="164"/>
        <v>2315.25</v>
      </c>
      <c r="Q229" s="119">
        <f>'LOE Breakdown by Year'!F160</f>
        <v>0.1</v>
      </c>
      <c r="R229" s="43">
        <f t="shared" si="151"/>
        <v>3</v>
      </c>
      <c r="S229" s="43">
        <f t="shared" si="165"/>
        <v>607.75312500000007</v>
      </c>
      <c r="T229" s="43">
        <f t="shared" si="166"/>
        <v>8278.0031249999993</v>
      </c>
      <c r="U229" s="43">
        <v>0</v>
      </c>
      <c r="V229" s="43">
        <f t="shared" si="167"/>
        <v>8278.0031249999993</v>
      </c>
    </row>
    <row r="230" spans="1:24">
      <c r="A230" s="40"/>
      <c r="B230" s="40"/>
      <c r="C230" s="40"/>
      <c r="D230" s="40" t="s">
        <v>231</v>
      </c>
      <c r="E230" s="47">
        <f>SUM(E200:E229)</f>
        <v>137868.56999999998</v>
      </c>
      <c r="F230" s="45"/>
      <c r="G230" s="46"/>
      <c r="H230" s="132"/>
      <c r="I230" s="47"/>
      <c r="J230" s="47">
        <f>SUM(J200:J229)</f>
        <v>131502.78</v>
      </c>
      <c r="K230" s="132"/>
      <c r="L230" s="47"/>
      <c r="M230" s="47">
        <f>SUM(M200:M229)</f>
        <v>184921.33799999999</v>
      </c>
      <c r="N230" s="132"/>
      <c r="O230" s="47"/>
      <c r="P230" s="47">
        <f>SUM(P200:P229)</f>
        <v>194167.40489999999</v>
      </c>
      <c r="Q230" s="132"/>
      <c r="R230" s="47"/>
      <c r="S230" s="47">
        <f>SUM(S200:S229)</f>
        <v>43095.808822500003</v>
      </c>
      <c r="T230" s="47">
        <f>SUM(T200:T229)</f>
        <v>691555.9017225001</v>
      </c>
      <c r="U230" s="47">
        <f>SUM(U200:U229)</f>
        <v>0</v>
      </c>
      <c r="V230" s="47">
        <f>SUM(V200:V229)</f>
        <v>691555.9017225001</v>
      </c>
    </row>
    <row r="231" spans="1:24">
      <c r="A231" s="104"/>
      <c r="B231" s="104"/>
      <c r="C231" s="104"/>
      <c r="D231" s="104"/>
      <c r="E231" s="593"/>
      <c r="F231" s="81"/>
      <c r="G231" s="62"/>
      <c r="H231" s="133"/>
      <c r="I231" s="62"/>
      <c r="J231" s="62">
        <f>J230*0.5</f>
        <v>65751.39</v>
      </c>
      <c r="K231" s="133"/>
      <c r="L231" s="62"/>
      <c r="M231" s="62"/>
      <c r="N231" s="133"/>
      <c r="O231" s="62"/>
      <c r="P231" s="62"/>
      <c r="Q231" s="133"/>
      <c r="R231" s="62"/>
      <c r="S231" s="62"/>
      <c r="T231" s="62"/>
      <c r="U231" s="62"/>
      <c r="V231" s="62"/>
    </row>
    <row r="232" spans="1:24">
      <c r="A232" s="40"/>
      <c r="B232" s="40"/>
      <c r="C232" s="40"/>
      <c r="D232" s="40" t="s">
        <v>232</v>
      </c>
      <c r="E232" s="47"/>
      <c r="F232" s="45"/>
      <c r="G232" s="46"/>
      <c r="H232" s="132"/>
      <c r="I232" s="47"/>
      <c r="J232" s="47"/>
      <c r="K232" s="132"/>
      <c r="L232" s="47"/>
      <c r="M232" s="47"/>
      <c r="N232" s="132"/>
      <c r="O232" s="47"/>
      <c r="P232" s="47"/>
      <c r="Q232" s="132"/>
      <c r="R232" s="47"/>
      <c r="S232" s="47"/>
      <c r="T232" s="47"/>
      <c r="U232" s="47"/>
      <c r="V232" s="47"/>
    </row>
    <row r="233" spans="1:24" ht="25.2">
      <c r="A233" s="7" t="s">
        <v>757</v>
      </c>
      <c r="B233" s="44">
        <v>70015</v>
      </c>
      <c r="C233" s="7" t="s">
        <v>710</v>
      </c>
      <c r="D233" s="7" t="str">
        <f>D51</f>
        <v>Fringe Benefits CCN - Colombia (above $3,350 monthly)</v>
      </c>
      <c r="E233" s="43">
        <v>4261.4799999999996</v>
      </c>
      <c r="F233" s="82" t="s">
        <v>132</v>
      </c>
      <c r="G233" s="59">
        <f>G51</f>
        <v>0.53864000000000001</v>
      </c>
      <c r="H233" s="120"/>
      <c r="I233" s="43"/>
      <c r="J233" s="43">
        <f>(J202+J218+J211+J215+J223+J221+J201)*$G$51</f>
        <v>26169.975219200001</v>
      </c>
      <c r="K233" s="120"/>
      <c r="L233" s="43"/>
      <c r="M233" s="43">
        <f>(M202+M218+M211+M215+M223+M221+M201)*$G$51</f>
        <v>44578.70176032</v>
      </c>
      <c r="N233" s="120"/>
      <c r="O233" s="43"/>
      <c r="P233" s="43">
        <f>(P202+P218+P211+P215+P223+P221+P201)*$G$51</f>
        <v>46807.636848336006</v>
      </c>
      <c r="Q233" s="120"/>
      <c r="R233" s="43"/>
      <c r="S233" s="43">
        <f>(S202+S218+S211+S215+S223+S221+S201)*$G$51</f>
        <v>15600.184466126402</v>
      </c>
      <c r="T233" s="43">
        <f t="shared" ref="T233:T236" si="168">SUM(P233,M233,J233,E233,S233)</f>
        <v>137417.97829398239</v>
      </c>
      <c r="U233" s="43">
        <v>0</v>
      </c>
      <c r="V233" s="43">
        <f t="shared" ref="V233:V236" si="169">SUM(T233:U233)</f>
        <v>137417.97829398239</v>
      </c>
    </row>
    <row r="234" spans="1:24" ht="25.2">
      <c r="A234" s="7" t="s">
        <v>757</v>
      </c>
      <c r="B234" s="44">
        <v>70015</v>
      </c>
      <c r="C234" s="7" t="s">
        <v>710</v>
      </c>
      <c r="D234" s="7" t="str">
        <f>D52</f>
        <v>Fringe Benefits CCN - Colombia (below $3,350 monthly)</v>
      </c>
      <c r="E234" s="83">
        <v>46348.46</v>
      </c>
      <c r="F234" s="82" t="s">
        <v>132</v>
      </c>
      <c r="G234" s="59">
        <f>G52</f>
        <v>0.44863999999999998</v>
      </c>
      <c r="H234" s="125"/>
      <c r="I234" s="83"/>
      <c r="J234" s="43">
        <f>(J203+J204+J205+J206+J207+J208+J209+J210+J212+J213+J214+J216+J217+J219+J220+J222+J224+J225+J226+J227+J228+J229)*$G$52</f>
        <v>25692.4912</v>
      </c>
      <c r="K234" s="125"/>
      <c r="L234" s="83"/>
      <c r="M234" s="43">
        <f>(M203+M204+M205+M206+M207+M208+M209+M210+M212+M213+M214+M216+M217+M219+M220+M222+M224+M225+M226+M227+M228+M229)*$G$52</f>
        <v>30527.820959999997</v>
      </c>
      <c r="N234" s="125"/>
      <c r="O234" s="83"/>
      <c r="P234" s="43">
        <f>(P203+P204+P205+P206+P207+P208+P209+P210+P212+P213+P214+P216+P217+P219+P220+P222+P224+P225+P226+P227+P228+P229)*$G$52</f>
        <v>32054.212007999999</v>
      </c>
      <c r="Q234" s="125"/>
      <c r="R234" s="83"/>
      <c r="S234" s="43">
        <f>(S203+S204+S205+S206+S207+S208+S209+S210+S212+S213+S214+S216+S217+S219+S220+S222+S224+S225+S226+S227+S228+S229)*$G$52</f>
        <v>6340.9147074000002</v>
      </c>
      <c r="T234" s="43">
        <f t="shared" si="168"/>
        <v>140963.89887539999</v>
      </c>
      <c r="U234" s="43">
        <v>0</v>
      </c>
      <c r="V234" s="43">
        <f t="shared" si="169"/>
        <v>140963.89887539999</v>
      </c>
    </row>
    <row r="235" spans="1:24">
      <c r="A235" s="7" t="s">
        <v>758</v>
      </c>
      <c r="B235" s="44">
        <v>50202</v>
      </c>
      <c r="C235" s="7" t="s">
        <v>709</v>
      </c>
      <c r="D235" s="7" t="str">
        <f>D54</f>
        <v>Post (Hardship) Differential for Chief of Party</v>
      </c>
      <c r="E235" s="83">
        <v>1060.53</v>
      </c>
      <c r="F235" s="82" t="s">
        <v>132</v>
      </c>
      <c r="G235" s="59">
        <f>G54</f>
        <v>0.15</v>
      </c>
      <c r="H235" s="125"/>
      <c r="I235" s="83"/>
      <c r="J235" s="83">
        <f>J200*$G$235</f>
        <v>3847.5</v>
      </c>
      <c r="K235" s="125"/>
      <c r="L235" s="83"/>
      <c r="M235" s="83">
        <f>M200*$G$235</f>
        <v>5117.1750000000002</v>
      </c>
      <c r="N235" s="125"/>
      <c r="O235" s="83"/>
      <c r="P235" s="83">
        <f>P200*$G$235</f>
        <v>5373.0337499999996</v>
      </c>
      <c r="Q235" s="125"/>
      <c r="R235" s="83"/>
      <c r="S235" s="83">
        <f>S200*$G$235</f>
        <v>0</v>
      </c>
      <c r="T235" s="43">
        <f t="shared" si="168"/>
        <v>15398.23875</v>
      </c>
      <c r="U235" s="43">
        <v>0</v>
      </c>
      <c r="V235" s="43">
        <f t="shared" si="169"/>
        <v>15398.23875</v>
      </c>
    </row>
    <row r="236" spans="1:24">
      <c r="A236" s="7" t="s">
        <v>757</v>
      </c>
      <c r="B236" s="44">
        <v>50900</v>
      </c>
      <c r="C236" s="7" t="s">
        <v>709</v>
      </c>
      <c r="D236" s="7" t="str">
        <f>D55</f>
        <v>Fringe Benefits Package for Chief of Party</v>
      </c>
      <c r="E236" s="83">
        <v>1598.05</v>
      </c>
      <c r="F236" s="82" t="s">
        <v>132</v>
      </c>
      <c r="G236" s="59">
        <f>G55</f>
        <v>0.56469999999999998</v>
      </c>
      <c r="H236" s="125"/>
      <c r="I236" s="83"/>
      <c r="J236" s="83">
        <f>J200*$G$236</f>
        <v>14484.555</v>
      </c>
      <c r="K236" s="125"/>
      <c r="L236" s="83"/>
      <c r="M236" s="83">
        <f>M200*$G$236</f>
        <v>19264.458149999999</v>
      </c>
      <c r="N236" s="125"/>
      <c r="O236" s="83"/>
      <c r="P236" s="83">
        <f>P200*$G$236</f>
        <v>20227.681057499998</v>
      </c>
      <c r="Q236" s="125"/>
      <c r="R236" s="83"/>
      <c r="S236" s="83">
        <f>S200*$G$236</f>
        <v>0</v>
      </c>
      <c r="T236" s="43">
        <f t="shared" si="168"/>
        <v>55574.7442075</v>
      </c>
      <c r="U236" s="43">
        <v>0</v>
      </c>
      <c r="V236" s="43">
        <f t="shared" si="169"/>
        <v>55574.7442075</v>
      </c>
    </row>
    <row r="237" spans="1:24">
      <c r="A237" s="40"/>
      <c r="B237" s="40"/>
      <c r="C237" s="40"/>
      <c r="D237" s="40" t="s">
        <v>233</v>
      </c>
      <c r="E237" s="47">
        <f>SUM(E233:E236)</f>
        <v>53268.520000000004</v>
      </c>
      <c r="F237" s="45"/>
      <c r="G237" s="46"/>
      <c r="H237" s="132"/>
      <c r="I237" s="47"/>
      <c r="J237" s="47">
        <f>SUM(J233:J236)</f>
        <v>70194.521419199998</v>
      </c>
      <c r="K237" s="132"/>
      <c r="L237" s="47"/>
      <c r="M237" s="47">
        <f>SUM(M233:M236)</f>
        <v>99488.155870320013</v>
      </c>
      <c r="N237" s="132"/>
      <c r="O237" s="47"/>
      <c r="P237" s="47">
        <f>SUM(P233:P236)</f>
        <v>104462.563663836</v>
      </c>
      <c r="Q237" s="132"/>
      <c r="R237" s="47"/>
      <c r="S237" s="47">
        <f>SUM(S233:S236)</f>
        <v>21941.099173526403</v>
      </c>
      <c r="T237" s="47">
        <f>SUM(T233:T236)</f>
        <v>349354.86012688244</v>
      </c>
      <c r="U237" s="47">
        <f>SUM(U233:U236)</f>
        <v>0</v>
      </c>
      <c r="V237" s="47">
        <f>SUM(V233:V236)</f>
        <v>349354.86012688244</v>
      </c>
    </row>
    <row r="238" spans="1:24">
      <c r="A238" s="104"/>
      <c r="B238" s="104"/>
      <c r="C238" s="104"/>
      <c r="D238" s="104"/>
      <c r="E238" s="62"/>
      <c r="F238" s="81"/>
      <c r="G238" s="62"/>
      <c r="H238" s="133"/>
      <c r="I238" s="62"/>
      <c r="J238" s="62"/>
      <c r="K238" s="133"/>
      <c r="L238" s="62"/>
      <c r="M238" s="62"/>
      <c r="N238" s="133"/>
      <c r="O238" s="62"/>
      <c r="P238" s="62"/>
      <c r="Q238" s="133"/>
      <c r="R238" s="62"/>
      <c r="S238" s="62"/>
      <c r="T238" s="62"/>
      <c r="U238" s="62"/>
      <c r="V238" s="62"/>
    </row>
    <row r="239" spans="1:24">
      <c r="A239" s="40"/>
      <c r="B239" s="40"/>
      <c r="C239" s="40"/>
      <c r="D239" s="40" t="s">
        <v>234</v>
      </c>
      <c r="E239" s="46"/>
      <c r="F239" s="45"/>
      <c r="G239" s="46"/>
      <c r="H239" s="132"/>
      <c r="I239" s="46"/>
      <c r="J239" s="46"/>
      <c r="K239" s="132"/>
      <c r="L239" s="46"/>
      <c r="M239" s="46"/>
      <c r="N239" s="132"/>
      <c r="O239" s="46"/>
      <c r="P239" s="46"/>
      <c r="Q239" s="132"/>
      <c r="R239" s="46"/>
      <c r="S239" s="46"/>
      <c r="T239" s="46"/>
      <c r="U239" s="46"/>
      <c r="V239" s="46"/>
    </row>
    <row r="240" spans="1:24" ht="37.799999999999997">
      <c r="A240" s="44" t="s">
        <v>759</v>
      </c>
      <c r="B240" s="44">
        <v>89050</v>
      </c>
      <c r="C240" s="7" t="s">
        <v>710</v>
      </c>
      <c r="D240" s="7" t="s">
        <v>235</v>
      </c>
      <c r="E240" s="43">
        <f>'Sub Budget Fundacion IC'!C109</f>
        <v>358416.28</v>
      </c>
      <c r="F240" s="7" t="s">
        <v>172</v>
      </c>
      <c r="G240" s="43">
        <v>0</v>
      </c>
      <c r="H240" s="125"/>
      <c r="I240" s="43">
        <v>1</v>
      </c>
      <c r="J240" s="43">
        <f>'Sub Budget Fundacion IC'!G109</f>
        <v>440999.99996253912</v>
      </c>
      <c r="K240" s="125"/>
      <c r="L240" s="43">
        <v>1</v>
      </c>
      <c r="M240" s="43">
        <f>'Sub Budget Fundacion IC'!K111</f>
        <v>203176.62132515997</v>
      </c>
      <c r="N240" s="125"/>
      <c r="O240" s="43">
        <v>1</v>
      </c>
      <c r="P240" s="43">
        <f>'Sub Budget Fundacion IC'!O111</f>
        <v>0</v>
      </c>
      <c r="Q240" s="125"/>
      <c r="R240" s="43">
        <v>0</v>
      </c>
      <c r="S240" s="43">
        <f>'Sub Budget Fundacion IC'!S111</f>
        <v>0</v>
      </c>
      <c r="T240" s="43">
        <f>SUM(P240,M240,J240,E240,S240)</f>
        <v>1002592.9012876991</v>
      </c>
      <c r="U240" s="43">
        <v>0</v>
      </c>
      <c r="V240" s="43">
        <f t="shared" ref="V240" si="170">SUM(T240:U240)</f>
        <v>1002592.9012876991</v>
      </c>
      <c r="W240" s="109"/>
      <c r="X240" s="437"/>
    </row>
    <row r="241" spans="1:24" ht="25.2" hidden="1">
      <c r="D241" s="7" t="s">
        <v>236</v>
      </c>
      <c r="E241" s="43">
        <v>0</v>
      </c>
      <c r="F241" s="48" t="s">
        <v>237</v>
      </c>
      <c r="G241" s="43">
        <v>0</v>
      </c>
      <c r="H241" s="125"/>
      <c r="I241" s="43">
        <v>0</v>
      </c>
      <c r="J241" s="43">
        <f>I241*G241</f>
        <v>0</v>
      </c>
      <c r="K241" s="125"/>
      <c r="L241" s="43">
        <v>1</v>
      </c>
      <c r="M241" s="43">
        <f>L241*G241</f>
        <v>0</v>
      </c>
      <c r="N241" s="125"/>
      <c r="O241" s="43">
        <v>1</v>
      </c>
      <c r="P241" s="43">
        <f>O241*G241</f>
        <v>0</v>
      </c>
      <c r="Q241" s="125"/>
      <c r="R241" s="43">
        <v>0</v>
      </c>
      <c r="S241" s="43">
        <f>R241*G241</f>
        <v>0</v>
      </c>
      <c r="T241" s="43">
        <f>SUM(P241,M241,J241,E241,S241)</f>
        <v>0</v>
      </c>
      <c r="U241" s="43">
        <v>0</v>
      </c>
      <c r="V241" s="43">
        <f t="shared" ref="V241" si="171">SUM(T241:U241)</f>
        <v>0</v>
      </c>
      <c r="X241" s="437"/>
    </row>
    <row r="242" spans="1:24" ht="24.9">
      <c r="A242" s="40"/>
      <c r="B242" s="40"/>
      <c r="C242" s="40"/>
      <c r="D242" s="40" t="s">
        <v>238</v>
      </c>
      <c r="E242" s="47">
        <f>SUM(E240:E241)</f>
        <v>358416.28</v>
      </c>
      <c r="F242" s="45"/>
      <c r="G242" s="47"/>
      <c r="H242" s="135"/>
      <c r="I242" s="47"/>
      <c r="J242" s="47">
        <f>SUM(J240:J241)</f>
        <v>440999.99996253912</v>
      </c>
      <c r="K242" s="135"/>
      <c r="L242" s="47"/>
      <c r="M242" s="47">
        <f>SUM(M240:M241)</f>
        <v>203176.62132515997</v>
      </c>
      <c r="N242" s="135"/>
      <c r="O242" s="47"/>
      <c r="P242" s="47">
        <f>SUM(P240:P241)</f>
        <v>0</v>
      </c>
      <c r="Q242" s="135"/>
      <c r="R242" s="47"/>
      <c r="S242" s="47">
        <f>SUM(S240:S241)</f>
        <v>0</v>
      </c>
      <c r="T242" s="47">
        <f>SUM(T240:T241)</f>
        <v>1002592.9012876991</v>
      </c>
      <c r="U242" s="47">
        <f>SUM(U240:U241)</f>
        <v>0</v>
      </c>
      <c r="V242" s="47">
        <f>SUM(V240:V241)</f>
        <v>1002592.9012876991</v>
      </c>
      <c r="X242" s="437"/>
    </row>
    <row r="243" spans="1:24">
      <c r="A243" s="104"/>
      <c r="B243" s="104"/>
      <c r="C243" s="104"/>
      <c r="D243" s="104"/>
      <c r="E243" s="62"/>
      <c r="F243" s="81"/>
      <c r="G243" s="62"/>
      <c r="H243" s="133"/>
      <c r="I243" s="62"/>
      <c r="J243" s="62"/>
      <c r="K243" s="133"/>
      <c r="L243" s="62"/>
      <c r="M243" s="62"/>
      <c r="N243" s="133"/>
      <c r="O243" s="62"/>
      <c r="P243" s="62"/>
      <c r="Q243" s="133"/>
      <c r="R243" s="62"/>
      <c r="S243" s="62"/>
      <c r="T243" s="62"/>
      <c r="U243" s="62"/>
      <c r="V243" s="62"/>
    </row>
    <row r="244" spans="1:24" hidden="1">
      <c r="A244" s="40"/>
      <c r="B244" s="40"/>
      <c r="C244" s="40"/>
      <c r="D244" s="40" t="s">
        <v>239</v>
      </c>
      <c r="E244" s="46"/>
      <c r="F244" s="45"/>
      <c r="G244" s="46"/>
      <c r="H244" s="132"/>
      <c r="I244" s="46"/>
      <c r="J244" s="46"/>
      <c r="K244" s="132"/>
      <c r="L244" s="46"/>
      <c r="M244" s="46"/>
      <c r="N244" s="132"/>
      <c r="O244" s="46"/>
      <c r="P244" s="46"/>
      <c r="Q244" s="132"/>
      <c r="R244" s="46"/>
      <c r="S244" s="46"/>
      <c r="T244" s="46"/>
      <c r="U244" s="46"/>
      <c r="V244" s="46"/>
    </row>
    <row r="245" spans="1:24" hidden="1">
      <c r="A245" s="590"/>
      <c r="B245" s="48"/>
      <c r="C245" s="590"/>
      <c r="D245" s="590" t="s">
        <v>240</v>
      </c>
      <c r="E245" s="43">
        <v>0</v>
      </c>
      <c r="F245" s="7" t="s">
        <v>163</v>
      </c>
      <c r="G245" s="43">
        <v>51250</v>
      </c>
      <c r="H245" s="125"/>
      <c r="I245" s="43">
        <v>0</v>
      </c>
      <c r="J245" s="43">
        <f>I245*G245</f>
        <v>0</v>
      </c>
      <c r="K245" s="125"/>
      <c r="L245" s="43">
        <v>0</v>
      </c>
      <c r="M245" s="43">
        <f>L245*G245</f>
        <v>0</v>
      </c>
      <c r="N245" s="125"/>
      <c r="O245" s="43">
        <v>0</v>
      </c>
      <c r="P245" s="43">
        <f>O245*G245</f>
        <v>0</v>
      </c>
      <c r="Q245" s="125"/>
      <c r="R245" s="43">
        <v>0</v>
      </c>
      <c r="S245" s="43">
        <f>R245*G245</f>
        <v>0</v>
      </c>
      <c r="T245" s="43">
        <f t="shared" ref="T245" si="172">SUM(P245,M245,J245,E245,S245)</f>
        <v>0</v>
      </c>
      <c r="U245" s="43">
        <v>0</v>
      </c>
      <c r="V245" s="43">
        <f t="shared" ref="V245" si="173">SUM(T245:U245)</f>
        <v>0</v>
      </c>
    </row>
    <row r="246" spans="1:24" hidden="1">
      <c r="A246" s="40"/>
      <c r="B246" s="40"/>
      <c r="C246" s="40"/>
      <c r="D246" s="40" t="s">
        <v>241</v>
      </c>
      <c r="E246" s="47">
        <f>SUM(E245:E245)</f>
        <v>0</v>
      </c>
      <c r="F246" s="45"/>
      <c r="G246" s="47"/>
      <c r="H246" s="135"/>
      <c r="I246" s="47"/>
      <c r="J246" s="47">
        <f>SUM(J245:J245)</f>
        <v>0</v>
      </c>
      <c r="K246" s="135"/>
      <c r="L246" s="47"/>
      <c r="M246" s="47">
        <f>SUM(M245:M245)</f>
        <v>0</v>
      </c>
      <c r="N246" s="135"/>
      <c r="O246" s="47"/>
      <c r="P246" s="47">
        <f>SUM(P245:P245)</f>
        <v>0</v>
      </c>
      <c r="Q246" s="135"/>
      <c r="R246" s="47"/>
      <c r="S246" s="47">
        <f>SUM(S245:S245)</f>
        <v>0</v>
      </c>
      <c r="T246" s="47">
        <f>SUM(T245:T245)</f>
        <v>0</v>
      </c>
      <c r="U246" s="47">
        <f>SUM(U245:U245)</f>
        <v>0</v>
      </c>
      <c r="V246" s="47">
        <f>SUM(V245:V245)</f>
        <v>0</v>
      </c>
    </row>
    <row r="247" spans="1:24" hidden="1">
      <c r="A247" s="104"/>
      <c r="B247" s="104"/>
      <c r="C247" s="104"/>
      <c r="D247" s="104"/>
      <c r="E247" s="62"/>
      <c r="F247" s="81"/>
      <c r="G247" s="62"/>
      <c r="H247" s="133"/>
      <c r="I247" s="62"/>
      <c r="J247" s="62"/>
      <c r="K247" s="133"/>
      <c r="L247" s="62"/>
      <c r="M247" s="62"/>
      <c r="N247" s="133"/>
      <c r="O247" s="62"/>
      <c r="P247" s="62"/>
      <c r="Q247" s="133"/>
      <c r="R247" s="62"/>
      <c r="S247" s="62"/>
      <c r="T247" s="62"/>
      <c r="U247" s="62"/>
      <c r="V247" s="62"/>
    </row>
    <row r="248" spans="1:24">
      <c r="A248" s="40"/>
      <c r="B248" s="40"/>
      <c r="C248" s="40"/>
      <c r="D248" s="40" t="s">
        <v>242</v>
      </c>
      <c r="E248" s="46"/>
      <c r="F248" s="45"/>
      <c r="G248" s="46"/>
      <c r="H248" s="132"/>
      <c r="I248" s="46"/>
      <c r="J248" s="46"/>
      <c r="K248" s="132"/>
      <c r="L248" s="46"/>
      <c r="M248" s="46"/>
      <c r="N248" s="132"/>
      <c r="O248" s="46"/>
      <c r="P248" s="46"/>
      <c r="Q248" s="132"/>
      <c r="R248" s="46"/>
      <c r="S248" s="46"/>
      <c r="T248" s="46"/>
      <c r="U248" s="46"/>
      <c r="V248" s="46"/>
    </row>
    <row r="249" spans="1:24">
      <c r="A249" s="7" t="s">
        <v>761</v>
      </c>
      <c r="B249" s="44">
        <v>86000</v>
      </c>
      <c r="C249" s="7" t="s">
        <v>710</v>
      </c>
      <c r="D249" s="7" t="s">
        <v>243</v>
      </c>
      <c r="E249" s="43">
        <v>6403.93</v>
      </c>
      <c r="F249" s="7" t="s">
        <v>144</v>
      </c>
      <c r="G249" s="43">
        <v>300</v>
      </c>
      <c r="H249" s="128"/>
      <c r="I249" s="43">
        <v>12</v>
      </c>
      <c r="J249" s="43">
        <f>G249*I249</f>
        <v>3600</v>
      </c>
      <c r="K249" s="128"/>
      <c r="L249" s="43">
        <v>12</v>
      </c>
      <c r="M249" s="43">
        <f>G249*L249*$E$7</f>
        <v>3744</v>
      </c>
      <c r="N249" s="128"/>
      <c r="O249" s="43">
        <v>12</v>
      </c>
      <c r="P249" s="43">
        <f>G249*O249*$E$7*$E$7</f>
        <v>3893.76</v>
      </c>
      <c r="Q249" s="128"/>
      <c r="R249" s="43">
        <v>3</v>
      </c>
      <c r="S249" s="43">
        <f>G249*R249*$E$7*$E$7*$E$7</f>
        <v>1012.3776000000001</v>
      </c>
      <c r="T249" s="43">
        <f t="shared" ref="T249:T251" si="174">SUM(P249,M249,J249,E249,S249)</f>
        <v>18654.067600000002</v>
      </c>
      <c r="U249" s="43">
        <v>0</v>
      </c>
      <c r="V249" s="43">
        <f t="shared" ref="V249:V251" si="175">SUM(T249:U249)</f>
        <v>18654.067600000002</v>
      </c>
    </row>
    <row r="250" spans="1:24" ht="25.2">
      <c r="A250" s="7" t="s">
        <v>761</v>
      </c>
      <c r="B250" s="44" t="s">
        <v>718</v>
      </c>
      <c r="C250" s="7" t="s">
        <v>710</v>
      </c>
      <c r="D250" s="7" t="s">
        <v>244</v>
      </c>
      <c r="E250" s="43">
        <v>3539.65</v>
      </c>
      <c r="F250" s="7" t="s">
        <v>146</v>
      </c>
      <c r="G250" s="43">
        <f>77+80</f>
        <v>157</v>
      </c>
      <c r="H250" s="128"/>
      <c r="I250" s="43">
        <f>3*I249</f>
        <v>36</v>
      </c>
      <c r="J250" s="43">
        <f>G250*I250</f>
        <v>5652</v>
      </c>
      <c r="K250" s="128"/>
      <c r="L250" s="43">
        <f>3*L249</f>
        <v>36</v>
      </c>
      <c r="M250" s="43">
        <f>G250*L250*$E$7</f>
        <v>5878.08</v>
      </c>
      <c r="N250" s="128"/>
      <c r="O250" s="43">
        <f>3*O249</f>
        <v>36</v>
      </c>
      <c r="P250" s="43">
        <f>G250*O250*$E$7*$E$7</f>
        <v>6113.2031999999999</v>
      </c>
      <c r="Q250" s="128"/>
      <c r="R250" s="43">
        <f>3*R249</f>
        <v>9</v>
      </c>
      <c r="S250" s="43">
        <f>G250*R250*$E$7*$E$7*$E$7</f>
        <v>1589.432832</v>
      </c>
      <c r="T250" s="43">
        <f t="shared" si="174"/>
        <v>22772.366031999998</v>
      </c>
      <c r="U250" s="43">
        <v>0</v>
      </c>
      <c r="V250" s="43">
        <f t="shared" si="175"/>
        <v>22772.366031999998</v>
      </c>
    </row>
    <row r="251" spans="1:24" ht="25.2" hidden="1">
      <c r="D251" s="7" t="s">
        <v>245</v>
      </c>
      <c r="E251" s="43">
        <v>0</v>
      </c>
      <c r="F251" s="7" t="s">
        <v>246</v>
      </c>
      <c r="G251" s="43">
        <v>250</v>
      </c>
      <c r="H251" s="125"/>
      <c r="I251" s="43">
        <f>I260</f>
        <v>0</v>
      </c>
      <c r="J251" s="43">
        <f>I251*G251</f>
        <v>0</v>
      </c>
      <c r="K251" s="125"/>
      <c r="L251" s="43">
        <f>L260</f>
        <v>0</v>
      </c>
      <c r="M251" s="43">
        <f>L251*G251*$E$7</f>
        <v>0</v>
      </c>
      <c r="N251" s="125"/>
      <c r="O251" s="43">
        <f>O260</f>
        <v>0</v>
      </c>
      <c r="P251" s="43">
        <f>O251*G251*$E$7*$E$7</f>
        <v>0</v>
      </c>
      <c r="Q251" s="125"/>
      <c r="R251" s="43">
        <f>R260</f>
        <v>0</v>
      </c>
      <c r="S251" s="43">
        <f>R251*G251*$E$7*$E$7*$E$7</f>
        <v>0</v>
      </c>
      <c r="T251" s="43">
        <f t="shared" si="174"/>
        <v>0</v>
      </c>
      <c r="U251" s="43">
        <v>0</v>
      </c>
      <c r="V251" s="43">
        <f t="shared" si="175"/>
        <v>0</v>
      </c>
    </row>
    <row r="252" spans="1:24">
      <c r="A252" s="40"/>
      <c r="B252" s="40"/>
      <c r="C252" s="40"/>
      <c r="D252" s="40" t="s">
        <v>247</v>
      </c>
      <c r="E252" s="47">
        <f>SUM(E249:E251)</f>
        <v>9943.58</v>
      </c>
      <c r="F252" s="45"/>
      <c r="G252" s="47"/>
      <c r="H252" s="132"/>
      <c r="I252" s="47"/>
      <c r="J252" s="47">
        <f>SUM(J249:J251)</f>
        <v>9252</v>
      </c>
      <c r="K252" s="132"/>
      <c r="L252" s="47"/>
      <c r="M252" s="47">
        <f>SUM(M249:M251)</f>
        <v>9622.08</v>
      </c>
      <c r="N252" s="132"/>
      <c r="O252" s="47"/>
      <c r="P252" s="47">
        <f>SUM(P249:P251)</f>
        <v>10006.9632</v>
      </c>
      <c r="Q252" s="132"/>
      <c r="R252" s="47"/>
      <c r="S252" s="47">
        <f>SUM(S249:S251)</f>
        <v>2601.8104320000002</v>
      </c>
      <c r="T252" s="47">
        <f>SUM(T249:T251)</f>
        <v>41426.433632</v>
      </c>
      <c r="U252" s="47">
        <f>SUM(U249:U251)</f>
        <v>0</v>
      </c>
      <c r="V252" s="47">
        <f>SUM(V249:V251)</f>
        <v>41426.433632</v>
      </c>
    </row>
    <row r="253" spans="1:24">
      <c r="A253" s="104"/>
      <c r="B253" s="104"/>
      <c r="C253" s="104"/>
      <c r="D253" s="104"/>
      <c r="E253" s="62"/>
      <c r="F253" s="81"/>
      <c r="G253" s="62"/>
      <c r="H253" s="133"/>
      <c r="I253" s="62"/>
      <c r="J253" s="62"/>
      <c r="K253" s="133"/>
      <c r="L253" s="62"/>
      <c r="M253" s="62"/>
      <c r="N253" s="133"/>
      <c r="O253" s="62"/>
      <c r="P253" s="62"/>
      <c r="Q253" s="133"/>
      <c r="R253" s="62"/>
      <c r="S253" s="62"/>
      <c r="T253" s="62"/>
      <c r="U253" s="62"/>
      <c r="V253" s="62"/>
    </row>
    <row r="254" spans="1:24">
      <c r="A254" s="40"/>
      <c r="B254" s="40"/>
      <c r="C254" s="40"/>
      <c r="D254" s="40" t="s">
        <v>248</v>
      </c>
      <c r="E254" s="46"/>
      <c r="F254" s="45"/>
      <c r="G254" s="46"/>
      <c r="H254" s="132"/>
      <c r="I254" s="46"/>
      <c r="J254" s="46"/>
      <c r="K254" s="132"/>
      <c r="L254" s="46"/>
      <c r="M254" s="46"/>
      <c r="N254" s="132"/>
      <c r="O254" s="46"/>
      <c r="P254" s="46"/>
      <c r="Q254" s="132"/>
      <c r="R254" s="46"/>
      <c r="S254" s="46"/>
      <c r="T254" s="46"/>
      <c r="U254" s="46"/>
      <c r="V254" s="46"/>
    </row>
    <row r="255" spans="1:24">
      <c r="A255" s="91"/>
      <c r="B255" s="91"/>
      <c r="C255" s="91"/>
      <c r="D255" s="91" t="s">
        <v>249</v>
      </c>
      <c r="E255" s="91"/>
      <c r="F255" s="91"/>
      <c r="G255" s="91"/>
      <c r="H255" s="134"/>
      <c r="I255" s="91"/>
      <c r="J255" s="91"/>
      <c r="K255" s="134"/>
      <c r="L255" s="91"/>
      <c r="M255" s="91"/>
      <c r="N255" s="134"/>
      <c r="O255" s="91"/>
      <c r="P255" s="91"/>
      <c r="Q255" s="134"/>
      <c r="R255" s="91"/>
      <c r="S255" s="91"/>
      <c r="T255" s="91"/>
      <c r="U255" s="91"/>
      <c r="V255" s="91"/>
      <c r="W255" s="7"/>
    </row>
    <row r="256" spans="1:24" ht="25.2">
      <c r="A256" s="591" t="s">
        <v>779</v>
      </c>
      <c r="B256" s="44">
        <v>89000</v>
      </c>
      <c r="C256" s="7" t="s">
        <v>710</v>
      </c>
      <c r="D256" s="7" t="s">
        <v>250</v>
      </c>
      <c r="E256" s="43">
        <v>0</v>
      </c>
      <c r="F256" s="7" t="s">
        <v>251</v>
      </c>
      <c r="G256" s="43">
        <v>25000</v>
      </c>
      <c r="H256" s="125"/>
      <c r="I256" s="43">
        <v>3</v>
      </c>
      <c r="J256" s="43">
        <f>G256*I256</f>
        <v>75000</v>
      </c>
      <c r="K256" s="125"/>
      <c r="L256" s="43">
        <v>2</v>
      </c>
      <c r="M256" s="43">
        <f>L256*G256</f>
        <v>50000</v>
      </c>
      <c r="N256" s="125"/>
      <c r="O256" s="43">
        <v>0</v>
      </c>
      <c r="P256" s="43">
        <f>G256*O256</f>
        <v>0</v>
      </c>
      <c r="Q256" s="125"/>
      <c r="R256" s="43">
        <v>0</v>
      </c>
      <c r="S256" s="43">
        <f>G256*R256</f>
        <v>0</v>
      </c>
      <c r="T256" s="43">
        <f t="shared" ref="T256:T261" si="176">SUM(P256,M256,J256,E256,S256)</f>
        <v>125000</v>
      </c>
      <c r="U256" s="43">
        <v>0</v>
      </c>
      <c r="V256" s="43">
        <f t="shared" ref="V256:V261" si="177">SUM(T256:U256)</f>
        <v>125000</v>
      </c>
      <c r="W256" s="7"/>
    </row>
    <row r="257" spans="1:23" ht="25.2" hidden="1">
      <c r="D257" s="7" t="s">
        <v>252</v>
      </c>
      <c r="E257" s="43">
        <v>0</v>
      </c>
      <c r="F257" s="7" t="s">
        <v>251</v>
      </c>
      <c r="G257" s="43">
        <v>25000</v>
      </c>
      <c r="H257" s="125"/>
      <c r="I257" s="43">
        <v>0</v>
      </c>
      <c r="J257" s="43">
        <f>G257*I257</f>
        <v>0</v>
      </c>
      <c r="K257" s="125"/>
      <c r="L257" s="43">
        <v>0</v>
      </c>
      <c r="M257" s="43">
        <f>L257*G257</f>
        <v>0</v>
      </c>
      <c r="N257" s="125"/>
      <c r="O257" s="43">
        <v>0</v>
      </c>
      <c r="P257" s="43">
        <f>G257*O257</f>
        <v>0</v>
      </c>
      <c r="Q257" s="125"/>
      <c r="R257" s="43">
        <v>0</v>
      </c>
      <c r="S257" s="43">
        <f>G257*R257</f>
        <v>0</v>
      </c>
      <c r="T257" s="43">
        <f t="shared" ref="T257" si="178">SUM(P257,M257,J257,E257,S257)</f>
        <v>0</v>
      </c>
      <c r="U257" s="43">
        <v>0</v>
      </c>
      <c r="V257" s="43">
        <f t="shared" ref="V257:V258" si="179">SUM(T257:U257)</f>
        <v>0</v>
      </c>
      <c r="W257" s="7"/>
    </row>
    <row r="258" spans="1:23" hidden="1">
      <c r="D258" s="7" t="s">
        <v>253</v>
      </c>
      <c r="E258" s="43">
        <v>0</v>
      </c>
      <c r="F258" s="7" t="s">
        <v>251</v>
      </c>
      <c r="G258" s="43">
        <v>12000</v>
      </c>
      <c r="H258" s="125"/>
      <c r="I258" s="43">
        <v>0</v>
      </c>
      <c r="J258" s="43">
        <v>0</v>
      </c>
      <c r="K258" s="125"/>
      <c r="L258" s="43">
        <v>0</v>
      </c>
      <c r="M258" s="43">
        <f>L258*G258</f>
        <v>0</v>
      </c>
      <c r="N258" s="125"/>
      <c r="O258" s="43">
        <v>0</v>
      </c>
      <c r="P258" s="43">
        <f>G258*O258</f>
        <v>0</v>
      </c>
      <c r="Q258" s="125"/>
      <c r="R258" s="43">
        <v>0</v>
      </c>
      <c r="S258" s="43">
        <f>R258*G258</f>
        <v>0</v>
      </c>
      <c r="T258" s="43">
        <f>SUM(P258,M258,J258,E258,S258)</f>
        <v>0</v>
      </c>
      <c r="U258" s="43">
        <v>0</v>
      </c>
      <c r="V258" s="43">
        <f t="shared" si="179"/>
        <v>0</v>
      </c>
    </row>
    <row r="259" spans="1:23">
      <c r="A259" s="91"/>
      <c r="B259" s="91"/>
      <c r="C259" s="91"/>
      <c r="D259" s="91" t="s">
        <v>254</v>
      </c>
      <c r="E259" s="91"/>
      <c r="F259" s="91"/>
      <c r="G259" s="91"/>
      <c r="H259" s="134"/>
      <c r="I259" s="91"/>
      <c r="J259" s="91"/>
      <c r="K259" s="134"/>
      <c r="L259" s="91"/>
      <c r="M259" s="91"/>
      <c r="N259" s="134"/>
      <c r="O259" s="91"/>
      <c r="P259" s="91"/>
      <c r="Q259" s="134"/>
      <c r="R259" s="91"/>
      <c r="S259" s="91"/>
      <c r="T259" s="91"/>
      <c r="U259" s="91"/>
      <c r="V259" s="91"/>
      <c r="W259" s="7"/>
    </row>
    <row r="260" spans="1:23" ht="25.2" hidden="1">
      <c r="D260" s="7" t="s">
        <v>255</v>
      </c>
      <c r="E260" s="43">
        <v>0</v>
      </c>
      <c r="F260" s="7" t="s">
        <v>246</v>
      </c>
      <c r="G260" s="43">
        <v>280</v>
      </c>
      <c r="H260" s="125"/>
      <c r="I260" s="43">
        <v>0</v>
      </c>
      <c r="J260" s="43">
        <f>I260*G260</f>
        <v>0</v>
      </c>
      <c r="K260" s="125"/>
      <c r="L260" s="43">
        <v>0</v>
      </c>
      <c r="M260" s="43">
        <f>L260*G260</f>
        <v>0</v>
      </c>
      <c r="N260" s="125"/>
      <c r="O260" s="43">
        <v>0</v>
      </c>
      <c r="P260" s="43">
        <f>O260*G260</f>
        <v>0</v>
      </c>
      <c r="Q260" s="125"/>
      <c r="R260" s="43">
        <v>0</v>
      </c>
      <c r="S260" s="43">
        <f>R260*G260</f>
        <v>0</v>
      </c>
      <c r="T260" s="43">
        <f t="shared" ref="T260" si="180">SUM(P260,M260,J260,E260,S260)</f>
        <v>0</v>
      </c>
      <c r="U260" s="43">
        <v>0</v>
      </c>
      <c r="V260" s="43">
        <f t="shared" ref="V260" si="181">SUM(T260:U260)</f>
        <v>0</v>
      </c>
      <c r="W260" s="7"/>
    </row>
    <row r="261" spans="1:23" ht="25.2" hidden="1">
      <c r="D261" s="7" t="s">
        <v>256</v>
      </c>
      <c r="E261" s="43">
        <v>0</v>
      </c>
      <c r="F261" s="7" t="s">
        <v>257</v>
      </c>
      <c r="G261" s="43">
        <v>3500</v>
      </c>
      <c r="H261" s="125"/>
      <c r="I261" s="43">
        <v>0</v>
      </c>
      <c r="J261" s="43">
        <f>G261*I261</f>
        <v>0</v>
      </c>
      <c r="K261" s="125"/>
      <c r="L261" s="43">
        <v>0</v>
      </c>
      <c r="M261" s="43">
        <f>L261*G261</f>
        <v>0</v>
      </c>
      <c r="N261" s="125"/>
      <c r="O261" s="43">
        <v>0</v>
      </c>
      <c r="P261" s="43">
        <f>G261*O261</f>
        <v>0</v>
      </c>
      <c r="Q261" s="125"/>
      <c r="R261" s="43">
        <v>0</v>
      </c>
      <c r="S261" s="43">
        <f>G261*R261</f>
        <v>0</v>
      </c>
      <c r="T261" s="43">
        <f t="shared" si="176"/>
        <v>0</v>
      </c>
      <c r="U261" s="43">
        <v>0</v>
      </c>
      <c r="V261" s="43">
        <f t="shared" si="177"/>
        <v>0</v>
      </c>
      <c r="W261" s="7"/>
    </row>
    <row r="262" spans="1:23">
      <c r="A262" s="40"/>
      <c r="B262" s="40"/>
      <c r="C262" s="40"/>
      <c r="D262" s="40" t="s">
        <v>258</v>
      </c>
      <c r="E262" s="47">
        <f>SUM(E256:E261)</f>
        <v>0</v>
      </c>
      <c r="F262" s="45"/>
      <c r="G262" s="47"/>
      <c r="H262" s="135"/>
      <c r="I262" s="47"/>
      <c r="J262" s="47">
        <f>SUM(J256:J261)</f>
        <v>75000</v>
      </c>
      <c r="K262" s="135"/>
      <c r="L262" s="47"/>
      <c r="M262" s="47">
        <f>SUM(M256:M261)</f>
        <v>50000</v>
      </c>
      <c r="N262" s="135"/>
      <c r="O262" s="47"/>
      <c r="P262" s="47">
        <f>SUM(P256:P261)</f>
        <v>0</v>
      </c>
      <c r="Q262" s="135"/>
      <c r="R262" s="47"/>
      <c r="S262" s="47">
        <f>SUM(S256:S261)</f>
        <v>0</v>
      </c>
      <c r="T262" s="47">
        <f>SUM(T256:T261)</f>
        <v>125000</v>
      </c>
      <c r="U262" s="47">
        <f>SUM(U256:U261)</f>
        <v>0</v>
      </c>
      <c r="V262" s="47">
        <f>SUM(V256:V261)</f>
        <v>125000</v>
      </c>
    </row>
    <row r="263" spans="1:23">
      <c r="A263" s="104"/>
      <c r="B263" s="104"/>
      <c r="C263" s="104"/>
      <c r="D263" s="104"/>
      <c r="E263" s="62"/>
      <c r="F263" s="81"/>
      <c r="G263" s="62"/>
      <c r="H263" s="133"/>
      <c r="I263" s="62"/>
      <c r="J263" s="62"/>
      <c r="K263" s="133"/>
      <c r="L263" s="62"/>
      <c r="M263" s="62"/>
      <c r="N263" s="133"/>
      <c r="O263" s="62"/>
      <c r="P263" s="62"/>
      <c r="Q263" s="133"/>
      <c r="R263" s="62"/>
      <c r="S263" s="62"/>
      <c r="T263" s="62"/>
      <c r="U263" s="62"/>
      <c r="V263" s="62"/>
    </row>
    <row r="264" spans="1:23">
      <c r="A264" s="40"/>
      <c r="B264" s="40"/>
      <c r="C264" s="40"/>
      <c r="D264" s="40" t="s">
        <v>259</v>
      </c>
      <c r="E264" s="46"/>
      <c r="F264" s="45"/>
      <c r="G264" s="46"/>
      <c r="H264" s="132"/>
      <c r="I264" s="46"/>
      <c r="J264" s="46"/>
      <c r="K264" s="132"/>
      <c r="L264" s="46"/>
      <c r="M264" s="46"/>
      <c r="N264" s="132"/>
      <c r="O264" s="46"/>
      <c r="P264" s="46"/>
      <c r="Q264" s="132"/>
      <c r="R264" s="46"/>
      <c r="S264" s="46"/>
      <c r="T264" s="46"/>
      <c r="U264" s="46"/>
      <c r="V264" s="46"/>
    </row>
    <row r="265" spans="1:23" hidden="1">
      <c r="A265" s="44"/>
      <c r="C265" s="44"/>
      <c r="D265" s="44" t="s">
        <v>260</v>
      </c>
      <c r="E265" s="43">
        <v>0</v>
      </c>
      <c r="F265" s="48" t="s">
        <v>226</v>
      </c>
      <c r="G265" s="43">
        <f>522/8</f>
        <v>65.25</v>
      </c>
      <c r="H265" s="128"/>
      <c r="I265" s="43">
        <v>0</v>
      </c>
      <c r="J265" s="43">
        <v>0</v>
      </c>
      <c r="K265" s="128"/>
      <c r="L265" s="43">
        <v>0</v>
      </c>
      <c r="M265" s="43">
        <v>0</v>
      </c>
      <c r="N265" s="128"/>
      <c r="O265" s="43">
        <v>0</v>
      </c>
      <c r="P265" s="43">
        <v>0</v>
      </c>
      <c r="Q265" s="128"/>
      <c r="R265" s="43">
        <v>0</v>
      </c>
      <c r="S265" s="43">
        <v>0</v>
      </c>
      <c r="T265" s="43">
        <f t="shared" ref="T265:T266" si="182">SUM(P265,M265,J265,E265,S265)</f>
        <v>0</v>
      </c>
      <c r="U265" s="43">
        <f>(O265*G265)+(L265*G265)+(I265*G265)+(R265*G265)+E265</f>
        <v>0</v>
      </c>
      <c r="V265" s="43">
        <f t="shared" ref="V265:V266" si="183">SUM(T265:U265)</f>
        <v>0</v>
      </c>
    </row>
    <row r="266" spans="1:23" hidden="1">
      <c r="D266" s="7" t="s">
        <v>261</v>
      </c>
      <c r="E266" s="43">
        <v>0</v>
      </c>
      <c r="F266" s="48" t="s">
        <v>95</v>
      </c>
      <c r="G266" s="43">
        <v>1360</v>
      </c>
      <c r="H266" s="128"/>
      <c r="I266" s="43">
        <v>0</v>
      </c>
      <c r="J266" s="43">
        <v>0</v>
      </c>
      <c r="K266" s="128"/>
      <c r="L266" s="43">
        <v>0</v>
      </c>
      <c r="M266" s="43">
        <v>0</v>
      </c>
      <c r="N266" s="128"/>
      <c r="O266" s="43">
        <v>0</v>
      </c>
      <c r="P266" s="43">
        <v>0</v>
      </c>
      <c r="Q266" s="128"/>
      <c r="R266" s="43">
        <v>0</v>
      </c>
      <c r="S266" s="43">
        <v>0</v>
      </c>
      <c r="T266" s="43">
        <f t="shared" si="182"/>
        <v>0</v>
      </c>
      <c r="U266" s="43">
        <f>(O266*G266)+(L266*G266)+(I266*G266)+(R266*G266)+E266</f>
        <v>0</v>
      </c>
      <c r="V266" s="43">
        <f t="shared" si="183"/>
        <v>0</v>
      </c>
    </row>
    <row r="267" spans="1:23" ht="25.2" hidden="1">
      <c r="A267" s="44"/>
      <c r="C267" s="44"/>
      <c r="D267" s="44" t="s">
        <v>262</v>
      </c>
      <c r="E267" s="43"/>
      <c r="F267" s="48" t="s">
        <v>226</v>
      </c>
      <c r="G267" s="43">
        <f>((4300*12)/2080)</f>
        <v>24.807692307692307</v>
      </c>
      <c r="H267" s="128"/>
      <c r="I267" s="43">
        <v>0</v>
      </c>
      <c r="J267" s="43">
        <v>0</v>
      </c>
      <c r="K267" s="128"/>
      <c r="L267" s="43">
        <v>0</v>
      </c>
      <c r="M267" s="43">
        <v>0</v>
      </c>
      <c r="N267" s="128"/>
      <c r="O267" s="43">
        <v>0</v>
      </c>
      <c r="P267" s="43">
        <v>0</v>
      </c>
      <c r="Q267" s="128"/>
      <c r="R267" s="43">
        <v>0</v>
      </c>
      <c r="S267" s="43">
        <v>0</v>
      </c>
      <c r="T267" s="43">
        <f t="shared" ref="T267" si="184">SUM(P267,M267,J267,E267,S267)</f>
        <v>0</v>
      </c>
      <c r="U267" s="43">
        <f>(O267*G267)+(L267*G267)+(I267*G267)+(R267*G267)+E267</f>
        <v>0</v>
      </c>
      <c r="V267" s="43">
        <f t="shared" ref="V267:V269" si="185">SUM(T267:U267)</f>
        <v>0</v>
      </c>
    </row>
    <row r="268" spans="1:23" ht="25.2">
      <c r="A268" s="44" t="s">
        <v>760</v>
      </c>
      <c r="B268" s="44">
        <v>96000</v>
      </c>
      <c r="C268" s="44" t="s">
        <v>709</v>
      </c>
      <c r="D268" s="44" t="s">
        <v>263</v>
      </c>
      <c r="E268" s="43">
        <v>12219.19</v>
      </c>
      <c r="F268" s="48" t="s">
        <v>237</v>
      </c>
      <c r="G268" s="43">
        <v>0</v>
      </c>
      <c r="H268" s="128"/>
      <c r="I268" s="43">
        <v>0</v>
      </c>
      <c r="J268" s="43">
        <v>0</v>
      </c>
      <c r="K268" s="128"/>
      <c r="L268" s="43">
        <v>0</v>
      </c>
      <c r="M268" s="43">
        <v>0</v>
      </c>
      <c r="N268" s="128"/>
      <c r="O268" s="43">
        <v>0</v>
      </c>
      <c r="P268" s="43">
        <v>0</v>
      </c>
      <c r="Q268" s="128"/>
      <c r="R268" s="43">
        <v>0</v>
      </c>
      <c r="S268" s="43">
        <v>0</v>
      </c>
      <c r="T268" s="43">
        <f>SUM(P268,M268,J268,S268)</f>
        <v>0</v>
      </c>
      <c r="U268" s="43">
        <f>(O268*G268)+(L268*G268)+(I268*G268)+(R268*G268)+E268</f>
        <v>12219.19</v>
      </c>
      <c r="V268" s="43">
        <f t="shared" ref="V268" si="186">SUM(T268:U268)</f>
        <v>12219.19</v>
      </c>
    </row>
    <row r="269" spans="1:23">
      <c r="A269" s="44" t="s">
        <v>760</v>
      </c>
      <c r="B269" s="44">
        <v>96000</v>
      </c>
      <c r="C269" s="44" t="s">
        <v>709</v>
      </c>
      <c r="D269" s="44" t="s">
        <v>264</v>
      </c>
      <c r="E269" s="43">
        <v>0</v>
      </c>
      <c r="F269" s="48" t="s">
        <v>237</v>
      </c>
      <c r="G269" s="43">
        <f>300000/3</f>
        <v>100000</v>
      </c>
      <c r="H269" s="128"/>
      <c r="I269" s="43">
        <v>1</v>
      </c>
      <c r="J269" s="43">
        <v>0</v>
      </c>
      <c r="K269" s="128"/>
      <c r="L269" s="43">
        <v>1</v>
      </c>
      <c r="M269" s="43">
        <v>0</v>
      </c>
      <c r="N269" s="128"/>
      <c r="O269" s="43">
        <v>1</v>
      </c>
      <c r="P269" s="43">
        <v>0</v>
      </c>
      <c r="Q269" s="128"/>
      <c r="R269" s="43">
        <v>0</v>
      </c>
      <c r="S269" s="43">
        <v>0</v>
      </c>
      <c r="T269" s="43">
        <f>SUM(P269,M269,J269,S269)</f>
        <v>0</v>
      </c>
      <c r="U269" s="43">
        <f>(O269*G269)+(L269*G269)+(I269*G269)+(R269*G269)+E269</f>
        <v>300000</v>
      </c>
      <c r="V269" s="43">
        <f t="shared" si="185"/>
        <v>300000</v>
      </c>
    </row>
    <row r="270" spans="1:23">
      <c r="A270" s="40"/>
      <c r="B270" s="40"/>
      <c r="C270" s="40"/>
      <c r="D270" s="40" t="s">
        <v>265</v>
      </c>
      <c r="E270" s="47">
        <v>0</v>
      </c>
      <c r="F270" s="45"/>
      <c r="G270" s="47"/>
      <c r="H270" s="135"/>
      <c r="I270" s="47"/>
      <c r="J270" s="47">
        <f>SUM(J265:J269)</f>
        <v>0</v>
      </c>
      <c r="K270" s="135"/>
      <c r="L270" s="47"/>
      <c r="M270" s="47">
        <f>SUM(M265:M269)</f>
        <v>0</v>
      </c>
      <c r="N270" s="135"/>
      <c r="O270" s="47"/>
      <c r="P270" s="47">
        <f>SUM(P265:P269)</f>
        <v>0</v>
      </c>
      <c r="Q270" s="135"/>
      <c r="R270" s="47"/>
      <c r="S270" s="47">
        <f>SUM(S265:S269)</f>
        <v>0</v>
      </c>
      <c r="T270" s="47">
        <f>SUM(T265:T269)</f>
        <v>0</v>
      </c>
      <c r="U270" s="47">
        <f>SUM(U265:U269)</f>
        <v>312219.19</v>
      </c>
      <c r="V270" s="47">
        <f>SUM(V265:V269)</f>
        <v>312219.19</v>
      </c>
    </row>
    <row r="271" spans="1:23">
      <c r="A271" s="104"/>
      <c r="B271" s="104"/>
      <c r="C271" s="104"/>
      <c r="D271" s="104"/>
      <c r="E271" s="62"/>
      <c r="F271" s="81"/>
      <c r="G271" s="62"/>
      <c r="H271" s="133"/>
      <c r="I271" s="62"/>
      <c r="J271" s="62"/>
      <c r="K271" s="133"/>
      <c r="L271" s="62"/>
      <c r="M271" s="62"/>
      <c r="N271" s="133"/>
      <c r="O271" s="62"/>
      <c r="P271" s="62"/>
      <c r="Q271" s="133"/>
      <c r="R271" s="62"/>
      <c r="S271" s="62"/>
      <c r="T271" s="62"/>
      <c r="U271" s="62"/>
      <c r="V271" s="62"/>
    </row>
    <row r="272" spans="1:23" ht="12.9" thickBot="1">
      <c r="A272" s="53"/>
      <c r="B272" s="66"/>
      <c r="C272" s="53"/>
      <c r="D272" s="53" t="s">
        <v>266</v>
      </c>
      <c r="E272" s="64">
        <f>SUM(E270+E242+E252+E237+E230+E262+E246)</f>
        <v>559496.95000000007</v>
      </c>
      <c r="F272" s="53"/>
      <c r="G272" s="69"/>
      <c r="H272" s="126"/>
      <c r="I272" s="64"/>
      <c r="J272" s="64">
        <f>SUM(J270+J242+J252+J237+J230+J262+J246)</f>
        <v>726949.30138173909</v>
      </c>
      <c r="K272" s="126"/>
      <c r="L272" s="64"/>
      <c r="M272" s="64">
        <f>SUM(M270+M242+M252+M237+M230+M262+M246)</f>
        <v>547208.19519548002</v>
      </c>
      <c r="N272" s="126"/>
      <c r="O272" s="64"/>
      <c r="P272" s="64">
        <f>SUM(P270+P242+P252+P237+P230+P262+P246)</f>
        <v>308636.93176383601</v>
      </c>
      <c r="Q272" s="126"/>
      <c r="R272" s="64"/>
      <c r="S272" s="64">
        <f>SUM(S270+S242+S252+S237+S230+S262+S246)</f>
        <v>67638.718428026405</v>
      </c>
      <c r="T272" s="64">
        <f>SUM(T270+T242+T252+T237+T230+T262+T246)</f>
        <v>2209930.0967690814</v>
      </c>
      <c r="U272" s="64">
        <f>SUM(U270+U242+U252+U237+U230+U262+U246)</f>
        <v>312219.19</v>
      </c>
      <c r="V272" s="64">
        <f>SUM(V270+V242+V252+V237+V230+V262+V246)</f>
        <v>2522149.2867690814</v>
      </c>
    </row>
    <row r="273" spans="1:22">
      <c r="A273" s="81"/>
      <c r="B273" s="81"/>
      <c r="C273" s="81"/>
      <c r="D273" s="81"/>
      <c r="E273" s="62"/>
      <c r="F273" s="81"/>
      <c r="G273" s="62"/>
      <c r="H273" s="123"/>
      <c r="I273" s="62"/>
      <c r="J273" s="62"/>
      <c r="K273" s="123"/>
      <c r="L273" s="62"/>
      <c r="M273" s="62"/>
      <c r="N273" s="123"/>
      <c r="O273" s="62"/>
      <c r="P273" s="62"/>
      <c r="Q273" s="123"/>
      <c r="R273" s="62"/>
      <c r="S273" s="62"/>
      <c r="T273" s="62"/>
      <c r="U273" s="62"/>
      <c r="V273" s="62"/>
    </row>
    <row r="274" spans="1:22">
      <c r="A274" s="98"/>
      <c r="B274" s="617"/>
      <c r="C274" s="98"/>
      <c r="D274" s="98" t="str">
        <f>'USDA Budget Summary'!A31</f>
        <v>Activity 3: Agriculture Extension and Production Support</v>
      </c>
      <c r="E274" s="99"/>
      <c r="F274" s="37"/>
      <c r="G274" s="38"/>
      <c r="H274" s="130"/>
      <c r="I274" s="99"/>
      <c r="J274" s="99"/>
      <c r="K274" s="130"/>
      <c r="L274" s="99"/>
      <c r="M274" s="99"/>
      <c r="N274" s="130"/>
      <c r="O274" s="99"/>
      <c r="P274" s="99"/>
      <c r="Q274" s="130"/>
      <c r="R274" s="99"/>
      <c r="S274" s="99"/>
      <c r="T274" s="99"/>
      <c r="U274" s="100"/>
      <c r="V274" s="99"/>
    </row>
    <row r="275" spans="1:22">
      <c r="A275" s="101"/>
      <c r="B275" s="101"/>
      <c r="C275" s="101"/>
      <c r="D275" s="101" t="s">
        <v>215</v>
      </c>
      <c r="E275" s="103"/>
      <c r="F275" s="102"/>
      <c r="G275" s="103"/>
      <c r="H275" s="131"/>
      <c r="I275" s="103"/>
      <c r="J275" s="103"/>
      <c r="K275" s="131"/>
      <c r="L275" s="103"/>
      <c r="M275" s="103"/>
      <c r="N275" s="131"/>
      <c r="O275" s="103"/>
      <c r="P275" s="103"/>
      <c r="Q275" s="131"/>
      <c r="R275" s="103"/>
      <c r="S275" s="103"/>
      <c r="T275" s="103"/>
      <c r="U275" s="103"/>
      <c r="V275" s="103"/>
    </row>
    <row r="276" spans="1:22">
      <c r="A276" s="40"/>
      <c r="B276" s="40"/>
      <c r="C276" s="40"/>
      <c r="D276" s="40" t="s">
        <v>267</v>
      </c>
      <c r="E276" s="46"/>
      <c r="F276" s="45"/>
      <c r="G276" s="46"/>
      <c r="H276" s="132"/>
      <c r="I276" s="46"/>
      <c r="J276" s="46"/>
      <c r="K276" s="132"/>
      <c r="L276" s="46"/>
      <c r="M276" s="46"/>
      <c r="N276" s="132"/>
      <c r="O276" s="46"/>
      <c r="P276" s="46"/>
      <c r="Q276" s="132"/>
      <c r="R276" s="46"/>
      <c r="S276" s="46"/>
      <c r="T276" s="46"/>
      <c r="U276" s="46"/>
      <c r="V276" s="46"/>
    </row>
    <row r="277" spans="1:22">
      <c r="A277" s="7" t="s">
        <v>749</v>
      </c>
      <c r="B277" s="44">
        <v>50000</v>
      </c>
      <c r="C277" s="7" t="s">
        <v>709</v>
      </c>
      <c r="D277" s="7" t="str">
        <f t="shared" ref="D277:D306" si="187">D13</f>
        <v>Key Personnel: Chief of Party</v>
      </c>
      <c r="E277" s="43">
        <v>55719.69</v>
      </c>
      <c r="F277" s="49" t="s">
        <v>95</v>
      </c>
      <c r="G277" s="43">
        <f t="shared" ref="G277:G306" si="188">G13</f>
        <v>14250</v>
      </c>
      <c r="H277" s="119">
        <f>'LOE Breakdown by Year'!G11</f>
        <v>0.1</v>
      </c>
      <c r="I277" s="43">
        <f t="shared" ref="I277:I306" si="189">I13</f>
        <v>12</v>
      </c>
      <c r="J277" s="43">
        <f>I277*G277*$H277</f>
        <v>17100</v>
      </c>
      <c r="K277" s="119">
        <f>'LOE Breakdown by Year'!G51</f>
        <v>0.19</v>
      </c>
      <c r="L277" s="43">
        <f t="shared" ref="L277:L306" si="190">L13</f>
        <v>12</v>
      </c>
      <c r="M277" s="43">
        <f>L277*G277*$K277*$E$8</f>
        <v>34114.5</v>
      </c>
      <c r="N277" s="119">
        <f>'LOE Breakdown by Year'!G91</f>
        <v>0.19</v>
      </c>
      <c r="O277" s="43">
        <f t="shared" ref="O277:O306" si="191">O13</f>
        <v>12</v>
      </c>
      <c r="P277" s="43">
        <f>O277*G277*$N277*$E$8*$E$8</f>
        <v>35820.224999999999</v>
      </c>
      <c r="Q277" s="119">
        <f>'LOE Breakdown by Year'!G131</f>
        <v>0.19</v>
      </c>
      <c r="R277" s="43">
        <f t="shared" ref="R277:R306" si="192">R13</f>
        <v>0</v>
      </c>
      <c r="S277" s="43">
        <f>R277*G277*$Q277*$E$8*$E$8*$E$8</f>
        <v>0</v>
      </c>
      <c r="T277" s="43">
        <f t="shared" ref="T277" si="193">SUM(P277,M277,J277,E277,S277)</f>
        <v>142754.41500000001</v>
      </c>
      <c r="U277" s="43">
        <v>0</v>
      </c>
      <c r="V277" s="43">
        <f t="shared" ref="V277" si="194">SUM(T277:U277)</f>
        <v>142754.41500000001</v>
      </c>
    </row>
    <row r="278" spans="1:22" ht="25.2">
      <c r="A278" s="7" t="s">
        <v>749</v>
      </c>
      <c r="B278" s="44">
        <v>70000</v>
      </c>
      <c r="C278" s="7" t="s">
        <v>710</v>
      </c>
      <c r="D278" s="7" t="str">
        <f t="shared" si="187"/>
        <v>Deputy Chief of Party / Value Chain Strengthening Director</v>
      </c>
      <c r="E278" s="43">
        <v>0</v>
      </c>
      <c r="F278" s="49" t="s">
        <v>95</v>
      </c>
      <c r="G278" s="43">
        <f t="shared" si="188"/>
        <v>5000</v>
      </c>
      <c r="H278" s="119">
        <f>'LOE Breakdown by Year'!G12</f>
        <v>0.15</v>
      </c>
      <c r="I278" s="43">
        <f t="shared" si="189"/>
        <v>12</v>
      </c>
      <c r="J278" s="43">
        <f>I278*G278*$H278</f>
        <v>9000</v>
      </c>
      <c r="K278" s="119">
        <f>'LOE Breakdown by Year'!G52</f>
        <v>0.15</v>
      </c>
      <c r="L278" s="43">
        <f t="shared" si="190"/>
        <v>12</v>
      </c>
      <c r="M278" s="43">
        <f>L278*G278*$K278*$E$8</f>
        <v>9450</v>
      </c>
      <c r="N278" s="119">
        <f>'LOE Breakdown by Year'!G92</f>
        <v>0.15</v>
      </c>
      <c r="O278" s="43">
        <f t="shared" si="191"/>
        <v>12</v>
      </c>
      <c r="P278" s="43">
        <f>O278*G278*$N278*$E$8*$E$8</f>
        <v>9922.5</v>
      </c>
      <c r="Q278" s="119">
        <f>'LOE Breakdown by Year'!G132</f>
        <v>0.15</v>
      </c>
      <c r="R278" s="43">
        <f t="shared" si="192"/>
        <v>6</v>
      </c>
      <c r="S278" s="43">
        <f>R278*G278*$Q278*$E$8*$E$8*$E$8</f>
        <v>5209.3125</v>
      </c>
      <c r="T278" s="43">
        <f t="shared" ref="T278" si="195">SUM(P278,M278,J278,E278,S278)</f>
        <v>33581.8125</v>
      </c>
      <c r="U278" s="43">
        <v>0</v>
      </c>
      <c r="V278" s="43">
        <f t="shared" ref="V278" si="196">SUM(T278:U278)</f>
        <v>33581.8125</v>
      </c>
    </row>
    <row r="279" spans="1:22">
      <c r="A279" s="7" t="s">
        <v>749</v>
      </c>
      <c r="B279" s="44">
        <v>70000</v>
      </c>
      <c r="C279" s="7" t="s">
        <v>710</v>
      </c>
      <c r="D279" s="7" t="str">
        <f t="shared" si="187"/>
        <v>Key Personnel: Technical Director</v>
      </c>
      <c r="E279" s="43">
        <v>207158.73</v>
      </c>
      <c r="F279" s="49" t="s">
        <v>95</v>
      </c>
      <c r="G279" s="43">
        <f t="shared" si="188"/>
        <v>4583.333333333333</v>
      </c>
      <c r="H279" s="119">
        <f>'LOE Breakdown by Year'!G13</f>
        <v>0.4</v>
      </c>
      <c r="I279" s="43">
        <f t="shared" si="189"/>
        <v>12</v>
      </c>
      <c r="J279" s="43">
        <f t="shared" ref="J279:J306" si="197">I279*G279*$H279</f>
        <v>22000</v>
      </c>
      <c r="K279" s="119">
        <f>'LOE Breakdown by Year'!G53</f>
        <v>0.5</v>
      </c>
      <c r="L279" s="43">
        <f t="shared" si="190"/>
        <v>12</v>
      </c>
      <c r="M279" s="43">
        <f t="shared" ref="M279:M306" si="198">L279*G279*$K279*$E$8</f>
        <v>28875</v>
      </c>
      <c r="N279" s="119">
        <f>'LOE Breakdown by Year'!G93</f>
        <v>0.5</v>
      </c>
      <c r="O279" s="43">
        <f t="shared" si="191"/>
        <v>12</v>
      </c>
      <c r="P279" s="43">
        <f t="shared" ref="P279:P306" si="199">O279*G279*$N279*$E$8*$E$8</f>
        <v>30318.75</v>
      </c>
      <c r="Q279" s="119">
        <f>'LOE Breakdown by Year'!G133</f>
        <v>0.5</v>
      </c>
      <c r="R279" s="43">
        <f t="shared" si="192"/>
        <v>5</v>
      </c>
      <c r="S279" s="43">
        <f t="shared" ref="S279:S306" si="200">R279*G279*$Q279*$E$8*$E$8*$E$8</f>
        <v>13264.453125</v>
      </c>
      <c r="T279" s="43">
        <f t="shared" ref="T279:T306" si="201">SUM(P279,M279,J279,E279,S279)</f>
        <v>301616.93312499998</v>
      </c>
      <c r="U279" s="43">
        <v>0</v>
      </c>
      <c r="V279" s="43">
        <f t="shared" ref="V279:V306" si="202">SUM(T279:U279)</f>
        <v>301616.93312499998</v>
      </c>
    </row>
    <row r="280" spans="1:22">
      <c r="A280" s="7" t="s">
        <v>749</v>
      </c>
      <c r="B280" s="44">
        <v>70000</v>
      </c>
      <c r="C280" s="7" t="s">
        <v>710</v>
      </c>
      <c r="D280" s="7" t="str">
        <f t="shared" si="187"/>
        <v>Activity Lead Agribusiness Senior Specialist (Cacao)</v>
      </c>
      <c r="E280" s="43">
        <v>151812.47</v>
      </c>
      <c r="F280" s="49" t="s">
        <v>95</v>
      </c>
      <c r="G280" s="43">
        <f t="shared" si="188"/>
        <v>2833.3333333333335</v>
      </c>
      <c r="H280" s="119">
        <f>'LOE Breakdown by Year'!G14</f>
        <v>0.1</v>
      </c>
      <c r="I280" s="43">
        <f t="shared" si="189"/>
        <v>12</v>
      </c>
      <c r="J280" s="43">
        <f t="shared" si="197"/>
        <v>3400</v>
      </c>
      <c r="K280" s="119">
        <f>'LOE Breakdown by Year'!G54</f>
        <v>0.8</v>
      </c>
      <c r="L280" s="43">
        <f t="shared" si="190"/>
        <v>12</v>
      </c>
      <c r="M280" s="43">
        <f t="shared" si="198"/>
        <v>28560</v>
      </c>
      <c r="N280" s="119">
        <f>'LOE Breakdown by Year'!G94</f>
        <v>0.8</v>
      </c>
      <c r="O280" s="43">
        <f t="shared" si="191"/>
        <v>12</v>
      </c>
      <c r="P280" s="43">
        <f t="shared" si="199"/>
        <v>29988</v>
      </c>
      <c r="Q280" s="119">
        <f>'LOE Breakdown by Year'!G134</f>
        <v>0.8</v>
      </c>
      <c r="R280" s="43">
        <f t="shared" si="192"/>
        <v>2</v>
      </c>
      <c r="S280" s="43">
        <f t="shared" si="200"/>
        <v>5247.9000000000015</v>
      </c>
      <c r="T280" s="43">
        <f t="shared" si="201"/>
        <v>219008.37</v>
      </c>
      <c r="U280" s="43">
        <v>0</v>
      </c>
      <c r="V280" s="43">
        <f t="shared" si="202"/>
        <v>219008.37</v>
      </c>
    </row>
    <row r="281" spans="1:22">
      <c r="A281" s="7" t="s">
        <v>749</v>
      </c>
      <c r="B281" s="44">
        <v>70000</v>
      </c>
      <c r="C281" s="7" t="s">
        <v>710</v>
      </c>
      <c r="D281" s="7" t="str">
        <f t="shared" si="187"/>
        <v>Cacao Field Officer</v>
      </c>
      <c r="E281" s="43">
        <v>0</v>
      </c>
      <c r="F281" s="49" t="s">
        <v>95</v>
      </c>
      <c r="G281" s="43">
        <f t="shared" si="188"/>
        <v>1333.3333333333333</v>
      </c>
      <c r="H281" s="119">
        <f>'LOE Breakdown by Year'!G15</f>
        <v>1</v>
      </c>
      <c r="I281" s="43">
        <f t="shared" si="189"/>
        <v>12</v>
      </c>
      <c r="J281" s="43">
        <f t="shared" si="197"/>
        <v>16000</v>
      </c>
      <c r="K281" s="119">
        <f>'LOE Breakdown by Year'!G55</f>
        <v>1</v>
      </c>
      <c r="L281" s="43">
        <f t="shared" si="190"/>
        <v>12</v>
      </c>
      <c r="M281" s="43">
        <f t="shared" si="198"/>
        <v>16800</v>
      </c>
      <c r="N281" s="119">
        <f>'LOE Breakdown by Year'!G95</f>
        <v>1</v>
      </c>
      <c r="O281" s="43">
        <f t="shared" si="191"/>
        <v>12</v>
      </c>
      <c r="P281" s="43">
        <f t="shared" si="199"/>
        <v>17640</v>
      </c>
      <c r="Q281" s="119">
        <f>'LOE Breakdown by Year'!G135</f>
        <v>1</v>
      </c>
      <c r="R281" s="43">
        <f t="shared" si="192"/>
        <v>0</v>
      </c>
      <c r="S281" s="43">
        <f t="shared" si="200"/>
        <v>0</v>
      </c>
      <c r="T281" s="43">
        <f t="shared" si="201"/>
        <v>50440</v>
      </c>
      <c r="U281" s="43">
        <v>0</v>
      </c>
      <c r="V281" s="43">
        <f t="shared" si="202"/>
        <v>50440</v>
      </c>
    </row>
    <row r="282" spans="1:22" ht="25.2">
      <c r="A282" s="7" t="s">
        <v>749</v>
      </c>
      <c r="B282" s="44">
        <v>70000</v>
      </c>
      <c r="C282" s="7" t="s">
        <v>710</v>
      </c>
      <c r="D282" s="7" t="str">
        <f t="shared" si="187"/>
        <v>Cacao &amp; Complementary Crop Technical Field Leader (2)</v>
      </c>
      <c r="E282" s="43">
        <v>0</v>
      </c>
      <c r="F282" s="49" t="s">
        <v>95</v>
      </c>
      <c r="G282" s="43">
        <f t="shared" si="188"/>
        <v>3500</v>
      </c>
      <c r="H282" s="119">
        <f>'LOE Breakdown by Year'!G16</f>
        <v>1</v>
      </c>
      <c r="I282" s="43">
        <f t="shared" si="189"/>
        <v>6</v>
      </c>
      <c r="J282" s="43">
        <f t="shared" si="197"/>
        <v>21000</v>
      </c>
      <c r="K282" s="119">
        <f>'LOE Breakdown by Year'!G56</f>
        <v>1</v>
      </c>
      <c r="L282" s="43">
        <f t="shared" si="190"/>
        <v>12</v>
      </c>
      <c r="M282" s="43">
        <f t="shared" si="198"/>
        <v>44100</v>
      </c>
      <c r="N282" s="119">
        <f>'LOE Breakdown by Year'!G96</f>
        <v>1</v>
      </c>
      <c r="O282" s="43">
        <f t="shared" si="191"/>
        <v>12</v>
      </c>
      <c r="P282" s="43">
        <f t="shared" si="199"/>
        <v>46305</v>
      </c>
      <c r="Q282" s="119">
        <f>'LOE Breakdown by Year'!G136</f>
        <v>1</v>
      </c>
      <c r="R282" s="43">
        <f t="shared" si="192"/>
        <v>0</v>
      </c>
      <c r="S282" s="43">
        <f t="shared" si="200"/>
        <v>0</v>
      </c>
      <c r="T282" s="43">
        <f t="shared" si="201"/>
        <v>111405</v>
      </c>
      <c r="U282" s="43">
        <v>0</v>
      </c>
      <c r="V282" s="43">
        <f t="shared" si="202"/>
        <v>111405</v>
      </c>
    </row>
    <row r="283" spans="1:22">
      <c r="A283" s="7" t="s">
        <v>749</v>
      </c>
      <c r="B283" s="44">
        <v>70000</v>
      </c>
      <c r="C283" s="7" t="s">
        <v>710</v>
      </c>
      <c r="D283" s="7" t="str">
        <f t="shared" si="187"/>
        <v>Extension Agents (45 in Y5 and 25 in Y6)</v>
      </c>
      <c r="E283" s="43">
        <v>183948.42</v>
      </c>
      <c r="F283" s="49" t="s">
        <v>95</v>
      </c>
      <c r="G283" s="43">
        <f t="shared" si="188"/>
        <v>1000</v>
      </c>
      <c r="H283" s="119">
        <f>'LOE Breakdown by Year'!G17</f>
        <v>1</v>
      </c>
      <c r="I283" s="43">
        <f>I19</f>
        <v>12</v>
      </c>
      <c r="J283" s="43">
        <f>I283*(G283*45)*$H283</f>
        <v>540000</v>
      </c>
      <c r="K283" s="119">
        <f>'LOE Breakdown by Year'!G57</f>
        <v>1</v>
      </c>
      <c r="L283" s="43">
        <f t="shared" si="190"/>
        <v>12</v>
      </c>
      <c r="M283" s="43">
        <f>L283*((G283*25))*$K283*$E$8</f>
        <v>315000</v>
      </c>
      <c r="N283" s="119">
        <f>'LOE Breakdown by Year'!G97</f>
        <v>1</v>
      </c>
      <c r="O283" s="43">
        <f t="shared" si="191"/>
        <v>0</v>
      </c>
      <c r="P283" s="43">
        <f>O283*((1000*0))*$N283*$E$8*$E$8</f>
        <v>0</v>
      </c>
      <c r="Q283" s="119">
        <f>'LOE Breakdown by Year'!G137</f>
        <v>1</v>
      </c>
      <c r="R283" s="43">
        <f t="shared" si="192"/>
        <v>0</v>
      </c>
      <c r="S283" s="43">
        <f t="shared" si="200"/>
        <v>0</v>
      </c>
      <c r="T283" s="43">
        <f t="shared" si="201"/>
        <v>1038948.42</v>
      </c>
      <c r="U283" s="43">
        <v>0</v>
      </c>
      <c r="V283" s="43">
        <f t="shared" si="202"/>
        <v>1038948.42</v>
      </c>
    </row>
    <row r="284" spans="1:22" ht="25.2">
      <c r="A284" s="7" t="s">
        <v>749</v>
      </c>
      <c r="B284" s="44">
        <v>70000</v>
      </c>
      <c r="C284" s="7" t="s">
        <v>710</v>
      </c>
      <c r="D284" s="7" t="str">
        <f t="shared" si="187"/>
        <v>Activity Lead Agribusiness Senior Specialist (Complementary Crop)</v>
      </c>
      <c r="E284" s="43">
        <v>66092.260000000009</v>
      </c>
      <c r="F284" s="49" t="s">
        <v>95</v>
      </c>
      <c r="G284" s="43">
        <f t="shared" si="188"/>
        <v>2833.3333333333335</v>
      </c>
      <c r="H284" s="119">
        <f>'LOE Breakdown by Year'!G18</f>
        <v>1</v>
      </c>
      <c r="I284" s="43">
        <f t="shared" si="189"/>
        <v>12</v>
      </c>
      <c r="J284" s="43">
        <f t="shared" si="197"/>
        <v>34000</v>
      </c>
      <c r="K284" s="119">
        <f>'LOE Breakdown by Year'!G58</f>
        <v>1</v>
      </c>
      <c r="L284" s="43">
        <f t="shared" si="190"/>
        <v>12</v>
      </c>
      <c r="M284" s="43">
        <f t="shared" si="198"/>
        <v>35700</v>
      </c>
      <c r="N284" s="119">
        <f>'LOE Breakdown by Year'!G98</f>
        <v>1</v>
      </c>
      <c r="O284" s="43">
        <f t="shared" si="191"/>
        <v>12</v>
      </c>
      <c r="P284" s="43">
        <f t="shared" si="199"/>
        <v>37485</v>
      </c>
      <c r="Q284" s="119">
        <f>'LOE Breakdown by Year'!G138</f>
        <v>1</v>
      </c>
      <c r="R284" s="43">
        <f t="shared" si="192"/>
        <v>0</v>
      </c>
      <c r="S284" s="43">
        <f t="shared" si="200"/>
        <v>0</v>
      </c>
      <c r="T284" s="43">
        <f t="shared" si="201"/>
        <v>173277.26</v>
      </c>
      <c r="U284" s="43">
        <v>0</v>
      </c>
      <c r="V284" s="43">
        <f t="shared" si="202"/>
        <v>173277.26</v>
      </c>
    </row>
    <row r="285" spans="1:22" hidden="1">
      <c r="A285" s="7" t="s">
        <v>749</v>
      </c>
      <c r="B285" s="44">
        <v>70000</v>
      </c>
      <c r="C285" s="7" t="s">
        <v>710</v>
      </c>
      <c r="D285" s="7" t="str">
        <f t="shared" si="187"/>
        <v>Complementary Crops Field Officer</v>
      </c>
      <c r="E285" s="43">
        <v>0</v>
      </c>
      <c r="F285" s="49" t="s">
        <v>95</v>
      </c>
      <c r="G285" s="43">
        <f t="shared" si="188"/>
        <v>0</v>
      </c>
      <c r="H285" s="119">
        <f>'LOE Breakdown by Year'!G19</f>
        <v>1</v>
      </c>
      <c r="I285" s="43">
        <f t="shared" si="189"/>
        <v>0</v>
      </c>
      <c r="J285" s="43">
        <f t="shared" si="197"/>
        <v>0</v>
      </c>
      <c r="K285" s="119">
        <f>'LOE Breakdown by Year'!G59</f>
        <v>1</v>
      </c>
      <c r="L285" s="43">
        <f t="shared" si="190"/>
        <v>12</v>
      </c>
      <c r="M285" s="43">
        <f t="shared" si="198"/>
        <v>0</v>
      </c>
      <c r="N285" s="119">
        <f>'LOE Breakdown by Year'!G99</f>
        <v>1</v>
      </c>
      <c r="O285" s="43">
        <f t="shared" si="191"/>
        <v>12</v>
      </c>
      <c r="P285" s="43">
        <f t="shared" si="199"/>
        <v>0</v>
      </c>
      <c r="Q285" s="119">
        <f>'LOE Breakdown by Year'!G139</f>
        <v>1</v>
      </c>
      <c r="R285" s="43">
        <f t="shared" si="192"/>
        <v>0</v>
      </c>
      <c r="S285" s="43">
        <f t="shared" si="200"/>
        <v>0</v>
      </c>
      <c r="T285" s="43">
        <f t="shared" si="201"/>
        <v>0</v>
      </c>
      <c r="U285" s="43">
        <v>0</v>
      </c>
      <c r="V285" s="43">
        <f t="shared" si="202"/>
        <v>0</v>
      </c>
    </row>
    <row r="286" spans="1:22" hidden="1">
      <c r="A286" s="7" t="s">
        <v>749</v>
      </c>
      <c r="B286" s="44">
        <v>70000</v>
      </c>
      <c r="C286" s="7" t="s">
        <v>710</v>
      </c>
      <c r="D286" s="7" t="str">
        <f t="shared" si="187"/>
        <v>EPSEAS Specialist</v>
      </c>
      <c r="E286" s="43">
        <v>0</v>
      </c>
      <c r="F286" s="49" t="s">
        <v>95</v>
      </c>
      <c r="G286" s="43">
        <f t="shared" si="188"/>
        <v>0</v>
      </c>
      <c r="H286" s="119">
        <f>'LOE Breakdown by Year'!G20</f>
        <v>1</v>
      </c>
      <c r="I286" s="43">
        <f t="shared" si="189"/>
        <v>0</v>
      </c>
      <c r="J286" s="43">
        <f t="shared" si="197"/>
        <v>0</v>
      </c>
      <c r="K286" s="119">
        <f>'LOE Breakdown by Year'!G60</f>
        <v>1</v>
      </c>
      <c r="L286" s="43">
        <f t="shared" si="190"/>
        <v>12</v>
      </c>
      <c r="M286" s="43">
        <f t="shared" si="198"/>
        <v>0</v>
      </c>
      <c r="N286" s="119">
        <f>'LOE Breakdown by Year'!G100</f>
        <v>1</v>
      </c>
      <c r="O286" s="43">
        <f t="shared" si="191"/>
        <v>12</v>
      </c>
      <c r="P286" s="43">
        <f t="shared" si="199"/>
        <v>0</v>
      </c>
      <c r="Q286" s="119">
        <f>'LOE Breakdown by Year'!G140</f>
        <v>1</v>
      </c>
      <c r="R286" s="43">
        <f t="shared" si="192"/>
        <v>0</v>
      </c>
      <c r="S286" s="43">
        <f t="shared" si="200"/>
        <v>0</v>
      </c>
      <c r="T286" s="43">
        <f t="shared" si="201"/>
        <v>0</v>
      </c>
      <c r="U286" s="43">
        <v>0</v>
      </c>
      <c r="V286" s="43">
        <f t="shared" si="202"/>
        <v>0</v>
      </c>
    </row>
    <row r="287" spans="1:22" ht="24.75" customHeight="1">
      <c r="A287" s="7" t="s">
        <v>749</v>
      </c>
      <c r="B287" s="44">
        <v>70000</v>
      </c>
      <c r="C287" s="7" t="s">
        <v>710</v>
      </c>
      <c r="D287" s="7" t="str">
        <f t="shared" si="187"/>
        <v>Extension Agents for EPSEAS (20 in Y6 and 25 in Y7)</v>
      </c>
      <c r="E287" s="43">
        <v>0</v>
      </c>
      <c r="F287" s="49" t="s">
        <v>95</v>
      </c>
      <c r="G287" s="43">
        <v>1000</v>
      </c>
      <c r="H287" s="119">
        <f>'LOE Breakdown by Year'!G21</f>
        <v>1</v>
      </c>
      <c r="I287" s="43">
        <f t="shared" si="189"/>
        <v>0</v>
      </c>
      <c r="J287" s="43">
        <f t="shared" si="197"/>
        <v>0</v>
      </c>
      <c r="K287" s="119">
        <f>'LOE Breakdown by Year'!G61</f>
        <v>1</v>
      </c>
      <c r="L287" s="43">
        <f t="shared" si="190"/>
        <v>12</v>
      </c>
      <c r="M287" s="43">
        <f>L287*((G287*20))*$K287*$E$8</f>
        <v>252000</v>
      </c>
      <c r="N287" s="120">
        <f>'LOE Breakdown by Year'!G101</f>
        <v>1</v>
      </c>
      <c r="O287" s="43">
        <f t="shared" si="191"/>
        <v>12</v>
      </c>
      <c r="P287" s="43">
        <f>O287*((G287*25))*$N287*$E$8*$E$8</f>
        <v>330750</v>
      </c>
      <c r="Q287" s="119">
        <f>'LOE Breakdown by Year'!G141</f>
        <v>1</v>
      </c>
      <c r="R287" s="43">
        <f t="shared" si="192"/>
        <v>0</v>
      </c>
      <c r="S287" s="43">
        <f t="shared" si="200"/>
        <v>0</v>
      </c>
      <c r="T287" s="43">
        <f t="shared" si="201"/>
        <v>582750</v>
      </c>
      <c r="U287" s="43">
        <v>0</v>
      </c>
      <c r="V287" s="43">
        <f t="shared" si="202"/>
        <v>582750</v>
      </c>
    </row>
    <row r="288" spans="1:22">
      <c r="A288" s="7" t="s">
        <v>749</v>
      </c>
      <c r="B288" s="44">
        <v>70000</v>
      </c>
      <c r="C288" s="7" t="s">
        <v>710</v>
      </c>
      <c r="D288" s="7" t="str">
        <f t="shared" si="187"/>
        <v xml:space="preserve">Senior M&amp;E Director </v>
      </c>
      <c r="E288" s="43">
        <v>31592.26</v>
      </c>
      <c r="F288" s="49" t="s">
        <v>95</v>
      </c>
      <c r="G288" s="43">
        <f t="shared" si="188"/>
        <v>6250</v>
      </c>
      <c r="H288" s="119">
        <f>'LOE Breakdown by Year'!G22</f>
        <v>0.1</v>
      </c>
      <c r="I288" s="43">
        <f t="shared" si="189"/>
        <v>12</v>
      </c>
      <c r="J288" s="43">
        <f t="shared" si="197"/>
        <v>7500</v>
      </c>
      <c r="K288" s="119">
        <f>'LOE Breakdown by Year'!G62</f>
        <v>0.19</v>
      </c>
      <c r="L288" s="43">
        <f t="shared" si="190"/>
        <v>12</v>
      </c>
      <c r="M288" s="43">
        <f t="shared" si="198"/>
        <v>14962.5</v>
      </c>
      <c r="N288" s="119">
        <f>'LOE Breakdown by Year'!G102</f>
        <v>0.19</v>
      </c>
      <c r="O288" s="43">
        <f t="shared" si="191"/>
        <v>12</v>
      </c>
      <c r="P288" s="43">
        <f t="shared" si="199"/>
        <v>15710.625</v>
      </c>
      <c r="Q288" s="119">
        <f>'LOE Breakdown by Year'!G142</f>
        <v>0.19</v>
      </c>
      <c r="R288" s="43">
        <f t="shared" si="192"/>
        <v>6</v>
      </c>
      <c r="S288" s="43">
        <f t="shared" si="200"/>
        <v>8248.078125</v>
      </c>
      <c r="T288" s="43">
        <f t="shared" si="201"/>
        <v>78013.463124999995</v>
      </c>
      <c r="U288" s="43">
        <v>0</v>
      </c>
      <c r="V288" s="43">
        <f t="shared" si="202"/>
        <v>78013.463124999995</v>
      </c>
    </row>
    <row r="289" spans="1:22">
      <c r="A289" s="7" t="s">
        <v>749</v>
      </c>
      <c r="B289" s="44">
        <v>70000</v>
      </c>
      <c r="C289" s="7" t="s">
        <v>710</v>
      </c>
      <c r="D289" s="7" t="str">
        <f t="shared" si="187"/>
        <v>Senior M&amp;E Specialist</v>
      </c>
      <c r="E289" s="43">
        <v>25590.26</v>
      </c>
      <c r="F289" s="49" t="s">
        <v>95</v>
      </c>
      <c r="G289" s="43">
        <f t="shared" si="188"/>
        <v>2833.3333333333335</v>
      </c>
      <c r="H289" s="119">
        <f>'LOE Breakdown by Year'!G23</f>
        <v>0.1</v>
      </c>
      <c r="I289" s="43">
        <f t="shared" si="189"/>
        <v>12</v>
      </c>
      <c r="J289" s="43">
        <f t="shared" si="197"/>
        <v>3400</v>
      </c>
      <c r="K289" s="119">
        <f>'LOE Breakdown by Year'!G63</f>
        <v>0.19</v>
      </c>
      <c r="L289" s="43">
        <f t="shared" si="190"/>
        <v>12</v>
      </c>
      <c r="M289" s="43">
        <f t="shared" si="198"/>
        <v>6783</v>
      </c>
      <c r="N289" s="119">
        <f>'LOE Breakdown by Year'!G103</f>
        <v>0.19</v>
      </c>
      <c r="O289" s="43">
        <f t="shared" si="191"/>
        <v>12</v>
      </c>
      <c r="P289" s="43">
        <f t="shared" si="199"/>
        <v>7122.1500000000005</v>
      </c>
      <c r="Q289" s="119">
        <f>'LOE Breakdown by Year'!G143</f>
        <v>0.19</v>
      </c>
      <c r="R289" s="43">
        <f t="shared" si="192"/>
        <v>6</v>
      </c>
      <c r="S289" s="43">
        <f t="shared" si="200"/>
        <v>3739.1287500000003</v>
      </c>
      <c r="T289" s="43">
        <f t="shared" si="201"/>
        <v>46634.538750000007</v>
      </c>
      <c r="U289" s="43">
        <v>0</v>
      </c>
      <c r="V289" s="43">
        <f t="shared" si="202"/>
        <v>46634.538750000007</v>
      </c>
    </row>
    <row r="290" spans="1:22">
      <c r="A290" s="7" t="s">
        <v>749</v>
      </c>
      <c r="B290" s="44">
        <v>70000</v>
      </c>
      <c r="C290" s="7" t="s">
        <v>710</v>
      </c>
      <c r="D290" s="7" t="str">
        <f t="shared" si="187"/>
        <v>M&amp;E Specialist</v>
      </c>
      <c r="E290" s="43">
        <v>22094.26</v>
      </c>
      <c r="F290" s="49" t="s">
        <v>95</v>
      </c>
      <c r="G290" s="43">
        <f t="shared" si="188"/>
        <v>2500</v>
      </c>
      <c r="H290" s="119">
        <f>'LOE Breakdown by Year'!G24</f>
        <v>0.1</v>
      </c>
      <c r="I290" s="43">
        <f t="shared" si="189"/>
        <v>12</v>
      </c>
      <c r="J290" s="43">
        <f t="shared" si="197"/>
        <v>3000</v>
      </c>
      <c r="K290" s="119">
        <f>'LOE Breakdown by Year'!G64</f>
        <v>0.19</v>
      </c>
      <c r="L290" s="43">
        <f t="shared" si="190"/>
        <v>12</v>
      </c>
      <c r="M290" s="43">
        <f t="shared" si="198"/>
        <v>5985</v>
      </c>
      <c r="N290" s="119">
        <f>'LOE Breakdown by Year'!G104</f>
        <v>0.19</v>
      </c>
      <c r="O290" s="43">
        <f t="shared" si="191"/>
        <v>12</v>
      </c>
      <c r="P290" s="43">
        <f t="shared" si="199"/>
        <v>6284.25</v>
      </c>
      <c r="Q290" s="119">
        <f>'LOE Breakdown by Year'!G144</f>
        <v>0.19</v>
      </c>
      <c r="R290" s="43">
        <f t="shared" si="192"/>
        <v>3</v>
      </c>
      <c r="S290" s="43">
        <f t="shared" si="200"/>
        <v>1649.6156250000001</v>
      </c>
      <c r="T290" s="43">
        <f t="shared" si="201"/>
        <v>39013.125624999993</v>
      </c>
      <c r="U290" s="43">
        <v>0</v>
      </c>
      <c r="V290" s="43">
        <f t="shared" si="202"/>
        <v>39013.125624999993</v>
      </c>
    </row>
    <row r="291" spans="1:22">
      <c r="A291" s="7" t="s">
        <v>749</v>
      </c>
      <c r="B291" s="44">
        <v>70000</v>
      </c>
      <c r="C291" s="7" t="s">
        <v>710</v>
      </c>
      <c r="D291" s="7" t="str">
        <f t="shared" si="187"/>
        <v>M&amp;E Officer</v>
      </c>
      <c r="E291" s="43">
        <v>3500</v>
      </c>
      <c r="F291" s="49" t="s">
        <v>95</v>
      </c>
      <c r="G291" s="43">
        <f t="shared" si="188"/>
        <v>1000</v>
      </c>
      <c r="H291" s="119">
        <f>'LOE Breakdown by Year'!G25</f>
        <v>0.1</v>
      </c>
      <c r="I291" s="43">
        <f t="shared" si="189"/>
        <v>12</v>
      </c>
      <c r="J291" s="43">
        <f t="shared" si="197"/>
        <v>1200</v>
      </c>
      <c r="K291" s="119">
        <f>'LOE Breakdown by Year'!G65</f>
        <v>0.05</v>
      </c>
      <c r="L291" s="43">
        <f t="shared" si="190"/>
        <v>12</v>
      </c>
      <c r="M291" s="43">
        <f t="shared" si="198"/>
        <v>630</v>
      </c>
      <c r="N291" s="119">
        <f>'LOE Breakdown by Year'!G105</f>
        <v>0.05</v>
      </c>
      <c r="O291" s="43">
        <f t="shared" si="191"/>
        <v>12</v>
      </c>
      <c r="P291" s="43">
        <f t="shared" si="199"/>
        <v>661.5</v>
      </c>
      <c r="Q291" s="119">
        <f>'LOE Breakdown by Year'!G145</f>
        <v>0.05</v>
      </c>
      <c r="R291" s="43">
        <f t="shared" si="192"/>
        <v>3</v>
      </c>
      <c r="S291" s="43">
        <f t="shared" si="200"/>
        <v>173.64375000000001</v>
      </c>
      <c r="T291" s="43">
        <f t="shared" si="201"/>
        <v>6165.1437500000002</v>
      </c>
      <c r="U291" s="43">
        <v>0</v>
      </c>
      <c r="V291" s="43">
        <f t="shared" si="202"/>
        <v>6165.1437500000002</v>
      </c>
    </row>
    <row r="292" spans="1:22">
      <c r="A292" s="7" t="s">
        <v>749</v>
      </c>
      <c r="B292" s="44">
        <v>70000</v>
      </c>
      <c r="C292" s="7" t="s">
        <v>710</v>
      </c>
      <c r="D292" s="7" t="str">
        <f t="shared" si="187"/>
        <v>Partnerships and Investment Director</v>
      </c>
      <c r="E292" s="43">
        <v>44005</v>
      </c>
      <c r="F292" s="49" t="s">
        <v>95</v>
      </c>
      <c r="G292" s="43">
        <f t="shared" si="188"/>
        <v>4583.333333333333</v>
      </c>
      <c r="H292" s="119">
        <f>'LOE Breakdown by Year'!G26</f>
        <v>0.1</v>
      </c>
      <c r="I292" s="43">
        <f t="shared" si="189"/>
        <v>12</v>
      </c>
      <c r="J292" s="43">
        <f t="shared" si="197"/>
        <v>5500</v>
      </c>
      <c r="K292" s="119">
        <f>'LOE Breakdown by Year'!G66</f>
        <v>0.05</v>
      </c>
      <c r="L292" s="43">
        <f t="shared" si="190"/>
        <v>12</v>
      </c>
      <c r="M292" s="43">
        <f t="shared" si="198"/>
        <v>2887.5</v>
      </c>
      <c r="N292" s="119">
        <f>'LOE Breakdown by Year'!G106</f>
        <v>0.05</v>
      </c>
      <c r="O292" s="43">
        <f t="shared" si="191"/>
        <v>12</v>
      </c>
      <c r="P292" s="43">
        <f t="shared" si="199"/>
        <v>3031.875</v>
      </c>
      <c r="Q292" s="119">
        <f>'LOE Breakdown by Year'!G146</f>
        <v>0.05</v>
      </c>
      <c r="R292" s="43">
        <f t="shared" si="192"/>
        <v>0</v>
      </c>
      <c r="S292" s="43">
        <f t="shared" si="200"/>
        <v>0</v>
      </c>
      <c r="T292" s="43">
        <f t="shared" si="201"/>
        <v>55424.375</v>
      </c>
      <c r="U292" s="43">
        <v>0</v>
      </c>
      <c r="V292" s="43">
        <f t="shared" si="202"/>
        <v>55424.375</v>
      </c>
    </row>
    <row r="293" spans="1:22">
      <c r="A293" s="7" t="s">
        <v>749</v>
      </c>
      <c r="B293" s="44">
        <v>70000</v>
      </c>
      <c r="C293" s="7" t="s">
        <v>710</v>
      </c>
      <c r="D293" s="7" t="str">
        <f t="shared" si="187"/>
        <v>Partnerships and Investment Specialist</v>
      </c>
      <c r="E293" s="43">
        <v>0</v>
      </c>
      <c r="F293" s="49" t="s">
        <v>95</v>
      </c>
      <c r="G293" s="43">
        <f t="shared" si="188"/>
        <v>1750</v>
      </c>
      <c r="H293" s="119">
        <f>'LOE Breakdown by Year'!G27</f>
        <v>0.1</v>
      </c>
      <c r="I293" s="43">
        <f t="shared" si="189"/>
        <v>12</v>
      </c>
      <c r="J293" s="43">
        <f t="shared" si="197"/>
        <v>2100</v>
      </c>
      <c r="K293" s="119">
        <f>'LOE Breakdown by Year'!G67</f>
        <v>0.2</v>
      </c>
      <c r="L293" s="43">
        <f t="shared" si="190"/>
        <v>12</v>
      </c>
      <c r="M293" s="43">
        <f t="shared" si="198"/>
        <v>4410</v>
      </c>
      <c r="N293" s="119">
        <f>'LOE Breakdown by Year'!G107</f>
        <v>0.2</v>
      </c>
      <c r="O293" s="43">
        <f t="shared" si="191"/>
        <v>12</v>
      </c>
      <c r="P293" s="43">
        <f t="shared" si="199"/>
        <v>4630.5</v>
      </c>
      <c r="Q293" s="119">
        <f>'LOE Breakdown by Year'!G147</f>
        <v>0.2</v>
      </c>
      <c r="R293" s="43">
        <f t="shared" si="192"/>
        <v>0</v>
      </c>
      <c r="S293" s="43">
        <f t="shared" si="200"/>
        <v>0</v>
      </c>
      <c r="T293" s="43">
        <f t="shared" si="201"/>
        <v>11140.5</v>
      </c>
      <c r="U293" s="43">
        <v>0</v>
      </c>
      <c r="V293" s="43">
        <f t="shared" si="202"/>
        <v>11140.5</v>
      </c>
    </row>
    <row r="294" spans="1:22">
      <c r="A294" s="7" t="s">
        <v>749</v>
      </c>
      <c r="B294" s="44">
        <v>70000</v>
      </c>
      <c r="C294" s="7" t="s">
        <v>710</v>
      </c>
      <c r="D294" s="7" t="str">
        <f t="shared" si="187"/>
        <v>Organizational Strengthening Specialist</v>
      </c>
      <c r="E294" s="43">
        <v>0</v>
      </c>
      <c r="F294" s="49" t="s">
        <v>95</v>
      </c>
      <c r="G294" s="43">
        <f t="shared" si="188"/>
        <v>1750</v>
      </c>
      <c r="H294" s="119">
        <f>'LOE Breakdown by Year'!G28</f>
        <v>0.1</v>
      </c>
      <c r="I294" s="43">
        <f t="shared" si="189"/>
        <v>12</v>
      </c>
      <c r="J294" s="43">
        <f t="shared" si="197"/>
        <v>2100</v>
      </c>
      <c r="K294" s="119">
        <f>'LOE Breakdown by Year'!G68</f>
        <v>0</v>
      </c>
      <c r="L294" s="43">
        <f t="shared" si="190"/>
        <v>12</v>
      </c>
      <c r="M294" s="43">
        <f t="shared" si="198"/>
        <v>0</v>
      </c>
      <c r="N294" s="119">
        <f>'LOE Breakdown by Year'!G108</f>
        <v>0</v>
      </c>
      <c r="O294" s="43">
        <f t="shared" si="191"/>
        <v>12</v>
      </c>
      <c r="P294" s="43">
        <f t="shared" si="199"/>
        <v>0</v>
      </c>
      <c r="Q294" s="119">
        <f>'LOE Breakdown by Year'!G148</f>
        <v>0</v>
      </c>
      <c r="R294" s="43">
        <f t="shared" si="192"/>
        <v>0</v>
      </c>
      <c r="S294" s="43">
        <f t="shared" si="200"/>
        <v>0</v>
      </c>
      <c r="T294" s="43">
        <f t="shared" si="201"/>
        <v>2100</v>
      </c>
      <c r="U294" s="43">
        <v>0</v>
      </c>
      <c r="V294" s="43">
        <f t="shared" si="202"/>
        <v>2100</v>
      </c>
    </row>
    <row r="295" spans="1:22" hidden="1">
      <c r="A295" s="7" t="s">
        <v>749</v>
      </c>
      <c r="B295" s="44">
        <v>70000</v>
      </c>
      <c r="C295" s="7" t="s">
        <v>710</v>
      </c>
      <c r="D295" s="7" t="str">
        <f t="shared" si="187"/>
        <v>Value Chain Strengthening Director</v>
      </c>
      <c r="E295" s="43">
        <v>0</v>
      </c>
      <c r="F295" s="49" t="s">
        <v>95</v>
      </c>
      <c r="G295" s="43">
        <f t="shared" si="188"/>
        <v>0</v>
      </c>
      <c r="H295" s="119">
        <f>'LOE Breakdown by Year'!G29</f>
        <v>0.1</v>
      </c>
      <c r="I295" s="43">
        <f t="shared" si="189"/>
        <v>12</v>
      </c>
      <c r="J295" s="43">
        <f t="shared" si="197"/>
        <v>0</v>
      </c>
      <c r="K295" s="119">
        <f>'LOE Breakdown by Year'!G69</f>
        <v>0.05</v>
      </c>
      <c r="L295" s="43">
        <f t="shared" si="190"/>
        <v>12</v>
      </c>
      <c r="M295" s="43">
        <f t="shared" si="198"/>
        <v>0</v>
      </c>
      <c r="N295" s="119">
        <f>'LOE Breakdown by Year'!G109</f>
        <v>0.05</v>
      </c>
      <c r="O295" s="43">
        <f t="shared" si="191"/>
        <v>12</v>
      </c>
      <c r="P295" s="43">
        <f t="shared" si="199"/>
        <v>0</v>
      </c>
      <c r="Q295" s="119">
        <f>'LOE Breakdown by Year'!G149</f>
        <v>0.05</v>
      </c>
      <c r="R295" s="43">
        <f t="shared" si="192"/>
        <v>4</v>
      </c>
      <c r="S295" s="43">
        <f t="shared" si="200"/>
        <v>0</v>
      </c>
      <c r="T295" s="43">
        <f t="shared" si="201"/>
        <v>0</v>
      </c>
      <c r="U295" s="43">
        <v>0</v>
      </c>
      <c r="V295" s="43">
        <f t="shared" si="202"/>
        <v>0</v>
      </c>
    </row>
    <row r="296" spans="1:22">
      <c r="A296" s="7" t="s">
        <v>749</v>
      </c>
      <c r="B296" s="44">
        <v>70000</v>
      </c>
      <c r="C296" s="7" t="s">
        <v>710</v>
      </c>
      <c r="D296" s="7" t="str">
        <f t="shared" si="187"/>
        <v>Communications Specialist</v>
      </c>
      <c r="E296" s="43">
        <v>0</v>
      </c>
      <c r="F296" s="49" t="s">
        <v>95</v>
      </c>
      <c r="G296" s="43">
        <f t="shared" si="188"/>
        <v>1750</v>
      </c>
      <c r="H296" s="119">
        <f>'LOE Breakdown by Year'!G30</f>
        <v>0.1</v>
      </c>
      <c r="I296" s="43">
        <f t="shared" si="189"/>
        <v>12</v>
      </c>
      <c r="J296" s="43">
        <f t="shared" si="197"/>
        <v>2100</v>
      </c>
      <c r="K296" s="119">
        <f>'LOE Breakdown by Year'!G70</f>
        <v>0.18</v>
      </c>
      <c r="L296" s="43">
        <f t="shared" si="190"/>
        <v>12</v>
      </c>
      <c r="M296" s="43">
        <f t="shared" si="198"/>
        <v>3969</v>
      </c>
      <c r="N296" s="119">
        <f>'LOE Breakdown by Year'!G110</f>
        <v>0.18</v>
      </c>
      <c r="O296" s="43">
        <f t="shared" si="191"/>
        <v>12</v>
      </c>
      <c r="P296" s="43">
        <f t="shared" si="199"/>
        <v>4167.45</v>
      </c>
      <c r="Q296" s="119">
        <f>'LOE Breakdown by Year'!G150</f>
        <v>0.18</v>
      </c>
      <c r="R296" s="43">
        <f t="shared" si="192"/>
        <v>0</v>
      </c>
      <c r="S296" s="43">
        <f t="shared" si="200"/>
        <v>0</v>
      </c>
      <c r="T296" s="43">
        <f t="shared" si="201"/>
        <v>10236.450000000001</v>
      </c>
      <c r="U296" s="43">
        <v>0</v>
      </c>
      <c r="V296" s="43">
        <f t="shared" si="202"/>
        <v>10236.450000000001</v>
      </c>
    </row>
    <row r="297" spans="1:22">
      <c r="A297" s="7" t="s">
        <v>749</v>
      </c>
      <c r="B297" s="44">
        <v>70000</v>
      </c>
      <c r="C297" s="7" t="s">
        <v>710</v>
      </c>
      <c r="D297" s="7" t="str">
        <f t="shared" si="187"/>
        <v>Value Chain Specialist</v>
      </c>
      <c r="E297" s="43">
        <v>0</v>
      </c>
      <c r="F297" s="49" t="s">
        <v>95</v>
      </c>
      <c r="G297" s="43">
        <f t="shared" si="188"/>
        <v>2500</v>
      </c>
      <c r="H297" s="119">
        <f>'LOE Breakdown by Year'!G31</f>
        <v>0.1</v>
      </c>
      <c r="I297" s="43">
        <f t="shared" si="189"/>
        <v>12</v>
      </c>
      <c r="J297" s="43">
        <f t="shared" si="197"/>
        <v>3000</v>
      </c>
      <c r="K297" s="119">
        <f>'LOE Breakdown by Year'!G71</f>
        <v>0</v>
      </c>
      <c r="L297" s="43">
        <f t="shared" si="190"/>
        <v>12</v>
      </c>
      <c r="M297" s="43">
        <f t="shared" si="198"/>
        <v>0</v>
      </c>
      <c r="N297" s="119">
        <f>'LOE Breakdown by Year'!G111</f>
        <v>0</v>
      </c>
      <c r="O297" s="43">
        <f t="shared" si="191"/>
        <v>12</v>
      </c>
      <c r="P297" s="43">
        <f t="shared" si="199"/>
        <v>0</v>
      </c>
      <c r="Q297" s="119">
        <f>'LOE Breakdown by Year'!G151</f>
        <v>0</v>
      </c>
      <c r="R297" s="43">
        <f t="shared" si="192"/>
        <v>0</v>
      </c>
      <c r="S297" s="43">
        <f t="shared" si="200"/>
        <v>0</v>
      </c>
      <c r="T297" s="43">
        <f t="shared" si="201"/>
        <v>3000</v>
      </c>
      <c r="U297" s="43">
        <v>0</v>
      </c>
      <c r="V297" s="43">
        <f t="shared" si="202"/>
        <v>3000</v>
      </c>
    </row>
    <row r="298" spans="1:22">
      <c r="A298" s="7" t="s">
        <v>749</v>
      </c>
      <c r="B298" s="44">
        <v>70000</v>
      </c>
      <c r="C298" s="7" t="s">
        <v>710</v>
      </c>
      <c r="D298" s="7" t="str">
        <f t="shared" si="187"/>
        <v>Contracts &amp; Compliance Director</v>
      </c>
      <c r="E298" s="43">
        <v>76723.179999999993</v>
      </c>
      <c r="F298" s="49" t="s">
        <v>95</v>
      </c>
      <c r="G298" s="43">
        <f t="shared" si="188"/>
        <v>4583.333333333333</v>
      </c>
      <c r="H298" s="119">
        <f>'LOE Breakdown by Year'!G32</f>
        <v>0.1</v>
      </c>
      <c r="I298" s="43">
        <f t="shared" si="189"/>
        <v>12</v>
      </c>
      <c r="J298" s="43">
        <f t="shared" si="197"/>
        <v>5500</v>
      </c>
      <c r="K298" s="119">
        <f>'LOE Breakdown by Year'!G72</f>
        <v>0.18</v>
      </c>
      <c r="L298" s="43">
        <f t="shared" si="190"/>
        <v>12</v>
      </c>
      <c r="M298" s="43">
        <f t="shared" si="198"/>
        <v>10395</v>
      </c>
      <c r="N298" s="119">
        <f>'LOE Breakdown by Year'!G112</f>
        <v>0.18</v>
      </c>
      <c r="O298" s="43">
        <f t="shared" si="191"/>
        <v>12</v>
      </c>
      <c r="P298" s="43">
        <f t="shared" si="199"/>
        <v>10914.75</v>
      </c>
      <c r="Q298" s="119">
        <f>'LOE Breakdown by Year'!G152</f>
        <v>0.18</v>
      </c>
      <c r="R298" s="43">
        <f t="shared" si="192"/>
        <v>3</v>
      </c>
      <c r="S298" s="43">
        <f t="shared" si="200"/>
        <v>2865.1218750000003</v>
      </c>
      <c r="T298" s="43">
        <f t="shared" si="201"/>
        <v>106398.05187499999</v>
      </c>
      <c r="U298" s="43">
        <v>0</v>
      </c>
      <c r="V298" s="43">
        <f t="shared" si="202"/>
        <v>106398.05187499999</v>
      </c>
    </row>
    <row r="299" spans="1:22">
      <c r="A299" s="7" t="s">
        <v>749</v>
      </c>
      <c r="B299" s="44">
        <v>70000</v>
      </c>
      <c r="C299" s="7" t="s">
        <v>710</v>
      </c>
      <c r="D299" s="7" t="str">
        <f t="shared" si="187"/>
        <v>Grants &amp; Procurement Specialist (2)</v>
      </c>
      <c r="E299" s="43">
        <v>0</v>
      </c>
      <c r="F299" s="49" t="s">
        <v>95</v>
      </c>
      <c r="G299" s="43">
        <f t="shared" si="188"/>
        <v>3500</v>
      </c>
      <c r="H299" s="119">
        <f>'LOE Breakdown by Year'!G33</f>
        <v>0.25</v>
      </c>
      <c r="I299" s="43">
        <f t="shared" si="189"/>
        <v>12</v>
      </c>
      <c r="J299" s="43">
        <f t="shared" si="197"/>
        <v>10500</v>
      </c>
      <c r="K299" s="119">
        <f>'LOE Breakdown by Year'!G73</f>
        <v>0.25</v>
      </c>
      <c r="L299" s="43">
        <f t="shared" si="190"/>
        <v>12</v>
      </c>
      <c r="M299" s="43">
        <f t="shared" si="198"/>
        <v>11025</v>
      </c>
      <c r="N299" s="119">
        <f>'LOE Breakdown by Year'!G113</f>
        <v>0.25</v>
      </c>
      <c r="O299" s="43">
        <f t="shared" si="191"/>
        <v>12</v>
      </c>
      <c r="P299" s="43">
        <f t="shared" si="199"/>
        <v>11576.25</v>
      </c>
      <c r="Q299" s="119">
        <f>'LOE Breakdown by Year'!G153</f>
        <v>0.25</v>
      </c>
      <c r="R299" s="43">
        <f t="shared" si="192"/>
        <v>0</v>
      </c>
      <c r="S299" s="43">
        <f t="shared" si="200"/>
        <v>0</v>
      </c>
      <c r="T299" s="43">
        <f t="shared" si="201"/>
        <v>33101.25</v>
      </c>
      <c r="U299" s="43">
        <v>0</v>
      </c>
      <c r="V299" s="43">
        <f t="shared" si="202"/>
        <v>33101.25</v>
      </c>
    </row>
    <row r="300" spans="1:22">
      <c r="A300" s="7" t="s">
        <v>749</v>
      </c>
      <c r="B300" s="44">
        <v>70000</v>
      </c>
      <c r="C300" s="7" t="s">
        <v>710</v>
      </c>
      <c r="D300" s="7" t="str">
        <f t="shared" si="187"/>
        <v xml:space="preserve">F&amp;A Director </v>
      </c>
      <c r="E300" s="43">
        <v>35715.870000000003</v>
      </c>
      <c r="F300" s="49" t="s">
        <v>95</v>
      </c>
      <c r="G300" s="43">
        <f t="shared" si="188"/>
        <v>5279.4</v>
      </c>
      <c r="H300" s="119">
        <f>'LOE Breakdown by Year'!G34</f>
        <v>0.15</v>
      </c>
      <c r="I300" s="43">
        <f t="shared" si="189"/>
        <v>12</v>
      </c>
      <c r="J300" s="43">
        <f t="shared" si="197"/>
        <v>9502.9199999999983</v>
      </c>
      <c r="K300" s="119">
        <f>'LOE Breakdown by Year'!G74</f>
        <v>0.2</v>
      </c>
      <c r="L300" s="43">
        <f t="shared" si="190"/>
        <v>12</v>
      </c>
      <c r="M300" s="43">
        <f t="shared" si="198"/>
        <v>13304.088</v>
      </c>
      <c r="N300" s="119">
        <f>'LOE Breakdown by Year'!G114</f>
        <v>0.2</v>
      </c>
      <c r="O300" s="43">
        <f t="shared" si="191"/>
        <v>12</v>
      </c>
      <c r="P300" s="43">
        <f t="shared" si="199"/>
        <v>13969.2924</v>
      </c>
      <c r="Q300" s="119">
        <f>'LOE Breakdown by Year'!G154</f>
        <v>0.2</v>
      </c>
      <c r="R300" s="43">
        <f t="shared" si="192"/>
        <v>6</v>
      </c>
      <c r="S300" s="43">
        <f t="shared" si="200"/>
        <v>7333.8785100000005</v>
      </c>
      <c r="T300" s="43">
        <f t="shared" si="201"/>
        <v>79826.048909999998</v>
      </c>
      <c r="U300" s="43">
        <v>0</v>
      </c>
      <c r="V300" s="43">
        <f t="shared" si="202"/>
        <v>79826.048909999998</v>
      </c>
    </row>
    <row r="301" spans="1:22">
      <c r="A301" s="7" t="s">
        <v>749</v>
      </c>
      <c r="B301" s="44">
        <v>70000</v>
      </c>
      <c r="C301" s="7" t="s">
        <v>710</v>
      </c>
      <c r="D301" s="7" t="str">
        <f t="shared" si="187"/>
        <v>Accounting &amp; Finance Specialist</v>
      </c>
      <c r="E301" s="43">
        <v>0</v>
      </c>
      <c r="F301" s="49" t="s">
        <v>95</v>
      </c>
      <c r="G301" s="43">
        <f t="shared" si="188"/>
        <v>1750</v>
      </c>
      <c r="H301" s="119">
        <f>'LOE Breakdown by Year'!G35</f>
        <v>0.1</v>
      </c>
      <c r="I301" s="43">
        <f t="shared" si="189"/>
        <v>12</v>
      </c>
      <c r="J301" s="43">
        <f t="shared" si="197"/>
        <v>2100</v>
      </c>
      <c r="K301" s="119">
        <f>'LOE Breakdown by Year'!G75</f>
        <v>0.16</v>
      </c>
      <c r="L301" s="43">
        <f t="shared" si="190"/>
        <v>12</v>
      </c>
      <c r="M301" s="43">
        <f t="shared" si="198"/>
        <v>3528</v>
      </c>
      <c r="N301" s="119">
        <f>'LOE Breakdown by Year'!G115</f>
        <v>0.16</v>
      </c>
      <c r="O301" s="43">
        <f t="shared" si="191"/>
        <v>12</v>
      </c>
      <c r="P301" s="43">
        <f t="shared" si="199"/>
        <v>3704.4</v>
      </c>
      <c r="Q301" s="119">
        <f>'LOE Breakdown by Year'!G155</f>
        <v>0.16</v>
      </c>
      <c r="R301" s="43">
        <f t="shared" si="192"/>
        <v>3</v>
      </c>
      <c r="S301" s="43">
        <f t="shared" si="200"/>
        <v>972.40500000000009</v>
      </c>
      <c r="T301" s="43">
        <f t="shared" si="201"/>
        <v>10304.805</v>
      </c>
      <c r="U301" s="43">
        <v>0</v>
      </c>
      <c r="V301" s="43">
        <f t="shared" si="202"/>
        <v>10304.805</v>
      </c>
    </row>
    <row r="302" spans="1:22">
      <c r="A302" s="7" t="s">
        <v>749</v>
      </c>
      <c r="B302" s="44">
        <v>70000</v>
      </c>
      <c r="C302" s="7" t="s">
        <v>710</v>
      </c>
      <c r="D302" s="7" t="str">
        <f t="shared" si="187"/>
        <v xml:space="preserve">Accountant </v>
      </c>
      <c r="E302" s="43">
        <v>0</v>
      </c>
      <c r="F302" s="49" t="s">
        <v>95</v>
      </c>
      <c r="G302" s="43">
        <f t="shared" si="188"/>
        <v>1750</v>
      </c>
      <c r="H302" s="119">
        <f>'LOE Breakdown by Year'!G36</f>
        <v>0.1</v>
      </c>
      <c r="I302" s="43">
        <f t="shared" si="189"/>
        <v>12</v>
      </c>
      <c r="J302" s="43">
        <f t="shared" si="197"/>
        <v>2100</v>
      </c>
      <c r="K302" s="119">
        <f>'LOE Breakdown by Year'!G76</f>
        <v>0.16</v>
      </c>
      <c r="L302" s="43">
        <f t="shared" si="190"/>
        <v>12</v>
      </c>
      <c r="M302" s="43">
        <f t="shared" si="198"/>
        <v>3528</v>
      </c>
      <c r="N302" s="119">
        <f>'LOE Breakdown by Year'!G116</f>
        <v>0.16</v>
      </c>
      <c r="O302" s="43">
        <f t="shared" si="191"/>
        <v>12</v>
      </c>
      <c r="P302" s="43">
        <f t="shared" si="199"/>
        <v>3704.4</v>
      </c>
      <c r="Q302" s="119">
        <f>'LOE Breakdown by Year'!G156</f>
        <v>0.16</v>
      </c>
      <c r="R302" s="43">
        <f t="shared" si="192"/>
        <v>5</v>
      </c>
      <c r="S302" s="43">
        <f t="shared" si="200"/>
        <v>1620.6750000000002</v>
      </c>
      <c r="T302" s="43">
        <f t="shared" si="201"/>
        <v>10953.075000000001</v>
      </c>
      <c r="U302" s="43">
        <v>0</v>
      </c>
      <c r="V302" s="43">
        <f t="shared" si="202"/>
        <v>10953.075000000001</v>
      </c>
    </row>
    <row r="303" spans="1:22">
      <c r="A303" s="7" t="s">
        <v>749</v>
      </c>
      <c r="B303" s="44">
        <v>70000</v>
      </c>
      <c r="C303" s="7" t="s">
        <v>710</v>
      </c>
      <c r="D303" s="7" t="str">
        <f t="shared" si="187"/>
        <v>Finance &amp; Admin Coordinator - 50% LOE</v>
      </c>
      <c r="E303" s="43">
        <v>0</v>
      </c>
      <c r="F303" s="49" t="s">
        <v>95</v>
      </c>
      <c r="G303" s="43">
        <f t="shared" si="188"/>
        <v>2583.3333333333335</v>
      </c>
      <c r="H303" s="119">
        <f>'LOE Breakdown by Year'!G37</f>
        <v>0.05</v>
      </c>
      <c r="I303" s="43">
        <f t="shared" si="189"/>
        <v>12</v>
      </c>
      <c r="J303" s="43">
        <f t="shared" si="197"/>
        <v>1550</v>
      </c>
      <c r="K303" s="119">
        <f>'LOE Breakdown by Year'!G77</f>
        <v>0.1</v>
      </c>
      <c r="L303" s="43">
        <f t="shared" si="190"/>
        <v>12</v>
      </c>
      <c r="M303" s="43">
        <f t="shared" si="198"/>
        <v>3255</v>
      </c>
      <c r="N303" s="119">
        <f>'LOE Breakdown by Year'!G117</f>
        <v>0.1</v>
      </c>
      <c r="O303" s="43">
        <f t="shared" si="191"/>
        <v>12</v>
      </c>
      <c r="P303" s="43">
        <f t="shared" si="199"/>
        <v>3417.75</v>
      </c>
      <c r="Q303" s="119">
        <f>'LOE Breakdown by Year'!G157</f>
        <v>0.1</v>
      </c>
      <c r="R303" s="43">
        <f t="shared" si="192"/>
        <v>6</v>
      </c>
      <c r="S303" s="43">
        <f t="shared" si="200"/>
        <v>1794.3187500000001</v>
      </c>
      <c r="T303" s="43">
        <f t="shared" si="201"/>
        <v>10017.06875</v>
      </c>
      <c r="U303" s="43">
        <v>0</v>
      </c>
      <c r="V303" s="43">
        <f t="shared" si="202"/>
        <v>10017.06875</v>
      </c>
    </row>
    <row r="304" spans="1:22">
      <c r="A304" s="7" t="s">
        <v>749</v>
      </c>
      <c r="B304" s="44">
        <v>70000</v>
      </c>
      <c r="C304" s="7" t="s">
        <v>710</v>
      </c>
      <c r="D304" s="7" t="str">
        <f t="shared" si="187"/>
        <v xml:space="preserve">Administrative Officer </v>
      </c>
      <c r="E304" s="43">
        <v>2913.29</v>
      </c>
      <c r="F304" s="49" t="s">
        <v>95</v>
      </c>
      <c r="G304" s="43">
        <f t="shared" si="188"/>
        <v>1000</v>
      </c>
      <c r="H304" s="119">
        <f>'LOE Breakdown by Year'!G38</f>
        <v>0.1</v>
      </c>
      <c r="I304" s="43">
        <f t="shared" si="189"/>
        <v>12</v>
      </c>
      <c r="J304" s="43">
        <f t="shared" si="197"/>
        <v>1200</v>
      </c>
      <c r="K304" s="119">
        <f>'LOE Breakdown by Year'!G78</f>
        <v>0.3</v>
      </c>
      <c r="L304" s="43">
        <f t="shared" si="190"/>
        <v>12</v>
      </c>
      <c r="M304" s="43">
        <f t="shared" si="198"/>
        <v>3780</v>
      </c>
      <c r="N304" s="119">
        <f>'LOE Breakdown by Year'!G118</f>
        <v>0.3</v>
      </c>
      <c r="O304" s="43">
        <f t="shared" si="191"/>
        <v>12</v>
      </c>
      <c r="P304" s="43">
        <f t="shared" si="199"/>
        <v>3969</v>
      </c>
      <c r="Q304" s="119">
        <f>'LOE Breakdown by Year'!G158</f>
        <v>0.3</v>
      </c>
      <c r="R304" s="43">
        <f t="shared" si="192"/>
        <v>3</v>
      </c>
      <c r="S304" s="43">
        <f t="shared" si="200"/>
        <v>1041.8625</v>
      </c>
      <c r="T304" s="43">
        <f t="shared" si="201"/>
        <v>12904.1525</v>
      </c>
      <c r="U304" s="43">
        <v>0</v>
      </c>
      <c r="V304" s="43">
        <f t="shared" si="202"/>
        <v>12904.1525</v>
      </c>
    </row>
    <row r="305" spans="1:22">
      <c r="A305" s="7" t="s">
        <v>749</v>
      </c>
      <c r="B305" s="44">
        <v>70000</v>
      </c>
      <c r="C305" s="7" t="s">
        <v>710</v>
      </c>
      <c r="D305" s="7" t="str">
        <f t="shared" si="187"/>
        <v>Human Resource Manager</v>
      </c>
      <c r="E305" s="43">
        <v>0</v>
      </c>
      <c r="F305" s="49" t="s">
        <v>95</v>
      </c>
      <c r="G305" s="43">
        <f t="shared" si="188"/>
        <v>1954.1666666666667</v>
      </c>
      <c r="H305" s="119">
        <f>'LOE Breakdown by Year'!G39</f>
        <v>0.1</v>
      </c>
      <c r="I305" s="43">
        <f t="shared" si="189"/>
        <v>12</v>
      </c>
      <c r="J305" s="43">
        <f t="shared" si="197"/>
        <v>2345</v>
      </c>
      <c r="K305" s="119">
        <f>'LOE Breakdown by Year'!G79</f>
        <v>0.3</v>
      </c>
      <c r="L305" s="43">
        <f t="shared" si="190"/>
        <v>12</v>
      </c>
      <c r="M305" s="43">
        <f t="shared" si="198"/>
        <v>7386.75</v>
      </c>
      <c r="N305" s="119">
        <f>'LOE Breakdown by Year'!G119</f>
        <v>0.3</v>
      </c>
      <c r="O305" s="43">
        <f t="shared" si="191"/>
        <v>12</v>
      </c>
      <c r="P305" s="43">
        <f t="shared" si="199"/>
        <v>7756.0875000000005</v>
      </c>
      <c r="Q305" s="119">
        <f>'LOE Breakdown by Year'!G159</f>
        <v>0.3</v>
      </c>
      <c r="R305" s="43">
        <f t="shared" si="192"/>
        <v>6</v>
      </c>
      <c r="S305" s="43">
        <f t="shared" si="200"/>
        <v>4071.9459375000006</v>
      </c>
      <c r="T305" s="43">
        <f t="shared" si="201"/>
        <v>21559.783437500002</v>
      </c>
      <c r="U305" s="43">
        <v>0</v>
      </c>
      <c r="V305" s="43">
        <f t="shared" si="202"/>
        <v>21559.783437500002</v>
      </c>
    </row>
    <row r="306" spans="1:22">
      <c r="A306" s="7" t="s">
        <v>749</v>
      </c>
      <c r="B306" s="44">
        <v>70000</v>
      </c>
      <c r="C306" s="7" t="s">
        <v>710</v>
      </c>
      <c r="D306" s="7" t="str">
        <f t="shared" si="187"/>
        <v>Human Resource Specialist</v>
      </c>
      <c r="E306" s="43">
        <v>0</v>
      </c>
      <c r="F306" s="49" t="s">
        <v>95</v>
      </c>
      <c r="G306" s="43">
        <f t="shared" si="188"/>
        <v>1750</v>
      </c>
      <c r="H306" s="119">
        <f>'LOE Breakdown by Year'!G40</f>
        <v>0.1</v>
      </c>
      <c r="I306" s="43">
        <f t="shared" si="189"/>
        <v>12</v>
      </c>
      <c r="J306" s="43">
        <f t="shared" si="197"/>
        <v>2100</v>
      </c>
      <c r="K306" s="119">
        <f>'LOE Breakdown by Year'!G80</f>
        <v>0.3</v>
      </c>
      <c r="L306" s="43">
        <f t="shared" si="190"/>
        <v>12</v>
      </c>
      <c r="M306" s="43">
        <f t="shared" si="198"/>
        <v>6615</v>
      </c>
      <c r="N306" s="119">
        <f>'LOE Breakdown by Year'!G120</f>
        <v>0.3</v>
      </c>
      <c r="O306" s="43">
        <f t="shared" si="191"/>
        <v>12</v>
      </c>
      <c r="P306" s="43">
        <f t="shared" si="199"/>
        <v>6945.75</v>
      </c>
      <c r="Q306" s="119">
        <f>'LOE Breakdown by Year'!G160</f>
        <v>0.3</v>
      </c>
      <c r="R306" s="43">
        <f t="shared" si="192"/>
        <v>3</v>
      </c>
      <c r="S306" s="43">
        <f t="shared" si="200"/>
        <v>1823.2593750000001</v>
      </c>
      <c r="T306" s="43">
        <f t="shared" si="201"/>
        <v>17484.009375000001</v>
      </c>
      <c r="U306" s="43">
        <v>0</v>
      </c>
      <c r="V306" s="43">
        <f t="shared" si="202"/>
        <v>17484.009375000001</v>
      </c>
    </row>
    <row r="307" spans="1:22">
      <c r="A307" s="40"/>
      <c r="B307" s="40"/>
      <c r="C307" s="40"/>
      <c r="D307" s="40" t="s">
        <v>268</v>
      </c>
      <c r="E307" s="47">
        <f>SUM(E277:E306)</f>
        <v>906865.69000000006</v>
      </c>
      <c r="F307" s="45"/>
      <c r="G307" s="46"/>
      <c r="H307" s="132"/>
      <c r="I307" s="47"/>
      <c r="J307" s="47">
        <f>SUM(J277:J306)</f>
        <v>729297.92000000004</v>
      </c>
      <c r="K307" s="132"/>
      <c r="L307" s="47"/>
      <c r="M307" s="47">
        <f>SUM(M277:M306)</f>
        <v>867043.33799999999</v>
      </c>
      <c r="N307" s="132"/>
      <c r="O307" s="47"/>
      <c r="P307" s="47">
        <f>SUM(P277:P306)</f>
        <v>645795.50490000006</v>
      </c>
      <c r="Q307" s="132"/>
      <c r="R307" s="47"/>
      <c r="S307" s="47">
        <f>SUM(S277:S306)</f>
        <v>59055.598822500011</v>
      </c>
      <c r="T307" s="47">
        <f>SUM(T277:T306)</f>
        <v>3208058.0517224995</v>
      </c>
      <c r="U307" s="47">
        <f>SUM(U277:U306)</f>
        <v>0</v>
      </c>
      <c r="V307" s="47">
        <f>SUM(V277:V306)</f>
        <v>3208058.0517224995</v>
      </c>
    </row>
    <row r="308" spans="1:22">
      <c r="A308" s="104"/>
      <c r="B308" s="104"/>
      <c r="C308" s="104"/>
      <c r="D308" s="104"/>
      <c r="E308" s="593"/>
      <c r="F308" s="538"/>
      <c r="G308" s="62"/>
      <c r="H308" s="133"/>
      <c r="I308" s="62"/>
      <c r="J308" s="62"/>
      <c r="K308" s="133"/>
      <c r="L308" s="62"/>
      <c r="M308" s="62"/>
      <c r="N308" s="133"/>
      <c r="O308" s="62"/>
      <c r="P308" s="62"/>
      <c r="Q308" s="133"/>
      <c r="R308" s="62"/>
      <c r="S308" s="62"/>
      <c r="T308" s="62"/>
      <c r="U308" s="62"/>
      <c r="V308" s="62"/>
    </row>
    <row r="309" spans="1:22">
      <c r="A309" s="40"/>
      <c r="B309" s="40"/>
      <c r="C309" s="40"/>
      <c r="D309" s="40" t="s">
        <v>269</v>
      </c>
      <c r="E309" s="592"/>
      <c r="F309" s="45"/>
      <c r="G309" s="46"/>
      <c r="H309" s="132"/>
      <c r="I309" s="47"/>
      <c r="J309" s="47"/>
      <c r="K309" s="132"/>
      <c r="L309" s="47"/>
      <c r="M309" s="47"/>
      <c r="N309" s="132"/>
      <c r="O309" s="47"/>
      <c r="P309" s="47"/>
      <c r="Q309" s="132"/>
      <c r="R309" s="47"/>
      <c r="S309" s="47"/>
      <c r="T309" s="47"/>
      <c r="U309" s="47"/>
      <c r="V309" s="47"/>
    </row>
    <row r="310" spans="1:22" ht="25.2">
      <c r="A310" s="7" t="s">
        <v>762</v>
      </c>
      <c r="B310" s="44">
        <v>70015</v>
      </c>
      <c r="C310" s="7" t="s">
        <v>710</v>
      </c>
      <c r="D310" s="7" t="str">
        <f>D51</f>
        <v>Fringe Benefits CCN - Colombia (above $3,350 monthly)</v>
      </c>
      <c r="E310" s="43">
        <v>31831.84</v>
      </c>
      <c r="F310" s="82" t="s">
        <v>132</v>
      </c>
      <c r="G310" s="59">
        <f>G51</f>
        <v>0.53864000000000001</v>
      </c>
      <c r="H310" s="120"/>
      <c r="I310" s="43"/>
      <c r="J310" s="43">
        <f>(J279+J295+J288+J292+J300+J298+J278)*$G$51</f>
        <v>31781.332828800001</v>
      </c>
      <c r="K310" s="120"/>
      <c r="L310" s="43"/>
      <c r="M310" s="43">
        <f>(M279+M295+M288+M292+M300+M298+M278)*$G$51</f>
        <v>43023.378760320003</v>
      </c>
      <c r="N310" s="120"/>
      <c r="O310" s="43"/>
      <c r="P310" s="43">
        <f>(P279+P295+P288+P292+P300+P298+P278)*$G$51</f>
        <v>45174.547698336006</v>
      </c>
      <c r="Q310" s="120"/>
      <c r="R310" s="43"/>
      <c r="S310" s="43">
        <f>(S279+S295+S288+S292+S300+S298+S278)*$G$51</f>
        <v>19887.043484876405</v>
      </c>
      <c r="T310" s="43">
        <f t="shared" ref="T310" si="203">SUM(P310,M310,J310,E310,S310)</f>
        <v>171698.14277233242</v>
      </c>
      <c r="U310" s="43">
        <v>0</v>
      </c>
      <c r="V310" s="43">
        <f t="shared" ref="V310" si="204">SUM(T310:U310)</f>
        <v>171698.14277233242</v>
      </c>
    </row>
    <row r="311" spans="1:22" ht="25.2">
      <c r="A311" s="7" t="s">
        <v>762</v>
      </c>
      <c r="B311" s="44">
        <v>70015</v>
      </c>
      <c r="C311" s="7" t="s">
        <v>710</v>
      </c>
      <c r="D311" s="7" t="str">
        <f>D52</f>
        <v>Fringe Benefits CCN - Colombia (below $3,350 monthly)</v>
      </c>
      <c r="E311" s="83">
        <v>350450.24</v>
      </c>
      <c r="F311" s="82" t="s">
        <v>132</v>
      </c>
      <c r="G311" s="59">
        <f>G52</f>
        <v>0.44863999999999998</v>
      </c>
      <c r="H311" s="125"/>
      <c r="I311" s="83"/>
      <c r="J311" s="43">
        <f>(J280+J281+J282+J283+J284+J285+J286+J287+J289+J290+J291+J293+J294+J296+J297+J299+J301+J302+J303+J304+J305+J306)*$G$52</f>
        <v>293049.40479999996</v>
      </c>
      <c r="K311" s="125"/>
      <c r="L311" s="83"/>
      <c r="M311" s="43">
        <f>(M280+M281+M282+M283+M284+M285+M286+M287+M289+M290+M291+M293+M294+M296+M297+M299+M301+M302+M303+M304+M305+M306)*$G$52</f>
        <v>337850.48303999996</v>
      </c>
      <c r="N311" s="125"/>
      <c r="O311" s="83"/>
      <c r="P311" s="43">
        <f>(P280+P281+P282+P283+P284+P285+P286+P287+P289+P290+P291+P293+P294+P296+P297+P299+P301+P302+P303+P304+P305+P306)*$G$52</f>
        <v>236032.86319200002</v>
      </c>
      <c r="Q311" s="125"/>
      <c r="R311" s="83"/>
      <c r="S311" s="43">
        <f>(S280+S281+S282+S283+S284+S285+S286+S287+S289+S290+S291+S293+S294+S296+S297+S299+S301+S302+S303+S304+S305+S306)*$G$52</f>
        <v>9930.5363430000016</v>
      </c>
      <c r="T311" s="43">
        <f t="shared" ref="T311:T313" si="205">SUM(P311,M311,J311,E311,S311)</f>
        <v>1227313.5273749998</v>
      </c>
      <c r="U311" s="43">
        <v>0</v>
      </c>
      <c r="V311" s="43">
        <f t="shared" ref="V311:V313" si="206">SUM(T311:U311)</f>
        <v>1227313.5273749998</v>
      </c>
    </row>
    <row r="312" spans="1:22">
      <c r="A312" s="7" t="s">
        <v>763</v>
      </c>
      <c r="B312" s="44">
        <v>50202</v>
      </c>
      <c r="C312" s="7" t="s">
        <v>709</v>
      </c>
      <c r="D312" s="7" t="str">
        <f>D54</f>
        <v>Post (Hardship) Differential for Chief of Party</v>
      </c>
      <c r="E312" s="83">
        <v>3678.97</v>
      </c>
      <c r="F312" s="82" t="s">
        <v>132</v>
      </c>
      <c r="G312" s="59">
        <f>G54</f>
        <v>0.15</v>
      </c>
      <c r="H312" s="125"/>
      <c r="I312" s="83"/>
      <c r="J312" s="83">
        <f>J277*$G$312</f>
        <v>2565</v>
      </c>
      <c r="K312" s="125"/>
      <c r="L312" s="83"/>
      <c r="M312" s="83">
        <f>M277*$G$312</f>
        <v>5117.1750000000002</v>
      </c>
      <c r="N312" s="125"/>
      <c r="O312" s="83"/>
      <c r="P312" s="83">
        <f>P277*$G$312</f>
        <v>5373.0337499999996</v>
      </c>
      <c r="Q312" s="125"/>
      <c r="R312" s="83"/>
      <c r="S312" s="83">
        <f>S277*$G$312</f>
        <v>0</v>
      </c>
      <c r="T312" s="43">
        <f t="shared" si="205"/>
        <v>16734.178749999999</v>
      </c>
      <c r="U312" s="43">
        <v>0</v>
      </c>
      <c r="V312" s="43">
        <f t="shared" si="206"/>
        <v>16734.178749999999</v>
      </c>
    </row>
    <row r="313" spans="1:22">
      <c r="A313" s="7" t="s">
        <v>762</v>
      </c>
      <c r="B313" s="44">
        <v>50900</v>
      </c>
      <c r="C313" s="7" t="s">
        <v>709</v>
      </c>
      <c r="D313" s="7" t="str">
        <f>D55</f>
        <v>Fringe Benefits Package for Chief of Party</v>
      </c>
      <c r="E313" s="83">
        <v>11936.94</v>
      </c>
      <c r="F313" s="82" t="s">
        <v>132</v>
      </c>
      <c r="G313" s="59">
        <f>G55</f>
        <v>0.56469999999999998</v>
      </c>
      <c r="H313" s="125"/>
      <c r="I313" s="83"/>
      <c r="J313" s="83">
        <f>J277*$G$313</f>
        <v>9656.369999999999</v>
      </c>
      <c r="K313" s="125"/>
      <c r="L313" s="83"/>
      <c r="M313" s="83">
        <f>M277*$G$313</f>
        <v>19264.458149999999</v>
      </c>
      <c r="N313" s="125"/>
      <c r="O313" s="83"/>
      <c r="P313" s="83">
        <f>P277*$G$313</f>
        <v>20227.681057499998</v>
      </c>
      <c r="Q313" s="125"/>
      <c r="R313" s="83"/>
      <c r="S313" s="83">
        <f>S277*$G$313</f>
        <v>0</v>
      </c>
      <c r="T313" s="43">
        <f t="shared" si="205"/>
        <v>61085.449207500002</v>
      </c>
      <c r="U313" s="43">
        <v>0</v>
      </c>
      <c r="V313" s="43">
        <f t="shared" si="206"/>
        <v>61085.449207500002</v>
      </c>
    </row>
    <row r="314" spans="1:22">
      <c r="A314" s="40"/>
      <c r="B314" s="40"/>
      <c r="C314" s="40"/>
      <c r="D314" s="40" t="s">
        <v>270</v>
      </c>
      <c r="E314" s="47">
        <f>SUM(E310:E313)</f>
        <v>397897.99</v>
      </c>
      <c r="F314" s="45"/>
      <c r="G314" s="46"/>
      <c r="H314" s="132"/>
      <c r="I314" s="47"/>
      <c r="J314" s="47">
        <f>SUM(J310:J313)</f>
        <v>337052.10762879997</v>
      </c>
      <c r="K314" s="132"/>
      <c r="L314" s="47"/>
      <c r="M314" s="47">
        <f>SUM(M310:M313)</f>
        <v>405255.49495031999</v>
      </c>
      <c r="N314" s="132"/>
      <c r="O314" s="47"/>
      <c r="P314" s="47">
        <f>SUM(P310:P313)</f>
        <v>306808.12569783605</v>
      </c>
      <c r="Q314" s="132"/>
      <c r="R314" s="47"/>
      <c r="S314" s="47">
        <f>SUM(S310:S313)</f>
        <v>29817.579827876405</v>
      </c>
      <c r="T314" s="47">
        <f>SUM(T310:T313)</f>
        <v>1476831.2981048324</v>
      </c>
      <c r="U314" s="47">
        <f>SUM(U310:U313)</f>
        <v>0</v>
      </c>
      <c r="V314" s="47">
        <f>SUM(V310:V313)</f>
        <v>1476831.2981048324</v>
      </c>
    </row>
    <row r="315" spans="1:22">
      <c r="A315" s="104"/>
      <c r="B315" s="104"/>
      <c r="C315" s="104"/>
      <c r="D315" s="104"/>
      <c r="E315" s="62"/>
      <c r="F315" s="81"/>
      <c r="G315" s="62"/>
      <c r="H315" s="133"/>
      <c r="I315" s="62"/>
      <c r="J315" s="62"/>
      <c r="K315" s="133"/>
      <c r="L315" s="62"/>
      <c r="M315" s="62"/>
      <c r="N315" s="133"/>
      <c r="O315" s="62"/>
      <c r="P315" s="62"/>
      <c r="Q315" s="133"/>
      <c r="R315" s="62"/>
      <c r="S315" s="62"/>
      <c r="T315" s="62"/>
      <c r="U315" s="62"/>
      <c r="V315" s="62"/>
    </row>
    <row r="316" spans="1:22">
      <c r="A316" s="40"/>
      <c r="B316" s="40"/>
      <c r="C316" s="40"/>
      <c r="D316" s="40" t="s">
        <v>271</v>
      </c>
      <c r="E316" s="46"/>
      <c r="F316" s="45"/>
      <c r="G316" s="46"/>
      <c r="H316" s="132"/>
      <c r="I316" s="46"/>
      <c r="J316" s="46"/>
      <c r="K316" s="132"/>
      <c r="L316" s="46"/>
      <c r="M316" s="46"/>
      <c r="N316" s="132"/>
      <c r="O316" s="46"/>
      <c r="P316" s="46"/>
      <c r="Q316" s="132"/>
      <c r="R316" s="46"/>
      <c r="S316" s="46"/>
      <c r="T316" s="46"/>
      <c r="U316" s="46"/>
      <c r="V316" s="46"/>
    </row>
    <row r="317" spans="1:22" ht="25.2">
      <c r="A317" s="591" t="s">
        <v>767</v>
      </c>
      <c r="B317" s="44" t="s">
        <v>770</v>
      </c>
      <c r="C317" s="7" t="s">
        <v>710</v>
      </c>
      <c r="D317" s="44" t="s">
        <v>272</v>
      </c>
      <c r="E317" s="43">
        <v>20000</v>
      </c>
      <c r="F317" s="48" t="s">
        <v>172</v>
      </c>
      <c r="G317" s="43">
        <f>E317</f>
        <v>20000</v>
      </c>
      <c r="H317" s="125"/>
      <c r="I317" s="43">
        <v>0</v>
      </c>
      <c r="J317" s="43">
        <v>0</v>
      </c>
      <c r="K317" s="125"/>
      <c r="L317" s="43">
        <v>0</v>
      </c>
      <c r="M317" s="43">
        <v>0</v>
      </c>
      <c r="N317" s="125"/>
      <c r="O317" s="43">
        <v>0</v>
      </c>
      <c r="P317" s="43">
        <v>0</v>
      </c>
      <c r="Q317" s="125"/>
      <c r="R317" s="43">
        <v>0</v>
      </c>
      <c r="S317" s="43">
        <v>0</v>
      </c>
      <c r="T317" s="43">
        <f t="shared" ref="T317" si="207">SUM(P317,M317,J317,E317,S317)</f>
        <v>20000</v>
      </c>
      <c r="U317" s="43">
        <v>0</v>
      </c>
      <c r="V317" s="43">
        <f t="shared" ref="V317" si="208">SUM(T317:U317)</f>
        <v>20000</v>
      </c>
    </row>
    <row r="318" spans="1:22" ht="25.2">
      <c r="A318" s="591" t="s">
        <v>771</v>
      </c>
      <c r="B318" s="44" t="s">
        <v>770</v>
      </c>
      <c r="C318" s="7" t="s">
        <v>710</v>
      </c>
      <c r="D318" s="7" t="s">
        <v>273</v>
      </c>
      <c r="E318" s="43">
        <v>0</v>
      </c>
      <c r="F318" s="48" t="s">
        <v>172</v>
      </c>
      <c r="G318" s="43"/>
      <c r="H318" s="125"/>
      <c r="I318" s="43">
        <v>0</v>
      </c>
      <c r="J318" s="43">
        <v>0</v>
      </c>
      <c r="K318" s="125"/>
      <c r="L318" s="43">
        <v>0</v>
      </c>
      <c r="M318" s="43">
        <v>0</v>
      </c>
      <c r="N318" s="125"/>
      <c r="O318" s="43">
        <v>0</v>
      </c>
      <c r="P318" s="43">
        <v>0</v>
      </c>
      <c r="Q318" s="125"/>
      <c r="R318" s="43">
        <v>0</v>
      </c>
      <c r="S318" s="43">
        <v>0</v>
      </c>
      <c r="T318" s="43">
        <f t="shared" ref="T318:T325" si="209">SUM(P318,M318,J318,E318,S318)</f>
        <v>0</v>
      </c>
      <c r="U318" s="43">
        <v>0</v>
      </c>
      <c r="V318" s="43">
        <f t="shared" ref="V318:V325" si="210">SUM(T318:U318)</f>
        <v>0</v>
      </c>
    </row>
    <row r="319" spans="1:22" ht="25.2">
      <c r="A319" s="7" t="s">
        <v>764</v>
      </c>
      <c r="B319" s="44" t="s">
        <v>770</v>
      </c>
      <c r="C319" s="7" t="s">
        <v>710</v>
      </c>
      <c r="D319" s="7" t="s">
        <v>274</v>
      </c>
      <c r="E319" s="43">
        <v>94000</v>
      </c>
      <c r="F319" s="48" t="s">
        <v>237</v>
      </c>
      <c r="G319" s="43">
        <v>20000</v>
      </c>
      <c r="H319" s="125"/>
      <c r="I319" s="43">
        <v>1</v>
      </c>
      <c r="J319" s="43">
        <v>73031</v>
      </c>
      <c r="K319" s="128"/>
      <c r="L319" s="43">
        <v>1</v>
      </c>
      <c r="M319" s="43">
        <f>L319*G319</f>
        <v>20000</v>
      </c>
      <c r="N319" s="128"/>
      <c r="O319" s="43">
        <v>1</v>
      </c>
      <c r="P319" s="43">
        <f>O319*G319</f>
        <v>20000</v>
      </c>
      <c r="Q319" s="128"/>
      <c r="R319" s="472">
        <v>0</v>
      </c>
      <c r="S319" s="43">
        <f>R319*G319</f>
        <v>0</v>
      </c>
      <c r="T319" s="43">
        <f t="shared" si="209"/>
        <v>207031</v>
      </c>
      <c r="U319" s="43">
        <v>0</v>
      </c>
      <c r="V319" s="43">
        <f t="shared" si="210"/>
        <v>207031</v>
      </c>
    </row>
    <row r="320" spans="1:22" ht="25.2">
      <c r="A320" s="7" t="s">
        <v>765</v>
      </c>
      <c r="B320" s="44" t="s">
        <v>770</v>
      </c>
      <c r="C320" s="7" t="s">
        <v>710</v>
      </c>
      <c r="D320" s="7" t="s">
        <v>275</v>
      </c>
      <c r="E320" s="43">
        <v>10000</v>
      </c>
      <c r="F320" s="48" t="s">
        <v>237</v>
      </c>
      <c r="G320" s="43">
        <f>E320</f>
        <v>10000</v>
      </c>
      <c r="H320" s="125"/>
      <c r="I320" s="43">
        <v>0</v>
      </c>
      <c r="J320" s="43">
        <v>0</v>
      </c>
      <c r="K320" s="128"/>
      <c r="L320" s="43">
        <v>0</v>
      </c>
      <c r="M320" s="43">
        <v>0</v>
      </c>
      <c r="N320" s="128"/>
      <c r="O320" s="43">
        <v>0</v>
      </c>
      <c r="P320" s="43">
        <v>0</v>
      </c>
      <c r="Q320" s="128"/>
      <c r="R320" s="43">
        <v>0</v>
      </c>
      <c r="S320" s="43">
        <v>0</v>
      </c>
      <c r="T320" s="43">
        <f t="shared" si="209"/>
        <v>10000</v>
      </c>
      <c r="U320" s="43">
        <v>0</v>
      </c>
      <c r="V320" s="43">
        <f t="shared" si="210"/>
        <v>10000</v>
      </c>
    </row>
    <row r="321" spans="1:23" ht="25.2">
      <c r="A321" s="7" t="s">
        <v>766</v>
      </c>
      <c r="B321" s="44" t="s">
        <v>770</v>
      </c>
      <c r="C321" s="7" t="s">
        <v>710</v>
      </c>
      <c r="D321" s="7" t="s">
        <v>276</v>
      </c>
      <c r="E321" s="43">
        <v>25000</v>
      </c>
      <c r="F321" s="48" t="s">
        <v>237</v>
      </c>
      <c r="G321" s="43">
        <f>E321</f>
        <v>25000</v>
      </c>
      <c r="H321" s="125"/>
      <c r="I321" s="43">
        <v>0</v>
      </c>
      <c r="J321" s="43">
        <v>0</v>
      </c>
      <c r="K321" s="128"/>
      <c r="L321" s="43">
        <v>0</v>
      </c>
      <c r="M321" s="43">
        <v>0</v>
      </c>
      <c r="N321" s="128"/>
      <c r="O321" s="43">
        <v>0</v>
      </c>
      <c r="P321" s="43">
        <v>0</v>
      </c>
      <c r="Q321" s="128"/>
      <c r="R321" s="43">
        <v>0</v>
      </c>
      <c r="S321" s="43">
        <v>0</v>
      </c>
      <c r="T321" s="43">
        <f t="shared" si="209"/>
        <v>25000</v>
      </c>
      <c r="U321" s="43">
        <v>0</v>
      </c>
      <c r="V321" s="43">
        <f t="shared" si="210"/>
        <v>25000</v>
      </c>
    </row>
    <row r="322" spans="1:23" ht="25.2">
      <c r="A322" s="7" t="s">
        <v>768</v>
      </c>
      <c r="B322" s="44" t="s">
        <v>770</v>
      </c>
      <c r="C322" s="7" t="s">
        <v>710</v>
      </c>
      <c r="D322" s="7" t="s">
        <v>277</v>
      </c>
      <c r="E322" s="43">
        <v>37685.26</v>
      </c>
      <c r="F322" s="48" t="s">
        <v>237</v>
      </c>
      <c r="G322" s="43">
        <v>25000</v>
      </c>
      <c r="H322" s="125"/>
      <c r="I322" s="43">
        <v>1</v>
      </c>
      <c r="J322" s="43">
        <v>202000</v>
      </c>
      <c r="L322" s="43">
        <v>1</v>
      </c>
      <c r="M322" s="43">
        <f t="shared" ref="M322:M327" si="211">L322*G322</f>
        <v>25000</v>
      </c>
      <c r="N322" s="128"/>
      <c r="O322" s="43">
        <v>0</v>
      </c>
      <c r="P322" s="43">
        <f t="shared" ref="P322:P327" si="212">O322*G322</f>
        <v>0</v>
      </c>
      <c r="Q322" s="128"/>
      <c r="R322" s="472">
        <v>0</v>
      </c>
      <c r="S322" s="43">
        <f t="shared" ref="S322:S327" si="213">R322*G322</f>
        <v>0</v>
      </c>
      <c r="T322" s="43">
        <f t="shared" ref="T322" si="214">SUM(P322,M322,J322,E322,S322)</f>
        <v>264685.26</v>
      </c>
      <c r="U322" s="43">
        <v>0</v>
      </c>
      <c r="V322" s="43">
        <f t="shared" ref="V322" si="215">SUM(T322:U322)</f>
        <v>264685.26</v>
      </c>
    </row>
    <row r="323" spans="1:23" ht="25.2">
      <c r="A323" s="7" t="s">
        <v>769</v>
      </c>
      <c r="B323" s="44" t="s">
        <v>770</v>
      </c>
      <c r="C323" s="7" t="s">
        <v>710</v>
      </c>
      <c r="D323" s="7" t="s">
        <v>278</v>
      </c>
      <c r="E323" s="43">
        <v>55733.63</v>
      </c>
      <c r="F323" s="48" t="s">
        <v>237</v>
      </c>
      <c r="G323" s="43">
        <v>8500</v>
      </c>
      <c r="H323" s="125"/>
      <c r="I323" s="43">
        <v>3</v>
      </c>
      <c r="J323" s="43">
        <f t="shared" ref="J323:J327" si="216">I323*G323</f>
        <v>25500</v>
      </c>
      <c r="K323" s="125"/>
      <c r="L323" s="43">
        <v>0</v>
      </c>
      <c r="M323" s="43">
        <f t="shared" si="211"/>
        <v>0</v>
      </c>
      <c r="N323" s="128"/>
      <c r="O323" s="43">
        <v>0</v>
      </c>
      <c r="P323" s="43">
        <f t="shared" si="212"/>
        <v>0</v>
      </c>
      <c r="Q323" s="128"/>
      <c r="R323" s="472">
        <v>0</v>
      </c>
      <c r="S323" s="43">
        <f t="shared" si="213"/>
        <v>0</v>
      </c>
      <c r="T323" s="43">
        <f t="shared" ref="T323:T324" si="217">SUM(P323,M323,J323,E323,S323)</f>
        <v>81233.63</v>
      </c>
      <c r="U323" s="43">
        <v>0</v>
      </c>
      <c r="V323" s="43">
        <f t="shared" ref="V323:V324" si="218">SUM(T323:U323)</f>
        <v>81233.63</v>
      </c>
    </row>
    <row r="324" spans="1:23" ht="25.2">
      <c r="A324" s="591" t="s">
        <v>774</v>
      </c>
      <c r="B324" s="44" t="s">
        <v>770</v>
      </c>
      <c r="C324" s="7" t="s">
        <v>710</v>
      </c>
      <c r="D324" s="7" t="s">
        <v>279</v>
      </c>
      <c r="E324" s="43">
        <v>0</v>
      </c>
      <c r="F324" s="48" t="s">
        <v>237</v>
      </c>
      <c r="G324" s="43">
        <v>25000</v>
      </c>
      <c r="H324" s="125"/>
      <c r="I324" s="43">
        <v>1</v>
      </c>
      <c r="J324" s="43">
        <f t="shared" si="216"/>
        <v>25000</v>
      </c>
      <c r="K324" s="125"/>
      <c r="L324" s="43">
        <v>1</v>
      </c>
      <c r="M324" s="43">
        <f t="shared" si="211"/>
        <v>25000</v>
      </c>
      <c r="N324" s="128"/>
      <c r="O324" s="43">
        <v>1</v>
      </c>
      <c r="P324" s="43">
        <f t="shared" si="212"/>
        <v>25000</v>
      </c>
      <c r="Q324" s="128"/>
      <c r="R324" s="472">
        <v>0</v>
      </c>
      <c r="S324" s="43">
        <f t="shared" si="213"/>
        <v>0</v>
      </c>
      <c r="T324" s="43">
        <f t="shared" si="217"/>
        <v>75000</v>
      </c>
      <c r="U324" s="43">
        <v>0</v>
      </c>
      <c r="V324" s="43">
        <f t="shared" si="218"/>
        <v>75000</v>
      </c>
    </row>
    <row r="325" spans="1:23" ht="25.2">
      <c r="A325" s="591" t="s">
        <v>772</v>
      </c>
      <c r="B325" s="44" t="s">
        <v>770</v>
      </c>
      <c r="C325" s="7" t="s">
        <v>710</v>
      </c>
      <c r="D325" s="7" t="s">
        <v>280</v>
      </c>
      <c r="E325" s="43">
        <v>0</v>
      </c>
      <c r="F325" s="48" t="s">
        <v>237</v>
      </c>
      <c r="G325" s="43">
        <v>20000</v>
      </c>
      <c r="H325" s="125"/>
      <c r="I325" s="43">
        <v>1</v>
      </c>
      <c r="J325" s="43">
        <f t="shared" si="216"/>
        <v>20000</v>
      </c>
      <c r="K325" s="125"/>
      <c r="L325" s="43">
        <v>1</v>
      </c>
      <c r="M325" s="43">
        <f t="shared" si="211"/>
        <v>20000</v>
      </c>
      <c r="N325" s="128"/>
      <c r="O325" s="43">
        <v>1</v>
      </c>
      <c r="P325" s="43">
        <f t="shared" si="212"/>
        <v>20000</v>
      </c>
      <c r="Q325" s="128"/>
      <c r="R325" s="472">
        <v>0</v>
      </c>
      <c r="S325" s="43">
        <f t="shared" si="213"/>
        <v>0</v>
      </c>
      <c r="T325" s="43">
        <f t="shared" si="209"/>
        <v>60000</v>
      </c>
      <c r="U325" s="43">
        <v>0</v>
      </c>
      <c r="V325" s="43">
        <f t="shared" si="210"/>
        <v>60000</v>
      </c>
    </row>
    <row r="326" spans="1:23" ht="25.2">
      <c r="A326" s="591" t="s">
        <v>773</v>
      </c>
      <c r="B326" s="44" t="s">
        <v>770</v>
      </c>
      <c r="C326" s="7" t="s">
        <v>710</v>
      </c>
      <c r="D326" s="7" t="s">
        <v>281</v>
      </c>
      <c r="E326" s="43">
        <v>0</v>
      </c>
      <c r="F326" s="48" t="s">
        <v>237</v>
      </c>
      <c r="G326" s="43">
        <v>35000</v>
      </c>
      <c r="H326" s="125"/>
      <c r="I326" s="43">
        <v>1</v>
      </c>
      <c r="J326" s="43">
        <f t="shared" si="216"/>
        <v>35000</v>
      </c>
      <c r="K326" s="125"/>
      <c r="L326" s="43">
        <v>0</v>
      </c>
      <c r="M326" s="43">
        <f t="shared" si="211"/>
        <v>0</v>
      </c>
      <c r="N326" s="128"/>
      <c r="O326" s="43">
        <v>0</v>
      </c>
      <c r="P326" s="43">
        <f t="shared" si="212"/>
        <v>0</v>
      </c>
      <c r="Q326" s="128"/>
      <c r="R326" s="472">
        <v>0</v>
      </c>
      <c r="S326" s="43">
        <f t="shared" si="213"/>
        <v>0</v>
      </c>
      <c r="T326" s="43">
        <f t="shared" ref="T326" si="219">SUM(P326,M326,J326,E326,S326)</f>
        <v>35000</v>
      </c>
      <c r="U326" s="43">
        <v>0</v>
      </c>
      <c r="V326" s="43">
        <f t="shared" ref="V326" si="220">SUM(T326:U326)</f>
        <v>35000</v>
      </c>
    </row>
    <row r="327" spans="1:23" ht="25.2" hidden="1">
      <c r="B327" s="44" t="s">
        <v>770</v>
      </c>
      <c r="C327" s="7" t="s">
        <v>710</v>
      </c>
      <c r="D327" s="7" t="s">
        <v>282</v>
      </c>
      <c r="E327" s="43">
        <v>0</v>
      </c>
      <c r="F327" s="48" t="s">
        <v>237</v>
      </c>
      <c r="G327" s="43">
        <v>0</v>
      </c>
      <c r="H327" s="125"/>
      <c r="I327" s="43">
        <v>1</v>
      </c>
      <c r="J327" s="43">
        <f t="shared" si="216"/>
        <v>0</v>
      </c>
      <c r="K327" s="125"/>
      <c r="L327" s="43">
        <v>0</v>
      </c>
      <c r="M327" s="43">
        <f t="shared" si="211"/>
        <v>0</v>
      </c>
      <c r="N327" s="128"/>
      <c r="O327" s="43">
        <v>0</v>
      </c>
      <c r="P327" s="43">
        <f t="shared" si="212"/>
        <v>0</v>
      </c>
      <c r="Q327" s="128"/>
      <c r="R327" s="472">
        <v>0</v>
      </c>
      <c r="S327" s="43">
        <f t="shared" si="213"/>
        <v>0</v>
      </c>
      <c r="T327" s="43">
        <f t="shared" ref="T327" si="221">SUM(P327,M327,J327,E327,S327)</f>
        <v>0</v>
      </c>
      <c r="U327" s="43">
        <v>0</v>
      </c>
      <c r="V327" s="43">
        <f t="shared" ref="V327" si="222">SUM(T327:U327)</f>
        <v>0</v>
      </c>
    </row>
    <row r="328" spans="1:23" ht="24.9">
      <c r="A328" s="40"/>
      <c r="B328" s="40"/>
      <c r="C328" s="40"/>
      <c r="D328" s="40" t="s">
        <v>283</v>
      </c>
      <c r="E328" s="47">
        <f>SUM(E317:E327)</f>
        <v>242418.89</v>
      </c>
      <c r="F328" s="45"/>
      <c r="G328" s="47"/>
      <c r="H328" s="135"/>
      <c r="I328" s="47"/>
      <c r="J328" s="47">
        <f>SUM(J317:J327)</f>
        <v>380531</v>
      </c>
      <c r="K328" s="135"/>
      <c r="L328" s="47"/>
      <c r="M328" s="47">
        <f>SUM(M317:M327)</f>
        <v>90000</v>
      </c>
      <c r="N328" s="135"/>
      <c r="O328" s="47"/>
      <c r="P328" s="47">
        <f>SUM(P317:P327)</f>
        <v>65000</v>
      </c>
      <c r="Q328" s="135"/>
      <c r="R328" s="47"/>
      <c r="S328" s="47">
        <f>SUM(S317:S327)</f>
        <v>0</v>
      </c>
      <c r="T328" s="47">
        <f>SUM(T317:T327)</f>
        <v>777949.89</v>
      </c>
      <c r="U328" s="47">
        <f>SUM(U317:U327)</f>
        <v>0</v>
      </c>
      <c r="V328" s="47">
        <f>SUM(V317:V327)</f>
        <v>777949.89</v>
      </c>
    </row>
    <row r="329" spans="1:23">
      <c r="A329" s="104"/>
      <c r="B329" s="104"/>
      <c r="C329" s="104"/>
      <c r="D329" s="104"/>
      <c r="E329" s="62"/>
      <c r="F329" s="81"/>
      <c r="G329" s="62"/>
      <c r="H329" s="133"/>
      <c r="I329" s="62"/>
      <c r="J329" s="62"/>
      <c r="K329" s="133"/>
      <c r="L329" s="62"/>
      <c r="M329" s="62"/>
      <c r="N329" s="133"/>
      <c r="O329" s="62"/>
      <c r="P329" s="62"/>
      <c r="Q329" s="133"/>
      <c r="R329" s="62"/>
      <c r="S329" s="62"/>
      <c r="T329" s="62"/>
      <c r="U329" s="62"/>
      <c r="V329" s="62"/>
    </row>
    <row r="330" spans="1:23">
      <c r="A330" s="40"/>
      <c r="B330" s="40"/>
      <c r="C330" s="40"/>
      <c r="D330" s="40" t="s">
        <v>284</v>
      </c>
      <c r="E330" s="46"/>
      <c r="F330" s="45"/>
      <c r="G330" s="46"/>
      <c r="H330" s="132"/>
      <c r="I330" s="46"/>
      <c r="J330" s="46"/>
      <c r="K330" s="132"/>
      <c r="L330" s="46"/>
      <c r="M330" s="46"/>
      <c r="N330" s="132"/>
      <c r="O330" s="46"/>
      <c r="P330" s="46"/>
      <c r="Q330" s="132"/>
      <c r="R330" s="46"/>
      <c r="S330" s="46"/>
      <c r="T330" s="46"/>
      <c r="U330" s="46"/>
      <c r="V330" s="46"/>
    </row>
    <row r="331" spans="1:23">
      <c r="A331" s="7" t="s">
        <v>775</v>
      </c>
      <c r="B331" s="44">
        <v>82420</v>
      </c>
      <c r="C331" s="7" t="s">
        <v>710</v>
      </c>
      <c r="D331" s="7" t="s">
        <v>285</v>
      </c>
      <c r="E331" s="43">
        <v>56485.979999999996</v>
      </c>
      <c r="F331" s="7" t="s">
        <v>163</v>
      </c>
      <c r="G331" s="43">
        <f>E331</f>
        <v>56485.979999999996</v>
      </c>
      <c r="H331" s="125"/>
      <c r="I331" s="43">
        <v>0</v>
      </c>
      <c r="J331" s="43">
        <f t="shared" ref="J331:J336" si="223">I331*G331</f>
        <v>0</v>
      </c>
      <c r="K331" s="125"/>
      <c r="L331" s="43">
        <v>0</v>
      </c>
      <c r="M331" s="43">
        <f t="shared" ref="M331:M336" si="224">L331*G331</f>
        <v>0</v>
      </c>
      <c r="N331" s="125"/>
      <c r="O331" s="43">
        <v>0</v>
      </c>
      <c r="P331" s="43">
        <f t="shared" ref="P331:P336" si="225">O331*G331</f>
        <v>0</v>
      </c>
      <c r="Q331" s="125"/>
      <c r="R331" s="43">
        <v>0</v>
      </c>
      <c r="S331" s="43">
        <f t="shared" ref="S331:S336" si="226">R331*G331</f>
        <v>0</v>
      </c>
      <c r="T331" s="43">
        <f t="shared" ref="T331:T332" si="227">SUM(P331,M331,J331,E331,S331)</f>
        <v>56485.979999999996</v>
      </c>
      <c r="U331" s="43">
        <v>0</v>
      </c>
      <c r="V331" s="43">
        <f t="shared" ref="V331:V332" si="228">SUM(T331:U331)</f>
        <v>56485.979999999996</v>
      </c>
    </row>
    <row r="332" spans="1:23">
      <c r="A332" s="591" t="s">
        <v>780</v>
      </c>
      <c r="B332" s="44">
        <v>82420</v>
      </c>
      <c r="C332" s="7" t="s">
        <v>710</v>
      </c>
      <c r="D332" s="7" t="s">
        <v>286</v>
      </c>
      <c r="E332" s="43">
        <v>0</v>
      </c>
      <c r="F332" s="7" t="s">
        <v>287</v>
      </c>
      <c r="G332" s="43">
        <v>1380</v>
      </c>
      <c r="H332" s="125"/>
      <c r="I332" s="43">
        <v>125</v>
      </c>
      <c r="J332" s="43">
        <f t="shared" si="223"/>
        <v>172500</v>
      </c>
      <c r="K332" s="125"/>
      <c r="L332" s="43">
        <v>60</v>
      </c>
      <c r="M332" s="43">
        <f t="shared" si="224"/>
        <v>82800</v>
      </c>
      <c r="N332" s="125"/>
      <c r="O332" s="43">
        <v>0</v>
      </c>
      <c r="P332" s="43">
        <f t="shared" si="225"/>
        <v>0</v>
      </c>
      <c r="Q332" s="125"/>
      <c r="R332" s="43">
        <v>0</v>
      </c>
      <c r="S332" s="43">
        <f t="shared" si="226"/>
        <v>0</v>
      </c>
      <c r="T332" s="43">
        <f t="shared" si="227"/>
        <v>255300</v>
      </c>
      <c r="U332" s="43">
        <v>0</v>
      </c>
      <c r="V332" s="43">
        <f t="shared" si="228"/>
        <v>255300</v>
      </c>
    </row>
    <row r="333" spans="1:23">
      <c r="A333" s="591" t="s">
        <v>781</v>
      </c>
      <c r="B333" s="44">
        <v>82420</v>
      </c>
      <c r="C333" s="7" t="s">
        <v>710</v>
      </c>
      <c r="D333" s="7" t="s">
        <v>288</v>
      </c>
      <c r="E333" s="43">
        <v>0</v>
      </c>
      <c r="F333" s="7" t="s">
        <v>287</v>
      </c>
      <c r="G333" s="43">
        <v>1380</v>
      </c>
      <c r="H333" s="125"/>
      <c r="I333" s="43">
        <v>125</v>
      </c>
      <c r="J333" s="43">
        <f t="shared" si="223"/>
        <v>172500</v>
      </c>
      <c r="K333" s="125"/>
      <c r="L333" s="43">
        <v>60</v>
      </c>
      <c r="M333" s="43">
        <f t="shared" si="224"/>
        <v>82800</v>
      </c>
      <c r="N333" s="125"/>
      <c r="O333" s="43">
        <v>0</v>
      </c>
      <c r="P333" s="43">
        <f t="shared" si="225"/>
        <v>0</v>
      </c>
      <c r="Q333" s="125"/>
      <c r="R333" s="43">
        <v>0</v>
      </c>
      <c r="S333" s="43">
        <f t="shared" si="226"/>
        <v>0</v>
      </c>
      <c r="T333" s="43">
        <f t="shared" ref="T333" si="229">SUM(P333,M333,J333,E333,S333)</f>
        <v>255300</v>
      </c>
      <c r="U333" s="43">
        <v>0</v>
      </c>
      <c r="V333" s="43">
        <f t="shared" ref="V333" si="230">SUM(T333:U333)</f>
        <v>255300</v>
      </c>
    </row>
    <row r="334" spans="1:23" hidden="1">
      <c r="D334" s="7" t="s">
        <v>289</v>
      </c>
      <c r="E334" s="43">
        <v>0</v>
      </c>
      <c r="F334" s="7" t="s">
        <v>163</v>
      </c>
      <c r="G334" s="43">
        <v>400</v>
      </c>
      <c r="H334" s="125"/>
      <c r="I334" s="43">
        <v>0</v>
      </c>
      <c r="J334" s="43">
        <f t="shared" si="223"/>
        <v>0</v>
      </c>
      <c r="K334" s="125"/>
      <c r="L334" s="43">
        <v>0</v>
      </c>
      <c r="M334" s="43">
        <f t="shared" si="224"/>
        <v>0</v>
      </c>
      <c r="N334" s="125"/>
      <c r="O334" s="43">
        <v>0</v>
      </c>
      <c r="P334" s="43">
        <f t="shared" si="225"/>
        <v>0</v>
      </c>
      <c r="Q334" s="125"/>
      <c r="R334" s="43">
        <v>0</v>
      </c>
      <c r="S334" s="43">
        <f t="shared" si="226"/>
        <v>0</v>
      </c>
      <c r="T334" s="43">
        <f t="shared" ref="T334:T335" si="231">SUM(P334,M334,J334,E334,S334)</f>
        <v>0</v>
      </c>
      <c r="U334" s="43">
        <v>0</v>
      </c>
      <c r="V334" s="43">
        <f t="shared" ref="V334:V335" si="232">SUM(T334:U334)</f>
        <v>0</v>
      </c>
    </row>
    <row r="335" spans="1:23" ht="25.2">
      <c r="A335" s="591" t="s">
        <v>783</v>
      </c>
      <c r="B335" s="44">
        <v>85300</v>
      </c>
      <c r="C335" s="7" t="s">
        <v>710</v>
      </c>
      <c r="D335" s="7" t="s">
        <v>290</v>
      </c>
      <c r="E335" s="43">
        <v>0</v>
      </c>
      <c r="F335" s="7" t="s">
        <v>163</v>
      </c>
      <c r="G335" s="43">
        <v>10000</v>
      </c>
      <c r="H335" s="125"/>
      <c r="I335" s="43">
        <v>1</v>
      </c>
      <c r="J335" s="43">
        <f t="shared" si="223"/>
        <v>10000</v>
      </c>
      <c r="K335" s="125"/>
      <c r="L335" s="43">
        <v>0</v>
      </c>
      <c r="M335" s="43">
        <f t="shared" si="224"/>
        <v>0</v>
      </c>
      <c r="N335" s="125"/>
      <c r="O335" s="43">
        <v>0</v>
      </c>
      <c r="P335" s="43">
        <f t="shared" si="225"/>
        <v>0</v>
      </c>
      <c r="Q335" s="125"/>
      <c r="R335" s="43">
        <v>0</v>
      </c>
      <c r="S335" s="43">
        <f t="shared" si="226"/>
        <v>0</v>
      </c>
      <c r="T335" s="43">
        <f t="shared" si="231"/>
        <v>10000</v>
      </c>
      <c r="U335" s="43">
        <v>0</v>
      </c>
      <c r="V335" s="43">
        <f t="shared" si="232"/>
        <v>10000</v>
      </c>
    </row>
    <row r="336" spans="1:23">
      <c r="A336" s="591" t="s">
        <v>782</v>
      </c>
      <c r="B336" s="44">
        <v>82420</v>
      </c>
      <c r="C336" s="7" t="s">
        <v>710</v>
      </c>
      <c r="D336" s="7" t="s">
        <v>291</v>
      </c>
      <c r="E336" s="43">
        <v>0</v>
      </c>
      <c r="F336" s="7" t="s">
        <v>163</v>
      </c>
      <c r="G336" s="43">
        <v>2475</v>
      </c>
      <c r="H336" s="125"/>
      <c r="I336" s="43">
        <v>20</v>
      </c>
      <c r="J336" s="43">
        <f t="shared" si="223"/>
        <v>49500</v>
      </c>
      <c r="K336" s="125"/>
      <c r="L336" s="43">
        <v>20</v>
      </c>
      <c r="M336" s="43">
        <f t="shared" si="224"/>
        <v>49500</v>
      </c>
      <c r="N336" s="125"/>
      <c r="O336" s="43">
        <v>20</v>
      </c>
      <c r="P336" s="43">
        <f t="shared" si="225"/>
        <v>49500</v>
      </c>
      <c r="Q336" s="125"/>
      <c r="R336" s="43">
        <v>0</v>
      </c>
      <c r="S336" s="43">
        <f t="shared" si="226"/>
        <v>0</v>
      </c>
      <c r="T336" s="43">
        <f>SUM(P336,M336,J336,E336,S336)</f>
        <v>148500</v>
      </c>
      <c r="U336" s="43">
        <v>0</v>
      </c>
      <c r="V336" s="43">
        <f>SUM(T336:U336)</f>
        <v>148500</v>
      </c>
      <c r="W336" s="7"/>
    </row>
    <row r="337" spans="1:23">
      <c r="A337" s="40"/>
      <c r="B337" s="40"/>
      <c r="C337" s="40"/>
      <c r="D337" s="40" t="s">
        <v>292</v>
      </c>
      <c r="E337" s="47">
        <f>SUM(E331:E336)</f>
        <v>56485.979999999996</v>
      </c>
      <c r="F337" s="45"/>
      <c r="G337" s="47"/>
      <c r="H337" s="135"/>
      <c r="I337" s="47"/>
      <c r="J337" s="47">
        <f>SUM(J331:J336)</f>
        <v>404500</v>
      </c>
      <c r="K337" s="135"/>
      <c r="L337" s="47"/>
      <c r="M337" s="47">
        <f>SUM(M331:M336)</f>
        <v>215100</v>
      </c>
      <c r="N337" s="135"/>
      <c r="O337" s="47"/>
      <c r="P337" s="47">
        <f>SUM(P331:P336)</f>
        <v>49500</v>
      </c>
      <c r="Q337" s="135"/>
      <c r="R337" s="47"/>
      <c r="S337" s="47">
        <f>SUM(S331:S336)</f>
        <v>0</v>
      </c>
      <c r="T337" s="47">
        <f>SUM(T331:T336)</f>
        <v>725585.98</v>
      </c>
      <c r="U337" s="47">
        <f>SUM(U331:U336)</f>
        <v>0</v>
      </c>
      <c r="V337" s="47">
        <f>SUM(V331:V336)</f>
        <v>725585.98</v>
      </c>
    </row>
    <row r="338" spans="1:23">
      <c r="A338" s="104"/>
      <c r="B338" s="104"/>
      <c r="C338" s="104"/>
      <c r="D338" s="104"/>
      <c r="E338" s="62"/>
      <c r="F338" s="470"/>
      <c r="G338" s="62"/>
      <c r="H338" s="133"/>
      <c r="I338" s="62"/>
      <c r="J338" s="62"/>
      <c r="K338" s="133"/>
      <c r="L338" s="62"/>
      <c r="M338" s="62"/>
      <c r="N338" s="133"/>
      <c r="O338" s="62"/>
      <c r="P338" s="62"/>
      <c r="Q338" s="133"/>
      <c r="R338" s="62"/>
      <c r="S338" s="62"/>
      <c r="T338" s="62"/>
      <c r="U338" s="62"/>
      <c r="V338" s="62"/>
    </row>
    <row r="339" spans="1:23">
      <c r="A339" s="40"/>
      <c r="B339" s="40"/>
      <c r="C339" s="40"/>
      <c r="D339" s="40" t="s">
        <v>293</v>
      </c>
      <c r="E339" s="46"/>
      <c r="F339" s="45"/>
      <c r="G339" s="46"/>
      <c r="H339" s="132"/>
      <c r="I339" s="46"/>
      <c r="J339" s="46"/>
      <c r="K339" s="132"/>
      <c r="L339" s="46"/>
      <c r="M339" s="46"/>
      <c r="N339" s="132"/>
      <c r="O339" s="46"/>
      <c r="P339" s="46"/>
      <c r="Q339" s="132"/>
      <c r="R339" s="46"/>
      <c r="S339" s="46"/>
      <c r="T339" s="46"/>
      <c r="U339" s="46"/>
      <c r="V339" s="46"/>
    </row>
    <row r="340" spans="1:23">
      <c r="A340" s="7" t="s">
        <v>776</v>
      </c>
      <c r="B340" s="44">
        <v>86000</v>
      </c>
      <c r="C340" s="7" t="s">
        <v>710</v>
      </c>
      <c r="D340" s="7" t="s">
        <v>294</v>
      </c>
      <c r="E340" s="43">
        <v>125497.34</v>
      </c>
      <c r="F340" s="7" t="s">
        <v>95</v>
      </c>
      <c r="G340" s="43">
        <v>3000</v>
      </c>
      <c r="H340" s="125"/>
      <c r="I340" s="43">
        <v>12</v>
      </c>
      <c r="J340" s="43">
        <f>I340*G340</f>
        <v>36000</v>
      </c>
      <c r="K340" s="125"/>
      <c r="L340" s="43">
        <v>12</v>
      </c>
      <c r="M340" s="43">
        <f>L340*G340*$E$7</f>
        <v>37440</v>
      </c>
      <c r="N340" s="125"/>
      <c r="O340" s="43">
        <v>12</v>
      </c>
      <c r="P340" s="43">
        <f>O340*G340*$E$7*$E$7</f>
        <v>38937.599999999999</v>
      </c>
      <c r="Q340" s="125"/>
      <c r="R340" s="43">
        <v>0</v>
      </c>
      <c r="S340" s="43">
        <f>R340*G340*$E$7*$E$7*$E$7</f>
        <v>0</v>
      </c>
      <c r="T340" s="43">
        <f t="shared" ref="T340:T343" si="233">SUM(P340,M340,J340,E340,S340)</f>
        <v>237874.94</v>
      </c>
      <c r="U340" s="43">
        <v>0</v>
      </c>
      <c r="V340" s="43">
        <f t="shared" ref="V340:V343" si="234">SUM(T340:U340)</f>
        <v>237874.94</v>
      </c>
    </row>
    <row r="341" spans="1:23">
      <c r="A341" s="7" t="s">
        <v>776</v>
      </c>
      <c r="B341" s="44">
        <v>86000</v>
      </c>
      <c r="C341" s="7" t="s">
        <v>710</v>
      </c>
      <c r="D341" s="7" t="s">
        <v>243</v>
      </c>
      <c r="E341" s="43">
        <v>172784.89999999997</v>
      </c>
      <c r="F341" s="7" t="s">
        <v>144</v>
      </c>
      <c r="G341" s="43">
        <v>650</v>
      </c>
      <c r="H341" s="128"/>
      <c r="I341" s="43">
        <f>12*6</f>
        <v>72</v>
      </c>
      <c r="J341" s="43">
        <f t="shared" ref="J341:J342" si="235">I341*G341</f>
        <v>46800</v>
      </c>
      <c r="K341" s="128"/>
      <c r="L341" s="43">
        <f>12*6</f>
        <v>72</v>
      </c>
      <c r="M341" s="43">
        <f t="shared" ref="M341" si="236">L341*G341*$E$7</f>
        <v>48672</v>
      </c>
      <c r="N341" s="128"/>
      <c r="O341" s="43">
        <f>12*6</f>
        <v>72</v>
      </c>
      <c r="P341" s="43">
        <f t="shared" ref="P341:P342" si="237">O341*G341*$E$7*$E$7</f>
        <v>50618.880000000005</v>
      </c>
      <c r="Q341" s="128"/>
      <c r="R341" s="43">
        <f>6*1</f>
        <v>6</v>
      </c>
      <c r="S341" s="43">
        <f t="shared" ref="S341:S342" si="238">R341*G341*$E$7*$E$7*$E$7</f>
        <v>4386.9696000000004</v>
      </c>
      <c r="T341" s="43">
        <f t="shared" si="233"/>
        <v>323262.74959999998</v>
      </c>
      <c r="U341" s="43">
        <v>0</v>
      </c>
      <c r="V341" s="43">
        <f t="shared" si="234"/>
        <v>323262.74959999998</v>
      </c>
    </row>
    <row r="342" spans="1:23" ht="25.2">
      <c r="A342" s="7" t="s">
        <v>776</v>
      </c>
      <c r="B342" s="44" t="s">
        <v>718</v>
      </c>
      <c r="C342" s="7" t="s">
        <v>710</v>
      </c>
      <c r="D342" s="7" t="s">
        <v>244</v>
      </c>
      <c r="E342" s="43">
        <v>50803.23</v>
      </c>
      <c r="F342" s="7" t="s">
        <v>146</v>
      </c>
      <c r="G342" s="43">
        <f>77+80</f>
        <v>157</v>
      </c>
      <c r="H342" s="128"/>
      <c r="I342" s="43">
        <f>3*I341</f>
        <v>216</v>
      </c>
      <c r="J342" s="43">
        <f t="shared" si="235"/>
        <v>33912</v>
      </c>
      <c r="K342" s="128"/>
      <c r="L342" s="43">
        <f>3*L341</f>
        <v>216</v>
      </c>
      <c r="M342" s="43">
        <f>L342*G342*$E$7</f>
        <v>35268.480000000003</v>
      </c>
      <c r="N342" s="128"/>
      <c r="O342" s="43">
        <f>3*O341</f>
        <v>216</v>
      </c>
      <c r="P342" s="43">
        <f t="shared" si="237"/>
        <v>36679.219200000007</v>
      </c>
      <c r="Q342" s="128"/>
      <c r="R342" s="43">
        <f>3*R341</f>
        <v>18</v>
      </c>
      <c r="S342" s="43">
        <f t="shared" si="238"/>
        <v>3178.8656639999999</v>
      </c>
      <c r="T342" s="43">
        <f t="shared" si="233"/>
        <v>159841.79486400002</v>
      </c>
      <c r="U342" s="43">
        <v>0</v>
      </c>
      <c r="V342" s="43">
        <f t="shared" si="234"/>
        <v>159841.79486400002</v>
      </c>
    </row>
    <row r="343" spans="1:23">
      <c r="A343" s="591" t="s">
        <v>785</v>
      </c>
      <c r="B343" s="44">
        <v>86000</v>
      </c>
      <c r="C343" s="7" t="s">
        <v>710</v>
      </c>
      <c r="D343" s="7" t="s">
        <v>295</v>
      </c>
      <c r="E343" s="43">
        <v>0</v>
      </c>
      <c r="F343" s="7" t="s">
        <v>246</v>
      </c>
      <c r="G343" s="43">
        <v>250</v>
      </c>
      <c r="H343" s="125"/>
      <c r="I343" s="43">
        <f>I356</f>
        <v>45</v>
      </c>
      <c r="J343" s="43">
        <f>I343*G343</f>
        <v>11250</v>
      </c>
      <c r="K343" s="125"/>
      <c r="L343" s="43">
        <f>L356</f>
        <v>45</v>
      </c>
      <c r="M343" s="43">
        <f>L343*G343*$E$7</f>
        <v>11700</v>
      </c>
      <c r="N343" s="125"/>
      <c r="O343" s="43">
        <f>O356</f>
        <v>45</v>
      </c>
      <c r="P343" s="43">
        <f>O343*G343*$E$7*$E$7</f>
        <v>12168</v>
      </c>
      <c r="Q343" s="125"/>
      <c r="R343" s="43">
        <f>R356</f>
        <v>0</v>
      </c>
      <c r="S343" s="43">
        <f>R343*G343*$E$7*$E$7*$E$7</f>
        <v>0</v>
      </c>
      <c r="T343" s="43">
        <f t="shared" si="233"/>
        <v>35118</v>
      </c>
      <c r="U343" s="43">
        <v>0</v>
      </c>
      <c r="V343" s="43">
        <f t="shared" si="234"/>
        <v>35118</v>
      </c>
    </row>
    <row r="344" spans="1:23" ht="25.2">
      <c r="A344" s="591" t="s">
        <v>785</v>
      </c>
      <c r="B344" s="44">
        <v>86000</v>
      </c>
      <c r="C344" s="7" t="s">
        <v>710</v>
      </c>
      <c r="D344" s="7" t="s">
        <v>296</v>
      </c>
      <c r="E344" s="43">
        <v>0</v>
      </c>
      <c r="F344" s="7" t="s">
        <v>246</v>
      </c>
      <c r="G344" s="43">
        <v>250</v>
      </c>
      <c r="H344" s="125"/>
      <c r="I344" s="43">
        <f>I357</f>
        <v>45</v>
      </c>
      <c r="J344" s="43">
        <f>I344*G344</f>
        <v>11250</v>
      </c>
      <c r="K344" s="125"/>
      <c r="L344" s="43">
        <f>L357</f>
        <v>45</v>
      </c>
      <c r="M344" s="43">
        <f>L344*G344*$E$7</f>
        <v>11700</v>
      </c>
      <c r="N344" s="125"/>
      <c r="O344" s="43">
        <f>O357</f>
        <v>45</v>
      </c>
      <c r="P344" s="43">
        <f>O344*G344*$E$7*$E$7</f>
        <v>12168</v>
      </c>
      <c r="Q344" s="125"/>
      <c r="R344" s="43">
        <f>R357</f>
        <v>0</v>
      </c>
      <c r="S344" s="43">
        <f>R344*G344*$E$7*$E$7*$E$7</f>
        <v>0</v>
      </c>
      <c r="T344" s="43">
        <f t="shared" ref="T344" si="239">SUM(P344,M344,J344,E344,S344)</f>
        <v>35118</v>
      </c>
      <c r="U344" s="43">
        <v>0</v>
      </c>
      <c r="V344" s="43">
        <f t="shared" ref="V344" si="240">SUM(T344:U344)</f>
        <v>35118</v>
      </c>
    </row>
    <row r="345" spans="1:23" ht="37.799999999999997">
      <c r="A345" s="591" t="s">
        <v>786</v>
      </c>
      <c r="B345" s="44" t="s">
        <v>784</v>
      </c>
      <c r="C345" s="7" t="s">
        <v>710</v>
      </c>
      <c r="D345" s="7" t="s">
        <v>297</v>
      </c>
      <c r="E345" s="43">
        <v>0</v>
      </c>
      <c r="F345" s="7" t="s">
        <v>246</v>
      </c>
      <c r="G345" s="43">
        <f>(450*3)+(30*30*3)+150</f>
        <v>4200</v>
      </c>
      <c r="H345" s="125"/>
      <c r="I345" s="43">
        <v>12</v>
      </c>
      <c r="J345" s="43">
        <f>I345*G345</f>
        <v>50400</v>
      </c>
      <c r="K345" s="125"/>
      <c r="L345" s="43">
        <v>13</v>
      </c>
      <c r="M345" s="43">
        <f>L345*G345*$E$7</f>
        <v>56784</v>
      </c>
      <c r="N345" s="125"/>
      <c r="O345" s="43">
        <v>0</v>
      </c>
      <c r="P345" s="43">
        <f>O345*G345*$E$7*$E$7</f>
        <v>0</v>
      </c>
      <c r="Q345" s="125"/>
      <c r="R345" s="43">
        <v>0</v>
      </c>
      <c r="S345" s="43">
        <f>R345*G345*$E$7*$E$7*$E$7</f>
        <v>0</v>
      </c>
      <c r="T345" s="43">
        <f t="shared" ref="T345" si="241">SUM(P345,M345,J345,E345,S345)</f>
        <v>107184</v>
      </c>
      <c r="U345" s="43">
        <v>0</v>
      </c>
      <c r="V345" s="43">
        <f t="shared" ref="V345" si="242">SUM(T345:U345)</f>
        <v>107184</v>
      </c>
    </row>
    <row r="346" spans="1:23">
      <c r="A346" s="40"/>
      <c r="B346" s="40"/>
      <c r="C346" s="40"/>
      <c r="D346" s="40" t="s">
        <v>298</v>
      </c>
      <c r="E346" s="47">
        <f>SUM(E340:E345)</f>
        <v>349085.47</v>
      </c>
      <c r="F346" s="45"/>
      <c r="G346" s="47"/>
      <c r="H346" s="132"/>
      <c r="I346" s="47"/>
      <c r="J346" s="47">
        <f>SUM(J340:J345)</f>
        <v>189612</v>
      </c>
      <c r="K346" s="132"/>
      <c r="L346" s="47"/>
      <c r="M346" s="47">
        <f>SUM(M340:M345)</f>
        <v>201564.48</v>
      </c>
      <c r="N346" s="132"/>
      <c r="O346" s="47"/>
      <c r="P346" s="47">
        <f>SUM(P340:P345)</f>
        <v>150571.69920000003</v>
      </c>
      <c r="Q346" s="132"/>
      <c r="R346" s="47"/>
      <c r="S346" s="47">
        <f>SUM(S340:S345)</f>
        <v>7565.8352640000003</v>
      </c>
      <c r="T346" s="47">
        <f>SUM(T340:T345)</f>
        <v>898399.48446399998</v>
      </c>
      <c r="U346" s="47">
        <f>SUM(U340:U345)</f>
        <v>0</v>
      </c>
      <c r="V346" s="47">
        <f>SUM(V340:V345)</f>
        <v>898399.48446399998</v>
      </c>
    </row>
    <row r="347" spans="1:23">
      <c r="A347" s="104"/>
      <c r="B347" s="104"/>
      <c r="C347" s="104"/>
      <c r="D347" s="104"/>
      <c r="E347" s="62"/>
      <c r="F347" s="81"/>
      <c r="G347" s="62"/>
      <c r="H347" s="133"/>
      <c r="I347" s="62"/>
      <c r="J347" s="62"/>
      <c r="K347" s="133"/>
      <c r="L347" s="62"/>
      <c r="M347" s="62"/>
      <c r="N347" s="133"/>
      <c r="O347" s="62"/>
      <c r="P347" s="62"/>
      <c r="Q347" s="133"/>
      <c r="R347" s="62"/>
      <c r="S347" s="62"/>
      <c r="T347" s="62"/>
      <c r="U347" s="62"/>
      <c r="V347" s="62"/>
    </row>
    <row r="348" spans="1:23">
      <c r="A348" s="40"/>
      <c r="B348" s="40"/>
      <c r="C348" s="40"/>
      <c r="D348" s="40" t="s">
        <v>299</v>
      </c>
      <c r="E348" s="46"/>
      <c r="F348" s="45"/>
      <c r="G348" s="46"/>
      <c r="H348" s="132"/>
      <c r="I348" s="46"/>
      <c r="J348" s="46"/>
      <c r="K348" s="132"/>
      <c r="L348" s="46"/>
      <c r="M348" s="46"/>
      <c r="N348" s="132"/>
      <c r="O348" s="46"/>
      <c r="P348" s="46"/>
      <c r="Q348" s="132"/>
      <c r="R348" s="46"/>
      <c r="S348" s="46"/>
      <c r="T348" s="46"/>
      <c r="U348" s="46"/>
      <c r="V348" s="46"/>
    </row>
    <row r="349" spans="1:23">
      <c r="A349" s="91"/>
      <c r="B349" s="610"/>
      <c r="C349" s="91"/>
      <c r="D349" s="91" t="s">
        <v>249</v>
      </c>
      <c r="E349" s="91"/>
      <c r="F349" s="91"/>
      <c r="G349" s="91"/>
      <c r="H349" s="134"/>
      <c r="I349" s="91"/>
      <c r="J349" s="91"/>
      <c r="K349" s="134"/>
      <c r="L349" s="91"/>
      <c r="M349" s="91"/>
      <c r="N349" s="134"/>
      <c r="O349" s="91"/>
      <c r="P349" s="91"/>
      <c r="Q349" s="134"/>
      <c r="R349" s="91"/>
      <c r="S349" s="91"/>
      <c r="T349" s="91"/>
      <c r="U349" s="91"/>
      <c r="V349" s="91"/>
      <c r="W349" s="7"/>
    </row>
    <row r="350" spans="1:23">
      <c r="A350" s="7" t="s">
        <v>778</v>
      </c>
      <c r="B350" s="48">
        <v>89000</v>
      </c>
      <c r="C350" s="7" t="s">
        <v>710</v>
      </c>
      <c r="D350" s="7" t="s">
        <v>300</v>
      </c>
      <c r="E350" s="43">
        <v>25000</v>
      </c>
      <c r="F350" s="7" t="s">
        <v>251</v>
      </c>
      <c r="G350" s="43">
        <v>15000</v>
      </c>
      <c r="H350" s="125"/>
      <c r="I350" s="43">
        <v>0</v>
      </c>
      <c r="J350" s="43">
        <f>I350*G350</f>
        <v>0</v>
      </c>
      <c r="K350" s="125"/>
      <c r="L350" s="43">
        <v>0</v>
      </c>
      <c r="M350" s="43">
        <f>L350*G350</f>
        <v>0</v>
      </c>
      <c r="N350" s="125"/>
      <c r="O350" s="43">
        <v>0</v>
      </c>
      <c r="P350" s="43">
        <f>O350*G350</f>
        <v>0</v>
      </c>
      <c r="Q350" s="125"/>
      <c r="R350" s="43">
        <v>0</v>
      </c>
      <c r="S350" s="43">
        <f>R350*G350</f>
        <v>0</v>
      </c>
      <c r="T350" s="43">
        <f t="shared" ref="T350:T354" si="243">SUM(P350,M350,J350,E350,S350)</f>
        <v>25000</v>
      </c>
      <c r="U350" s="43">
        <v>0</v>
      </c>
      <c r="V350" s="43">
        <f t="shared" ref="V350:V354" si="244">SUM(T350:U350)</f>
        <v>25000</v>
      </c>
      <c r="W350" s="7"/>
    </row>
    <row r="351" spans="1:23">
      <c r="A351" s="591" t="s">
        <v>787</v>
      </c>
      <c r="B351" s="48">
        <v>89000</v>
      </c>
      <c r="C351" s="7" t="s">
        <v>710</v>
      </c>
      <c r="D351" s="7" t="s">
        <v>301</v>
      </c>
      <c r="E351" s="43">
        <v>0</v>
      </c>
      <c r="F351" s="7" t="s">
        <v>251</v>
      </c>
      <c r="G351" s="43">
        <v>9000</v>
      </c>
      <c r="H351" s="125"/>
      <c r="I351" s="43">
        <v>28</v>
      </c>
      <c r="J351" s="43">
        <f>G351*I351</f>
        <v>252000</v>
      </c>
      <c r="K351" s="125"/>
      <c r="L351" s="43">
        <v>0</v>
      </c>
      <c r="M351" s="43">
        <f>G351*L351</f>
        <v>0</v>
      </c>
      <c r="N351" s="125"/>
      <c r="O351" s="43">
        <v>0</v>
      </c>
      <c r="P351" s="43">
        <f>G351*O351</f>
        <v>0</v>
      </c>
      <c r="Q351" s="125"/>
      <c r="R351" s="43">
        <v>0</v>
      </c>
      <c r="S351" s="43">
        <f>G351*R351</f>
        <v>0</v>
      </c>
      <c r="T351" s="43">
        <f t="shared" ref="T351:T353" si="245">SUM(P351,M351,J351,E351,S351)</f>
        <v>252000</v>
      </c>
      <c r="U351" s="43">
        <v>0</v>
      </c>
      <c r="V351" s="43">
        <f t="shared" ref="V351:V353" si="246">SUM(T351:U351)</f>
        <v>252000</v>
      </c>
    </row>
    <row r="352" spans="1:23" ht="25.2" hidden="1">
      <c r="A352" s="591"/>
      <c r="B352" s="48"/>
      <c r="D352" s="7" t="s">
        <v>302</v>
      </c>
      <c r="E352" s="43">
        <v>0</v>
      </c>
      <c r="F352" s="7" t="s">
        <v>251</v>
      </c>
      <c r="G352" s="43">
        <v>20000</v>
      </c>
      <c r="H352" s="125"/>
      <c r="I352" s="43">
        <v>0</v>
      </c>
      <c r="J352" s="43">
        <f>G352*I352</f>
        <v>0</v>
      </c>
      <c r="K352" s="125"/>
      <c r="L352" s="43">
        <v>0</v>
      </c>
      <c r="M352" s="43">
        <f>G352*L352</f>
        <v>0</v>
      </c>
      <c r="N352" s="125"/>
      <c r="O352" s="43">
        <v>0</v>
      </c>
      <c r="P352" s="43">
        <f>G352*O352</f>
        <v>0</v>
      </c>
      <c r="Q352" s="125"/>
      <c r="R352" s="43">
        <v>0</v>
      </c>
      <c r="S352" s="43">
        <f>G352*R352</f>
        <v>0</v>
      </c>
      <c r="T352" s="43">
        <f t="shared" si="245"/>
        <v>0</v>
      </c>
      <c r="U352" s="43">
        <v>0</v>
      </c>
      <c r="V352" s="43">
        <f t="shared" si="246"/>
        <v>0</v>
      </c>
    </row>
    <row r="353" spans="1:23" ht="25.2" hidden="1">
      <c r="A353" s="591"/>
      <c r="B353" s="48"/>
      <c r="D353" s="7" t="s">
        <v>303</v>
      </c>
      <c r="E353" s="43">
        <v>0</v>
      </c>
      <c r="F353" s="7" t="s">
        <v>251</v>
      </c>
      <c r="G353" s="43">
        <v>10000</v>
      </c>
      <c r="H353" s="125"/>
      <c r="I353" s="43">
        <v>0</v>
      </c>
      <c r="J353" s="43">
        <f>G353*I353</f>
        <v>0</v>
      </c>
      <c r="K353" s="125"/>
      <c r="L353" s="43">
        <v>0</v>
      </c>
      <c r="M353" s="43">
        <f>G353*L353</f>
        <v>0</v>
      </c>
      <c r="N353" s="125"/>
      <c r="O353" s="43">
        <v>0</v>
      </c>
      <c r="P353" s="43">
        <f>G353*O353</f>
        <v>0</v>
      </c>
      <c r="Q353" s="125"/>
      <c r="R353" s="43">
        <v>0</v>
      </c>
      <c r="S353" s="43">
        <f>G353*R353</f>
        <v>0</v>
      </c>
      <c r="T353" s="43">
        <f t="shared" si="245"/>
        <v>0</v>
      </c>
      <c r="U353" s="43">
        <v>0</v>
      </c>
      <c r="V353" s="43">
        <f t="shared" si="246"/>
        <v>0</v>
      </c>
    </row>
    <row r="354" spans="1:23">
      <c r="A354" s="591" t="s">
        <v>788</v>
      </c>
      <c r="B354" s="48">
        <v>89000</v>
      </c>
      <c r="C354" s="7" t="s">
        <v>710</v>
      </c>
      <c r="D354" s="7" t="s">
        <v>304</v>
      </c>
      <c r="E354" s="43">
        <v>0</v>
      </c>
      <c r="F354" s="7" t="s">
        <v>251</v>
      </c>
      <c r="G354" s="43">
        <v>10000</v>
      </c>
      <c r="H354" s="125"/>
      <c r="I354" s="43">
        <v>1</v>
      </c>
      <c r="J354" s="43">
        <f>G354*I354</f>
        <v>10000</v>
      </c>
      <c r="K354" s="125"/>
      <c r="L354" s="43">
        <v>1</v>
      </c>
      <c r="M354" s="43">
        <f>G354*L354</f>
        <v>10000</v>
      </c>
      <c r="N354" s="125"/>
      <c r="O354" s="43">
        <v>1</v>
      </c>
      <c r="P354" s="43">
        <f>G354*O354</f>
        <v>10000</v>
      </c>
      <c r="Q354" s="125"/>
      <c r="R354" s="43">
        <v>0</v>
      </c>
      <c r="S354" s="43">
        <f>G354*R354</f>
        <v>0</v>
      </c>
      <c r="T354" s="43">
        <f t="shared" si="243"/>
        <v>30000</v>
      </c>
      <c r="U354" s="43">
        <v>0</v>
      </c>
      <c r="V354" s="43">
        <f t="shared" si="244"/>
        <v>30000</v>
      </c>
      <c r="W354" s="109" t="s">
        <v>305</v>
      </c>
    </row>
    <row r="355" spans="1:23">
      <c r="A355" s="91"/>
      <c r="B355" s="610"/>
      <c r="C355" s="91"/>
      <c r="D355" s="91" t="s">
        <v>306</v>
      </c>
      <c r="E355" s="91"/>
      <c r="F355" s="91"/>
      <c r="G355" s="91"/>
      <c r="H355" s="134"/>
      <c r="I355" s="91"/>
      <c r="J355" s="91"/>
      <c r="K355" s="134"/>
      <c r="L355" s="91"/>
      <c r="M355" s="91"/>
      <c r="N355" s="134"/>
      <c r="O355" s="91"/>
      <c r="P355" s="91"/>
      <c r="Q355" s="134"/>
      <c r="R355" s="91"/>
      <c r="S355" s="91"/>
      <c r="T355" s="91"/>
      <c r="U355" s="91"/>
      <c r="V355" s="91"/>
      <c r="W355" s="7"/>
    </row>
    <row r="356" spans="1:23">
      <c r="A356" s="591" t="s">
        <v>789</v>
      </c>
      <c r="B356" s="48">
        <v>87000</v>
      </c>
      <c r="C356" s="7" t="s">
        <v>710</v>
      </c>
      <c r="D356" s="7" t="s">
        <v>307</v>
      </c>
      <c r="E356" s="43">
        <v>0</v>
      </c>
      <c r="F356" s="7" t="s">
        <v>246</v>
      </c>
      <c r="G356" s="43">
        <v>280</v>
      </c>
      <c r="H356" s="125"/>
      <c r="I356" s="43">
        <v>45</v>
      </c>
      <c r="J356" s="43">
        <f>I356*G356</f>
        <v>12600</v>
      </c>
      <c r="K356" s="125"/>
      <c r="L356" s="43">
        <v>45</v>
      </c>
      <c r="M356" s="43">
        <f>L356*G356</f>
        <v>12600</v>
      </c>
      <c r="N356" s="125"/>
      <c r="O356" s="43">
        <v>45</v>
      </c>
      <c r="P356" s="43">
        <f>O356*G356</f>
        <v>12600</v>
      </c>
      <c r="Q356" s="125"/>
      <c r="R356" s="43">
        <v>0</v>
      </c>
      <c r="S356" s="43">
        <f>R356*G356</f>
        <v>0</v>
      </c>
      <c r="T356" s="43">
        <f t="shared" ref="T356" si="247">SUM(P356,M356,J356,E356,S356)</f>
        <v>37800</v>
      </c>
      <c r="U356" s="43">
        <v>0</v>
      </c>
      <c r="V356" s="43">
        <f t="shared" ref="V356" si="248">SUM(T356:U356)</f>
        <v>37800</v>
      </c>
      <c r="W356" s="7"/>
    </row>
    <row r="357" spans="1:23" ht="25.2">
      <c r="A357" s="591" t="s">
        <v>790</v>
      </c>
      <c r="B357" s="48">
        <v>87000</v>
      </c>
      <c r="C357" s="7" t="s">
        <v>710</v>
      </c>
      <c r="D357" s="7" t="s">
        <v>308</v>
      </c>
      <c r="E357" s="43">
        <v>0</v>
      </c>
      <c r="F357" s="7" t="s">
        <v>246</v>
      </c>
      <c r="G357" s="43">
        <v>280</v>
      </c>
      <c r="H357" s="125"/>
      <c r="I357" s="43">
        <v>45</v>
      </c>
      <c r="J357" s="43">
        <f>I357*G357</f>
        <v>12600</v>
      </c>
      <c r="K357" s="125"/>
      <c r="L357" s="43">
        <v>45</v>
      </c>
      <c r="M357" s="43">
        <f>L357*G357</f>
        <v>12600</v>
      </c>
      <c r="N357" s="125"/>
      <c r="O357" s="43">
        <v>45</v>
      </c>
      <c r="P357" s="43">
        <f>O357*G357</f>
        <v>12600</v>
      </c>
      <c r="Q357" s="125"/>
      <c r="R357" s="43">
        <v>0</v>
      </c>
      <c r="S357" s="43">
        <f>R357*G357</f>
        <v>0</v>
      </c>
      <c r="T357" s="43">
        <f t="shared" ref="T357" si="249">SUM(P357,M357,J357,E357,S357)</f>
        <v>37800</v>
      </c>
      <c r="U357" s="43">
        <v>0</v>
      </c>
      <c r="V357" s="43">
        <f t="shared" ref="V357" si="250">SUM(T357:U357)</f>
        <v>37800</v>
      </c>
      <c r="W357" s="7"/>
    </row>
    <row r="358" spans="1:23">
      <c r="A358" s="40"/>
      <c r="B358" s="611"/>
      <c r="C358" s="40"/>
      <c r="D358" s="40" t="s">
        <v>309</v>
      </c>
      <c r="E358" s="47">
        <f>SUM(E350:E357)</f>
        <v>25000</v>
      </c>
      <c r="F358" s="45"/>
      <c r="G358" s="47"/>
      <c r="H358" s="135"/>
      <c r="I358" s="47"/>
      <c r="J358" s="47">
        <f>SUM(J350:J357)</f>
        <v>287200</v>
      </c>
      <c r="K358" s="135"/>
      <c r="L358" s="47"/>
      <c r="M358" s="47">
        <f>SUM(M350:M357)</f>
        <v>35200</v>
      </c>
      <c r="N358" s="135"/>
      <c r="O358" s="47"/>
      <c r="P358" s="47">
        <f>SUM(P350:P357)</f>
        <v>35200</v>
      </c>
      <c r="Q358" s="135"/>
      <c r="R358" s="47"/>
      <c r="S358" s="47">
        <f>SUM(S350:S357)</f>
        <v>0</v>
      </c>
      <c r="T358" s="47">
        <f>SUM(T350:T357)</f>
        <v>382600</v>
      </c>
      <c r="U358" s="47">
        <f>SUM(U350:U357)</f>
        <v>0</v>
      </c>
      <c r="V358" s="47">
        <f>SUM(V350:V357)</f>
        <v>382600</v>
      </c>
    </row>
    <row r="359" spans="1:23">
      <c r="A359" s="104"/>
      <c r="B359" s="612"/>
      <c r="C359" s="104"/>
      <c r="D359" s="104"/>
      <c r="E359" s="62"/>
      <c r="F359" s="81"/>
      <c r="G359" s="62"/>
      <c r="H359" s="133"/>
      <c r="I359" s="62"/>
      <c r="J359" s="62"/>
      <c r="K359" s="133"/>
      <c r="L359" s="62"/>
      <c r="M359" s="62"/>
      <c r="N359" s="133"/>
      <c r="O359" s="62"/>
      <c r="P359" s="62"/>
      <c r="Q359" s="133"/>
      <c r="R359" s="62"/>
      <c r="S359" s="62"/>
      <c r="T359" s="62"/>
      <c r="U359" s="62"/>
      <c r="V359" s="62"/>
    </row>
    <row r="360" spans="1:23">
      <c r="A360" s="40"/>
      <c r="B360" s="40"/>
      <c r="C360" s="40"/>
      <c r="D360" s="40" t="s">
        <v>310</v>
      </c>
      <c r="E360" s="46"/>
      <c r="F360" s="45"/>
      <c r="G360" s="46"/>
      <c r="H360" s="132"/>
      <c r="I360" s="46"/>
      <c r="J360" s="46"/>
      <c r="K360" s="132"/>
      <c r="L360" s="46"/>
      <c r="M360" s="46"/>
      <c r="N360" s="132"/>
      <c r="O360" s="46"/>
      <c r="P360" s="46"/>
      <c r="Q360" s="132"/>
      <c r="R360" s="46"/>
      <c r="S360" s="46"/>
      <c r="T360" s="46"/>
      <c r="U360" s="46"/>
      <c r="V360" s="46"/>
    </row>
    <row r="361" spans="1:23" hidden="1">
      <c r="D361" s="7" t="s">
        <v>311</v>
      </c>
      <c r="E361" s="43">
        <v>0</v>
      </c>
      <c r="F361" s="48" t="s">
        <v>95</v>
      </c>
      <c r="G361" s="43">
        <v>2000</v>
      </c>
      <c r="H361" s="128"/>
      <c r="I361" s="43">
        <v>0</v>
      </c>
      <c r="J361" s="43">
        <v>0</v>
      </c>
      <c r="K361" s="128"/>
      <c r="L361" s="43">
        <v>0</v>
      </c>
      <c r="M361" s="43">
        <v>0</v>
      </c>
      <c r="N361" s="128"/>
      <c r="O361" s="43">
        <v>0</v>
      </c>
      <c r="P361" s="43">
        <v>0</v>
      </c>
      <c r="Q361" s="128"/>
      <c r="R361" s="43">
        <v>0</v>
      </c>
      <c r="S361" s="43">
        <v>0</v>
      </c>
      <c r="T361" s="43">
        <f t="shared" ref="T361:T362" si="251">SUM(P361,M361,J361,E361,S361)</f>
        <v>0</v>
      </c>
      <c r="U361" s="43">
        <f>(O361*G361)+(L361*G361)+(I361*G361)+(R361*G361)+E361</f>
        <v>0</v>
      </c>
      <c r="V361" s="43">
        <f t="shared" ref="V361:V362" si="252">SUM(T361:U361)</f>
        <v>0</v>
      </c>
    </row>
    <row r="362" spans="1:23" hidden="1">
      <c r="A362" s="44"/>
      <c r="C362" s="44"/>
      <c r="D362" s="44" t="s">
        <v>312</v>
      </c>
      <c r="E362" s="43">
        <v>0</v>
      </c>
      <c r="F362" s="48" t="s">
        <v>226</v>
      </c>
      <c r="G362" s="43">
        <f>522/8</f>
        <v>65.25</v>
      </c>
      <c r="H362" s="128"/>
      <c r="I362" s="43">
        <v>0</v>
      </c>
      <c r="J362" s="43">
        <v>0</v>
      </c>
      <c r="K362" s="128"/>
      <c r="L362" s="43">
        <v>0</v>
      </c>
      <c r="M362" s="43">
        <v>0</v>
      </c>
      <c r="N362" s="128"/>
      <c r="O362" s="43">
        <v>0</v>
      </c>
      <c r="P362" s="43">
        <v>0</v>
      </c>
      <c r="Q362" s="128"/>
      <c r="R362" s="43">
        <v>0</v>
      </c>
      <c r="S362" s="43">
        <v>0</v>
      </c>
      <c r="T362" s="43">
        <f t="shared" si="251"/>
        <v>0</v>
      </c>
      <c r="U362" s="43">
        <f t="shared" ref="U362:U363" si="253">(O362*G362)+(L362*G362)+(I362*G362)+(R362*G362)+E362</f>
        <v>0</v>
      </c>
      <c r="V362" s="43">
        <f t="shared" si="252"/>
        <v>0</v>
      </c>
    </row>
    <row r="363" spans="1:23" hidden="1">
      <c r="D363" s="7" t="s">
        <v>313</v>
      </c>
      <c r="E363" s="43">
        <v>0</v>
      </c>
      <c r="F363" s="48" t="s">
        <v>95</v>
      </c>
      <c r="G363" s="43">
        <v>1000</v>
      </c>
      <c r="H363" s="128"/>
      <c r="I363" s="43">
        <v>0</v>
      </c>
      <c r="J363" s="43">
        <v>0</v>
      </c>
      <c r="K363" s="128"/>
      <c r="L363" s="43">
        <v>0</v>
      </c>
      <c r="M363" s="43">
        <v>0</v>
      </c>
      <c r="N363" s="128"/>
      <c r="O363" s="43">
        <v>0</v>
      </c>
      <c r="P363" s="43">
        <v>0</v>
      </c>
      <c r="Q363" s="128"/>
      <c r="R363" s="43">
        <v>0</v>
      </c>
      <c r="S363" s="43">
        <v>0</v>
      </c>
      <c r="T363" s="43">
        <f t="shared" ref="T363" si="254">SUM(P363,M363,J363,E363,S363)</f>
        <v>0</v>
      </c>
      <c r="U363" s="43">
        <f t="shared" si="253"/>
        <v>0</v>
      </c>
      <c r="V363" s="43">
        <f t="shared" ref="V363:V366" si="255">SUM(T363:U363)</f>
        <v>0</v>
      </c>
    </row>
    <row r="364" spans="1:23">
      <c r="A364" s="44" t="s">
        <v>777</v>
      </c>
      <c r="B364" s="44">
        <v>96000</v>
      </c>
      <c r="C364" s="44" t="s">
        <v>709</v>
      </c>
      <c r="D364" s="44" t="s">
        <v>314</v>
      </c>
      <c r="E364" s="43">
        <v>32943.58</v>
      </c>
      <c r="F364" s="48" t="s">
        <v>237</v>
      </c>
      <c r="G364" s="43">
        <v>90000</v>
      </c>
      <c r="H364" s="128"/>
      <c r="I364" s="471">
        <v>0.5</v>
      </c>
      <c r="J364" s="43">
        <v>0</v>
      </c>
      <c r="K364" s="128"/>
      <c r="L364" s="471">
        <v>0.5</v>
      </c>
      <c r="M364" s="43">
        <v>0</v>
      </c>
      <c r="N364" s="128"/>
      <c r="O364" s="43">
        <v>0</v>
      </c>
      <c r="P364" s="43">
        <v>0</v>
      </c>
      <c r="Q364" s="128"/>
      <c r="R364" s="43">
        <v>0</v>
      </c>
      <c r="S364" s="43">
        <v>0</v>
      </c>
      <c r="T364" s="43">
        <f>SUM(P364,M364,J364,S364)</f>
        <v>0</v>
      </c>
      <c r="U364" s="43">
        <f>(O364*G364)+(L364*G364)+(I364*G364)+(R364*G364)+E364</f>
        <v>122943.58</v>
      </c>
      <c r="V364" s="43">
        <f t="shared" ref="V364" si="256">SUM(T364:U364)</f>
        <v>122943.58</v>
      </c>
    </row>
    <row r="365" spans="1:23">
      <c r="A365" s="44" t="s">
        <v>777</v>
      </c>
      <c r="B365" s="44">
        <v>96000</v>
      </c>
      <c r="C365" s="44" t="s">
        <v>709</v>
      </c>
      <c r="D365" s="44" t="s">
        <v>315</v>
      </c>
      <c r="E365" s="43">
        <v>105146.98</v>
      </c>
      <c r="F365" s="48" t="s">
        <v>237</v>
      </c>
      <c r="G365" s="43">
        <v>10500</v>
      </c>
      <c r="H365" s="128"/>
      <c r="I365" s="43">
        <v>1</v>
      </c>
      <c r="J365" s="43">
        <v>0</v>
      </c>
      <c r="K365" s="128"/>
      <c r="L365" s="43">
        <v>1</v>
      </c>
      <c r="M365" s="43">
        <v>0</v>
      </c>
      <c r="N365" s="128"/>
      <c r="O365" s="43">
        <v>1</v>
      </c>
      <c r="P365" s="43">
        <v>0</v>
      </c>
      <c r="Q365" s="128"/>
      <c r="R365" s="43">
        <v>0</v>
      </c>
      <c r="S365" s="43">
        <v>0</v>
      </c>
      <c r="T365" s="43">
        <f>SUM(P365,M365,J365,S365)</f>
        <v>0</v>
      </c>
      <c r="U365" s="43">
        <f>(O365*G365)+(L365*G365)+(I365*G365)+(R365*G365)+E365</f>
        <v>136646.97999999998</v>
      </c>
      <c r="V365" s="43">
        <f t="shared" ref="V365" si="257">SUM(T365:U365)</f>
        <v>136646.97999999998</v>
      </c>
      <c r="W365" s="437"/>
    </row>
    <row r="366" spans="1:23">
      <c r="A366" s="44" t="s">
        <v>777</v>
      </c>
      <c r="B366" s="44">
        <v>96000</v>
      </c>
      <c r="C366" s="44" t="s">
        <v>709</v>
      </c>
      <c r="D366" s="44" t="s">
        <v>316</v>
      </c>
      <c r="E366" s="43">
        <v>0</v>
      </c>
      <c r="F366" s="48" t="s">
        <v>237</v>
      </c>
      <c r="G366" s="43">
        <v>170000</v>
      </c>
      <c r="H366" s="128"/>
      <c r="I366" s="43">
        <v>1</v>
      </c>
      <c r="J366" s="43">
        <v>0</v>
      </c>
      <c r="K366" s="128"/>
      <c r="L366" s="43">
        <v>1</v>
      </c>
      <c r="M366" s="43">
        <v>0</v>
      </c>
      <c r="N366" s="128"/>
      <c r="O366" s="43">
        <v>1</v>
      </c>
      <c r="P366" s="43">
        <v>0</v>
      </c>
      <c r="Q366" s="128"/>
      <c r="R366" s="43">
        <v>1</v>
      </c>
      <c r="S366" s="43">
        <v>0</v>
      </c>
      <c r="T366" s="43">
        <f>SUM(P366,M366,J366,S366)</f>
        <v>0</v>
      </c>
      <c r="U366" s="43">
        <f t="shared" ref="U366" si="258">(O366*G366)+(L366*G366)+(I366*G366)+(R366*G366)+E366</f>
        <v>680000</v>
      </c>
      <c r="V366" s="43">
        <f t="shared" si="255"/>
        <v>680000</v>
      </c>
    </row>
    <row r="367" spans="1:23">
      <c r="A367" s="40"/>
      <c r="B367" s="40"/>
      <c r="C367" s="40"/>
      <c r="D367" s="40" t="s">
        <v>317</v>
      </c>
      <c r="E367" s="47">
        <v>0</v>
      </c>
      <c r="F367" s="45"/>
      <c r="G367" s="47"/>
      <c r="H367" s="135"/>
      <c r="I367" s="47"/>
      <c r="J367" s="47">
        <f>SUM(J361:J366)</f>
        <v>0</v>
      </c>
      <c r="K367" s="135"/>
      <c r="L367" s="47"/>
      <c r="M367" s="47">
        <f>SUM(M361:M366)</f>
        <v>0</v>
      </c>
      <c r="N367" s="135"/>
      <c r="O367" s="47"/>
      <c r="P367" s="47">
        <f>SUM(P361:P366)</f>
        <v>0</v>
      </c>
      <c r="Q367" s="135"/>
      <c r="R367" s="47"/>
      <c r="S367" s="47">
        <f>SUM(S361:S366)</f>
        <v>0</v>
      </c>
      <c r="T367" s="47">
        <f>SUM(T361:T366)</f>
        <v>0</v>
      </c>
      <c r="U367" s="47">
        <f>SUM(U361:U366)</f>
        <v>939590.56</v>
      </c>
      <c r="V367" s="47">
        <f>SUM(V361:V366)</f>
        <v>939590.56</v>
      </c>
    </row>
    <row r="368" spans="1:23">
      <c r="A368" s="44"/>
      <c r="C368" s="44"/>
      <c r="D368" s="44"/>
      <c r="E368" s="43"/>
      <c r="F368" s="48"/>
      <c r="G368" s="43"/>
      <c r="H368" s="125"/>
      <c r="I368" s="43"/>
      <c r="J368" s="43"/>
      <c r="K368" s="125"/>
      <c r="L368" s="43"/>
      <c r="M368" s="43"/>
      <c r="N368" s="125"/>
      <c r="O368" s="43"/>
      <c r="P368" s="43"/>
      <c r="Q368" s="125"/>
      <c r="R368" s="43"/>
      <c r="S368" s="43"/>
      <c r="T368" s="43"/>
      <c r="U368" s="43"/>
      <c r="V368" s="52"/>
    </row>
    <row r="369" spans="1:22" ht="12.9" thickBot="1">
      <c r="A369" s="53"/>
      <c r="B369" s="66"/>
      <c r="C369" s="53"/>
      <c r="D369" s="53" t="s">
        <v>318</v>
      </c>
      <c r="E369" s="64">
        <f>SUM(E358+E328+E346+E314+E307+E337+E367)</f>
        <v>1977754.02</v>
      </c>
      <c r="F369" s="53"/>
      <c r="G369" s="69"/>
      <c r="H369" s="126"/>
      <c r="I369" s="64"/>
      <c r="J369" s="64">
        <f>SUM(J358+J328+J346+J314+J307+J337+J367)</f>
        <v>2328193.0276287999</v>
      </c>
      <c r="K369" s="126"/>
      <c r="L369" s="64"/>
      <c r="M369" s="64">
        <f>SUM(M358+M328+M346+M314+M307+M337+M367)</f>
        <v>1814163.3129503201</v>
      </c>
      <c r="N369" s="126"/>
      <c r="O369" s="64"/>
      <c r="P369" s="64">
        <f>SUM(P358+P328+P346+P314+P307+P337+P367)</f>
        <v>1252875.329797836</v>
      </c>
      <c r="Q369" s="126"/>
      <c r="R369" s="64"/>
      <c r="S369" s="64">
        <f>SUM(S358+S328+S346+S314+S307+S337+S367)</f>
        <v>96439.01391437641</v>
      </c>
      <c r="T369" s="64">
        <f>SUM(T358+T328+T346+T314+T307+T337+T367)</f>
        <v>7469424.7042913325</v>
      </c>
      <c r="U369" s="64">
        <f>SUM(U358+U328+U346+U314+U307+U337+U367)</f>
        <v>939590.56</v>
      </c>
      <c r="V369" s="64">
        <f>SUM(V358+V328+V346+V314+V307+V337+V367)</f>
        <v>8409015.264291333</v>
      </c>
    </row>
    <row r="370" spans="1:22">
      <c r="A370" s="81"/>
      <c r="B370" s="81"/>
      <c r="C370" s="81"/>
      <c r="D370" s="81"/>
      <c r="E370" s="62"/>
      <c r="F370" s="81"/>
      <c r="G370" s="62"/>
      <c r="H370" s="123"/>
      <c r="I370" s="62"/>
      <c r="J370" s="62"/>
      <c r="K370" s="123"/>
      <c r="L370" s="62"/>
      <c r="M370" s="62"/>
      <c r="N370" s="123"/>
      <c r="O370" s="62"/>
      <c r="P370" s="62"/>
      <c r="Q370" s="123"/>
      <c r="R370" s="62"/>
      <c r="S370" s="62"/>
      <c r="T370" s="62"/>
      <c r="U370" s="62"/>
      <c r="V370" s="62"/>
    </row>
    <row r="371" spans="1:22">
      <c r="A371" s="98"/>
      <c r="B371" s="617"/>
      <c r="C371" s="98"/>
      <c r="D371" s="98" t="str">
        <f>'USDA Budget Summary'!A32</f>
        <v>Activity 4: Post-Harvest Aggregation &amp; Processing</v>
      </c>
      <c r="E371" s="99"/>
      <c r="F371" s="37"/>
      <c r="G371" s="38"/>
      <c r="H371" s="130"/>
      <c r="I371" s="99"/>
      <c r="J371" s="99"/>
      <c r="K371" s="130"/>
      <c r="L371" s="99"/>
      <c r="M371" s="99"/>
      <c r="N371" s="130"/>
      <c r="O371" s="99"/>
      <c r="P371" s="99"/>
      <c r="Q371" s="130"/>
      <c r="R371" s="99"/>
      <c r="S371" s="99"/>
      <c r="T371" s="99"/>
      <c r="U371" s="100"/>
      <c r="V371" s="99"/>
    </row>
    <row r="372" spans="1:22">
      <c r="A372" s="101"/>
      <c r="B372" s="101"/>
      <c r="C372" s="101"/>
      <c r="D372" s="101" t="s">
        <v>215</v>
      </c>
      <c r="E372" s="103"/>
      <c r="F372" s="102"/>
      <c r="G372" s="103"/>
      <c r="H372" s="131"/>
      <c r="I372" s="103"/>
      <c r="J372" s="103"/>
      <c r="K372" s="131"/>
      <c r="L372" s="103"/>
      <c r="M372" s="103"/>
      <c r="N372" s="131"/>
      <c r="O372" s="103"/>
      <c r="P372" s="103"/>
      <c r="Q372" s="131"/>
      <c r="R372" s="103"/>
      <c r="S372" s="103"/>
      <c r="T372" s="103"/>
      <c r="U372" s="103"/>
      <c r="V372" s="103"/>
    </row>
    <row r="373" spans="1:22">
      <c r="A373" s="40"/>
      <c r="B373" s="40"/>
      <c r="C373" s="40"/>
      <c r="D373" s="40" t="s">
        <v>319</v>
      </c>
      <c r="E373" s="46"/>
      <c r="F373" s="45"/>
      <c r="G373" s="46"/>
      <c r="H373" s="132"/>
      <c r="I373" s="46"/>
      <c r="J373" s="46"/>
      <c r="K373" s="132"/>
      <c r="L373" s="46"/>
      <c r="M373" s="46"/>
      <c r="N373" s="132"/>
      <c r="O373" s="46"/>
      <c r="P373" s="46"/>
      <c r="Q373" s="132"/>
      <c r="R373" s="46"/>
      <c r="S373" s="46"/>
      <c r="T373" s="46"/>
      <c r="U373" s="46"/>
      <c r="V373" s="46"/>
    </row>
    <row r="374" spans="1:22">
      <c r="A374" s="7" t="s">
        <v>750</v>
      </c>
      <c r="B374" s="44">
        <v>50000</v>
      </c>
      <c r="C374" s="7" t="s">
        <v>709</v>
      </c>
      <c r="D374" s="7" t="str">
        <f t="shared" ref="D374:D403" si="259">D13</f>
        <v>Key Personnel: Chief of Party</v>
      </c>
      <c r="E374" s="43">
        <v>25976</v>
      </c>
      <c r="F374" s="49" t="s">
        <v>95</v>
      </c>
      <c r="G374" s="43">
        <f t="shared" ref="G374:G403" si="260">G13</f>
        <v>14250</v>
      </c>
      <c r="H374" s="119">
        <f>'LOE Breakdown by Year'!H11</f>
        <v>0.1</v>
      </c>
      <c r="I374" s="43">
        <f t="shared" ref="I374:I403" si="261">I13</f>
        <v>12</v>
      </c>
      <c r="J374" s="43">
        <f>I374*G374*$H374</f>
        <v>17100</v>
      </c>
      <c r="K374" s="119">
        <f>'LOE Breakdown by Year'!H51</f>
        <v>0.19</v>
      </c>
      <c r="L374" s="43">
        <f t="shared" ref="L374:L403" si="262">L13</f>
        <v>12</v>
      </c>
      <c r="M374" s="43">
        <f>L374*G374*$K374*$E$8</f>
        <v>34114.5</v>
      </c>
      <c r="N374" s="119">
        <f>'LOE Breakdown by Year'!H91</f>
        <v>0.19</v>
      </c>
      <c r="O374" s="43">
        <f t="shared" ref="O374:O403" si="263">O13</f>
        <v>12</v>
      </c>
      <c r="P374" s="43">
        <f>O374*G374*$N374*$E$8*$E$8</f>
        <v>35820.224999999999</v>
      </c>
      <c r="Q374" s="119">
        <f>'LOE Breakdown by Year'!H131</f>
        <v>0.19</v>
      </c>
      <c r="R374" s="43">
        <f t="shared" ref="R374:R403" si="264">R13</f>
        <v>0</v>
      </c>
      <c r="S374" s="43">
        <f>R374*G374*$Q374*$E$8*$E$8*$E$8</f>
        <v>0</v>
      </c>
      <c r="T374" s="43">
        <f t="shared" ref="T374" si="265">SUM(P374,M374,J374,E374,S374)</f>
        <v>113010.72500000001</v>
      </c>
      <c r="U374" s="43">
        <v>0</v>
      </c>
      <c r="V374" s="43">
        <f t="shared" ref="V374" si="266">SUM(T374:U374)</f>
        <v>113010.72500000001</v>
      </c>
    </row>
    <row r="375" spans="1:22" ht="25.2">
      <c r="A375" s="7" t="s">
        <v>750</v>
      </c>
      <c r="B375" s="44">
        <v>70000</v>
      </c>
      <c r="C375" s="7" t="s">
        <v>710</v>
      </c>
      <c r="D375" s="7" t="str">
        <f t="shared" si="259"/>
        <v>Deputy Chief of Party / Value Chain Strengthening Director</v>
      </c>
      <c r="E375" s="43">
        <v>0</v>
      </c>
      <c r="F375" s="49" t="s">
        <v>95</v>
      </c>
      <c r="G375" s="43">
        <f t="shared" si="260"/>
        <v>5000</v>
      </c>
      <c r="H375" s="119">
        <f>'LOE Breakdown by Year'!H12</f>
        <v>0.15</v>
      </c>
      <c r="I375" s="43">
        <f t="shared" si="261"/>
        <v>12</v>
      </c>
      <c r="J375" s="43">
        <f>I375*G375*$H375</f>
        <v>9000</v>
      </c>
      <c r="K375" s="119">
        <f>'LOE Breakdown by Year'!H52</f>
        <v>0.15</v>
      </c>
      <c r="L375" s="43">
        <f t="shared" si="262"/>
        <v>12</v>
      </c>
      <c r="M375" s="43">
        <f>L375*G375*$K375*$E$8</f>
        <v>9450</v>
      </c>
      <c r="N375" s="119">
        <f>'LOE Breakdown by Year'!H92</f>
        <v>0.15</v>
      </c>
      <c r="O375" s="43">
        <f t="shared" si="263"/>
        <v>12</v>
      </c>
      <c r="P375" s="43">
        <f>O375*G375*$N375*$E$8*$E$8</f>
        <v>9922.5</v>
      </c>
      <c r="Q375" s="119">
        <f>'LOE Breakdown by Year'!H132</f>
        <v>0.15</v>
      </c>
      <c r="R375" s="43">
        <f t="shared" si="264"/>
        <v>6</v>
      </c>
      <c r="S375" s="43">
        <f>R375*G375*$Q375*$E$8*$E$8*$E$8</f>
        <v>5209.3125</v>
      </c>
      <c r="T375" s="43">
        <f t="shared" ref="T375" si="267">SUM(P375,M375,J375,E375,S375)</f>
        <v>33581.8125</v>
      </c>
      <c r="U375" s="43">
        <v>0</v>
      </c>
      <c r="V375" s="43">
        <f t="shared" ref="V375" si="268">SUM(T375:U375)</f>
        <v>33581.8125</v>
      </c>
    </row>
    <row r="376" spans="1:22">
      <c r="A376" s="7" t="s">
        <v>750</v>
      </c>
      <c r="B376" s="44">
        <v>70000</v>
      </c>
      <c r="C376" s="7" t="s">
        <v>710</v>
      </c>
      <c r="D376" s="7" t="str">
        <f t="shared" si="259"/>
        <v>Key Personnel: Technical Director</v>
      </c>
      <c r="E376" s="43">
        <v>12218.1</v>
      </c>
      <c r="F376" s="49" t="s">
        <v>95</v>
      </c>
      <c r="G376" s="43">
        <f t="shared" si="260"/>
        <v>4583.333333333333</v>
      </c>
      <c r="H376" s="119">
        <f>'LOE Breakdown by Year'!H13</f>
        <v>0.15</v>
      </c>
      <c r="I376" s="43">
        <f t="shared" si="261"/>
        <v>12</v>
      </c>
      <c r="J376" s="43">
        <f t="shared" ref="J376:J403" si="269">I376*G376*$H376</f>
        <v>8250</v>
      </c>
      <c r="K376" s="119">
        <f>'LOE Breakdown by Year'!H53</f>
        <v>0.2</v>
      </c>
      <c r="L376" s="43">
        <f t="shared" si="262"/>
        <v>12</v>
      </c>
      <c r="M376" s="43">
        <f t="shared" ref="M376:M403" si="270">L376*G376*$K376*$E$8</f>
        <v>11550</v>
      </c>
      <c r="N376" s="119">
        <f>'LOE Breakdown by Year'!H93</f>
        <v>0.2</v>
      </c>
      <c r="O376" s="43">
        <f t="shared" si="263"/>
        <v>12</v>
      </c>
      <c r="P376" s="43">
        <f t="shared" ref="P376:P403" si="271">O376*G376*$N376*$E$8*$E$8</f>
        <v>12127.5</v>
      </c>
      <c r="Q376" s="119">
        <f>'LOE Breakdown by Year'!H133</f>
        <v>0.2</v>
      </c>
      <c r="R376" s="43">
        <f t="shared" si="264"/>
        <v>5</v>
      </c>
      <c r="S376" s="43">
        <f t="shared" ref="S376:S403" si="272">R376*G376*$Q376*$E$8*$E$8*$E$8</f>
        <v>5305.78125</v>
      </c>
      <c r="T376" s="43">
        <f t="shared" ref="T376:T403" si="273">SUM(P376,M376,J376,E376,S376)</f>
        <v>49451.381249999999</v>
      </c>
      <c r="U376" s="43">
        <v>0</v>
      </c>
      <c r="V376" s="43">
        <f t="shared" ref="V376:V403" si="274">SUM(T376:U376)</f>
        <v>49451.381249999999</v>
      </c>
    </row>
    <row r="377" spans="1:22">
      <c r="A377" s="7" t="s">
        <v>750</v>
      </c>
      <c r="B377" s="44">
        <v>70000</v>
      </c>
      <c r="C377" s="7" t="s">
        <v>710</v>
      </c>
      <c r="D377" s="7" t="str">
        <f t="shared" si="259"/>
        <v>Activity Lead Agribusiness Senior Specialist (Cacao)</v>
      </c>
      <c r="E377" s="43">
        <v>5436.21</v>
      </c>
      <c r="F377" s="49" t="s">
        <v>95</v>
      </c>
      <c r="G377" s="43">
        <f t="shared" si="260"/>
        <v>2833.3333333333335</v>
      </c>
      <c r="H377" s="119">
        <f>'LOE Breakdown by Year'!H14</f>
        <v>0.1</v>
      </c>
      <c r="I377" s="43">
        <f t="shared" si="261"/>
        <v>12</v>
      </c>
      <c r="J377" s="43">
        <f t="shared" si="269"/>
        <v>3400</v>
      </c>
      <c r="K377" s="119">
        <f>'LOE Breakdown by Year'!H54</f>
        <v>0.1</v>
      </c>
      <c r="L377" s="43">
        <f t="shared" si="262"/>
        <v>12</v>
      </c>
      <c r="M377" s="43">
        <f t="shared" si="270"/>
        <v>3570</v>
      </c>
      <c r="N377" s="119">
        <f>'LOE Breakdown by Year'!H94</f>
        <v>0.1</v>
      </c>
      <c r="O377" s="43">
        <f t="shared" si="263"/>
        <v>12</v>
      </c>
      <c r="P377" s="43">
        <f t="shared" si="271"/>
        <v>3748.5</v>
      </c>
      <c r="Q377" s="119">
        <f>'LOE Breakdown by Year'!H134</f>
        <v>0.1</v>
      </c>
      <c r="R377" s="43">
        <f t="shared" si="264"/>
        <v>2</v>
      </c>
      <c r="S377" s="43">
        <f t="shared" si="272"/>
        <v>655.98750000000018</v>
      </c>
      <c r="T377" s="43">
        <f t="shared" si="273"/>
        <v>16810.697499999998</v>
      </c>
      <c r="U377" s="43">
        <v>0</v>
      </c>
      <c r="V377" s="43">
        <f t="shared" si="274"/>
        <v>16810.697499999998</v>
      </c>
    </row>
    <row r="378" spans="1:22" hidden="1">
      <c r="A378" s="7" t="s">
        <v>750</v>
      </c>
      <c r="B378" s="44">
        <v>70000</v>
      </c>
      <c r="C378" s="7" t="s">
        <v>710</v>
      </c>
      <c r="D378" s="7" t="str">
        <f t="shared" si="259"/>
        <v>Cacao Field Officer</v>
      </c>
      <c r="E378" s="43">
        <v>0</v>
      </c>
      <c r="F378" s="49" t="s">
        <v>95</v>
      </c>
      <c r="G378" s="43">
        <f t="shared" si="260"/>
        <v>1333.3333333333333</v>
      </c>
      <c r="H378" s="119">
        <f>'LOE Breakdown by Year'!H15</f>
        <v>0</v>
      </c>
      <c r="I378" s="43">
        <f t="shared" si="261"/>
        <v>12</v>
      </c>
      <c r="J378" s="43">
        <f t="shared" si="269"/>
        <v>0</v>
      </c>
      <c r="K378" s="119">
        <f>'LOE Breakdown by Year'!H55</f>
        <v>0</v>
      </c>
      <c r="L378" s="43">
        <f t="shared" si="262"/>
        <v>12</v>
      </c>
      <c r="M378" s="43">
        <f t="shared" si="270"/>
        <v>0</v>
      </c>
      <c r="N378" s="119">
        <f>'LOE Breakdown by Year'!H95</f>
        <v>0</v>
      </c>
      <c r="O378" s="43">
        <f t="shared" si="263"/>
        <v>12</v>
      </c>
      <c r="P378" s="43">
        <f t="shared" si="271"/>
        <v>0</v>
      </c>
      <c r="Q378" s="119">
        <f>'LOE Breakdown by Year'!H135</f>
        <v>0</v>
      </c>
      <c r="R378" s="43">
        <f t="shared" si="264"/>
        <v>0</v>
      </c>
      <c r="S378" s="43">
        <f t="shared" si="272"/>
        <v>0</v>
      </c>
      <c r="T378" s="43">
        <f t="shared" si="273"/>
        <v>0</v>
      </c>
      <c r="U378" s="43">
        <v>0</v>
      </c>
      <c r="V378" s="43">
        <f t="shared" si="274"/>
        <v>0</v>
      </c>
    </row>
    <row r="379" spans="1:22" ht="25.2" hidden="1">
      <c r="A379" s="7" t="s">
        <v>750</v>
      </c>
      <c r="B379" s="44">
        <v>70000</v>
      </c>
      <c r="C379" s="7" t="s">
        <v>710</v>
      </c>
      <c r="D379" s="7" t="str">
        <f t="shared" si="259"/>
        <v>Cacao &amp; Complementary Crop Technical Field Leader (2)</v>
      </c>
      <c r="E379" s="43">
        <v>0</v>
      </c>
      <c r="F379" s="49" t="s">
        <v>95</v>
      </c>
      <c r="G379" s="43">
        <f t="shared" si="260"/>
        <v>3500</v>
      </c>
      <c r="H379" s="119">
        <f>'LOE Breakdown by Year'!H16</f>
        <v>0</v>
      </c>
      <c r="I379" s="43">
        <f t="shared" si="261"/>
        <v>6</v>
      </c>
      <c r="J379" s="43">
        <f t="shared" si="269"/>
        <v>0</v>
      </c>
      <c r="K379" s="119">
        <f>'LOE Breakdown by Year'!H56</f>
        <v>0</v>
      </c>
      <c r="L379" s="43">
        <f t="shared" si="262"/>
        <v>12</v>
      </c>
      <c r="M379" s="43">
        <f t="shared" si="270"/>
        <v>0</v>
      </c>
      <c r="N379" s="119">
        <f>'LOE Breakdown by Year'!H96</f>
        <v>0</v>
      </c>
      <c r="O379" s="43">
        <f t="shared" si="263"/>
        <v>12</v>
      </c>
      <c r="P379" s="43">
        <f t="shared" si="271"/>
        <v>0</v>
      </c>
      <c r="Q379" s="119">
        <f>'LOE Breakdown by Year'!H136</f>
        <v>0</v>
      </c>
      <c r="R379" s="43">
        <f t="shared" si="264"/>
        <v>0</v>
      </c>
      <c r="S379" s="43">
        <f t="shared" si="272"/>
        <v>0</v>
      </c>
      <c r="T379" s="43">
        <f t="shared" si="273"/>
        <v>0</v>
      </c>
      <c r="U379" s="43">
        <v>0</v>
      </c>
      <c r="V379" s="43">
        <f t="shared" si="274"/>
        <v>0</v>
      </c>
    </row>
    <row r="380" spans="1:22" hidden="1">
      <c r="A380" s="7" t="s">
        <v>750</v>
      </c>
      <c r="B380" s="44">
        <v>70000</v>
      </c>
      <c r="C380" s="7" t="s">
        <v>710</v>
      </c>
      <c r="D380" s="7" t="str">
        <f t="shared" si="259"/>
        <v>Extension Agents (45 in Y5 and 25 in Y6)</v>
      </c>
      <c r="E380" s="43">
        <v>0</v>
      </c>
      <c r="F380" s="49" t="s">
        <v>95</v>
      </c>
      <c r="G380" s="43">
        <f t="shared" si="260"/>
        <v>1000</v>
      </c>
      <c r="H380" s="119">
        <f>'LOE Breakdown by Year'!H17</f>
        <v>0</v>
      </c>
      <c r="I380" s="43">
        <f t="shared" si="261"/>
        <v>12</v>
      </c>
      <c r="J380" s="43">
        <f t="shared" si="269"/>
        <v>0</v>
      </c>
      <c r="K380" s="119">
        <f>'LOE Breakdown by Year'!H57</f>
        <v>0</v>
      </c>
      <c r="L380" s="43">
        <f t="shared" si="262"/>
        <v>12</v>
      </c>
      <c r="M380" s="43">
        <f t="shared" si="270"/>
        <v>0</v>
      </c>
      <c r="N380" s="119">
        <f>'LOE Breakdown by Year'!H97</f>
        <v>0</v>
      </c>
      <c r="O380" s="43">
        <f t="shared" si="263"/>
        <v>0</v>
      </c>
      <c r="P380" s="43">
        <f t="shared" si="271"/>
        <v>0</v>
      </c>
      <c r="Q380" s="119">
        <f>'LOE Breakdown by Year'!H137</f>
        <v>0</v>
      </c>
      <c r="R380" s="43">
        <f t="shared" si="264"/>
        <v>0</v>
      </c>
      <c r="S380" s="43">
        <f t="shared" si="272"/>
        <v>0</v>
      </c>
      <c r="T380" s="43">
        <f t="shared" si="273"/>
        <v>0</v>
      </c>
      <c r="U380" s="43">
        <v>0</v>
      </c>
      <c r="V380" s="43">
        <f t="shared" si="274"/>
        <v>0</v>
      </c>
    </row>
    <row r="381" spans="1:22" ht="25.2">
      <c r="A381" s="7" t="s">
        <v>750</v>
      </c>
      <c r="B381" s="44">
        <v>70000</v>
      </c>
      <c r="C381" s="7" t="s">
        <v>710</v>
      </c>
      <c r="D381" s="7" t="str">
        <f t="shared" si="259"/>
        <v>Activity Lead Agribusiness Senior Specialist (Complementary Crop)</v>
      </c>
      <c r="E381" s="43">
        <v>45822.2</v>
      </c>
      <c r="F381" s="49" t="s">
        <v>95</v>
      </c>
      <c r="G381" s="43">
        <f t="shared" si="260"/>
        <v>2833.3333333333335</v>
      </c>
      <c r="H381" s="119">
        <f>'LOE Breakdown by Year'!H18</f>
        <v>0</v>
      </c>
      <c r="I381" s="43">
        <f t="shared" si="261"/>
        <v>12</v>
      </c>
      <c r="J381" s="43">
        <f t="shared" si="269"/>
        <v>0</v>
      </c>
      <c r="K381" s="119">
        <f>'LOE Breakdown by Year'!H58</f>
        <v>0</v>
      </c>
      <c r="L381" s="43">
        <f t="shared" si="262"/>
        <v>12</v>
      </c>
      <c r="M381" s="43">
        <f t="shared" si="270"/>
        <v>0</v>
      </c>
      <c r="N381" s="119">
        <f>'LOE Breakdown by Year'!H98</f>
        <v>0</v>
      </c>
      <c r="O381" s="43">
        <f t="shared" si="263"/>
        <v>12</v>
      </c>
      <c r="P381" s="43">
        <f t="shared" si="271"/>
        <v>0</v>
      </c>
      <c r="Q381" s="119">
        <f>'LOE Breakdown by Year'!H138</f>
        <v>0</v>
      </c>
      <c r="R381" s="43">
        <f t="shared" si="264"/>
        <v>0</v>
      </c>
      <c r="S381" s="43">
        <f t="shared" si="272"/>
        <v>0</v>
      </c>
      <c r="T381" s="43">
        <f t="shared" si="273"/>
        <v>45822.2</v>
      </c>
      <c r="U381" s="43">
        <v>0</v>
      </c>
      <c r="V381" s="43">
        <f t="shared" si="274"/>
        <v>45822.2</v>
      </c>
    </row>
    <row r="382" spans="1:22" hidden="1">
      <c r="A382" s="7" t="s">
        <v>750</v>
      </c>
      <c r="B382" s="44">
        <v>70000</v>
      </c>
      <c r="C382" s="7" t="s">
        <v>710</v>
      </c>
      <c r="D382" s="7" t="str">
        <f t="shared" si="259"/>
        <v>Complementary Crops Field Officer</v>
      </c>
      <c r="E382" s="43">
        <v>0</v>
      </c>
      <c r="F382" s="49" t="s">
        <v>95</v>
      </c>
      <c r="G382" s="43">
        <f t="shared" si="260"/>
        <v>0</v>
      </c>
      <c r="H382" s="119">
        <f>'LOE Breakdown by Year'!H19</f>
        <v>0</v>
      </c>
      <c r="I382" s="43">
        <f t="shared" si="261"/>
        <v>0</v>
      </c>
      <c r="J382" s="43">
        <f t="shared" si="269"/>
        <v>0</v>
      </c>
      <c r="K382" s="119">
        <f>'LOE Breakdown by Year'!H59</f>
        <v>0</v>
      </c>
      <c r="L382" s="43">
        <f t="shared" si="262"/>
        <v>12</v>
      </c>
      <c r="M382" s="43">
        <f t="shared" si="270"/>
        <v>0</v>
      </c>
      <c r="N382" s="119">
        <f>'LOE Breakdown by Year'!H99</f>
        <v>0</v>
      </c>
      <c r="O382" s="43">
        <f t="shared" si="263"/>
        <v>12</v>
      </c>
      <c r="P382" s="43">
        <f t="shared" si="271"/>
        <v>0</v>
      </c>
      <c r="Q382" s="119">
        <f>'LOE Breakdown by Year'!H139</f>
        <v>0</v>
      </c>
      <c r="R382" s="43">
        <f t="shared" si="264"/>
        <v>0</v>
      </c>
      <c r="S382" s="43">
        <f t="shared" si="272"/>
        <v>0</v>
      </c>
      <c r="T382" s="43">
        <f t="shared" si="273"/>
        <v>0</v>
      </c>
      <c r="U382" s="43">
        <v>0</v>
      </c>
      <c r="V382" s="43">
        <f t="shared" si="274"/>
        <v>0</v>
      </c>
    </row>
    <row r="383" spans="1:22" hidden="1">
      <c r="A383" s="7" t="s">
        <v>750</v>
      </c>
      <c r="B383" s="44">
        <v>70000</v>
      </c>
      <c r="C383" s="7" t="s">
        <v>710</v>
      </c>
      <c r="D383" s="7" t="str">
        <f t="shared" si="259"/>
        <v>EPSEAS Specialist</v>
      </c>
      <c r="E383" s="43">
        <v>0</v>
      </c>
      <c r="F383" s="49" t="s">
        <v>95</v>
      </c>
      <c r="G383" s="43">
        <f t="shared" si="260"/>
        <v>0</v>
      </c>
      <c r="H383" s="119">
        <f>'LOE Breakdown by Year'!H20</f>
        <v>0</v>
      </c>
      <c r="I383" s="43">
        <f t="shared" si="261"/>
        <v>0</v>
      </c>
      <c r="J383" s="43">
        <f t="shared" si="269"/>
        <v>0</v>
      </c>
      <c r="K383" s="119">
        <f>'LOE Breakdown by Year'!H60</f>
        <v>0</v>
      </c>
      <c r="L383" s="43">
        <f t="shared" si="262"/>
        <v>12</v>
      </c>
      <c r="M383" s="43">
        <f t="shared" si="270"/>
        <v>0</v>
      </c>
      <c r="N383" s="119">
        <f>'LOE Breakdown by Year'!H100</f>
        <v>0</v>
      </c>
      <c r="O383" s="43">
        <f t="shared" si="263"/>
        <v>12</v>
      </c>
      <c r="P383" s="43">
        <f t="shared" si="271"/>
        <v>0</v>
      </c>
      <c r="Q383" s="119">
        <f>'LOE Breakdown by Year'!H140</f>
        <v>0</v>
      </c>
      <c r="R383" s="43">
        <f t="shared" si="264"/>
        <v>0</v>
      </c>
      <c r="S383" s="43">
        <f t="shared" si="272"/>
        <v>0</v>
      </c>
      <c r="T383" s="43">
        <f t="shared" si="273"/>
        <v>0</v>
      </c>
      <c r="U383" s="43">
        <v>0</v>
      </c>
      <c r="V383" s="43">
        <f t="shared" si="274"/>
        <v>0</v>
      </c>
    </row>
    <row r="384" spans="1:22" hidden="1">
      <c r="A384" s="7" t="s">
        <v>750</v>
      </c>
      <c r="B384" s="44">
        <v>70000</v>
      </c>
      <c r="C384" s="7" t="s">
        <v>710</v>
      </c>
      <c r="D384" s="7" t="str">
        <f t="shared" si="259"/>
        <v>Extension Agents for EPSEAS (20 in Y6 and 25 in Y7)</v>
      </c>
      <c r="E384" s="43">
        <v>0</v>
      </c>
      <c r="F384" s="49" t="s">
        <v>95</v>
      </c>
      <c r="G384" s="43">
        <f t="shared" si="260"/>
        <v>1000</v>
      </c>
      <c r="H384" s="119">
        <f>'LOE Breakdown by Year'!H21</f>
        <v>0</v>
      </c>
      <c r="I384" s="43">
        <f t="shared" si="261"/>
        <v>0</v>
      </c>
      <c r="J384" s="43">
        <f t="shared" si="269"/>
        <v>0</v>
      </c>
      <c r="K384" s="119">
        <f>'LOE Breakdown by Year'!H61</f>
        <v>0</v>
      </c>
      <c r="L384" s="43">
        <f t="shared" si="262"/>
        <v>12</v>
      </c>
      <c r="M384" s="43">
        <f t="shared" si="270"/>
        <v>0</v>
      </c>
      <c r="N384" s="119">
        <f>'LOE Breakdown by Year'!H101</f>
        <v>0</v>
      </c>
      <c r="O384" s="43">
        <f t="shared" si="263"/>
        <v>12</v>
      </c>
      <c r="P384" s="43">
        <f t="shared" si="271"/>
        <v>0</v>
      </c>
      <c r="Q384" s="119">
        <f>'LOE Breakdown by Year'!H141</f>
        <v>0</v>
      </c>
      <c r="R384" s="43">
        <f t="shared" si="264"/>
        <v>0</v>
      </c>
      <c r="S384" s="43">
        <f t="shared" si="272"/>
        <v>0</v>
      </c>
      <c r="T384" s="43">
        <f t="shared" si="273"/>
        <v>0</v>
      </c>
      <c r="U384" s="43">
        <v>0</v>
      </c>
      <c r="V384" s="43">
        <f t="shared" si="274"/>
        <v>0</v>
      </c>
    </row>
    <row r="385" spans="1:22">
      <c r="A385" s="7" t="s">
        <v>750</v>
      </c>
      <c r="B385" s="44">
        <v>70000</v>
      </c>
      <c r="C385" s="7" t="s">
        <v>710</v>
      </c>
      <c r="D385" s="7" t="str">
        <f t="shared" si="259"/>
        <v xml:space="preserve">Senior M&amp;E Director </v>
      </c>
      <c r="E385" s="43">
        <v>13927.82</v>
      </c>
      <c r="F385" s="49" t="s">
        <v>95</v>
      </c>
      <c r="G385" s="43">
        <f t="shared" si="260"/>
        <v>6250</v>
      </c>
      <c r="H385" s="119">
        <f>'LOE Breakdown by Year'!H22</f>
        <v>0.1</v>
      </c>
      <c r="I385" s="43">
        <f t="shared" si="261"/>
        <v>12</v>
      </c>
      <c r="J385" s="43">
        <f t="shared" si="269"/>
        <v>7500</v>
      </c>
      <c r="K385" s="119">
        <f>'LOE Breakdown by Year'!H62</f>
        <v>0.19</v>
      </c>
      <c r="L385" s="43">
        <f t="shared" si="262"/>
        <v>12</v>
      </c>
      <c r="M385" s="43">
        <f t="shared" si="270"/>
        <v>14962.5</v>
      </c>
      <c r="N385" s="119">
        <f>'LOE Breakdown by Year'!H102</f>
        <v>0.19</v>
      </c>
      <c r="O385" s="43">
        <f t="shared" si="263"/>
        <v>12</v>
      </c>
      <c r="P385" s="43">
        <f t="shared" si="271"/>
        <v>15710.625</v>
      </c>
      <c r="Q385" s="119">
        <f>'LOE Breakdown by Year'!H142</f>
        <v>0.19</v>
      </c>
      <c r="R385" s="43">
        <f t="shared" si="264"/>
        <v>6</v>
      </c>
      <c r="S385" s="43">
        <f t="shared" si="272"/>
        <v>8248.078125</v>
      </c>
      <c r="T385" s="43">
        <f t="shared" si="273"/>
        <v>60349.023125</v>
      </c>
      <c r="U385" s="43">
        <v>0</v>
      </c>
      <c r="V385" s="43">
        <f t="shared" si="274"/>
        <v>60349.023125</v>
      </c>
    </row>
    <row r="386" spans="1:22">
      <c r="A386" s="7" t="s">
        <v>750</v>
      </c>
      <c r="B386" s="44">
        <v>70000</v>
      </c>
      <c r="C386" s="7" t="s">
        <v>710</v>
      </c>
      <c r="D386" s="7" t="str">
        <f t="shared" si="259"/>
        <v>Senior M&amp;E Specialist</v>
      </c>
      <c r="E386" s="43">
        <v>9010.58</v>
      </c>
      <c r="F386" s="49" t="s">
        <v>95</v>
      </c>
      <c r="G386" s="43">
        <f t="shared" si="260"/>
        <v>2833.3333333333335</v>
      </c>
      <c r="H386" s="119">
        <f>'LOE Breakdown by Year'!H23</f>
        <v>0.1</v>
      </c>
      <c r="I386" s="43">
        <f t="shared" si="261"/>
        <v>12</v>
      </c>
      <c r="J386" s="43">
        <f t="shared" si="269"/>
        <v>3400</v>
      </c>
      <c r="K386" s="119">
        <f>'LOE Breakdown by Year'!H63</f>
        <v>0.19</v>
      </c>
      <c r="L386" s="43">
        <f t="shared" si="262"/>
        <v>12</v>
      </c>
      <c r="M386" s="43">
        <f t="shared" si="270"/>
        <v>6783</v>
      </c>
      <c r="N386" s="119">
        <f>'LOE Breakdown by Year'!H103</f>
        <v>0.19</v>
      </c>
      <c r="O386" s="43">
        <f t="shared" si="263"/>
        <v>12</v>
      </c>
      <c r="P386" s="43">
        <f t="shared" si="271"/>
        <v>7122.1500000000005</v>
      </c>
      <c r="Q386" s="119">
        <f>'LOE Breakdown by Year'!H143</f>
        <v>0.19</v>
      </c>
      <c r="R386" s="43">
        <f t="shared" si="264"/>
        <v>6</v>
      </c>
      <c r="S386" s="43">
        <f t="shared" si="272"/>
        <v>3739.1287500000003</v>
      </c>
      <c r="T386" s="43">
        <f t="shared" si="273"/>
        <v>30054.858750000003</v>
      </c>
      <c r="U386" s="43">
        <v>0</v>
      </c>
      <c r="V386" s="43">
        <f t="shared" si="274"/>
        <v>30054.858750000003</v>
      </c>
    </row>
    <row r="387" spans="1:22">
      <c r="A387" s="7" t="s">
        <v>750</v>
      </c>
      <c r="B387" s="44">
        <v>70000</v>
      </c>
      <c r="C387" s="7" t="s">
        <v>710</v>
      </c>
      <c r="D387" s="7" t="str">
        <f t="shared" si="259"/>
        <v>M&amp;E Specialist</v>
      </c>
      <c r="E387" s="43">
        <v>6913.58</v>
      </c>
      <c r="F387" s="49" t="s">
        <v>95</v>
      </c>
      <c r="G387" s="43">
        <f t="shared" si="260"/>
        <v>2500</v>
      </c>
      <c r="H387" s="119">
        <f>'LOE Breakdown by Year'!H24</f>
        <v>0.1</v>
      </c>
      <c r="I387" s="43">
        <f t="shared" si="261"/>
        <v>12</v>
      </c>
      <c r="J387" s="43">
        <f t="shared" si="269"/>
        <v>3000</v>
      </c>
      <c r="K387" s="119">
        <f>'LOE Breakdown by Year'!H64</f>
        <v>0.19</v>
      </c>
      <c r="L387" s="43">
        <f t="shared" si="262"/>
        <v>12</v>
      </c>
      <c r="M387" s="43">
        <f t="shared" si="270"/>
        <v>5985</v>
      </c>
      <c r="N387" s="119">
        <f>'LOE Breakdown by Year'!H104</f>
        <v>0.19</v>
      </c>
      <c r="O387" s="43">
        <f t="shared" si="263"/>
        <v>12</v>
      </c>
      <c r="P387" s="43">
        <f t="shared" si="271"/>
        <v>6284.25</v>
      </c>
      <c r="Q387" s="119">
        <f>'LOE Breakdown by Year'!H144</f>
        <v>0.19</v>
      </c>
      <c r="R387" s="43">
        <f t="shared" si="264"/>
        <v>3</v>
      </c>
      <c r="S387" s="43">
        <f t="shared" si="272"/>
        <v>1649.6156250000001</v>
      </c>
      <c r="T387" s="43">
        <f t="shared" si="273"/>
        <v>23832.445625</v>
      </c>
      <c r="U387" s="43">
        <v>0</v>
      </c>
      <c r="V387" s="43">
        <f t="shared" si="274"/>
        <v>23832.445625</v>
      </c>
    </row>
    <row r="388" spans="1:22">
      <c r="A388" s="7" t="s">
        <v>750</v>
      </c>
      <c r="B388" s="44">
        <v>70000</v>
      </c>
      <c r="C388" s="7" t="s">
        <v>710</v>
      </c>
      <c r="D388" s="7" t="str">
        <f t="shared" si="259"/>
        <v>M&amp;E Officer</v>
      </c>
      <c r="E388" s="43">
        <v>0</v>
      </c>
      <c r="F388" s="49" t="s">
        <v>95</v>
      </c>
      <c r="G388" s="43">
        <f t="shared" si="260"/>
        <v>1000</v>
      </c>
      <c r="H388" s="119">
        <f>'LOE Breakdown by Year'!H25</f>
        <v>0.1</v>
      </c>
      <c r="I388" s="43">
        <f t="shared" si="261"/>
        <v>12</v>
      </c>
      <c r="J388" s="43">
        <f t="shared" si="269"/>
        <v>1200</v>
      </c>
      <c r="K388" s="119">
        <f>'LOE Breakdown by Year'!H65</f>
        <v>0.4</v>
      </c>
      <c r="L388" s="43">
        <f t="shared" si="262"/>
        <v>12</v>
      </c>
      <c r="M388" s="43">
        <f t="shared" si="270"/>
        <v>5040</v>
      </c>
      <c r="N388" s="119">
        <f>'LOE Breakdown by Year'!H105</f>
        <v>0.4</v>
      </c>
      <c r="O388" s="43">
        <f t="shared" si="263"/>
        <v>12</v>
      </c>
      <c r="P388" s="43">
        <f t="shared" si="271"/>
        <v>5292</v>
      </c>
      <c r="Q388" s="119">
        <f>'LOE Breakdown by Year'!H145</f>
        <v>0.4</v>
      </c>
      <c r="R388" s="43">
        <f t="shared" si="264"/>
        <v>3</v>
      </c>
      <c r="S388" s="43">
        <f t="shared" si="272"/>
        <v>1389.15</v>
      </c>
      <c r="T388" s="43">
        <f t="shared" si="273"/>
        <v>12921.15</v>
      </c>
      <c r="U388" s="43">
        <v>0</v>
      </c>
      <c r="V388" s="43">
        <f t="shared" si="274"/>
        <v>12921.15</v>
      </c>
    </row>
    <row r="389" spans="1:22">
      <c r="A389" s="7" t="s">
        <v>750</v>
      </c>
      <c r="B389" s="44">
        <v>70000</v>
      </c>
      <c r="C389" s="7" t="s">
        <v>710</v>
      </c>
      <c r="D389" s="7" t="str">
        <f t="shared" si="259"/>
        <v>Partnerships and Investment Director</v>
      </c>
      <c r="E389" s="43">
        <v>46872.42</v>
      </c>
      <c r="F389" s="49" t="s">
        <v>95</v>
      </c>
      <c r="G389" s="43">
        <f t="shared" si="260"/>
        <v>4583.333333333333</v>
      </c>
      <c r="H389" s="119">
        <f>'LOE Breakdown by Year'!H26</f>
        <v>0.1</v>
      </c>
      <c r="I389" s="43">
        <f t="shared" si="261"/>
        <v>12</v>
      </c>
      <c r="J389" s="43">
        <f t="shared" si="269"/>
        <v>5500</v>
      </c>
      <c r="K389" s="119">
        <f>'LOE Breakdown by Year'!H66</f>
        <v>0.4</v>
      </c>
      <c r="L389" s="43">
        <f t="shared" si="262"/>
        <v>12</v>
      </c>
      <c r="M389" s="43">
        <f t="shared" si="270"/>
        <v>23100</v>
      </c>
      <c r="N389" s="119">
        <f>'LOE Breakdown by Year'!H106</f>
        <v>0.4</v>
      </c>
      <c r="O389" s="43">
        <f t="shared" si="263"/>
        <v>12</v>
      </c>
      <c r="P389" s="43">
        <f t="shared" si="271"/>
        <v>24255</v>
      </c>
      <c r="Q389" s="119">
        <f>'LOE Breakdown by Year'!H146</f>
        <v>0.4</v>
      </c>
      <c r="R389" s="43">
        <f t="shared" si="264"/>
        <v>0</v>
      </c>
      <c r="S389" s="43">
        <f t="shared" si="272"/>
        <v>0</v>
      </c>
      <c r="T389" s="43">
        <f t="shared" si="273"/>
        <v>99727.42</v>
      </c>
      <c r="U389" s="43">
        <v>0</v>
      </c>
      <c r="V389" s="43">
        <f t="shared" si="274"/>
        <v>99727.42</v>
      </c>
    </row>
    <row r="390" spans="1:22">
      <c r="A390" s="7" t="s">
        <v>750</v>
      </c>
      <c r="B390" s="44">
        <v>70000</v>
      </c>
      <c r="C390" s="7" t="s">
        <v>710</v>
      </c>
      <c r="D390" s="7" t="str">
        <f t="shared" si="259"/>
        <v>Partnerships and Investment Specialist</v>
      </c>
      <c r="E390" s="43">
        <v>0</v>
      </c>
      <c r="F390" s="49" t="s">
        <v>95</v>
      </c>
      <c r="G390" s="43">
        <f t="shared" si="260"/>
        <v>1750</v>
      </c>
      <c r="H390" s="119">
        <f>'LOE Breakdown by Year'!H27</f>
        <v>0.1</v>
      </c>
      <c r="I390" s="43">
        <f t="shared" si="261"/>
        <v>12</v>
      </c>
      <c r="J390" s="43">
        <f t="shared" si="269"/>
        <v>2100</v>
      </c>
      <c r="K390" s="119">
        <f>'LOE Breakdown by Year'!H67</f>
        <v>0.2</v>
      </c>
      <c r="L390" s="43">
        <f t="shared" si="262"/>
        <v>12</v>
      </c>
      <c r="M390" s="43">
        <f t="shared" si="270"/>
        <v>4410</v>
      </c>
      <c r="N390" s="119">
        <f>'LOE Breakdown by Year'!H107</f>
        <v>0.2</v>
      </c>
      <c r="O390" s="43">
        <f t="shared" si="263"/>
        <v>12</v>
      </c>
      <c r="P390" s="43">
        <f t="shared" si="271"/>
        <v>4630.5</v>
      </c>
      <c r="Q390" s="119">
        <f>'LOE Breakdown by Year'!H147</f>
        <v>0.2</v>
      </c>
      <c r="R390" s="43">
        <f t="shared" si="264"/>
        <v>0</v>
      </c>
      <c r="S390" s="43">
        <f t="shared" si="272"/>
        <v>0</v>
      </c>
      <c r="T390" s="43">
        <f t="shared" si="273"/>
        <v>11140.5</v>
      </c>
      <c r="U390" s="43">
        <v>0</v>
      </c>
      <c r="V390" s="43">
        <f t="shared" si="274"/>
        <v>11140.5</v>
      </c>
    </row>
    <row r="391" spans="1:22">
      <c r="A391" s="7" t="s">
        <v>750</v>
      </c>
      <c r="B391" s="44">
        <v>70000</v>
      </c>
      <c r="C391" s="7" t="s">
        <v>710</v>
      </c>
      <c r="D391" s="7" t="str">
        <f t="shared" si="259"/>
        <v>Organizational Strengthening Specialist</v>
      </c>
      <c r="E391" s="43">
        <v>0</v>
      </c>
      <c r="F391" s="49" t="s">
        <v>95</v>
      </c>
      <c r="G391" s="43">
        <f t="shared" si="260"/>
        <v>1750</v>
      </c>
      <c r="H391" s="119">
        <f>'LOE Breakdown by Year'!H28</f>
        <v>0.1</v>
      </c>
      <c r="I391" s="43">
        <f t="shared" si="261"/>
        <v>12</v>
      </c>
      <c r="J391" s="43">
        <f t="shared" si="269"/>
        <v>2100</v>
      </c>
      <c r="K391" s="119">
        <f>'LOE Breakdown by Year'!H68</f>
        <v>0.5</v>
      </c>
      <c r="L391" s="43">
        <f t="shared" si="262"/>
        <v>12</v>
      </c>
      <c r="M391" s="43">
        <f t="shared" si="270"/>
        <v>11025</v>
      </c>
      <c r="N391" s="119">
        <f>'LOE Breakdown by Year'!H108</f>
        <v>0.5</v>
      </c>
      <c r="O391" s="43">
        <f t="shared" si="263"/>
        <v>12</v>
      </c>
      <c r="P391" s="43">
        <f t="shared" si="271"/>
        <v>11576.25</v>
      </c>
      <c r="Q391" s="119">
        <f>'LOE Breakdown by Year'!H148</f>
        <v>0.5</v>
      </c>
      <c r="R391" s="43">
        <f t="shared" si="264"/>
        <v>0</v>
      </c>
      <c r="S391" s="43">
        <f t="shared" si="272"/>
        <v>0</v>
      </c>
      <c r="T391" s="43">
        <f t="shared" si="273"/>
        <v>24701.25</v>
      </c>
      <c r="U391" s="43">
        <v>0</v>
      </c>
      <c r="V391" s="43">
        <f t="shared" si="274"/>
        <v>24701.25</v>
      </c>
    </row>
    <row r="392" spans="1:22" hidden="1">
      <c r="A392" s="7" t="s">
        <v>750</v>
      </c>
      <c r="B392" s="44">
        <v>70000</v>
      </c>
      <c r="C392" s="7" t="s">
        <v>710</v>
      </c>
      <c r="D392" s="7" t="str">
        <f t="shared" si="259"/>
        <v>Value Chain Strengthening Director</v>
      </c>
      <c r="E392" s="43">
        <v>0</v>
      </c>
      <c r="F392" s="49" t="s">
        <v>95</v>
      </c>
      <c r="G392" s="43">
        <f t="shared" si="260"/>
        <v>0</v>
      </c>
      <c r="H392" s="119">
        <f>'LOE Breakdown by Year'!H29</f>
        <v>0.1</v>
      </c>
      <c r="I392" s="43">
        <f t="shared" si="261"/>
        <v>12</v>
      </c>
      <c r="J392" s="43">
        <f t="shared" si="269"/>
        <v>0</v>
      </c>
      <c r="K392" s="119">
        <f>'LOE Breakdown by Year'!H69</f>
        <v>0.05</v>
      </c>
      <c r="L392" s="43">
        <f t="shared" si="262"/>
        <v>12</v>
      </c>
      <c r="M392" s="43">
        <f t="shared" si="270"/>
        <v>0</v>
      </c>
      <c r="N392" s="119">
        <f>'LOE Breakdown by Year'!H109</f>
        <v>0.05</v>
      </c>
      <c r="O392" s="43">
        <f t="shared" si="263"/>
        <v>12</v>
      </c>
      <c r="P392" s="43">
        <f t="shared" si="271"/>
        <v>0</v>
      </c>
      <c r="Q392" s="119">
        <f>'LOE Breakdown by Year'!H149</f>
        <v>0.05</v>
      </c>
      <c r="R392" s="43">
        <f t="shared" si="264"/>
        <v>4</v>
      </c>
      <c r="S392" s="43">
        <f t="shared" si="272"/>
        <v>0</v>
      </c>
      <c r="T392" s="43">
        <f t="shared" si="273"/>
        <v>0</v>
      </c>
      <c r="U392" s="43">
        <v>0</v>
      </c>
      <c r="V392" s="43">
        <f t="shared" si="274"/>
        <v>0</v>
      </c>
    </row>
    <row r="393" spans="1:22">
      <c r="A393" s="7" t="s">
        <v>750</v>
      </c>
      <c r="B393" s="44">
        <v>70000</v>
      </c>
      <c r="C393" s="7" t="s">
        <v>710</v>
      </c>
      <c r="D393" s="7" t="str">
        <f t="shared" si="259"/>
        <v>Communications Specialist</v>
      </c>
      <c r="E393" s="43">
        <v>0</v>
      </c>
      <c r="F393" s="49" t="s">
        <v>95</v>
      </c>
      <c r="G393" s="43">
        <f t="shared" si="260"/>
        <v>1750</v>
      </c>
      <c r="H393" s="119">
        <f>'LOE Breakdown by Year'!H30</f>
        <v>0.1</v>
      </c>
      <c r="I393" s="43">
        <f t="shared" si="261"/>
        <v>12</v>
      </c>
      <c r="J393" s="43">
        <f t="shared" si="269"/>
        <v>2100</v>
      </c>
      <c r="K393" s="119">
        <f>'LOE Breakdown by Year'!H70</f>
        <v>0.18</v>
      </c>
      <c r="L393" s="43">
        <f t="shared" si="262"/>
        <v>12</v>
      </c>
      <c r="M393" s="43">
        <f t="shared" si="270"/>
        <v>3969</v>
      </c>
      <c r="N393" s="119">
        <f>'LOE Breakdown by Year'!H110</f>
        <v>0.18</v>
      </c>
      <c r="O393" s="43">
        <f t="shared" si="263"/>
        <v>12</v>
      </c>
      <c r="P393" s="43">
        <f t="shared" si="271"/>
        <v>4167.45</v>
      </c>
      <c r="Q393" s="119">
        <f>'LOE Breakdown by Year'!H150</f>
        <v>0.18</v>
      </c>
      <c r="R393" s="43">
        <f t="shared" si="264"/>
        <v>0</v>
      </c>
      <c r="S393" s="43">
        <f t="shared" si="272"/>
        <v>0</v>
      </c>
      <c r="T393" s="43">
        <f t="shared" si="273"/>
        <v>10236.450000000001</v>
      </c>
      <c r="U393" s="43">
        <v>0</v>
      </c>
      <c r="V393" s="43">
        <f t="shared" si="274"/>
        <v>10236.450000000001</v>
      </c>
    </row>
    <row r="394" spans="1:22">
      <c r="A394" s="7" t="s">
        <v>750</v>
      </c>
      <c r="B394" s="44">
        <v>70000</v>
      </c>
      <c r="C394" s="7" t="s">
        <v>710</v>
      </c>
      <c r="D394" s="7" t="str">
        <f t="shared" si="259"/>
        <v>Value Chain Specialist</v>
      </c>
      <c r="E394" s="43">
        <v>0</v>
      </c>
      <c r="F394" s="49" t="s">
        <v>95</v>
      </c>
      <c r="G394" s="43">
        <f t="shared" si="260"/>
        <v>2500</v>
      </c>
      <c r="H394" s="119">
        <f>'LOE Breakdown by Year'!H31</f>
        <v>0.1</v>
      </c>
      <c r="I394" s="43">
        <f t="shared" si="261"/>
        <v>12</v>
      </c>
      <c r="J394" s="43">
        <f t="shared" si="269"/>
        <v>3000</v>
      </c>
      <c r="K394" s="119">
        <f>'LOE Breakdown by Year'!H71</f>
        <v>0</v>
      </c>
      <c r="L394" s="43">
        <f t="shared" si="262"/>
        <v>12</v>
      </c>
      <c r="M394" s="43">
        <f t="shared" si="270"/>
        <v>0</v>
      </c>
      <c r="N394" s="119">
        <f>'LOE Breakdown by Year'!H111</f>
        <v>0</v>
      </c>
      <c r="O394" s="43">
        <f t="shared" si="263"/>
        <v>12</v>
      </c>
      <c r="P394" s="43">
        <f t="shared" si="271"/>
        <v>0</v>
      </c>
      <c r="Q394" s="119">
        <f>'LOE Breakdown by Year'!H151</f>
        <v>0</v>
      </c>
      <c r="R394" s="43">
        <f t="shared" si="264"/>
        <v>0</v>
      </c>
      <c r="S394" s="43">
        <f t="shared" si="272"/>
        <v>0</v>
      </c>
      <c r="T394" s="43">
        <f t="shared" si="273"/>
        <v>3000</v>
      </c>
      <c r="U394" s="43">
        <v>0</v>
      </c>
      <c r="V394" s="43">
        <f t="shared" si="274"/>
        <v>3000</v>
      </c>
    </row>
    <row r="395" spans="1:22">
      <c r="A395" s="7" t="s">
        <v>750</v>
      </c>
      <c r="B395" s="44">
        <v>70000</v>
      </c>
      <c r="C395" s="7" t="s">
        <v>710</v>
      </c>
      <c r="D395" s="7" t="str">
        <f t="shared" si="259"/>
        <v>Contracts &amp; Compliance Director</v>
      </c>
      <c r="E395" s="43">
        <v>8967.07</v>
      </c>
      <c r="F395" s="49" t="s">
        <v>95</v>
      </c>
      <c r="G395" s="43">
        <f t="shared" si="260"/>
        <v>4583.333333333333</v>
      </c>
      <c r="H395" s="119">
        <f>'LOE Breakdown by Year'!H32</f>
        <v>0.1</v>
      </c>
      <c r="I395" s="43">
        <f t="shared" si="261"/>
        <v>12</v>
      </c>
      <c r="J395" s="43">
        <f t="shared" si="269"/>
        <v>5500</v>
      </c>
      <c r="K395" s="119">
        <f>'LOE Breakdown by Year'!H72</f>
        <v>0.18</v>
      </c>
      <c r="L395" s="43">
        <f t="shared" si="262"/>
        <v>12</v>
      </c>
      <c r="M395" s="43">
        <f t="shared" si="270"/>
        <v>10395</v>
      </c>
      <c r="N395" s="119">
        <f>'LOE Breakdown by Year'!H112</f>
        <v>0.18</v>
      </c>
      <c r="O395" s="43">
        <f t="shared" si="263"/>
        <v>12</v>
      </c>
      <c r="P395" s="43">
        <f t="shared" si="271"/>
        <v>10914.75</v>
      </c>
      <c r="Q395" s="119">
        <f>'LOE Breakdown by Year'!H152</f>
        <v>0.18</v>
      </c>
      <c r="R395" s="43">
        <f t="shared" si="264"/>
        <v>3</v>
      </c>
      <c r="S395" s="43">
        <f t="shared" si="272"/>
        <v>2865.1218750000003</v>
      </c>
      <c r="T395" s="43">
        <f t="shared" si="273"/>
        <v>38641.941874999997</v>
      </c>
      <c r="U395" s="43">
        <v>0</v>
      </c>
      <c r="V395" s="43">
        <f t="shared" si="274"/>
        <v>38641.941874999997</v>
      </c>
    </row>
    <row r="396" spans="1:22">
      <c r="A396" s="7" t="s">
        <v>750</v>
      </c>
      <c r="B396" s="44">
        <v>70000</v>
      </c>
      <c r="C396" s="7" t="s">
        <v>710</v>
      </c>
      <c r="D396" s="7" t="str">
        <f t="shared" si="259"/>
        <v>Grants &amp; Procurement Specialist (2)</v>
      </c>
      <c r="E396" s="43">
        <v>0</v>
      </c>
      <c r="F396" s="49" t="s">
        <v>95</v>
      </c>
      <c r="G396" s="43">
        <f t="shared" si="260"/>
        <v>3500</v>
      </c>
      <c r="H396" s="119">
        <f>'LOE Breakdown by Year'!H33</f>
        <v>0.25</v>
      </c>
      <c r="I396" s="43">
        <f t="shared" si="261"/>
        <v>12</v>
      </c>
      <c r="J396" s="43">
        <f t="shared" si="269"/>
        <v>10500</v>
      </c>
      <c r="K396" s="119">
        <f>'LOE Breakdown by Year'!H73</f>
        <v>0.25</v>
      </c>
      <c r="L396" s="43">
        <f t="shared" si="262"/>
        <v>12</v>
      </c>
      <c r="M396" s="43">
        <f t="shared" si="270"/>
        <v>11025</v>
      </c>
      <c r="N396" s="119">
        <f>'LOE Breakdown by Year'!H113</f>
        <v>0.25</v>
      </c>
      <c r="O396" s="43">
        <f t="shared" si="263"/>
        <v>12</v>
      </c>
      <c r="P396" s="43">
        <f t="shared" si="271"/>
        <v>11576.25</v>
      </c>
      <c r="Q396" s="119">
        <f>'LOE Breakdown by Year'!H153</f>
        <v>0.25</v>
      </c>
      <c r="R396" s="43">
        <f t="shared" si="264"/>
        <v>0</v>
      </c>
      <c r="S396" s="43">
        <f t="shared" si="272"/>
        <v>0</v>
      </c>
      <c r="T396" s="43">
        <f t="shared" si="273"/>
        <v>33101.25</v>
      </c>
      <c r="U396" s="43">
        <v>0</v>
      </c>
      <c r="V396" s="43">
        <f t="shared" si="274"/>
        <v>33101.25</v>
      </c>
    </row>
    <row r="397" spans="1:22">
      <c r="A397" s="7" t="s">
        <v>750</v>
      </c>
      <c r="B397" s="44">
        <v>70000</v>
      </c>
      <c r="C397" s="7" t="s">
        <v>710</v>
      </c>
      <c r="D397" s="7" t="str">
        <f t="shared" si="259"/>
        <v xml:space="preserve">F&amp;A Director </v>
      </c>
      <c r="E397" s="43">
        <v>5304.53</v>
      </c>
      <c r="F397" s="49" t="s">
        <v>95</v>
      </c>
      <c r="G397" s="43">
        <f t="shared" si="260"/>
        <v>5279.4</v>
      </c>
      <c r="H397" s="119">
        <f>'LOE Breakdown by Year'!H34</f>
        <v>0.15</v>
      </c>
      <c r="I397" s="43">
        <f t="shared" si="261"/>
        <v>12</v>
      </c>
      <c r="J397" s="43">
        <f t="shared" si="269"/>
        <v>9502.9199999999983</v>
      </c>
      <c r="K397" s="119">
        <f>'LOE Breakdown by Year'!H74</f>
        <v>0.15</v>
      </c>
      <c r="L397" s="43">
        <f t="shared" si="262"/>
        <v>12</v>
      </c>
      <c r="M397" s="43">
        <f t="shared" si="270"/>
        <v>9978.0659999999989</v>
      </c>
      <c r="N397" s="119">
        <f>'LOE Breakdown by Year'!H114</f>
        <v>0.15</v>
      </c>
      <c r="O397" s="43">
        <f t="shared" si="263"/>
        <v>12</v>
      </c>
      <c r="P397" s="43">
        <f t="shared" si="271"/>
        <v>10476.969299999999</v>
      </c>
      <c r="Q397" s="119">
        <f>'LOE Breakdown by Year'!H154</f>
        <v>0.15</v>
      </c>
      <c r="R397" s="43">
        <f t="shared" si="264"/>
        <v>6</v>
      </c>
      <c r="S397" s="43">
        <f t="shared" si="272"/>
        <v>5500.4088824999999</v>
      </c>
      <c r="T397" s="43">
        <f t="shared" si="273"/>
        <v>40762.894182499993</v>
      </c>
      <c r="U397" s="43">
        <v>0</v>
      </c>
      <c r="V397" s="43">
        <f t="shared" si="274"/>
        <v>40762.894182499993</v>
      </c>
    </row>
    <row r="398" spans="1:22">
      <c r="A398" s="7" t="s">
        <v>750</v>
      </c>
      <c r="B398" s="44">
        <v>70000</v>
      </c>
      <c r="C398" s="7" t="s">
        <v>710</v>
      </c>
      <c r="D398" s="7" t="str">
        <f t="shared" si="259"/>
        <v>Accounting &amp; Finance Specialist</v>
      </c>
      <c r="E398" s="43">
        <v>0</v>
      </c>
      <c r="F398" s="49" t="s">
        <v>95</v>
      </c>
      <c r="G398" s="43">
        <f t="shared" si="260"/>
        <v>1750</v>
      </c>
      <c r="H398" s="119">
        <f>'LOE Breakdown by Year'!H35</f>
        <v>0.1</v>
      </c>
      <c r="I398" s="43">
        <f t="shared" si="261"/>
        <v>12</v>
      </c>
      <c r="J398" s="43">
        <f t="shared" si="269"/>
        <v>2100</v>
      </c>
      <c r="K398" s="119">
        <f>'LOE Breakdown by Year'!H75</f>
        <v>0.16</v>
      </c>
      <c r="L398" s="43">
        <f t="shared" si="262"/>
        <v>12</v>
      </c>
      <c r="M398" s="43">
        <f t="shared" si="270"/>
        <v>3528</v>
      </c>
      <c r="N398" s="119">
        <f>'LOE Breakdown by Year'!H115</f>
        <v>0.16</v>
      </c>
      <c r="O398" s="43">
        <f t="shared" si="263"/>
        <v>12</v>
      </c>
      <c r="P398" s="43">
        <f t="shared" si="271"/>
        <v>3704.4</v>
      </c>
      <c r="Q398" s="119">
        <f>'LOE Breakdown by Year'!H155</f>
        <v>0.16</v>
      </c>
      <c r="R398" s="43">
        <f t="shared" si="264"/>
        <v>3</v>
      </c>
      <c r="S398" s="43">
        <f t="shared" si="272"/>
        <v>972.40500000000009</v>
      </c>
      <c r="T398" s="43">
        <f t="shared" si="273"/>
        <v>10304.805</v>
      </c>
      <c r="U398" s="43">
        <v>0</v>
      </c>
      <c r="V398" s="43">
        <f t="shared" si="274"/>
        <v>10304.805</v>
      </c>
    </row>
    <row r="399" spans="1:22">
      <c r="A399" s="7" t="s">
        <v>750</v>
      </c>
      <c r="B399" s="44">
        <v>70000</v>
      </c>
      <c r="C399" s="7" t="s">
        <v>710</v>
      </c>
      <c r="D399" s="7" t="str">
        <f t="shared" si="259"/>
        <v xml:space="preserve">Accountant </v>
      </c>
      <c r="E399" s="43">
        <v>0</v>
      </c>
      <c r="F399" s="49" t="s">
        <v>95</v>
      </c>
      <c r="G399" s="43">
        <f t="shared" si="260"/>
        <v>1750</v>
      </c>
      <c r="H399" s="119">
        <f>'LOE Breakdown by Year'!H36</f>
        <v>0.1</v>
      </c>
      <c r="I399" s="43">
        <f t="shared" si="261"/>
        <v>12</v>
      </c>
      <c r="J399" s="43">
        <f t="shared" si="269"/>
        <v>2100</v>
      </c>
      <c r="K399" s="119">
        <f>'LOE Breakdown by Year'!H76</f>
        <v>0.16</v>
      </c>
      <c r="L399" s="43">
        <f t="shared" si="262"/>
        <v>12</v>
      </c>
      <c r="M399" s="43">
        <f t="shared" si="270"/>
        <v>3528</v>
      </c>
      <c r="N399" s="119">
        <f>'LOE Breakdown by Year'!H116</f>
        <v>0.16</v>
      </c>
      <c r="O399" s="43">
        <f t="shared" si="263"/>
        <v>12</v>
      </c>
      <c r="P399" s="43">
        <f t="shared" si="271"/>
        <v>3704.4</v>
      </c>
      <c r="Q399" s="119">
        <f>'LOE Breakdown by Year'!H156</f>
        <v>0.16</v>
      </c>
      <c r="R399" s="43">
        <f t="shared" si="264"/>
        <v>5</v>
      </c>
      <c r="S399" s="43">
        <f t="shared" si="272"/>
        <v>1620.6750000000002</v>
      </c>
      <c r="T399" s="43">
        <f t="shared" si="273"/>
        <v>10953.075000000001</v>
      </c>
      <c r="U399" s="43">
        <v>0</v>
      </c>
      <c r="V399" s="43">
        <f t="shared" si="274"/>
        <v>10953.075000000001</v>
      </c>
    </row>
    <row r="400" spans="1:22">
      <c r="A400" s="7" t="s">
        <v>750</v>
      </c>
      <c r="B400" s="44">
        <v>70000</v>
      </c>
      <c r="C400" s="7" t="s">
        <v>710</v>
      </c>
      <c r="D400" s="7" t="str">
        <f t="shared" si="259"/>
        <v>Finance &amp; Admin Coordinator - 50% LOE</v>
      </c>
      <c r="E400" s="43">
        <v>0</v>
      </c>
      <c r="F400" s="49" t="s">
        <v>95</v>
      </c>
      <c r="G400" s="43">
        <f t="shared" si="260"/>
        <v>2583.3333333333335</v>
      </c>
      <c r="H400" s="119">
        <f>'LOE Breakdown by Year'!H37</f>
        <v>0.1</v>
      </c>
      <c r="I400" s="43">
        <f t="shared" si="261"/>
        <v>12</v>
      </c>
      <c r="J400" s="43">
        <f t="shared" si="269"/>
        <v>3100</v>
      </c>
      <c r="K400" s="119">
        <f>'LOE Breakdown by Year'!H77</f>
        <v>0.1</v>
      </c>
      <c r="L400" s="43">
        <f t="shared" si="262"/>
        <v>12</v>
      </c>
      <c r="M400" s="43">
        <f t="shared" si="270"/>
        <v>3255</v>
      </c>
      <c r="N400" s="119">
        <f>'LOE Breakdown by Year'!H117</f>
        <v>0.1</v>
      </c>
      <c r="O400" s="43">
        <f t="shared" si="263"/>
        <v>12</v>
      </c>
      <c r="P400" s="43">
        <f t="shared" si="271"/>
        <v>3417.75</v>
      </c>
      <c r="Q400" s="119">
        <f>'LOE Breakdown by Year'!H157</f>
        <v>0.1</v>
      </c>
      <c r="R400" s="43">
        <f t="shared" si="264"/>
        <v>6</v>
      </c>
      <c r="S400" s="43">
        <f t="shared" si="272"/>
        <v>1794.3187500000001</v>
      </c>
      <c r="T400" s="43">
        <f t="shared" si="273"/>
        <v>11567.06875</v>
      </c>
      <c r="U400" s="43">
        <v>0</v>
      </c>
      <c r="V400" s="43">
        <f t="shared" si="274"/>
        <v>11567.06875</v>
      </c>
    </row>
    <row r="401" spans="1:22">
      <c r="A401" s="7" t="s">
        <v>750</v>
      </c>
      <c r="B401" s="44">
        <v>70000</v>
      </c>
      <c r="C401" s="7" t="s">
        <v>710</v>
      </c>
      <c r="D401" s="7" t="str">
        <f t="shared" si="259"/>
        <v xml:space="preserve">Administrative Officer </v>
      </c>
      <c r="E401" s="43">
        <v>2991.77</v>
      </c>
      <c r="F401" s="49" t="s">
        <v>95</v>
      </c>
      <c r="G401" s="43">
        <f t="shared" si="260"/>
        <v>1000</v>
      </c>
      <c r="H401" s="119">
        <f>'LOE Breakdown by Year'!H38</f>
        <v>0.1</v>
      </c>
      <c r="I401" s="43">
        <f t="shared" si="261"/>
        <v>12</v>
      </c>
      <c r="J401" s="43">
        <f t="shared" si="269"/>
        <v>1200</v>
      </c>
      <c r="K401" s="119">
        <f>'LOE Breakdown by Year'!H78</f>
        <v>0.1</v>
      </c>
      <c r="L401" s="43">
        <f t="shared" si="262"/>
        <v>12</v>
      </c>
      <c r="M401" s="43">
        <f t="shared" si="270"/>
        <v>1260</v>
      </c>
      <c r="N401" s="119">
        <f>'LOE Breakdown by Year'!H118</f>
        <v>0.1</v>
      </c>
      <c r="O401" s="43">
        <f t="shared" si="263"/>
        <v>12</v>
      </c>
      <c r="P401" s="43">
        <f t="shared" si="271"/>
        <v>1323</v>
      </c>
      <c r="Q401" s="119">
        <f>'LOE Breakdown by Year'!H158</f>
        <v>0.1</v>
      </c>
      <c r="R401" s="43">
        <f t="shared" si="264"/>
        <v>3</v>
      </c>
      <c r="S401" s="43">
        <f t="shared" si="272"/>
        <v>347.28750000000002</v>
      </c>
      <c r="T401" s="43">
        <f t="shared" si="273"/>
        <v>7122.0575000000008</v>
      </c>
      <c r="U401" s="43">
        <v>0</v>
      </c>
      <c r="V401" s="43">
        <f t="shared" si="274"/>
        <v>7122.0575000000008</v>
      </c>
    </row>
    <row r="402" spans="1:22">
      <c r="A402" s="7" t="s">
        <v>750</v>
      </c>
      <c r="B402" s="44">
        <v>70000</v>
      </c>
      <c r="C402" s="7" t="s">
        <v>710</v>
      </c>
      <c r="D402" s="7" t="str">
        <f t="shared" si="259"/>
        <v>Human Resource Manager</v>
      </c>
      <c r="E402" s="43">
        <v>0</v>
      </c>
      <c r="F402" s="49" t="s">
        <v>95</v>
      </c>
      <c r="G402" s="43">
        <f t="shared" si="260"/>
        <v>1954.1666666666667</v>
      </c>
      <c r="H402" s="119">
        <f>'LOE Breakdown by Year'!H39</f>
        <v>0.1</v>
      </c>
      <c r="I402" s="43">
        <f t="shared" si="261"/>
        <v>12</v>
      </c>
      <c r="J402" s="43">
        <f t="shared" si="269"/>
        <v>2345</v>
      </c>
      <c r="K402" s="119">
        <f>'LOE Breakdown by Year'!H79</f>
        <v>0.1</v>
      </c>
      <c r="L402" s="43">
        <f t="shared" si="262"/>
        <v>12</v>
      </c>
      <c r="M402" s="43">
        <f t="shared" si="270"/>
        <v>2462.25</v>
      </c>
      <c r="N402" s="119">
        <f>'LOE Breakdown by Year'!H119</f>
        <v>0.1</v>
      </c>
      <c r="O402" s="43">
        <f t="shared" si="263"/>
        <v>12</v>
      </c>
      <c r="P402" s="43">
        <f t="shared" si="271"/>
        <v>2585.3625000000002</v>
      </c>
      <c r="Q402" s="119">
        <f>'LOE Breakdown by Year'!H159</f>
        <v>0.1</v>
      </c>
      <c r="R402" s="43">
        <f t="shared" si="264"/>
        <v>6</v>
      </c>
      <c r="S402" s="43">
        <f t="shared" si="272"/>
        <v>1357.3153125000001</v>
      </c>
      <c r="T402" s="43">
        <f t="shared" si="273"/>
        <v>8749.9278125000001</v>
      </c>
      <c r="U402" s="43">
        <v>0</v>
      </c>
      <c r="V402" s="43">
        <f t="shared" si="274"/>
        <v>8749.9278125000001</v>
      </c>
    </row>
    <row r="403" spans="1:22">
      <c r="A403" s="7" t="s">
        <v>750</v>
      </c>
      <c r="B403" s="44">
        <v>70000</v>
      </c>
      <c r="C403" s="7" t="s">
        <v>710</v>
      </c>
      <c r="D403" s="7" t="str">
        <f t="shared" si="259"/>
        <v>Human Resource Specialist</v>
      </c>
      <c r="E403" s="43">
        <v>0</v>
      </c>
      <c r="F403" s="49" t="s">
        <v>95</v>
      </c>
      <c r="G403" s="43">
        <f t="shared" si="260"/>
        <v>1750</v>
      </c>
      <c r="H403" s="119">
        <f>'LOE Breakdown by Year'!H40</f>
        <v>0.1</v>
      </c>
      <c r="I403" s="43">
        <f t="shared" si="261"/>
        <v>12</v>
      </c>
      <c r="J403" s="43">
        <f t="shared" si="269"/>
        <v>2100</v>
      </c>
      <c r="K403" s="119">
        <f>'LOE Breakdown by Year'!H80</f>
        <v>0.1</v>
      </c>
      <c r="L403" s="43">
        <f t="shared" si="262"/>
        <v>12</v>
      </c>
      <c r="M403" s="43">
        <f t="shared" si="270"/>
        <v>2205</v>
      </c>
      <c r="N403" s="119">
        <f>'LOE Breakdown by Year'!H120</f>
        <v>0.1</v>
      </c>
      <c r="O403" s="43">
        <f t="shared" si="263"/>
        <v>12</v>
      </c>
      <c r="P403" s="43">
        <f t="shared" si="271"/>
        <v>2315.25</v>
      </c>
      <c r="Q403" s="119">
        <f>'LOE Breakdown by Year'!H160</f>
        <v>0.1</v>
      </c>
      <c r="R403" s="43">
        <f t="shared" si="264"/>
        <v>3</v>
      </c>
      <c r="S403" s="43">
        <f t="shared" si="272"/>
        <v>607.75312500000007</v>
      </c>
      <c r="T403" s="43">
        <f t="shared" si="273"/>
        <v>7228.0031250000002</v>
      </c>
      <c r="U403" s="43">
        <v>0</v>
      </c>
      <c r="V403" s="43">
        <f t="shared" si="274"/>
        <v>7228.0031250000002</v>
      </c>
    </row>
    <row r="404" spans="1:22">
      <c r="A404" s="40"/>
      <c r="B404" s="40"/>
      <c r="C404" s="40"/>
      <c r="D404" s="40" t="s">
        <v>320</v>
      </c>
      <c r="E404" s="47">
        <f>SUM(E374:E403)</f>
        <v>183440.27999999997</v>
      </c>
      <c r="F404" s="45"/>
      <c r="G404" s="46"/>
      <c r="H404" s="132"/>
      <c r="I404" s="47"/>
      <c r="J404" s="47">
        <f>SUM(J374:J403)</f>
        <v>106097.92</v>
      </c>
      <c r="K404" s="132"/>
      <c r="L404" s="47"/>
      <c r="M404" s="47">
        <f>SUM(M374:M403)</f>
        <v>181595.31599999999</v>
      </c>
      <c r="N404" s="132"/>
      <c r="O404" s="47"/>
      <c r="P404" s="47">
        <f>SUM(P374:P403)</f>
        <v>190675.08179999999</v>
      </c>
      <c r="Q404" s="132"/>
      <c r="R404" s="47"/>
      <c r="S404" s="47">
        <f>SUM(S374:S403)</f>
        <v>41262.339195</v>
      </c>
      <c r="T404" s="47">
        <f>SUM(T374:T403)</f>
        <v>703070.93699500011</v>
      </c>
      <c r="U404" s="47">
        <f>SUM(U374:U403)</f>
        <v>0</v>
      </c>
      <c r="V404" s="47">
        <f>SUM(V374:V403)</f>
        <v>703070.93699500011</v>
      </c>
    </row>
    <row r="405" spans="1:22">
      <c r="A405" s="104"/>
      <c r="B405" s="104"/>
      <c r="C405" s="104"/>
      <c r="D405" s="104"/>
      <c r="E405" s="593"/>
      <c r="F405" s="81"/>
      <c r="G405" s="62"/>
      <c r="H405" s="133"/>
      <c r="I405" s="62"/>
      <c r="J405" s="62"/>
      <c r="K405" s="133"/>
      <c r="L405" s="62"/>
      <c r="M405" s="62"/>
      <c r="N405" s="133"/>
      <c r="O405" s="62"/>
      <c r="P405" s="62"/>
      <c r="Q405" s="133"/>
      <c r="R405" s="62"/>
      <c r="S405" s="62"/>
      <c r="T405" s="62"/>
      <c r="U405" s="62"/>
      <c r="V405" s="62"/>
    </row>
    <row r="406" spans="1:22">
      <c r="A406" s="40"/>
      <c r="B406" s="40"/>
      <c r="C406" s="40"/>
      <c r="D406" s="40" t="s">
        <v>321</v>
      </c>
      <c r="E406" s="47"/>
      <c r="F406" s="45"/>
      <c r="G406" s="46"/>
      <c r="H406" s="132"/>
      <c r="I406" s="47"/>
      <c r="J406" s="47"/>
      <c r="K406" s="132"/>
      <c r="L406" s="47"/>
      <c r="M406" s="47"/>
      <c r="N406" s="132"/>
      <c r="O406" s="47"/>
      <c r="P406" s="47"/>
      <c r="Q406" s="132"/>
      <c r="R406" s="47"/>
      <c r="S406" s="47"/>
      <c r="T406" s="47"/>
      <c r="U406" s="47"/>
      <c r="V406" s="47"/>
    </row>
    <row r="407" spans="1:22" ht="25.2">
      <c r="A407" s="7" t="s">
        <v>791</v>
      </c>
      <c r="B407" s="44">
        <v>70015</v>
      </c>
      <c r="C407" s="7" t="s">
        <v>710</v>
      </c>
      <c r="D407" s="7" t="str">
        <f>D51</f>
        <v>Fringe Benefits CCN - Colombia (above $3,350 monthly)</v>
      </c>
      <c r="E407" s="43">
        <v>5879.31</v>
      </c>
      <c r="F407" s="82" t="s">
        <v>132</v>
      </c>
      <c r="G407" s="466">
        <f>G51</f>
        <v>0.53864000000000001</v>
      </c>
      <c r="H407" s="120"/>
      <c r="I407" s="43"/>
      <c r="J407" s="43">
        <f>(J376+J392+J385+J389+J397+J395+J375)*$G$51</f>
        <v>24375.032828799998</v>
      </c>
      <c r="K407" s="120"/>
      <c r="L407" s="43"/>
      <c r="M407" s="43">
        <f>(M376+M392+M385+M389+M397+M395+M375)*$G$51</f>
        <v>42787.173270239997</v>
      </c>
      <c r="N407" s="120"/>
      <c r="O407" s="43"/>
      <c r="P407" s="43">
        <f>(P376+P392+P385+P389+P397+P395+P375)*$G$51</f>
        <v>44926.531933751998</v>
      </c>
      <c r="Q407" s="120"/>
      <c r="R407" s="43"/>
      <c r="S407" s="43">
        <f>(S376+S392+S385+S389+S397+S395+S375)*$G$51</f>
        <v>14612.6043859698</v>
      </c>
      <c r="T407" s="43">
        <f t="shared" ref="T407:T410" si="275">SUM(P407,M407,J407,E407,S407)</f>
        <v>132580.65241876181</v>
      </c>
      <c r="U407" s="43">
        <v>0</v>
      </c>
      <c r="V407" s="43">
        <f t="shared" ref="V407:V410" si="276">SUM(T407:U407)</f>
        <v>132580.65241876181</v>
      </c>
    </row>
    <row r="408" spans="1:22" ht="25.2">
      <c r="A408" s="7" t="s">
        <v>791</v>
      </c>
      <c r="B408" s="44">
        <v>70015</v>
      </c>
      <c r="C408" s="7" t="s">
        <v>710</v>
      </c>
      <c r="D408" s="7" t="str">
        <f>D52</f>
        <v>Fringe Benefits CCN - Colombia (below $3,350 monthly)</v>
      </c>
      <c r="E408" s="83">
        <v>65038.66</v>
      </c>
      <c r="F408" s="82" t="s">
        <v>132</v>
      </c>
      <c r="G408" s="466">
        <f>G52</f>
        <v>0.44863999999999998</v>
      </c>
      <c r="H408" s="125"/>
      <c r="I408" s="83"/>
      <c r="J408" s="43">
        <f>(J377+J378+J379+J380+J381+J382+J383+J384+J386+J387+J388+J390+J391+J393+J394+J396+J398+J399+J400+J401+J402+J403)*$G$52</f>
        <v>19625.756799999999</v>
      </c>
      <c r="K408" s="125"/>
      <c r="L408" s="83"/>
      <c r="M408" s="43">
        <f>(M377+M378+M379+M380+M381+M382+M383+M384+M386+M387+M388+M390+M391+M393+M394+M396+M398+M399+M400+M401+M402+M403)*$G$52</f>
        <v>30527.820959999997</v>
      </c>
      <c r="N408" s="125"/>
      <c r="O408" s="83"/>
      <c r="P408" s="43">
        <f>(P377+P378+P379+P380+P381+P382+P383+P384+P386+P387+P388+P390+P391+P393+P394+P396+P398+P399+P400+P401+P402+P403)*$G$52</f>
        <v>32054.212007999999</v>
      </c>
      <c r="Q408" s="125"/>
      <c r="R408" s="83"/>
      <c r="S408" s="43">
        <f>(S377+S378+S379+S380+S381+S382+S383+S384+S386+S387+S388+S390+S391+S393+S394+S396+S398+S399+S400+S401+S402+S403)*$G$52</f>
        <v>6340.9147074000002</v>
      </c>
      <c r="T408" s="43">
        <f t="shared" si="275"/>
        <v>153587.36447539998</v>
      </c>
      <c r="U408" s="43">
        <v>0</v>
      </c>
      <c r="V408" s="43">
        <f t="shared" si="276"/>
        <v>153587.36447539998</v>
      </c>
    </row>
    <row r="409" spans="1:22">
      <c r="A409" s="7" t="s">
        <v>792</v>
      </c>
      <c r="B409" s="44">
        <v>50202</v>
      </c>
      <c r="C409" s="7" t="s">
        <v>709</v>
      </c>
      <c r="D409" s="7" t="str">
        <f>D54</f>
        <v>Post (Hardship) Differential for Chief of Party</v>
      </c>
      <c r="E409" s="83">
        <v>368.72</v>
      </c>
      <c r="F409" s="82" t="s">
        <v>132</v>
      </c>
      <c r="G409" s="59">
        <f>G54</f>
        <v>0.15</v>
      </c>
      <c r="H409" s="125"/>
      <c r="I409" s="83"/>
      <c r="J409" s="83">
        <f>J374*$G$409</f>
        <v>2565</v>
      </c>
      <c r="K409" s="125"/>
      <c r="L409" s="83"/>
      <c r="M409" s="83">
        <f>M374*$G$409</f>
        <v>5117.1750000000002</v>
      </c>
      <c r="N409" s="125"/>
      <c r="O409" s="83"/>
      <c r="P409" s="83">
        <f>P374*$G$409</f>
        <v>5373.0337499999996</v>
      </c>
      <c r="Q409" s="125"/>
      <c r="R409" s="83"/>
      <c r="S409" s="83">
        <f>S374*$G$409</f>
        <v>0</v>
      </c>
      <c r="T409" s="43">
        <f t="shared" si="275"/>
        <v>13423.928749999999</v>
      </c>
      <c r="U409" s="43">
        <v>0</v>
      </c>
      <c r="V409" s="43">
        <f t="shared" si="276"/>
        <v>13423.928749999999</v>
      </c>
    </row>
    <row r="410" spans="1:22">
      <c r="A410" s="7" t="s">
        <v>791</v>
      </c>
      <c r="B410" s="44">
        <v>50900</v>
      </c>
      <c r="C410" s="7" t="s">
        <v>709</v>
      </c>
      <c r="D410" s="7" t="str">
        <f>D55</f>
        <v>Fringe Benefits Package for Chief of Party</v>
      </c>
      <c r="E410" s="83">
        <v>2204.7399999999998</v>
      </c>
      <c r="F410" s="82" t="s">
        <v>132</v>
      </c>
      <c r="G410" s="59">
        <f>G55</f>
        <v>0.56469999999999998</v>
      </c>
      <c r="H410" s="125"/>
      <c r="I410" s="83"/>
      <c r="J410" s="83">
        <f>J374*$G$410</f>
        <v>9656.369999999999</v>
      </c>
      <c r="K410" s="125"/>
      <c r="L410" s="83"/>
      <c r="M410" s="83">
        <f>M374*$G$410</f>
        <v>19264.458149999999</v>
      </c>
      <c r="N410" s="125"/>
      <c r="O410" s="83"/>
      <c r="P410" s="83">
        <f>P374*$G$410</f>
        <v>20227.681057499998</v>
      </c>
      <c r="Q410" s="125"/>
      <c r="R410" s="83"/>
      <c r="S410" s="83">
        <f>S374*$G$410</f>
        <v>0</v>
      </c>
      <c r="T410" s="43">
        <f t="shared" si="275"/>
        <v>51353.249207499997</v>
      </c>
      <c r="U410" s="43">
        <v>0</v>
      </c>
      <c r="V410" s="43">
        <f t="shared" si="276"/>
        <v>51353.249207499997</v>
      </c>
    </row>
    <row r="411" spans="1:22">
      <c r="A411" s="40"/>
      <c r="B411" s="40"/>
      <c r="C411" s="40"/>
      <c r="D411" s="40" t="s">
        <v>322</v>
      </c>
      <c r="E411" s="47">
        <f>SUM(E407:E410)</f>
        <v>73491.430000000008</v>
      </c>
      <c r="F411" s="45"/>
      <c r="G411" s="46"/>
      <c r="H411" s="132"/>
      <c r="I411" s="47"/>
      <c r="J411" s="47">
        <f>SUM(J407:J410)</f>
        <v>56222.1596288</v>
      </c>
      <c r="K411" s="132"/>
      <c r="L411" s="47"/>
      <c r="M411" s="47">
        <f>SUM(M407:M410)</f>
        <v>97696.62738024001</v>
      </c>
      <c r="N411" s="132"/>
      <c r="O411" s="47"/>
      <c r="P411" s="47">
        <f>SUM(P407:P410)</f>
        <v>102581.45874925199</v>
      </c>
      <c r="Q411" s="132"/>
      <c r="R411" s="47"/>
      <c r="S411" s="47">
        <f>SUM(S407:S410)</f>
        <v>20953.5190933698</v>
      </c>
      <c r="T411" s="47">
        <f>SUM(T407:T410)</f>
        <v>350945.19485166186</v>
      </c>
      <c r="U411" s="47">
        <f>SUM(U407:U410)</f>
        <v>0</v>
      </c>
      <c r="V411" s="47">
        <f>SUM(V407:V410)</f>
        <v>350945.19485166186</v>
      </c>
    </row>
    <row r="412" spans="1:22">
      <c r="A412" s="104"/>
      <c r="B412" s="104"/>
      <c r="C412" s="104"/>
      <c r="D412" s="104"/>
      <c r="E412" s="62"/>
      <c r="F412" s="81"/>
      <c r="G412" s="62"/>
      <c r="H412" s="133"/>
      <c r="I412" s="62"/>
      <c r="J412" s="62"/>
      <c r="K412" s="133"/>
      <c r="L412" s="62"/>
      <c r="M412" s="62"/>
      <c r="N412" s="133"/>
      <c r="O412" s="62"/>
      <c r="P412" s="62"/>
      <c r="Q412" s="133"/>
      <c r="R412" s="62"/>
      <c r="S412" s="62"/>
      <c r="T412" s="62"/>
      <c r="U412" s="62"/>
      <c r="V412" s="62"/>
    </row>
    <row r="413" spans="1:22">
      <c r="A413" s="40"/>
      <c r="B413" s="40"/>
      <c r="C413" s="40"/>
      <c r="D413" s="40" t="s">
        <v>323</v>
      </c>
      <c r="E413" s="46"/>
      <c r="F413" s="45"/>
      <c r="G413" s="46"/>
      <c r="H413" s="132"/>
      <c r="I413" s="46"/>
      <c r="J413" s="46"/>
      <c r="K413" s="132"/>
      <c r="L413" s="46"/>
      <c r="M413" s="46"/>
      <c r="N413" s="132"/>
      <c r="O413" s="46"/>
      <c r="P413" s="46"/>
      <c r="Q413" s="132"/>
      <c r="R413" s="46"/>
      <c r="S413" s="46"/>
      <c r="T413" s="46"/>
      <c r="U413" s="46"/>
      <c r="V413" s="46"/>
    </row>
    <row r="414" spans="1:22">
      <c r="A414" s="44" t="s">
        <v>794</v>
      </c>
      <c r="B414" s="44">
        <v>89000</v>
      </c>
      <c r="C414" s="7" t="s">
        <v>710</v>
      </c>
      <c r="D414" s="44" t="s">
        <v>324</v>
      </c>
      <c r="E414" s="43">
        <v>188092.28899999999</v>
      </c>
      <c r="F414" s="48" t="s">
        <v>172</v>
      </c>
      <c r="G414" s="43">
        <v>40000</v>
      </c>
      <c r="H414" s="125"/>
      <c r="I414" s="43">
        <v>1</v>
      </c>
      <c r="J414" s="43">
        <f t="shared" ref="J414:J419" si="277">I414*G414</f>
        <v>40000</v>
      </c>
      <c r="K414" s="125"/>
      <c r="L414" s="43">
        <v>0</v>
      </c>
      <c r="M414" s="43">
        <v>0</v>
      </c>
      <c r="N414" s="125"/>
      <c r="O414" s="43">
        <v>0</v>
      </c>
      <c r="P414" s="43">
        <v>0</v>
      </c>
      <c r="Q414" s="125"/>
      <c r="R414" s="43">
        <v>0</v>
      </c>
      <c r="S414" s="43">
        <v>0</v>
      </c>
      <c r="T414" s="43">
        <f t="shared" ref="T414:T419" si="278">SUM(P414,M414,J414,E414,S414)</f>
        <v>228092.28899999999</v>
      </c>
      <c r="U414" s="43">
        <v>0</v>
      </c>
      <c r="V414" s="43">
        <f t="shared" ref="V414:V419" si="279">SUM(T414:U414)</f>
        <v>228092.28899999999</v>
      </c>
    </row>
    <row r="415" spans="1:22" ht="25.2">
      <c r="A415" s="7" t="s">
        <v>795</v>
      </c>
      <c r="B415" s="44" t="s">
        <v>770</v>
      </c>
      <c r="C415" s="7" t="s">
        <v>710</v>
      </c>
      <c r="D415" s="7" t="s">
        <v>325</v>
      </c>
      <c r="E415" s="43">
        <v>33306.71</v>
      </c>
      <c r="F415" s="48" t="s">
        <v>237</v>
      </c>
      <c r="G415" s="43">
        <v>5000</v>
      </c>
      <c r="H415" s="125"/>
      <c r="I415" s="43">
        <v>1</v>
      </c>
      <c r="J415" s="43">
        <f t="shared" si="277"/>
        <v>5000</v>
      </c>
      <c r="K415" s="125"/>
      <c r="L415" s="43">
        <v>0</v>
      </c>
      <c r="M415" s="43">
        <f>L415*G415</f>
        <v>0</v>
      </c>
      <c r="N415" s="125"/>
      <c r="O415" s="43">
        <v>0</v>
      </c>
      <c r="P415" s="43">
        <f>O415*G415</f>
        <v>0</v>
      </c>
      <c r="Q415" s="125"/>
      <c r="R415" s="43">
        <v>0</v>
      </c>
      <c r="S415" s="43">
        <f>R415*G415</f>
        <v>0</v>
      </c>
      <c r="T415" s="43">
        <f t="shared" ref="T415:T418" si="280">SUM(P415,M415,J415,E415,S415)</f>
        <v>38306.71</v>
      </c>
      <c r="U415" s="43">
        <v>0</v>
      </c>
      <c r="V415" s="43">
        <f t="shared" ref="V415:V418" si="281">SUM(T415:U415)</f>
        <v>38306.71</v>
      </c>
    </row>
    <row r="416" spans="1:22" ht="25.2">
      <c r="A416" s="591" t="s">
        <v>798</v>
      </c>
      <c r="B416" s="44" t="s">
        <v>770</v>
      </c>
      <c r="C416" s="7" t="s">
        <v>710</v>
      </c>
      <c r="D416" s="7" t="s">
        <v>326</v>
      </c>
      <c r="E416" s="43">
        <v>0</v>
      </c>
      <c r="F416" s="48" t="s">
        <v>237</v>
      </c>
      <c r="G416" s="43">
        <v>150000</v>
      </c>
      <c r="H416" s="125"/>
      <c r="I416" s="43">
        <v>1</v>
      </c>
      <c r="J416" s="43">
        <f t="shared" si="277"/>
        <v>150000</v>
      </c>
      <c r="K416" s="125"/>
      <c r="L416" s="43">
        <v>1</v>
      </c>
      <c r="M416" s="43">
        <f>L416*G416</f>
        <v>150000</v>
      </c>
      <c r="N416" s="125"/>
      <c r="O416" s="43">
        <v>0</v>
      </c>
      <c r="P416" s="43">
        <f>O416*G416</f>
        <v>0</v>
      </c>
      <c r="Q416" s="125"/>
      <c r="R416" s="43">
        <v>0</v>
      </c>
      <c r="S416" s="43">
        <f>R416*G416</f>
        <v>0</v>
      </c>
      <c r="T416" s="43">
        <f>SUM(P416,M416,J416,E416,S416)</f>
        <v>300000</v>
      </c>
      <c r="U416" s="43">
        <v>0</v>
      </c>
      <c r="V416" s="43">
        <f t="shared" si="281"/>
        <v>300000</v>
      </c>
    </row>
    <row r="417" spans="1:22" ht="25.2">
      <c r="A417" s="591" t="s">
        <v>799</v>
      </c>
      <c r="B417" s="44" t="s">
        <v>770</v>
      </c>
      <c r="C417" s="7" t="s">
        <v>710</v>
      </c>
      <c r="D417" s="7" t="s">
        <v>327</v>
      </c>
      <c r="E417" s="43">
        <v>0</v>
      </c>
      <c r="F417" s="48" t="s">
        <v>237</v>
      </c>
      <c r="G417" s="43">
        <v>25000</v>
      </c>
      <c r="H417" s="125"/>
      <c r="I417" s="43">
        <v>1</v>
      </c>
      <c r="J417" s="43">
        <f t="shared" si="277"/>
        <v>25000</v>
      </c>
      <c r="K417" s="125"/>
      <c r="L417" s="43">
        <v>1</v>
      </c>
      <c r="M417" s="43">
        <f>L417*G417</f>
        <v>25000</v>
      </c>
      <c r="N417" s="125"/>
      <c r="O417" s="43">
        <v>1</v>
      </c>
      <c r="P417" s="43">
        <f>O417*G417</f>
        <v>25000</v>
      </c>
      <c r="Q417" s="125"/>
      <c r="R417" s="43">
        <v>0</v>
      </c>
      <c r="S417" s="43">
        <f>R417*G417</f>
        <v>0</v>
      </c>
      <c r="T417" s="43">
        <f>SUM(P417,M417,J417,E417,S417)</f>
        <v>75000</v>
      </c>
      <c r="U417" s="43">
        <v>0</v>
      </c>
      <c r="V417" s="43">
        <f t="shared" ref="V417" si="282">SUM(T417:U417)</f>
        <v>75000</v>
      </c>
    </row>
    <row r="418" spans="1:22" ht="25.2" hidden="1">
      <c r="D418" s="7" t="s">
        <v>328</v>
      </c>
      <c r="E418" s="43">
        <v>0</v>
      </c>
      <c r="F418" s="48" t="s">
        <v>237</v>
      </c>
      <c r="G418" s="43">
        <v>0</v>
      </c>
      <c r="H418" s="125"/>
      <c r="I418" s="43">
        <v>0</v>
      </c>
      <c r="J418" s="43">
        <f t="shared" si="277"/>
        <v>0</v>
      </c>
      <c r="K418" s="125"/>
      <c r="L418" s="43">
        <v>1</v>
      </c>
      <c r="M418" s="43">
        <f>L418*G418</f>
        <v>0</v>
      </c>
      <c r="N418" s="125"/>
      <c r="O418" s="43">
        <v>0</v>
      </c>
      <c r="P418" s="43">
        <f>O418*G418</f>
        <v>0</v>
      </c>
      <c r="Q418" s="125"/>
      <c r="R418" s="43">
        <v>0</v>
      </c>
      <c r="S418" s="43">
        <f>R418*G418</f>
        <v>0</v>
      </c>
      <c r="T418" s="43">
        <f t="shared" si="280"/>
        <v>0</v>
      </c>
      <c r="U418" s="43">
        <v>0</v>
      </c>
      <c r="V418" s="43">
        <f t="shared" si="281"/>
        <v>0</v>
      </c>
    </row>
    <row r="419" spans="1:22" ht="25.2" hidden="1">
      <c r="D419" s="7" t="s">
        <v>329</v>
      </c>
      <c r="E419" s="43">
        <v>0</v>
      </c>
      <c r="F419" s="48" t="s">
        <v>95</v>
      </c>
      <c r="G419" s="43">
        <v>0</v>
      </c>
      <c r="H419" s="125"/>
      <c r="I419" s="43">
        <v>0</v>
      </c>
      <c r="J419" s="43">
        <f t="shared" si="277"/>
        <v>0</v>
      </c>
      <c r="K419" s="125"/>
      <c r="L419" s="43">
        <v>2</v>
      </c>
      <c r="M419" s="43">
        <f>L419*G419</f>
        <v>0</v>
      </c>
      <c r="N419" s="125"/>
      <c r="O419" s="43">
        <v>0</v>
      </c>
      <c r="P419" s="43">
        <f>O419*G419</f>
        <v>0</v>
      </c>
      <c r="Q419" s="125"/>
      <c r="R419" s="43">
        <v>0</v>
      </c>
      <c r="S419" s="43">
        <f>R419*G419</f>
        <v>0</v>
      </c>
      <c r="T419" s="43">
        <f t="shared" si="278"/>
        <v>0</v>
      </c>
      <c r="U419" s="43">
        <v>0</v>
      </c>
      <c r="V419" s="43">
        <f t="shared" si="279"/>
        <v>0</v>
      </c>
    </row>
    <row r="420" spans="1:22" ht="24.9">
      <c r="A420" s="40"/>
      <c r="B420" s="40"/>
      <c r="C420" s="40"/>
      <c r="D420" s="40" t="s">
        <v>330</v>
      </c>
      <c r="E420" s="47">
        <f>SUM(E414:E419)</f>
        <v>221398.99899999998</v>
      </c>
      <c r="F420" s="45"/>
      <c r="G420" s="46"/>
      <c r="H420" s="132"/>
      <c r="I420" s="47"/>
      <c r="J420" s="47">
        <f>SUM(J414:J419)</f>
        <v>220000</v>
      </c>
      <c r="K420" s="132"/>
      <c r="L420" s="47"/>
      <c r="M420" s="47">
        <f>SUM(M414:M419)</f>
        <v>175000</v>
      </c>
      <c r="N420" s="132"/>
      <c r="O420" s="47"/>
      <c r="P420" s="47">
        <f>SUM(P414:P419)</f>
        <v>25000</v>
      </c>
      <c r="Q420" s="132"/>
      <c r="R420" s="47"/>
      <c r="S420" s="47">
        <f>SUM(S414:S419)</f>
        <v>0</v>
      </c>
      <c r="T420" s="47">
        <f>SUM(T414:T419)</f>
        <v>641398.99900000007</v>
      </c>
      <c r="U420" s="47">
        <f>SUM(U414:U419)</f>
        <v>0</v>
      </c>
      <c r="V420" s="47">
        <f>SUM(V414:V419)</f>
        <v>641398.99900000007</v>
      </c>
    </row>
    <row r="421" spans="1:22">
      <c r="A421" s="104"/>
      <c r="B421" s="104"/>
      <c r="C421" s="104"/>
      <c r="D421" s="104"/>
      <c r="E421" s="62"/>
      <c r="F421" s="81"/>
      <c r="G421" s="62"/>
      <c r="H421" s="133"/>
      <c r="I421" s="62"/>
      <c r="J421" s="62"/>
      <c r="K421" s="133"/>
      <c r="L421" s="62"/>
      <c r="M421" s="62"/>
      <c r="N421" s="133"/>
      <c r="O421" s="62"/>
      <c r="P421" s="62"/>
      <c r="Q421" s="133"/>
      <c r="R421" s="62"/>
      <c r="S421" s="62"/>
      <c r="T421" s="62"/>
      <c r="U421" s="62"/>
      <c r="V421" s="62"/>
    </row>
    <row r="422" spans="1:22">
      <c r="A422" s="40"/>
      <c r="B422" s="40"/>
      <c r="C422" s="40"/>
      <c r="D422" s="40" t="s">
        <v>331</v>
      </c>
      <c r="E422" s="46"/>
      <c r="F422" s="45"/>
      <c r="G422" s="46"/>
      <c r="H422" s="132"/>
      <c r="I422" s="46"/>
      <c r="J422" s="46"/>
      <c r="K422" s="132"/>
      <c r="L422" s="46"/>
      <c r="M422" s="46"/>
      <c r="N422" s="132"/>
      <c r="O422" s="46"/>
      <c r="P422" s="46"/>
      <c r="Q422" s="132"/>
      <c r="R422" s="46"/>
      <c r="S422" s="46"/>
      <c r="T422" s="46"/>
      <c r="U422" s="46"/>
      <c r="V422" s="46"/>
    </row>
    <row r="423" spans="1:22">
      <c r="A423" s="7" t="s">
        <v>793</v>
      </c>
      <c r="B423" s="44">
        <v>86000</v>
      </c>
      <c r="C423" s="7" t="s">
        <v>710</v>
      </c>
      <c r="D423" s="7" t="s">
        <v>294</v>
      </c>
      <c r="E423" s="43">
        <v>450</v>
      </c>
      <c r="F423" s="7" t="s">
        <v>95</v>
      </c>
      <c r="G423" s="43">
        <v>300</v>
      </c>
      <c r="H423" s="125"/>
      <c r="I423" s="43">
        <v>12</v>
      </c>
      <c r="J423" s="43">
        <f>I423*G423</f>
        <v>3600</v>
      </c>
      <c r="K423" s="125"/>
      <c r="L423" s="43">
        <v>12</v>
      </c>
      <c r="M423" s="43">
        <f>L423*G423*$E$7</f>
        <v>3744</v>
      </c>
      <c r="N423" s="125"/>
      <c r="O423" s="43">
        <v>12</v>
      </c>
      <c r="P423" s="43">
        <f>O423*G423*$E$7*$E$7</f>
        <v>3893.76</v>
      </c>
      <c r="Q423" s="125"/>
      <c r="R423" s="43">
        <v>0</v>
      </c>
      <c r="S423" s="43">
        <f>R423*G423*$E$7*$E$7*$E$7</f>
        <v>0</v>
      </c>
      <c r="T423" s="43">
        <f t="shared" ref="T423" si="283">SUM(P423,M423,J423,E423,S423)</f>
        <v>11687.76</v>
      </c>
      <c r="U423" s="43">
        <v>0</v>
      </c>
      <c r="V423" s="43">
        <f t="shared" ref="V423" si="284">SUM(T423:U423)</f>
        <v>11687.76</v>
      </c>
    </row>
    <row r="424" spans="1:22">
      <c r="A424" s="7" t="s">
        <v>793</v>
      </c>
      <c r="B424" s="44">
        <v>86000</v>
      </c>
      <c r="C424" s="7" t="s">
        <v>710</v>
      </c>
      <c r="D424" s="7" t="s">
        <v>243</v>
      </c>
      <c r="E424" s="43">
        <v>10363.09</v>
      </c>
      <c r="F424" s="7" t="s">
        <v>144</v>
      </c>
      <c r="G424" s="43">
        <v>300</v>
      </c>
      <c r="H424" s="128"/>
      <c r="I424" s="43">
        <v>12</v>
      </c>
      <c r="J424" s="43">
        <f t="shared" ref="J424:J425" si="285">I424*G424</f>
        <v>3600</v>
      </c>
      <c r="K424" s="128"/>
      <c r="L424" s="43">
        <v>12</v>
      </c>
      <c r="M424" s="43">
        <f t="shared" ref="M424:M425" si="286">L424*G424*$E$7</f>
        <v>3744</v>
      </c>
      <c r="N424" s="128"/>
      <c r="O424" s="43">
        <v>12</v>
      </c>
      <c r="P424" s="43">
        <f t="shared" ref="P424:P425" si="287">O424*G424*$E$7*$E$7</f>
        <v>3893.76</v>
      </c>
      <c r="Q424" s="128"/>
      <c r="R424" s="43">
        <v>6</v>
      </c>
      <c r="S424" s="43">
        <f t="shared" ref="S424:S425" si="288">R424*G424*$E$7*$E$7*$E$7</f>
        <v>2024.7552000000003</v>
      </c>
      <c r="T424" s="43">
        <f>SUM(P424,M424,J424,E424,S424)</f>
        <v>23625.605199999998</v>
      </c>
      <c r="U424" s="43">
        <v>0</v>
      </c>
      <c r="V424" s="43">
        <f t="shared" ref="V424:V425" si="289">SUM(T424:U424)</f>
        <v>23625.605199999998</v>
      </c>
    </row>
    <row r="425" spans="1:22" ht="25.2">
      <c r="A425" s="7" t="s">
        <v>793</v>
      </c>
      <c r="B425" s="44" t="s">
        <v>718</v>
      </c>
      <c r="C425" s="7" t="s">
        <v>710</v>
      </c>
      <c r="D425" s="7" t="s">
        <v>244</v>
      </c>
      <c r="E425" s="43">
        <v>6302.21</v>
      </c>
      <c r="F425" s="7" t="s">
        <v>146</v>
      </c>
      <c r="G425" s="43">
        <f>77+80</f>
        <v>157</v>
      </c>
      <c r="H425" s="128"/>
      <c r="I425" s="43">
        <f>3*I424</f>
        <v>36</v>
      </c>
      <c r="J425" s="43">
        <f t="shared" si="285"/>
        <v>5652</v>
      </c>
      <c r="K425" s="128"/>
      <c r="L425" s="43">
        <f>3*L424</f>
        <v>36</v>
      </c>
      <c r="M425" s="43">
        <f t="shared" si="286"/>
        <v>5878.08</v>
      </c>
      <c r="N425" s="128"/>
      <c r="O425" s="43">
        <f>3*O424</f>
        <v>36</v>
      </c>
      <c r="P425" s="43">
        <f t="shared" si="287"/>
        <v>6113.2031999999999</v>
      </c>
      <c r="Q425" s="128"/>
      <c r="R425" s="43">
        <f>3*R424</f>
        <v>18</v>
      </c>
      <c r="S425" s="43">
        <f t="shared" si="288"/>
        <v>3178.8656639999999</v>
      </c>
      <c r="T425" s="43">
        <f>SUM(P425,M425,J425,E425,S425)</f>
        <v>27124.358863999998</v>
      </c>
      <c r="U425" s="43">
        <v>0</v>
      </c>
      <c r="V425" s="43">
        <f t="shared" si="289"/>
        <v>27124.358863999998</v>
      </c>
    </row>
    <row r="426" spans="1:22">
      <c r="A426" s="40"/>
      <c r="B426" s="40"/>
      <c r="C426" s="40"/>
      <c r="D426" s="40" t="s">
        <v>332</v>
      </c>
      <c r="E426" s="47">
        <f>SUM(E423:E425)</f>
        <v>17115.3</v>
      </c>
      <c r="F426" s="45"/>
      <c r="G426" s="46"/>
      <c r="H426" s="132"/>
      <c r="I426" s="46"/>
      <c r="J426" s="47">
        <f>SUM(J423:J425)</f>
        <v>12852</v>
      </c>
      <c r="K426" s="132"/>
      <c r="L426" s="46"/>
      <c r="M426" s="47">
        <f>SUM(M423:M425)</f>
        <v>13366.08</v>
      </c>
      <c r="N426" s="132"/>
      <c r="O426" s="46"/>
      <c r="P426" s="47">
        <f>SUM(P423:P425)</f>
        <v>13900.7232</v>
      </c>
      <c r="Q426" s="132"/>
      <c r="R426" s="46"/>
      <c r="S426" s="47">
        <f>SUM(S423:S425)</f>
        <v>5203.6208640000004</v>
      </c>
      <c r="T426" s="47">
        <f>SUM(T423:T425)</f>
        <v>62437.724063999995</v>
      </c>
      <c r="U426" s="47">
        <f>SUM(U423:U425)</f>
        <v>0</v>
      </c>
      <c r="V426" s="47">
        <f>SUM(V423:V425)</f>
        <v>62437.724063999995</v>
      </c>
    </row>
    <row r="427" spans="1:22">
      <c r="A427" s="104"/>
      <c r="B427" s="104"/>
      <c r="C427" s="104"/>
      <c r="D427" s="104"/>
      <c r="E427" s="62"/>
      <c r="F427" s="81"/>
      <c r="G427" s="62"/>
      <c r="H427" s="133"/>
      <c r="I427" s="62"/>
      <c r="J427" s="62"/>
      <c r="K427" s="133"/>
      <c r="L427" s="62"/>
      <c r="M427" s="62"/>
      <c r="N427" s="133"/>
      <c r="O427" s="62"/>
      <c r="P427" s="62"/>
      <c r="Q427" s="133"/>
      <c r="R427" s="62"/>
      <c r="S427" s="62"/>
      <c r="T427" s="62"/>
      <c r="U427" s="62"/>
      <c r="V427" s="62"/>
    </row>
    <row r="428" spans="1:22">
      <c r="A428" s="40"/>
      <c r="B428" s="40"/>
      <c r="C428" s="40"/>
      <c r="D428" s="40" t="s">
        <v>333</v>
      </c>
      <c r="E428" s="46"/>
      <c r="F428" s="45"/>
      <c r="G428" s="46"/>
      <c r="H428" s="132"/>
      <c r="I428" s="46"/>
      <c r="J428" s="46"/>
      <c r="K428" s="132"/>
      <c r="L428" s="46"/>
      <c r="M428" s="46"/>
      <c r="N428" s="132"/>
      <c r="O428" s="46"/>
      <c r="P428" s="46"/>
      <c r="Q428" s="132"/>
      <c r="R428" s="46"/>
      <c r="S428" s="46"/>
      <c r="T428" s="46"/>
      <c r="U428" s="46"/>
      <c r="V428" s="46"/>
    </row>
    <row r="429" spans="1:22">
      <c r="A429" s="91"/>
      <c r="B429" s="91"/>
      <c r="C429" s="91"/>
      <c r="D429" s="91" t="s">
        <v>249</v>
      </c>
      <c r="E429" s="91"/>
      <c r="F429" s="91"/>
      <c r="G429" s="91"/>
      <c r="H429" s="134"/>
      <c r="I429" s="91"/>
      <c r="J429" s="91"/>
      <c r="K429" s="134"/>
      <c r="L429" s="91"/>
      <c r="M429" s="91"/>
      <c r="N429" s="134"/>
      <c r="O429" s="91"/>
      <c r="P429" s="91"/>
      <c r="Q429" s="134"/>
      <c r="R429" s="91"/>
      <c r="S429" s="91"/>
      <c r="T429" s="91"/>
      <c r="U429" s="91"/>
      <c r="V429" s="91"/>
    </row>
    <row r="430" spans="1:22" ht="25.2">
      <c r="A430" s="7" t="s">
        <v>796</v>
      </c>
      <c r="B430" s="44">
        <v>89000</v>
      </c>
      <c r="C430" s="7" t="s">
        <v>710</v>
      </c>
      <c r="D430" s="7" t="s">
        <v>334</v>
      </c>
      <c r="E430" s="43">
        <v>204415.31</v>
      </c>
      <c r="F430" s="7" t="s">
        <v>163</v>
      </c>
      <c r="G430" s="43">
        <f>E430</f>
        <v>204415.31</v>
      </c>
      <c r="H430" s="125"/>
      <c r="I430" s="43">
        <v>0</v>
      </c>
      <c r="J430" s="43">
        <f>G430*I430</f>
        <v>0</v>
      </c>
      <c r="K430" s="125"/>
      <c r="L430" s="43">
        <v>0</v>
      </c>
      <c r="M430" s="43">
        <f>G430*L430</f>
        <v>0</v>
      </c>
      <c r="N430" s="125"/>
      <c r="O430" s="43">
        <v>0</v>
      </c>
      <c r="P430" s="43">
        <f>G430*O430</f>
        <v>0</v>
      </c>
      <c r="Q430" s="125"/>
      <c r="R430" s="43">
        <v>0</v>
      </c>
      <c r="S430" s="43">
        <f>G430*R430</f>
        <v>0</v>
      </c>
      <c r="T430" s="43">
        <f t="shared" ref="T430" si="290">SUM(P430,M430,J430,E430,S430)</f>
        <v>204415.31</v>
      </c>
      <c r="U430" s="43">
        <v>0</v>
      </c>
      <c r="V430" s="43">
        <f t="shared" ref="V430" si="291">SUM(T430:U430)</f>
        <v>204415.31</v>
      </c>
    </row>
    <row r="431" spans="1:22" hidden="1">
      <c r="D431" s="7" t="s">
        <v>335</v>
      </c>
      <c r="E431" s="43">
        <v>0</v>
      </c>
      <c r="F431" s="7" t="s">
        <v>163</v>
      </c>
      <c r="G431" s="43">
        <v>65000</v>
      </c>
      <c r="H431" s="125"/>
      <c r="I431" s="43">
        <v>0</v>
      </c>
      <c r="J431" s="43">
        <f>G431*I431</f>
        <v>0</v>
      </c>
      <c r="K431" s="125"/>
      <c r="L431" s="43">
        <v>0</v>
      </c>
      <c r="M431" s="43">
        <f>G431*L431</f>
        <v>0</v>
      </c>
      <c r="N431" s="125"/>
      <c r="O431" s="43">
        <v>0</v>
      </c>
      <c r="P431" s="43">
        <f>G431*O431</f>
        <v>0</v>
      </c>
      <c r="Q431" s="125"/>
      <c r="R431" s="43">
        <v>0</v>
      </c>
      <c r="S431" s="43">
        <f>G431*R431</f>
        <v>0</v>
      </c>
      <c r="T431" s="43">
        <f t="shared" ref="T431" si="292">SUM(P431,M431,J431,E431,S431)</f>
        <v>0</v>
      </c>
      <c r="U431" s="43">
        <v>0</v>
      </c>
      <c r="V431" s="43">
        <f t="shared" ref="V431" si="293">SUM(T431:U431)</f>
        <v>0</v>
      </c>
    </row>
    <row r="432" spans="1:22">
      <c r="A432" s="91"/>
      <c r="B432" s="91"/>
      <c r="C432" s="91"/>
      <c r="D432" s="91" t="s">
        <v>336</v>
      </c>
      <c r="E432" s="91"/>
      <c r="F432" s="91"/>
      <c r="G432" s="91"/>
      <c r="H432" s="134"/>
      <c r="I432" s="91"/>
      <c r="J432" s="91"/>
      <c r="K432" s="134"/>
      <c r="L432" s="91"/>
      <c r="M432" s="91"/>
      <c r="N432" s="134"/>
      <c r="O432" s="91"/>
      <c r="P432" s="91"/>
      <c r="Q432" s="134"/>
      <c r="R432" s="91"/>
      <c r="S432" s="91"/>
      <c r="T432" s="91"/>
      <c r="U432" s="91"/>
      <c r="V432" s="91"/>
    </row>
    <row r="433" spans="1:23">
      <c r="A433" s="591" t="s">
        <v>800</v>
      </c>
      <c r="B433" s="44">
        <v>87000</v>
      </c>
      <c r="C433" s="7" t="s">
        <v>710</v>
      </c>
      <c r="D433" s="7" t="s">
        <v>337</v>
      </c>
      <c r="E433" s="43">
        <v>0</v>
      </c>
      <c r="F433" s="7" t="s">
        <v>139</v>
      </c>
      <c r="G433" s="43">
        <v>10000</v>
      </c>
      <c r="H433" s="125"/>
      <c r="I433" s="43">
        <v>1</v>
      </c>
      <c r="J433" s="43">
        <f>G433*I433</f>
        <v>10000</v>
      </c>
      <c r="K433" s="125"/>
      <c r="L433" s="43">
        <v>1</v>
      </c>
      <c r="M433" s="43">
        <f>G433*L433</f>
        <v>10000</v>
      </c>
      <c r="N433" s="125"/>
      <c r="O433" s="43">
        <v>1</v>
      </c>
      <c r="P433" s="43">
        <f>G433*O433</f>
        <v>10000</v>
      </c>
      <c r="Q433" s="125"/>
      <c r="R433" s="43">
        <v>0</v>
      </c>
      <c r="S433" s="43">
        <f>G433*R433</f>
        <v>0</v>
      </c>
      <c r="T433" s="43">
        <f>SUM(P433,M433,J433,E433,S433)</f>
        <v>30000</v>
      </c>
      <c r="U433" s="43">
        <v>0</v>
      </c>
      <c r="V433" s="43">
        <f>SUM(T433:U433)</f>
        <v>30000</v>
      </c>
    </row>
    <row r="434" spans="1:23">
      <c r="A434" s="40"/>
      <c r="B434" s="40"/>
      <c r="C434" s="40"/>
      <c r="D434" s="40" t="s">
        <v>338</v>
      </c>
      <c r="E434" s="47">
        <f>SUM(E430:E433)</f>
        <v>204415.31</v>
      </c>
      <c r="F434" s="45"/>
      <c r="G434" s="46"/>
      <c r="H434" s="132"/>
      <c r="I434" s="47"/>
      <c r="J434" s="47">
        <f>SUM(J430:J433)</f>
        <v>10000</v>
      </c>
      <c r="K434" s="132"/>
      <c r="L434" s="47"/>
      <c r="M434" s="47">
        <f>SUM(M430:M433)</f>
        <v>10000</v>
      </c>
      <c r="N434" s="132"/>
      <c r="O434" s="47"/>
      <c r="P434" s="47">
        <f>SUM(P430:P433)</f>
        <v>10000</v>
      </c>
      <c r="Q434" s="132"/>
      <c r="R434" s="47"/>
      <c r="S434" s="47">
        <f>SUM(S430:S433)</f>
        <v>0</v>
      </c>
      <c r="T434" s="47">
        <f>SUM(T430:T433)</f>
        <v>234415.31</v>
      </c>
      <c r="U434" s="47">
        <f>SUM(U430:U433)</f>
        <v>0</v>
      </c>
      <c r="V434" s="47">
        <f>SUM(V430:V433)</f>
        <v>234415.31</v>
      </c>
    </row>
    <row r="435" spans="1:23">
      <c r="A435" s="104"/>
      <c r="B435" s="104"/>
      <c r="C435" s="104"/>
      <c r="D435" s="104"/>
      <c r="E435" s="62"/>
      <c r="F435" s="81"/>
      <c r="G435" s="62"/>
      <c r="H435" s="133"/>
      <c r="I435" s="62"/>
      <c r="J435" s="62"/>
      <c r="K435" s="133"/>
      <c r="L435" s="62"/>
      <c r="M435" s="62"/>
      <c r="N435" s="133"/>
      <c r="O435" s="62"/>
      <c r="P435" s="62"/>
      <c r="Q435" s="133"/>
      <c r="R435" s="62"/>
      <c r="S435" s="62"/>
      <c r="T435" s="62"/>
      <c r="U435" s="62"/>
      <c r="V435" s="62"/>
    </row>
    <row r="436" spans="1:23">
      <c r="A436" s="40"/>
      <c r="B436" s="40"/>
      <c r="C436" s="40"/>
      <c r="D436" s="40" t="s">
        <v>339</v>
      </c>
      <c r="E436" s="46"/>
      <c r="F436" s="45"/>
      <c r="G436" s="46"/>
      <c r="H436" s="132"/>
      <c r="I436" s="46"/>
      <c r="J436" s="46"/>
      <c r="K436" s="132"/>
      <c r="L436" s="46"/>
      <c r="M436" s="46"/>
      <c r="N436" s="132"/>
      <c r="O436" s="46"/>
      <c r="P436" s="46"/>
      <c r="Q436" s="132"/>
      <c r="R436" s="46"/>
      <c r="S436" s="46"/>
      <c r="T436" s="46"/>
      <c r="U436" s="46"/>
      <c r="V436" s="46"/>
    </row>
    <row r="437" spans="1:23" ht="25.2" hidden="1">
      <c r="A437" s="44"/>
      <c r="C437" s="44"/>
      <c r="D437" s="44" t="s">
        <v>340</v>
      </c>
      <c r="E437" s="43">
        <v>0</v>
      </c>
      <c r="F437" s="48" t="s">
        <v>341</v>
      </c>
      <c r="G437" s="43">
        <v>1500</v>
      </c>
      <c r="H437" s="128"/>
      <c r="I437" s="43">
        <v>0</v>
      </c>
      <c r="J437" s="43">
        <v>0</v>
      </c>
      <c r="K437" s="128"/>
      <c r="L437" s="43">
        <v>0</v>
      </c>
      <c r="M437" s="43">
        <v>0</v>
      </c>
      <c r="N437" s="128"/>
      <c r="O437" s="43">
        <v>0</v>
      </c>
      <c r="P437" s="43">
        <v>0</v>
      </c>
      <c r="Q437" s="128"/>
      <c r="R437" s="43">
        <v>0</v>
      </c>
      <c r="S437" s="43">
        <v>0</v>
      </c>
      <c r="T437" s="43">
        <f t="shared" ref="T437" si="294">SUM(P437,M437,J437,E437,S437)</f>
        <v>0</v>
      </c>
      <c r="U437" s="43">
        <f t="shared" ref="U437" si="295">(O437*G437)+(L437*G437)+(I437*G437)+(R437*G437)+E437</f>
        <v>0</v>
      </c>
      <c r="V437" s="43">
        <f t="shared" ref="V437:V438" si="296">SUM(T437:U437)</f>
        <v>0</v>
      </c>
    </row>
    <row r="438" spans="1:23">
      <c r="A438" s="44" t="s">
        <v>797</v>
      </c>
      <c r="B438" s="44">
        <v>96000</v>
      </c>
      <c r="C438" s="44" t="s">
        <v>709</v>
      </c>
      <c r="D438" s="44" t="s">
        <v>324</v>
      </c>
      <c r="E438" s="43">
        <v>32943.58</v>
      </c>
      <c r="F438" s="48" t="s">
        <v>172</v>
      </c>
      <c r="G438" s="43">
        <v>30000</v>
      </c>
      <c r="H438" s="128"/>
      <c r="I438" s="43">
        <v>1</v>
      </c>
      <c r="J438" s="43">
        <v>0</v>
      </c>
      <c r="K438" s="128"/>
      <c r="L438" s="43">
        <v>1</v>
      </c>
      <c r="M438" s="43">
        <v>0</v>
      </c>
      <c r="N438" s="128"/>
      <c r="O438" s="43">
        <v>1</v>
      </c>
      <c r="P438" s="43">
        <v>0</v>
      </c>
      <c r="Q438" s="128"/>
      <c r="R438" s="43">
        <v>0</v>
      </c>
      <c r="S438" s="43">
        <v>0</v>
      </c>
      <c r="T438" s="43">
        <f>SUM(P438,M438,J438,S438)</f>
        <v>0</v>
      </c>
      <c r="U438" s="43">
        <f>(O438*G438)+(L438*G438)+(I438*G438)+(R438*G438)+E438</f>
        <v>122943.58</v>
      </c>
      <c r="V438" s="43">
        <f t="shared" si="296"/>
        <v>122943.58</v>
      </c>
      <c r="W438" s="437"/>
    </row>
    <row r="439" spans="1:23">
      <c r="A439" s="44" t="s">
        <v>797</v>
      </c>
      <c r="B439" s="44">
        <v>96000</v>
      </c>
      <c r="C439" s="44" t="s">
        <v>709</v>
      </c>
      <c r="D439" s="44" t="s">
        <v>342</v>
      </c>
      <c r="E439" s="43">
        <v>0</v>
      </c>
      <c r="F439" s="48" t="s">
        <v>237</v>
      </c>
      <c r="G439" s="43">
        <v>18985</v>
      </c>
      <c r="H439" s="128"/>
      <c r="I439" s="471">
        <v>0.5</v>
      </c>
      <c r="J439" s="43">
        <v>0</v>
      </c>
      <c r="K439" s="128"/>
      <c r="L439" s="471">
        <v>0.5</v>
      </c>
      <c r="M439" s="43">
        <v>0</v>
      </c>
      <c r="N439" s="128"/>
      <c r="O439" s="43">
        <v>0</v>
      </c>
      <c r="P439" s="43">
        <v>0</v>
      </c>
      <c r="Q439" s="128"/>
      <c r="R439" s="43">
        <v>0</v>
      </c>
      <c r="S439" s="43">
        <v>0</v>
      </c>
      <c r="T439" s="43">
        <f>SUM(P439,M439,J439,S439)</f>
        <v>0</v>
      </c>
      <c r="U439" s="43">
        <f>(O439*G439)+(L439*G439)+(I439*G439)+(R439*G439)+E439-0.08</f>
        <v>18984.919999999998</v>
      </c>
      <c r="V439" s="43">
        <f t="shared" ref="V439" si="297">SUM(T439:U439)</f>
        <v>18984.919999999998</v>
      </c>
    </row>
    <row r="440" spans="1:23">
      <c r="A440" s="40"/>
      <c r="B440" s="40"/>
      <c r="C440" s="40"/>
      <c r="D440" s="40" t="s">
        <v>343</v>
      </c>
      <c r="E440" s="47">
        <v>0</v>
      </c>
      <c r="F440" s="45"/>
      <c r="G440" s="47"/>
      <c r="H440" s="135"/>
      <c r="I440" s="47"/>
      <c r="J440" s="47">
        <f>SUM(J437:J439)</f>
        <v>0</v>
      </c>
      <c r="K440" s="135"/>
      <c r="L440" s="47"/>
      <c r="M440" s="47">
        <f>SUM(M437:M439)</f>
        <v>0</v>
      </c>
      <c r="N440" s="135"/>
      <c r="O440" s="47"/>
      <c r="P440" s="47">
        <f>SUM(P437:P439)</f>
        <v>0</v>
      </c>
      <c r="Q440" s="135"/>
      <c r="R440" s="47"/>
      <c r="S440" s="47">
        <f>SUM(S437:S439)</f>
        <v>0</v>
      </c>
      <c r="T440" s="47">
        <f>SUM(T437:T439)</f>
        <v>0</v>
      </c>
      <c r="U440" s="47">
        <f>SUM(U437:U439)</f>
        <v>141928.5</v>
      </c>
      <c r="V440" s="47">
        <f>SUM(V437:V439)</f>
        <v>141928.5</v>
      </c>
    </row>
    <row r="441" spans="1:23">
      <c r="A441" s="104"/>
      <c r="B441" s="104"/>
      <c r="C441" s="104"/>
      <c r="D441" s="104"/>
      <c r="E441" s="62"/>
      <c r="F441" s="81"/>
      <c r="G441" s="62"/>
      <c r="H441" s="133"/>
      <c r="I441" s="62"/>
      <c r="J441" s="62"/>
      <c r="K441" s="133"/>
      <c r="L441" s="62"/>
      <c r="M441" s="62"/>
      <c r="N441" s="133"/>
      <c r="O441" s="62"/>
      <c r="P441" s="62"/>
      <c r="Q441" s="133"/>
      <c r="R441" s="62"/>
      <c r="S441" s="62"/>
      <c r="T441" s="62"/>
      <c r="U441" s="62"/>
      <c r="V441" s="62"/>
    </row>
    <row r="442" spans="1:23" ht="12.9" thickBot="1">
      <c r="A442" s="53"/>
      <c r="B442" s="66"/>
      <c r="C442" s="53"/>
      <c r="D442" s="53" t="s">
        <v>344</v>
      </c>
      <c r="E442" s="64">
        <f>+E420+E440+E426+E411+E404+E434</f>
        <v>699861.3189999999</v>
      </c>
      <c r="F442" s="53"/>
      <c r="G442" s="69"/>
      <c r="H442" s="126"/>
      <c r="I442" s="64"/>
      <c r="J442" s="64">
        <f>+J420+J440+J426+J411+J404+J434</f>
        <v>405172.07962879998</v>
      </c>
      <c r="K442" s="126"/>
      <c r="L442" s="64"/>
      <c r="M442" s="64">
        <f>+M420+M440+M426+M411+M404+M434</f>
        <v>477658.02338023996</v>
      </c>
      <c r="N442" s="126"/>
      <c r="O442" s="64"/>
      <c r="P442" s="64">
        <f>+P420+P440+P426+P411+P404+P434</f>
        <v>342157.26374925196</v>
      </c>
      <c r="Q442" s="126"/>
      <c r="R442" s="64"/>
      <c r="S442" s="64">
        <f>+S420+S440+S426+S411+S404+S434</f>
        <v>67419.479152369808</v>
      </c>
      <c r="T442" s="64">
        <f>+T420+T440+T426+T411+T404+T434</f>
        <v>1992268.164910662</v>
      </c>
      <c r="U442" s="64">
        <f>+U420+U440+U426+U411+U404+U434</f>
        <v>141928.5</v>
      </c>
      <c r="V442" s="64">
        <f>+V420+V440+V426+V411+V404+V434</f>
        <v>2134196.664910662</v>
      </c>
    </row>
    <row r="443" spans="1:23">
      <c r="A443" s="81"/>
      <c r="B443" s="81"/>
      <c r="C443" s="81"/>
      <c r="D443" s="81"/>
      <c r="E443" s="62"/>
      <c r="F443" s="81"/>
      <c r="G443" s="62"/>
      <c r="H443" s="123"/>
      <c r="I443" s="62"/>
      <c r="J443" s="62"/>
      <c r="K443" s="123"/>
      <c r="L443" s="62"/>
      <c r="M443" s="62"/>
      <c r="N443" s="123"/>
      <c r="O443" s="62"/>
      <c r="P443" s="62"/>
      <c r="Q443" s="123"/>
      <c r="R443" s="62"/>
      <c r="S443" s="62"/>
      <c r="T443" s="62"/>
      <c r="U443" s="62"/>
      <c r="V443" s="62"/>
    </row>
    <row r="444" spans="1:23">
      <c r="A444" s="98"/>
      <c r="B444" s="617"/>
      <c r="C444" s="98"/>
      <c r="D444" s="98" t="str">
        <f>'USDA Budget Summary'!A33</f>
        <v>Activity 5: Ensure Financial Service/ Capital Access for Actors in the Value Chains</v>
      </c>
      <c r="E444" s="99"/>
      <c r="F444" s="37"/>
      <c r="G444" s="38"/>
      <c r="H444" s="130"/>
      <c r="I444" s="99"/>
      <c r="J444" s="99"/>
      <c r="K444" s="130"/>
      <c r="L444" s="99"/>
      <c r="M444" s="99"/>
      <c r="N444" s="130"/>
      <c r="O444" s="99"/>
      <c r="P444" s="99"/>
      <c r="Q444" s="130"/>
      <c r="R444" s="99"/>
      <c r="S444" s="99"/>
      <c r="T444" s="99"/>
      <c r="U444" s="100"/>
      <c r="V444" s="99"/>
    </row>
    <row r="445" spans="1:23">
      <c r="A445" s="101"/>
      <c r="B445" s="101"/>
      <c r="C445" s="101"/>
      <c r="D445" s="101" t="s">
        <v>215</v>
      </c>
      <c r="E445" s="103"/>
      <c r="F445" s="102"/>
      <c r="G445" s="103"/>
      <c r="H445" s="131"/>
      <c r="I445" s="103"/>
      <c r="J445" s="103"/>
      <c r="K445" s="131"/>
      <c r="L445" s="103"/>
      <c r="M445" s="103"/>
      <c r="N445" s="131"/>
      <c r="O445" s="103"/>
      <c r="P445" s="103"/>
      <c r="Q445" s="131"/>
      <c r="R445" s="103"/>
      <c r="S445" s="103"/>
      <c r="T445" s="103"/>
      <c r="U445" s="103"/>
      <c r="V445" s="103"/>
    </row>
    <row r="446" spans="1:23">
      <c r="A446" s="40"/>
      <c r="B446" s="40"/>
      <c r="C446" s="40"/>
      <c r="D446" s="40" t="s">
        <v>345</v>
      </c>
      <c r="E446" s="46"/>
      <c r="F446" s="45"/>
      <c r="G446" s="46"/>
      <c r="H446" s="132"/>
      <c r="I446" s="46"/>
      <c r="J446" s="46"/>
      <c r="K446" s="132"/>
      <c r="L446" s="46"/>
      <c r="M446" s="46"/>
      <c r="N446" s="132"/>
      <c r="O446" s="46"/>
      <c r="P446" s="46"/>
      <c r="Q446" s="132"/>
      <c r="R446" s="46"/>
      <c r="S446" s="46"/>
      <c r="T446" s="46"/>
      <c r="U446" s="46"/>
      <c r="V446" s="46"/>
    </row>
    <row r="447" spans="1:23">
      <c r="A447" s="7" t="s">
        <v>751</v>
      </c>
      <c r="B447" s="44">
        <v>50000</v>
      </c>
      <c r="C447" s="7" t="s">
        <v>709</v>
      </c>
      <c r="D447" s="7" t="str">
        <f t="shared" ref="D447:D476" si="298">D13</f>
        <v>Key Personnel: Chief of Party</v>
      </c>
      <c r="E447" s="43">
        <v>16752</v>
      </c>
      <c r="F447" s="49" t="s">
        <v>95</v>
      </c>
      <c r="G447" s="43">
        <f t="shared" ref="G447:G476" si="299">G13</f>
        <v>14250</v>
      </c>
      <c r="H447" s="119">
        <f>'LOE Breakdown by Year'!I11</f>
        <v>0.2</v>
      </c>
      <c r="I447" s="43">
        <f t="shared" ref="I447:I476" si="300">I13</f>
        <v>12</v>
      </c>
      <c r="J447" s="43">
        <f>I447*G447*$H447</f>
        <v>34200</v>
      </c>
      <c r="K447" s="119">
        <f>'LOE Breakdown by Year'!I51</f>
        <v>0.19</v>
      </c>
      <c r="L447" s="43">
        <f t="shared" ref="L447:L476" si="301">L13</f>
        <v>12</v>
      </c>
      <c r="M447" s="43">
        <f>L447*G447*$K447*$E$8</f>
        <v>34114.5</v>
      </c>
      <c r="N447" s="119">
        <f>'LOE Breakdown by Year'!I91</f>
        <v>0.19</v>
      </c>
      <c r="O447" s="43">
        <f t="shared" ref="O447:O476" si="302">O13</f>
        <v>12</v>
      </c>
      <c r="P447" s="43">
        <f>O447*G447*$N447*$E$8*$E$8</f>
        <v>35820.224999999999</v>
      </c>
      <c r="Q447" s="119">
        <f>'LOE Breakdown by Year'!I131</f>
        <v>0.19</v>
      </c>
      <c r="R447" s="43">
        <f t="shared" ref="R447:R476" si="303">R13</f>
        <v>0</v>
      </c>
      <c r="S447" s="43">
        <f>R447*G447*$Q447*$E$8*$E$8*$E$8</f>
        <v>0</v>
      </c>
      <c r="T447" s="43">
        <f t="shared" ref="T447" si="304">SUM(P447,M447,J447,E447,S447)</f>
        <v>120886.72500000001</v>
      </c>
      <c r="U447" s="43">
        <v>0</v>
      </c>
      <c r="V447" s="43">
        <f t="shared" ref="V447" si="305">SUM(T447:U447)</f>
        <v>120886.72500000001</v>
      </c>
    </row>
    <row r="448" spans="1:23" ht="25.2">
      <c r="A448" s="7" t="s">
        <v>751</v>
      </c>
      <c r="B448" s="44">
        <v>70000</v>
      </c>
      <c r="C448" s="7" t="s">
        <v>710</v>
      </c>
      <c r="D448" s="7" t="str">
        <f t="shared" si="298"/>
        <v>Deputy Chief of Party / Value Chain Strengthening Director</v>
      </c>
      <c r="E448" s="43">
        <v>0</v>
      </c>
      <c r="F448" s="49" t="s">
        <v>95</v>
      </c>
      <c r="G448" s="43">
        <f t="shared" si="299"/>
        <v>5000</v>
      </c>
      <c r="H448" s="119">
        <f>'LOE Breakdown by Year'!I12</f>
        <v>0.15</v>
      </c>
      <c r="I448" s="43">
        <f t="shared" si="300"/>
        <v>12</v>
      </c>
      <c r="J448" s="43">
        <f>I448*G448*$H448</f>
        <v>9000</v>
      </c>
      <c r="K448" s="119">
        <f>'LOE Breakdown by Year'!I52</f>
        <v>0.15</v>
      </c>
      <c r="L448" s="43">
        <f t="shared" si="301"/>
        <v>12</v>
      </c>
      <c r="M448" s="43">
        <f>L448*G448*$K448*$E$8</f>
        <v>9450</v>
      </c>
      <c r="N448" s="119">
        <f>'LOE Breakdown by Year'!I92</f>
        <v>0.15</v>
      </c>
      <c r="O448" s="43">
        <f t="shared" si="302"/>
        <v>12</v>
      </c>
      <c r="P448" s="43">
        <f>O448*G448*$N448*$E$8*$E$8</f>
        <v>9922.5</v>
      </c>
      <c r="Q448" s="119">
        <f>'LOE Breakdown by Year'!I132</f>
        <v>0.15</v>
      </c>
      <c r="R448" s="43">
        <f t="shared" si="303"/>
        <v>6</v>
      </c>
      <c r="S448" s="43">
        <f>R448*G448*$Q448*$E$8*$E$8*$E$8</f>
        <v>5209.3125</v>
      </c>
      <c r="T448" s="43">
        <f t="shared" ref="T448" si="306">SUM(P448,M448,J448,E448,S448)</f>
        <v>33581.8125</v>
      </c>
      <c r="U448" s="43">
        <v>0</v>
      </c>
      <c r="V448" s="43">
        <f t="shared" ref="V448" si="307">SUM(T448:U448)</f>
        <v>33581.8125</v>
      </c>
    </row>
    <row r="449" spans="1:22">
      <c r="A449" s="7" t="s">
        <v>751</v>
      </c>
      <c r="B449" s="44">
        <v>70000</v>
      </c>
      <c r="C449" s="7" t="s">
        <v>710</v>
      </c>
      <c r="D449" s="7" t="str">
        <f t="shared" si="298"/>
        <v>Key Personnel: Technical Director</v>
      </c>
      <c r="E449" s="43">
        <v>0</v>
      </c>
      <c r="F449" s="49" t="s">
        <v>95</v>
      </c>
      <c r="G449" s="43">
        <f t="shared" si="299"/>
        <v>4583.333333333333</v>
      </c>
      <c r="H449" s="119">
        <f>'LOE Breakdown by Year'!I13</f>
        <v>0.15</v>
      </c>
      <c r="I449" s="43">
        <f t="shared" si="300"/>
        <v>12</v>
      </c>
      <c r="J449" s="43">
        <f t="shared" ref="J449:J476" si="308">I449*G449*$H449</f>
        <v>8250</v>
      </c>
      <c r="K449" s="119">
        <f>'LOE Breakdown by Year'!I53</f>
        <v>0.05</v>
      </c>
      <c r="L449" s="43">
        <f t="shared" si="301"/>
        <v>12</v>
      </c>
      <c r="M449" s="43">
        <f t="shared" ref="M449:M476" si="309">L449*G449*$K449*$E$8</f>
        <v>2887.5</v>
      </c>
      <c r="N449" s="119">
        <f>'LOE Breakdown by Year'!I93</f>
        <v>0.05</v>
      </c>
      <c r="O449" s="43">
        <f t="shared" si="302"/>
        <v>12</v>
      </c>
      <c r="P449" s="43">
        <f t="shared" ref="P449:P476" si="310">O449*G449*$N449*$E$8*$E$8</f>
        <v>3031.875</v>
      </c>
      <c r="Q449" s="119">
        <f>'LOE Breakdown by Year'!I133</f>
        <v>0.05</v>
      </c>
      <c r="R449" s="43">
        <f t="shared" si="303"/>
        <v>5</v>
      </c>
      <c r="S449" s="43">
        <f t="shared" ref="S449:S476" si="311">R449*G449*$Q449*$E$8*$E$8*$E$8</f>
        <v>1326.4453125</v>
      </c>
      <c r="T449" s="43">
        <f t="shared" ref="T449:T476" si="312">SUM(P449,M449,J449,E449,S449)</f>
        <v>15495.8203125</v>
      </c>
      <c r="U449" s="43">
        <v>0</v>
      </c>
      <c r="V449" s="43">
        <f t="shared" ref="V449:V476" si="313">SUM(T449:U449)</f>
        <v>15495.8203125</v>
      </c>
    </row>
    <row r="450" spans="1:22">
      <c r="A450" s="7" t="s">
        <v>751</v>
      </c>
      <c r="B450" s="44">
        <v>70000</v>
      </c>
      <c r="C450" s="7" t="s">
        <v>710</v>
      </c>
      <c r="D450" s="7" t="str">
        <f t="shared" si="298"/>
        <v>Activity Lead Agribusiness Senior Specialist (Cacao)</v>
      </c>
      <c r="E450" s="43">
        <v>0</v>
      </c>
      <c r="F450" s="49" t="s">
        <v>95</v>
      </c>
      <c r="G450" s="43">
        <f t="shared" si="299"/>
        <v>2833.3333333333335</v>
      </c>
      <c r="H450" s="119">
        <f>'LOE Breakdown by Year'!I14</f>
        <v>0.2</v>
      </c>
      <c r="I450" s="43">
        <f t="shared" si="300"/>
        <v>12</v>
      </c>
      <c r="J450" s="43">
        <f t="shared" si="308"/>
        <v>6800</v>
      </c>
      <c r="K450" s="119">
        <f>'LOE Breakdown by Year'!I54</f>
        <v>0</v>
      </c>
      <c r="L450" s="43">
        <f t="shared" si="301"/>
        <v>12</v>
      </c>
      <c r="M450" s="43">
        <f t="shared" si="309"/>
        <v>0</v>
      </c>
      <c r="N450" s="119">
        <f>'LOE Breakdown by Year'!I94</f>
        <v>0</v>
      </c>
      <c r="O450" s="43">
        <f t="shared" si="302"/>
        <v>12</v>
      </c>
      <c r="P450" s="43">
        <f t="shared" si="310"/>
        <v>0</v>
      </c>
      <c r="Q450" s="119">
        <f>'LOE Breakdown by Year'!I134</f>
        <v>0</v>
      </c>
      <c r="R450" s="43">
        <f t="shared" si="303"/>
        <v>2</v>
      </c>
      <c r="S450" s="43">
        <f t="shared" si="311"/>
        <v>0</v>
      </c>
      <c r="T450" s="43">
        <f t="shared" si="312"/>
        <v>6800</v>
      </c>
      <c r="U450" s="43">
        <v>0</v>
      </c>
      <c r="V450" s="43">
        <f t="shared" si="313"/>
        <v>6800</v>
      </c>
    </row>
    <row r="451" spans="1:22" hidden="1">
      <c r="A451" s="7" t="s">
        <v>751</v>
      </c>
      <c r="B451" s="44">
        <v>70000</v>
      </c>
      <c r="C451" s="7" t="s">
        <v>710</v>
      </c>
      <c r="D451" s="7" t="str">
        <f t="shared" si="298"/>
        <v>Cacao Field Officer</v>
      </c>
      <c r="E451" s="43">
        <v>0</v>
      </c>
      <c r="F451" s="49" t="s">
        <v>95</v>
      </c>
      <c r="G451" s="43">
        <f t="shared" si="299"/>
        <v>1333.3333333333333</v>
      </c>
      <c r="H451" s="119">
        <f>'LOE Breakdown by Year'!I15</f>
        <v>0</v>
      </c>
      <c r="I451" s="43">
        <f t="shared" si="300"/>
        <v>12</v>
      </c>
      <c r="J451" s="43">
        <f t="shared" si="308"/>
        <v>0</v>
      </c>
      <c r="K451" s="119">
        <f>'LOE Breakdown by Year'!I55</f>
        <v>0</v>
      </c>
      <c r="L451" s="43">
        <f t="shared" si="301"/>
        <v>12</v>
      </c>
      <c r="M451" s="43">
        <f t="shared" si="309"/>
        <v>0</v>
      </c>
      <c r="N451" s="119">
        <f>'LOE Breakdown by Year'!I95</f>
        <v>0</v>
      </c>
      <c r="O451" s="43">
        <f t="shared" si="302"/>
        <v>12</v>
      </c>
      <c r="P451" s="43">
        <f t="shared" si="310"/>
        <v>0</v>
      </c>
      <c r="Q451" s="119">
        <f>'LOE Breakdown by Year'!I135</f>
        <v>0</v>
      </c>
      <c r="R451" s="43">
        <f t="shared" si="303"/>
        <v>0</v>
      </c>
      <c r="S451" s="43">
        <f t="shared" si="311"/>
        <v>0</v>
      </c>
      <c r="T451" s="43">
        <f t="shared" si="312"/>
        <v>0</v>
      </c>
      <c r="U451" s="43">
        <v>0</v>
      </c>
      <c r="V451" s="43">
        <f t="shared" si="313"/>
        <v>0</v>
      </c>
    </row>
    <row r="452" spans="1:22" ht="25.2" hidden="1">
      <c r="A452" s="7" t="s">
        <v>751</v>
      </c>
      <c r="B452" s="44">
        <v>70000</v>
      </c>
      <c r="C452" s="7" t="s">
        <v>710</v>
      </c>
      <c r="D452" s="7" t="str">
        <f t="shared" si="298"/>
        <v>Cacao &amp; Complementary Crop Technical Field Leader (2)</v>
      </c>
      <c r="E452" s="43">
        <v>0</v>
      </c>
      <c r="F452" s="49" t="s">
        <v>95</v>
      </c>
      <c r="G452" s="43">
        <f t="shared" si="299"/>
        <v>3500</v>
      </c>
      <c r="H452" s="119">
        <f>'LOE Breakdown by Year'!I16</f>
        <v>0</v>
      </c>
      <c r="I452" s="43">
        <f t="shared" si="300"/>
        <v>6</v>
      </c>
      <c r="J452" s="43">
        <f t="shared" si="308"/>
        <v>0</v>
      </c>
      <c r="K452" s="119">
        <f>'LOE Breakdown by Year'!I56</f>
        <v>0</v>
      </c>
      <c r="L452" s="43">
        <f t="shared" si="301"/>
        <v>12</v>
      </c>
      <c r="M452" s="43">
        <f t="shared" si="309"/>
        <v>0</v>
      </c>
      <c r="N452" s="119">
        <f>'LOE Breakdown by Year'!I96</f>
        <v>0</v>
      </c>
      <c r="O452" s="43">
        <f t="shared" si="302"/>
        <v>12</v>
      </c>
      <c r="P452" s="43">
        <f t="shared" si="310"/>
        <v>0</v>
      </c>
      <c r="Q452" s="119">
        <f>'LOE Breakdown by Year'!I136</f>
        <v>0</v>
      </c>
      <c r="R452" s="43">
        <f t="shared" si="303"/>
        <v>0</v>
      </c>
      <c r="S452" s="43">
        <f t="shared" si="311"/>
        <v>0</v>
      </c>
      <c r="T452" s="43">
        <f t="shared" si="312"/>
        <v>0</v>
      </c>
      <c r="U452" s="43">
        <v>0</v>
      </c>
      <c r="V452" s="43">
        <f t="shared" si="313"/>
        <v>0</v>
      </c>
    </row>
    <row r="453" spans="1:22" hidden="1">
      <c r="A453" s="7" t="s">
        <v>751</v>
      </c>
      <c r="B453" s="44">
        <v>70000</v>
      </c>
      <c r="C453" s="7" t="s">
        <v>710</v>
      </c>
      <c r="D453" s="7" t="str">
        <f t="shared" si="298"/>
        <v>Extension Agents (45 in Y5 and 25 in Y6)</v>
      </c>
      <c r="E453" s="43">
        <v>0</v>
      </c>
      <c r="F453" s="49" t="s">
        <v>95</v>
      </c>
      <c r="G453" s="43">
        <f t="shared" si="299"/>
        <v>1000</v>
      </c>
      <c r="H453" s="119">
        <f>'LOE Breakdown by Year'!I17</f>
        <v>0</v>
      </c>
      <c r="I453" s="43">
        <f t="shared" si="300"/>
        <v>12</v>
      </c>
      <c r="J453" s="43">
        <f t="shared" si="308"/>
        <v>0</v>
      </c>
      <c r="K453" s="119">
        <f>'LOE Breakdown by Year'!I57</f>
        <v>0</v>
      </c>
      <c r="L453" s="43">
        <f t="shared" si="301"/>
        <v>12</v>
      </c>
      <c r="M453" s="43">
        <f t="shared" si="309"/>
        <v>0</v>
      </c>
      <c r="N453" s="119">
        <f>'LOE Breakdown by Year'!I97</f>
        <v>0</v>
      </c>
      <c r="O453" s="43">
        <f t="shared" si="302"/>
        <v>0</v>
      </c>
      <c r="P453" s="43">
        <f t="shared" si="310"/>
        <v>0</v>
      </c>
      <c r="Q453" s="119">
        <f>'LOE Breakdown by Year'!I137</f>
        <v>0</v>
      </c>
      <c r="R453" s="43">
        <f t="shared" si="303"/>
        <v>0</v>
      </c>
      <c r="S453" s="43">
        <f t="shared" si="311"/>
        <v>0</v>
      </c>
      <c r="T453" s="43">
        <f t="shared" si="312"/>
        <v>0</v>
      </c>
      <c r="U453" s="43">
        <v>0</v>
      </c>
      <c r="V453" s="43">
        <f t="shared" si="313"/>
        <v>0</v>
      </c>
    </row>
    <row r="454" spans="1:22" ht="25.2">
      <c r="A454" s="7" t="s">
        <v>751</v>
      </c>
      <c r="B454" s="44">
        <v>70000</v>
      </c>
      <c r="C454" s="7" t="s">
        <v>710</v>
      </c>
      <c r="D454" s="7" t="str">
        <f t="shared" si="298"/>
        <v>Activity Lead Agribusiness Senior Specialist (Complementary Crop)</v>
      </c>
      <c r="E454" s="43">
        <v>24070.92</v>
      </c>
      <c r="F454" s="49" t="s">
        <v>95</v>
      </c>
      <c r="G454" s="43">
        <f t="shared" si="299"/>
        <v>2833.3333333333335</v>
      </c>
      <c r="H454" s="119">
        <f>'LOE Breakdown by Year'!I18</f>
        <v>0</v>
      </c>
      <c r="I454" s="43">
        <f t="shared" si="300"/>
        <v>12</v>
      </c>
      <c r="J454" s="43">
        <f t="shared" si="308"/>
        <v>0</v>
      </c>
      <c r="K454" s="119">
        <f>'LOE Breakdown by Year'!I58</f>
        <v>0</v>
      </c>
      <c r="L454" s="43">
        <f t="shared" si="301"/>
        <v>12</v>
      </c>
      <c r="M454" s="43">
        <f t="shared" si="309"/>
        <v>0</v>
      </c>
      <c r="N454" s="119">
        <f>'LOE Breakdown by Year'!I98</f>
        <v>0</v>
      </c>
      <c r="O454" s="43">
        <f t="shared" si="302"/>
        <v>12</v>
      </c>
      <c r="P454" s="43">
        <f t="shared" si="310"/>
        <v>0</v>
      </c>
      <c r="Q454" s="119">
        <f>'LOE Breakdown by Year'!I138</f>
        <v>0</v>
      </c>
      <c r="R454" s="43">
        <f t="shared" si="303"/>
        <v>0</v>
      </c>
      <c r="S454" s="43">
        <f t="shared" si="311"/>
        <v>0</v>
      </c>
      <c r="T454" s="43">
        <f t="shared" si="312"/>
        <v>24070.92</v>
      </c>
      <c r="U454" s="43">
        <v>0</v>
      </c>
      <c r="V454" s="43">
        <f t="shared" si="313"/>
        <v>24070.92</v>
      </c>
    </row>
    <row r="455" spans="1:22" hidden="1">
      <c r="A455" s="7" t="s">
        <v>751</v>
      </c>
      <c r="B455" s="44">
        <v>70000</v>
      </c>
      <c r="C455" s="7" t="s">
        <v>710</v>
      </c>
      <c r="D455" s="7" t="str">
        <f t="shared" si="298"/>
        <v>Complementary Crops Field Officer</v>
      </c>
      <c r="E455" s="43">
        <v>0</v>
      </c>
      <c r="F455" s="49" t="s">
        <v>95</v>
      </c>
      <c r="G455" s="43">
        <f t="shared" si="299"/>
        <v>0</v>
      </c>
      <c r="H455" s="119">
        <f>'LOE Breakdown by Year'!I19</f>
        <v>0</v>
      </c>
      <c r="I455" s="43">
        <f t="shared" si="300"/>
        <v>0</v>
      </c>
      <c r="J455" s="43">
        <f t="shared" si="308"/>
        <v>0</v>
      </c>
      <c r="K455" s="119">
        <f>'LOE Breakdown by Year'!I59</f>
        <v>0</v>
      </c>
      <c r="L455" s="43">
        <f t="shared" si="301"/>
        <v>12</v>
      </c>
      <c r="M455" s="43">
        <f t="shared" si="309"/>
        <v>0</v>
      </c>
      <c r="N455" s="119">
        <f>'LOE Breakdown by Year'!I99</f>
        <v>0</v>
      </c>
      <c r="O455" s="43">
        <f t="shared" si="302"/>
        <v>12</v>
      </c>
      <c r="P455" s="43">
        <f t="shared" si="310"/>
        <v>0</v>
      </c>
      <c r="Q455" s="119">
        <f>'LOE Breakdown by Year'!I139</f>
        <v>0</v>
      </c>
      <c r="R455" s="43">
        <f t="shared" si="303"/>
        <v>0</v>
      </c>
      <c r="S455" s="43">
        <f t="shared" si="311"/>
        <v>0</v>
      </c>
      <c r="T455" s="43">
        <f t="shared" si="312"/>
        <v>0</v>
      </c>
      <c r="U455" s="43">
        <v>0</v>
      </c>
      <c r="V455" s="43">
        <f t="shared" si="313"/>
        <v>0</v>
      </c>
    </row>
    <row r="456" spans="1:22" hidden="1">
      <c r="A456" s="7" t="s">
        <v>751</v>
      </c>
      <c r="B456" s="44">
        <v>70000</v>
      </c>
      <c r="C456" s="7" t="s">
        <v>710</v>
      </c>
      <c r="D456" s="7" t="str">
        <f t="shared" si="298"/>
        <v>EPSEAS Specialist</v>
      </c>
      <c r="E456" s="43">
        <v>0</v>
      </c>
      <c r="F456" s="49" t="s">
        <v>95</v>
      </c>
      <c r="G456" s="43">
        <f t="shared" si="299"/>
        <v>0</v>
      </c>
      <c r="H456" s="119">
        <f>'LOE Breakdown by Year'!I20</f>
        <v>0</v>
      </c>
      <c r="I456" s="43">
        <f t="shared" si="300"/>
        <v>0</v>
      </c>
      <c r="J456" s="43">
        <f t="shared" si="308"/>
        <v>0</v>
      </c>
      <c r="K456" s="119">
        <f>'LOE Breakdown by Year'!I60</f>
        <v>0</v>
      </c>
      <c r="L456" s="43">
        <f t="shared" si="301"/>
        <v>12</v>
      </c>
      <c r="M456" s="43">
        <f t="shared" si="309"/>
        <v>0</v>
      </c>
      <c r="N456" s="119">
        <f>'LOE Breakdown by Year'!I100</f>
        <v>0</v>
      </c>
      <c r="O456" s="43">
        <f t="shared" si="302"/>
        <v>12</v>
      </c>
      <c r="P456" s="43">
        <f t="shared" si="310"/>
        <v>0</v>
      </c>
      <c r="Q456" s="119">
        <f>'LOE Breakdown by Year'!I140</f>
        <v>0</v>
      </c>
      <c r="R456" s="43">
        <f t="shared" si="303"/>
        <v>0</v>
      </c>
      <c r="S456" s="43">
        <f t="shared" si="311"/>
        <v>0</v>
      </c>
      <c r="T456" s="43">
        <f t="shared" si="312"/>
        <v>0</v>
      </c>
      <c r="U456" s="43">
        <v>0</v>
      </c>
      <c r="V456" s="43">
        <f t="shared" si="313"/>
        <v>0</v>
      </c>
    </row>
    <row r="457" spans="1:22" hidden="1">
      <c r="A457" s="7" t="s">
        <v>751</v>
      </c>
      <c r="B457" s="44">
        <v>70000</v>
      </c>
      <c r="C457" s="7" t="s">
        <v>710</v>
      </c>
      <c r="D457" s="7" t="str">
        <f t="shared" si="298"/>
        <v>Extension Agents for EPSEAS (20 in Y6 and 25 in Y7)</v>
      </c>
      <c r="E457" s="43">
        <v>0</v>
      </c>
      <c r="F457" s="49" t="s">
        <v>95</v>
      </c>
      <c r="G457" s="43">
        <f t="shared" si="299"/>
        <v>1000</v>
      </c>
      <c r="H457" s="119">
        <f>'LOE Breakdown by Year'!I21</f>
        <v>0</v>
      </c>
      <c r="I457" s="43">
        <f t="shared" si="300"/>
        <v>0</v>
      </c>
      <c r="J457" s="43">
        <f t="shared" si="308"/>
        <v>0</v>
      </c>
      <c r="K457" s="119">
        <f>'LOE Breakdown by Year'!I61</f>
        <v>0</v>
      </c>
      <c r="L457" s="43">
        <f t="shared" si="301"/>
        <v>12</v>
      </c>
      <c r="M457" s="43">
        <f t="shared" si="309"/>
        <v>0</v>
      </c>
      <c r="N457" s="119">
        <f>'LOE Breakdown by Year'!I101</f>
        <v>0</v>
      </c>
      <c r="O457" s="43">
        <f t="shared" si="302"/>
        <v>12</v>
      </c>
      <c r="P457" s="43">
        <f t="shared" si="310"/>
        <v>0</v>
      </c>
      <c r="Q457" s="119">
        <f>'LOE Breakdown by Year'!I141</f>
        <v>0</v>
      </c>
      <c r="R457" s="43">
        <f t="shared" si="303"/>
        <v>0</v>
      </c>
      <c r="S457" s="43">
        <f t="shared" si="311"/>
        <v>0</v>
      </c>
      <c r="T457" s="43">
        <f t="shared" si="312"/>
        <v>0</v>
      </c>
      <c r="U457" s="43">
        <v>0</v>
      </c>
      <c r="V457" s="43">
        <f t="shared" si="313"/>
        <v>0</v>
      </c>
    </row>
    <row r="458" spans="1:22">
      <c r="A458" s="7" t="s">
        <v>751</v>
      </c>
      <c r="B458" s="44">
        <v>70000</v>
      </c>
      <c r="C458" s="7" t="s">
        <v>710</v>
      </c>
      <c r="D458" s="7" t="str">
        <f t="shared" si="298"/>
        <v xml:space="preserve">Senior M&amp;E Director </v>
      </c>
      <c r="E458" s="43">
        <v>11046.99</v>
      </c>
      <c r="F458" s="49" t="s">
        <v>95</v>
      </c>
      <c r="G458" s="43">
        <f t="shared" si="299"/>
        <v>6250</v>
      </c>
      <c r="H458" s="119">
        <f>'LOE Breakdown by Year'!I22</f>
        <v>0.2</v>
      </c>
      <c r="I458" s="43">
        <f t="shared" si="300"/>
        <v>12</v>
      </c>
      <c r="J458" s="43">
        <f t="shared" si="308"/>
        <v>15000</v>
      </c>
      <c r="K458" s="119">
        <f>'LOE Breakdown by Year'!I62</f>
        <v>0.19</v>
      </c>
      <c r="L458" s="43">
        <f t="shared" si="301"/>
        <v>12</v>
      </c>
      <c r="M458" s="43">
        <f t="shared" si="309"/>
        <v>14962.5</v>
      </c>
      <c r="N458" s="119">
        <f>'LOE Breakdown by Year'!I102</f>
        <v>0.19</v>
      </c>
      <c r="O458" s="43">
        <f t="shared" si="302"/>
        <v>12</v>
      </c>
      <c r="P458" s="43">
        <f t="shared" si="310"/>
        <v>15710.625</v>
      </c>
      <c r="Q458" s="119">
        <f>'LOE Breakdown by Year'!I142</f>
        <v>0.19</v>
      </c>
      <c r="R458" s="43">
        <f t="shared" si="303"/>
        <v>6</v>
      </c>
      <c r="S458" s="43">
        <f t="shared" si="311"/>
        <v>8248.078125</v>
      </c>
      <c r="T458" s="43">
        <f t="shared" si="312"/>
        <v>64968.193124999998</v>
      </c>
      <c r="U458" s="43">
        <v>0</v>
      </c>
      <c r="V458" s="43">
        <f t="shared" si="313"/>
        <v>64968.193124999998</v>
      </c>
    </row>
    <row r="459" spans="1:22">
      <c r="A459" s="7" t="s">
        <v>751</v>
      </c>
      <c r="B459" s="44">
        <v>70000</v>
      </c>
      <c r="C459" s="7" t="s">
        <v>710</v>
      </c>
      <c r="D459" s="7" t="str">
        <f t="shared" si="298"/>
        <v>Senior M&amp;E Specialist</v>
      </c>
      <c r="E459" s="43">
        <v>7846.99</v>
      </c>
      <c r="F459" s="49" t="s">
        <v>95</v>
      </c>
      <c r="G459" s="43">
        <f t="shared" si="299"/>
        <v>2833.3333333333335</v>
      </c>
      <c r="H459" s="119">
        <f>'LOE Breakdown by Year'!I23</f>
        <v>0.2</v>
      </c>
      <c r="I459" s="43">
        <f t="shared" si="300"/>
        <v>12</v>
      </c>
      <c r="J459" s="43">
        <f t="shared" si="308"/>
        <v>6800</v>
      </c>
      <c r="K459" s="119">
        <f>'LOE Breakdown by Year'!I63</f>
        <v>0.19</v>
      </c>
      <c r="L459" s="43">
        <f t="shared" si="301"/>
        <v>12</v>
      </c>
      <c r="M459" s="43">
        <f t="shared" si="309"/>
        <v>6783</v>
      </c>
      <c r="N459" s="119">
        <f>'LOE Breakdown by Year'!I103</f>
        <v>0.19</v>
      </c>
      <c r="O459" s="43">
        <f t="shared" si="302"/>
        <v>12</v>
      </c>
      <c r="P459" s="43">
        <f t="shared" si="310"/>
        <v>7122.1500000000005</v>
      </c>
      <c r="Q459" s="119">
        <f>'LOE Breakdown by Year'!I143</f>
        <v>0.19</v>
      </c>
      <c r="R459" s="43">
        <f t="shared" si="303"/>
        <v>6</v>
      </c>
      <c r="S459" s="43">
        <f t="shared" si="311"/>
        <v>3739.1287500000003</v>
      </c>
      <c r="T459" s="43">
        <f t="shared" si="312"/>
        <v>32291.268749999999</v>
      </c>
      <c r="U459" s="43">
        <v>0</v>
      </c>
      <c r="V459" s="43">
        <f t="shared" si="313"/>
        <v>32291.268749999999</v>
      </c>
    </row>
    <row r="460" spans="1:22">
      <c r="A460" s="7" t="s">
        <v>751</v>
      </c>
      <c r="B460" s="44">
        <v>70000</v>
      </c>
      <c r="C460" s="7" t="s">
        <v>710</v>
      </c>
      <c r="D460" s="7" t="str">
        <f t="shared" si="298"/>
        <v>M&amp;E Specialist</v>
      </c>
      <c r="E460" s="43">
        <v>4075.9949999999999</v>
      </c>
      <c r="F460" s="49" t="s">
        <v>95</v>
      </c>
      <c r="G460" s="43">
        <f t="shared" si="299"/>
        <v>2500</v>
      </c>
      <c r="H460" s="119">
        <f>'LOE Breakdown by Year'!I24</f>
        <v>0.2</v>
      </c>
      <c r="I460" s="43">
        <f t="shared" si="300"/>
        <v>12</v>
      </c>
      <c r="J460" s="43">
        <f t="shared" si="308"/>
        <v>6000</v>
      </c>
      <c r="K460" s="119">
        <f>'LOE Breakdown by Year'!I64</f>
        <v>0.19</v>
      </c>
      <c r="L460" s="43">
        <f t="shared" si="301"/>
        <v>12</v>
      </c>
      <c r="M460" s="43">
        <f t="shared" si="309"/>
        <v>5985</v>
      </c>
      <c r="N460" s="119">
        <f>'LOE Breakdown by Year'!I104</f>
        <v>0.19</v>
      </c>
      <c r="O460" s="43">
        <f t="shared" si="302"/>
        <v>12</v>
      </c>
      <c r="P460" s="43">
        <f t="shared" si="310"/>
        <v>6284.25</v>
      </c>
      <c r="Q460" s="119">
        <f>'LOE Breakdown by Year'!I144</f>
        <v>0.19</v>
      </c>
      <c r="R460" s="43">
        <f t="shared" si="303"/>
        <v>3</v>
      </c>
      <c r="S460" s="43">
        <f t="shared" si="311"/>
        <v>1649.6156250000001</v>
      </c>
      <c r="T460" s="43">
        <f t="shared" si="312"/>
        <v>23994.860624999998</v>
      </c>
      <c r="U460" s="43">
        <v>0</v>
      </c>
      <c r="V460" s="43">
        <f t="shared" si="313"/>
        <v>23994.860624999998</v>
      </c>
    </row>
    <row r="461" spans="1:22">
      <c r="A461" s="7" t="s">
        <v>751</v>
      </c>
      <c r="B461" s="44">
        <v>70000</v>
      </c>
      <c r="C461" s="7" t="s">
        <v>710</v>
      </c>
      <c r="D461" s="7" t="str">
        <f t="shared" si="298"/>
        <v>M&amp;E Officer</v>
      </c>
      <c r="E461" s="43">
        <v>4075.9949999999999</v>
      </c>
      <c r="F461" s="49" t="s">
        <v>95</v>
      </c>
      <c r="G461" s="43">
        <f t="shared" si="299"/>
        <v>1000</v>
      </c>
      <c r="H461" s="119">
        <f>'LOE Breakdown by Year'!I25</f>
        <v>0.2</v>
      </c>
      <c r="I461" s="43">
        <f t="shared" si="300"/>
        <v>12</v>
      </c>
      <c r="J461" s="43">
        <f t="shared" si="308"/>
        <v>2400</v>
      </c>
      <c r="K461" s="119">
        <f>'LOE Breakdown by Year'!I65</f>
        <v>0.05</v>
      </c>
      <c r="L461" s="43">
        <f t="shared" si="301"/>
        <v>12</v>
      </c>
      <c r="M461" s="43">
        <f t="shared" si="309"/>
        <v>630</v>
      </c>
      <c r="N461" s="119">
        <f>'LOE Breakdown by Year'!I105</f>
        <v>0.05</v>
      </c>
      <c r="O461" s="43">
        <f t="shared" si="302"/>
        <v>12</v>
      </c>
      <c r="P461" s="43">
        <f t="shared" si="310"/>
        <v>661.5</v>
      </c>
      <c r="Q461" s="119">
        <f>'LOE Breakdown by Year'!I145</f>
        <v>0.05</v>
      </c>
      <c r="R461" s="43">
        <f t="shared" si="303"/>
        <v>3</v>
      </c>
      <c r="S461" s="43">
        <f t="shared" si="311"/>
        <v>173.64375000000001</v>
      </c>
      <c r="T461" s="43">
        <f t="shared" si="312"/>
        <v>7941.1387500000001</v>
      </c>
      <c r="U461" s="43">
        <v>0</v>
      </c>
      <c r="V461" s="43">
        <f t="shared" si="313"/>
        <v>7941.1387500000001</v>
      </c>
    </row>
    <row r="462" spans="1:22">
      <c r="A462" s="7" t="s">
        <v>751</v>
      </c>
      <c r="B462" s="44">
        <v>70000</v>
      </c>
      <c r="C462" s="7" t="s">
        <v>710</v>
      </c>
      <c r="D462" s="7" t="str">
        <f t="shared" si="298"/>
        <v>Partnerships and Investment Director</v>
      </c>
      <c r="E462" s="43">
        <v>0</v>
      </c>
      <c r="F462" s="49" t="s">
        <v>95</v>
      </c>
      <c r="G462" s="43">
        <f t="shared" si="299"/>
        <v>4583.333333333333</v>
      </c>
      <c r="H462" s="119">
        <f>'LOE Breakdown by Year'!I26</f>
        <v>0.2</v>
      </c>
      <c r="I462" s="43">
        <f t="shared" si="300"/>
        <v>12</v>
      </c>
      <c r="J462" s="43">
        <f t="shared" si="308"/>
        <v>11000</v>
      </c>
      <c r="K462" s="119">
        <f>'LOE Breakdown by Year'!I66</f>
        <v>0.05</v>
      </c>
      <c r="L462" s="43">
        <f t="shared" si="301"/>
        <v>12</v>
      </c>
      <c r="M462" s="43">
        <f t="shared" si="309"/>
        <v>2887.5</v>
      </c>
      <c r="N462" s="119">
        <f>'LOE Breakdown by Year'!I106</f>
        <v>0.05</v>
      </c>
      <c r="O462" s="43">
        <f t="shared" si="302"/>
        <v>12</v>
      </c>
      <c r="P462" s="43">
        <f t="shared" si="310"/>
        <v>3031.875</v>
      </c>
      <c r="Q462" s="119">
        <f>'LOE Breakdown by Year'!I146</f>
        <v>0.05</v>
      </c>
      <c r="R462" s="43">
        <f t="shared" si="303"/>
        <v>0</v>
      </c>
      <c r="S462" s="43">
        <f t="shared" si="311"/>
        <v>0</v>
      </c>
      <c r="T462" s="43">
        <f t="shared" si="312"/>
        <v>16919.375</v>
      </c>
      <c r="U462" s="43">
        <v>0</v>
      </c>
      <c r="V462" s="43">
        <f t="shared" si="313"/>
        <v>16919.375</v>
      </c>
    </row>
    <row r="463" spans="1:22">
      <c r="A463" s="7" t="s">
        <v>751</v>
      </c>
      <c r="B463" s="44">
        <v>70000</v>
      </c>
      <c r="C463" s="7" t="s">
        <v>710</v>
      </c>
      <c r="D463" s="7" t="str">
        <f t="shared" si="298"/>
        <v>Partnerships and Investment Specialist</v>
      </c>
      <c r="E463" s="43">
        <v>0</v>
      </c>
      <c r="F463" s="49" t="s">
        <v>95</v>
      </c>
      <c r="G463" s="43">
        <f t="shared" si="299"/>
        <v>1750</v>
      </c>
      <c r="H463" s="119">
        <f>'LOE Breakdown by Year'!I27</f>
        <v>0.2</v>
      </c>
      <c r="I463" s="43">
        <f t="shared" si="300"/>
        <v>12</v>
      </c>
      <c r="J463" s="43">
        <f t="shared" si="308"/>
        <v>4200</v>
      </c>
      <c r="K463" s="119">
        <f>'LOE Breakdown by Year'!I67</f>
        <v>0.2</v>
      </c>
      <c r="L463" s="43">
        <f t="shared" si="301"/>
        <v>12</v>
      </c>
      <c r="M463" s="43">
        <f t="shared" si="309"/>
        <v>4410</v>
      </c>
      <c r="N463" s="119">
        <f>'LOE Breakdown by Year'!I107</f>
        <v>0.2</v>
      </c>
      <c r="O463" s="43">
        <f t="shared" si="302"/>
        <v>12</v>
      </c>
      <c r="P463" s="43">
        <f t="shared" si="310"/>
        <v>4630.5</v>
      </c>
      <c r="Q463" s="119">
        <f>'LOE Breakdown by Year'!I147</f>
        <v>0.2</v>
      </c>
      <c r="R463" s="43">
        <f t="shared" si="303"/>
        <v>0</v>
      </c>
      <c r="S463" s="43">
        <f t="shared" si="311"/>
        <v>0</v>
      </c>
      <c r="T463" s="43">
        <f t="shared" si="312"/>
        <v>13240.5</v>
      </c>
      <c r="U463" s="43">
        <v>0</v>
      </c>
      <c r="V463" s="43">
        <f t="shared" si="313"/>
        <v>13240.5</v>
      </c>
    </row>
    <row r="464" spans="1:22">
      <c r="A464" s="7" t="s">
        <v>751</v>
      </c>
      <c r="B464" s="44">
        <v>70000</v>
      </c>
      <c r="C464" s="7" t="s">
        <v>710</v>
      </c>
      <c r="D464" s="7" t="str">
        <f t="shared" si="298"/>
        <v>Organizational Strengthening Specialist</v>
      </c>
      <c r="E464" s="43">
        <v>0</v>
      </c>
      <c r="F464" s="49" t="s">
        <v>95</v>
      </c>
      <c r="G464" s="43">
        <f t="shared" si="299"/>
        <v>1750</v>
      </c>
      <c r="H464" s="119">
        <f>'LOE Breakdown by Year'!I28</f>
        <v>0.2</v>
      </c>
      <c r="I464" s="43">
        <f t="shared" si="300"/>
        <v>12</v>
      </c>
      <c r="J464" s="43">
        <f t="shared" si="308"/>
        <v>4200</v>
      </c>
      <c r="K464" s="119">
        <f>'LOE Breakdown by Year'!I68</f>
        <v>0</v>
      </c>
      <c r="L464" s="43">
        <f t="shared" si="301"/>
        <v>12</v>
      </c>
      <c r="M464" s="43">
        <f t="shared" si="309"/>
        <v>0</v>
      </c>
      <c r="N464" s="119">
        <f>'LOE Breakdown by Year'!I108</f>
        <v>0</v>
      </c>
      <c r="O464" s="43">
        <f t="shared" si="302"/>
        <v>12</v>
      </c>
      <c r="P464" s="43">
        <f t="shared" si="310"/>
        <v>0</v>
      </c>
      <c r="Q464" s="119">
        <f>'LOE Breakdown by Year'!I148</f>
        <v>0</v>
      </c>
      <c r="R464" s="43">
        <f t="shared" si="303"/>
        <v>0</v>
      </c>
      <c r="S464" s="43">
        <f t="shared" si="311"/>
        <v>0</v>
      </c>
      <c r="T464" s="43">
        <f t="shared" si="312"/>
        <v>4200</v>
      </c>
      <c r="U464" s="43">
        <v>0</v>
      </c>
      <c r="V464" s="43">
        <f t="shared" si="313"/>
        <v>4200</v>
      </c>
    </row>
    <row r="465" spans="1:22" hidden="1">
      <c r="A465" s="7" t="s">
        <v>751</v>
      </c>
      <c r="B465" s="44">
        <v>70000</v>
      </c>
      <c r="C465" s="7" t="s">
        <v>710</v>
      </c>
      <c r="D465" s="7" t="str">
        <f t="shared" si="298"/>
        <v>Value Chain Strengthening Director</v>
      </c>
      <c r="E465" s="43">
        <v>0</v>
      </c>
      <c r="F465" s="49" t="s">
        <v>95</v>
      </c>
      <c r="G465" s="43">
        <f t="shared" si="299"/>
        <v>0</v>
      </c>
      <c r="H465" s="119">
        <f>'LOE Breakdown by Year'!I29</f>
        <v>0.2</v>
      </c>
      <c r="I465" s="43">
        <f t="shared" si="300"/>
        <v>12</v>
      </c>
      <c r="J465" s="43">
        <f t="shared" si="308"/>
        <v>0</v>
      </c>
      <c r="K465" s="119">
        <f>'LOE Breakdown by Year'!I69</f>
        <v>0.4</v>
      </c>
      <c r="L465" s="43">
        <f t="shared" si="301"/>
        <v>12</v>
      </c>
      <c r="M465" s="43">
        <f t="shared" si="309"/>
        <v>0</v>
      </c>
      <c r="N465" s="119">
        <f>'LOE Breakdown by Year'!I109</f>
        <v>0.4</v>
      </c>
      <c r="O465" s="43">
        <f t="shared" si="302"/>
        <v>12</v>
      </c>
      <c r="P465" s="43">
        <f t="shared" si="310"/>
        <v>0</v>
      </c>
      <c r="Q465" s="119">
        <f>'LOE Breakdown by Year'!I149</f>
        <v>0.4</v>
      </c>
      <c r="R465" s="43">
        <f t="shared" si="303"/>
        <v>4</v>
      </c>
      <c r="S465" s="43">
        <f t="shared" si="311"/>
        <v>0</v>
      </c>
      <c r="T465" s="43">
        <f t="shared" si="312"/>
        <v>0</v>
      </c>
      <c r="U465" s="43">
        <v>0</v>
      </c>
      <c r="V465" s="43">
        <f t="shared" si="313"/>
        <v>0</v>
      </c>
    </row>
    <row r="466" spans="1:22">
      <c r="A466" s="7" t="s">
        <v>751</v>
      </c>
      <c r="B466" s="44">
        <v>70000</v>
      </c>
      <c r="C466" s="7" t="s">
        <v>710</v>
      </c>
      <c r="D466" s="7" t="str">
        <f t="shared" si="298"/>
        <v>Communications Specialist</v>
      </c>
      <c r="E466" s="43">
        <v>0</v>
      </c>
      <c r="F466" s="49" t="s">
        <v>95</v>
      </c>
      <c r="G466" s="43">
        <f t="shared" si="299"/>
        <v>1750</v>
      </c>
      <c r="H466" s="119">
        <f>'LOE Breakdown by Year'!I30</f>
        <v>0.2</v>
      </c>
      <c r="I466" s="43">
        <f t="shared" si="300"/>
        <v>12</v>
      </c>
      <c r="J466" s="43">
        <f t="shared" si="308"/>
        <v>4200</v>
      </c>
      <c r="K466" s="119">
        <f>'LOE Breakdown by Year'!I70</f>
        <v>0.18</v>
      </c>
      <c r="L466" s="43">
        <f t="shared" si="301"/>
        <v>12</v>
      </c>
      <c r="M466" s="43">
        <f t="shared" si="309"/>
        <v>3969</v>
      </c>
      <c r="N466" s="119">
        <f>'LOE Breakdown by Year'!I110</f>
        <v>0.18</v>
      </c>
      <c r="O466" s="43">
        <f t="shared" si="302"/>
        <v>12</v>
      </c>
      <c r="P466" s="43">
        <f t="shared" si="310"/>
        <v>4167.45</v>
      </c>
      <c r="Q466" s="119">
        <f>'LOE Breakdown by Year'!I150</f>
        <v>0.18</v>
      </c>
      <c r="R466" s="43">
        <f t="shared" si="303"/>
        <v>0</v>
      </c>
      <c r="S466" s="43">
        <f t="shared" si="311"/>
        <v>0</v>
      </c>
      <c r="T466" s="43">
        <f t="shared" si="312"/>
        <v>12336.45</v>
      </c>
      <c r="U466" s="43">
        <v>0</v>
      </c>
      <c r="V466" s="43">
        <f t="shared" si="313"/>
        <v>12336.45</v>
      </c>
    </row>
    <row r="467" spans="1:22">
      <c r="A467" s="7" t="s">
        <v>751</v>
      </c>
      <c r="B467" s="44">
        <v>70000</v>
      </c>
      <c r="C467" s="7" t="s">
        <v>710</v>
      </c>
      <c r="D467" s="7" t="str">
        <f t="shared" si="298"/>
        <v>Value Chain Specialist</v>
      </c>
      <c r="E467" s="43">
        <v>0</v>
      </c>
      <c r="F467" s="49" t="s">
        <v>95</v>
      </c>
      <c r="G467" s="43">
        <f t="shared" si="299"/>
        <v>2500</v>
      </c>
      <c r="H467" s="119">
        <f>'LOE Breakdown by Year'!I31</f>
        <v>0.2</v>
      </c>
      <c r="I467" s="43">
        <f t="shared" si="300"/>
        <v>12</v>
      </c>
      <c r="J467" s="43">
        <f t="shared" si="308"/>
        <v>6000</v>
      </c>
      <c r="K467" s="119">
        <f>'LOE Breakdown by Year'!I71</f>
        <v>0.5</v>
      </c>
      <c r="L467" s="43">
        <f t="shared" si="301"/>
        <v>12</v>
      </c>
      <c r="M467" s="43">
        <f t="shared" si="309"/>
        <v>15750</v>
      </c>
      <c r="N467" s="119">
        <f>'LOE Breakdown by Year'!I111</f>
        <v>0.5</v>
      </c>
      <c r="O467" s="43">
        <f t="shared" si="302"/>
        <v>12</v>
      </c>
      <c r="P467" s="43">
        <f t="shared" si="310"/>
        <v>16537.5</v>
      </c>
      <c r="Q467" s="119">
        <f>'LOE Breakdown by Year'!I151</f>
        <v>0.5</v>
      </c>
      <c r="R467" s="43">
        <f t="shared" si="303"/>
        <v>0</v>
      </c>
      <c r="S467" s="43">
        <f t="shared" si="311"/>
        <v>0</v>
      </c>
      <c r="T467" s="43">
        <f t="shared" si="312"/>
        <v>38287.5</v>
      </c>
      <c r="U467" s="43">
        <v>0</v>
      </c>
      <c r="V467" s="43">
        <f t="shared" si="313"/>
        <v>38287.5</v>
      </c>
    </row>
    <row r="468" spans="1:22">
      <c r="A468" s="7" t="s">
        <v>751</v>
      </c>
      <c r="B468" s="44">
        <v>70000</v>
      </c>
      <c r="C468" s="7" t="s">
        <v>710</v>
      </c>
      <c r="D468" s="7" t="str">
        <f t="shared" si="298"/>
        <v>Contracts &amp; Compliance Director</v>
      </c>
      <c r="E468" s="43">
        <v>10665.25</v>
      </c>
      <c r="F468" s="49" t="s">
        <v>95</v>
      </c>
      <c r="G468" s="43">
        <f t="shared" si="299"/>
        <v>4583.333333333333</v>
      </c>
      <c r="H468" s="119">
        <f>'LOE Breakdown by Year'!I32</f>
        <v>0.2</v>
      </c>
      <c r="I468" s="43">
        <f t="shared" si="300"/>
        <v>12</v>
      </c>
      <c r="J468" s="43">
        <f t="shared" si="308"/>
        <v>11000</v>
      </c>
      <c r="K468" s="119">
        <f>'LOE Breakdown by Year'!I72</f>
        <v>0.18</v>
      </c>
      <c r="L468" s="43">
        <f t="shared" si="301"/>
        <v>12</v>
      </c>
      <c r="M468" s="43">
        <f t="shared" si="309"/>
        <v>10395</v>
      </c>
      <c r="N468" s="119">
        <f>'LOE Breakdown by Year'!I112</f>
        <v>0.18</v>
      </c>
      <c r="O468" s="43">
        <f t="shared" si="302"/>
        <v>12</v>
      </c>
      <c r="P468" s="43">
        <f t="shared" si="310"/>
        <v>10914.75</v>
      </c>
      <c r="Q468" s="119">
        <f>'LOE Breakdown by Year'!I152</f>
        <v>0.18</v>
      </c>
      <c r="R468" s="43">
        <f t="shared" si="303"/>
        <v>3</v>
      </c>
      <c r="S468" s="43">
        <f t="shared" si="311"/>
        <v>2865.1218750000003</v>
      </c>
      <c r="T468" s="43">
        <f t="shared" si="312"/>
        <v>45840.121874999997</v>
      </c>
      <c r="U468" s="43">
        <v>0</v>
      </c>
      <c r="V468" s="43">
        <f t="shared" si="313"/>
        <v>45840.121874999997</v>
      </c>
    </row>
    <row r="469" spans="1:22">
      <c r="A469" s="7" t="s">
        <v>751</v>
      </c>
      <c r="B469" s="44">
        <v>70000</v>
      </c>
      <c r="C469" s="7" t="s">
        <v>710</v>
      </c>
      <c r="D469" s="7" t="str">
        <f t="shared" si="298"/>
        <v>Grants &amp; Procurement Specialist (2)</v>
      </c>
      <c r="E469" s="43">
        <v>0</v>
      </c>
      <c r="F469" s="49" t="s">
        <v>95</v>
      </c>
      <c r="G469" s="43">
        <f t="shared" si="299"/>
        <v>3500</v>
      </c>
      <c r="H469" s="119">
        <f>'LOE Breakdown by Year'!I33</f>
        <v>0.05</v>
      </c>
      <c r="I469" s="43">
        <f t="shared" si="300"/>
        <v>12</v>
      </c>
      <c r="J469" s="43">
        <f t="shared" si="308"/>
        <v>2100</v>
      </c>
      <c r="K469" s="119">
        <f>'LOE Breakdown by Year'!I73</f>
        <v>0</v>
      </c>
      <c r="L469" s="43">
        <f t="shared" si="301"/>
        <v>12</v>
      </c>
      <c r="M469" s="43">
        <f t="shared" si="309"/>
        <v>0</v>
      </c>
      <c r="N469" s="119">
        <f>'LOE Breakdown by Year'!I113</f>
        <v>0</v>
      </c>
      <c r="O469" s="43">
        <f t="shared" si="302"/>
        <v>12</v>
      </c>
      <c r="P469" s="43">
        <f t="shared" si="310"/>
        <v>0</v>
      </c>
      <c r="Q469" s="119">
        <f>'LOE Breakdown by Year'!I153</f>
        <v>0</v>
      </c>
      <c r="R469" s="43">
        <f t="shared" si="303"/>
        <v>0</v>
      </c>
      <c r="S469" s="43">
        <f t="shared" si="311"/>
        <v>0</v>
      </c>
      <c r="T469" s="43">
        <f t="shared" si="312"/>
        <v>2100</v>
      </c>
      <c r="U469" s="43">
        <v>0</v>
      </c>
      <c r="V469" s="43">
        <f t="shared" si="313"/>
        <v>2100</v>
      </c>
    </row>
    <row r="470" spans="1:22">
      <c r="A470" s="7" t="s">
        <v>751</v>
      </c>
      <c r="B470" s="44">
        <v>70000</v>
      </c>
      <c r="C470" s="7" t="s">
        <v>710</v>
      </c>
      <c r="D470" s="7" t="str">
        <f t="shared" si="298"/>
        <v xml:space="preserve">F&amp;A Director </v>
      </c>
      <c r="E470" s="43">
        <v>6323.5</v>
      </c>
      <c r="F470" s="49" t="s">
        <v>95</v>
      </c>
      <c r="G470" s="43">
        <f t="shared" si="299"/>
        <v>5279.4</v>
      </c>
      <c r="H470" s="119">
        <f>'LOE Breakdown by Year'!I34</f>
        <v>0.15</v>
      </c>
      <c r="I470" s="43">
        <f t="shared" si="300"/>
        <v>12</v>
      </c>
      <c r="J470" s="43">
        <f t="shared" si="308"/>
        <v>9502.9199999999983</v>
      </c>
      <c r="K470" s="119">
        <f>'LOE Breakdown by Year'!I74</f>
        <v>0.15</v>
      </c>
      <c r="L470" s="43">
        <f t="shared" si="301"/>
        <v>12</v>
      </c>
      <c r="M470" s="43">
        <f t="shared" si="309"/>
        <v>9978.0659999999989</v>
      </c>
      <c r="N470" s="119">
        <f>'LOE Breakdown by Year'!I114</f>
        <v>0.15</v>
      </c>
      <c r="O470" s="43">
        <f t="shared" si="302"/>
        <v>12</v>
      </c>
      <c r="P470" s="43">
        <f t="shared" si="310"/>
        <v>10476.969299999999</v>
      </c>
      <c r="Q470" s="119">
        <f>'LOE Breakdown by Year'!I154</f>
        <v>0.15</v>
      </c>
      <c r="R470" s="43">
        <f t="shared" si="303"/>
        <v>6</v>
      </c>
      <c r="S470" s="43">
        <f t="shared" si="311"/>
        <v>5500.4088824999999</v>
      </c>
      <c r="T470" s="43">
        <f t="shared" si="312"/>
        <v>41781.864182499994</v>
      </c>
      <c r="U470" s="43">
        <v>0</v>
      </c>
      <c r="V470" s="43">
        <f t="shared" si="313"/>
        <v>41781.864182499994</v>
      </c>
    </row>
    <row r="471" spans="1:22">
      <c r="A471" s="7" t="s">
        <v>751</v>
      </c>
      <c r="B471" s="44">
        <v>70000</v>
      </c>
      <c r="C471" s="7" t="s">
        <v>710</v>
      </c>
      <c r="D471" s="7" t="str">
        <f t="shared" si="298"/>
        <v>Accounting &amp; Finance Specialist</v>
      </c>
      <c r="E471" s="43">
        <v>0</v>
      </c>
      <c r="F471" s="49" t="s">
        <v>95</v>
      </c>
      <c r="G471" s="43">
        <f t="shared" si="299"/>
        <v>1750</v>
      </c>
      <c r="H471" s="119">
        <f>'LOE Breakdown by Year'!I35</f>
        <v>0.2</v>
      </c>
      <c r="I471" s="43">
        <f t="shared" si="300"/>
        <v>12</v>
      </c>
      <c r="J471" s="43">
        <f t="shared" si="308"/>
        <v>4200</v>
      </c>
      <c r="K471" s="119">
        <f>'LOE Breakdown by Year'!I75</f>
        <v>0.16</v>
      </c>
      <c r="L471" s="43">
        <f t="shared" si="301"/>
        <v>12</v>
      </c>
      <c r="M471" s="43">
        <f t="shared" si="309"/>
        <v>3528</v>
      </c>
      <c r="N471" s="119">
        <f>'LOE Breakdown by Year'!I115</f>
        <v>0.16</v>
      </c>
      <c r="O471" s="43">
        <f t="shared" si="302"/>
        <v>12</v>
      </c>
      <c r="P471" s="43">
        <f t="shared" si="310"/>
        <v>3704.4</v>
      </c>
      <c r="Q471" s="119">
        <f>'LOE Breakdown by Year'!I155</f>
        <v>0.16</v>
      </c>
      <c r="R471" s="43">
        <f t="shared" si="303"/>
        <v>3</v>
      </c>
      <c r="S471" s="43">
        <f t="shared" si="311"/>
        <v>972.40500000000009</v>
      </c>
      <c r="T471" s="43">
        <f t="shared" si="312"/>
        <v>12404.805</v>
      </c>
      <c r="U471" s="43">
        <v>0</v>
      </c>
      <c r="V471" s="43">
        <f t="shared" si="313"/>
        <v>12404.805</v>
      </c>
    </row>
    <row r="472" spans="1:22">
      <c r="A472" s="7" t="s">
        <v>751</v>
      </c>
      <c r="B472" s="44">
        <v>70000</v>
      </c>
      <c r="C472" s="7" t="s">
        <v>710</v>
      </c>
      <c r="D472" s="7" t="str">
        <f t="shared" si="298"/>
        <v xml:space="preserve">Accountant </v>
      </c>
      <c r="E472" s="43">
        <v>0</v>
      </c>
      <c r="F472" s="49" t="s">
        <v>95</v>
      </c>
      <c r="G472" s="43">
        <f t="shared" si="299"/>
        <v>1750</v>
      </c>
      <c r="H472" s="119">
        <f>'LOE Breakdown by Year'!I36</f>
        <v>0.2</v>
      </c>
      <c r="I472" s="43">
        <f t="shared" si="300"/>
        <v>12</v>
      </c>
      <c r="J472" s="43">
        <f t="shared" si="308"/>
        <v>4200</v>
      </c>
      <c r="K472" s="119">
        <f>'LOE Breakdown by Year'!I76</f>
        <v>0.16</v>
      </c>
      <c r="L472" s="43">
        <f t="shared" si="301"/>
        <v>12</v>
      </c>
      <c r="M472" s="43">
        <f t="shared" si="309"/>
        <v>3528</v>
      </c>
      <c r="N472" s="119">
        <f>'LOE Breakdown by Year'!I116</f>
        <v>0.16</v>
      </c>
      <c r="O472" s="43">
        <f t="shared" si="302"/>
        <v>12</v>
      </c>
      <c r="P472" s="43">
        <f t="shared" si="310"/>
        <v>3704.4</v>
      </c>
      <c r="Q472" s="119">
        <f>'LOE Breakdown by Year'!I156</f>
        <v>0.16</v>
      </c>
      <c r="R472" s="43">
        <f t="shared" si="303"/>
        <v>5</v>
      </c>
      <c r="S472" s="43">
        <f t="shared" si="311"/>
        <v>1620.6750000000002</v>
      </c>
      <c r="T472" s="43">
        <f t="shared" si="312"/>
        <v>13053.075000000001</v>
      </c>
      <c r="U472" s="43">
        <v>0</v>
      </c>
      <c r="V472" s="43">
        <f t="shared" si="313"/>
        <v>13053.075000000001</v>
      </c>
    </row>
    <row r="473" spans="1:22">
      <c r="A473" s="7" t="s">
        <v>751</v>
      </c>
      <c r="B473" s="44">
        <v>70000</v>
      </c>
      <c r="C473" s="7" t="s">
        <v>710</v>
      </c>
      <c r="D473" s="7" t="str">
        <f t="shared" si="298"/>
        <v>Finance &amp; Admin Coordinator - 50% LOE</v>
      </c>
      <c r="E473" s="43">
        <v>0</v>
      </c>
      <c r="F473" s="49" t="s">
        <v>95</v>
      </c>
      <c r="G473" s="43">
        <f t="shared" si="299"/>
        <v>2583.3333333333335</v>
      </c>
      <c r="H473" s="119">
        <f>'LOE Breakdown by Year'!I37</f>
        <v>0.05</v>
      </c>
      <c r="I473" s="43">
        <f t="shared" si="300"/>
        <v>12</v>
      </c>
      <c r="J473" s="43">
        <f t="shared" si="308"/>
        <v>1550</v>
      </c>
      <c r="K473" s="119">
        <f>'LOE Breakdown by Year'!I77</f>
        <v>0.05</v>
      </c>
      <c r="L473" s="43">
        <f t="shared" si="301"/>
        <v>12</v>
      </c>
      <c r="M473" s="43">
        <f t="shared" si="309"/>
        <v>1627.5</v>
      </c>
      <c r="N473" s="119">
        <f>'LOE Breakdown by Year'!I117</f>
        <v>0.05</v>
      </c>
      <c r="O473" s="43">
        <f t="shared" si="302"/>
        <v>12</v>
      </c>
      <c r="P473" s="43">
        <f t="shared" si="310"/>
        <v>1708.875</v>
      </c>
      <c r="Q473" s="119">
        <f>'LOE Breakdown by Year'!I157</f>
        <v>0.05</v>
      </c>
      <c r="R473" s="43">
        <f t="shared" si="303"/>
        <v>6</v>
      </c>
      <c r="S473" s="43">
        <f t="shared" si="311"/>
        <v>897.15937500000007</v>
      </c>
      <c r="T473" s="43">
        <f t="shared" si="312"/>
        <v>5783.5343750000002</v>
      </c>
      <c r="U473" s="43">
        <v>0</v>
      </c>
      <c r="V473" s="43">
        <f t="shared" si="313"/>
        <v>5783.5343750000002</v>
      </c>
    </row>
    <row r="474" spans="1:22">
      <c r="A474" s="7" t="s">
        <v>751</v>
      </c>
      <c r="B474" s="44">
        <v>70000</v>
      </c>
      <c r="C474" s="7" t="s">
        <v>710</v>
      </c>
      <c r="D474" s="7" t="str">
        <f t="shared" si="298"/>
        <v xml:space="preserve">Administrative Officer </v>
      </c>
      <c r="E474" s="43">
        <v>2041.08</v>
      </c>
      <c r="F474" s="49" t="s">
        <v>95</v>
      </c>
      <c r="G474" s="43">
        <f t="shared" si="299"/>
        <v>1000</v>
      </c>
      <c r="H474" s="119">
        <f>'LOE Breakdown by Year'!I38</f>
        <v>0.2</v>
      </c>
      <c r="I474" s="43">
        <f t="shared" si="300"/>
        <v>12</v>
      </c>
      <c r="J474" s="43">
        <f t="shared" si="308"/>
        <v>2400</v>
      </c>
      <c r="K474" s="119">
        <f>'LOE Breakdown by Year'!I78</f>
        <v>0.1</v>
      </c>
      <c r="L474" s="43">
        <f t="shared" si="301"/>
        <v>12</v>
      </c>
      <c r="M474" s="43">
        <f t="shared" si="309"/>
        <v>1260</v>
      </c>
      <c r="N474" s="119">
        <f>'LOE Breakdown by Year'!I118</f>
        <v>0.1</v>
      </c>
      <c r="O474" s="43">
        <f t="shared" si="302"/>
        <v>12</v>
      </c>
      <c r="P474" s="43">
        <f t="shared" si="310"/>
        <v>1323</v>
      </c>
      <c r="Q474" s="119">
        <f>'LOE Breakdown by Year'!I158</f>
        <v>0.1</v>
      </c>
      <c r="R474" s="43">
        <f t="shared" si="303"/>
        <v>3</v>
      </c>
      <c r="S474" s="43">
        <f t="shared" si="311"/>
        <v>347.28750000000002</v>
      </c>
      <c r="T474" s="43">
        <f t="shared" si="312"/>
        <v>7371.3675000000003</v>
      </c>
      <c r="U474" s="43">
        <v>0</v>
      </c>
      <c r="V474" s="43">
        <f t="shared" si="313"/>
        <v>7371.3675000000003</v>
      </c>
    </row>
    <row r="475" spans="1:22">
      <c r="A475" s="7" t="s">
        <v>751</v>
      </c>
      <c r="B475" s="44">
        <v>70000</v>
      </c>
      <c r="C475" s="7" t="s">
        <v>710</v>
      </c>
      <c r="D475" s="7" t="str">
        <f t="shared" si="298"/>
        <v>Human Resource Manager</v>
      </c>
      <c r="E475" s="43">
        <v>0</v>
      </c>
      <c r="F475" s="49" t="s">
        <v>95</v>
      </c>
      <c r="G475" s="43">
        <f t="shared" si="299"/>
        <v>1954.1666666666667</v>
      </c>
      <c r="H475" s="119">
        <f>'LOE Breakdown by Year'!I39</f>
        <v>0.2</v>
      </c>
      <c r="I475" s="43">
        <f t="shared" si="300"/>
        <v>12</v>
      </c>
      <c r="J475" s="43">
        <f t="shared" si="308"/>
        <v>4690</v>
      </c>
      <c r="K475" s="119">
        <f>'LOE Breakdown by Year'!I79</f>
        <v>0.1</v>
      </c>
      <c r="L475" s="43">
        <f t="shared" si="301"/>
        <v>12</v>
      </c>
      <c r="M475" s="43">
        <f t="shared" si="309"/>
        <v>2462.25</v>
      </c>
      <c r="N475" s="119">
        <f>'LOE Breakdown by Year'!I119</f>
        <v>0.1</v>
      </c>
      <c r="O475" s="43">
        <f t="shared" si="302"/>
        <v>12</v>
      </c>
      <c r="P475" s="43">
        <f t="shared" si="310"/>
        <v>2585.3625000000002</v>
      </c>
      <c r="Q475" s="119">
        <f>'LOE Breakdown by Year'!I159</f>
        <v>0.1</v>
      </c>
      <c r="R475" s="43">
        <f t="shared" si="303"/>
        <v>6</v>
      </c>
      <c r="S475" s="43">
        <f t="shared" si="311"/>
        <v>1357.3153125000001</v>
      </c>
      <c r="T475" s="43">
        <f t="shared" si="312"/>
        <v>11094.9278125</v>
      </c>
      <c r="U475" s="43">
        <v>0</v>
      </c>
      <c r="V475" s="43">
        <f t="shared" si="313"/>
        <v>11094.9278125</v>
      </c>
    </row>
    <row r="476" spans="1:22">
      <c r="A476" s="7" t="s">
        <v>751</v>
      </c>
      <c r="B476" s="44">
        <v>70000</v>
      </c>
      <c r="C476" s="7" t="s">
        <v>710</v>
      </c>
      <c r="D476" s="7" t="str">
        <f t="shared" si="298"/>
        <v>Human Resource Specialist</v>
      </c>
      <c r="E476" s="43">
        <v>0</v>
      </c>
      <c r="F476" s="49" t="s">
        <v>95</v>
      </c>
      <c r="G476" s="43">
        <f t="shared" si="299"/>
        <v>1750</v>
      </c>
      <c r="H476" s="119">
        <f>'LOE Breakdown by Year'!I40</f>
        <v>0.2</v>
      </c>
      <c r="I476" s="43">
        <f t="shared" si="300"/>
        <v>12</v>
      </c>
      <c r="J476" s="43">
        <f t="shared" si="308"/>
        <v>4200</v>
      </c>
      <c r="K476" s="119">
        <f>'LOE Breakdown by Year'!I80</f>
        <v>0.1</v>
      </c>
      <c r="L476" s="43">
        <f t="shared" si="301"/>
        <v>12</v>
      </c>
      <c r="M476" s="43">
        <f t="shared" si="309"/>
        <v>2205</v>
      </c>
      <c r="N476" s="119">
        <f>'LOE Breakdown by Year'!I120</f>
        <v>0.1</v>
      </c>
      <c r="O476" s="43">
        <f t="shared" si="302"/>
        <v>12</v>
      </c>
      <c r="P476" s="43">
        <f t="shared" si="310"/>
        <v>2315.25</v>
      </c>
      <c r="Q476" s="119">
        <f>'LOE Breakdown by Year'!I160</f>
        <v>0.1</v>
      </c>
      <c r="R476" s="43">
        <f t="shared" si="303"/>
        <v>3</v>
      </c>
      <c r="S476" s="43">
        <f t="shared" si="311"/>
        <v>607.75312500000007</v>
      </c>
      <c r="T476" s="43">
        <f t="shared" si="312"/>
        <v>9328.0031249999993</v>
      </c>
      <c r="U476" s="43">
        <v>0</v>
      </c>
      <c r="V476" s="43">
        <f t="shared" si="313"/>
        <v>9328.0031249999993</v>
      </c>
    </row>
    <row r="477" spans="1:22">
      <c r="A477" s="40"/>
      <c r="B477" s="40"/>
      <c r="C477" s="40"/>
      <c r="D477" s="40" t="s">
        <v>346</v>
      </c>
      <c r="E477" s="47">
        <f>SUM(E447:E476)</f>
        <v>86898.72</v>
      </c>
      <c r="F477" s="45"/>
      <c r="G477" s="46"/>
      <c r="H477" s="132"/>
      <c r="I477" s="47"/>
      <c r="J477" s="47">
        <f>SUM(J447:J476)</f>
        <v>161892.91999999998</v>
      </c>
      <c r="K477" s="132"/>
      <c r="L477" s="47"/>
      <c r="M477" s="47">
        <f>SUM(M447:M476)</f>
        <v>136812.81599999999</v>
      </c>
      <c r="N477" s="132"/>
      <c r="O477" s="47"/>
      <c r="P477" s="47">
        <f>SUM(P447:P476)</f>
        <v>143653.45679999999</v>
      </c>
      <c r="Q477" s="132"/>
      <c r="R477" s="47"/>
      <c r="S477" s="47">
        <f>SUM(S447:S476)</f>
        <v>34514.350132499996</v>
      </c>
      <c r="T477" s="47">
        <f>SUM(T447:T476)</f>
        <v>563772.2629325001</v>
      </c>
      <c r="U477" s="47">
        <f>SUM(U447:U476)</f>
        <v>0</v>
      </c>
      <c r="V477" s="47">
        <f>SUM(V447:V476)</f>
        <v>563772.2629325001</v>
      </c>
    </row>
    <row r="478" spans="1:22">
      <c r="A478" s="104"/>
      <c r="B478" s="104"/>
      <c r="C478" s="104"/>
      <c r="D478" s="104"/>
      <c r="E478" s="593"/>
      <c r="F478" s="81"/>
      <c r="G478" s="62"/>
      <c r="H478" s="133"/>
      <c r="I478" s="62"/>
      <c r="J478" s="62"/>
      <c r="K478" s="133"/>
      <c r="L478" s="62"/>
      <c r="M478" s="62"/>
      <c r="N478" s="133"/>
      <c r="O478" s="62"/>
      <c r="P478" s="62"/>
      <c r="Q478" s="133"/>
      <c r="R478" s="62"/>
      <c r="S478" s="62"/>
      <c r="T478" s="62"/>
      <c r="U478" s="62"/>
      <c r="V478" s="62"/>
    </row>
    <row r="479" spans="1:22">
      <c r="A479" s="40"/>
      <c r="B479" s="40"/>
      <c r="C479" s="40"/>
      <c r="D479" s="40" t="s">
        <v>347</v>
      </c>
      <c r="E479" s="47"/>
      <c r="F479" s="45"/>
      <c r="G479" s="46"/>
      <c r="H479" s="132"/>
      <c r="I479" s="47"/>
      <c r="J479" s="47"/>
      <c r="K479" s="132"/>
      <c r="L479" s="47"/>
      <c r="M479" s="47"/>
      <c r="N479" s="132"/>
      <c r="O479" s="47"/>
      <c r="P479" s="47"/>
      <c r="Q479" s="132"/>
      <c r="R479" s="47"/>
      <c r="S479" s="47"/>
      <c r="T479" s="47"/>
      <c r="U479" s="47"/>
      <c r="V479" s="47"/>
    </row>
    <row r="480" spans="1:22" ht="25.2">
      <c r="A480" s="7" t="s">
        <v>801</v>
      </c>
      <c r="B480" s="44">
        <v>70015</v>
      </c>
      <c r="C480" s="7" t="s">
        <v>710</v>
      </c>
      <c r="D480" s="7" t="str">
        <f>D51</f>
        <v>Fringe Benefits CCN - Colombia (above $3,350 monthly)</v>
      </c>
      <c r="E480" s="83">
        <v>2679.61</v>
      </c>
      <c r="F480" s="82" t="s">
        <v>132</v>
      </c>
      <c r="G480" s="59">
        <f>G51</f>
        <v>0.53864000000000001</v>
      </c>
      <c r="H480" s="120"/>
      <c r="I480" s="43"/>
      <c r="J480" s="43">
        <f>(J449+J465+J458+J462+J470+J468+J448)*$G$51</f>
        <v>34339.872828799998</v>
      </c>
      <c r="K480" s="120"/>
      <c r="L480" s="43"/>
      <c r="M480" s="43">
        <f>(M449+M465+M458+M462+M470+M468+M448)*$G$51</f>
        <v>27233.943270240001</v>
      </c>
      <c r="N480" s="120"/>
      <c r="O480" s="43"/>
      <c r="P480" s="43">
        <f>(P449+P465+P458+P462+P470+P468+P448)*$G$51</f>
        <v>28595.640433752</v>
      </c>
      <c r="Q480" s="120"/>
      <c r="R480" s="43"/>
      <c r="S480" s="43">
        <f>(S449+S465+S458+S462+S470+S468+S448)*$G$51</f>
        <v>12469.174876594801</v>
      </c>
      <c r="T480" s="43">
        <f t="shared" ref="T480:T483" si="314">SUM(P480,M480,J480,E480,S480)</f>
        <v>105318.2414093868</v>
      </c>
      <c r="U480" s="43">
        <v>0</v>
      </c>
      <c r="V480" s="43">
        <f t="shared" ref="V480:V483" si="315">SUM(T480:U480)</f>
        <v>105318.2414093868</v>
      </c>
    </row>
    <row r="481" spans="1:22" ht="25.2">
      <c r="A481" s="7" t="s">
        <v>801</v>
      </c>
      <c r="B481" s="44">
        <v>70015</v>
      </c>
      <c r="C481" s="7" t="s">
        <v>710</v>
      </c>
      <c r="D481" s="7" t="str">
        <f>D52</f>
        <v>Fringe Benefits CCN - Colombia (below $3,350 monthly)</v>
      </c>
      <c r="E481" s="83">
        <v>29438.93</v>
      </c>
      <c r="F481" s="82" t="s">
        <v>132</v>
      </c>
      <c r="G481" s="59">
        <f>G52</f>
        <v>0.44863999999999998</v>
      </c>
      <c r="H481" s="125"/>
      <c r="I481" s="83"/>
      <c r="J481" s="43">
        <f>(J450+J451+J452+J453+J454+J455+J456+J457+J459+J460+J461+J463+J464+J466+J467+J469+J471+J472+J473+J474+J475+J476)*$G$52</f>
        <v>28686.0416</v>
      </c>
      <c r="K481" s="125"/>
      <c r="L481" s="83"/>
      <c r="M481" s="43">
        <f>(M450+M451+M452+M453+M454+M455+M456+M457+M459+M460+M461+M463+M464+M466+M467+M469+M471+M472+M473+M474+M475+M476)*$G$52</f>
        <v>23391.080159999998</v>
      </c>
      <c r="N481" s="125"/>
      <c r="O481" s="83"/>
      <c r="P481" s="43">
        <f>(P450+P451+P452+P453+P454+P455+P456+P457+P459+P460+P461+P463+P464+P466+P467+P469+P471+P472+P473+P474+P475+P476)*$G$52</f>
        <v>24560.634168000004</v>
      </c>
      <c r="Q481" s="125"/>
      <c r="R481" s="83"/>
      <c r="S481" s="43">
        <f>(S450+S451+S452+S453+S454+S455+S456+S457+S459+S460+S461+S463+S464+S466+S467+S469+S471+S472+S473+S474+S475+S476)*$G$52</f>
        <v>5098.7861694000003</v>
      </c>
      <c r="T481" s="43">
        <f t="shared" si="314"/>
        <v>111175.47209739999</v>
      </c>
      <c r="U481" s="43">
        <v>0</v>
      </c>
      <c r="V481" s="43">
        <f t="shared" si="315"/>
        <v>111175.47209739999</v>
      </c>
    </row>
    <row r="482" spans="1:22">
      <c r="A482" s="7" t="s">
        <v>802</v>
      </c>
      <c r="B482" s="44">
        <v>50202</v>
      </c>
      <c r="C482" s="7" t="s">
        <v>709</v>
      </c>
      <c r="D482" s="7" t="str">
        <f>D54</f>
        <v>Post (Hardship) Differential for Chief of Party</v>
      </c>
      <c r="E482" s="83">
        <v>371.76</v>
      </c>
      <c r="F482" s="82" t="s">
        <v>132</v>
      </c>
      <c r="G482" s="59">
        <f>G54</f>
        <v>0.15</v>
      </c>
      <c r="H482" s="125"/>
      <c r="I482" s="83"/>
      <c r="J482" s="83">
        <f>J447*$G$312</f>
        <v>5130</v>
      </c>
      <c r="K482" s="125"/>
      <c r="L482" s="83"/>
      <c r="M482" s="83">
        <f>M447*$G$312</f>
        <v>5117.1750000000002</v>
      </c>
      <c r="N482" s="125"/>
      <c r="O482" s="83"/>
      <c r="P482" s="83">
        <f>P447*$G$312</f>
        <v>5373.0337499999996</v>
      </c>
      <c r="Q482" s="125"/>
      <c r="R482" s="83"/>
      <c r="S482" s="83">
        <f>S447*$G$312</f>
        <v>0</v>
      </c>
      <c r="T482" s="43">
        <f t="shared" si="314"/>
        <v>15991.96875</v>
      </c>
      <c r="U482" s="43">
        <v>0</v>
      </c>
      <c r="V482" s="43">
        <f t="shared" si="315"/>
        <v>15991.96875</v>
      </c>
    </row>
    <row r="483" spans="1:22">
      <c r="A483" s="7" t="s">
        <v>801</v>
      </c>
      <c r="B483" s="44">
        <v>50900</v>
      </c>
      <c r="C483" s="7" t="s">
        <v>709</v>
      </c>
      <c r="D483" s="7" t="str">
        <f>D55</f>
        <v>Fringe Benefits Package for Chief of Party</v>
      </c>
      <c r="E483" s="83">
        <v>1004.85</v>
      </c>
      <c r="F483" s="82" t="s">
        <v>132</v>
      </c>
      <c r="G483" s="59">
        <f>G55</f>
        <v>0.56469999999999998</v>
      </c>
      <c r="H483" s="125"/>
      <c r="I483" s="83"/>
      <c r="J483" s="83">
        <f>J447*$G$313</f>
        <v>19312.739999999998</v>
      </c>
      <c r="K483" s="125"/>
      <c r="L483" s="83"/>
      <c r="M483" s="83">
        <f>M447*$G$313</f>
        <v>19264.458149999999</v>
      </c>
      <c r="N483" s="125"/>
      <c r="O483" s="83"/>
      <c r="P483" s="83">
        <f>P447*$G$313</f>
        <v>20227.681057499998</v>
      </c>
      <c r="Q483" s="125"/>
      <c r="R483" s="83"/>
      <c r="S483" s="83">
        <f>S447*$G$313</f>
        <v>0</v>
      </c>
      <c r="T483" s="43">
        <f t="shared" si="314"/>
        <v>59809.729207499993</v>
      </c>
      <c r="U483" s="43">
        <v>0</v>
      </c>
      <c r="V483" s="43">
        <f t="shared" si="315"/>
        <v>59809.729207499993</v>
      </c>
    </row>
    <row r="484" spans="1:22">
      <c r="A484" s="40"/>
      <c r="B484" s="40"/>
      <c r="C484" s="40"/>
      <c r="D484" s="40" t="s">
        <v>348</v>
      </c>
      <c r="E484" s="47">
        <f>SUM(E480:E483)</f>
        <v>33495.15</v>
      </c>
      <c r="F484" s="45"/>
      <c r="G484" s="46"/>
      <c r="H484" s="132"/>
      <c r="I484" s="47"/>
      <c r="J484" s="47">
        <f>SUM(J480:J483)</f>
        <v>87468.654428799986</v>
      </c>
      <c r="K484" s="132"/>
      <c r="L484" s="47"/>
      <c r="M484" s="47">
        <f>SUM(M480:M483)</f>
        <v>75006.65658024</v>
      </c>
      <c r="N484" s="132"/>
      <c r="O484" s="47"/>
      <c r="P484" s="47">
        <f>SUM(P480:P483)</f>
        <v>78756.989409252012</v>
      </c>
      <c r="Q484" s="132"/>
      <c r="R484" s="47"/>
      <c r="S484" s="47">
        <f>SUM(S480:S483)</f>
        <v>17567.961045994802</v>
      </c>
      <c r="T484" s="47">
        <f>SUM(T480:T483)</f>
        <v>292295.41146428679</v>
      </c>
      <c r="U484" s="47">
        <f>SUM(U480:U483)</f>
        <v>0</v>
      </c>
      <c r="V484" s="47">
        <f>SUM(V480:V483)</f>
        <v>292295.41146428679</v>
      </c>
    </row>
    <row r="485" spans="1:22">
      <c r="A485" s="104"/>
      <c r="B485" s="104"/>
      <c r="C485" s="104"/>
      <c r="D485" s="104"/>
      <c r="E485" s="62"/>
      <c r="F485" s="81"/>
      <c r="G485" s="62"/>
      <c r="H485" s="133"/>
      <c r="I485" s="62"/>
      <c r="J485" s="62"/>
      <c r="K485" s="133"/>
      <c r="L485" s="62"/>
      <c r="M485" s="62"/>
      <c r="N485" s="133"/>
      <c r="O485" s="62"/>
      <c r="P485" s="62"/>
      <c r="Q485" s="133"/>
      <c r="R485" s="62"/>
      <c r="S485" s="62"/>
      <c r="T485" s="62"/>
      <c r="U485" s="62"/>
      <c r="V485" s="62"/>
    </row>
    <row r="486" spans="1:22">
      <c r="A486" s="40"/>
      <c r="B486" s="40"/>
      <c r="C486" s="40"/>
      <c r="D486" s="40" t="s">
        <v>349</v>
      </c>
      <c r="E486" s="46"/>
      <c r="F486" s="45"/>
      <c r="G486" s="46"/>
      <c r="H486" s="132"/>
      <c r="I486" s="46"/>
      <c r="J486" s="46"/>
      <c r="K486" s="132"/>
      <c r="L486" s="46"/>
      <c r="M486" s="46"/>
      <c r="N486" s="132"/>
      <c r="O486" s="46"/>
      <c r="P486" s="46"/>
      <c r="Q486" s="132"/>
      <c r="R486" s="46"/>
      <c r="S486" s="46"/>
      <c r="T486" s="46"/>
      <c r="U486" s="46"/>
      <c r="V486" s="46"/>
    </row>
    <row r="487" spans="1:22" ht="25.2">
      <c r="A487" s="7" t="s">
        <v>803</v>
      </c>
      <c r="B487" s="44" t="s">
        <v>770</v>
      </c>
      <c r="C487" s="7" t="s">
        <v>710</v>
      </c>
      <c r="D487" s="7" t="s">
        <v>350</v>
      </c>
      <c r="E487" s="43">
        <v>0</v>
      </c>
      <c r="F487" s="48" t="s">
        <v>237</v>
      </c>
      <c r="G487" s="43">
        <v>74500</v>
      </c>
      <c r="H487" s="125"/>
      <c r="I487" s="43">
        <v>1</v>
      </c>
      <c r="J487" s="43">
        <f>I487*G487</f>
        <v>74500</v>
      </c>
      <c r="K487" s="125"/>
      <c r="L487" s="43">
        <v>0</v>
      </c>
      <c r="M487" s="43">
        <v>0</v>
      </c>
      <c r="N487" s="125"/>
      <c r="O487" s="43">
        <v>0</v>
      </c>
      <c r="P487" s="43">
        <v>0</v>
      </c>
      <c r="Q487" s="128"/>
      <c r="R487" s="43">
        <v>0</v>
      </c>
      <c r="S487" s="43">
        <v>0</v>
      </c>
      <c r="T487" s="43">
        <f t="shared" ref="T487:T488" si="316">SUM(P487,M487,J487,E487,S487)</f>
        <v>74500</v>
      </c>
      <c r="U487" s="43">
        <v>0</v>
      </c>
      <c r="V487" s="43">
        <f t="shared" ref="V487:V488" si="317">SUM(T487:U487)</f>
        <v>74500</v>
      </c>
    </row>
    <row r="488" spans="1:22" ht="25.2">
      <c r="A488" s="591" t="s">
        <v>808</v>
      </c>
      <c r="B488" s="44">
        <v>81000</v>
      </c>
      <c r="C488" s="7" t="s">
        <v>710</v>
      </c>
      <c r="D488" s="7" t="s">
        <v>351</v>
      </c>
      <c r="E488" s="43">
        <v>0</v>
      </c>
      <c r="F488" s="48" t="s">
        <v>95</v>
      </c>
      <c r="G488" s="43">
        <v>5000</v>
      </c>
      <c r="H488" s="125"/>
      <c r="I488" s="43">
        <v>2</v>
      </c>
      <c r="J488" s="43">
        <f>I488*G488</f>
        <v>10000</v>
      </c>
      <c r="K488" s="125"/>
      <c r="L488" s="43">
        <v>0</v>
      </c>
      <c r="M488" s="43">
        <f>L488*G488</f>
        <v>0</v>
      </c>
      <c r="N488" s="125"/>
      <c r="O488" s="43">
        <v>0</v>
      </c>
      <c r="P488" s="43">
        <f>O488*G488</f>
        <v>0</v>
      </c>
      <c r="Q488" s="125"/>
      <c r="R488" s="43">
        <v>0</v>
      </c>
      <c r="S488" s="43">
        <f>R488*G488</f>
        <v>0</v>
      </c>
      <c r="T488" s="43">
        <f t="shared" si="316"/>
        <v>10000</v>
      </c>
      <c r="U488" s="43">
        <v>0</v>
      </c>
      <c r="V488" s="43">
        <f t="shared" si="317"/>
        <v>10000</v>
      </c>
    </row>
    <row r="489" spans="1:22" ht="24.9">
      <c r="A489" s="40"/>
      <c r="B489" s="40"/>
      <c r="C489" s="40"/>
      <c r="D489" s="40" t="s">
        <v>352</v>
      </c>
      <c r="E489" s="47">
        <f>SUM(E487:E488)</f>
        <v>0</v>
      </c>
      <c r="F489" s="45"/>
      <c r="G489" s="47"/>
      <c r="H489" s="135"/>
      <c r="I489" s="47"/>
      <c r="J489" s="47">
        <f>SUM(J487:J488)</f>
        <v>84500</v>
      </c>
      <c r="K489" s="135"/>
      <c r="L489" s="47"/>
      <c r="M489" s="47">
        <f>SUM(M487:M488)</f>
        <v>0</v>
      </c>
      <c r="N489" s="135"/>
      <c r="O489" s="47"/>
      <c r="P489" s="47">
        <f>SUM(P487:P488)</f>
        <v>0</v>
      </c>
      <c r="Q489" s="135"/>
      <c r="R489" s="47"/>
      <c r="S489" s="47">
        <f>SUM(S487:S488)</f>
        <v>0</v>
      </c>
      <c r="T489" s="47">
        <f>SUM(T487:T488)</f>
        <v>84500</v>
      </c>
      <c r="U489" s="47">
        <f>SUM(U487:U488)</f>
        <v>0</v>
      </c>
      <c r="V489" s="47">
        <f>SUM(V487:V488)</f>
        <v>84500</v>
      </c>
    </row>
    <row r="490" spans="1:22" hidden="1">
      <c r="A490" s="104"/>
      <c r="B490" s="104"/>
      <c r="C490" s="104"/>
      <c r="D490" s="104"/>
      <c r="E490" s="62"/>
      <c r="F490" s="81"/>
      <c r="G490" s="62"/>
      <c r="H490" s="133"/>
      <c r="I490" s="62"/>
      <c r="J490" s="62"/>
      <c r="K490" s="133"/>
      <c r="L490" s="62"/>
      <c r="M490" s="62"/>
      <c r="N490" s="133"/>
      <c r="O490" s="62"/>
      <c r="P490" s="62"/>
      <c r="Q490" s="133"/>
      <c r="R490" s="62"/>
      <c r="S490" s="62"/>
      <c r="T490" s="62"/>
      <c r="U490" s="62"/>
      <c r="V490" s="62"/>
    </row>
    <row r="491" spans="1:22" hidden="1">
      <c r="A491" s="40"/>
      <c r="B491" s="40"/>
      <c r="C491" s="40"/>
      <c r="D491" s="40" t="s">
        <v>353</v>
      </c>
      <c r="E491" s="46"/>
      <c r="F491" s="45"/>
      <c r="G491" s="46"/>
      <c r="H491" s="132"/>
      <c r="I491" s="46"/>
      <c r="J491" s="46"/>
      <c r="K491" s="132"/>
      <c r="L491" s="46"/>
      <c r="M491" s="46"/>
      <c r="N491" s="132"/>
      <c r="O491" s="46"/>
      <c r="P491" s="46"/>
      <c r="Q491" s="132"/>
      <c r="R491" s="46"/>
      <c r="S491" s="46"/>
      <c r="T491" s="46"/>
      <c r="U491" s="46"/>
      <c r="V491" s="46"/>
    </row>
    <row r="492" spans="1:22" hidden="1">
      <c r="D492" s="7" t="s">
        <v>354</v>
      </c>
      <c r="E492" s="43">
        <v>0</v>
      </c>
      <c r="F492" s="7" t="s">
        <v>163</v>
      </c>
      <c r="G492" s="43">
        <v>500</v>
      </c>
      <c r="H492" s="125"/>
      <c r="I492" s="43">
        <v>0</v>
      </c>
      <c r="J492" s="43">
        <f>G492*I492</f>
        <v>0</v>
      </c>
      <c r="K492" s="125"/>
      <c r="L492" s="43">
        <v>0</v>
      </c>
      <c r="M492" s="43">
        <f>G492*L492</f>
        <v>0</v>
      </c>
      <c r="N492" s="125"/>
      <c r="O492" s="43">
        <v>0</v>
      </c>
      <c r="P492" s="43">
        <f>G492*O492</f>
        <v>0</v>
      </c>
      <c r="Q492" s="125"/>
      <c r="R492" s="43">
        <v>0</v>
      </c>
      <c r="S492" s="43">
        <f>G492*R492</f>
        <v>0</v>
      </c>
      <c r="T492" s="43">
        <f t="shared" ref="T492" si="318">SUM(P492,M492,J492,E492,S492)</f>
        <v>0</v>
      </c>
      <c r="U492" s="43">
        <v>0</v>
      </c>
      <c r="V492" s="43">
        <f t="shared" ref="V492" si="319">SUM(T492:U492)</f>
        <v>0</v>
      </c>
    </row>
    <row r="493" spans="1:22" hidden="1">
      <c r="A493" s="40"/>
      <c r="B493" s="40"/>
      <c r="C493" s="40"/>
      <c r="D493" s="40" t="s">
        <v>355</v>
      </c>
      <c r="E493" s="47">
        <f>SUM(E492:E492)</f>
        <v>0</v>
      </c>
      <c r="F493" s="45"/>
      <c r="G493" s="47"/>
      <c r="H493" s="135"/>
      <c r="I493" s="47"/>
      <c r="J493" s="47">
        <f>SUM(J492:J492)</f>
        <v>0</v>
      </c>
      <c r="K493" s="135"/>
      <c r="L493" s="47"/>
      <c r="M493" s="47">
        <f>SUM(M492:M492)</f>
        <v>0</v>
      </c>
      <c r="N493" s="135"/>
      <c r="O493" s="47"/>
      <c r="P493" s="47">
        <f>SUM(P492:P492)</f>
        <v>0</v>
      </c>
      <c r="Q493" s="135"/>
      <c r="R493" s="47"/>
      <c r="S493" s="47">
        <f>SUM(S492:S492)</f>
        <v>0</v>
      </c>
      <c r="T493" s="47">
        <f>SUM(T492:T492)</f>
        <v>0</v>
      </c>
      <c r="U493" s="47">
        <f>SUM(U492:U492)</f>
        <v>0</v>
      </c>
      <c r="V493" s="47">
        <f>SUM(V492:V492)</f>
        <v>0</v>
      </c>
    </row>
    <row r="494" spans="1:22">
      <c r="A494" s="104"/>
      <c r="B494" s="104"/>
      <c r="C494" s="104"/>
      <c r="D494" s="104"/>
      <c r="E494" s="62"/>
      <c r="F494" s="81"/>
      <c r="G494" s="62"/>
      <c r="H494" s="133"/>
      <c r="I494" s="62"/>
      <c r="J494" s="62"/>
      <c r="K494" s="133"/>
      <c r="L494" s="62"/>
      <c r="M494" s="62"/>
      <c r="N494" s="133"/>
      <c r="O494" s="62"/>
      <c r="P494" s="62"/>
      <c r="Q494" s="133"/>
      <c r="R494" s="62"/>
      <c r="S494" s="62"/>
      <c r="T494" s="62"/>
      <c r="U494" s="62"/>
      <c r="V494" s="62"/>
    </row>
    <row r="495" spans="1:22">
      <c r="A495" s="40"/>
      <c r="B495" s="40"/>
      <c r="C495" s="40"/>
      <c r="D495" s="40" t="s">
        <v>356</v>
      </c>
      <c r="E495" s="46"/>
      <c r="F495" s="45"/>
      <c r="G495" s="46"/>
      <c r="H495" s="132"/>
      <c r="I495" s="46"/>
      <c r="J495" s="46"/>
      <c r="K495" s="132"/>
      <c r="L495" s="46"/>
      <c r="M495" s="46"/>
      <c r="N495" s="132"/>
      <c r="O495" s="46"/>
      <c r="P495" s="46"/>
      <c r="Q495" s="132"/>
      <c r="R495" s="46"/>
      <c r="S495" s="46"/>
      <c r="T495" s="46"/>
      <c r="U495" s="46"/>
      <c r="V495" s="46"/>
    </row>
    <row r="496" spans="1:22" ht="25.2">
      <c r="A496" s="7" t="s">
        <v>804</v>
      </c>
      <c r="B496" s="44">
        <v>86000</v>
      </c>
      <c r="C496" s="7" t="s">
        <v>710</v>
      </c>
      <c r="D496" s="7" t="s">
        <v>357</v>
      </c>
      <c r="E496" s="43">
        <v>2024</v>
      </c>
      <c r="F496" s="7" t="s">
        <v>144</v>
      </c>
      <c r="G496" s="43">
        <v>100</v>
      </c>
      <c r="H496" s="128"/>
      <c r="I496" s="43">
        <v>0</v>
      </c>
      <c r="J496" s="43">
        <f>G496*I496</f>
        <v>0</v>
      </c>
      <c r="K496" s="128"/>
      <c r="L496" s="43">
        <v>0</v>
      </c>
      <c r="M496" s="43">
        <f>G496*L496*$E$7</f>
        <v>0</v>
      </c>
      <c r="N496" s="128"/>
      <c r="O496" s="43">
        <v>0</v>
      </c>
      <c r="P496" s="43">
        <f>G496*O496*$E$7*$E$7</f>
        <v>0</v>
      </c>
      <c r="Q496" s="128"/>
      <c r="R496" s="43">
        <v>0</v>
      </c>
      <c r="S496" s="43">
        <f>G496*R496*$E$7*$E$7*$E$7</f>
        <v>0</v>
      </c>
      <c r="T496" s="43">
        <f t="shared" ref="T496:T497" si="320">SUM(P496,M496,J496,E496,S496)</f>
        <v>2024</v>
      </c>
      <c r="U496" s="43">
        <v>0</v>
      </c>
      <c r="V496" s="43">
        <f t="shared" ref="V496:V497" si="321">SUM(T496:U496)</f>
        <v>2024</v>
      </c>
    </row>
    <row r="497" spans="1:22" ht="25.2">
      <c r="A497" s="7" t="s">
        <v>804</v>
      </c>
      <c r="B497" s="44" t="s">
        <v>718</v>
      </c>
      <c r="C497" s="7" t="s">
        <v>710</v>
      </c>
      <c r="D497" s="7" t="s">
        <v>358</v>
      </c>
      <c r="E497" s="43">
        <v>1680</v>
      </c>
      <c r="F497" s="7" t="s">
        <v>146</v>
      </c>
      <c r="G497" s="43">
        <v>100</v>
      </c>
      <c r="H497" s="128"/>
      <c r="I497" s="43">
        <f>3*I496</f>
        <v>0</v>
      </c>
      <c r="J497" s="43">
        <f>G497*I497</f>
        <v>0</v>
      </c>
      <c r="K497" s="128"/>
      <c r="L497" s="43">
        <f>3*L496</f>
        <v>0</v>
      </c>
      <c r="M497" s="43">
        <f>G497*L497*$E$7</f>
        <v>0</v>
      </c>
      <c r="N497" s="128"/>
      <c r="O497" s="43">
        <f>3*O496</f>
        <v>0</v>
      </c>
      <c r="P497" s="43">
        <f>G497*O497*$E$7*$E$7</f>
        <v>0</v>
      </c>
      <c r="Q497" s="128"/>
      <c r="R497" s="43">
        <f>3*R496</f>
        <v>0</v>
      </c>
      <c r="S497" s="43">
        <f>G497*R497*$E$7*$E$7*$E$7</f>
        <v>0</v>
      </c>
      <c r="T497" s="43">
        <f t="shared" si="320"/>
        <v>1680</v>
      </c>
      <c r="U497" s="43">
        <v>0</v>
      </c>
      <c r="V497" s="43">
        <f t="shared" si="321"/>
        <v>1680</v>
      </c>
    </row>
    <row r="498" spans="1:22">
      <c r="A498" s="40"/>
      <c r="B498" s="40"/>
      <c r="C498" s="40"/>
      <c r="D498" s="40" t="s">
        <v>359</v>
      </c>
      <c r="E498" s="47">
        <f>SUM(E496:E497)</f>
        <v>3704</v>
      </c>
      <c r="F498" s="45"/>
      <c r="G498" s="47"/>
      <c r="H498" s="132"/>
      <c r="I498" s="47"/>
      <c r="J498" s="47">
        <f>SUM(J496:J497)</f>
        <v>0</v>
      </c>
      <c r="K498" s="132"/>
      <c r="L498" s="47"/>
      <c r="M498" s="47">
        <f>SUM(M496:M497)</f>
        <v>0</v>
      </c>
      <c r="N498" s="132"/>
      <c r="O498" s="47"/>
      <c r="P498" s="47">
        <f>SUM(P496:P497)</f>
        <v>0</v>
      </c>
      <c r="Q498" s="132"/>
      <c r="R498" s="47"/>
      <c r="S498" s="47">
        <f>SUM(S496:S497)</f>
        <v>0</v>
      </c>
      <c r="T498" s="47">
        <f>SUM(T496:T497)</f>
        <v>3704</v>
      </c>
      <c r="U498" s="47">
        <f>SUM(U496:U497)</f>
        <v>0</v>
      </c>
      <c r="V498" s="47">
        <f>SUM(V496:V497)</f>
        <v>3704</v>
      </c>
    </row>
    <row r="499" spans="1:22">
      <c r="A499" s="104"/>
      <c r="B499" s="104"/>
      <c r="C499" s="104"/>
      <c r="D499" s="104"/>
      <c r="E499" s="62"/>
      <c r="F499" s="81"/>
      <c r="G499" s="62"/>
      <c r="H499" s="133"/>
      <c r="I499" s="62"/>
      <c r="J499" s="62"/>
      <c r="K499" s="133"/>
      <c r="L499" s="62"/>
      <c r="M499" s="62"/>
      <c r="N499" s="133"/>
      <c r="O499" s="62"/>
      <c r="P499" s="62"/>
      <c r="Q499" s="133"/>
      <c r="R499" s="62"/>
      <c r="S499" s="62"/>
      <c r="T499" s="62"/>
      <c r="U499" s="62"/>
      <c r="V499" s="62"/>
    </row>
    <row r="500" spans="1:22">
      <c r="A500" s="40"/>
      <c r="B500" s="40"/>
      <c r="C500" s="40"/>
      <c r="D500" s="40" t="s">
        <v>360</v>
      </c>
      <c r="E500" s="46"/>
      <c r="F500" s="45"/>
      <c r="G500" s="46"/>
      <c r="H500" s="132"/>
      <c r="I500" s="46"/>
      <c r="J500" s="46"/>
      <c r="K500" s="132"/>
      <c r="L500" s="46"/>
      <c r="M500" s="46"/>
      <c r="N500" s="132"/>
      <c r="O500" s="46"/>
      <c r="P500" s="46"/>
      <c r="Q500" s="132"/>
      <c r="R500" s="46"/>
      <c r="S500" s="46"/>
      <c r="T500" s="46"/>
      <c r="U500" s="46"/>
      <c r="V500" s="46"/>
    </row>
    <row r="501" spans="1:22">
      <c r="A501" s="91"/>
      <c r="B501" s="91"/>
      <c r="C501" s="91"/>
      <c r="D501" s="91" t="s">
        <v>249</v>
      </c>
      <c r="E501" s="94"/>
      <c r="F501" s="93"/>
      <c r="G501" s="94"/>
      <c r="H501" s="127"/>
      <c r="I501" s="94"/>
      <c r="J501" s="94"/>
      <c r="K501" s="127"/>
      <c r="L501" s="94"/>
      <c r="M501" s="94"/>
      <c r="N501" s="127"/>
      <c r="O501" s="94"/>
      <c r="P501" s="94"/>
      <c r="Q501" s="127"/>
      <c r="R501" s="94"/>
      <c r="S501" s="94"/>
      <c r="T501" s="80"/>
      <c r="U501" s="80"/>
      <c r="V501" s="94"/>
    </row>
    <row r="502" spans="1:22" ht="25.2">
      <c r="A502" s="7" t="s">
        <v>806</v>
      </c>
      <c r="B502" s="44">
        <v>89000</v>
      </c>
      <c r="C502" s="7" t="s">
        <v>710</v>
      </c>
      <c r="D502" s="7" t="s">
        <v>361</v>
      </c>
      <c r="E502" s="43">
        <v>16000</v>
      </c>
      <c r="F502" s="7" t="s">
        <v>251</v>
      </c>
      <c r="G502" s="43">
        <v>13000</v>
      </c>
      <c r="H502" s="125"/>
      <c r="I502" s="43">
        <v>0</v>
      </c>
      <c r="J502" s="43">
        <f>G502*I502</f>
        <v>0</v>
      </c>
      <c r="K502" s="125"/>
      <c r="L502" s="43">
        <v>0</v>
      </c>
      <c r="M502" s="43">
        <f>G502*L502</f>
        <v>0</v>
      </c>
      <c r="N502" s="125"/>
      <c r="O502" s="43">
        <v>0</v>
      </c>
      <c r="P502" s="43">
        <f>G502*O502</f>
        <v>0</v>
      </c>
      <c r="Q502" s="125"/>
      <c r="R502" s="43">
        <v>0</v>
      </c>
      <c r="S502" s="43">
        <f>G502*R502</f>
        <v>0</v>
      </c>
      <c r="T502" s="43">
        <f t="shared" ref="T502" si="322">SUM(P502,M502,J502,E502,S502)</f>
        <v>16000</v>
      </c>
      <c r="U502" s="43">
        <v>0</v>
      </c>
      <c r="V502" s="43">
        <f t="shared" ref="V502" si="323">SUM(T502:U502)</f>
        <v>16000</v>
      </c>
    </row>
    <row r="503" spans="1:22">
      <c r="A503" s="91"/>
      <c r="B503" s="91"/>
      <c r="C503" s="91"/>
      <c r="D503" s="91" t="s">
        <v>362</v>
      </c>
      <c r="E503" s="94"/>
      <c r="F503" s="93"/>
      <c r="G503" s="94"/>
      <c r="H503" s="127"/>
      <c r="I503" s="94"/>
      <c r="J503" s="94"/>
      <c r="K503" s="127"/>
      <c r="L503" s="94"/>
      <c r="M503" s="94"/>
      <c r="N503" s="127"/>
      <c r="O503" s="94"/>
      <c r="P503" s="94"/>
      <c r="Q503" s="127"/>
      <c r="R503" s="94"/>
      <c r="S503" s="94"/>
      <c r="T503" s="80"/>
      <c r="U503" s="80"/>
      <c r="V503" s="94"/>
    </row>
    <row r="504" spans="1:22" ht="25.2">
      <c r="A504" s="591" t="s">
        <v>807</v>
      </c>
      <c r="B504" s="44">
        <v>89500</v>
      </c>
      <c r="C504" s="7" t="s">
        <v>710</v>
      </c>
      <c r="D504" s="7" t="s">
        <v>363</v>
      </c>
      <c r="E504" s="43">
        <v>66151.959999999992</v>
      </c>
      <c r="F504" s="7" t="s">
        <v>163</v>
      </c>
      <c r="G504" s="43">
        <v>45000</v>
      </c>
      <c r="H504" s="125"/>
      <c r="I504" s="43">
        <v>1</v>
      </c>
      <c r="J504" s="43">
        <f>G504*I504</f>
        <v>45000</v>
      </c>
      <c r="K504" s="125"/>
      <c r="L504" s="471">
        <v>0.5</v>
      </c>
      <c r="M504" s="43">
        <f>G504*L504</f>
        <v>22500</v>
      </c>
      <c r="N504" s="125"/>
      <c r="O504" s="472">
        <v>0.25</v>
      </c>
      <c r="P504" s="43">
        <f>G504*O504</f>
        <v>11250</v>
      </c>
      <c r="Q504" s="125"/>
      <c r="R504" s="43">
        <v>0</v>
      </c>
      <c r="S504" s="43">
        <f>G504*R504</f>
        <v>0</v>
      </c>
      <c r="T504" s="43">
        <f t="shared" ref="T504" si="324">SUM(P504,M504,J504,E504,S504)</f>
        <v>144901.96</v>
      </c>
      <c r="U504" s="43">
        <v>0</v>
      </c>
      <c r="V504" s="43">
        <f t="shared" ref="V504" si="325">SUM(T504:U504)</f>
        <v>144901.96</v>
      </c>
    </row>
    <row r="505" spans="1:22">
      <c r="A505" s="40"/>
      <c r="B505" s="40"/>
      <c r="C505" s="40"/>
      <c r="D505" s="40" t="s">
        <v>364</v>
      </c>
      <c r="E505" s="47">
        <f>SUM(E501:E504)</f>
        <v>82151.959999999992</v>
      </c>
      <c r="F505" s="45"/>
      <c r="G505" s="47"/>
      <c r="H505" s="135"/>
      <c r="I505" s="47"/>
      <c r="J505" s="47">
        <f>SUM(J501:J504)</f>
        <v>45000</v>
      </c>
      <c r="K505" s="135"/>
      <c r="L505" s="47"/>
      <c r="M505" s="47">
        <f>SUM(M501:M504)</f>
        <v>22500</v>
      </c>
      <c r="N505" s="135"/>
      <c r="O505" s="47"/>
      <c r="P505" s="47">
        <f>SUM(P501:P504)</f>
        <v>11250</v>
      </c>
      <c r="Q505" s="135"/>
      <c r="R505" s="47"/>
      <c r="S505" s="47">
        <f>SUM(S501:S504)</f>
        <v>0</v>
      </c>
      <c r="T505" s="47">
        <f>SUM(T501:T504)</f>
        <v>160901.96</v>
      </c>
      <c r="U505" s="47">
        <f>SUM(U501:U504)</f>
        <v>0</v>
      </c>
      <c r="V505" s="47">
        <f>SUM(V501:V504)</f>
        <v>160901.96</v>
      </c>
    </row>
    <row r="506" spans="1:22">
      <c r="A506" s="44"/>
      <c r="C506" s="44"/>
      <c r="D506" s="44"/>
      <c r="E506" s="43"/>
      <c r="F506" s="48"/>
      <c r="G506" s="43"/>
      <c r="H506" s="125"/>
      <c r="I506" s="43"/>
      <c r="J506" s="43"/>
      <c r="K506" s="125"/>
      <c r="L506" s="43"/>
      <c r="M506" s="43"/>
      <c r="N506" s="125"/>
      <c r="O506" s="43"/>
      <c r="P506" s="43"/>
      <c r="Q506" s="125"/>
      <c r="R506" s="43"/>
      <c r="S506" s="43"/>
      <c r="T506" s="43"/>
      <c r="U506" s="43"/>
      <c r="V506" s="52"/>
    </row>
    <row r="507" spans="1:22">
      <c r="A507" s="40"/>
      <c r="B507" s="40"/>
      <c r="C507" s="40"/>
      <c r="D507" s="40" t="s">
        <v>365</v>
      </c>
      <c r="E507" s="46"/>
      <c r="F507" s="45"/>
      <c r="G507" s="46"/>
      <c r="H507" s="132"/>
      <c r="I507" s="46"/>
      <c r="J507" s="46"/>
      <c r="K507" s="132"/>
      <c r="L507" s="46"/>
      <c r="M507" s="46"/>
      <c r="N507" s="132"/>
      <c r="O507" s="46"/>
      <c r="P507" s="46"/>
      <c r="Q507" s="132"/>
      <c r="R507" s="46"/>
      <c r="S507" s="46"/>
      <c r="T507" s="46"/>
      <c r="U507" s="46"/>
      <c r="V507" s="46"/>
    </row>
    <row r="508" spans="1:22" ht="25.2" hidden="1">
      <c r="A508" s="44"/>
      <c r="C508" s="44"/>
      <c r="D508" s="44" t="s">
        <v>366</v>
      </c>
      <c r="E508" s="43">
        <v>0</v>
      </c>
      <c r="F508" s="48" t="s">
        <v>226</v>
      </c>
      <c r="G508" s="43">
        <f>((4300*12)/2080)</f>
        <v>24.807692307692307</v>
      </c>
      <c r="H508" s="128"/>
      <c r="I508" s="43">
        <v>0</v>
      </c>
      <c r="J508" s="43">
        <v>0</v>
      </c>
      <c r="K508" s="128"/>
      <c r="L508" s="43">
        <v>0</v>
      </c>
      <c r="M508" s="43">
        <v>0</v>
      </c>
      <c r="N508" s="128"/>
      <c r="O508" s="43">
        <v>0</v>
      </c>
      <c r="P508" s="43">
        <v>0</v>
      </c>
      <c r="Q508" s="128"/>
      <c r="R508" s="43">
        <v>0</v>
      </c>
      <c r="S508" s="43">
        <v>0</v>
      </c>
      <c r="T508" s="43">
        <f t="shared" ref="T508" si="326">SUM(P508,M508,J508,E508,S508)</f>
        <v>0</v>
      </c>
      <c r="U508" s="43">
        <f t="shared" ref="U508:U513" si="327">(O508*G508)+(L508*G508)+(I508*G508)+(R508*G508)+E508</f>
        <v>0</v>
      </c>
      <c r="V508" s="43">
        <f t="shared" ref="V508" si="328">SUM(T508:U508)</f>
        <v>0</v>
      </c>
    </row>
    <row r="509" spans="1:22" ht="25.2" hidden="1">
      <c r="A509" s="44"/>
      <c r="C509" s="44"/>
      <c r="D509" s="44" t="s">
        <v>367</v>
      </c>
      <c r="E509" s="43">
        <v>0</v>
      </c>
      <c r="F509" s="48" t="s">
        <v>226</v>
      </c>
      <c r="G509" s="43">
        <f>((4300*12)/2080)</f>
        <v>24.807692307692307</v>
      </c>
      <c r="H509" s="128"/>
      <c r="I509" s="43">
        <v>0</v>
      </c>
      <c r="J509" s="43">
        <v>0</v>
      </c>
      <c r="K509" s="128"/>
      <c r="L509" s="43">
        <v>0</v>
      </c>
      <c r="M509" s="43">
        <v>0</v>
      </c>
      <c r="N509" s="128"/>
      <c r="O509" s="43">
        <v>0</v>
      </c>
      <c r="P509" s="43">
        <v>0</v>
      </c>
      <c r="Q509" s="128"/>
      <c r="R509" s="43">
        <v>0</v>
      </c>
      <c r="S509" s="43">
        <v>0</v>
      </c>
      <c r="T509" s="43">
        <f t="shared" ref="T509:T511" si="329">SUM(P509,M509,J509,E509,S509)</f>
        <v>0</v>
      </c>
      <c r="U509" s="43">
        <f t="shared" si="327"/>
        <v>0</v>
      </c>
      <c r="V509" s="43">
        <f t="shared" ref="V509:V513" si="330">SUM(T509:U509)</f>
        <v>0</v>
      </c>
    </row>
    <row r="510" spans="1:22" ht="25.2" hidden="1">
      <c r="D510" s="7" t="s">
        <v>368</v>
      </c>
      <c r="E510" s="43">
        <v>0</v>
      </c>
      <c r="F510" s="48" t="s">
        <v>226</v>
      </c>
      <c r="G510" s="43">
        <f>((4300*12)/2080)</f>
        <v>24.807692307692307</v>
      </c>
      <c r="H510" s="128"/>
      <c r="I510" s="43">
        <v>0</v>
      </c>
      <c r="J510" s="43">
        <v>0</v>
      </c>
      <c r="K510" s="128"/>
      <c r="L510" s="43">
        <v>0</v>
      </c>
      <c r="M510" s="43">
        <v>0</v>
      </c>
      <c r="N510" s="128"/>
      <c r="O510" s="43">
        <v>0</v>
      </c>
      <c r="P510" s="43">
        <v>0</v>
      </c>
      <c r="Q510" s="128"/>
      <c r="R510" s="43">
        <v>0</v>
      </c>
      <c r="S510" s="43">
        <v>0</v>
      </c>
      <c r="T510" s="43">
        <f t="shared" si="329"/>
        <v>0</v>
      </c>
      <c r="U510" s="43">
        <f t="shared" si="327"/>
        <v>0</v>
      </c>
      <c r="V510" s="43">
        <f t="shared" si="330"/>
        <v>0</v>
      </c>
    </row>
    <row r="511" spans="1:22" hidden="1">
      <c r="D511" s="7" t="s">
        <v>369</v>
      </c>
      <c r="E511" s="43">
        <v>0</v>
      </c>
      <c r="F511" s="48" t="s">
        <v>251</v>
      </c>
      <c r="G511" s="43">
        <v>13000</v>
      </c>
      <c r="H511" s="128"/>
      <c r="I511" s="43">
        <v>0</v>
      </c>
      <c r="J511" s="43">
        <v>0</v>
      </c>
      <c r="K511" s="128"/>
      <c r="L511" s="43">
        <v>0</v>
      </c>
      <c r="M511" s="43">
        <v>0</v>
      </c>
      <c r="N511" s="128"/>
      <c r="O511" s="43">
        <v>0</v>
      </c>
      <c r="P511" s="43">
        <v>0</v>
      </c>
      <c r="Q511" s="128"/>
      <c r="R511" s="43">
        <v>0</v>
      </c>
      <c r="S511" s="43">
        <v>0</v>
      </c>
      <c r="T511" s="43">
        <f t="shared" si="329"/>
        <v>0</v>
      </c>
      <c r="U511" s="43">
        <f t="shared" si="327"/>
        <v>0</v>
      </c>
      <c r="V511" s="43">
        <f t="shared" si="330"/>
        <v>0</v>
      </c>
    </row>
    <row r="512" spans="1:22" ht="25.2" hidden="1">
      <c r="A512" s="44"/>
      <c r="C512" s="44"/>
      <c r="D512" s="44" t="s">
        <v>370</v>
      </c>
      <c r="E512" s="43">
        <v>0</v>
      </c>
      <c r="F512" s="48" t="s">
        <v>226</v>
      </c>
      <c r="G512" s="43">
        <f>((4300*12)/2080)</f>
        <v>24.807692307692307</v>
      </c>
      <c r="H512" s="128"/>
      <c r="I512" s="43">
        <v>0</v>
      </c>
      <c r="J512" s="43">
        <v>0</v>
      </c>
      <c r="K512" s="128"/>
      <c r="L512" s="43">
        <v>0</v>
      </c>
      <c r="M512" s="43">
        <v>0</v>
      </c>
      <c r="N512" s="128"/>
      <c r="O512" s="43">
        <v>0</v>
      </c>
      <c r="P512" s="43">
        <v>0</v>
      </c>
      <c r="Q512" s="128"/>
      <c r="R512" s="43">
        <v>0</v>
      </c>
      <c r="S512" s="43">
        <v>0</v>
      </c>
      <c r="T512" s="43">
        <f t="shared" ref="T512" si="331">SUM(P512,M512,J512,E512,S512)</f>
        <v>0</v>
      </c>
      <c r="U512" s="43">
        <f t="shared" si="327"/>
        <v>0</v>
      </c>
      <c r="V512" s="43">
        <f t="shared" ref="V512" si="332">SUM(T512:U512)</f>
        <v>0</v>
      </c>
    </row>
    <row r="513" spans="1:22" ht="25.2">
      <c r="A513" s="44" t="s">
        <v>805</v>
      </c>
      <c r="B513" s="44">
        <v>96000</v>
      </c>
      <c r="C513" s="44" t="s">
        <v>709</v>
      </c>
      <c r="D513" s="7" t="s">
        <v>371</v>
      </c>
      <c r="E513" s="43">
        <v>434189.75</v>
      </c>
      <c r="F513" s="7" t="s">
        <v>163</v>
      </c>
      <c r="G513" s="43">
        <v>100000</v>
      </c>
      <c r="H513" s="125"/>
      <c r="I513" s="43">
        <v>0</v>
      </c>
      <c r="J513" s="43">
        <v>0</v>
      </c>
      <c r="K513" s="125"/>
      <c r="L513" s="43">
        <v>1</v>
      </c>
      <c r="M513" s="43">
        <v>0</v>
      </c>
      <c r="N513" s="125"/>
      <c r="O513" s="471">
        <v>0.5</v>
      </c>
      <c r="P513" s="43">
        <v>0</v>
      </c>
      <c r="Q513" s="125"/>
      <c r="R513" s="43">
        <v>0</v>
      </c>
      <c r="S513" s="43">
        <v>0</v>
      </c>
      <c r="T513" s="43">
        <f>SUM(P513,M513,J513,S513)</f>
        <v>0</v>
      </c>
      <c r="U513" s="43">
        <f t="shared" si="327"/>
        <v>584189.75</v>
      </c>
      <c r="V513" s="43">
        <f t="shared" si="330"/>
        <v>584189.75</v>
      </c>
    </row>
    <row r="514" spans="1:22">
      <c r="A514" s="40"/>
      <c r="B514" s="40"/>
      <c r="C514" s="40"/>
      <c r="D514" s="40" t="s">
        <v>372</v>
      </c>
      <c r="E514" s="47">
        <v>0</v>
      </c>
      <c r="F514" s="45"/>
      <c r="G514" s="47"/>
      <c r="H514" s="132"/>
      <c r="I514" s="47"/>
      <c r="J514" s="47">
        <f>SUM(J508:J513)</f>
        <v>0</v>
      </c>
      <c r="K514" s="132"/>
      <c r="L514" s="47"/>
      <c r="M514" s="47">
        <f>SUM(M508:M513)</f>
        <v>0</v>
      </c>
      <c r="N514" s="132"/>
      <c r="O514" s="47"/>
      <c r="P514" s="47">
        <f>SUM(P508:P513)</f>
        <v>0</v>
      </c>
      <c r="Q514" s="132"/>
      <c r="R514" s="47"/>
      <c r="S514" s="47">
        <f>SUM(S508:S513)</f>
        <v>0</v>
      </c>
      <c r="T514" s="47">
        <f>SUM(T508:T513)</f>
        <v>0</v>
      </c>
      <c r="U514" s="47">
        <f>SUM(U508:U513)</f>
        <v>584189.75</v>
      </c>
      <c r="V514" s="47">
        <f>SUM(V508:V513)</f>
        <v>584189.75</v>
      </c>
    </row>
    <row r="515" spans="1:22">
      <c r="A515" s="104"/>
      <c r="B515" s="104"/>
      <c r="C515" s="104"/>
      <c r="D515" s="104"/>
      <c r="E515" s="62"/>
      <c r="F515" s="81"/>
      <c r="G515" s="62"/>
      <c r="H515" s="133"/>
      <c r="I515" s="62"/>
      <c r="J515" s="62"/>
      <c r="K515" s="133"/>
      <c r="L515" s="62"/>
      <c r="M515" s="62"/>
      <c r="N515" s="133"/>
      <c r="O515" s="62"/>
      <c r="P515" s="62"/>
      <c r="Q515" s="133"/>
      <c r="R515" s="62"/>
      <c r="S515" s="62"/>
      <c r="T515" s="62"/>
      <c r="U515" s="62"/>
      <c r="V515" s="62"/>
    </row>
    <row r="516" spans="1:22" ht="12.9" thickBot="1">
      <c r="A516" s="53"/>
      <c r="B516" s="66"/>
      <c r="C516" s="53"/>
      <c r="D516" s="53" t="s">
        <v>373</v>
      </c>
      <c r="E516" s="64">
        <f>SUM(E505+E489+E498+E484+E477+E493+E514)</f>
        <v>206249.83</v>
      </c>
      <c r="F516" s="53"/>
      <c r="G516" s="69"/>
      <c r="H516" s="126"/>
      <c r="I516" s="64"/>
      <c r="J516" s="64">
        <f>SUM(J505+J489+J498+J484+J477+J493+J514)</f>
        <v>378861.57442879997</v>
      </c>
      <c r="K516" s="126"/>
      <c r="L516" s="64"/>
      <c r="M516" s="64">
        <f>SUM(M505+M489+M498+M484+M477+M493+M514)</f>
        <v>234319.47258023999</v>
      </c>
      <c r="N516" s="126"/>
      <c r="O516" s="64"/>
      <c r="P516" s="64">
        <f>SUM(P505+P489+P498+P484+P477+P493+P514)</f>
        <v>233660.446209252</v>
      </c>
      <c r="Q516" s="126"/>
      <c r="R516" s="64"/>
      <c r="S516" s="64">
        <f>SUM(S505+S489+S498+S484+S477+S493+S514)</f>
        <v>52082.311178494798</v>
      </c>
      <c r="T516" s="64">
        <f>SUM(T505+T489+T498+T484+T477+T493+T514)</f>
        <v>1105173.6343967868</v>
      </c>
      <c r="U516" s="64">
        <f>SUM(U505+U489+U498+U484+U477+U493+U514)</f>
        <v>584189.75</v>
      </c>
      <c r="V516" s="64">
        <f>SUM(V505+V489+V498+V484+V477+V493+V514)</f>
        <v>1689363.3843967868</v>
      </c>
    </row>
    <row r="517" spans="1:22">
      <c r="A517" s="81"/>
      <c r="B517" s="81"/>
      <c r="C517" s="81"/>
      <c r="D517" s="81"/>
      <c r="E517" s="62"/>
      <c r="F517" s="81"/>
      <c r="G517" s="62"/>
      <c r="H517" s="123"/>
      <c r="I517" s="62"/>
      <c r="J517" s="62"/>
      <c r="K517" s="123"/>
      <c r="L517" s="62"/>
      <c r="M517" s="62"/>
      <c r="N517" s="123"/>
      <c r="O517" s="62"/>
      <c r="P517" s="62"/>
      <c r="Q517" s="123"/>
      <c r="R517" s="62"/>
      <c r="S517" s="62"/>
      <c r="T517" s="62"/>
      <c r="U517" s="62"/>
      <c r="V517" s="62"/>
    </row>
    <row r="518" spans="1:22">
      <c r="A518" s="98"/>
      <c r="B518" s="617"/>
      <c r="C518" s="98"/>
      <c r="D518" s="98" t="str">
        <f>'USDA Budget Summary'!A34</f>
        <v>Activity 6: Innovation and Job Creation Through Youth Engagement</v>
      </c>
      <c r="E518" s="99"/>
      <c r="F518" s="37"/>
      <c r="G518" s="38"/>
      <c r="H518" s="130"/>
      <c r="I518" s="99"/>
      <c r="J518" s="99"/>
      <c r="K518" s="130"/>
      <c r="L518" s="99"/>
      <c r="M518" s="99"/>
      <c r="N518" s="130"/>
      <c r="O518" s="99"/>
      <c r="P518" s="99"/>
      <c r="Q518" s="130"/>
      <c r="R518" s="99"/>
      <c r="S518" s="99"/>
      <c r="T518" s="99"/>
      <c r="U518" s="100"/>
      <c r="V518" s="99"/>
    </row>
    <row r="519" spans="1:22">
      <c r="A519" s="101"/>
      <c r="B519" s="101"/>
      <c r="C519" s="101"/>
      <c r="D519" s="101" t="s">
        <v>215</v>
      </c>
      <c r="E519" s="103"/>
      <c r="F519" s="102"/>
      <c r="G519" s="103"/>
      <c r="H519" s="131"/>
      <c r="I519" s="103"/>
      <c r="J519" s="103"/>
      <c r="K519" s="131"/>
      <c r="L519" s="103"/>
      <c r="M519" s="103"/>
      <c r="N519" s="131"/>
      <c r="O519" s="103"/>
      <c r="P519" s="103"/>
      <c r="Q519" s="131"/>
      <c r="R519" s="103"/>
      <c r="S519" s="103"/>
      <c r="T519" s="103"/>
      <c r="U519" s="103"/>
      <c r="V519" s="103"/>
    </row>
    <row r="520" spans="1:22">
      <c r="A520" s="40"/>
      <c r="B520" s="40"/>
      <c r="C520" s="40"/>
      <c r="D520" s="40" t="s">
        <v>374</v>
      </c>
      <c r="E520" s="46"/>
      <c r="F520" s="45"/>
      <c r="G520" s="46"/>
      <c r="H520" s="132"/>
      <c r="I520" s="46"/>
      <c r="J520" s="46"/>
      <c r="K520" s="132"/>
      <c r="L520" s="46"/>
      <c r="M520" s="46"/>
      <c r="N520" s="132"/>
      <c r="O520" s="46"/>
      <c r="P520" s="46"/>
      <c r="Q520" s="132"/>
      <c r="R520" s="46"/>
      <c r="S520" s="46"/>
      <c r="T520" s="46"/>
      <c r="U520" s="46"/>
      <c r="V520" s="46"/>
    </row>
    <row r="521" spans="1:22">
      <c r="A521" s="7" t="s">
        <v>752</v>
      </c>
      <c r="B521" s="44">
        <v>50000</v>
      </c>
      <c r="C521" s="7" t="s">
        <v>709</v>
      </c>
      <c r="D521" s="7" t="str">
        <f t="shared" ref="D521:D550" si="333">D13</f>
        <v>Key Personnel: Chief of Party</v>
      </c>
      <c r="E521" s="43">
        <v>14211</v>
      </c>
      <c r="F521" s="49" t="s">
        <v>95</v>
      </c>
      <c r="G521" s="43">
        <f t="shared" ref="G521:G550" si="334">G13</f>
        <v>14250</v>
      </c>
      <c r="H521" s="119">
        <f>'LOE Breakdown by Year'!J11</f>
        <v>0.1</v>
      </c>
      <c r="I521" s="43">
        <f t="shared" ref="I521:I550" si="335">I13</f>
        <v>12</v>
      </c>
      <c r="J521" s="43">
        <f>I521*G521*$H521</f>
        <v>17100</v>
      </c>
      <c r="K521" s="119">
        <f>'LOE Breakdown by Year'!J51</f>
        <v>0</v>
      </c>
      <c r="L521" s="43">
        <f t="shared" ref="L521:L550" si="336">L13</f>
        <v>12</v>
      </c>
      <c r="M521" s="43">
        <f>L521*G521*$K521*$E$8</f>
        <v>0</v>
      </c>
      <c r="N521" s="119">
        <f>'LOE Breakdown by Year'!J91</f>
        <v>0</v>
      </c>
      <c r="O521" s="43">
        <f t="shared" ref="O521:O550" si="337">O13</f>
        <v>12</v>
      </c>
      <c r="P521" s="43">
        <f>O521*G521*$N521*$E$8*$E$8</f>
        <v>0</v>
      </c>
      <c r="Q521" s="119">
        <f>'LOE Breakdown by Year'!J131</f>
        <v>0</v>
      </c>
      <c r="R521" s="43">
        <f t="shared" ref="R521:R550" si="338">R13</f>
        <v>0</v>
      </c>
      <c r="S521" s="43">
        <f>R521*G521*$Q521*$E$8*$E$8*$E$8</f>
        <v>0</v>
      </c>
      <c r="T521" s="43">
        <f t="shared" ref="T521" si="339">SUM(P521,M521,J521,E521,S521)</f>
        <v>31311</v>
      </c>
      <c r="U521" s="43">
        <v>0</v>
      </c>
      <c r="V521" s="43">
        <f t="shared" ref="V521" si="340">SUM(T521:U521)</f>
        <v>31311</v>
      </c>
    </row>
    <row r="522" spans="1:22" ht="25.2">
      <c r="A522" s="7" t="s">
        <v>752</v>
      </c>
      <c r="B522" s="44">
        <v>70000</v>
      </c>
      <c r="C522" s="7" t="s">
        <v>710</v>
      </c>
      <c r="D522" s="7" t="str">
        <f t="shared" si="333"/>
        <v>Deputy Chief of Party / Value Chain Strengthening Director</v>
      </c>
      <c r="E522" s="43">
        <v>0</v>
      </c>
      <c r="F522" s="49" t="s">
        <v>95</v>
      </c>
      <c r="G522" s="43">
        <f t="shared" si="334"/>
        <v>5000</v>
      </c>
      <c r="H522" s="119">
        <f>'LOE Breakdown by Year'!J12</f>
        <v>0.1</v>
      </c>
      <c r="I522" s="43">
        <f t="shared" si="335"/>
        <v>12</v>
      </c>
      <c r="J522" s="43">
        <f>I522*G522*$H522</f>
        <v>6000</v>
      </c>
      <c r="K522" s="119">
        <f>'LOE Breakdown by Year'!J52</f>
        <v>0</v>
      </c>
      <c r="L522" s="43">
        <f t="shared" si="336"/>
        <v>12</v>
      </c>
      <c r="M522" s="43">
        <f>L522*G522*$K522*$E$8</f>
        <v>0</v>
      </c>
      <c r="N522" s="119">
        <f>'LOE Breakdown by Year'!J92</f>
        <v>0</v>
      </c>
      <c r="O522" s="43">
        <f t="shared" si="337"/>
        <v>12</v>
      </c>
      <c r="P522" s="43">
        <f>O522*G522*$N522*$E$8*$E$8</f>
        <v>0</v>
      </c>
      <c r="Q522" s="119">
        <f>'LOE Breakdown by Year'!J132</f>
        <v>0</v>
      </c>
      <c r="R522" s="43">
        <f t="shared" si="338"/>
        <v>6</v>
      </c>
      <c r="S522" s="43">
        <f>R522*G522*$Q522*$E$8*$E$8*$E$8</f>
        <v>0</v>
      </c>
      <c r="T522" s="43">
        <f t="shared" ref="T522" si="341">SUM(P522,M522,J522,E522,S522)</f>
        <v>6000</v>
      </c>
      <c r="U522" s="43">
        <v>0</v>
      </c>
      <c r="V522" s="43">
        <f t="shared" ref="V522" si="342">SUM(T522:U522)</f>
        <v>6000</v>
      </c>
    </row>
    <row r="523" spans="1:22">
      <c r="A523" s="7" t="s">
        <v>752</v>
      </c>
      <c r="B523" s="44">
        <v>70000</v>
      </c>
      <c r="C523" s="7" t="s">
        <v>710</v>
      </c>
      <c r="D523" s="7" t="str">
        <f t="shared" si="333"/>
        <v>Key Personnel: Technical Director</v>
      </c>
      <c r="E523" s="43">
        <v>38097.96</v>
      </c>
      <c r="F523" s="49" t="s">
        <v>95</v>
      </c>
      <c r="G523" s="43">
        <f t="shared" si="334"/>
        <v>4583.333333333333</v>
      </c>
      <c r="H523" s="119">
        <f>'LOE Breakdown by Year'!J13</f>
        <v>0.15</v>
      </c>
      <c r="I523" s="43">
        <f t="shared" si="335"/>
        <v>12</v>
      </c>
      <c r="J523" s="43">
        <f t="shared" ref="J523:J550" si="343">I523*G523*$H523</f>
        <v>8250</v>
      </c>
      <c r="K523" s="119">
        <f>'LOE Breakdown by Year'!J53</f>
        <v>0</v>
      </c>
      <c r="L523" s="43">
        <f t="shared" si="336"/>
        <v>12</v>
      </c>
      <c r="M523" s="43">
        <f t="shared" ref="M523:M550" si="344">L523*G523*$K523*$E$8</f>
        <v>0</v>
      </c>
      <c r="N523" s="119">
        <f>'LOE Breakdown by Year'!J93</f>
        <v>0</v>
      </c>
      <c r="O523" s="43">
        <f t="shared" si="337"/>
        <v>12</v>
      </c>
      <c r="P523" s="43">
        <f t="shared" ref="P523:P550" si="345">O523*G523*$N523*$E$8*$E$8</f>
        <v>0</v>
      </c>
      <c r="Q523" s="119">
        <f>'LOE Breakdown by Year'!J133</f>
        <v>0</v>
      </c>
      <c r="R523" s="43">
        <f t="shared" si="338"/>
        <v>5</v>
      </c>
      <c r="S523" s="43">
        <f t="shared" ref="S523:S550" si="346">R523*G523*$Q523*$E$8*$E$8*$E$8</f>
        <v>0</v>
      </c>
      <c r="T523" s="43">
        <f t="shared" ref="T523:T550" si="347">SUM(P523,M523,J523,E523,S523)</f>
        <v>46347.96</v>
      </c>
      <c r="U523" s="43">
        <v>0</v>
      </c>
      <c r="V523" s="43">
        <f t="shared" ref="V523:V550" si="348">SUM(T523:U523)</f>
        <v>46347.96</v>
      </c>
    </row>
    <row r="524" spans="1:22">
      <c r="A524" s="7" t="s">
        <v>752</v>
      </c>
      <c r="B524" s="44">
        <v>70000</v>
      </c>
      <c r="C524" s="7" t="s">
        <v>710</v>
      </c>
      <c r="D524" s="7" t="str">
        <f t="shared" si="333"/>
        <v>Activity Lead Agribusiness Senior Specialist (Cacao)</v>
      </c>
      <c r="E524" s="43">
        <v>0</v>
      </c>
      <c r="F524" s="49" t="s">
        <v>95</v>
      </c>
      <c r="G524" s="43">
        <f t="shared" si="334"/>
        <v>2833.3333333333335</v>
      </c>
      <c r="H524" s="119">
        <f>'LOE Breakdown by Year'!J14</f>
        <v>0.1</v>
      </c>
      <c r="I524" s="43">
        <f t="shared" si="335"/>
        <v>12</v>
      </c>
      <c r="J524" s="43">
        <f t="shared" si="343"/>
        <v>3400</v>
      </c>
      <c r="K524" s="119">
        <f>'LOE Breakdown by Year'!J54</f>
        <v>0</v>
      </c>
      <c r="L524" s="43">
        <f t="shared" si="336"/>
        <v>12</v>
      </c>
      <c r="M524" s="43">
        <f t="shared" si="344"/>
        <v>0</v>
      </c>
      <c r="N524" s="119">
        <f>'LOE Breakdown by Year'!J94</f>
        <v>0</v>
      </c>
      <c r="O524" s="43">
        <f t="shared" si="337"/>
        <v>12</v>
      </c>
      <c r="P524" s="43">
        <f t="shared" si="345"/>
        <v>0</v>
      </c>
      <c r="Q524" s="119">
        <f>'LOE Breakdown by Year'!J134</f>
        <v>0</v>
      </c>
      <c r="R524" s="43">
        <f t="shared" si="338"/>
        <v>2</v>
      </c>
      <c r="S524" s="43">
        <f t="shared" si="346"/>
        <v>0</v>
      </c>
      <c r="T524" s="43">
        <f t="shared" si="347"/>
        <v>3400</v>
      </c>
      <c r="U524" s="43">
        <v>0</v>
      </c>
      <c r="V524" s="43">
        <f t="shared" si="348"/>
        <v>3400</v>
      </c>
    </row>
    <row r="525" spans="1:22" hidden="1">
      <c r="A525" s="7" t="s">
        <v>752</v>
      </c>
      <c r="B525" s="44">
        <v>70000</v>
      </c>
      <c r="C525" s="7" t="s">
        <v>710</v>
      </c>
      <c r="D525" s="7" t="str">
        <f t="shared" si="333"/>
        <v>Cacao Field Officer</v>
      </c>
      <c r="E525" s="43">
        <v>0</v>
      </c>
      <c r="F525" s="49" t="s">
        <v>95</v>
      </c>
      <c r="G525" s="43">
        <f t="shared" si="334"/>
        <v>1333.3333333333333</v>
      </c>
      <c r="H525" s="119">
        <f>'LOE Breakdown by Year'!J15</f>
        <v>0</v>
      </c>
      <c r="I525" s="43">
        <f t="shared" si="335"/>
        <v>12</v>
      </c>
      <c r="J525" s="43">
        <f t="shared" si="343"/>
        <v>0</v>
      </c>
      <c r="K525" s="119">
        <f>'LOE Breakdown by Year'!J55</f>
        <v>0</v>
      </c>
      <c r="L525" s="43">
        <f t="shared" si="336"/>
        <v>12</v>
      </c>
      <c r="M525" s="43">
        <f t="shared" si="344"/>
        <v>0</v>
      </c>
      <c r="N525" s="119">
        <f>'LOE Breakdown by Year'!J95</f>
        <v>0</v>
      </c>
      <c r="O525" s="43">
        <f t="shared" si="337"/>
        <v>12</v>
      </c>
      <c r="P525" s="43">
        <f t="shared" si="345"/>
        <v>0</v>
      </c>
      <c r="Q525" s="119">
        <f>'LOE Breakdown by Year'!J135</f>
        <v>0</v>
      </c>
      <c r="R525" s="43">
        <f t="shared" si="338"/>
        <v>0</v>
      </c>
      <c r="S525" s="43">
        <f t="shared" si="346"/>
        <v>0</v>
      </c>
      <c r="T525" s="43">
        <f t="shared" si="347"/>
        <v>0</v>
      </c>
      <c r="U525" s="43">
        <v>0</v>
      </c>
      <c r="V525" s="43">
        <f t="shared" si="348"/>
        <v>0</v>
      </c>
    </row>
    <row r="526" spans="1:22" ht="25.2" hidden="1">
      <c r="A526" s="7" t="s">
        <v>752</v>
      </c>
      <c r="B526" s="44">
        <v>70000</v>
      </c>
      <c r="C526" s="7" t="s">
        <v>710</v>
      </c>
      <c r="D526" s="7" t="str">
        <f t="shared" si="333"/>
        <v>Cacao &amp; Complementary Crop Technical Field Leader (2)</v>
      </c>
      <c r="E526" s="43">
        <v>0</v>
      </c>
      <c r="F526" s="49" t="s">
        <v>95</v>
      </c>
      <c r="G526" s="43">
        <f t="shared" si="334"/>
        <v>3500</v>
      </c>
      <c r="H526" s="119">
        <f>'LOE Breakdown by Year'!J16</f>
        <v>0</v>
      </c>
      <c r="I526" s="43">
        <f t="shared" si="335"/>
        <v>6</v>
      </c>
      <c r="J526" s="43">
        <f t="shared" si="343"/>
        <v>0</v>
      </c>
      <c r="K526" s="119">
        <f>'LOE Breakdown by Year'!J56</f>
        <v>0</v>
      </c>
      <c r="L526" s="43">
        <f t="shared" si="336"/>
        <v>12</v>
      </c>
      <c r="M526" s="43">
        <f t="shared" si="344"/>
        <v>0</v>
      </c>
      <c r="N526" s="119">
        <f>'LOE Breakdown by Year'!J96</f>
        <v>0</v>
      </c>
      <c r="O526" s="43">
        <f t="shared" si="337"/>
        <v>12</v>
      </c>
      <c r="P526" s="43">
        <f t="shared" si="345"/>
        <v>0</v>
      </c>
      <c r="Q526" s="119">
        <f>'LOE Breakdown by Year'!J136</f>
        <v>0</v>
      </c>
      <c r="R526" s="43">
        <f t="shared" si="338"/>
        <v>0</v>
      </c>
      <c r="S526" s="43">
        <f t="shared" si="346"/>
        <v>0</v>
      </c>
      <c r="T526" s="43">
        <f t="shared" si="347"/>
        <v>0</v>
      </c>
      <c r="U526" s="43">
        <v>0</v>
      </c>
      <c r="V526" s="43">
        <f t="shared" si="348"/>
        <v>0</v>
      </c>
    </row>
    <row r="527" spans="1:22" hidden="1">
      <c r="A527" s="7" t="s">
        <v>752</v>
      </c>
      <c r="B527" s="44">
        <v>70000</v>
      </c>
      <c r="C527" s="7" t="s">
        <v>710</v>
      </c>
      <c r="D527" s="7" t="str">
        <f t="shared" si="333"/>
        <v>Extension Agents (45 in Y5 and 25 in Y6)</v>
      </c>
      <c r="E527" s="43">
        <v>0</v>
      </c>
      <c r="F527" s="49" t="s">
        <v>95</v>
      </c>
      <c r="G527" s="43">
        <f t="shared" si="334"/>
        <v>1000</v>
      </c>
      <c r="H527" s="119">
        <f>'LOE Breakdown by Year'!J17</f>
        <v>0</v>
      </c>
      <c r="I527" s="43">
        <f t="shared" si="335"/>
        <v>12</v>
      </c>
      <c r="J527" s="43">
        <f t="shared" si="343"/>
        <v>0</v>
      </c>
      <c r="K527" s="119">
        <f>'LOE Breakdown by Year'!J57</f>
        <v>0</v>
      </c>
      <c r="L527" s="43">
        <f t="shared" si="336"/>
        <v>12</v>
      </c>
      <c r="M527" s="43">
        <f t="shared" si="344"/>
        <v>0</v>
      </c>
      <c r="N527" s="119">
        <f>'LOE Breakdown by Year'!J97</f>
        <v>0</v>
      </c>
      <c r="O527" s="43">
        <f t="shared" si="337"/>
        <v>0</v>
      </c>
      <c r="P527" s="43">
        <f t="shared" si="345"/>
        <v>0</v>
      </c>
      <c r="Q527" s="119">
        <f>'LOE Breakdown by Year'!J137</f>
        <v>0</v>
      </c>
      <c r="R527" s="43">
        <f t="shared" si="338"/>
        <v>0</v>
      </c>
      <c r="S527" s="43">
        <f t="shared" si="346"/>
        <v>0</v>
      </c>
      <c r="T527" s="43">
        <f t="shared" si="347"/>
        <v>0</v>
      </c>
      <c r="U527" s="43">
        <v>0</v>
      </c>
      <c r="V527" s="43">
        <f t="shared" si="348"/>
        <v>0</v>
      </c>
    </row>
    <row r="528" spans="1:22" ht="25.2" hidden="1">
      <c r="A528" s="7" t="s">
        <v>752</v>
      </c>
      <c r="B528" s="44">
        <v>70000</v>
      </c>
      <c r="C528" s="7" t="s">
        <v>710</v>
      </c>
      <c r="D528" s="7" t="str">
        <f t="shared" si="333"/>
        <v>Activity Lead Agribusiness Senior Specialist (Complementary Crop)</v>
      </c>
      <c r="E528" s="43">
        <v>0</v>
      </c>
      <c r="F528" s="49" t="s">
        <v>95</v>
      </c>
      <c r="G528" s="43">
        <f t="shared" si="334"/>
        <v>2833.3333333333335</v>
      </c>
      <c r="H528" s="119">
        <f>'LOE Breakdown by Year'!J18</f>
        <v>0</v>
      </c>
      <c r="I528" s="43">
        <f t="shared" si="335"/>
        <v>12</v>
      </c>
      <c r="J528" s="43">
        <f t="shared" si="343"/>
        <v>0</v>
      </c>
      <c r="K528" s="119">
        <f>'LOE Breakdown by Year'!J58</f>
        <v>0</v>
      </c>
      <c r="L528" s="43">
        <f t="shared" si="336"/>
        <v>12</v>
      </c>
      <c r="M528" s="43">
        <f t="shared" si="344"/>
        <v>0</v>
      </c>
      <c r="N528" s="119">
        <f>'LOE Breakdown by Year'!J98</f>
        <v>0</v>
      </c>
      <c r="O528" s="43">
        <f t="shared" si="337"/>
        <v>12</v>
      </c>
      <c r="P528" s="43">
        <f t="shared" si="345"/>
        <v>0</v>
      </c>
      <c r="Q528" s="119">
        <f>'LOE Breakdown by Year'!J138</f>
        <v>0</v>
      </c>
      <c r="R528" s="43">
        <f t="shared" si="338"/>
        <v>0</v>
      </c>
      <c r="S528" s="43">
        <f t="shared" si="346"/>
        <v>0</v>
      </c>
      <c r="T528" s="43">
        <f t="shared" si="347"/>
        <v>0</v>
      </c>
      <c r="U528" s="43">
        <v>0</v>
      </c>
      <c r="V528" s="43">
        <f t="shared" si="348"/>
        <v>0</v>
      </c>
    </row>
    <row r="529" spans="1:22" hidden="1">
      <c r="A529" s="7" t="s">
        <v>752</v>
      </c>
      <c r="B529" s="44">
        <v>70000</v>
      </c>
      <c r="C529" s="7" t="s">
        <v>710</v>
      </c>
      <c r="D529" s="7" t="str">
        <f t="shared" si="333"/>
        <v>Complementary Crops Field Officer</v>
      </c>
      <c r="E529" s="43">
        <v>0</v>
      </c>
      <c r="F529" s="49" t="s">
        <v>95</v>
      </c>
      <c r="G529" s="43">
        <f t="shared" si="334"/>
        <v>0</v>
      </c>
      <c r="H529" s="119">
        <f>'LOE Breakdown by Year'!J19</f>
        <v>0</v>
      </c>
      <c r="I529" s="43">
        <f t="shared" si="335"/>
        <v>0</v>
      </c>
      <c r="J529" s="43">
        <f t="shared" si="343"/>
        <v>0</v>
      </c>
      <c r="K529" s="119">
        <f>'LOE Breakdown by Year'!J59</f>
        <v>0</v>
      </c>
      <c r="L529" s="43">
        <f t="shared" si="336"/>
        <v>12</v>
      </c>
      <c r="M529" s="43">
        <f t="shared" si="344"/>
        <v>0</v>
      </c>
      <c r="N529" s="119">
        <f>'LOE Breakdown by Year'!J99</f>
        <v>0</v>
      </c>
      <c r="O529" s="43">
        <f t="shared" si="337"/>
        <v>12</v>
      </c>
      <c r="P529" s="43">
        <f t="shared" si="345"/>
        <v>0</v>
      </c>
      <c r="Q529" s="119">
        <f>'LOE Breakdown by Year'!J139</f>
        <v>0</v>
      </c>
      <c r="R529" s="43">
        <f t="shared" si="338"/>
        <v>0</v>
      </c>
      <c r="S529" s="43">
        <f t="shared" si="346"/>
        <v>0</v>
      </c>
      <c r="T529" s="43">
        <f t="shared" si="347"/>
        <v>0</v>
      </c>
      <c r="U529" s="43">
        <v>0</v>
      </c>
      <c r="V529" s="43">
        <f t="shared" si="348"/>
        <v>0</v>
      </c>
    </row>
    <row r="530" spans="1:22" hidden="1">
      <c r="A530" s="7" t="s">
        <v>752</v>
      </c>
      <c r="B530" s="44">
        <v>70000</v>
      </c>
      <c r="C530" s="7" t="s">
        <v>710</v>
      </c>
      <c r="D530" s="7" t="str">
        <f t="shared" si="333"/>
        <v>EPSEAS Specialist</v>
      </c>
      <c r="E530" s="43">
        <v>0</v>
      </c>
      <c r="F530" s="49" t="s">
        <v>95</v>
      </c>
      <c r="G530" s="43">
        <f t="shared" si="334"/>
        <v>0</v>
      </c>
      <c r="H530" s="119">
        <f>'LOE Breakdown by Year'!J20</f>
        <v>0</v>
      </c>
      <c r="I530" s="43">
        <f t="shared" si="335"/>
        <v>0</v>
      </c>
      <c r="J530" s="43">
        <f t="shared" si="343"/>
        <v>0</v>
      </c>
      <c r="K530" s="119">
        <f>'LOE Breakdown by Year'!J60</f>
        <v>0</v>
      </c>
      <c r="L530" s="43">
        <f t="shared" si="336"/>
        <v>12</v>
      </c>
      <c r="M530" s="43">
        <f t="shared" si="344"/>
        <v>0</v>
      </c>
      <c r="N530" s="119">
        <f>'LOE Breakdown by Year'!J100</f>
        <v>0</v>
      </c>
      <c r="O530" s="43">
        <f t="shared" si="337"/>
        <v>12</v>
      </c>
      <c r="P530" s="43">
        <f t="shared" si="345"/>
        <v>0</v>
      </c>
      <c r="Q530" s="119">
        <f>'LOE Breakdown by Year'!J140</f>
        <v>0</v>
      </c>
      <c r="R530" s="43">
        <f t="shared" si="338"/>
        <v>0</v>
      </c>
      <c r="S530" s="43">
        <f t="shared" si="346"/>
        <v>0</v>
      </c>
      <c r="T530" s="43">
        <f t="shared" si="347"/>
        <v>0</v>
      </c>
      <c r="U530" s="43">
        <v>0</v>
      </c>
      <c r="V530" s="43">
        <f t="shared" si="348"/>
        <v>0</v>
      </c>
    </row>
    <row r="531" spans="1:22" hidden="1">
      <c r="A531" s="7" t="s">
        <v>752</v>
      </c>
      <c r="B531" s="44">
        <v>70000</v>
      </c>
      <c r="C531" s="7" t="s">
        <v>710</v>
      </c>
      <c r="D531" s="7" t="str">
        <f t="shared" si="333"/>
        <v>Extension Agents for EPSEAS (20 in Y6 and 25 in Y7)</v>
      </c>
      <c r="E531" s="43">
        <v>0</v>
      </c>
      <c r="F531" s="49" t="s">
        <v>95</v>
      </c>
      <c r="G531" s="43">
        <f t="shared" si="334"/>
        <v>1000</v>
      </c>
      <c r="H531" s="119">
        <f>'LOE Breakdown by Year'!J21</f>
        <v>0</v>
      </c>
      <c r="I531" s="43">
        <f t="shared" si="335"/>
        <v>0</v>
      </c>
      <c r="J531" s="43">
        <f t="shared" si="343"/>
        <v>0</v>
      </c>
      <c r="K531" s="119">
        <f>'LOE Breakdown by Year'!J61</f>
        <v>0</v>
      </c>
      <c r="L531" s="43">
        <f t="shared" si="336"/>
        <v>12</v>
      </c>
      <c r="M531" s="43">
        <f t="shared" si="344"/>
        <v>0</v>
      </c>
      <c r="N531" s="119">
        <f>'LOE Breakdown by Year'!J101</f>
        <v>0</v>
      </c>
      <c r="O531" s="43">
        <f t="shared" si="337"/>
        <v>12</v>
      </c>
      <c r="P531" s="43">
        <f t="shared" si="345"/>
        <v>0</v>
      </c>
      <c r="Q531" s="119">
        <f>'LOE Breakdown by Year'!J141</f>
        <v>0</v>
      </c>
      <c r="R531" s="43">
        <f t="shared" si="338"/>
        <v>0</v>
      </c>
      <c r="S531" s="43">
        <f t="shared" si="346"/>
        <v>0</v>
      </c>
      <c r="T531" s="43">
        <f t="shared" si="347"/>
        <v>0</v>
      </c>
      <c r="U531" s="43">
        <v>0</v>
      </c>
      <c r="V531" s="43">
        <f t="shared" si="348"/>
        <v>0</v>
      </c>
    </row>
    <row r="532" spans="1:22">
      <c r="A532" s="7" t="s">
        <v>752</v>
      </c>
      <c r="B532" s="44">
        <v>70000</v>
      </c>
      <c r="C532" s="7" t="s">
        <v>710</v>
      </c>
      <c r="D532" s="7" t="str">
        <f t="shared" si="333"/>
        <v xml:space="preserve">Senior M&amp;E Director </v>
      </c>
      <c r="E532" s="43">
        <v>11501.44</v>
      </c>
      <c r="F532" s="49" t="s">
        <v>95</v>
      </c>
      <c r="G532" s="43">
        <f t="shared" si="334"/>
        <v>6250</v>
      </c>
      <c r="H532" s="119">
        <f>'LOE Breakdown by Year'!J22</f>
        <v>0.1</v>
      </c>
      <c r="I532" s="43">
        <f t="shared" si="335"/>
        <v>12</v>
      </c>
      <c r="J532" s="43">
        <f t="shared" si="343"/>
        <v>7500</v>
      </c>
      <c r="K532" s="119">
        <f>'LOE Breakdown by Year'!J62</f>
        <v>0</v>
      </c>
      <c r="L532" s="43">
        <f t="shared" si="336"/>
        <v>12</v>
      </c>
      <c r="M532" s="43">
        <f t="shared" si="344"/>
        <v>0</v>
      </c>
      <c r="N532" s="119">
        <f>'LOE Breakdown by Year'!J102</f>
        <v>0</v>
      </c>
      <c r="O532" s="43">
        <f t="shared" si="337"/>
        <v>12</v>
      </c>
      <c r="P532" s="43">
        <f t="shared" si="345"/>
        <v>0</v>
      </c>
      <c r="Q532" s="119">
        <f>'LOE Breakdown by Year'!J142</f>
        <v>0</v>
      </c>
      <c r="R532" s="43">
        <f t="shared" si="338"/>
        <v>6</v>
      </c>
      <c r="S532" s="43">
        <f t="shared" si="346"/>
        <v>0</v>
      </c>
      <c r="T532" s="43">
        <f t="shared" si="347"/>
        <v>19001.440000000002</v>
      </c>
      <c r="U532" s="43">
        <v>0</v>
      </c>
      <c r="V532" s="43">
        <f t="shared" si="348"/>
        <v>19001.440000000002</v>
      </c>
    </row>
    <row r="533" spans="1:22">
      <c r="A533" s="7" t="s">
        <v>752</v>
      </c>
      <c r="B533" s="44">
        <v>70000</v>
      </c>
      <c r="C533" s="7" t="s">
        <v>710</v>
      </c>
      <c r="D533" s="7" t="str">
        <f t="shared" si="333"/>
        <v>Senior M&amp;E Specialist</v>
      </c>
      <c r="E533" s="43">
        <v>5566.44</v>
      </c>
      <c r="F533" s="49" t="s">
        <v>95</v>
      </c>
      <c r="G533" s="43">
        <f t="shared" si="334"/>
        <v>2833.3333333333335</v>
      </c>
      <c r="H533" s="119">
        <f>'LOE Breakdown by Year'!J23</f>
        <v>0.1</v>
      </c>
      <c r="I533" s="43">
        <f t="shared" si="335"/>
        <v>12</v>
      </c>
      <c r="J533" s="43">
        <f t="shared" si="343"/>
        <v>3400</v>
      </c>
      <c r="K533" s="119">
        <f>'LOE Breakdown by Year'!J63</f>
        <v>0</v>
      </c>
      <c r="L533" s="43">
        <f t="shared" si="336"/>
        <v>12</v>
      </c>
      <c r="M533" s="43">
        <f t="shared" si="344"/>
        <v>0</v>
      </c>
      <c r="N533" s="119">
        <f>'LOE Breakdown by Year'!J103</f>
        <v>0</v>
      </c>
      <c r="O533" s="43">
        <f t="shared" si="337"/>
        <v>12</v>
      </c>
      <c r="P533" s="43">
        <f t="shared" si="345"/>
        <v>0</v>
      </c>
      <c r="Q533" s="119">
        <f>'LOE Breakdown by Year'!J143</f>
        <v>0</v>
      </c>
      <c r="R533" s="43">
        <f t="shared" si="338"/>
        <v>6</v>
      </c>
      <c r="S533" s="43">
        <f t="shared" si="346"/>
        <v>0</v>
      </c>
      <c r="T533" s="43">
        <f t="shared" si="347"/>
        <v>8966.4399999999987</v>
      </c>
      <c r="U533" s="43">
        <v>0</v>
      </c>
      <c r="V533" s="43">
        <f t="shared" si="348"/>
        <v>8966.4399999999987</v>
      </c>
    </row>
    <row r="534" spans="1:22">
      <c r="A534" s="7" t="s">
        <v>752</v>
      </c>
      <c r="B534" s="44">
        <v>70000</v>
      </c>
      <c r="C534" s="7" t="s">
        <v>710</v>
      </c>
      <c r="D534" s="7" t="str">
        <f t="shared" si="333"/>
        <v>M&amp;E Specialist</v>
      </c>
      <c r="E534" s="43">
        <v>0</v>
      </c>
      <c r="F534" s="49" t="s">
        <v>95</v>
      </c>
      <c r="G534" s="43">
        <f t="shared" si="334"/>
        <v>2500</v>
      </c>
      <c r="H534" s="119">
        <f>'LOE Breakdown by Year'!J24</f>
        <v>0.1</v>
      </c>
      <c r="I534" s="43">
        <f t="shared" si="335"/>
        <v>12</v>
      </c>
      <c r="J534" s="43">
        <f t="shared" si="343"/>
        <v>3000</v>
      </c>
      <c r="K534" s="119">
        <f>'LOE Breakdown by Year'!J64</f>
        <v>0</v>
      </c>
      <c r="L534" s="43">
        <f t="shared" si="336"/>
        <v>12</v>
      </c>
      <c r="M534" s="43">
        <f t="shared" si="344"/>
        <v>0</v>
      </c>
      <c r="N534" s="119">
        <f>'LOE Breakdown by Year'!J104</f>
        <v>0</v>
      </c>
      <c r="O534" s="43">
        <f t="shared" si="337"/>
        <v>12</v>
      </c>
      <c r="P534" s="43">
        <f t="shared" si="345"/>
        <v>0</v>
      </c>
      <c r="Q534" s="119">
        <f>'LOE Breakdown by Year'!J144</f>
        <v>0</v>
      </c>
      <c r="R534" s="43">
        <f t="shared" si="338"/>
        <v>3</v>
      </c>
      <c r="S534" s="43">
        <f t="shared" si="346"/>
        <v>0</v>
      </c>
      <c r="T534" s="43">
        <f t="shared" si="347"/>
        <v>3000</v>
      </c>
      <c r="U534" s="43">
        <v>0</v>
      </c>
      <c r="V534" s="43">
        <f t="shared" si="348"/>
        <v>3000</v>
      </c>
    </row>
    <row r="535" spans="1:22">
      <c r="A535" s="7" t="s">
        <v>752</v>
      </c>
      <c r="B535" s="44">
        <v>70000</v>
      </c>
      <c r="C535" s="7" t="s">
        <v>710</v>
      </c>
      <c r="D535" s="7" t="str">
        <f t="shared" si="333"/>
        <v>M&amp;E Officer</v>
      </c>
      <c r="E535" s="43">
        <v>4631.4399999999996</v>
      </c>
      <c r="F535" s="49" t="s">
        <v>95</v>
      </c>
      <c r="G535" s="43">
        <f t="shared" si="334"/>
        <v>1000</v>
      </c>
      <c r="H535" s="119">
        <f>'LOE Breakdown by Year'!J25</f>
        <v>0.1</v>
      </c>
      <c r="I535" s="43">
        <f t="shared" si="335"/>
        <v>12</v>
      </c>
      <c r="J535" s="43">
        <f t="shared" si="343"/>
        <v>1200</v>
      </c>
      <c r="K535" s="119">
        <f>'LOE Breakdown by Year'!J65</f>
        <v>0</v>
      </c>
      <c r="L535" s="43">
        <f t="shared" si="336"/>
        <v>12</v>
      </c>
      <c r="M535" s="43">
        <f t="shared" si="344"/>
        <v>0</v>
      </c>
      <c r="N535" s="119">
        <f>'LOE Breakdown by Year'!J105</f>
        <v>0</v>
      </c>
      <c r="O535" s="43">
        <f t="shared" si="337"/>
        <v>12</v>
      </c>
      <c r="P535" s="43">
        <f t="shared" si="345"/>
        <v>0</v>
      </c>
      <c r="Q535" s="119">
        <f>'LOE Breakdown by Year'!J145</f>
        <v>0</v>
      </c>
      <c r="R535" s="43">
        <f t="shared" si="338"/>
        <v>3</v>
      </c>
      <c r="S535" s="43">
        <f t="shared" si="346"/>
        <v>0</v>
      </c>
      <c r="T535" s="43">
        <f t="shared" si="347"/>
        <v>5831.44</v>
      </c>
      <c r="U535" s="43">
        <v>0</v>
      </c>
      <c r="V535" s="43">
        <f t="shared" si="348"/>
        <v>5831.44</v>
      </c>
    </row>
    <row r="536" spans="1:22">
      <c r="A536" s="7" t="s">
        <v>752</v>
      </c>
      <c r="B536" s="44">
        <v>70000</v>
      </c>
      <c r="C536" s="7" t="s">
        <v>710</v>
      </c>
      <c r="D536" s="7" t="str">
        <f t="shared" si="333"/>
        <v>Partnerships and Investment Director</v>
      </c>
      <c r="E536" s="43">
        <v>0</v>
      </c>
      <c r="F536" s="49" t="s">
        <v>95</v>
      </c>
      <c r="G536" s="43">
        <f t="shared" si="334"/>
        <v>4583.333333333333</v>
      </c>
      <c r="H536" s="119">
        <f>'LOE Breakdown by Year'!J26</f>
        <v>0.1</v>
      </c>
      <c r="I536" s="43">
        <f t="shared" si="335"/>
        <v>12</v>
      </c>
      <c r="J536" s="43">
        <f t="shared" si="343"/>
        <v>5500</v>
      </c>
      <c r="K536" s="119">
        <f>'LOE Breakdown by Year'!J66</f>
        <v>0</v>
      </c>
      <c r="L536" s="43">
        <f t="shared" si="336"/>
        <v>12</v>
      </c>
      <c r="M536" s="43">
        <f t="shared" si="344"/>
        <v>0</v>
      </c>
      <c r="N536" s="119">
        <f>'LOE Breakdown by Year'!J106</f>
        <v>0</v>
      </c>
      <c r="O536" s="43">
        <f t="shared" si="337"/>
        <v>12</v>
      </c>
      <c r="P536" s="43">
        <f t="shared" si="345"/>
        <v>0</v>
      </c>
      <c r="Q536" s="119">
        <f>'LOE Breakdown by Year'!J146</f>
        <v>0</v>
      </c>
      <c r="R536" s="43">
        <f t="shared" si="338"/>
        <v>0</v>
      </c>
      <c r="S536" s="43">
        <f t="shared" si="346"/>
        <v>0</v>
      </c>
      <c r="T536" s="43">
        <f t="shared" si="347"/>
        <v>5500</v>
      </c>
      <c r="U536" s="43">
        <v>0</v>
      </c>
      <c r="V536" s="43">
        <f t="shared" si="348"/>
        <v>5500</v>
      </c>
    </row>
    <row r="537" spans="1:22">
      <c r="A537" s="7" t="s">
        <v>752</v>
      </c>
      <c r="B537" s="44">
        <v>70000</v>
      </c>
      <c r="C537" s="7" t="s">
        <v>710</v>
      </c>
      <c r="D537" s="7" t="str">
        <f t="shared" si="333"/>
        <v>Partnerships and Investment Specialist</v>
      </c>
      <c r="E537" s="43">
        <v>0</v>
      </c>
      <c r="F537" s="49" t="s">
        <v>95</v>
      </c>
      <c r="G537" s="43">
        <f t="shared" si="334"/>
        <v>1750</v>
      </c>
      <c r="H537" s="119">
        <f>'LOE Breakdown by Year'!J27</f>
        <v>0.1</v>
      </c>
      <c r="I537" s="43">
        <f t="shared" si="335"/>
        <v>12</v>
      </c>
      <c r="J537" s="43">
        <f t="shared" si="343"/>
        <v>2100</v>
      </c>
      <c r="K537" s="119">
        <f>'LOE Breakdown by Year'!J67</f>
        <v>0</v>
      </c>
      <c r="L537" s="43">
        <f t="shared" si="336"/>
        <v>12</v>
      </c>
      <c r="M537" s="43">
        <f t="shared" si="344"/>
        <v>0</v>
      </c>
      <c r="N537" s="119">
        <f>'LOE Breakdown by Year'!J107</f>
        <v>0</v>
      </c>
      <c r="O537" s="43">
        <f t="shared" si="337"/>
        <v>12</v>
      </c>
      <c r="P537" s="43">
        <f t="shared" si="345"/>
        <v>0</v>
      </c>
      <c r="Q537" s="119">
        <f>'LOE Breakdown by Year'!J147</f>
        <v>0</v>
      </c>
      <c r="R537" s="43">
        <f t="shared" si="338"/>
        <v>0</v>
      </c>
      <c r="S537" s="43">
        <f t="shared" si="346"/>
        <v>0</v>
      </c>
      <c r="T537" s="43">
        <f t="shared" si="347"/>
        <v>2100</v>
      </c>
      <c r="U537" s="43">
        <v>0</v>
      </c>
      <c r="V537" s="43">
        <f t="shared" si="348"/>
        <v>2100</v>
      </c>
    </row>
    <row r="538" spans="1:22">
      <c r="A538" s="7" t="s">
        <v>752</v>
      </c>
      <c r="B538" s="44">
        <v>70000</v>
      </c>
      <c r="C538" s="7" t="s">
        <v>710</v>
      </c>
      <c r="D538" s="7" t="str">
        <f t="shared" si="333"/>
        <v>Organizational Strengthening Specialist</v>
      </c>
      <c r="E538" s="43">
        <v>0</v>
      </c>
      <c r="F538" s="49" t="s">
        <v>95</v>
      </c>
      <c r="G538" s="43">
        <f t="shared" si="334"/>
        <v>1750</v>
      </c>
      <c r="H538" s="119">
        <f>'LOE Breakdown by Year'!J28</f>
        <v>0.1</v>
      </c>
      <c r="I538" s="43">
        <f t="shared" si="335"/>
        <v>12</v>
      </c>
      <c r="J538" s="43">
        <f t="shared" si="343"/>
        <v>2100</v>
      </c>
      <c r="K538" s="119">
        <f>'LOE Breakdown by Year'!J68</f>
        <v>0</v>
      </c>
      <c r="L538" s="43">
        <f t="shared" si="336"/>
        <v>12</v>
      </c>
      <c r="M538" s="43">
        <f t="shared" si="344"/>
        <v>0</v>
      </c>
      <c r="N538" s="119">
        <f>'LOE Breakdown by Year'!J108</f>
        <v>0</v>
      </c>
      <c r="O538" s="43">
        <f t="shared" si="337"/>
        <v>12</v>
      </c>
      <c r="P538" s="43">
        <f t="shared" si="345"/>
        <v>0</v>
      </c>
      <c r="Q538" s="119">
        <f>'LOE Breakdown by Year'!J148</f>
        <v>0</v>
      </c>
      <c r="R538" s="43">
        <f t="shared" si="338"/>
        <v>0</v>
      </c>
      <c r="S538" s="43">
        <f t="shared" si="346"/>
        <v>0</v>
      </c>
      <c r="T538" s="43">
        <f t="shared" si="347"/>
        <v>2100</v>
      </c>
      <c r="U538" s="43">
        <v>0</v>
      </c>
      <c r="V538" s="43">
        <f t="shared" si="348"/>
        <v>2100</v>
      </c>
    </row>
    <row r="539" spans="1:22" hidden="1">
      <c r="A539" s="7" t="s">
        <v>752</v>
      </c>
      <c r="B539" s="44">
        <v>70000</v>
      </c>
      <c r="C539" s="7" t="s">
        <v>710</v>
      </c>
      <c r="D539" s="7" t="str">
        <f t="shared" si="333"/>
        <v>Value Chain Strengthening Director</v>
      </c>
      <c r="E539" s="43">
        <v>0</v>
      </c>
      <c r="F539" s="49" t="s">
        <v>95</v>
      </c>
      <c r="G539" s="43">
        <f t="shared" si="334"/>
        <v>0</v>
      </c>
      <c r="H539" s="119">
        <f>'LOE Breakdown by Year'!J29</f>
        <v>0.1</v>
      </c>
      <c r="I539" s="43">
        <f t="shared" si="335"/>
        <v>12</v>
      </c>
      <c r="J539" s="43">
        <f t="shared" si="343"/>
        <v>0</v>
      </c>
      <c r="K539" s="119">
        <f>'LOE Breakdown by Year'!J69</f>
        <v>0</v>
      </c>
      <c r="L539" s="43">
        <f t="shared" si="336"/>
        <v>12</v>
      </c>
      <c r="M539" s="43">
        <f t="shared" si="344"/>
        <v>0</v>
      </c>
      <c r="N539" s="119">
        <f>'LOE Breakdown by Year'!J109</f>
        <v>0</v>
      </c>
      <c r="O539" s="43">
        <f t="shared" si="337"/>
        <v>12</v>
      </c>
      <c r="P539" s="43">
        <f t="shared" si="345"/>
        <v>0</v>
      </c>
      <c r="Q539" s="119">
        <f>'LOE Breakdown by Year'!J149</f>
        <v>0</v>
      </c>
      <c r="R539" s="43">
        <f t="shared" si="338"/>
        <v>4</v>
      </c>
      <c r="S539" s="43">
        <f t="shared" si="346"/>
        <v>0</v>
      </c>
      <c r="T539" s="43">
        <f t="shared" si="347"/>
        <v>0</v>
      </c>
      <c r="U539" s="43">
        <v>0</v>
      </c>
      <c r="V539" s="43">
        <f t="shared" si="348"/>
        <v>0</v>
      </c>
    </row>
    <row r="540" spans="1:22">
      <c r="A540" s="7" t="s">
        <v>752</v>
      </c>
      <c r="B540" s="44">
        <v>70000</v>
      </c>
      <c r="C540" s="7" t="s">
        <v>710</v>
      </c>
      <c r="D540" s="7" t="str">
        <f t="shared" si="333"/>
        <v>Communications Specialist</v>
      </c>
      <c r="E540" s="43">
        <v>0</v>
      </c>
      <c r="F540" s="49" t="s">
        <v>95</v>
      </c>
      <c r="G540" s="43">
        <f t="shared" si="334"/>
        <v>1750</v>
      </c>
      <c r="H540" s="119">
        <f>'LOE Breakdown by Year'!J30</f>
        <v>0.1</v>
      </c>
      <c r="I540" s="43">
        <f t="shared" si="335"/>
        <v>12</v>
      </c>
      <c r="J540" s="43">
        <f t="shared" si="343"/>
        <v>2100</v>
      </c>
      <c r="K540" s="119">
        <f>'LOE Breakdown by Year'!J70</f>
        <v>0</v>
      </c>
      <c r="L540" s="43">
        <f t="shared" si="336"/>
        <v>12</v>
      </c>
      <c r="M540" s="43">
        <f t="shared" si="344"/>
        <v>0</v>
      </c>
      <c r="N540" s="119">
        <f>'LOE Breakdown by Year'!J110</f>
        <v>0</v>
      </c>
      <c r="O540" s="43">
        <f t="shared" si="337"/>
        <v>12</v>
      </c>
      <c r="P540" s="43">
        <f t="shared" si="345"/>
        <v>0</v>
      </c>
      <c r="Q540" s="119">
        <f>'LOE Breakdown by Year'!J150</f>
        <v>0</v>
      </c>
      <c r="R540" s="43">
        <f t="shared" si="338"/>
        <v>0</v>
      </c>
      <c r="S540" s="43">
        <f t="shared" si="346"/>
        <v>0</v>
      </c>
      <c r="T540" s="43">
        <f t="shared" si="347"/>
        <v>2100</v>
      </c>
      <c r="U540" s="43">
        <v>0</v>
      </c>
      <c r="V540" s="43">
        <f t="shared" si="348"/>
        <v>2100</v>
      </c>
    </row>
    <row r="541" spans="1:22">
      <c r="A541" s="7" t="s">
        <v>752</v>
      </c>
      <c r="B541" s="44">
        <v>70000</v>
      </c>
      <c r="C541" s="7" t="s">
        <v>710</v>
      </c>
      <c r="D541" s="7" t="str">
        <f t="shared" si="333"/>
        <v>Value Chain Specialist</v>
      </c>
      <c r="E541" s="43">
        <v>0</v>
      </c>
      <c r="F541" s="49" t="s">
        <v>95</v>
      </c>
      <c r="G541" s="43">
        <f t="shared" si="334"/>
        <v>2500</v>
      </c>
      <c r="H541" s="119">
        <f>'LOE Breakdown by Year'!J31</f>
        <v>0.1</v>
      </c>
      <c r="I541" s="43">
        <f t="shared" si="335"/>
        <v>12</v>
      </c>
      <c r="J541" s="43">
        <f t="shared" si="343"/>
        <v>3000</v>
      </c>
      <c r="K541" s="119">
        <f>'LOE Breakdown by Year'!J71</f>
        <v>0</v>
      </c>
      <c r="L541" s="43">
        <f t="shared" si="336"/>
        <v>12</v>
      </c>
      <c r="M541" s="43">
        <f t="shared" si="344"/>
        <v>0</v>
      </c>
      <c r="N541" s="119">
        <f>'LOE Breakdown by Year'!J111</f>
        <v>0</v>
      </c>
      <c r="O541" s="43">
        <f t="shared" si="337"/>
        <v>12</v>
      </c>
      <c r="P541" s="43">
        <f t="shared" si="345"/>
        <v>0</v>
      </c>
      <c r="Q541" s="119">
        <f>'LOE Breakdown by Year'!J151</f>
        <v>0</v>
      </c>
      <c r="R541" s="43">
        <f t="shared" si="338"/>
        <v>0</v>
      </c>
      <c r="S541" s="43">
        <f t="shared" si="346"/>
        <v>0</v>
      </c>
      <c r="T541" s="43">
        <f t="shared" si="347"/>
        <v>3000</v>
      </c>
      <c r="U541" s="43">
        <v>0</v>
      </c>
      <c r="V541" s="43">
        <f t="shared" si="348"/>
        <v>3000</v>
      </c>
    </row>
    <row r="542" spans="1:22">
      <c r="A542" s="7" t="s">
        <v>752</v>
      </c>
      <c r="B542" s="44">
        <v>70000</v>
      </c>
      <c r="C542" s="7" t="s">
        <v>710</v>
      </c>
      <c r="D542" s="7" t="str">
        <f t="shared" si="333"/>
        <v>Contracts &amp; Compliance Director</v>
      </c>
      <c r="E542" s="43">
        <v>6817.71</v>
      </c>
      <c r="F542" s="49" t="s">
        <v>95</v>
      </c>
      <c r="G542" s="43">
        <f t="shared" si="334"/>
        <v>4583.333333333333</v>
      </c>
      <c r="H542" s="119">
        <f>'LOE Breakdown by Year'!J32</f>
        <v>0.1</v>
      </c>
      <c r="I542" s="43">
        <f t="shared" si="335"/>
        <v>12</v>
      </c>
      <c r="J542" s="43">
        <f t="shared" si="343"/>
        <v>5500</v>
      </c>
      <c r="K542" s="119">
        <f>'LOE Breakdown by Year'!J72</f>
        <v>0</v>
      </c>
      <c r="L542" s="43">
        <f t="shared" si="336"/>
        <v>12</v>
      </c>
      <c r="M542" s="43">
        <f t="shared" si="344"/>
        <v>0</v>
      </c>
      <c r="N542" s="119">
        <f>'LOE Breakdown by Year'!J112</f>
        <v>0</v>
      </c>
      <c r="O542" s="43">
        <f t="shared" si="337"/>
        <v>12</v>
      </c>
      <c r="P542" s="43">
        <f t="shared" si="345"/>
        <v>0</v>
      </c>
      <c r="Q542" s="119">
        <f>'LOE Breakdown by Year'!J152</f>
        <v>0</v>
      </c>
      <c r="R542" s="43">
        <f t="shared" si="338"/>
        <v>3</v>
      </c>
      <c r="S542" s="43">
        <f t="shared" si="346"/>
        <v>0</v>
      </c>
      <c r="T542" s="43">
        <f t="shared" si="347"/>
        <v>12317.71</v>
      </c>
      <c r="U542" s="43">
        <v>0</v>
      </c>
      <c r="V542" s="43">
        <f t="shared" si="348"/>
        <v>12317.71</v>
      </c>
    </row>
    <row r="543" spans="1:22">
      <c r="A543" s="7" t="s">
        <v>752</v>
      </c>
      <c r="B543" s="44">
        <v>70000</v>
      </c>
      <c r="C543" s="7" t="s">
        <v>710</v>
      </c>
      <c r="D543" s="7" t="str">
        <f t="shared" si="333"/>
        <v>Grants &amp; Procurement Specialist (2)</v>
      </c>
      <c r="E543" s="43">
        <v>0</v>
      </c>
      <c r="F543" s="49" t="s">
        <v>95</v>
      </c>
      <c r="G543" s="43">
        <f t="shared" si="334"/>
        <v>3500</v>
      </c>
      <c r="H543" s="119">
        <f>'LOE Breakdown by Year'!J33</f>
        <v>0.05</v>
      </c>
      <c r="I543" s="43">
        <f t="shared" si="335"/>
        <v>12</v>
      </c>
      <c r="J543" s="43">
        <f t="shared" si="343"/>
        <v>2100</v>
      </c>
      <c r="K543" s="119">
        <f>'LOE Breakdown by Year'!J73</f>
        <v>0</v>
      </c>
      <c r="L543" s="43">
        <f t="shared" si="336"/>
        <v>12</v>
      </c>
      <c r="M543" s="43">
        <f t="shared" si="344"/>
        <v>0</v>
      </c>
      <c r="N543" s="119">
        <f>'LOE Breakdown by Year'!J113</f>
        <v>0</v>
      </c>
      <c r="O543" s="43">
        <f t="shared" si="337"/>
        <v>12</v>
      </c>
      <c r="P543" s="43">
        <f t="shared" si="345"/>
        <v>0</v>
      </c>
      <c r="Q543" s="119">
        <f>'LOE Breakdown by Year'!J153</f>
        <v>0</v>
      </c>
      <c r="R543" s="43">
        <f t="shared" si="338"/>
        <v>0</v>
      </c>
      <c r="S543" s="43">
        <f t="shared" si="346"/>
        <v>0</v>
      </c>
      <c r="T543" s="43">
        <f t="shared" si="347"/>
        <v>2100</v>
      </c>
      <c r="U543" s="43">
        <v>0</v>
      </c>
      <c r="V543" s="43">
        <f t="shared" si="348"/>
        <v>2100</v>
      </c>
    </row>
    <row r="544" spans="1:22">
      <c r="A544" s="7" t="s">
        <v>752</v>
      </c>
      <c r="B544" s="44">
        <v>70000</v>
      </c>
      <c r="C544" s="7" t="s">
        <v>710</v>
      </c>
      <c r="D544" s="7" t="str">
        <f t="shared" si="333"/>
        <v xml:space="preserve">F&amp;A Director </v>
      </c>
      <c r="E544" s="43">
        <v>5283.22</v>
      </c>
      <c r="F544" s="49" t="s">
        <v>95</v>
      </c>
      <c r="G544" s="43">
        <f t="shared" si="334"/>
        <v>5279.4</v>
      </c>
      <c r="H544" s="119">
        <f>'LOE Breakdown by Year'!J34</f>
        <v>0.1</v>
      </c>
      <c r="I544" s="43">
        <f t="shared" si="335"/>
        <v>12</v>
      </c>
      <c r="J544" s="43">
        <f t="shared" si="343"/>
        <v>6335.28</v>
      </c>
      <c r="K544" s="119">
        <f>'LOE Breakdown by Year'!J74</f>
        <v>0</v>
      </c>
      <c r="L544" s="43">
        <f t="shared" si="336"/>
        <v>12</v>
      </c>
      <c r="M544" s="43">
        <f t="shared" si="344"/>
        <v>0</v>
      </c>
      <c r="N544" s="119">
        <f>'LOE Breakdown by Year'!J114</f>
        <v>0</v>
      </c>
      <c r="O544" s="43">
        <f t="shared" si="337"/>
        <v>12</v>
      </c>
      <c r="P544" s="43">
        <f t="shared" si="345"/>
        <v>0</v>
      </c>
      <c r="Q544" s="119">
        <f>'LOE Breakdown by Year'!J154</f>
        <v>0</v>
      </c>
      <c r="R544" s="43">
        <f t="shared" si="338"/>
        <v>6</v>
      </c>
      <c r="S544" s="43">
        <f t="shared" si="346"/>
        <v>0</v>
      </c>
      <c r="T544" s="43">
        <f t="shared" si="347"/>
        <v>11618.5</v>
      </c>
      <c r="U544" s="43">
        <v>0</v>
      </c>
      <c r="V544" s="43">
        <f t="shared" si="348"/>
        <v>11618.5</v>
      </c>
    </row>
    <row r="545" spans="1:22">
      <c r="A545" s="7" t="s">
        <v>752</v>
      </c>
      <c r="B545" s="44">
        <v>70000</v>
      </c>
      <c r="C545" s="7" t="s">
        <v>710</v>
      </c>
      <c r="D545" s="7" t="str">
        <f t="shared" si="333"/>
        <v>Accounting &amp; Finance Specialist</v>
      </c>
      <c r="E545" s="43">
        <v>0</v>
      </c>
      <c r="F545" s="49" t="s">
        <v>95</v>
      </c>
      <c r="G545" s="43">
        <f t="shared" si="334"/>
        <v>1750</v>
      </c>
      <c r="H545" s="119">
        <f>'LOE Breakdown by Year'!J35</f>
        <v>0.1</v>
      </c>
      <c r="I545" s="43">
        <f t="shared" si="335"/>
        <v>12</v>
      </c>
      <c r="J545" s="43">
        <f t="shared" si="343"/>
        <v>2100</v>
      </c>
      <c r="K545" s="119">
        <f>'LOE Breakdown by Year'!J75</f>
        <v>0</v>
      </c>
      <c r="L545" s="43">
        <f t="shared" si="336"/>
        <v>12</v>
      </c>
      <c r="M545" s="43">
        <f t="shared" si="344"/>
        <v>0</v>
      </c>
      <c r="N545" s="119">
        <f>'LOE Breakdown by Year'!J115</f>
        <v>0</v>
      </c>
      <c r="O545" s="43">
        <f t="shared" si="337"/>
        <v>12</v>
      </c>
      <c r="P545" s="43">
        <f t="shared" si="345"/>
        <v>0</v>
      </c>
      <c r="Q545" s="119">
        <f>'LOE Breakdown by Year'!J155</f>
        <v>0</v>
      </c>
      <c r="R545" s="43">
        <f t="shared" si="338"/>
        <v>3</v>
      </c>
      <c r="S545" s="43">
        <f t="shared" si="346"/>
        <v>0</v>
      </c>
      <c r="T545" s="43">
        <f t="shared" si="347"/>
        <v>2100</v>
      </c>
      <c r="U545" s="43">
        <v>0</v>
      </c>
      <c r="V545" s="43">
        <f t="shared" si="348"/>
        <v>2100</v>
      </c>
    </row>
    <row r="546" spans="1:22">
      <c r="A546" s="7" t="s">
        <v>752</v>
      </c>
      <c r="B546" s="44">
        <v>70000</v>
      </c>
      <c r="C546" s="7" t="s">
        <v>710</v>
      </c>
      <c r="D546" s="7" t="str">
        <f t="shared" si="333"/>
        <v xml:space="preserve">Accountant </v>
      </c>
      <c r="E546" s="43">
        <v>0</v>
      </c>
      <c r="F546" s="49" t="s">
        <v>95</v>
      </c>
      <c r="G546" s="43">
        <f t="shared" si="334"/>
        <v>1750</v>
      </c>
      <c r="H546" s="119">
        <f>'LOE Breakdown by Year'!J36</f>
        <v>0.1</v>
      </c>
      <c r="I546" s="43">
        <f t="shared" si="335"/>
        <v>12</v>
      </c>
      <c r="J546" s="43">
        <f t="shared" si="343"/>
        <v>2100</v>
      </c>
      <c r="K546" s="119">
        <f>'LOE Breakdown by Year'!J76</f>
        <v>0</v>
      </c>
      <c r="L546" s="43">
        <f t="shared" si="336"/>
        <v>12</v>
      </c>
      <c r="M546" s="43">
        <f t="shared" si="344"/>
        <v>0</v>
      </c>
      <c r="N546" s="119">
        <f>'LOE Breakdown by Year'!J116</f>
        <v>0</v>
      </c>
      <c r="O546" s="43">
        <f t="shared" si="337"/>
        <v>12</v>
      </c>
      <c r="P546" s="43">
        <f t="shared" si="345"/>
        <v>0</v>
      </c>
      <c r="Q546" s="119">
        <f>'LOE Breakdown by Year'!J156</f>
        <v>0</v>
      </c>
      <c r="R546" s="43">
        <f t="shared" si="338"/>
        <v>5</v>
      </c>
      <c r="S546" s="43">
        <f t="shared" si="346"/>
        <v>0</v>
      </c>
      <c r="T546" s="43">
        <f t="shared" si="347"/>
        <v>2100</v>
      </c>
      <c r="U546" s="43">
        <v>0</v>
      </c>
      <c r="V546" s="43">
        <f t="shared" si="348"/>
        <v>2100</v>
      </c>
    </row>
    <row r="547" spans="1:22">
      <c r="A547" s="7" t="s">
        <v>752</v>
      </c>
      <c r="B547" s="44">
        <v>70000</v>
      </c>
      <c r="C547" s="7" t="s">
        <v>710</v>
      </c>
      <c r="D547" s="7" t="str">
        <f t="shared" si="333"/>
        <v>Finance &amp; Admin Coordinator - 50% LOE</v>
      </c>
      <c r="E547" s="43">
        <v>0</v>
      </c>
      <c r="F547" s="49" t="s">
        <v>95</v>
      </c>
      <c r="G547" s="43">
        <f t="shared" si="334"/>
        <v>2583.3333333333335</v>
      </c>
      <c r="H547" s="119">
        <f>'LOE Breakdown by Year'!J37</f>
        <v>0.05</v>
      </c>
      <c r="I547" s="43">
        <f t="shared" si="335"/>
        <v>12</v>
      </c>
      <c r="J547" s="43">
        <f t="shared" si="343"/>
        <v>1550</v>
      </c>
      <c r="K547" s="119">
        <f>'LOE Breakdown by Year'!J77</f>
        <v>0</v>
      </c>
      <c r="L547" s="43">
        <f t="shared" si="336"/>
        <v>12</v>
      </c>
      <c r="M547" s="43">
        <f t="shared" si="344"/>
        <v>0</v>
      </c>
      <c r="N547" s="119">
        <f>'LOE Breakdown by Year'!J117</f>
        <v>0</v>
      </c>
      <c r="O547" s="43">
        <f t="shared" si="337"/>
        <v>12</v>
      </c>
      <c r="P547" s="43">
        <f t="shared" si="345"/>
        <v>0</v>
      </c>
      <c r="Q547" s="119">
        <f>'LOE Breakdown by Year'!J157</f>
        <v>0</v>
      </c>
      <c r="R547" s="43">
        <f t="shared" si="338"/>
        <v>6</v>
      </c>
      <c r="S547" s="43">
        <f t="shared" si="346"/>
        <v>0</v>
      </c>
      <c r="T547" s="43">
        <f t="shared" si="347"/>
        <v>1550</v>
      </c>
      <c r="U547" s="43">
        <v>0</v>
      </c>
      <c r="V547" s="43">
        <f t="shared" si="348"/>
        <v>1550</v>
      </c>
    </row>
    <row r="548" spans="1:22">
      <c r="A548" s="7" t="s">
        <v>752</v>
      </c>
      <c r="B548" s="44">
        <v>70000</v>
      </c>
      <c r="C548" s="7" t="s">
        <v>710</v>
      </c>
      <c r="D548" s="7" t="str">
        <f t="shared" si="333"/>
        <v xml:space="preserve">Administrative Officer </v>
      </c>
      <c r="E548" s="43">
        <v>2936.37</v>
      </c>
      <c r="F548" s="49" t="s">
        <v>95</v>
      </c>
      <c r="G548" s="43">
        <f t="shared" si="334"/>
        <v>1000</v>
      </c>
      <c r="H548" s="119">
        <f>'LOE Breakdown by Year'!J38</f>
        <v>0.1</v>
      </c>
      <c r="I548" s="43">
        <f t="shared" si="335"/>
        <v>12</v>
      </c>
      <c r="J548" s="43">
        <f t="shared" si="343"/>
        <v>1200</v>
      </c>
      <c r="K548" s="119">
        <f>'LOE Breakdown by Year'!J78</f>
        <v>0</v>
      </c>
      <c r="L548" s="43">
        <f t="shared" si="336"/>
        <v>12</v>
      </c>
      <c r="M548" s="43">
        <f t="shared" si="344"/>
        <v>0</v>
      </c>
      <c r="N548" s="119">
        <f>'LOE Breakdown by Year'!J118</f>
        <v>0</v>
      </c>
      <c r="O548" s="43">
        <f t="shared" si="337"/>
        <v>12</v>
      </c>
      <c r="P548" s="43">
        <f t="shared" si="345"/>
        <v>0</v>
      </c>
      <c r="Q548" s="119">
        <f>'LOE Breakdown by Year'!J158</f>
        <v>0</v>
      </c>
      <c r="R548" s="43">
        <f t="shared" si="338"/>
        <v>3</v>
      </c>
      <c r="S548" s="43">
        <f t="shared" si="346"/>
        <v>0</v>
      </c>
      <c r="T548" s="43">
        <f t="shared" si="347"/>
        <v>4136.37</v>
      </c>
      <c r="U548" s="43">
        <v>0</v>
      </c>
      <c r="V548" s="43">
        <f t="shared" si="348"/>
        <v>4136.37</v>
      </c>
    </row>
    <row r="549" spans="1:22">
      <c r="A549" s="7" t="s">
        <v>752</v>
      </c>
      <c r="B549" s="44">
        <v>70000</v>
      </c>
      <c r="C549" s="7" t="s">
        <v>710</v>
      </c>
      <c r="D549" s="7" t="str">
        <f t="shared" si="333"/>
        <v>Human Resource Manager</v>
      </c>
      <c r="E549" s="43">
        <v>0</v>
      </c>
      <c r="F549" s="49" t="s">
        <v>95</v>
      </c>
      <c r="G549" s="43">
        <f t="shared" si="334"/>
        <v>1954.1666666666667</v>
      </c>
      <c r="H549" s="119">
        <f>'LOE Breakdown by Year'!J39</f>
        <v>0.1</v>
      </c>
      <c r="I549" s="43">
        <f t="shared" si="335"/>
        <v>12</v>
      </c>
      <c r="J549" s="43">
        <f t="shared" si="343"/>
        <v>2345</v>
      </c>
      <c r="K549" s="119">
        <f>'LOE Breakdown by Year'!J79</f>
        <v>0</v>
      </c>
      <c r="L549" s="43">
        <f t="shared" si="336"/>
        <v>12</v>
      </c>
      <c r="M549" s="43">
        <f t="shared" si="344"/>
        <v>0</v>
      </c>
      <c r="N549" s="119">
        <f>'LOE Breakdown by Year'!J119</f>
        <v>0</v>
      </c>
      <c r="O549" s="43">
        <f t="shared" si="337"/>
        <v>12</v>
      </c>
      <c r="P549" s="43">
        <f t="shared" si="345"/>
        <v>0</v>
      </c>
      <c r="Q549" s="119">
        <f>'LOE Breakdown by Year'!J159</f>
        <v>0</v>
      </c>
      <c r="R549" s="43">
        <f t="shared" si="338"/>
        <v>6</v>
      </c>
      <c r="S549" s="43">
        <f t="shared" si="346"/>
        <v>0</v>
      </c>
      <c r="T549" s="43">
        <f t="shared" si="347"/>
        <v>2345</v>
      </c>
      <c r="U549" s="43">
        <v>0</v>
      </c>
      <c r="V549" s="43">
        <f t="shared" si="348"/>
        <v>2345</v>
      </c>
    </row>
    <row r="550" spans="1:22">
      <c r="A550" s="7" t="s">
        <v>752</v>
      </c>
      <c r="B550" s="44">
        <v>70000</v>
      </c>
      <c r="C550" s="7" t="s">
        <v>710</v>
      </c>
      <c r="D550" s="7" t="str">
        <f t="shared" si="333"/>
        <v>Human Resource Specialist</v>
      </c>
      <c r="E550" s="43">
        <v>0</v>
      </c>
      <c r="F550" s="49" t="s">
        <v>95</v>
      </c>
      <c r="G550" s="43">
        <f t="shared" si="334"/>
        <v>1750</v>
      </c>
      <c r="H550" s="119">
        <f>'LOE Breakdown by Year'!J40</f>
        <v>0.1</v>
      </c>
      <c r="I550" s="43">
        <f t="shared" si="335"/>
        <v>12</v>
      </c>
      <c r="J550" s="43">
        <f t="shared" si="343"/>
        <v>2100</v>
      </c>
      <c r="K550" s="119">
        <f>'LOE Breakdown by Year'!J80</f>
        <v>0</v>
      </c>
      <c r="L550" s="43">
        <f t="shared" si="336"/>
        <v>12</v>
      </c>
      <c r="M550" s="43">
        <f t="shared" si="344"/>
        <v>0</v>
      </c>
      <c r="N550" s="119">
        <f>'LOE Breakdown by Year'!J120</f>
        <v>0</v>
      </c>
      <c r="O550" s="43">
        <f t="shared" si="337"/>
        <v>12</v>
      </c>
      <c r="P550" s="43">
        <f t="shared" si="345"/>
        <v>0</v>
      </c>
      <c r="Q550" s="119">
        <f>'LOE Breakdown by Year'!J160</f>
        <v>0</v>
      </c>
      <c r="R550" s="43">
        <f t="shared" si="338"/>
        <v>3</v>
      </c>
      <c r="S550" s="43">
        <f t="shared" si="346"/>
        <v>0</v>
      </c>
      <c r="T550" s="43">
        <f t="shared" si="347"/>
        <v>2100</v>
      </c>
      <c r="U550" s="43">
        <v>0</v>
      </c>
      <c r="V550" s="43">
        <f t="shared" si="348"/>
        <v>2100</v>
      </c>
    </row>
    <row r="551" spans="1:22">
      <c r="A551" s="40"/>
      <c r="B551" s="40"/>
      <c r="C551" s="40"/>
      <c r="D551" s="40" t="s">
        <v>375</v>
      </c>
      <c r="E551" s="47">
        <f>SUM(E521:E550)</f>
        <v>89045.58</v>
      </c>
      <c r="F551" s="45"/>
      <c r="G551" s="46"/>
      <c r="H551" s="132"/>
      <c r="I551" s="47"/>
      <c r="J551" s="47">
        <f>SUM(J521:J550)</f>
        <v>89980.28</v>
      </c>
      <c r="K551" s="132"/>
      <c r="L551" s="47"/>
      <c r="M551" s="47">
        <f>SUM(M521:M550)</f>
        <v>0</v>
      </c>
      <c r="N551" s="132"/>
      <c r="O551" s="47"/>
      <c r="P551" s="47">
        <f>SUM(P521:P550)</f>
        <v>0</v>
      </c>
      <c r="Q551" s="132"/>
      <c r="R551" s="47"/>
      <c r="S551" s="47">
        <f>SUM(S521:S550)</f>
        <v>0</v>
      </c>
      <c r="T551" s="47">
        <f>SUM(T521:T550)</f>
        <v>179025.86</v>
      </c>
      <c r="U551" s="47">
        <f>SUM(U521:U550)</f>
        <v>0</v>
      </c>
      <c r="V551" s="47">
        <f>SUM(V521:V550)</f>
        <v>179025.86</v>
      </c>
    </row>
    <row r="552" spans="1:22">
      <c r="A552" s="104"/>
      <c r="B552" s="104"/>
      <c r="C552" s="104"/>
      <c r="D552" s="104"/>
      <c r="E552" s="593"/>
      <c r="F552" s="81"/>
      <c r="G552" s="62"/>
      <c r="H552" s="133"/>
      <c r="I552" s="62"/>
      <c r="J552" s="62"/>
      <c r="K552" s="133"/>
      <c r="L552" s="62"/>
      <c r="M552" s="62"/>
      <c r="N552" s="133"/>
      <c r="O552" s="62"/>
      <c r="P552" s="62"/>
      <c r="Q552" s="133"/>
      <c r="R552" s="62"/>
      <c r="S552" s="62"/>
      <c r="T552" s="62"/>
      <c r="U552" s="62"/>
      <c r="V552" s="62"/>
    </row>
    <row r="553" spans="1:22">
      <c r="A553" s="40"/>
      <c r="B553" s="40"/>
      <c r="C553" s="40"/>
      <c r="D553" s="40" t="s">
        <v>376</v>
      </c>
      <c r="E553" s="47"/>
      <c r="F553" s="45"/>
      <c r="G553" s="46"/>
      <c r="H553" s="132"/>
      <c r="I553" s="47"/>
      <c r="J553" s="47"/>
      <c r="K553" s="132"/>
      <c r="L553" s="47"/>
      <c r="M553" s="47"/>
      <c r="N553" s="132"/>
      <c r="O553" s="47"/>
      <c r="P553" s="47"/>
      <c r="Q553" s="132"/>
      <c r="R553" s="47"/>
      <c r="S553" s="47"/>
      <c r="T553" s="47"/>
      <c r="U553" s="47"/>
      <c r="V553" s="47"/>
    </row>
    <row r="554" spans="1:22" ht="25.2">
      <c r="A554" s="7" t="s">
        <v>809</v>
      </c>
      <c r="B554" s="44">
        <v>70015</v>
      </c>
      <c r="C554" s="7" t="s">
        <v>710</v>
      </c>
      <c r="D554" s="7" t="str">
        <f>D51</f>
        <v>Fringe Benefits CCN - Colombia (above $3,350 monthly)</v>
      </c>
      <c r="E554" s="43">
        <v>2788.93</v>
      </c>
      <c r="F554" s="82" t="s">
        <v>132</v>
      </c>
      <c r="G554" s="59">
        <f>G51</f>
        <v>0.53864000000000001</v>
      </c>
      <c r="H554" s="120"/>
      <c r="I554" s="43"/>
      <c r="J554" s="43">
        <f>(J523+J539+J532+J536+J544+J542+J522)*$G$51</f>
        <v>21052.8952192</v>
      </c>
      <c r="K554" s="120"/>
      <c r="L554" s="43"/>
      <c r="M554" s="43">
        <f>(M523+M539+M532+M536+M544+M542+M522)*$G$51</f>
        <v>0</v>
      </c>
      <c r="N554" s="120"/>
      <c r="O554" s="43"/>
      <c r="P554" s="43">
        <f>(P523+P539+P532+P536+P544+P542+P522)*$G$51</f>
        <v>0</v>
      </c>
      <c r="Q554" s="120"/>
      <c r="R554" s="43"/>
      <c r="S554" s="43">
        <f>(S523+S539+S532+S536+S544+S542+S522)*$G$51</f>
        <v>0</v>
      </c>
      <c r="T554" s="43">
        <f t="shared" ref="T554" si="349">SUM(P554,M554,J554,E554,S554)</f>
        <v>23841.8252192</v>
      </c>
      <c r="U554" s="43">
        <v>0</v>
      </c>
      <c r="V554" s="43">
        <f t="shared" ref="V554" si="350">SUM(T554:U554)</f>
        <v>23841.8252192</v>
      </c>
    </row>
    <row r="555" spans="1:22" ht="25.2">
      <c r="A555" s="7" t="s">
        <v>809</v>
      </c>
      <c r="B555" s="44">
        <v>70015</v>
      </c>
      <c r="C555" s="7" t="s">
        <v>710</v>
      </c>
      <c r="D555" s="7" t="str">
        <f>D52</f>
        <v>Fringe Benefits CCN - Colombia (below $3,350 monthly)</v>
      </c>
      <c r="E555" s="83">
        <v>30752.91</v>
      </c>
      <c r="F555" s="82" t="s">
        <v>132</v>
      </c>
      <c r="G555" s="59">
        <f>G52</f>
        <v>0.44863999999999998</v>
      </c>
      <c r="H555" s="125"/>
      <c r="I555" s="83"/>
      <c r="J555" s="43">
        <f>(J524+J525+J526+J527+J528+J529+J530+J531+J533+J534+J535+J537+J538+J540+J541+J543+J545+J546+J547+J548+J549+J550)*$G$52</f>
        <v>15161.7888</v>
      </c>
      <c r="K555" s="125"/>
      <c r="L555" s="83"/>
      <c r="M555" s="43">
        <f>(M524+M525+M526+M527+M528+M529+M530+M531+M533+M534+M535+M537+M538+M540+M541+M543+M545+M546+M547+M548+M549+M550)*$G$52</f>
        <v>0</v>
      </c>
      <c r="N555" s="125"/>
      <c r="O555" s="83"/>
      <c r="P555" s="43">
        <f>(P524+P525+P526+P527+P528+P529+P530+P531+P533+P534+P535+P537+P538+P540+P541+P543+P545+P546+P547+P548+P549+P550)*$G$52</f>
        <v>0</v>
      </c>
      <c r="Q555" s="125"/>
      <c r="R555" s="83"/>
      <c r="S555" s="43">
        <f>(S524+S525+S526+S527+S528+S529+S530+S531+S533+S534+S535+S537+S538+S540+S541+S543+S545+S546+S547+S548+S549+S550)*$G$52</f>
        <v>0</v>
      </c>
      <c r="T555" s="43">
        <f t="shared" ref="T555:T557" si="351">SUM(P555,M555,J555,E555,S555)</f>
        <v>45914.698799999998</v>
      </c>
      <c r="U555" s="43">
        <v>0</v>
      </c>
      <c r="V555" s="43">
        <f t="shared" ref="V555:V557" si="352">SUM(T555:U555)</f>
        <v>45914.698799999998</v>
      </c>
    </row>
    <row r="556" spans="1:22">
      <c r="A556" s="7" t="s">
        <v>810</v>
      </c>
      <c r="B556" s="44">
        <v>50202</v>
      </c>
      <c r="C556" s="7" t="s">
        <v>709</v>
      </c>
      <c r="D556" s="7" t="str">
        <f>D54</f>
        <v>Post (Hardship) Differential for Chief of Party</v>
      </c>
      <c r="E556" s="83">
        <v>273.99</v>
      </c>
      <c r="F556" s="82" t="s">
        <v>132</v>
      </c>
      <c r="G556" s="59">
        <f>G54</f>
        <v>0.15</v>
      </c>
      <c r="H556" s="125"/>
      <c r="I556" s="83"/>
      <c r="J556" s="83">
        <f>J521*$G$312</f>
        <v>2565</v>
      </c>
      <c r="K556" s="125"/>
      <c r="L556" s="83"/>
      <c r="M556" s="83">
        <f>M521*$G$312</f>
        <v>0</v>
      </c>
      <c r="N556" s="125"/>
      <c r="O556" s="83"/>
      <c r="P556" s="83">
        <f>P521*$G$312</f>
        <v>0</v>
      </c>
      <c r="Q556" s="125"/>
      <c r="R556" s="83"/>
      <c r="S556" s="83">
        <f>S521*$G$312</f>
        <v>0</v>
      </c>
      <c r="T556" s="43">
        <f t="shared" si="351"/>
        <v>2838.99</v>
      </c>
      <c r="U556" s="43">
        <v>0</v>
      </c>
      <c r="V556" s="43">
        <f t="shared" si="352"/>
        <v>2838.99</v>
      </c>
    </row>
    <row r="557" spans="1:22">
      <c r="A557" s="7" t="s">
        <v>809</v>
      </c>
      <c r="B557" s="44">
        <v>50900</v>
      </c>
      <c r="C557" s="7" t="s">
        <v>709</v>
      </c>
      <c r="D557" s="7" t="str">
        <f>D55</f>
        <v>Fringe Benefits Package for Chief of Party</v>
      </c>
      <c r="E557" s="83">
        <v>1045.8499999999999</v>
      </c>
      <c r="F557" s="82" t="s">
        <v>132</v>
      </c>
      <c r="G557" s="59">
        <f>G55</f>
        <v>0.56469999999999998</v>
      </c>
      <c r="H557" s="125"/>
      <c r="I557" s="83"/>
      <c r="J557" s="83">
        <f>J521*$G$313</f>
        <v>9656.369999999999</v>
      </c>
      <c r="K557" s="125"/>
      <c r="L557" s="83"/>
      <c r="M557" s="83">
        <f>M521*$G$313</f>
        <v>0</v>
      </c>
      <c r="N557" s="125"/>
      <c r="O557" s="83"/>
      <c r="P557" s="83">
        <f>P521*$G$313</f>
        <v>0</v>
      </c>
      <c r="Q557" s="125"/>
      <c r="R557" s="83"/>
      <c r="S557" s="83">
        <f>S521*$G$313</f>
        <v>0</v>
      </c>
      <c r="T557" s="43">
        <f t="shared" si="351"/>
        <v>10702.22</v>
      </c>
      <c r="U557" s="43">
        <v>0</v>
      </c>
      <c r="V557" s="43">
        <f t="shared" si="352"/>
        <v>10702.22</v>
      </c>
    </row>
    <row r="558" spans="1:22">
      <c r="A558" s="40"/>
      <c r="B558" s="40"/>
      <c r="C558" s="40"/>
      <c r="D558" s="40" t="s">
        <v>377</v>
      </c>
      <c r="E558" s="47">
        <f>SUM(E554:E557)</f>
        <v>34861.679999999993</v>
      </c>
      <c r="F558" s="45"/>
      <c r="G558" s="46"/>
      <c r="H558" s="132"/>
      <c r="I558" s="47"/>
      <c r="J558" s="47">
        <f>SUM(J554:J557)</f>
        <v>48436.054019200004</v>
      </c>
      <c r="K558" s="132"/>
      <c r="L558" s="47"/>
      <c r="M558" s="47">
        <f>SUM(M554:M557)</f>
        <v>0</v>
      </c>
      <c r="N558" s="132"/>
      <c r="O558" s="47"/>
      <c r="P558" s="47">
        <f>SUM(P554:P557)</f>
        <v>0</v>
      </c>
      <c r="Q558" s="132"/>
      <c r="R558" s="47"/>
      <c r="S558" s="47">
        <f>SUM(S554:S557)</f>
        <v>0</v>
      </c>
      <c r="T558" s="47">
        <f>SUM(T554:T557)</f>
        <v>83297.734019200012</v>
      </c>
      <c r="U558" s="47">
        <f>SUM(U554:U557)</f>
        <v>0</v>
      </c>
      <c r="V558" s="47">
        <f>SUM(V554:V557)</f>
        <v>83297.734019200012</v>
      </c>
    </row>
    <row r="559" spans="1:22">
      <c r="A559" s="104"/>
      <c r="B559" s="104"/>
      <c r="C559" s="104"/>
      <c r="D559" s="104"/>
      <c r="E559" s="62"/>
      <c r="F559" s="81"/>
      <c r="G559" s="62"/>
      <c r="H559" s="133"/>
      <c r="I559" s="62"/>
      <c r="J559" s="62"/>
      <c r="K559" s="133"/>
      <c r="L559" s="62"/>
      <c r="M559" s="62"/>
      <c r="N559" s="133"/>
      <c r="O559" s="62"/>
      <c r="P559" s="62"/>
      <c r="Q559" s="133"/>
      <c r="R559" s="62"/>
      <c r="S559" s="62"/>
      <c r="T559" s="62"/>
      <c r="U559" s="62"/>
      <c r="V559" s="62"/>
    </row>
    <row r="560" spans="1:22">
      <c r="A560" s="40"/>
      <c r="B560" s="40"/>
      <c r="C560" s="40"/>
      <c r="D560" s="40" t="s">
        <v>378</v>
      </c>
      <c r="E560" s="46"/>
      <c r="F560" s="45"/>
      <c r="G560" s="46"/>
      <c r="H560" s="132"/>
      <c r="I560" s="46"/>
      <c r="J560" s="46"/>
      <c r="K560" s="132"/>
      <c r="L560" s="46"/>
      <c r="M560" s="46"/>
      <c r="N560" s="132"/>
      <c r="O560" s="46"/>
      <c r="P560" s="46"/>
      <c r="Q560" s="132"/>
      <c r="R560" s="46"/>
      <c r="S560" s="46"/>
      <c r="T560" s="46"/>
      <c r="U560" s="46"/>
      <c r="V560" s="46"/>
    </row>
    <row r="561" spans="1:23">
      <c r="A561" s="7" t="s">
        <v>811</v>
      </c>
      <c r="B561" s="44">
        <v>81000</v>
      </c>
      <c r="C561" s="7" t="s">
        <v>710</v>
      </c>
      <c r="D561" s="7" t="s">
        <v>379</v>
      </c>
      <c r="E561" s="43">
        <v>526.33000000000004</v>
      </c>
      <c r="F561" s="48" t="s">
        <v>95</v>
      </c>
      <c r="G561" s="43">
        <v>3750</v>
      </c>
      <c r="H561" s="125"/>
      <c r="I561" s="43">
        <v>2</v>
      </c>
      <c r="J561" s="83">
        <f>I561*G561</f>
        <v>7500</v>
      </c>
      <c r="K561" s="125"/>
      <c r="L561" s="43">
        <v>0</v>
      </c>
      <c r="M561" s="43">
        <f>L561*G561</f>
        <v>0</v>
      </c>
      <c r="N561" s="125"/>
      <c r="O561" s="43">
        <v>0</v>
      </c>
      <c r="P561" s="43">
        <f>O561*G561</f>
        <v>0</v>
      </c>
      <c r="Q561" s="125"/>
      <c r="R561" s="43">
        <v>0</v>
      </c>
      <c r="S561" s="43">
        <f>R561*G561</f>
        <v>0</v>
      </c>
      <c r="T561" s="43">
        <f t="shared" ref="T561" si="353">SUM(P561,M561,J561,E561,S561)</f>
        <v>8026.33</v>
      </c>
      <c r="U561" s="43">
        <v>0</v>
      </c>
      <c r="V561" s="43">
        <f t="shared" ref="V561:V562" si="354">SUM(T561:U561)</f>
        <v>8026.33</v>
      </c>
    </row>
    <row r="562" spans="1:23" ht="25.2">
      <c r="A562" s="7" t="s">
        <v>812</v>
      </c>
      <c r="B562" s="44" t="s">
        <v>770</v>
      </c>
      <c r="C562" s="7" t="s">
        <v>710</v>
      </c>
      <c r="D562" s="7" t="s">
        <v>380</v>
      </c>
      <c r="E562" s="43">
        <v>38063.69</v>
      </c>
      <c r="F562" s="48" t="s">
        <v>237</v>
      </c>
      <c r="G562" s="43">
        <v>52369</v>
      </c>
      <c r="H562" s="125"/>
      <c r="I562" s="43">
        <v>1</v>
      </c>
      <c r="J562" s="83">
        <f>I562*G562</f>
        <v>52369</v>
      </c>
      <c r="K562" s="125"/>
      <c r="L562" s="43">
        <v>0</v>
      </c>
      <c r="M562" s="43">
        <v>0</v>
      </c>
      <c r="N562" s="125"/>
      <c r="O562" s="43">
        <v>0</v>
      </c>
      <c r="P562" s="43">
        <v>0</v>
      </c>
      <c r="Q562" s="125"/>
      <c r="R562" s="43">
        <v>0</v>
      </c>
      <c r="S562" s="43">
        <v>0</v>
      </c>
      <c r="T562" s="43">
        <f>SUM(P562,M562,J562,E562,S562)</f>
        <v>90432.69</v>
      </c>
      <c r="U562" s="43">
        <v>0</v>
      </c>
      <c r="V562" s="43">
        <f t="shared" si="354"/>
        <v>90432.69</v>
      </c>
    </row>
    <row r="563" spans="1:23" ht="24.9">
      <c r="A563" s="40"/>
      <c r="B563" s="40"/>
      <c r="C563" s="40"/>
      <c r="D563" s="40" t="s">
        <v>381</v>
      </c>
      <c r="E563" s="47">
        <f>SUM(E561:E562)</f>
        <v>38590.020000000004</v>
      </c>
      <c r="F563" s="45"/>
      <c r="G563" s="47"/>
      <c r="H563" s="135"/>
      <c r="I563" s="47"/>
      <c r="J563" s="47">
        <f>SUM(J561:J562)</f>
        <v>59869</v>
      </c>
      <c r="K563" s="135"/>
      <c r="L563" s="47"/>
      <c r="M563" s="47">
        <f>SUM(M561:M562)</f>
        <v>0</v>
      </c>
      <c r="N563" s="135"/>
      <c r="O563" s="47"/>
      <c r="P563" s="47">
        <f>SUM(P561:P562)</f>
        <v>0</v>
      </c>
      <c r="Q563" s="135"/>
      <c r="R563" s="47"/>
      <c r="S563" s="47">
        <f>SUM(S561:S562)</f>
        <v>0</v>
      </c>
      <c r="T563" s="47">
        <f>SUM(T561:T562)</f>
        <v>98459.02</v>
      </c>
      <c r="U563" s="47">
        <f>SUM(U561:U562)</f>
        <v>0</v>
      </c>
      <c r="V563" s="47">
        <f>SUM(V561:V562)</f>
        <v>98459.02</v>
      </c>
      <c r="W563" s="437"/>
    </row>
    <row r="564" spans="1:23">
      <c r="A564" s="104"/>
      <c r="B564" s="104"/>
      <c r="C564" s="104"/>
      <c r="D564" s="104"/>
      <c r="E564" s="62"/>
      <c r="F564" s="81"/>
      <c r="G564" s="62"/>
      <c r="H564" s="133"/>
      <c r="I564" s="62"/>
      <c r="J564" s="62"/>
      <c r="K564" s="133"/>
      <c r="L564" s="62"/>
      <c r="M564" s="62"/>
      <c r="N564" s="133"/>
      <c r="O564" s="62"/>
      <c r="P564" s="62"/>
      <c r="Q564" s="133"/>
      <c r="R564" s="62"/>
      <c r="S564" s="62"/>
      <c r="T564" s="62"/>
      <c r="U564" s="62"/>
      <c r="V564" s="62"/>
    </row>
    <row r="565" spans="1:23">
      <c r="A565" s="40"/>
      <c r="B565" s="40"/>
      <c r="C565" s="40"/>
      <c r="D565" s="40" t="s">
        <v>382</v>
      </c>
      <c r="E565" s="46"/>
      <c r="F565" s="45"/>
      <c r="G565" s="46"/>
      <c r="H565" s="132"/>
      <c r="I565" s="46"/>
      <c r="J565" s="46"/>
      <c r="K565" s="132"/>
      <c r="L565" s="46"/>
      <c r="M565" s="46"/>
      <c r="N565" s="132"/>
      <c r="O565" s="46"/>
      <c r="P565" s="46"/>
      <c r="Q565" s="132"/>
      <c r="R565" s="46"/>
      <c r="S565" s="46"/>
      <c r="T565" s="46"/>
      <c r="U565" s="46"/>
      <c r="V565" s="46"/>
    </row>
    <row r="566" spans="1:23" ht="25.2">
      <c r="A566" s="7" t="s">
        <v>814</v>
      </c>
      <c r="B566" s="44">
        <v>87000</v>
      </c>
      <c r="C566" s="7" t="s">
        <v>710</v>
      </c>
      <c r="D566" s="7" t="s">
        <v>383</v>
      </c>
      <c r="E566" s="43">
        <v>2300</v>
      </c>
      <c r="F566" s="7" t="s">
        <v>146</v>
      </c>
      <c r="G566" s="43">
        <v>400</v>
      </c>
      <c r="H566" s="125"/>
      <c r="I566" s="43">
        <v>2</v>
      </c>
      <c r="J566" s="43">
        <f>G566*I566</f>
        <v>800</v>
      </c>
      <c r="K566" s="125"/>
      <c r="L566" s="43">
        <v>0</v>
      </c>
      <c r="M566" s="43">
        <f>G566*L566</f>
        <v>0</v>
      </c>
      <c r="N566" s="125"/>
      <c r="O566" s="43">
        <v>0</v>
      </c>
      <c r="P566" s="43">
        <f>G566*O566</f>
        <v>0</v>
      </c>
      <c r="Q566" s="125"/>
      <c r="R566" s="43">
        <v>0</v>
      </c>
      <c r="S566" s="43">
        <f>G566*R566</f>
        <v>0</v>
      </c>
      <c r="T566" s="43">
        <f t="shared" ref="T566:T568" si="355">SUM(P566,M566,J566,E566,S566)</f>
        <v>3100</v>
      </c>
      <c r="U566" s="43">
        <v>0</v>
      </c>
      <c r="V566" s="43">
        <f t="shared" ref="V566:V568" si="356">SUM(T566:U566)</f>
        <v>3100</v>
      </c>
    </row>
    <row r="567" spans="1:23" ht="25.2">
      <c r="A567" s="7" t="s">
        <v>814</v>
      </c>
      <c r="B567" s="44">
        <v>87000</v>
      </c>
      <c r="C567" s="7" t="s">
        <v>710</v>
      </c>
      <c r="D567" s="7" t="s">
        <v>384</v>
      </c>
      <c r="E567" s="43">
        <v>2300</v>
      </c>
      <c r="F567" s="7" t="s">
        <v>146</v>
      </c>
      <c r="G567" s="43">
        <v>400</v>
      </c>
      <c r="H567" s="125"/>
      <c r="I567" s="43">
        <f>2*2</f>
        <v>4</v>
      </c>
      <c r="J567" s="43">
        <f>G567*I567</f>
        <v>1600</v>
      </c>
      <c r="K567" s="125"/>
      <c r="L567" s="43">
        <v>0</v>
      </c>
      <c r="M567" s="43">
        <f>G567*L567</f>
        <v>0</v>
      </c>
      <c r="N567" s="125"/>
      <c r="O567" s="43">
        <v>0</v>
      </c>
      <c r="P567" s="43">
        <f>G567*O567</f>
        <v>0</v>
      </c>
      <c r="Q567" s="125"/>
      <c r="R567" s="43">
        <v>0</v>
      </c>
      <c r="S567" s="43">
        <f>G567*R567</f>
        <v>0</v>
      </c>
      <c r="T567" s="43">
        <f t="shared" si="355"/>
        <v>3900</v>
      </c>
      <c r="U567" s="43">
        <v>0</v>
      </c>
      <c r="V567" s="43">
        <f t="shared" si="356"/>
        <v>3900</v>
      </c>
    </row>
    <row r="568" spans="1:23">
      <c r="A568" s="7" t="s">
        <v>813</v>
      </c>
      <c r="B568" s="44">
        <v>90450</v>
      </c>
      <c r="C568" s="7" t="s">
        <v>710</v>
      </c>
      <c r="D568" s="7" t="s">
        <v>385</v>
      </c>
      <c r="E568" s="43">
        <v>3000</v>
      </c>
      <c r="F568" s="7" t="s">
        <v>163</v>
      </c>
      <c r="G568" s="43">
        <v>500</v>
      </c>
      <c r="H568" s="125"/>
      <c r="I568" s="43">
        <v>2</v>
      </c>
      <c r="J568" s="43">
        <f>G568*I568</f>
        <v>1000</v>
      </c>
      <c r="K568" s="125"/>
      <c r="L568" s="43">
        <v>0</v>
      </c>
      <c r="M568" s="43">
        <f>G568*L568</f>
        <v>0</v>
      </c>
      <c r="N568" s="125"/>
      <c r="O568" s="43">
        <v>0</v>
      </c>
      <c r="P568" s="43">
        <f>G568*O568</f>
        <v>0</v>
      </c>
      <c r="Q568" s="125"/>
      <c r="R568" s="43">
        <v>0</v>
      </c>
      <c r="S568" s="43">
        <f>G568*R568</f>
        <v>0</v>
      </c>
      <c r="T568" s="43">
        <f t="shared" si="355"/>
        <v>4000</v>
      </c>
      <c r="U568" s="43">
        <v>0</v>
      </c>
      <c r="V568" s="43">
        <f t="shared" si="356"/>
        <v>4000</v>
      </c>
    </row>
    <row r="569" spans="1:23">
      <c r="A569" s="40"/>
      <c r="B569" s="40"/>
      <c r="C569" s="40"/>
      <c r="D569" s="40" t="s">
        <v>386</v>
      </c>
      <c r="E569" s="47">
        <f>SUM(E566:E568)</f>
        <v>7600</v>
      </c>
      <c r="F569" s="45"/>
      <c r="G569" s="47"/>
      <c r="H569" s="135"/>
      <c r="I569" s="47"/>
      <c r="J569" s="47">
        <f>SUM(J566:J568)</f>
        <v>3400</v>
      </c>
      <c r="K569" s="135"/>
      <c r="L569" s="47"/>
      <c r="M569" s="47">
        <f>SUM(M566:M568)</f>
        <v>0</v>
      </c>
      <c r="N569" s="135"/>
      <c r="O569" s="47"/>
      <c r="P569" s="47">
        <f>SUM(P566:P568)</f>
        <v>0</v>
      </c>
      <c r="Q569" s="135"/>
      <c r="R569" s="47"/>
      <c r="S569" s="47">
        <f>SUM(S566:S568)</f>
        <v>0</v>
      </c>
      <c r="T569" s="47">
        <f>SUM(T566:T568)</f>
        <v>11000</v>
      </c>
      <c r="U569" s="47">
        <f>SUM(U566:U568)</f>
        <v>0</v>
      </c>
      <c r="V569" s="47">
        <f>SUM(V566:V568)</f>
        <v>11000</v>
      </c>
    </row>
    <row r="570" spans="1:23">
      <c r="A570" s="104"/>
      <c r="B570" s="104"/>
      <c r="C570" s="104"/>
      <c r="D570" s="104"/>
      <c r="E570" s="62"/>
      <c r="F570" s="81"/>
      <c r="G570" s="62"/>
      <c r="H570" s="133"/>
      <c r="I570" s="62"/>
      <c r="J570" s="62"/>
      <c r="K570" s="133"/>
      <c r="L570" s="62"/>
      <c r="M570" s="62"/>
      <c r="N570" s="133"/>
      <c r="O570" s="62"/>
      <c r="P570" s="62"/>
      <c r="Q570" s="133"/>
      <c r="R570" s="62"/>
      <c r="S570" s="62"/>
      <c r="T570" s="62"/>
      <c r="U570" s="62"/>
      <c r="V570" s="62"/>
    </row>
    <row r="571" spans="1:23">
      <c r="A571" s="40"/>
      <c r="B571" s="40"/>
      <c r="C571" s="40"/>
      <c r="D571" s="40" t="s">
        <v>387</v>
      </c>
      <c r="E571" s="46"/>
      <c r="F571" s="45"/>
      <c r="G571" s="46"/>
      <c r="H571" s="132"/>
      <c r="I571" s="46"/>
      <c r="J571" s="46"/>
      <c r="K571" s="132"/>
      <c r="L571" s="46"/>
      <c r="M571" s="46"/>
      <c r="N571" s="132"/>
      <c r="O571" s="46"/>
      <c r="P571" s="46"/>
      <c r="Q571" s="132"/>
      <c r="R571" s="46"/>
      <c r="S571" s="46"/>
      <c r="T571" s="46"/>
      <c r="U571" s="46"/>
      <c r="V571" s="46"/>
    </row>
    <row r="572" spans="1:23" ht="25.2">
      <c r="A572" s="91"/>
      <c r="B572" s="91"/>
      <c r="C572" s="91"/>
      <c r="D572" s="91" t="s">
        <v>388</v>
      </c>
      <c r="E572" s="94"/>
      <c r="F572" s="93"/>
      <c r="G572" s="94"/>
      <c r="H572" s="127"/>
      <c r="I572" s="94"/>
      <c r="J572" s="94"/>
      <c r="K572" s="127"/>
      <c r="L572" s="94"/>
      <c r="M572" s="94"/>
      <c r="N572" s="127"/>
      <c r="O572" s="94"/>
      <c r="P572" s="94"/>
      <c r="Q572" s="127"/>
      <c r="R572" s="94"/>
      <c r="S572" s="94"/>
      <c r="T572" s="80"/>
      <c r="U572" s="80"/>
      <c r="V572" s="94"/>
    </row>
    <row r="573" spans="1:23" ht="25.2" hidden="1">
      <c r="D573" s="7" t="s">
        <v>389</v>
      </c>
      <c r="E573" s="43">
        <v>0</v>
      </c>
      <c r="F573" s="7" t="s">
        <v>144</v>
      </c>
      <c r="G573" s="43">
        <v>100</v>
      </c>
      <c r="H573" s="128"/>
      <c r="I573" s="43">
        <v>0</v>
      </c>
      <c r="J573" s="43">
        <f>G573*I573</f>
        <v>0</v>
      </c>
      <c r="K573" s="128"/>
      <c r="L573" s="43">
        <v>0</v>
      </c>
      <c r="M573" s="43">
        <f>G573*L573*$E$7</f>
        <v>0</v>
      </c>
      <c r="N573" s="128"/>
      <c r="O573" s="43">
        <v>0</v>
      </c>
      <c r="P573" s="43">
        <f>G573*O573*$E$7*$E$7</f>
        <v>0</v>
      </c>
      <c r="Q573" s="128"/>
      <c r="R573" s="43">
        <v>0</v>
      </c>
      <c r="S573" s="43">
        <f>G573*R573*$E$7*$E$7*$E$7</f>
        <v>0</v>
      </c>
      <c r="T573" s="43">
        <f t="shared" ref="T573:T574" si="357">SUM(P573,M573,J573,E573,S573)</f>
        <v>0</v>
      </c>
      <c r="U573" s="43">
        <v>0</v>
      </c>
      <c r="V573" s="43">
        <f t="shared" ref="V573:V574" si="358">SUM(T573:U573)</f>
        <v>0</v>
      </c>
    </row>
    <row r="574" spans="1:23" ht="25.2">
      <c r="A574" s="7" t="s">
        <v>817</v>
      </c>
      <c r="B574" s="44" t="s">
        <v>718</v>
      </c>
      <c r="C574" s="7" t="s">
        <v>710</v>
      </c>
      <c r="D574" s="7" t="s">
        <v>390</v>
      </c>
      <c r="E574" s="43">
        <v>3864.88</v>
      </c>
      <c r="F574" s="7" t="s">
        <v>146</v>
      </c>
      <c r="G574" s="43">
        <v>100</v>
      </c>
      <c r="H574" s="128"/>
      <c r="I574" s="43">
        <f>4*I573</f>
        <v>0</v>
      </c>
      <c r="J574" s="43">
        <f>G574*I574</f>
        <v>0</v>
      </c>
      <c r="K574" s="128"/>
      <c r="L574" s="43">
        <f>4*L573</f>
        <v>0</v>
      </c>
      <c r="M574" s="43">
        <f>G574*L574*$E$7</f>
        <v>0</v>
      </c>
      <c r="N574" s="128"/>
      <c r="O574" s="43">
        <f>7*O573</f>
        <v>0</v>
      </c>
      <c r="P574" s="43">
        <f>G574*O574*$E$7*$E$7</f>
        <v>0</v>
      </c>
      <c r="Q574" s="128"/>
      <c r="R574" s="43">
        <f>4*R573</f>
        <v>0</v>
      </c>
      <c r="S574" s="43">
        <f>G574*R574*$E$7*$E$7*$E$7</f>
        <v>0</v>
      </c>
      <c r="T574" s="43">
        <f t="shared" si="357"/>
        <v>3864.88</v>
      </c>
      <c r="U574" s="43">
        <v>0</v>
      </c>
      <c r="V574" s="43">
        <f t="shared" si="358"/>
        <v>3864.88</v>
      </c>
    </row>
    <row r="575" spans="1:23" ht="25.2" hidden="1">
      <c r="A575" s="91"/>
      <c r="B575" s="91"/>
      <c r="C575" s="91"/>
      <c r="D575" s="91" t="s">
        <v>391</v>
      </c>
      <c r="E575" s="94"/>
      <c r="F575" s="93"/>
      <c r="G575" s="94"/>
      <c r="H575" s="127"/>
      <c r="I575" s="94"/>
      <c r="J575" s="94"/>
      <c r="K575" s="127"/>
      <c r="L575" s="94"/>
      <c r="M575" s="94"/>
      <c r="N575" s="127"/>
      <c r="O575" s="94"/>
      <c r="P575" s="94"/>
      <c r="Q575" s="127"/>
      <c r="R575" s="94"/>
      <c r="S575" s="94"/>
      <c r="T575" s="80"/>
      <c r="U575" s="80"/>
      <c r="V575" s="94"/>
    </row>
    <row r="576" spans="1:23" ht="25.2" hidden="1">
      <c r="D576" s="7" t="s">
        <v>392</v>
      </c>
      <c r="E576" s="43">
        <v>0</v>
      </c>
      <c r="F576" s="7" t="s">
        <v>144</v>
      </c>
      <c r="G576" s="43">
        <v>100</v>
      </c>
      <c r="H576" s="128"/>
      <c r="I576" s="43">
        <v>0</v>
      </c>
      <c r="J576" s="43">
        <f>G576*I576</f>
        <v>0</v>
      </c>
      <c r="K576" s="128"/>
      <c r="L576" s="43">
        <v>0</v>
      </c>
      <c r="M576" s="43">
        <f>G576*L576*$E$7</f>
        <v>0</v>
      </c>
      <c r="N576" s="128"/>
      <c r="O576" s="43">
        <v>0</v>
      </c>
      <c r="P576" s="43">
        <f>G576*O576*$E$7*$E$7</f>
        <v>0</v>
      </c>
      <c r="Q576" s="128"/>
      <c r="R576" s="43">
        <v>0</v>
      </c>
      <c r="S576" s="43">
        <f>G576*R576*$E$7*$E$7*$E$7</f>
        <v>0</v>
      </c>
      <c r="T576" s="43">
        <f t="shared" ref="T576:T577" si="359">SUM(P576,M576,J576,E576,S576)</f>
        <v>0</v>
      </c>
      <c r="U576" s="43">
        <v>0</v>
      </c>
      <c r="V576" s="43">
        <f t="shared" ref="V576:V577" si="360">SUM(T576:U576)</f>
        <v>0</v>
      </c>
    </row>
    <row r="577" spans="1:22" ht="25.2" hidden="1">
      <c r="D577" s="7" t="s">
        <v>393</v>
      </c>
      <c r="E577" s="43">
        <v>0</v>
      </c>
      <c r="F577" s="7" t="s">
        <v>146</v>
      </c>
      <c r="G577" s="43">
        <v>100</v>
      </c>
      <c r="H577" s="128"/>
      <c r="I577" s="43">
        <f>7*I576</f>
        <v>0</v>
      </c>
      <c r="J577" s="43">
        <f>G577*I577</f>
        <v>0</v>
      </c>
      <c r="K577" s="128"/>
      <c r="L577" s="43">
        <f>7*L576</f>
        <v>0</v>
      </c>
      <c r="M577" s="43">
        <f>G577*L577*$E$7</f>
        <v>0</v>
      </c>
      <c r="N577" s="128"/>
      <c r="O577" s="43">
        <f>3*O576</f>
        <v>0</v>
      </c>
      <c r="P577" s="43">
        <f>G577*O577*$E$7*$E$7</f>
        <v>0</v>
      </c>
      <c r="Q577" s="128"/>
      <c r="R577" s="43">
        <f>3*R576</f>
        <v>0</v>
      </c>
      <c r="S577" s="43">
        <f>G577*R577*$E$7*$E$7*$E$7</f>
        <v>0</v>
      </c>
      <c r="T577" s="43">
        <f t="shared" si="359"/>
        <v>0</v>
      </c>
      <c r="U577" s="43">
        <v>0</v>
      </c>
      <c r="V577" s="43">
        <f t="shared" si="360"/>
        <v>0</v>
      </c>
    </row>
    <row r="578" spans="1:22" ht="25.2">
      <c r="A578" s="91"/>
      <c r="B578" s="91"/>
      <c r="C578" s="91"/>
      <c r="D578" s="91" t="s">
        <v>394</v>
      </c>
      <c r="E578" s="94"/>
      <c r="F578" s="93"/>
      <c r="G578" s="94"/>
      <c r="H578" s="127"/>
      <c r="I578" s="94"/>
      <c r="J578" s="94"/>
      <c r="K578" s="127"/>
      <c r="L578" s="94"/>
      <c r="M578" s="94"/>
      <c r="N578" s="127"/>
      <c r="O578" s="94"/>
      <c r="P578" s="94"/>
      <c r="Q578" s="127"/>
      <c r="R578" s="94"/>
      <c r="S578" s="94"/>
      <c r="T578" s="80"/>
      <c r="U578" s="80"/>
      <c r="V578" s="94"/>
    </row>
    <row r="579" spans="1:22" ht="25.2">
      <c r="A579" s="7" t="s">
        <v>818</v>
      </c>
      <c r="B579" s="44">
        <v>86040</v>
      </c>
      <c r="C579" s="7" t="s">
        <v>710</v>
      </c>
      <c r="D579" s="7" t="s">
        <v>395</v>
      </c>
      <c r="E579" s="43">
        <v>19061.169999999998</v>
      </c>
      <c r="F579" s="7" t="s">
        <v>144</v>
      </c>
      <c r="G579" s="43">
        <v>2000</v>
      </c>
      <c r="H579" s="125"/>
      <c r="I579" s="43">
        <v>11</v>
      </c>
      <c r="J579" s="43">
        <f>G579*I579</f>
        <v>22000</v>
      </c>
      <c r="K579" s="128"/>
      <c r="L579" s="43">
        <v>0</v>
      </c>
      <c r="M579" s="43">
        <f>G579*L579*$E$7</f>
        <v>0</v>
      </c>
      <c r="N579" s="128"/>
      <c r="O579" s="43">
        <v>0</v>
      </c>
      <c r="P579" s="43">
        <f>G579*O579*$E$7*$E$7</f>
        <v>0</v>
      </c>
      <c r="Q579" s="128"/>
      <c r="R579" s="43">
        <v>0</v>
      </c>
      <c r="S579" s="43">
        <f>G579*R579*$E$7*$E$7*$E$7</f>
        <v>0</v>
      </c>
      <c r="T579" s="43">
        <f t="shared" ref="T579:T582" si="361">SUM(P579,M579,J579,E579,S579)</f>
        <v>41061.17</v>
      </c>
      <c r="U579" s="43">
        <v>0</v>
      </c>
      <c r="V579" s="43">
        <f t="shared" ref="V579:V582" si="362">SUM(T579:U579)</f>
        <v>41061.17</v>
      </c>
    </row>
    <row r="580" spans="1:22" ht="25.2">
      <c r="A580" s="7" t="s">
        <v>818</v>
      </c>
      <c r="B580" s="44" t="s">
        <v>718</v>
      </c>
      <c r="C580" s="7" t="s">
        <v>710</v>
      </c>
      <c r="D580" s="7" t="s">
        <v>396</v>
      </c>
      <c r="E580" s="43">
        <v>19247.39</v>
      </c>
      <c r="F580" s="7" t="s">
        <v>146</v>
      </c>
      <c r="G580" s="43">
        <v>100</v>
      </c>
      <c r="H580" s="125"/>
      <c r="I580" s="43">
        <f>I579*14</f>
        <v>154</v>
      </c>
      <c r="J580" s="43">
        <f>G580*I580</f>
        <v>15400</v>
      </c>
      <c r="K580" s="128"/>
      <c r="L580" s="43">
        <f>L579*14</f>
        <v>0</v>
      </c>
      <c r="M580" s="43">
        <f>G580*L580*$E$7</f>
        <v>0</v>
      </c>
      <c r="N580" s="128"/>
      <c r="O580" s="43">
        <f>O579*14</f>
        <v>0</v>
      </c>
      <c r="P580" s="43">
        <f>G580*O580*$E$7*$E$7</f>
        <v>0</v>
      </c>
      <c r="Q580" s="128"/>
      <c r="R580" s="43">
        <v>0</v>
      </c>
      <c r="S580" s="43">
        <f>G580*R580*$E$7*$E$7*$E$7</f>
        <v>0</v>
      </c>
      <c r="T580" s="43">
        <f t="shared" si="361"/>
        <v>34647.39</v>
      </c>
      <c r="U580" s="43">
        <v>0</v>
      </c>
      <c r="V580" s="43">
        <f t="shared" si="362"/>
        <v>34647.39</v>
      </c>
    </row>
    <row r="581" spans="1:22" ht="25.2">
      <c r="A581" s="7" t="s">
        <v>818</v>
      </c>
      <c r="B581" s="44">
        <v>86000</v>
      </c>
      <c r="C581" s="7" t="s">
        <v>710</v>
      </c>
      <c r="D581" s="7" t="s">
        <v>397</v>
      </c>
      <c r="E581" s="43">
        <v>4511.6899999999996</v>
      </c>
      <c r="F581" s="7" t="s">
        <v>146</v>
      </c>
      <c r="G581" s="43">
        <v>25</v>
      </c>
      <c r="H581" s="125"/>
      <c r="I581" s="43">
        <f>I579*14</f>
        <v>154</v>
      </c>
      <c r="J581" s="43">
        <f>G581*I581</f>
        <v>3850</v>
      </c>
      <c r="K581" s="128"/>
      <c r="L581" s="43">
        <f>L579*14</f>
        <v>0</v>
      </c>
      <c r="M581" s="43">
        <f>G581*L581*$E$7</f>
        <v>0</v>
      </c>
      <c r="N581" s="128"/>
      <c r="O581" s="43">
        <f>O579*14</f>
        <v>0</v>
      </c>
      <c r="P581" s="43">
        <f>G581*O581*$E$7*$E$7</f>
        <v>0</v>
      </c>
      <c r="Q581" s="128"/>
      <c r="R581" s="43">
        <v>0</v>
      </c>
      <c r="S581" s="43">
        <f>G581*R581*$E$7*$E$7*$E$7</f>
        <v>0</v>
      </c>
      <c r="T581" s="43">
        <f t="shared" si="361"/>
        <v>8361.6899999999987</v>
      </c>
      <c r="U581" s="43">
        <v>0</v>
      </c>
      <c r="V581" s="43">
        <f t="shared" si="362"/>
        <v>8361.6899999999987</v>
      </c>
    </row>
    <row r="582" spans="1:22" ht="25.2">
      <c r="A582" s="7" t="s">
        <v>818</v>
      </c>
      <c r="B582" s="44">
        <v>86050</v>
      </c>
      <c r="C582" s="7" t="s">
        <v>710</v>
      </c>
      <c r="D582" s="7" t="s">
        <v>398</v>
      </c>
      <c r="E582" s="43">
        <v>919.07</v>
      </c>
      <c r="F582" s="7" t="s">
        <v>144</v>
      </c>
      <c r="G582" s="43">
        <v>25</v>
      </c>
      <c r="H582" s="125"/>
      <c r="I582" s="43">
        <f>I579</f>
        <v>11</v>
      </c>
      <c r="J582" s="43">
        <f>G582*I582</f>
        <v>275</v>
      </c>
      <c r="K582" s="128"/>
      <c r="L582" s="43">
        <f>L579</f>
        <v>0</v>
      </c>
      <c r="M582" s="43">
        <f>G582*L582*$E$7</f>
        <v>0</v>
      </c>
      <c r="N582" s="128"/>
      <c r="O582" s="43">
        <f>O579</f>
        <v>0</v>
      </c>
      <c r="P582" s="43">
        <f>G582*O582*$E$7*$E$7</f>
        <v>0</v>
      </c>
      <c r="Q582" s="128"/>
      <c r="R582" s="43">
        <f>R579</f>
        <v>0</v>
      </c>
      <c r="S582" s="43">
        <f>G582*R582*$E$7*$E$7*$E$7</f>
        <v>0</v>
      </c>
      <c r="T582" s="43">
        <f t="shared" si="361"/>
        <v>1194.0700000000002</v>
      </c>
      <c r="U582" s="43">
        <v>0</v>
      </c>
      <c r="V582" s="43">
        <f t="shared" si="362"/>
        <v>1194.0700000000002</v>
      </c>
    </row>
    <row r="583" spans="1:22">
      <c r="A583" s="40"/>
      <c r="B583" s="40"/>
      <c r="C583" s="40"/>
      <c r="D583" s="40" t="s">
        <v>399</v>
      </c>
      <c r="E583" s="47">
        <f>SUM(E572:E582)</f>
        <v>47604.200000000004</v>
      </c>
      <c r="F583" s="45"/>
      <c r="G583" s="47"/>
      <c r="H583" s="132"/>
      <c r="I583" s="47"/>
      <c r="J583" s="47">
        <f>SUM(J572:J582)</f>
        <v>41525</v>
      </c>
      <c r="K583" s="132"/>
      <c r="L583" s="47"/>
      <c r="M583" s="47">
        <f>SUM(M572:M582)</f>
        <v>0</v>
      </c>
      <c r="N583" s="132"/>
      <c r="O583" s="47"/>
      <c r="P583" s="47">
        <f>SUM(P572:P582)</f>
        <v>0</v>
      </c>
      <c r="Q583" s="132"/>
      <c r="R583" s="47"/>
      <c r="S583" s="47">
        <f>SUM(S572:S582)</f>
        <v>0</v>
      </c>
      <c r="T583" s="47">
        <f>SUM(T572:T582)</f>
        <v>89129.200000000012</v>
      </c>
      <c r="U583" s="47">
        <f>SUM(U572:U582)</f>
        <v>0</v>
      </c>
      <c r="V583" s="47">
        <f>SUM(V572:V582)</f>
        <v>89129.200000000012</v>
      </c>
    </row>
    <row r="584" spans="1:22">
      <c r="A584" s="104"/>
      <c r="B584" s="104"/>
      <c r="C584" s="104"/>
      <c r="D584" s="104"/>
      <c r="E584" s="62"/>
      <c r="F584" s="81"/>
      <c r="G584" s="62"/>
      <c r="H584" s="133"/>
      <c r="I584" s="62"/>
      <c r="J584" s="62"/>
      <c r="K584" s="133"/>
      <c r="L584" s="62"/>
      <c r="M584" s="62"/>
      <c r="N584" s="133"/>
      <c r="O584" s="62"/>
      <c r="P584" s="62"/>
      <c r="Q584" s="133"/>
      <c r="R584" s="62"/>
      <c r="S584" s="62"/>
      <c r="T584" s="62"/>
      <c r="U584" s="62"/>
      <c r="V584" s="62"/>
    </row>
    <row r="585" spans="1:22">
      <c r="A585" s="40"/>
      <c r="B585" s="40"/>
      <c r="C585" s="40"/>
      <c r="D585" s="40" t="s">
        <v>400</v>
      </c>
      <c r="E585" s="46"/>
      <c r="F585" s="45"/>
      <c r="G585" s="46"/>
      <c r="H585" s="132"/>
      <c r="I585" s="46"/>
      <c r="J585" s="46"/>
      <c r="K585" s="132"/>
      <c r="L585" s="46"/>
      <c r="M585" s="46"/>
      <c r="N585" s="132"/>
      <c r="O585" s="46"/>
      <c r="P585" s="46"/>
      <c r="Q585" s="132"/>
      <c r="R585" s="46"/>
      <c r="S585" s="46"/>
      <c r="T585" s="46"/>
      <c r="U585" s="46"/>
      <c r="V585" s="46"/>
    </row>
    <row r="586" spans="1:22">
      <c r="A586" s="91"/>
      <c r="B586" s="91"/>
      <c r="C586" s="91"/>
      <c r="D586" s="91" t="s">
        <v>249</v>
      </c>
      <c r="E586" s="94"/>
      <c r="F586" s="93"/>
      <c r="G586" s="94"/>
      <c r="H586" s="127"/>
      <c r="I586" s="94"/>
      <c r="J586" s="94"/>
      <c r="K586" s="127"/>
      <c r="L586" s="94"/>
      <c r="M586" s="94"/>
      <c r="N586" s="127"/>
      <c r="O586" s="94"/>
      <c r="P586" s="94"/>
      <c r="Q586" s="127"/>
      <c r="R586" s="94"/>
      <c r="S586" s="94"/>
      <c r="T586" s="80"/>
      <c r="U586" s="80"/>
      <c r="V586" s="94"/>
    </row>
    <row r="587" spans="1:22" ht="25.2">
      <c r="A587" s="7" t="s">
        <v>815</v>
      </c>
      <c r="B587" s="44">
        <v>89000</v>
      </c>
      <c r="C587" s="7" t="s">
        <v>710</v>
      </c>
      <c r="D587" s="7" t="s">
        <v>401</v>
      </c>
      <c r="E587" s="43">
        <v>19300</v>
      </c>
      <c r="F587" s="7" t="s">
        <v>251</v>
      </c>
      <c r="G587" s="43">
        <v>10000</v>
      </c>
      <c r="H587" s="125"/>
      <c r="I587" s="43">
        <v>1</v>
      </c>
      <c r="J587" s="43">
        <f>131412.59+50000</f>
        <v>181412.59</v>
      </c>
      <c r="K587" s="125"/>
      <c r="L587" s="43">
        <v>0</v>
      </c>
      <c r="M587" s="43">
        <f>G587*L587</f>
        <v>0</v>
      </c>
      <c r="N587" s="125"/>
      <c r="O587" s="43">
        <v>0</v>
      </c>
      <c r="P587" s="43">
        <f>G587*O587</f>
        <v>0</v>
      </c>
      <c r="Q587" s="125"/>
      <c r="R587" s="43">
        <v>0</v>
      </c>
      <c r="S587" s="43">
        <f>G587*R587</f>
        <v>0</v>
      </c>
      <c r="T587" s="43">
        <f>SUM(P587,M587,J587,E587,S587)</f>
        <v>200712.59</v>
      </c>
      <c r="U587" s="43">
        <v>0</v>
      </c>
      <c r="V587" s="43">
        <f t="shared" ref="V587:V588" si="363">SUM(T587:U587)</f>
        <v>200712.59</v>
      </c>
    </row>
    <row r="588" spans="1:22" ht="12" customHeight="1">
      <c r="A588" s="7" t="s">
        <v>816</v>
      </c>
      <c r="B588" s="44">
        <v>89000</v>
      </c>
      <c r="C588" s="7" t="s">
        <v>710</v>
      </c>
      <c r="D588" s="7" t="s">
        <v>402</v>
      </c>
      <c r="E588" s="43">
        <v>38000</v>
      </c>
      <c r="F588" s="7" t="s">
        <v>251</v>
      </c>
      <c r="G588" s="43">
        <v>30000</v>
      </c>
      <c r="H588" s="125"/>
      <c r="I588" s="43">
        <v>4</v>
      </c>
      <c r="J588" s="43">
        <f>G588*I588</f>
        <v>120000</v>
      </c>
      <c r="K588" s="125"/>
      <c r="L588" s="43">
        <v>0</v>
      </c>
      <c r="M588" s="43">
        <f>G588*L588</f>
        <v>0</v>
      </c>
      <c r="N588" s="125"/>
      <c r="O588" s="43">
        <v>0</v>
      </c>
      <c r="P588" s="43">
        <f>G588*O588</f>
        <v>0</v>
      </c>
      <c r="Q588" s="125"/>
      <c r="R588" s="43">
        <v>0</v>
      </c>
      <c r="S588" s="43">
        <f>G588*R588</f>
        <v>0</v>
      </c>
      <c r="T588" s="43">
        <f t="shared" ref="T588" si="364">SUM(P588,M588,J588,E588,S588)</f>
        <v>158000</v>
      </c>
      <c r="U588" s="43">
        <v>0</v>
      </c>
      <c r="V588" s="43">
        <f t="shared" si="363"/>
        <v>158000</v>
      </c>
    </row>
    <row r="589" spans="1:22">
      <c r="A589" s="40"/>
      <c r="B589" s="40"/>
      <c r="C589" s="40"/>
      <c r="D589" s="40" t="s">
        <v>403</v>
      </c>
      <c r="E589" s="47">
        <f>SUM(E586:E588)</f>
        <v>57300</v>
      </c>
      <c r="F589" s="45"/>
      <c r="G589" s="47"/>
      <c r="H589" s="135"/>
      <c r="I589" s="47"/>
      <c r="J589" s="47">
        <f>SUM(J586:J588)</f>
        <v>301412.58999999997</v>
      </c>
      <c r="K589" s="135"/>
      <c r="L589" s="47"/>
      <c r="M589" s="47">
        <f>SUM(M586:M588)</f>
        <v>0</v>
      </c>
      <c r="N589" s="135"/>
      <c r="O589" s="47"/>
      <c r="P589" s="47">
        <f>SUM(P586:P588)</f>
        <v>0</v>
      </c>
      <c r="Q589" s="135"/>
      <c r="R589" s="47"/>
      <c r="S589" s="47">
        <f>SUM(S586:S588)</f>
        <v>0</v>
      </c>
      <c r="T589" s="47">
        <f>SUM(T586:T588)</f>
        <v>358712.58999999997</v>
      </c>
      <c r="U589" s="47">
        <f>SUM(U586:U588)</f>
        <v>0</v>
      </c>
      <c r="V589" s="47">
        <f>SUM(V586:V588)</f>
        <v>358712.58999999997</v>
      </c>
    </row>
    <row r="590" spans="1:22" hidden="1">
      <c r="A590" s="44"/>
      <c r="C590" s="44"/>
      <c r="D590" s="44"/>
      <c r="E590" s="43"/>
      <c r="F590" s="48"/>
      <c r="G590" s="43"/>
      <c r="H590" s="125"/>
      <c r="I590" s="43"/>
      <c r="J590" s="43"/>
      <c r="K590" s="125"/>
      <c r="L590" s="43"/>
      <c r="M590" s="43"/>
      <c r="N590" s="125"/>
      <c r="O590" s="43"/>
      <c r="P590" s="43"/>
      <c r="Q590" s="125"/>
      <c r="R590" s="43"/>
      <c r="S590" s="43"/>
      <c r="T590" s="43"/>
      <c r="U590" s="43"/>
      <c r="V590" s="52"/>
    </row>
    <row r="591" spans="1:22" hidden="1">
      <c r="A591" s="40"/>
      <c r="B591" s="40"/>
      <c r="C591" s="40"/>
      <c r="D591" s="40" t="s">
        <v>404</v>
      </c>
      <c r="E591" s="46"/>
      <c r="F591" s="45"/>
      <c r="G591" s="46"/>
      <c r="H591" s="132"/>
      <c r="I591" s="46"/>
      <c r="J591" s="46"/>
      <c r="K591" s="132"/>
      <c r="L591" s="46"/>
      <c r="M591" s="46"/>
      <c r="N591" s="132"/>
      <c r="O591" s="46"/>
      <c r="P591" s="46"/>
      <c r="Q591" s="132"/>
      <c r="R591" s="46"/>
      <c r="S591" s="46"/>
      <c r="T591" s="46"/>
      <c r="U591" s="46"/>
      <c r="V591" s="46"/>
    </row>
    <row r="592" spans="1:22" ht="25.2" hidden="1">
      <c r="D592" s="7" t="s">
        <v>405</v>
      </c>
      <c r="E592" s="43">
        <v>0</v>
      </c>
      <c r="F592" s="48" t="s">
        <v>226</v>
      </c>
      <c r="G592" s="43">
        <f>((4300*12)/2080)</f>
        <v>24.807692307692307</v>
      </c>
      <c r="H592" s="125"/>
      <c r="I592" s="43">
        <v>0</v>
      </c>
      <c r="J592" s="43">
        <v>0</v>
      </c>
      <c r="K592" s="125"/>
      <c r="L592" s="43">
        <v>0</v>
      </c>
      <c r="M592" s="43">
        <v>0</v>
      </c>
      <c r="N592" s="125"/>
      <c r="O592" s="43">
        <v>0</v>
      </c>
      <c r="P592" s="43">
        <v>0</v>
      </c>
      <c r="Q592" s="125"/>
      <c r="R592" s="43">
        <v>0</v>
      </c>
      <c r="S592" s="43">
        <v>0</v>
      </c>
      <c r="T592" s="43">
        <f t="shared" ref="T592:T593" si="365">SUM(P592,M592,J592,E592,S592)</f>
        <v>0</v>
      </c>
      <c r="U592" s="43">
        <f t="shared" ref="U592:U593" si="366">(O592*G592)+(L592*G592)+(I592*G592)+(R592*G592)+E592</f>
        <v>0</v>
      </c>
      <c r="V592" s="43">
        <f t="shared" ref="V592:V593" si="367">SUM(T592:U592)</f>
        <v>0</v>
      </c>
    </row>
    <row r="593" spans="1:22" ht="25.2" hidden="1">
      <c r="D593" s="7" t="s">
        <v>406</v>
      </c>
      <c r="E593" s="43">
        <v>0</v>
      </c>
      <c r="F593" s="48" t="s">
        <v>251</v>
      </c>
      <c r="G593" s="43">
        <v>10000</v>
      </c>
      <c r="H593" s="128"/>
      <c r="I593" s="43">
        <v>0</v>
      </c>
      <c r="J593" s="43">
        <v>0</v>
      </c>
      <c r="K593" s="128"/>
      <c r="L593" s="43">
        <v>0</v>
      </c>
      <c r="M593" s="43">
        <v>0</v>
      </c>
      <c r="N593" s="128"/>
      <c r="O593" s="43">
        <v>0</v>
      </c>
      <c r="P593" s="43">
        <v>0</v>
      </c>
      <c r="Q593" s="128"/>
      <c r="R593" s="43">
        <v>0</v>
      </c>
      <c r="S593" s="43">
        <v>0</v>
      </c>
      <c r="T593" s="43">
        <f t="shared" si="365"/>
        <v>0</v>
      </c>
      <c r="U593" s="43">
        <f t="shared" si="366"/>
        <v>0</v>
      </c>
      <c r="V593" s="43">
        <f t="shared" si="367"/>
        <v>0</v>
      </c>
    </row>
    <row r="594" spans="1:22" hidden="1">
      <c r="A594" s="40"/>
      <c r="B594" s="40"/>
      <c r="C594" s="40"/>
      <c r="D594" s="40" t="s">
        <v>407</v>
      </c>
      <c r="E594" s="47">
        <f>SUM(E592:E593)</f>
        <v>0</v>
      </c>
      <c r="F594" s="45"/>
      <c r="G594" s="47"/>
      <c r="H594" s="135"/>
      <c r="I594" s="47"/>
      <c r="J594" s="47">
        <f>SUM(J592:J593)</f>
        <v>0</v>
      </c>
      <c r="K594" s="135"/>
      <c r="L594" s="47"/>
      <c r="M594" s="47">
        <f>SUM(M592:M593)</f>
        <v>0</v>
      </c>
      <c r="N594" s="135"/>
      <c r="O594" s="47"/>
      <c r="P594" s="47">
        <f>SUM(P592:P593)</f>
        <v>0</v>
      </c>
      <c r="Q594" s="135"/>
      <c r="R594" s="47"/>
      <c r="S594" s="47">
        <f>SUM(S592:S593)</f>
        <v>0</v>
      </c>
      <c r="T594" s="47">
        <f>SUM(T592:T593)</f>
        <v>0</v>
      </c>
      <c r="U594" s="47">
        <f>SUM(U592:U593)</f>
        <v>0</v>
      </c>
      <c r="V594" s="47">
        <f>SUM(V592:V593)</f>
        <v>0</v>
      </c>
    </row>
    <row r="595" spans="1:22">
      <c r="A595" s="44"/>
      <c r="C595" s="44"/>
      <c r="D595" s="44"/>
      <c r="E595" s="43"/>
      <c r="F595" s="48"/>
      <c r="G595" s="43"/>
      <c r="H595" s="125"/>
      <c r="I595" s="43"/>
      <c r="J595" s="43"/>
      <c r="K595" s="125"/>
      <c r="L595" s="43"/>
      <c r="M595" s="43"/>
      <c r="N595" s="125"/>
      <c r="O595" s="43"/>
      <c r="P595" s="43"/>
      <c r="Q595" s="125"/>
      <c r="R595" s="43"/>
      <c r="S595" s="43"/>
      <c r="T595" s="43"/>
      <c r="U595" s="43"/>
      <c r="V595" s="52"/>
    </row>
    <row r="596" spans="1:22" ht="12.9" thickBot="1">
      <c r="A596" s="53"/>
      <c r="B596" s="66"/>
      <c r="C596" s="53"/>
      <c r="D596" s="53" t="s">
        <v>408</v>
      </c>
      <c r="E596" s="64">
        <f>SUM(E589+E563+E583+E558+E551+E569+E594)</f>
        <v>275001.48</v>
      </c>
      <c r="F596" s="53"/>
      <c r="G596" s="69"/>
      <c r="H596" s="126"/>
      <c r="I596" s="64"/>
      <c r="J596" s="64">
        <f>SUM(J589+J563+J583+J558+J551+J569+J594)</f>
        <v>544622.92401920003</v>
      </c>
      <c r="K596" s="126"/>
      <c r="L596" s="64"/>
      <c r="M596" s="64">
        <f>SUM(M589+M563+M583+M558+M551+M569+M594)</f>
        <v>0</v>
      </c>
      <c r="N596" s="126"/>
      <c r="O596" s="64"/>
      <c r="P596" s="64">
        <f>SUM(P589+P563+P583+P558+P551+P569+P594)</f>
        <v>0</v>
      </c>
      <c r="Q596" s="126"/>
      <c r="R596" s="64"/>
      <c r="S596" s="64">
        <f>SUM(S589+S563+S583+S558+S551+S569+S594)</f>
        <v>0</v>
      </c>
      <c r="T596" s="64">
        <f>SUM(T589+T563+T583+T558+T551+T569+T594)</f>
        <v>819624.40401920001</v>
      </c>
      <c r="U596" s="64">
        <f>SUM(U589+U563+U583+U558+U551+U569+U594)</f>
        <v>0</v>
      </c>
      <c r="V596" s="64">
        <f>SUM(V589+V563+V583+V558+V551+V569+V594)</f>
        <v>819624.40401920001</v>
      </c>
    </row>
    <row r="597" spans="1:22">
      <c r="A597" s="81"/>
      <c r="B597" s="81"/>
      <c r="C597" s="81"/>
      <c r="D597" s="81"/>
      <c r="E597" s="62"/>
      <c r="F597" s="81"/>
      <c r="G597" s="62"/>
      <c r="H597" s="123"/>
      <c r="I597" s="62"/>
      <c r="J597" s="62"/>
      <c r="K597" s="123"/>
      <c r="L597" s="62"/>
      <c r="M597" s="62"/>
      <c r="N597" s="123"/>
      <c r="O597" s="62"/>
      <c r="P597" s="62"/>
      <c r="Q597" s="123"/>
      <c r="R597" s="62"/>
      <c r="S597" s="62"/>
      <c r="T597" s="62"/>
      <c r="U597" s="62"/>
      <c r="V597" s="62"/>
    </row>
    <row r="598" spans="1:22">
      <c r="A598" s="98"/>
      <c r="B598" s="617"/>
      <c r="C598" s="98"/>
      <c r="D598" s="98" t="str">
        <f>'USDA Budget Summary'!A35</f>
        <v>Activity 7: Establishment of Regional Community of Practice</v>
      </c>
      <c r="E598" s="99"/>
      <c r="F598" s="37"/>
      <c r="G598" s="38"/>
      <c r="H598" s="130"/>
      <c r="I598" s="99"/>
      <c r="J598" s="99"/>
      <c r="K598" s="130"/>
      <c r="L598" s="99"/>
      <c r="M598" s="99"/>
      <c r="N598" s="130"/>
      <c r="O598" s="99"/>
      <c r="P598" s="99"/>
      <c r="Q598" s="130"/>
      <c r="R598" s="99"/>
      <c r="S598" s="99"/>
      <c r="T598" s="99"/>
      <c r="U598" s="100"/>
      <c r="V598" s="99"/>
    </row>
    <row r="599" spans="1:22">
      <c r="A599" s="101"/>
      <c r="B599" s="101"/>
      <c r="C599" s="101"/>
      <c r="D599" s="101" t="s">
        <v>215</v>
      </c>
      <c r="E599" s="103"/>
      <c r="F599" s="102"/>
      <c r="G599" s="103"/>
      <c r="H599" s="131"/>
      <c r="I599" s="103"/>
      <c r="J599" s="103"/>
      <c r="K599" s="131"/>
      <c r="L599" s="103"/>
      <c r="M599" s="103"/>
      <c r="N599" s="131"/>
      <c r="O599" s="103"/>
      <c r="P599" s="103"/>
      <c r="Q599" s="131"/>
      <c r="R599" s="103"/>
      <c r="S599" s="103"/>
      <c r="T599" s="103"/>
      <c r="U599" s="103"/>
      <c r="V599" s="103"/>
    </row>
    <row r="600" spans="1:22">
      <c r="A600" s="40"/>
      <c r="B600" s="40"/>
      <c r="C600" s="40"/>
      <c r="D600" s="40" t="s">
        <v>409</v>
      </c>
      <c r="E600" s="46"/>
      <c r="F600" s="45"/>
      <c r="G600" s="46"/>
      <c r="H600" s="132"/>
      <c r="I600" s="46"/>
      <c r="J600" s="46"/>
      <c r="K600" s="132"/>
      <c r="L600" s="46"/>
      <c r="M600" s="46"/>
      <c r="N600" s="132"/>
      <c r="O600" s="46"/>
      <c r="P600" s="46"/>
      <c r="Q600" s="132"/>
      <c r="R600" s="46"/>
      <c r="S600" s="46"/>
      <c r="T600" s="46"/>
      <c r="U600" s="46"/>
      <c r="V600" s="46"/>
    </row>
    <row r="601" spans="1:22">
      <c r="A601" s="7" t="s">
        <v>753</v>
      </c>
      <c r="B601" s="44">
        <v>50000</v>
      </c>
      <c r="C601" s="7" t="s">
        <v>709</v>
      </c>
      <c r="D601" s="7" t="str">
        <f t="shared" ref="D601:D630" si="368">D13</f>
        <v>Key Personnel: Chief of Party</v>
      </c>
      <c r="E601" s="43">
        <v>34561</v>
      </c>
      <c r="F601" s="49" t="s">
        <v>95</v>
      </c>
      <c r="G601" s="43">
        <f t="shared" ref="G601:G630" si="369">G13</f>
        <v>14250</v>
      </c>
      <c r="H601" s="119">
        <f>'LOE Breakdown by Year'!K11</f>
        <v>0.1</v>
      </c>
      <c r="I601" s="43">
        <f t="shared" ref="I601:I630" si="370">I13</f>
        <v>12</v>
      </c>
      <c r="J601" s="43">
        <f>I601*G601*$H601</f>
        <v>17100</v>
      </c>
      <c r="K601" s="119">
        <f>'LOE Breakdown by Year'!K51</f>
        <v>0.19</v>
      </c>
      <c r="L601" s="43">
        <f t="shared" ref="L601:L630" si="371">L13</f>
        <v>12</v>
      </c>
      <c r="M601" s="43">
        <f>L601*G601*$K601*$E$8</f>
        <v>34114.5</v>
      </c>
      <c r="N601" s="119">
        <f>'LOE Breakdown by Year'!K91</f>
        <v>0.19</v>
      </c>
      <c r="O601" s="43">
        <f t="shared" ref="O601:O630" si="372">O13</f>
        <v>12</v>
      </c>
      <c r="P601" s="43">
        <f>O601*G601*$N601*$E$8*$E$8</f>
        <v>35820.224999999999</v>
      </c>
      <c r="Q601" s="119">
        <f>'LOE Breakdown by Year'!K131</f>
        <v>0.19</v>
      </c>
      <c r="R601" s="43">
        <f t="shared" ref="R601:R630" si="373">R13</f>
        <v>0</v>
      </c>
      <c r="S601" s="43">
        <f>R601*G601*$Q601*$E$8*$E$8*$E$8</f>
        <v>0</v>
      </c>
      <c r="T601" s="43">
        <f t="shared" ref="T601" si="374">SUM(P601,M601,J601,E601,S601)</f>
        <v>121595.72500000001</v>
      </c>
      <c r="U601" s="43">
        <v>0</v>
      </c>
      <c r="V601" s="43">
        <f t="shared" ref="V601" si="375">SUM(T601:U601)</f>
        <v>121595.72500000001</v>
      </c>
    </row>
    <row r="602" spans="1:22" ht="25.2">
      <c r="A602" s="7" t="s">
        <v>753</v>
      </c>
      <c r="B602" s="44">
        <v>70000</v>
      </c>
      <c r="C602" s="7" t="s">
        <v>710</v>
      </c>
      <c r="D602" s="7" t="str">
        <f t="shared" si="368"/>
        <v>Deputy Chief of Party / Value Chain Strengthening Director</v>
      </c>
      <c r="E602" s="43">
        <v>0</v>
      </c>
      <c r="F602" s="49" t="s">
        <v>95</v>
      </c>
      <c r="G602" s="43">
        <f t="shared" si="369"/>
        <v>5000</v>
      </c>
      <c r="H602" s="119">
        <f>'LOE Breakdown by Year'!K12</f>
        <v>0.1</v>
      </c>
      <c r="I602" s="43">
        <f t="shared" si="370"/>
        <v>12</v>
      </c>
      <c r="J602" s="43">
        <f>I602*G602*$H602</f>
        <v>6000</v>
      </c>
      <c r="K602" s="119">
        <f>'LOE Breakdown by Year'!K52</f>
        <v>0.15</v>
      </c>
      <c r="L602" s="43">
        <f t="shared" si="371"/>
        <v>12</v>
      </c>
      <c r="M602" s="43">
        <f>L602*G602*$K602*$E$8</f>
        <v>9450</v>
      </c>
      <c r="N602" s="119">
        <f>'LOE Breakdown by Year'!K92</f>
        <v>0.15</v>
      </c>
      <c r="O602" s="43">
        <f t="shared" si="372"/>
        <v>12</v>
      </c>
      <c r="P602" s="43">
        <f>O602*G602*$N602*$E$8*$E$8</f>
        <v>9922.5</v>
      </c>
      <c r="Q602" s="119">
        <f>'LOE Breakdown by Year'!K132</f>
        <v>0.15</v>
      </c>
      <c r="R602" s="43">
        <f t="shared" si="373"/>
        <v>6</v>
      </c>
      <c r="S602" s="43">
        <f>R602*G602*$Q602*$E$8*$E$8*$E$8</f>
        <v>5209.3125</v>
      </c>
      <c r="T602" s="43">
        <f t="shared" ref="T602" si="376">SUM(P602,M602,J602,E602,S602)</f>
        <v>30581.8125</v>
      </c>
      <c r="U602" s="43">
        <v>0</v>
      </c>
      <c r="V602" s="43">
        <f t="shared" ref="V602" si="377">SUM(T602:U602)</f>
        <v>30581.8125</v>
      </c>
    </row>
    <row r="603" spans="1:22">
      <c r="A603" s="7" t="s">
        <v>753</v>
      </c>
      <c r="B603" s="44">
        <v>70000</v>
      </c>
      <c r="C603" s="7" t="s">
        <v>710</v>
      </c>
      <c r="D603" s="7" t="str">
        <f t="shared" si="368"/>
        <v>Key Personnel: Technical Director</v>
      </c>
      <c r="E603" s="43">
        <v>16516</v>
      </c>
      <c r="F603" s="49" t="s">
        <v>95</v>
      </c>
      <c r="G603" s="43">
        <f t="shared" si="369"/>
        <v>4583.333333333333</v>
      </c>
      <c r="H603" s="119">
        <f>'LOE Breakdown by Year'!K13</f>
        <v>0</v>
      </c>
      <c r="I603" s="43">
        <f t="shared" si="370"/>
        <v>12</v>
      </c>
      <c r="J603" s="43">
        <f t="shared" ref="J603:J630" si="378">I603*G603*$H603</f>
        <v>0</v>
      </c>
      <c r="K603" s="119">
        <f>'LOE Breakdown by Year'!K53</f>
        <v>0</v>
      </c>
      <c r="L603" s="43">
        <f t="shared" si="371"/>
        <v>12</v>
      </c>
      <c r="M603" s="43">
        <f t="shared" ref="M603:M630" si="379">L603*G603*$K603*$E$8</f>
        <v>0</v>
      </c>
      <c r="N603" s="119">
        <f>'LOE Breakdown by Year'!K93</f>
        <v>0</v>
      </c>
      <c r="O603" s="43">
        <f t="shared" si="372"/>
        <v>12</v>
      </c>
      <c r="P603" s="43">
        <f t="shared" ref="P603:P630" si="380">O603*G603*$N603*$E$8*$E$8</f>
        <v>0</v>
      </c>
      <c r="Q603" s="119">
        <f>'LOE Breakdown by Year'!K133</f>
        <v>0</v>
      </c>
      <c r="R603" s="43">
        <f t="shared" si="373"/>
        <v>5</v>
      </c>
      <c r="S603" s="43">
        <f t="shared" ref="S603:S630" si="381">R603*G603*$Q603*$E$8*$E$8*$E$8</f>
        <v>0</v>
      </c>
      <c r="T603" s="43">
        <f t="shared" ref="T603:T630" si="382">SUM(P603,M603,J603,E603,S603)</f>
        <v>16516</v>
      </c>
      <c r="U603" s="43">
        <v>0</v>
      </c>
      <c r="V603" s="43">
        <f t="shared" ref="V603:V630" si="383">SUM(T603:U603)</f>
        <v>16516</v>
      </c>
    </row>
    <row r="604" spans="1:22">
      <c r="A604" s="7" t="s">
        <v>753</v>
      </c>
      <c r="B604" s="44">
        <v>70000</v>
      </c>
      <c r="C604" s="7" t="s">
        <v>710</v>
      </c>
      <c r="D604" s="7" t="str">
        <f t="shared" si="368"/>
        <v>Activity Lead Agribusiness Senior Specialist (Cacao)</v>
      </c>
      <c r="E604" s="43">
        <v>0</v>
      </c>
      <c r="F604" s="49" t="s">
        <v>95</v>
      </c>
      <c r="G604" s="43">
        <f t="shared" si="369"/>
        <v>2833.3333333333335</v>
      </c>
      <c r="H604" s="119">
        <f>'LOE Breakdown by Year'!K14</f>
        <v>0.1</v>
      </c>
      <c r="I604" s="43">
        <f t="shared" si="370"/>
        <v>12</v>
      </c>
      <c r="J604" s="43">
        <f t="shared" si="378"/>
        <v>3400</v>
      </c>
      <c r="K604" s="119">
        <f>'LOE Breakdown by Year'!K54</f>
        <v>0</v>
      </c>
      <c r="L604" s="43">
        <f t="shared" si="371"/>
        <v>12</v>
      </c>
      <c r="M604" s="43">
        <f t="shared" si="379"/>
        <v>0</v>
      </c>
      <c r="N604" s="119">
        <f>'LOE Breakdown by Year'!K94</f>
        <v>0</v>
      </c>
      <c r="O604" s="43">
        <f t="shared" si="372"/>
        <v>12</v>
      </c>
      <c r="P604" s="43">
        <f t="shared" si="380"/>
        <v>0</v>
      </c>
      <c r="Q604" s="119">
        <f>'LOE Breakdown by Year'!K134</f>
        <v>0</v>
      </c>
      <c r="R604" s="43">
        <f t="shared" si="373"/>
        <v>2</v>
      </c>
      <c r="S604" s="43">
        <f t="shared" si="381"/>
        <v>0</v>
      </c>
      <c r="T604" s="43">
        <f t="shared" si="382"/>
        <v>3400</v>
      </c>
      <c r="U604" s="43">
        <v>0</v>
      </c>
      <c r="V604" s="43">
        <f t="shared" si="383"/>
        <v>3400</v>
      </c>
    </row>
    <row r="605" spans="1:22" hidden="1">
      <c r="A605" s="7" t="s">
        <v>753</v>
      </c>
      <c r="B605" s="44">
        <v>70000</v>
      </c>
      <c r="C605" s="7" t="s">
        <v>710</v>
      </c>
      <c r="D605" s="7" t="str">
        <f t="shared" si="368"/>
        <v>Cacao Field Officer</v>
      </c>
      <c r="E605" s="43">
        <v>0</v>
      </c>
      <c r="F605" s="49" t="s">
        <v>95</v>
      </c>
      <c r="G605" s="43">
        <f t="shared" si="369"/>
        <v>1333.3333333333333</v>
      </c>
      <c r="H605" s="119">
        <f>'LOE Breakdown by Year'!K15</f>
        <v>0</v>
      </c>
      <c r="I605" s="43">
        <f t="shared" si="370"/>
        <v>12</v>
      </c>
      <c r="J605" s="43">
        <f t="shared" si="378"/>
        <v>0</v>
      </c>
      <c r="K605" s="119">
        <f>'LOE Breakdown by Year'!K55</f>
        <v>0</v>
      </c>
      <c r="L605" s="43">
        <f t="shared" si="371"/>
        <v>12</v>
      </c>
      <c r="M605" s="43">
        <f t="shared" si="379"/>
        <v>0</v>
      </c>
      <c r="N605" s="119">
        <f>'LOE Breakdown by Year'!K95</f>
        <v>0</v>
      </c>
      <c r="O605" s="43">
        <f t="shared" si="372"/>
        <v>12</v>
      </c>
      <c r="P605" s="43">
        <f t="shared" si="380"/>
        <v>0</v>
      </c>
      <c r="Q605" s="119">
        <f>'LOE Breakdown by Year'!K135</f>
        <v>0</v>
      </c>
      <c r="R605" s="43">
        <f t="shared" si="373"/>
        <v>0</v>
      </c>
      <c r="S605" s="43">
        <f t="shared" si="381"/>
        <v>0</v>
      </c>
      <c r="T605" s="43">
        <f t="shared" si="382"/>
        <v>0</v>
      </c>
      <c r="U605" s="43">
        <v>0</v>
      </c>
      <c r="V605" s="43">
        <f t="shared" si="383"/>
        <v>0</v>
      </c>
    </row>
    <row r="606" spans="1:22" ht="25.2" hidden="1">
      <c r="A606" s="7" t="s">
        <v>753</v>
      </c>
      <c r="B606" s="44">
        <v>70000</v>
      </c>
      <c r="C606" s="7" t="s">
        <v>710</v>
      </c>
      <c r="D606" s="7" t="str">
        <f t="shared" si="368"/>
        <v>Cacao &amp; Complementary Crop Technical Field Leader (2)</v>
      </c>
      <c r="E606" s="43">
        <v>0</v>
      </c>
      <c r="F606" s="49" t="s">
        <v>95</v>
      </c>
      <c r="G606" s="43">
        <f t="shared" si="369"/>
        <v>3500</v>
      </c>
      <c r="H606" s="119">
        <f>'LOE Breakdown by Year'!K16</f>
        <v>0</v>
      </c>
      <c r="I606" s="43">
        <f t="shared" si="370"/>
        <v>6</v>
      </c>
      <c r="J606" s="43">
        <f t="shared" si="378"/>
        <v>0</v>
      </c>
      <c r="K606" s="119">
        <f>'LOE Breakdown by Year'!K56</f>
        <v>0</v>
      </c>
      <c r="L606" s="43">
        <f t="shared" si="371"/>
        <v>12</v>
      </c>
      <c r="M606" s="43">
        <f t="shared" si="379"/>
        <v>0</v>
      </c>
      <c r="N606" s="119">
        <f>'LOE Breakdown by Year'!K96</f>
        <v>0</v>
      </c>
      <c r="O606" s="43">
        <f t="shared" si="372"/>
        <v>12</v>
      </c>
      <c r="P606" s="43">
        <f t="shared" si="380"/>
        <v>0</v>
      </c>
      <c r="Q606" s="119">
        <f>'LOE Breakdown by Year'!K136</f>
        <v>0</v>
      </c>
      <c r="R606" s="43">
        <f t="shared" si="373"/>
        <v>0</v>
      </c>
      <c r="S606" s="43">
        <f t="shared" si="381"/>
        <v>0</v>
      </c>
      <c r="T606" s="43">
        <f t="shared" si="382"/>
        <v>0</v>
      </c>
      <c r="U606" s="43">
        <v>0</v>
      </c>
      <c r="V606" s="43">
        <f t="shared" si="383"/>
        <v>0</v>
      </c>
    </row>
    <row r="607" spans="1:22" hidden="1">
      <c r="A607" s="7" t="s">
        <v>753</v>
      </c>
      <c r="B607" s="44">
        <v>70000</v>
      </c>
      <c r="C607" s="7" t="s">
        <v>710</v>
      </c>
      <c r="D607" s="7" t="str">
        <f t="shared" si="368"/>
        <v>Extension Agents (45 in Y5 and 25 in Y6)</v>
      </c>
      <c r="E607" s="43">
        <v>0</v>
      </c>
      <c r="F607" s="49" t="s">
        <v>95</v>
      </c>
      <c r="G607" s="43">
        <f t="shared" si="369"/>
        <v>1000</v>
      </c>
      <c r="H607" s="119">
        <f>'LOE Breakdown by Year'!K17</f>
        <v>0</v>
      </c>
      <c r="I607" s="43">
        <f t="shared" si="370"/>
        <v>12</v>
      </c>
      <c r="J607" s="43">
        <f t="shared" si="378"/>
        <v>0</v>
      </c>
      <c r="K607" s="119">
        <f>'LOE Breakdown by Year'!K57</f>
        <v>0</v>
      </c>
      <c r="L607" s="43">
        <f t="shared" si="371"/>
        <v>12</v>
      </c>
      <c r="M607" s="43">
        <f t="shared" si="379"/>
        <v>0</v>
      </c>
      <c r="N607" s="119">
        <f>'LOE Breakdown by Year'!K97</f>
        <v>0</v>
      </c>
      <c r="O607" s="43">
        <f t="shared" si="372"/>
        <v>0</v>
      </c>
      <c r="P607" s="43">
        <f t="shared" si="380"/>
        <v>0</v>
      </c>
      <c r="Q607" s="119">
        <f>'LOE Breakdown by Year'!K137</f>
        <v>0</v>
      </c>
      <c r="R607" s="43">
        <f t="shared" si="373"/>
        <v>0</v>
      </c>
      <c r="S607" s="43">
        <f t="shared" si="381"/>
        <v>0</v>
      </c>
      <c r="T607" s="43">
        <f t="shared" si="382"/>
        <v>0</v>
      </c>
      <c r="U607" s="43">
        <v>0</v>
      </c>
      <c r="V607" s="43">
        <f t="shared" si="383"/>
        <v>0</v>
      </c>
    </row>
    <row r="608" spans="1:22" ht="25.2" hidden="1">
      <c r="A608" s="7" t="s">
        <v>753</v>
      </c>
      <c r="B608" s="44">
        <v>70000</v>
      </c>
      <c r="C608" s="7" t="s">
        <v>710</v>
      </c>
      <c r="D608" s="7" t="str">
        <f t="shared" si="368"/>
        <v>Activity Lead Agribusiness Senior Specialist (Complementary Crop)</v>
      </c>
      <c r="E608" s="43">
        <v>0</v>
      </c>
      <c r="F608" s="49" t="s">
        <v>95</v>
      </c>
      <c r="G608" s="43">
        <f t="shared" si="369"/>
        <v>2833.3333333333335</v>
      </c>
      <c r="H608" s="119">
        <f>'LOE Breakdown by Year'!K18</f>
        <v>0</v>
      </c>
      <c r="I608" s="43">
        <f t="shared" si="370"/>
        <v>12</v>
      </c>
      <c r="J608" s="43">
        <f t="shared" si="378"/>
        <v>0</v>
      </c>
      <c r="K608" s="119">
        <f>'LOE Breakdown by Year'!K58</f>
        <v>0</v>
      </c>
      <c r="L608" s="43">
        <f t="shared" si="371"/>
        <v>12</v>
      </c>
      <c r="M608" s="43">
        <f t="shared" si="379"/>
        <v>0</v>
      </c>
      <c r="N608" s="119">
        <f>'LOE Breakdown by Year'!K98</f>
        <v>0</v>
      </c>
      <c r="O608" s="43">
        <f t="shared" si="372"/>
        <v>12</v>
      </c>
      <c r="P608" s="43">
        <f t="shared" si="380"/>
        <v>0</v>
      </c>
      <c r="Q608" s="119">
        <f>'LOE Breakdown by Year'!K138</f>
        <v>0</v>
      </c>
      <c r="R608" s="43">
        <f t="shared" si="373"/>
        <v>0</v>
      </c>
      <c r="S608" s="43">
        <f t="shared" si="381"/>
        <v>0</v>
      </c>
      <c r="T608" s="43">
        <f t="shared" si="382"/>
        <v>0</v>
      </c>
      <c r="U608" s="43">
        <v>0</v>
      </c>
      <c r="V608" s="43">
        <f t="shared" si="383"/>
        <v>0</v>
      </c>
    </row>
    <row r="609" spans="1:22" hidden="1">
      <c r="A609" s="7" t="s">
        <v>753</v>
      </c>
      <c r="B609" s="44">
        <v>70000</v>
      </c>
      <c r="C609" s="7" t="s">
        <v>710</v>
      </c>
      <c r="D609" s="7" t="str">
        <f t="shared" si="368"/>
        <v>Complementary Crops Field Officer</v>
      </c>
      <c r="E609" s="43">
        <v>0</v>
      </c>
      <c r="F609" s="49" t="s">
        <v>95</v>
      </c>
      <c r="G609" s="43">
        <f t="shared" si="369"/>
        <v>0</v>
      </c>
      <c r="H609" s="119">
        <f>'LOE Breakdown by Year'!K19</f>
        <v>0</v>
      </c>
      <c r="I609" s="43">
        <f t="shared" si="370"/>
        <v>0</v>
      </c>
      <c r="J609" s="43">
        <f t="shared" si="378"/>
        <v>0</v>
      </c>
      <c r="K609" s="119">
        <f>'LOE Breakdown by Year'!K59</f>
        <v>0</v>
      </c>
      <c r="L609" s="43">
        <f t="shared" si="371"/>
        <v>12</v>
      </c>
      <c r="M609" s="43">
        <f t="shared" si="379"/>
        <v>0</v>
      </c>
      <c r="N609" s="119">
        <f>'LOE Breakdown by Year'!K99</f>
        <v>0</v>
      </c>
      <c r="O609" s="43">
        <f t="shared" si="372"/>
        <v>12</v>
      </c>
      <c r="P609" s="43">
        <f t="shared" si="380"/>
        <v>0</v>
      </c>
      <c r="Q609" s="119">
        <f>'LOE Breakdown by Year'!K139</f>
        <v>0</v>
      </c>
      <c r="R609" s="43">
        <f t="shared" si="373"/>
        <v>0</v>
      </c>
      <c r="S609" s="43">
        <f t="shared" si="381"/>
        <v>0</v>
      </c>
      <c r="T609" s="43">
        <f t="shared" si="382"/>
        <v>0</v>
      </c>
      <c r="U609" s="43">
        <v>0</v>
      </c>
      <c r="V609" s="43">
        <f t="shared" si="383"/>
        <v>0</v>
      </c>
    </row>
    <row r="610" spans="1:22" hidden="1">
      <c r="A610" s="7" t="s">
        <v>753</v>
      </c>
      <c r="B610" s="44">
        <v>70000</v>
      </c>
      <c r="C610" s="7" t="s">
        <v>710</v>
      </c>
      <c r="D610" s="7" t="str">
        <f t="shared" si="368"/>
        <v>EPSEAS Specialist</v>
      </c>
      <c r="E610" s="43">
        <v>0</v>
      </c>
      <c r="F610" s="49" t="s">
        <v>95</v>
      </c>
      <c r="G610" s="43">
        <f t="shared" si="369"/>
        <v>0</v>
      </c>
      <c r="H610" s="119">
        <f>'LOE Breakdown by Year'!K20</f>
        <v>0</v>
      </c>
      <c r="I610" s="43">
        <f t="shared" si="370"/>
        <v>0</v>
      </c>
      <c r="J610" s="43">
        <f t="shared" si="378"/>
        <v>0</v>
      </c>
      <c r="K610" s="119">
        <f>'LOE Breakdown by Year'!K60</f>
        <v>0</v>
      </c>
      <c r="L610" s="43">
        <f t="shared" si="371"/>
        <v>12</v>
      </c>
      <c r="M610" s="43">
        <f t="shared" si="379"/>
        <v>0</v>
      </c>
      <c r="N610" s="119">
        <f>'LOE Breakdown by Year'!K100</f>
        <v>0</v>
      </c>
      <c r="O610" s="43">
        <f t="shared" si="372"/>
        <v>12</v>
      </c>
      <c r="P610" s="43">
        <f t="shared" si="380"/>
        <v>0</v>
      </c>
      <c r="Q610" s="119">
        <f>'LOE Breakdown by Year'!K140</f>
        <v>0</v>
      </c>
      <c r="R610" s="43">
        <f t="shared" si="373"/>
        <v>0</v>
      </c>
      <c r="S610" s="43">
        <f t="shared" si="381"/>
        <v>0</v>
      </c>
      <c r="T610" s="43">
        <f t="shared" si="382"/>
        <v>0</v>
      </c>
      <c r="U610" s="43">
        <v>0</v>
      </c>
      <c r="V610" s="43">
        <f t="shared" si="383"/>
        <v>0</v>
      </c>
    </row>
    <row r="611" spans="1:22" hidden="1">
      <c r="A611" s="7" t="s">
        <v>753</v>
      </c>
      <c r="B611" s="44">
        <v>70000</v>
      </c>
      <c r="C611" s="7" t="s">
        <v>710</v>
      </c>
      <c r="D611" s="7" t="str">
        <f t="shared" si="368"/>
        <v>Extension Agents for EPSEAS (20 in Y6 and 25 in Y7)</v>
      </c>
      <c r="E611" s="43">
        <v>0</v>
      </c>
      <c r="F611" s="49" t="s">
        <v>95</v>
      </c>
      <c r="G611" s="43">
        <f t="shared" si="369"/>
        <v>1000</v>
      </c>
      <c r="H611" s="119">
        <f>'LOE Breakdown by Year'!K21</f>
        <v>0</v>
      </c>
      <c r="I611" s="43">
        <f t="shared" si="370"/>
        <v>0</v>
      </c>
      <c r="J611" s="43">
        <f t="shared" si="378"/>
        <v>0</v>
      </c>
      <c r="K611" s="119">
        <f>'LOE Breakdown by Year'!K61</f>
        <v>0</v>
      </c>
      <c r="L611" s="43">
        <f t="shared" si="371"/>
        <v>12</v>
      </c>
      <c r="M611" s="43">
        <f t="shared" si="379"/>
        <v>0</v>
      </c>
      <c r="N611" s="119">
        <f>'LOE Breakdown by Year'!K101</f>
        <v>0</v>
      </c>
      <c r="O611" s="43">
        <f t="shared" si="372"/>
        <v>12</v>
      </c>
      <c r="P611" s="43">
        <f t="shared" si="380"/>
        <v>0</v>
      </c>
      <c r="Q611" s="119">
        <f>'LOE Breakdown by Year'!K141</f>
        <v>0</v>
      </c>
      <c r="R611" s="43">
        <f t="shared" si="373"/>
        <v>0</v>
      </c>
      <c r="S611" s="43">
        <f t="shared" si="381"/>
        <v>0</v>
      </c>
      <c r="T611" s="43">
        <f t="shared" si="382"/>
        <v>0</v>
      </c>
      <c r="U611" s="43">
        <v>0</v>
      </c>
      <c r="V611" s="43">
        <f t="shared" si="383"/>
        <v>0</v>
      </c>
    </row>
    <row r="612" spans="1:22">
      <c r="A612" s="7" t="s">
        <v>753</v>
      </c>
      <c r="B612" s="44">
        <v>70000</v>
      </c>
      <c r="C612" s="7" t="s">
        <v>710</v>
      </c>
      <c r="D612" s="7" t="str">
        <f t="shared" si="368"/>
        <v xml:space="preserve">Senior M&amp;E Director </v>
      </c>
      <c r="E612" s="43">
        <v>10119</v>
      </c>
      <c r="F612" s="49" t="s">
        <v>95</v>
      </c>
      <c r="G612" s="43">
        <f t="shared" si="369"/>
        <v>6250</v>
      </c>
      <c r="H612" s="119">
        <f>'LOE Breakdown by Year'!K22</f>
        <v>0.1</v>
      </c>
      <c r="I612" s="43">
        <f t="shared" si="370"/>
        <v>12</v>
      </c>
      <c r="J612" s="43">
        <f t="shared" si="378"/>
        <v>7500</v>
      </c>
      <c r="K612" s="119">
        <f>'LOE Breakdown by Year'!K62</f>
        <v>0.19</v>
      </c>
      <c r="L612" s="43">
        <f t="shared" si="371"/>
        <v>12</v>
      </c>
      <c r="M612" s="43">
        <f t="shared" si="379"/>
        <v>14962.5</v>
      </c>
      <c r="N612" s="119">
        <f>'LOE Breakdown by Year'!K102</f>
        <v>0.19</v>
      </c>
      <c r="O612" s="43">
        <f t="shared" si="372"/>
        <v>12</v>
      </c>
      <c r="P612" s="43">
        <f t="shared" si="380"/>
        <v>15710.625</v>
      </c>
      <c r="Q612" s="119">
        <f>'LOE Breakdown by Year'!K142</f>
        <v>0.19</v>
      </c>
      <c r="R612" s="43">
        <f t="shared" si="373"/>
        <v>6</v>
      </c>
      <c r="S612" s="43">
        <f t="shared" si="381"/>
        <v>8248.078125</v>
      </c>
      <c r="T612" s="43">
        <f t="shared" si="382"/>
        <v>56540.203125</v>
      </c>
      <c r="U612" s="43">
        <v>0</v>
      </c>
      <c r="V612" s="43">
        <f t="shared" si="383"/>
        <v>56540.203125</v>
      </c>
    </row>
    <row r="613" spans="1:22">
      <c r="A613" s="7" t="s">
        <v>753</v>
      </c>
      <c r="B613" s="44">
        <v>70000</v>
      </c>
      <c r="C613" s="7" t="s">
        <v>710</v>
      </c>
      <c r="D613" s="7" t="str">
        <f t="shared" si="368"/>
        <v>Senior M&amp;E Specialist</v>
      </c>
      <c r="E613" s="43">
        <v>9150</v>
      </c>
      <c r="F613" s="49" t="s">
        <v>95</v>
      </c>
      <c r="G613" s="43">
        <f t="shared" si="369"/>
        <v>2833.3333333333335</v>
      </c>
      <c r="H613" s="119">
        <f>'LOE Breakdown by Year'!K23</f>
        <v>0.1</v>
      </c>
      <c r="I613" s="43">
        <f t="shared" si="370"/>
        <v>12</v>
      </c>
      <c r="J613" s="43">
        <f t="shared" si="378"/>
        <v>3400</v>
      </c>
      <c r="K613" s="119">
        <f>'LOE Breakdown by Year'!K63</f>
        <v>0.19</v>
      </c>
      <c r="L613" s="43">
        <f t="shared" si="371"/>
        <v>12</v>
      </c>
      <c r="M613" s="43">
        <f t="shared" si="379"/>
        <v>6783</v>
      </c>
      <c r="N613" s="119">
        <f>'LOE Breakdown by Year'!K103</f>
        <v>0.19</v>
      </c>
      <c r="O613" s="43">
        <f t="shared" si="372"/>
        <v>12</v>
      </c>
      <c r="P613" s="43">
        <f t="shared" si="380"/>
        <v>7122.1500000000005</v>
      </c>
      <c r="Q613" s="119">
        <f>'LOE Breakdown by Year'!K143</f>
        <v>0.19</v>
      </c>
      <c r="R613" s="43">
        <f t="shared" si="373"/>
        <v>6</v>
      </c>
      <c r="S613" s="43">
        <f t="shared" si="381"/>
        <v>3739.1287500000003</v>
      </c>
      <c r="T613" s="43">
        <f t="shared" si="382"/>
        <v>30194.278750000001</v>
      </c>
      <c r="U613" s="43">
        <v>0</v>
      </c>
      <c r="V613" s="43">
        <f t="shared" si="383"/>
        <v>30194.278750000001</v>
      </c>
    </row>
    <row r="614" spans="1:22">
      <c r="A614" s="7" t="s">
        <v>753</v>
      </c>
      <c r="B614" s="44">
        <v>70000</v>
      </c>
      <c r="C614" s="7" t="s">
        <v>710</v>
      </c>
      <c r="D614" s="7" t="str">
        <f t="shared" si="368"/>
        <v>M&amp;E Specialist</v>
      </c>
      <c r="E614" s="43">
        <v>9557</v>
      </c>
      <c r="F614" s="49" t="s">
        <v>95</v>
      </c>
      <c r="G614" s="43">
        <f t="shared" si="369"/>
        <v>2500</v>
      </c>
      <c r="H614" s="119">
        <f>'LOE Breakdown by Year'!K24</f>
        <v>0.1</v>
      </c>
      <c r="I614" s="43">
        <f t="shared" si="370"/>
        <v>12</v>
      </c>
      <c r="J614" s="43">
        <f t="shared" si="378"/>
        <v>3000</v>
      </c>
      <c r="K614" s="119">
        <f>'LOE Breakdown by Year'!K64</f>
        <v>0.19</v>
      </c>
      <c r="L614" s="43">
        <f t="shared" si="371"/>
        <v>12</v>
      </c>
      <c r="M614" s="43">
        <f t="shared" si="379"/>
        <v>5985</v>
      </c>
      <c r="N614" s="119">
        <f>'LOE Breakdown by Year'!K104</f>
        <v>0.19</v>
      </c>
      <c r="O614" s="43">
        <f t="shared" si="372"/>
        <v>12</v>
      </c>
      <c r="P614" s="43">
        <f t="shared" si="380"/>
        <v>6284.25</v>
      </c>
      <c r="Q614" s="119">
        <f>'LOE Breakdown by Year'!K144</f>
        <v>0.19</v>
      </c>
      <c r="R614" s="43">
        <f t="shared" si="373"/>
        <v>3</v>
      </c>
      <c r="S614" s="43">
        <f t="shared" si="381"/>
        <v>1649.6156250000001</v>
      </c>
      <c r="T614" s="43">
        <f t="shared" si="382"/>
        <v>26475.865624999999</v>
      </c>
      <c r="U614" s="43">
        <v>0</v>
      </c>
      <c r="V614" s="43">
        <f t="shared" si="383"/>
        <v>26475.865624999999</v>
      </c>
    </row>
    <row r="615" spans="1:22">
      <c r="A615" s="7" t="s">
        <v>753</v>
      </c>
      <c r="B615" s="44">
        <v>70000</v>
      </c>
      <c r="C615" s="7" t="s">
        <v>710</v>
      </c>
      <c r="D615" s="7" t="str">
        <f t="shared" si="368"/>
        <v>M&amp;E Officer</v>
      </c>
      <c r="E615" s="43">
        <v>0</v>
      </c>
      <c r="F615" s="49" t="s">
        <v>95</v>
      </c>
      <c r="G615" s="43">
        <f t="shared" si="369"/>
        <v>1000</v>
      </c>
      <c r="H615" s="119">
        <f>'LOE Breakdown by Year'!K25</f>
        <v>0.1</v>
      </c>
      <c r="I615" s="43">
        <f t="shared" si="370"/>
        <v>12</v>
      </c>
      <c r="J615" s="43">
        <f t="shared" si="378"/>
        <v>1200</v>
      </c>
      <c r="K615" s="119">
        <f>'LOE Breakdown by Year'!K65</f>
        <v>0.05</v>
      </c>
      <c r="L615" s="43">
        <f t="shared" si="371"/>
        <v>12</v>
      </c>
      <c r="M615" s="43">
        <f t="shared" si="379"/>
        <v>630</v>
      </c>
      <c r="N615" s="119">
        <f>'LOE Breakdown by Year'!K105</f>
        <v>0.05</v>
      </c>
      <c r="O615" s="43">
        <f t="shared" si="372"/>
        <v>12</v>
      </c>
      <c r="P615" s="43">
        <f t="shared" si="380"/>
        <v>661.5</v>
      </c>
      <c r="Q615" s="119">
        <f>'LOE Breakdown by Year'!K145</f>
        <v>0.05</v>
      </c>
      <c r="R615" s="43">
        <f t="shared" si="373"/>
        <v>3</v>
      </c>
      <c r="S615" s="43">
        <f t="shared" si="381"/>
        <v>173.64375000000001</v>
      </c>
      <c r="T615" s="43">
        <f t="shared" si="382"/>
        <v>2665.1437500000002</v>
      </c>
      <c r="U615" s="43">
        <v>0</v>
      </c>
      <c r="V615" s="43">
        <f t="shared" si="383"/>
        <v>2665.1437500000002</v>
      </c>
    </row>
    <row r="616" spans="1:22">
      <c r="A616" s="7" t="s">
        <v>753</v>
      </c>
      <c r="B616" s="44">
        <v>70000</v>
      </c>
      <c r="C616" s="7" t="s">
        <v>710</v>
      </c>
      <c r="D616" s="7" t="str">
        <f t="shared" si="368"/>
        <v>Partnerships and Investment Director</v>
      </c>
      <c r="E616" s="43">
        <v>0</v>
      </c>
      <c r="F616" s="49" t="s">
        <v>95</v>
      </c>
      <c r="G616" s="43">
        <f t="shared" si="369"/>
        <v>4583.333333333333</v>
      </c>
      <c r="H616" s="119">
        <f>'LOE Breakdown by Year'!K26</f>
        <v>0.1</v>
      </c>
      <c r="I616" s="43">
        <f t="shared" si="370"/>
        <v>12</v>
      </c>
      <c r="J616" s="43">
        <f t="shared" si="378"/>
        <v>5500</v>
      </c>
      <c r="K616" s="119">
        <f>'LOE Breakdown by Year'!K66</f>
        <v>0.05</v>
      </c>
      <c r="L616" s="43">
        <f t="shared" si="371"/>
        <v>12</v>
      </c>
      <c r="M616" s="43">
        <f t="shared" si="379"/>
        <v>2887.5</v>
      </c>
      <c r="N616" s="119">
        <f>'LOE Breakdown by Year'!K106</f>
        <v>0.05</v>
      </c>
      <c r="O616" s="43">
        <f t="shared" si="372"/>
        <v>12</v>
      </c>
      <c r="P616" s="43">
        <f t="shared" si="380"/>
        <v>3031.875</v>
      </c>
      <c r="Q616" s="119">
        <f>'LOE Breakdown by Year'!K146</f>
        <v>0.05</v>
      </c>
      <c r="R616" s="43">
        <f t="shared" si="373"/>
        <v>0</v>
      </c>
      <c r="S616" s="43">
        <f t="shared" si="381"/>
        <v>0</v>
      </c>
      <c r="T616" s="43">
        <f t="shared" si="382"/>
        <v>11419.375</v>
      </c>
      <c r="U616" s="43">
        <v>0</v>
      </c>
      <c r="V616" s="43">
        <f t="shared" si="383"/>
        <v>11419.375</v>
      </c>
    </row>
    <row r="617" spans="1:22">
      <c r="A617" s="7" t="s">
        <v>753</v>
      </c>
      <c r="B617" s="44">
        <v>70000</v>
      </c>
      <c r="C617" s="7" t="s">
        <v>710</v>
      </c>
      <c r="D617" s="7" t="str">
        <f t="shared" si="368"/>
        <v>Partnerships and Investment Specialist</v>
      </c>
      <c r="E617" s="43">
        <v>0</v>
      </c>
      <c r="F617" s="49" t="s">
        <v>95</v>
      </c>
      <c r="G617" s="43">
        <f t="shared" si="369"/>
        <v>1750</v>
      </c>
      <c r="H617" s="119">
        <f>'LOE Breakdown by Year'!K27</f>
        <v>0.1</v>
      </c>
      <c r="I617" s="43">
        <f t="shared" si="370"/>
        <v>12</v>
      </c>
      <c r="J617" s="43">
        <f t="shared" si="378"/>
        <v>2100</v>
      </c>
      <c r="K617" s="119">
        <f>'LOE Breakdown by Year'!K67</f>
        <v>0.2</v>
      </c>
      <c r="L617" s="43">
        <f t="shared" si="371"/>
        <v>12</v>
      </c>
      <c r="M617" s="43">
        <f t="shared" si="379"/>
        <v>4410</v>
      </c>
      <c r="N617" s="119">
        <f>'LOE Breakdown by Year'!K107</f>
        <v>0.2</v>
      </c>
      <c r="O617" s="43">
        <f t="shared" si="372"/>
        <v>12</v>
      </c>
      <c r="P617" s="43">
        <f t="shared" si="380"/>
        <v>4630.5</v>
      </c>
      <c r="Q617" s="119">
        <f>'LOE Breakdown by Year'!K147</f>
        <v>0.2</v>
      </c>
      <c r="R617" s="43">
        <f t="shared" si="373"/>
        <v>0</v>
      </c>
      <c r="S617" s="43">
        <f t="shared" si="381"/>
        <v>0</v>
      </c>
      <c r="T617" s="43">
        <f t="shared" si="382"/>
        <v>11140.5</v>
      </c>
      <c r="U617" s="43">
        <v>0</v>
      </c>
      <c r="V617" s="43">
        <f t="shared" si="383"/>
        <v>11140.5</v>
      </c>
    </row>
    <row r="618" spans="1:22">
      <c r="A618" s="7" t="s">
        <v>753</v>
      </c>
      <c r="B618" s="44">
        <v>70000</v>
      </c>
      <c r="C618" s="7" t="s">
        <v>710</v>
      </c>
      <c r="D618" s="7" t="str">
        <f t="shared" si="368"/>
        <v>Organizational Strengthening Specialist</v>
      </c>
      <c r="E618" s="43">
        <v>0</v>
      </c>
      <c r="F618" s="49" t="s">
        <v>95</v>
      </c>
      <c r="G618" s="43">
        <f t="shared" si="369"/>
        <v>1750</v>
      </c>
      <c r="H618" s="119">
        <f>'LOE Breakdown by Year'!K28</f>
        <v>0.1</v>
      </c>
      <c r="I618" s="43">
        <f t="shared" si="370"/>
        <v>12</v>
      </c>
      <c r="J618" s="43">
        <f t="shared" si="378"/>
        <v>2100</v>
      </c>
      <c r="K618" s="119">
        <f>'LOE Breakdown by Year'!K68</f>
        <v>0</v>
      </c>
      <c r="L618" s="43">
        <f t="shared" si="371"/>
        <v>12</v>
      </c>
      <c r="M618" s="43">
        <f t="shared" si="379"/>
        <v>0</v>
      </c>
      <c r="N618" s="119">
        <f>'LOE Breakdown by Year'!K108</f>
        <v>0</v>
      </c>
      <c r="O618" s="43">
        <f t="shared" si="372"/>
        <v>12</v>
      </c>
      <c r="P618" s="43">
        <f t="shared" si="380"/>
        <v>0</v>
      </c>
      <c r="Q618" s="119">
        <f>'LOE Breakdown by Year'!K148</f>
        <v>0</v>
      </c>
      <c r="R618" s="43">
        <f t="shared" si="373"/>
        <v>0</v>
      </c>
      <c r="S618" s="43">
        <f t="shared" si="381"/>
        <v>0</v>
      </c>
      <c r="T618" s="43">
        <f t="shared" si="382"/>
        <v>2100</v>
      </c>
      <c r="U618" s="43">
        <v>0</v>
      </c>
      <c r="V618" s="43">
        <f t="shared" si="383"/>
        <v>2100</v>
      </c>
    </row>
    <row r="619" spans="1:22" hidden="1">
      <c r="A619" s="7" t="s">
        <v>753</v>
      </c>
      <c r="B619" s="44">
        <v>70000</v>
      </c>
      <c r="C619" s="7" t="s">
        <v>710</v>
      </c>
      <c r="D619" s="7" t="str">
        <f t="shared" si="368"/>
        <v>Value Chain Strengthening Director</v>
      </c>
      <c r="E619" s="43">
        <v>0</v>
      </c>
      <c r="F619" s="49" t="s">
        <v>95</v>
      </c>
      <c r="G619" s="43">
        <f t="shared" si="369"/>
        <v>0</v>
      </c>
      <c r="H619" s="119">
        <f>'LOE Breakdown by Year'!K29</f>
        <v>0.1</v>
      </c>
      <c r="I619" s="43">
        <f t="shared" si="370"/>
        <v>12</v>
      </c>
      <c r="J619" s="43">
        <f t="shared" si="378"/>
        <v>0</v>
      </c>
      <c r="K619" s="119">
        <f>'LOE Breakdown by Year'!K69</f>
        <v>0.4</v>
      </c>
      <c r="L619" s="43">
        <f t="shared" si="371"/>
        <v>12</v>
      </c>
      <c r="M619" s="43">
        <f t="shared" si="379"/>
        <v>0</v>
      </c>
      <c r="N619" s="119">
        <f>'LOE Breakdown by Year'!K109</f>
        <v>0.4</v>
      </c>
      <c r="O619" s="43">
        <f t="shared" si="372"/>
        <v>12</v>
      </c>
      <c r="P619" s="43">
        <f t="shared" si="380"/>
        <v>0</v>
      </c>
      <c r="Q619" s="119">
        <f>'LOE Breakdown by Year'!K149</f>
        <v>0.4</v>
      </c>
      <c r="R619" s="43">
        <f t="shared" si="373"/>
        <v>4</v>
      </c>
      <c r="S619" s="43">
        <f t="shared" si="381"/>
        <v>0</v>
      </c>
      <c r="T619" s="43">
        <f t="shared" si="382"/>
        <v>0</v>
      </c>
      <c r="U619" s="43">
        <v>0</v>
      </c>
      <c r="V619" s="43">
        <f t="shared" si="383"/>
        <v>0</v>
      </c>
    </row>
    <row r="620" spans="1:22">
      <c r="A620" s="7" t="s">
        <v>753</v>
      </c>
      <c r="B620" s="44">
        <v>70000</v>
      </c>
      <c r="C620" s="7" t="s">
        <v>710</v>
      </c>
      <c r="D620" s="7" t="str">
        <f t="shared" si="368"/>
        <v>Communications Specialist</v>
      </c>
      <c r="E620" s="43">
        <v>0</v>
      </c>
      <c r="F620" s="49" t="s">
        <v>95</v>
      </c>
      <c r="G620" s="43">
        <f t="shared" si="369"/>
        <v>1750</v>
      </c>
      <c r="H620" s="119">
        <f>'LOE Breakdown by Year'!K30</f>
        <v>0.1</v>
      </c>
      <c r="I620" s="43">
        <f t="shared" si="370"/>
        <v>12</v>
      </c>
      <c r="J620" s="43">
        <f t="shared" si="378"/>
        <v>2100</v>
      </c>
      <c r="K620" s="119">
        <f>'LOE Breakdown by Year'!K70</f>
        <v>0.18</v>
      </c>
      <c r="L620" s="43">
        <f t="shared" si="371"/>
        <v>12</v>
      </c>
      <c r="M620" s="43">
        <f t="shared" si="379"/>
        <v>3969</v>
      </c>
      <c r="N620" s="119">
        <f>'LOE Breakdown by Year'!K110</f>
        <v>0.18</v>
      </c>
      <c r="O620" s="43">
        <f t="shared" si="372"/>
        <v>12</v>
      </c>
      <c r="P620" s="43">
        <f t="shared" si="380"/>
        <v>4167.45</v>
      </c>
      <c r="Q620" s="119">
        <f>'LOE Breakdown by Year'!K150</f>
        <v>0.18</v>
      </c>
      <c r="R620" s="43">
        <f t="shared" si="373"/>
        <v>0</v>
      </c>
      <c r="S620" s="43">
        <f t="shared" si="381"/>
        <v>0</v>
      </c>
      <c r="T620" s="43">
        <f t="shared" si="382"/>
        <v>10236.450000000001</v>
      </c>
      <c r="U620" s="43">
        <v>0</v>
      </c>
      <c r="V620" s="43">
        <f t="shared" si="383"/>
        <v>10236.450000000001</v>
      </c>
    </row>
    <row r="621" spans="1:22">
      <c r="A621" s="7" t="s">
        <v>753</v>
      </c>
      <c r="B621" s="44">
        <v>70000</v>
      </c>
      <c r="C621" s="7" t="s">
        <v>710</v>
      </c>
      <c r="D621" s="7" t="str">
        <f t="shared" si="368"/>
        <v>Value Chain Specialist</v>
      </c>
      <c r="E621" s="43">
        <v>0</v>
      </c>
      <c r="F621" s="49" t="s">
        <v>95</v>
      </c>
      <c r="G621" s="43">
        <f t="shared" si="369"/>
        <v>2500</v>
      </c>
      <c r="H621" s="119">
        <f>'LOE Breakdown by Year'!K31</f>
        <v>0.1</v>
      </c>
      <c r="I621" s="43">
        <f t="shared" si="370"/>
        <v>12</v>
      </c>
      <c r="J621" s="43">
        <f t="shared" si="378"/>
        <v>3000</v>
      </c>
      <c r="K621" s="119">
        <f>'LOE Breakdown by Year'!K71</f>
        <v>0.5</v>
      </c>
      <c r="L621" s="43">
        <f t="shared" si="371"/>
        <v>12</v>
      </c>
      <c r="M621" s="43">
        <f t="shared" si="379"/>
        <v>15750</v>
      </c>
      <c r="N621" s="119">
        <f>'LOE Breakdown by Year'!K111</f>
        <v>0.5</v>
      </c>
      <c r="O621" s="43">
        <f t="shared" si="372"/>
        <v>12</v>
      </c>
      <c r="P621" s="43">
        <f t="shared" si="380"/>
        <v>16537.5</v>
      </c>
      <c r="Q621" s="119">
        <f>'LOE Breakdown by Year'!K151</f>
        <v>0.5</v>
      </c>
      <c r="R621" s="43">
        <f t="shared" si="373"/>
        <v>0</v>
      </c>
      <c r="S621" s="43">
        <f t="shared" si="381"/>
        <v>0</v>
      </c>
      <c r="T621" s="43">
        <f t="shared" si="382"/>
        <v>35287.5</v>
      </c>
      <c r="U621" s="43">
        <v>0</v>
      </c>
      <c r="V621" s="43">
        <f t="shared" si="383"/>
        <v>35287.5</v>
      </c>
    </row>
    <row r="622" spans="1:22">
      <c r="A622" s="7" t="s">
        <v>753</v>
      </c>
      <c r="B622" s="44">
        <v>70000</v>
      </c>
      <c r="C622" s="7" t="s">
        <v>710</v>
      </c>
      <c r="D622" s="7" t="str">
        <f t="shared" si="368"/>
        <v>Contracts &amp; Compliance Director</v>
      </c>
      <c r="E622" s="43">
        <v>13803.8</v>
      </c>
      <c r="F622" s="49" t="s">
        <v>95</v>
      </c>
      <c r="G622" s="43">
        <f t="shared" si="369"/>
        <v>4583.333333333333</v>
      </c>
      <c r="H622" s="119">
        <f>'LOE Breakdown by Year'!K32</f>
        <v>0.1</v>
      </c>
      <c r="I622" s="43">
        <f t="shared" si="370"/>
        <v>12</v>
      </c>
      <c r="J622" s="43">
        <f t="shared" si="378"/>
        <v>5500</v>
      </c>
      <c r="K622" s="119">
        <f>'LOE Breakdown by Year'!K72</f>
        <v>0.18</v>
      </c>
      <c r="L622" s="43">
        <f t="shared" si="371"/>
        <v>12</v>
      </c>
      <c r="M622" s="43">
        <f t="shared" si="379"/>
        <v>10395</v>
      </c>
      <c r="N622" s="119">
        <f>'LOE Breakdown by Year'!K112</f>
        <v>0.18</v>
      </c>
      <c r="O622" s="43">
        <f t="shared" si="372"/>
        <v>12</v>
      </c>
      <c r="P622" s="43">
        <f t="shared" si="380"/>
        <v>10914.75</v>
      </c>
      <c r="Q622" s="119">
        <f>'LOE Breakdown by Year'!K152</f>
        <v>0.18</v>
      </c>
      <c r="R622" s="43">
        <f t="shared" si="373"/>
        <v>3</v>
      </c>
      <c r="S622" s="43">
        <f t="shared" si="381"/>
        <v>2865.1218750000003</v>
      </c>
      <c r="T622" s="43">
        <f t="shared" si="382"/>
        <v>43478.671875</v>
      </c>
      <c r="U622" s="43">
        <v>0</v>
      </c>
      <c r="V622" s="43">
        <f t="shared" si="383"/>
        <v>43478.671875</v>
      </c>
    </row>
    <row r="623" spans="1:22">
      <c r="A623" s="7" t="s">
        <v>753</v>
      </c>
      <c r="B623" s="44">
        <v>70000</v>
      </c>
      <c r="C623" s="7" t="s">
        <v>710</v>
      </c>
      <c r="D623" s="7" t="str">
        <f t="shared" si="368"/>
        <v>Grants &amp; Procurement Specialist (2)</v>
      </c>
      <c r="E623" s="43">
        <v>0</v>
      </c>
      <c r="F623" s="49" t="s">
        <v>95</v>
      </c>
      <c r="G623" s="43">
        <f t="shared" si="369"/>
        <v>3500</v>
      </c>
      <c r="H623" s="119">
        <f>'LOE Breakdown by Year'!K33</f>
        <v>0.1</v>
      </c>
      <c r="I623" s="43">
        <f t="shared" si="370"/>
        <v>12</v>
      </c>
      <c r="J623" s="43">
        <f t="shared" si="378"/>
        <v>4200</v>
      </c>
      <c r="K623" s="119">
        <f>'LOE Breakdown by Year'!K73</f>
        <v>0.15</v>
      </c>
      <c r="L623" s="43">
        <f t="shared" si="371"/>
        <v>12</v>
      </c>
      <c r="M623" s="43">
        <f t="shared" si="379"/>
        <v>6615</v>
      </c>
      <c r="N623" s="119">
        <f>'LOE Breakdown by Year'!K113</f>
        <v>0.15</v>
      </c>
      <c r="O623" s="43">
        <f t="shared" si="372"/>
        <v>12</v>
      </c>
      <c r="P623" s="43">
        <f t="shared" si="380"/>
        <v>6945.75</v>
      </c>
      <c r="Q623" s="119">
        <f>'LOE Breakdown by Year'!K153</f>
        <v>0.15</v>
      </c>
      <c r="R623" s="43">
        <f t="shared" si="373"/>
        <v>0</v>
      </c>
      <c r="S623" s="43">
        <f t="shared" si="381"/>
        <v>0</v>
      </c>
      <c r="T623" s="43">
        <f t="shared" si="382"/>
        <v>17760.75</v>
      </c>
      <c r="U623" s="43">
        <v>0</v>
      </c>
      <c r="V623" s="43">
        <f t="shared" si="383"/>
        <v>17760.75</v>
      </c>
    </row>
    <row r="624" spans="1:22">
      <c r="A624" s="7" t="s">
        <v>753</v>
      </c>
      <c r="B624" s="44">
        <v>70000</v>
      </c>
      <c r="C624" s="7" t="s">
        <v>710</v>
      </c>
      <c r="D624" s="7" t="str">
        <f t="shared" si="368"/>
        <v xml:space="preserve">F&amp;A Director </v>
      </c>
      <c r="E624" s="43">
        <v>6045.6</v>
      </c>
      <c r="F624" s="49" t="s">
        <v>95</v>
      </c>
      <c r="G624" s="43">
        <f t="shared" si="369"/>
        <v>5279.4</v>
      </c>
      <c r="H624" s="119">
        <f>'LOE Breakdown by Year'!K34</f>
        <v>0.1</v>
      </c>
      <c r="I624" s="43">
        <f t="shared" si="370"/>
        <v>12</v>
      </c>
      <c r="J624" s="43">
        <f t="shared" si="378"/>
        <v>6335.28</v>
      </c>
      <c r="K624" s="119">
        <f>'LOE Breakdown by Year'!K74</f>
        <v>0.15</v>
      </c>
      <c r="L624" s="43">
        <f t="shared" si="371"/>
        <v>12</v>
      </c>
      <c r="M624" s="43">
        <f t="shared" si="379"/>
        <v>9978.0659999999989</v>
      </c>
      <c r="N624" s="119">
        <f>'LOE Breakdown by Year'!K114</f>
        <v>0.15</v>
      </c>
      <c r="O624" s="43">
        <f t="shared" si="372"/>
        <v>12</v>
      </c>
      <c r="P624" s="43">
        <f t="shared" si="380"/>
        <v>10476.969299999999</v>
      </c>
      <c r="Q624" s="119">
        <f>'LOE Breakdown by Year'!K154</f>
        <v>0.15</v>
      </c>
      <c r="R624" s="43">
        <f t="shared" si="373"/>
        <v>6</v>
      </c>
      <c r="S624" s="43">
        <f t="shared" si="381"/>
        <v>5500.4088824999999</v>
      </c>
      <c r="T624" s="43">
        <f t="shared" si="382"/>
        <v>38336.324182499993</v>
      </c>
      <c r="U624" s="43">
        <v>0</v>
      </c>
      <c r="V624" s="43">
        <f t="shared" si="383"/>
        <v>38336.324182499993</v>
      </c>
    </row>
    <row r="625" spans="1:22">
      <c r="A625" s="7" t="s">
        <v>753</v>
      </c>
      <c r="B625" s="44">
        <v>70000</v>
      </c>
      <c r="C625" s="7" t="s">
        <v>710</v>
      </c>
      <c r="D625" s="7" t="str">
        <f t="shared" si="368"/>
        <v>Accounting &amp; Finance Specialist</v>
      </c>
      <c r="E625" s="43">
        <v>0</v>
      </c>
      <c r="F625" s="49" t="s">
        <v>95</v>
      </c>
      <c r="G625" s="43">
        <f t="shared" si="369"/>
        <v>1750</v>
      </c>
      <c r="H625" s="119">
        <f>'LOE Breakdown by Year'!K35</f>
        <v>0.1</v>
      </c>
      <c r="I625" s="43">
        <f t="shared" si="370"/>
        <v>12</v>
      </c>
      <c r="J625" s="43">
        <f t="shared" si="378"/>
        <v>2100</v>
      </c>
      <c r="K625" s="119">
        <f>'LOE Breakdown by Year'!K75</f>
        <v>0.16</v>
      </c>
      <c r="L625" s="43">
        <f t="shared" si="371"/>
        <v>12</v>
      </c>
      <c r="M625" s="43">
        <f t="shared" si="379"/>
        <v>3528</v>
      </c>
      <c r="N625" s="119">
        <f>'LOE Breakdown by Year'!K115</f>
        <v>0.16</v>
      </c>
      <c r="O625" s="43">
        <f t="shared" si="372"/>
        <v>12</v>
      </c>
      <c r="P625" s="43">
        <f t="shared" si="380"/>
        <v>3704.4</v>
      </c>
      <c r="Q625" s="119">
        <f>'LOE Breakdown by Year'!K155</f>
        <v>0.16</v>
      </c>
      <c r="R625" s="43">
        <f t="shared" si="373"/>
        <v>3</v>
      </c>
      <c r="S625" s="43">
        <f t="shared" si="381"/>
        <v>972.40500000000009</v>
      </c>
      <c r="T625" s="43">
        <f t="shared" si="382"/>
        <v>10304.805</v>
      </c>
      <c r="U625" s="43">
        <v>0</v>
      </c>
      <c r="V625" s="43">
        <f t="shared" si="383"/>
        <v>10304.805</v>
      </c>
    </row>
    <row r="626" spans="1:22">
      <c r="A626" s="7" t="s">
        <v>753</v>
      </c>
      <c r="B626" s="44">
        <v>70000</v>
      </c>
      <c r="C626" s="7" t="s">
        <v>710</v>
      </c>
      <c r="D626" s="7" t="str">
        <f t="shared" si="368"/>
        <v xml:space="preserve">Accountant </v>
      </c>
      <c r="E626" s="43">
        <v>0</v>
      </c>
      <c r="F626" s="49" t="s">
        <v>95</v>
      </c>
      <c r="G626" s="43">
        <f t="shared" si="369"/>
        <v>1750</v>
      </c>
      <c r="H626" s="119">
        <f>'LOE Breakdown by Year'!K36</f>
        <v>0.1</v>
      </c>
      <c r="I626" s="43">
        <f t="shared" si="370"/>
        <v>12</v>
      </c>
      <c r="J626" s="43">
        <f t="shared" si="378"/>
        <v>2100</v>
      </c>
      <c r="K626" s="119">
        <f>'LOE Breakdown by Year'!K76</f>
        <v>0.16</v>
      </c>
      <c r="L626" s="43">
        <f t="shared" si="371"/>
        <v>12</v>
      </c>
      <c r="M626" s="43">
        <f t="shared" si="379"/>
        <v>3528</v>
      </c>
      <c r="N626" s="119">
        <f>'LOE Breakdown by Year'!K116</f>
        <v>0.16</v>
      </c>
      <c r="O626" s="43">
        <f t="shared" si="372"/>
        <v>12</v>
      </c>
      <c r="P626" s="43">
        <f t="shared" si="380"/>
        <v>3704.4</v>
      </c>
      <c r="Q626" s="119">
        <f>'LOE Breakdown by Year'!K156</f>
        <v>0.16</v>
      </c>
      <c r="R626" s="43">
        <f t="shared" si="373"/>
        <v>5</v>
      </c>
      <c r="S626" s="43">
        <f t="shared" si="381"/>
        <v>1620.6750000000002</v>
      </c>
      <c r="T626" s="43">
        <f t="shared" si="382"/>
        <v>10953.075000000001</v>
      </c>
      <c r="U626" s="43">
        <v>0</v>
      </c>
      <c r="V626" s="43">
        <f t="shared" si="383"/>
        <v>10953.075000000001</v>
      </c>
    </row>
    <row r="627" spans="1:22">
      <c r="A627" s="7" t="s">
        <v>753</v>
      </c>
      <c r="B627" s="44">
        <v>70000</v>
      </c>
      <c r="C627" s="7" t="s">
        <v>710</v>
      </c>
      <c r="D627" s="7" t="str">
        <f t="shared" si="368"/>
        <v>Finance &amp; Admin Coordinator - 50% LOE</v>
      </c>
      <c r="E627" s="43">
        <v>0</v>
      </c>
      <c r="F627" s="49" t="s">
        <v>95</v>
      </c>
      <c r="G627" s="43">
        <f t="shared" si="369"/>
        <v>2583.3333333333335</v>
      </c>
      <c r="H627" s="119">
        <f>'LOE Breakdown by Year'!K37</f>
        <v>0.05</v>
      </c>
      <c r="I627" s="43">
        <f t="shared" si="370"/>
        <v>12</v>
      </c>
      <c r="J627" s="43">
        <f t="shared" si="378"/>
        <v>1550</v>
      </c>
      <c r="K627" s="119">
        <f>'LOE Breakdown by Year'!K77</f>
        <v>0.05</v>
      </c>
      <c r="L627" s="43">
        <f t="shared" si="371"/>
        <v>12</v>
      </c>
      <c r="M627" s="43">
        <f t="shared" si="379"/>
        <v>1627.5</v>
      </c>
      <c r="N627" s="119">
        <f>'LOE Breakdown by Year'!K117</f>
        <v>0.05</v>
      </c>
      <c r="O627" s="43">
        <f t="shared" si="372"/>
        <v>12</v>
      </c>
      <c r="P627" s="43">
        <f t="shared" si="380"/>
        <v>1708.875</v>
      </c>
      <c r="Q627" s="119">
        <f>'LOE Breakdown by Year'!K157</f>
        <v>0.05</v>
      </c>
      <c r="R627" s="43">
        <f t="shared" si="373"/>
        <v>6</v>
      </c>
      <c r="S627" s="43">
        <f t="shared" si="381"/>
        <v>897.15937500000007</v>
      </c>
      <c r="T627" s="43">
        <f t="shared" si="382"/>
        <v>5783.5343750000002</v>
      </c>
      <c r="U627" s="43">
        <v>0</v>
      </c>
      <c r="V627" s="43">
        <f t="shared" si="383"/>
        <v>5783.5343750000002</v>
      </c>
    </row>
    <row r="628" spans="1:22">
      <c r="A628" s="7" t="s">
        <v>753</v>
      </c>
      <c r="B628" s="44">
        <v>70000</v>
      </c>
      <c r="C628" s="7" t="s">
        <v>710</v>
      </c>
      <c r="D628" s="7" t="str">
        <f t="shared" si="368"/>
        <v xml:space="preserve">Administrative Officer </v>
      </c>
      <c r="E628" s="43">
        <v>9824.1</v>
      </c>
      <c r="F628" s="49" t="s">
        <v>95</v>
      </c>
      <c r="G628" s="43">
        <f t="shared" si="369"/>
        <v>1000</v>
      </c>
      <c r="H628" s="119">
        <f>'LOE Breakdown by Year'!K38</f>
        <v>0.1</v>
      </c>
      <c r="I628" s="43">
        <f t="shared" si="370"/>
        <v>12</v>
      </c>
      <c r="J628" s="43">
        <f t="shared" si="378"/>
        <v>1200</v>
      </c>
      <c r="K628" s="119">
        <f>'LOE Breakdown by Year'!K78</f>
        <v>0.1</v>
      </c>
      <c r="L628" s="43">
        <f t="shared" si="371"/>
        <v>12</v>
      </c>
      <c r="M628" s="43">
        <f t="shared" si="379"/>
        <v>1260</v>
      </c>
      <c r="N628" s="119">
        <f>'LOE Breakdown by Year'!K118</f>
        <v>0.1</v>
      </c>
      <c r="O628" s="43">
        <f t="shared" si="372"/>
        <v>12</v>
      </c>
      <c r="P628" s="43">
        <f t="shared" si="380"/>
        <v>1323</v>
      </c>
      <c r="Q628" s="119">
        <f>'LOE Breakdown by Year'!K158</f>
        <v>0.1</v>
      </c>
      <c r="R628" s="43">
        <f t="shared" si="373"/>
        <v>3</v>
      </c>
      <c r="S628" s="43">
        <f t="shared" si="381"/>
        <v>347.28750000000002</v>
      </c>
      <c r="T628" s="43">
        <f t="shared" si="382"/>
        <v>13954.387500000001</v>
      </c>
      <c r="U628" s="43">
        <v>0</v>
      </c>
      <c r="V628" s="43">
        <f t="shared" si="383"/>
        <v>13954.387500000001</v>
      </c>
    </row>
    <row r="629" spans="1:22">
      <c r="A629" s="7" t="s">
        <v>753</v>
      </c>
      <c r="B629" s="44">
        <v>70000</v>
      </c>
      <c r="C629" s="7" t="s">
        <v>710</v>
      </c>
      <c r="D629" s="7" t="str">
        <f t="shared" si="368"/>
        <v>Human Resource Manager</v>
      </c>
      <c r="E629" s="43">
        <v>0</v>
      </c>
      <c r="F629" s="49" t="s">
        <v>95</v>
      </c>
      <c r="G629" s="43">
        <f t="shared" si="369"/>
        <v>1954.1666666666667</v>
      </c>
      <c r="H629" s="119">
        <f>'LOE Breakdown by Year'!K39</f>
        <v>0.1</v>
      </c>
      <c r="I629" s="43">
        <f t="shared" si="370"/>
        <v>12</v>
      </c>
      <c r="J629" s="43">
        <f t="shared" si="378"/>
        <v>2345</v>
      </c>
      <c r="K629" s="119">
        <f>'LOE Breakdown by Year'!K79</f>
        <v>0.1</v>
      </c>
      <c r="L629" s="43">
        <f t="shared" si="371"/>
        <v>12</v>
      </c>
      <c r="M629" s="43">
        <f t="shared" si="379"/>
        <v>2462.25</v>
      </c>
      <c r="N629" s="119">
        <f>'LOE Breakdown by Year'!K119</f>
        <v>0.1</v>
      </c>
      <c r="O629" s="43">
        <f t="shared" si="372"/>
        <v>12</v>
      </c>
      <c r="P629" s="43">
        <f t="shared" si="380"/>
        <v>2585.3625000000002</v>
      </c>
      <c r="Q629" s="119">
        <f>'LOE Breakdown by Year'!K159</f>
        <v>0.1</v>
      </c>
      <c r="R629" s="43">
        <f t="shared" si="373"/>
        <v>6</v>
      </c>
      <c r="S629" s="43">
        <f t="shared" si="381"/>
        <v>1357.3153125000001</v>
      </c>
      <c r="T629" s="43">
        <f t="shared" si="382"/>
        <v>8749.9278125000001</v>
      </c>
      <c r="U629" s="43">
        <v>0</v>
      </c>
      <c r="V629" s="43">
        <f t="shared" si="383"/>
        <v>8749.9278125000001</v>
      </c>
    </row>
    <row r="630" spans="1:22">
      <c r="A630" s="7" t="s">
        <v>753</v>
      </c>
      <c r="B630" s="44">
        <v>70000</v>
      </c>
      <c r="C630" s="7" t="s">
        <v>710</v>
      </c>
      <c r="D630" s="7" t="str">
        <f t="shared" si="368"/>
        <v>Human Resource Specialist</v>
      </c>
      <c r="E630" s="43">
        <v>0</v>
      </c>
      <c r="F630" s="49" t="s">
        <v>95</v>
      </c>
      <c r="G630" s="43">
        <f t="shared" si="369"/>
        <v>1750</v>
      </c>
      <c r="H630" s="119">
        <f>'LOE Breakdown by Year'!K40</f>
        <v>0.1</v>
      </c>
      <c r="I630" s="43">
        <f t="shared" si="370"/>
        <v>12</v>
      </c>
      <c r="J630" s="43">
        <f t="shared" si="378"/>
        <v>2100</v>
      </c>
      <c r="K630" s="119">
        <f>'LOE Breakdown by Year'!K80</f>
        <v>0.1</v>
      </c>
      <c r="L630" s="43">
        <f t="shared" si="371"/>
        <v>12</v>
      </c>
      <c r="M630" s="43">
        <f t="shared" si="379"/>
        <v>2205</v>
      </c>
      <c r="N630" s="119">
        <f>'LOE Breakdown by Year'!K120</f>
        <v>0.1</v>
      </c>
      <c r="O630" s="43">
        <f t="shared" si="372"/>
        <v>12</v>
      </c>
      <c r="P630" s="43">
        <f t="shared" si="380"/>
        <v>2315.25</v>
      </c>
      <c r="Q630" s="119">
        <f>'LOE Breakdown by Year'!K160</f>
        <v>0.1</v>
      </c>
      <c r="R630" s="43">
        <f t="shared" si="373"/>
        <v>3</v>
      </c>
      <c r="S630" s="43">
        <f t="shared" si="381"/>
        <v>607.75312500000007</v>
      </c>
      <c r="T630" s="43">
        <f t="shared" si="382"/>
        <v>7228.0031250000002</v>
      </c>
      <c r="U630" s="43">
        <v>0</v>
      </c>
      <c r="V630" s="43">
        <f t="shared" si="383"/>
        <v>7228.0031250000002</v>
      </c>
    </row>
    <row r="631" spans="1:22">
      <c r="A631" s="40"/>
      <c r="B631" s="40"/>
      <c r="C631" s="40"/>
      <c r="D631" s="40" t="s">
        <v>410</v>
      </c>
      <c r="E631" s="47">
        <f>SUM(E601:E630)</f>
        <v>109576.50000000001</v>
      </c>
      <c r="F631" s="45"/>
      <c r="G631" s="46"/>
      <c r="H631" s="132"/>
      <c r="I631" s="47"/>
      <c r="J631" s="47">
        <f>SUM(J601:J630)</f>
        <v>83830.28</v>
      </c>
      <c r="K631" s="132"/>
      <c r="L631" s="47"/>
      <c r="M631" s="47">
        <f>SUM(M601:M630)</f>
        <v>140540.31599999999</v>
      </c>
      <c r="N631" s="132"/>
      <c r="O631" s="47"/>
      <c r="P631" s="47">
        <f>SUM(P601:P630)</f>
        <v>147567.33179999999</v>
      </c>
      <c r="Q631" s="132"/>
      <c r="R631" s="47"/>
      <c r="S631" s="47">
        <f>SUM(S601:S630)</f>
        <v>33187.904819999996</v>
      </c>
      <c r="T631" s="47">
        <f>SUM(T601:T630)</f>
        <v>514702.33262</v>
      </c>
      <c r="U631" s="47">
        <f>SUM(U601:U630)</f>
        <v>0</v>
      </c>
      <c r="V631" s="47">
        <f>SUM(V601:V630)</f>
        <v>514702.33262</v>
      </c>
    </row>
    <row r="632" spans="1:22">
      <c r="A632" s="104"/>
      <c r="B632" s="104"/>
      <c r="C632" s="104"/>
      <c r="D632" s="104"/>
      <c r="E632" s="593"/>
      <c r="F632" s="81"/>
      <c r="G632" s="62"/>
      <c r="H632" s="133"/>
      <c r="I632" s="62"/>
      <c r="J632" s="62"/>
      <c r="K632" s="133"/>
      <c r="L632" s="62"/>
      <c r="M632" s="62"/>
      <c r="N632" s="133"/>
      <c r="O632" s="62"/>
      <c r="P632" s="62"/>
      <c r="Q632" s="133"/>
      <c r="R632" s="62"/>
      <c r="S632" s="62"/>
      <c r="T632" s="62"/>
      <c r="U632" s="62"/>
      <c r="V632" s="62"/>
    </row>
    <row r="633" spans="1:22">
      <c r="A633" s="40"/>
      <c r="B633" s="40"/>
      <c r="C633" s="40"/>
      <c r="D633" s="40" t="s">
        <v>411</v>
      </c>
      <c r="E633" s="47"/>
      <c r="F633" s="45"/>
      <c r="G633" s="46"/>
      <c r="H633" s="132"/>
      <c r="I633" s="47"/>
      <c r="J633" s="47"/>
      <c r="K633" s="132"/>
      <c r="L633" s="47"/>
      <c r="M633" s="47"/>
      <c r="N633" s="132"/>
      <c r="O633" s="47"/>
      <c r="P633" s="47"/>
      <c r="Q633" s="132"/>
      <c r="R633" s="47"/>
      <c r="S633" s="47"/>
      <c r="T633" s="47"/>
      <c r="U633" s="47"/>
      <c r="V633" s="47"/>
    </row>
    <row r="634" spans="1:22" ht="25.2">
      <c r="A634" s="7" t="s">
        <v>819</v>
      </c>
      <c r="B634" s="44">
        <v>70015</v>
      </c>
      <c r="C634" s="7" t="s">
        <v>710</v>
      </c>
      <c r="D634" s="7" t="str">
        <f>D51</f>
        <v>Fringe Benefits CCN - Colombia (above $3,350 monthly)</v>
      </c>
      <c r="E634" s="43">
        <v>3475.69</v>
      </c>
      <c r="F634" s="82" t="s">
        <v>132</v>
      </c>
      <c r="G634" s="59">
        <f>G51</f>
        <v>0.53864000000000001</v>
      </c>
      <c r="H634" s="120"/>
      <c r="I634" s="43"/>
      <c r="J634" s="43">
        <f>(J603+J619+J612+J616+J624+J622+J602)*$G$51</f>
        <v>16609.115219200001</v>
      </c>
      <c r="K634" s="120"/>
      <c r="L634" s="43"/>
      <c r="M634" s="43">
        <f>(M603+M619+M612+M616+M624+M622+M602)*$G$51</f>
        <v>25678.620270240001</v>
      </c>
      <c r="N634" s="120"/>
      <c r="O634" s="43"/>
      <c r="P634" s="43">
        <f>(P603+P619+P612+P616+P624+P622+P602)*$G$51</f>
        <v>26962.551283752</v>
      </c>
      <c r="Q634" s="120"/>
      <c r="R634" s="43"/>
      <c r="S634" s="43">
        <f>(S603+S619+S612+S616+S624+S622+S602)*$G$51</f>
        <v>11754.698373469801</v>
      </c>
      <c r="T634" s="43">
        <f t="shared" ref="T634:T637" si="384">SUM(P634,M634,J634,E634,S634)</f>
        <v>84480.675146661801</v>
      </c>
      <c r="U634" s="43">
        <v>0</v>
      </c>
      <c r="V634" s="43">
        <f t="shared" ref="V634:V637" si="385">SUM(T634:U634)</f>
        <v>84480.675146661801</v>
      </c>
    </row>
    <row r="635" spans="1:22" ht="25.2">
      <c r="A635" s="7" t="s">
        <v>819</v>
      </c>
      <c r="B635" s="44">
        <v>70015</v>
      </c>
      <c r="C635" s="7" t="s">
        <v>710</v>
      </c>
      <c r="D635" s="7" t="str">
        <f>D52</f>
        <v>Fringe Benefits CCN - Colombia (below $3,350 monthly)</v>
      </c>
      <c r="E635" s="83">
        <v>37609.050000000003</v>
      </c>
      <c r="F635" s="82" t="s">
        <v>132</v>
      </c>
      <c r="G635" s="59">
        <f>G52</f>
        <v>0.44863999999999998</v>
      </c>
      <c r="H635" s="125"/>
      <c r="I635" s="83"/>
      <c r="J635" s="43">
        <f>(J604+J605+J606+J607+J608+J609+J610+J611+J613+J614+J615+J617+J618+J620+J621+J623+J625+J626+J627+J628+J629+J630)*$G$52</f>
        <v>16103.932799999999</v>
      </c>
      <c r="K635" s="125"/>
      <c r="L635" s="83"/>
      <c r="M635" s="43">
        <f>(M604+M605+M606+M607+M608+M609+M610+M611+M613+M614+M615+M617+M618+M620+M621+M623+M625+M626+M627+M628+M629+M630)*$G$52</f>
        <v>26358.833759999998</v>
      </c>
      <c r="N635" s="125"/>
      <c r="O635" s="83"/>
      <c r="P635" s="43">
        <f>(P604+P605+P606+P607+P608+P609+P610+P611+P613+P614+P615+P617+P618+P620+P621+P623+P625+P626+P627+P628+P629+P630)*$G$52</f>
        <v>27676.775448000004</v>
      </c>
      <c r="Q635" s="125"/>
      <c r="R635" s="83"/>
      <c r="S635" s="43">
        <f>(S604+S605+S606+S607+S608+S609+S610+S611+S613+S614+S615+S617+S618+S620+S621+S623+S625+S626+S627+S628+S629+S630)*$G$52</f>
        <v>5098.7861694000003</v>
      </c>
      <c r="T635" s="43">
        <f t="shared" si="384"/>
        <v>112847.37817740001</v>
      </c>
      <c r="U635" s="43">
        <v>0</v>
      </c>
      <c r="V635" s="43">
        <f t="shared" si="385"/>
        <v>112847.37817740001</v>
      </c>
    </row>
    <row r="636" spans="1:22">
      <c r="A636" s="7" t="s">
        <v>820</v>
      </c>
      <c r="B636" s="44">
        <v>50202</v>
      </c>
      <c r="C636" s="7" t="s">
        <v>709</v>
      </c>
      <c r="D636" s="7" t="str">
        <f>D54</f>
        <v>Post (Hardship) Differential for Chief of Party</v>
      </c>
      <c r="E636" s="83">
        <v>1057.98</v>
      </c>
      <c r="F636" s="82" t="s">
        <v>132</v>
      </c>
      <c r="G636" s="59">
        <f>G54</f>
        <v>0.15</v>
      </c>
      <c r="H636" s="125"/>
      <c r="I636" s="83"/>
      <c r="J636" s="83">
        <f>J601*$G$312</f>
        <v>2565</v>
      </c>
      <c r="K636" s="125"/>
      <c r="L636" s="83"/>
      <c r="M636" s="83">
        <f>M601*$G$312</f>
        <v>5117.1750000000002</v>
      </c>
      <c r="N636" s="125"/>
      <c r="O636" s="83"/>
      <c r="P636" s="83">
        <f>P601*$G$312</f>
        <v>5373.0337499999996</v>
      </c>
      <c r="Q636" s="125"/>
      <c r="R636" s="83"/>
      <c r="S636" s="83">
        <f>S601*$G$312</f>
        <v>0</v>
      </c>
      <c r="T636" s="43">
        <f t="shared" si="384"/>
        <v>14113.188749999999</v>
      </c>
      <c r="U636" s="43">
        <v>0</v>
      </c>
      <c r="V636" s="43">
        <f t="shared" si="385"/>
        <v>14113.188749999999</v>
      </c>
    </row>
    <row r="637" spans="1:22">
      <c r="A637" s="7" t="s">
        <v>819</v>
      </c>
      <c r="B637" s="44">
        <v>50900</v>
      </c>
      <c r="C637" s="7" t="s">
        <v>709</v>
      </c>
      <c r="D637" s="7" t="str">
        <f>D55</f>
        <v>Fringe Benefits Package for Chief of Party</v>
      </c>
      <c r="E637" s="83">
        <v>1303.3800000000001</v>
      </c>
      <c r="F637" s="82" t="s">
        <v>132</v>
      </c>
      <c r="G637" s="59">
        <f>G55</f>
        <v>0.56469999999999998</v>
      </c>
      <c r="H637" s="125"/>
      <c r="I637" s="83"/>
      <c r="J637" s="83">
        <f>J601*$G$313</f>
        <v>9656.369999999999</v>
      </c>
      <c r="K637" s="125"/>
      <c r="L637" s="83"/>
      <c r="M637" s="83">
        <f>M601*$G$313</f>
        <v>19264.458149999999</v>
      </c>
      <c r="N637" s="125"/>
      <c r="O637" s="83"/>
      <c r="P637" s="83">
        <f>P601*$G$313</f>
        <v>20227.681057499998</v>
      </c>
      <c r="Q637" s="125"/>
      <c r="R637" s="83"/>
      <c r="S637" s="83">
        <f>S601*$G$313</f>
        <v>0</v>
      </c>
      <c r="T637" s="43">
        <f t="shared" si="384"/>
        <v>50451.889207499997</v>
      </c>
      <c r="U637" s="43">
        <v>0</v>
      </c>
      <c r="V637" s="43">
        <f t="shared" si="385"/>
        <v>50451.889207499997</v>
      </c>
    </row>
    <row r="638" spans="1:22">
      <c r="A638" s="40"/>
      <c r="B638" s="40"/>
      <c r="C638" s="40"/>
      <c r="D638" s="40" t="s">
        <v>412</v>
      </c>
      <c r="E638" s="47">
        <f>SUM(E634:E637)</f>
        <v>43446.100000000006</v>
      </c>
      <c r="F638" s="45"/>
      <c r="G638" s="46"/>
      <c r="H638" s="132"/>
      <c r="I638" s="47"/>
      <c r="J638" s="47">
        <f>SUM(J634:J637)</f>
        <v>44934.418019199991</v>
      </c>
      <c r="K638" s="132"/>
      <c r="L638" s="47"/>
      <c r="M638" s="47">
        <f>SUM(M634:M637)</f>
        <v>76419.087180239992</v>
      </c>
      <c r="N638" s="132"/>
      <c r="O638" s="47"/>
      <c r="P638" s="47">
        <f>SUM(P634:P637)</f>
        <v>80240.041539252008</v>
      </c>
      <c r="Q638" s="132"/>
      <c r="R638" s="47"/>
      <c r="S638" s="47">
        <f>SUM(S634:S637)</f>
        <v>16853.484542869803</v>
      </c>
      <c r="T638" s="47">
        <f>SUM(T634:T637)</f>
        <v>261893.1312815618</v>
      </c>
      <c r="U638" s="47">
        <f>SUM(U634:U637)</f>
        <v>0</v>
      </c>
      <c r="V638" s="47">
        <f>SUM(V634:V637)</f>
        <v>261893.1312815618</v>
      </c>
    </row>
    <row r="639" spans="1:22">
      <c r="A639" s="104"/>
      <c r="B639" s="104"/>
      <c r="C639" s="104"/>
      <c r="D639" s="104"/>
      <c r="E639" s="62"/>
      <c r="F639" s="81"/>
      <c r="G639" s="62"/>
      <c r="H639" s="133"/>
      <c r="I639" s="62"/>
      <c r="J639" s="83">
        <f>J603*$G$313</f>
        <v>0</v>
      </c>
      <c r="K639" s="133"/>
      <c r="L639" s="62"/>
      <c r="M639" s="62"/>
      <c r="N639" s="133"/>
      <c r="O639" s="62"/>
      <c r="P639" s="62"/>
      <c r="Q639" s="133"/>
      <c r="R639" s="62"/>
      <c r="S639" s="62"/>
      <c r="T639" s="62"/>
      <c r="U639" s="62"/>
      <c r="V639" s="62"/>
    </row>
    <row r="640" spans="1:22">
      <c r="A640" s="40"/>
      <c r="B640" s="40"/>
      <c r="C640" s="40"/>
      <c r="D640" s="40" t="s">
        <v>413</v>
      </c>
      <c r="E640" s="46"/>
      <c r="F640" s="45"/>
      <c r="G640" s="46"/>
      <c r="H640" s="132"/>
      <c r="I640" s="46"/>
      <c r="J640" s="46"/>
      <c r="K640" s="132"/>
      <c r="L640" s="46"/>
      <c r="M640" s="46"/>
      <c r="N640" s="132"/>
      <c r="O640" s="46"/>
      <c r="P640" s="46"/>
      <c r="Q640" s="132"/>
      <c r="R640" s="46"/>
      <c r="S640" s="46"/>
      <c r="T640" s="46"/>
      <c r="U640" s="46"/>
      <c r="V640" s="46"/>
    </row>
    <row r="641" spans="1:22" ht="25.2">
      <c r="A641" s="7" t="s">
        <v>822</v>
      </c>
      <c r="B641" s="44">
        <v>89400</v>
      </c>
      <c r="C641" s="7" t="s">
        <v>710</v>
      </c>
      <c r="D641" s="7" t="s">
        <v>414</v>
      </c>
      <c r="E641" s="42">
        <v>6977.05</v>
      </c>
      <c r="F641" s="7" t="s">
        <v>139</v>
      </c>
      <c r="G641" s="42">
        <v>2500</v>
      </c>
      <c r="H641" s="468"/>
      <c r="I641" s="469">
        <v>1</v>
      </c>
      <c r="J641" s="43">
        <f>G641*I641</f>
        <v>2500</v>
      </c>
      <c r="K641" s="468"/>
      <c r="L641" s="469">
        <v>1</v>
      </c>
      <c r="M641" s="43">
        <f>G641*L641</f>
        <v>2500</v>
      </c>
      <c r="N641" s="468"/>
      <c r="O641" s="469">
        <v>1</v>
      </c>
      <c r="P641" s="43">
        <f>J641*O641</f>
        <v>2500</v>
      </c>
      <c r="Q641" s="468"/>
      <c r="R641" s="469">
        <v>0</v>
      </c>
      <c r="S641" s="42">
        <v>0</v>
      </c>
      <c r="T641" s="43">
        <f t="shared" ref="T641" si="386">SUM(P641,M641,J641,E641,S641)</f>
        <v>14477.05</v>
      </c>
      <c r="U641" s="43">
        <v>0</v>
      </c>
      <c r="V641" s="43">
        <f t="shared" ref="V641" si="387">SUM(T641:U641)</f>
        <v>14477.05</v>
      </c>
    </row>
    <row r="642" spans="1:22" ht="24.9">
      <c r="A642" s="40"/>
      <c r="B642" s="40"/>
      <c r="C642" s="40"/>
      <c r="D642" s="40" t="s">
        <v>415</v>
      </c>
      <c r="E642" s="47">
        <f>SUM(E641:E641)</f>
        <v>6977.05</v>
      </c>
      <c r="F642" s="45"/>
      <c r="G642" s="47"/>
      <c r="H642" s="135"/>
      <c r="I642" s="47"/>
      <c r="J642" s="47">
        <f>SUM(J641:J641)</f>
        <v>2500</v>
      </c>
      <c r="K642" s="135"/>
      <c r="L642" s="47"/>
      <c r="M642" s="47">
        <f>SUM(M641:M641)</f>
        <v>2500</v>
      </c>
      <c r="N642" s="135"/>
      <c r="O642" s="47"/>
      <c r="P642" s="47">
        <f>SUM(P641:P641)</f>
        <v>2500</v>
      </c>
      <c r="Q642" s="135"/>
      <c r="R642" s="47"/>
      <c r="S642" s="47">
        <f>SUM(S641:S641)</f>
        <v>0</v>
      </c>
      <c r="T642" s="47">
        <f>SUM(T641:T641)</f>
        <v>14477.05</v>
      </c>
      <c r="U642" s="47">
        <f>SUM(U641:U641)</f>
        <v>0</v>
      </c>
      <c r="V642" s="47">
        <f>SUM(V641:V641)</f>
        <v>14477.05</v>
      </c>
    </row>
    <row r="643" spans="1:22">
      <c r="A643" s="104"/>
      <c r="B643" s="104"/>
      <c r="C643" s="104"/>
      <c r="D643" s="104"/>
      <c r="E643" s="62"/>
      <c r="F643" s="81"/>
      <c r="G643" s="62"/>
      <c r="H643" s="133"/>
      <c r="I643" s="62"/>
      <c r="J643" s="62"/>
      <c r="K643" s="133"/>
      <c r="L643" s="62"/>
      <c r="M643" s="62"/>
      <c r="N643" s="133"/>
      <c r="O643" s="62"/>
      <c r="P643" s="62"/>
      <c r="Q643" s="133"/>
      <c r="R643" s="62"/>
      <c r="S643" s="62"/>
      <c r="T643" s="62"/>
      <c r="U643" s="62"/>
      <c r="V643" s="62"/>
    </row>
    <row r="644" spans="1:22">
      <c r="A644" s="40"/>
      <c r="B644" s="40"/>
      <c r="C644" s="40"/>
      <c r="D644" s="40" t="s">
        <v>416</v>
      </c>
      <c r="E644" s="46"/>
      <c r="F644" s="45"/>
      <c r="G644" s="46"/>
      <c r="H644" s="132"/>
      <c r="I644" s="46"/>
      <c r="J644" s="46"/>
      <c r="K644" s="132"/>
      <c r="L644" s="46"/>
      <c r="M644" s="46"/>
      <c r="N644" s="132"/>
      <c r="O644" s="46"/>
      <c r="P644" s="46"/>
      <c r="Q644" s="132"/>
      <c r="R644" s="46"/>
      <c r="S644" s="46"/>
      <c r="T644" s="46"/>
      <c r="U644" s="46"/>
      <c r="V644" s="46"/>
    </row>
    <row r="645" spans="1:22">
      <c r="A645" s="7" t="s">
        <v>821</v>
      </c>
      <c r="B645" s="44">
        <v>86000</v>
      </c>
      <c r="C645" s="7" t="s">
        <v>710</v>
      </c>
      <c r="D645" s="7" t="s">
        <v>417</v>
      </c>
      <c r="E645" s="43">
        <v>12523.1</v>
      </c>
      <c r="F645" s="7" t="s">
        <v>95</v>
      </c>
      <c r="G645" s="43">
        <v>200</v>
      </c>
      <c r="H645" s="128"/>
      <c r="I645" s="43">
        <v>12</v>
      </c>
      <c r="J645" s="43">
        <f>G645*I645</f>
        <v>2400</v>
      </c>
      <c r="K645" s="128"/>
      <c r="L645" s="43">
        <v>12</v>
      </c>
      <c r="M645" s="43">
        <f>G645*L645*$E$7</f>
        <v>2496</v>
      </c>
      <c r="N645" s="128"/>
      <c r="O645" s="43">
        <v>12</v>
      </c>
      <c r="P645" s="43">
        <f>G645*O645*$E$7*$E$7</f>
        <v>2595.84</v>
      </c>
      <c r="Q645" s="128"/>
      <c r="R645" s="43">
        <v>4</v>
      </c>
      <c r="S645" s="43">
        <f>G645*R645*$E$7*$E$7*$E$7</f>
        <v>899.89120000000003</v>
      </c>
      <c r="T645" s="43">
        <f t="shared" ref="T645" si="388">SUM(P645,M645,J645,E645,S645)</f>
        <v>20914.831200000001</v>
      </c>
      <c r="U645" s="43">
        <v>0</v>
      </c>
      <c r="V645" s="43">
        <f t="shared" ref="V645" si="389">SUM(T645:U645)</f>
        <v>20914.831200000001</v>
      </c>
    </row>
    <row r="646" spans="1:22" ht="25.2">
      <c r="A646" s="91"/>
      <c r="B646" s="91"/>
      <c r="C646" s="91"/>
      <c r="D646" s="91" t="s">
        <v>418</v>
      </c>
      <c r="E646" s="94"/>
      <c r="F646" s="93"/>
      <c r="G646" s="94"/>
      <c r="H646" s="127"/>
      <c r="I646" s="94"/>
      <c r="J646" s="94"/>
      <c r="K646" s="127"/>
      <c r="L646" s="94"/>
      <c r="M646" s="94"/>
      <c r="N646" s="127"/>
      <c r="O646" s="94"/>
      <c r="P646" s="94"/>
      <c r="Q646" s="127"/>
      <c r="R646" s="94"/>
      <c r="S646" s="94"/>
      <c r="T646" s="80"/>
      <c r="U646" s="80"/>
      <c r="V646" s="94"/>
    </row>
    <row r="647" spans="1:22" ht="25.2">
      <c r="A647" s="591" t="s">
        <v>699</v>
      </c>
      <c r="B647" s="44">
        <v>86040</v>
      </c>
      <c r="C647" s="7" t="s">
        <v>710</v>
      </c>
      <c r="D647" s="7" t="s">
        <v>419</v>
      </c>
      <c r="E647" s="43">
        <v>0</v>
      </c>
      <c r="F647" s="7" t="s">
        <v>144</v>
      </c>
      <c r="G647" s="43">
        <v>1200</v>
      </c>
      <c r="H647" s="125"/>
      <c r="I647" s="43">
        <v>2</v>
      </c>
      <c r="J647" s="43">
        <f>G647*I647</f>
        <v>2400</v>
      </c>
      <c r="K647" s="125"/>
      <c r="L647" s="43">
        <v>2</v>
      </c>
      <c r="M647" s="43">
        <f>G647*L647*$E$7</f>
        <v>2496</v>
      </c>
      <c r="N647" s="125"/>
      <c r="O647" s="43">
        <v>2</v>
      </c>
      <c r="P647" s="43">
        <f>G647*O647*$E$7*$E$7</f>
        <v>2595.84</v>
      </c>
      <c r="Q647" s="125"/>
      <c r="R647" s="43">
        <v>2</v>
      </c>
      <c r="S647" s="43">
        <f>G647*R647*$E$7*$E$7*$E$7</f>
        <v>2699.6736000000001</v>
      </c>
      <c r="T647" s="43">
        <f t="shared" ref="T647" si="390">SUM(P647,M647,J647,E647,S647)</f>
        <v>10191.5136</v>
      </c>
      <c r="U647" s="43">
        <v>0</v>
      </c>
      <c r="V647" s="43">
        <f t="shared" ref="V647" si="391">SUM(T647:U647)</f>
        <v>10191.5136</v>
      </c>
    </row>
    <row r="648" spans="1:22">
      <c r="A648" s="591" t="s">
        <v>699</v>
      </c>
      <c r="B648" s="44">
        <v>86000</v>
      </c>
      <c r="C648" s="7" t="s">
        <v>710</v>
      </c>
      <c r="D648" s="7" t="s">
        <v>420</v>
      </c>
      <c r="E648" s="43">
        <v>0</v>
      </c>
      <c r="F648" s="7" t="s">
        <v>144</v>
      </c>
      <c r="G648" s="43">
        <v>300</v>
      </c>
      <c r="H648" s="128"/>
      <c r="I648" s="43">
        <f>I647</f>
        <v>2</v>
      </c>
      <c r="J648" s="43">
        <f>G648*I648</f>
        <v>600</v>
      </c>
      <c r="K648" s="128"/>
      <c r="L648" s="43">
        <f>L647</f>
        <v>2</v>
      </c>
      <c r="M648" s="43">
        <f>G648*L648*$E$7</f>
        <v>624</v>
      </c>
      <c r="N648" s="128"/>
      <c r="O648" s="43">
        <f>O647</f>
        <v>2</v>
      </c>
      <c r="P648" s="43">
        <f>G648*O648*$E$7*$E$7</f>
        <v>648.96</v>
      </c>
      <c r="Q648" s="128"/>
      <c r="R648" s="43">
        <f>R647</f>
        <v>2</v>
      </c>
      <c r="S648" s="43">
        <f>G648*R648*$E$7*$E$7*$E$7</f>
        <v>674.91840000000002</v>
      </c>
      <c r="T648" s="43">
        <f t="shared" ref="T648" si="392">SUM(P648,M648,J648,E648,S648)</f>
        <v>2547.8784000000001</v>
      </c>
      <c r="U648" s="43">
        <v>0</v>
      </c>
      <c r="V648" s="43">
        <f t="shared" ref="V648" si="393">SUM(T648:U648)</f>
        <v>2547.8784000000001</v>
      </c>
    </row>
    <row r="649" spans="1:22" ht="25.2">
      <c r="A649" s="591" t="s">
        <v>699</v>
      </c>
      <c r="B649" s="44" t="s">
        <v>718</v>
      </c>
      <c r="C649" s="7" t="s">
        <v>710</v>
      </c>
      <c r="D649" s="7" t="s">
        <v>421</v>
      </c>
      <c r="E649" s="43">
        <v>0</v>
      </c>
      <c r="F649" s="7" t="s">
        <v>146</v>
      </c>
      <c r="G649" s="43">
        <f>99+250</f>
        <v>349</v>
      </c>
      <c r="H649" s="128"/>
      <c r="I649" s="43">
        <f>6*I657</f>
        <v>12</v>
      </c>
      <c r="J649" s="43">
        <f>G649*I649</f>
        <v>4188</v>
      </c>
      <c r="K649" s="128"/>
      <c r="L649" s="43">
        <f>6*L657</f>
        <v>12</v>
      </c>
      <c r="M649" s="43">
        <f>G649*L649*$E$7</f>
        <v>4355.5200000000004</v>
      </c>
      <c r="N649" s="128"/>
      <c r="O649" s="43">
        <f>6*O657</f>
        <v>12</v>
      </c>
      <c r="P649" s="43">
        <f>G649*O649*$E$7*$E$7</f>
        <v>4529.7408000000005</v>
      </c>
      <c r="Q649" s="128"/>
      <c r="R649" s="43">
        <f>6*R657</f>
        <v>12</v>
      </c>
      <c r="S649" s="43">
        <f>G649*R649*$E$7*$E$7*$E$7</f>
        <v>4710.930432000001</v>
      </c>
      <c r="T649" s="43">
        <f t="shared" ref="T649" si="394">SUM(P649,M649,J649,E649,S649)</f>
        <v>17784.191232000001</v>
      </c>
      <c r="U649" s="43">
        <v>0</v>
      </c>
      <c r="V649" s="43">
        <f t="shared" ref="V649" si="395">SUM(T649:U649)</f>
        <v>17784.191232000001</v>
      </c>
    </row>
    <row r="650" spans="1:22">
      <c r="A650" s="91"/>
      <c r="B650" s="91"/>
      <c r="C650" s="91"/>
      <c r="D650" s="91" t="s">
        <v>422</v>
      </c>
      <c r="E650" s="94"/>
      <c r="F650" s="93"/>
      <c r="G650" s="94"/>
      <c r="H650" s="127"/>
      <c r="I650" s="94"/>
      <c r="J650" s="94"/>
      <c r="K650" s="127"/>
      <c r="L650" s="94"/>
      <c r="M650" s="94"/>
      <c r="N650" s="127"/>
      <c r="O650" s="94"/>
      <c r="P650" s="94"/>
      <c r="Q650" s="127"/>
      <c r="R650" s="94"/>
      <c r="S650" s="94"/>
      <c r="T650" s="80"/>
      <c r="U650" s="80"/>
      <c r="V650" s="94"/>
    </row>
    <row r="651" spans="1:22">
      <c r="A651" s="7" t="s">
        <v>823</v>
      </c>
      <c r="B651" s="44">
        <v>81015</v>
      </c>
      <c r="C651" s="7" t="s">
        <v>710</v>
      </c>
      <c r="D651" s="7" t="s">
        <v>423</v>
      </c>
      <c r="E651" s="43">
        <v>17263.260000000002</v>
      </c>
      <c r="F651" s="7" t="s">
        <v>144</v>
      </c>
      <c r="G651" s="43">
        <v>10000</v>
      </c>
      <c r="H651" s="128"/>
      <c r="I651" s="43">
        <v>0</v>
      </c>
      <c r="J651" s="43">
        <f>G651*I651</f>
        <v>0</v>
      </c>
      <c r="K651" s="128"/>
      <c r="L651" s="43">
        <v>5</v>
      </c>
      <c r="M651" s="43">
        <f>G651*L651*$E$7</f>
        <v>52000</v>
      </c>
      <c r="N651" s="128"/>
      <c r="O651" s="43">
        <v>5</v>
      </c>
      <c r="P651" s="43">
        <f>G651*O651*$E$7*$E$7</f>
        <v>54080</v>
      </c>
      <c r="Q651" s="128"/>
      <c r="R651" s="43">
        <v>0</v>
      </c>
      <c r="S651" s="43">
        <f>G651*R651*$E$7*$E$7*$E$7</f>
        <v>0</v>
      </c>
      <c r="T651" s="43">
        <f t="shared" ref="T651" si="396">SUM(P651,M651,J651,E651,S651)</f>
        <v>123343.26000000001</v>
      </c>
      <c r="U651" s="43">
        <v>0</v>
      </c>
      <c r="V651" s="43">
        <f t="shared" ref="V651" si="397">SUM(T651:U651)</f>
        <v>123343.26000000001</v>
      </c>
    </row>
    <row r="652" spans="1:22">
      <c r="A652" s="40"/>
      <c r="B652" s="40"/>
      <c r="C652" s="40"/>
      <c r="D652" s="40" t="s">
        <v>424</v>
      </c>
      <c r="E652" s="47">
        <f>SUM(E645:E651)</f>
        <v>29786.36</v>
      </c>
      <c r="F652" s="45"/>
      <c r="G652" s="47"/>
      <c r="H652" s="132"/>
      <c r="I652" s="47"/>
      <c r="J652" s="47">
        <f>SUM(J645:J651)</f>
        <v>9588</v>
      </c>
      <c r="K652" s="132"/>
      <c r="L652" s="47"/>
      <c r="M652" s="47">
        <f>SUM(M645:M651)</f>
        <v>61971.520000000004</v>
      </c>
      <c r="N652" s="132"/>
      <c r="O652" s="47"/>
      <c r="P652" s="47">
        <f>SUM(P645:P651)</f>
        <v>64450.380799999999</v>
      </c>
      <c r="Q652" s="132"/>
      <c r="R652" s="47"/>
      <c r="S652" s="47">
        <f>SUM(S645:S651)</f>
        <v>8985.4136320000016</v>
      </c>
      <c r="T652" s="47">
        <f>SUM(T645:T651)</f>
        <v>174781.67443200003</v>
      </c>
      <c r="U652" s="47">
        <f>SUM(U645:U651)</f>
        <v>0</v>
      </c>
      <c r="V652" s="47">
        <f>SUM(V645:V651)</f>
        <v>174781.67443200003</v>
      </c>
    </row>
    <row r="653" spans="1:22">
      <c r="A653" s="104"/>
      <c r="B653" s="104"/>
      <c r="C653" s="104"/>
      <c r="D653" s="104"/>
      <c r="E653" s="62"/>
      <c r="F653" s="81"/>
      <c r="G653" s="62"/>
      <c r="H653" s="133"/>
      <c r="I653" s="62"/>
      <c r="J653" s="62"/>
      <c r="K653" s="133"/>
      <c r="L653" s="62"/>
      <c r="M653" s="62"/>
      <c r="N653" s="133"/>
      <c r="O653" s="62"/>
      <c r="P653" s="62"/>
      <c r="Q653" s="133"/>
      <c r="R653" s="62"/>
      <c r="S653" s="62"/>
      <c r="T653" s="62"/>
      <c r="U653" s="62"/>
      <c r="V653" s="62"/>
    </row>
    <row r="654" spans="1:22">
      <c r="A654" s="40"/>
      <c r="B654" s="40"/>
      <c r="C654" s="40"/>
      <c r="D654" s="40" t="s">
        <v>425</v>
      </c>
      <c r="E654" s="46"/>
      <c r="F654" s="45"/>
      <c r="G654" s="46"/>
      <c r="H654" s="132"/>
      <c r="I654" s="46"/>
      <c r="J654" s="46"/>
      <c r="K654" s="132"/>
      <c r="L654" s="46"/>
      <c r="M654" s="46"/>
      <c r="N654" s="132"/>
      <c r="O654" s="46"/>
      <c r="P654" s="46"/>
      <c r="Q654" s="132"/>
      <c r="R654" s="46"/>
      <c r="S654" s="46"/>
      <c r="T654" s="46"/>
      <c r="U654" s="46"/>
      <c r="V654" s="46"/>
    </row>
    <row r="655" spans="1:22">
      <c r="A655" s="7" t="s">
        <v>824</v>
      </c>
      <c r="B655" s="44">
        <v>87000</v>
      </c>
      <c r="C655" s="7" t="s">
        <v>710</v>
      </c>
      <c r="D655" s="7" t="s">
        <v>426</v>
      </c>
      <c r="E655" s="43">
        <v>136396.82</v>
      </c>
      <c r="F655" s="7" t="s">
        <v>163</v>
      </c>
      <c r="G655" s="43">
        <v>100000</v>
      </c>
      <c r="H655" s="125"/>
      <c r="I655" s="471">
        <v>0.8</v>
      </c>
      <c r="J655" s="43">
        <f>G655*I655</f>
        <v>80000</v>
      </c>
      <c r="K655" s="125"/>
      <c r="L655" s="471">
        <v>0.5</v>
      </c>
      <c r="M655" s="43">
        <f>G655*L655</f>
        <v>50000</v>
      </c>
      <c r="N655" s="125"/>
      <c r="O655" s="43">
        <v>0</v>
      </c>
      <c r="P655" s="43">
        <v>0</v>
      </c>
      <c r="Q655" s="125"/>
      <c r="R655" s="43">
        <v>0.25</v>
      </c>
      <c r="S655" s="43">
        <f>G655*R655</f>
        <v>25000</v>
      </c>
      <c r="T655" s="43">
        <f>SUM(P655,M655,J655,E655,S655)</f>
        <v>291396.82</v>
      </c>
      <c r="U655" s="43">
        <v>0</v>
      </c>
      <c r="V655" s="43">
        <f t="shared" ref="V655" si="398">SUM(T655:U655)</f>
        <v>291396.82</v>
      </c>
    </row>
    <row r="656" spans="1:22" ht="25.2">
      <c r="A656" s="7" t="s">
        <v>825</v>
      </c>
      <c r="B656" s="44">
        <v>90450</v>
      </c>
      <c r="C656" s="7" t="s">
        <v>710</v>
      </c>
      <c r="D656" s="7" t="s">
        <v>427</v>
      </c>
      <c r="E656" s="43">
        <v>0</v>
      </c>
      <c r="F656" s="7" t="s">
        <v>428</v>
      </c>
      <c r="G656" s="43">
        <v>5000</v>
      </c>
      <c r="H656" s="125"/>
      <c r="I656" s="43">
        <v>0</v>
      </c>
      <c r="J656" s="43">
        <f>G656*I656</f>
        <v>0</v>
      </c>
      <c r="K656" s="125"/>
      <c r="L656" s="43">
        <v>0</v>
      </c>
      <c r="M656" s="43">
        <f>G656*L656</f>
        <v>0</v>
      </c>
      <c r="N656" s="125"/>
      <c r="O656" s="43">
        <v>1</v>
      </c>
      <c r="P656" s="43">
        <f>G656*O656</f>
        <v>5000</v>
      </c>
      <c r="Q656" s="125"/>
      <c r="R656" s="43">
        <v>0</v>
      </c>
      <c r="S656" s="43">
        <f>G656*R656</f>
        <v>0</v>
      </c>
      <c r="T656" s="43">
        <f t="shared" ref="T656" si="399">SUM(P656,M656,J656,E656,S656)</f>
        <v>5000</v>
      </c>
      <c r="U656" s="43">
        <v>0</v>
      </c>
      <c r="V656" s="43">
        <f t="shared" ref="V656" si="400">SUM(T656:U656)</f>
        <v>5000</v>
      </c>
    </row>
    <row r="657" spans="1:22" ht="25.2">
      <c r="A657" s="7" t="s">
        <v>826</v>
      </c>
      <c r="B657" s="44">
        <v>87000</v>
      </c>
      <c r="C657" s="7" t="s">
        <v>710</v>
      </c>
      <c r="D657" s="7" t="s">
        <v>429</v>
      </c>
      <c r="E657" s="43">
        <v>0</v>
      </c>
      <c r="F657" s="7" t="s">
        <v>246</v>
      </c>
      <c r="G657" s="43">
        <v>1500</v>
      </c>
      <c r="H657" s="125"/>
      <c r="I657" s="43">
        <f>2</f>
        <v>2</v>
      </c>
      <c r="J657" s="43">
        <f>G657*I657</f>
        <v>3000</v>
      </c>
      <c r="K657" s="125"/>
      <c r="L657" s="43">
        <f>2</f>
        <v>2</v>
      </c>
      <c r="M657" s="43">
        <f>G657*L657</f>
        <v>3000</v>
      </c>
      <c r="N657" s="125"/>
      <c r="O657" s="43">
        <f>2</f>
        <v>2</v>
      </c>
      <c r="P657" s="43">
        <f>G657*O657</f>
        <v>3000</v>
      </c>
      <c r="Q657" s="125"/>
      <c r="R657" s="43">
        <f>2</f>
        <v>2</v>
      </c>
      <c r="S657" s="43">
        <f>G657*R657</f>
        <v>3000</v>
      </c>
      <c r="T657" s="43">
        <f t="shared" ref="T657" si="401">SUM(P657,M657,J657,E657,S657)</f>
        <v>12000</v>
      </c>
      <c r="U657" s="43">
        <v>0</v>
      </c>
      <c r="V657" s="43">
        <f t="shared" ref="V657" si="402">SUM(T657:U657)</f>
        <v>12000</v>
      </c>
    </row>
    <row r="658" spans="1:22" hidden="1">
      <c r="A658" s="91"/>
      <c r="B658" s="91"/>
      <c r="C658" s="91"/>
      <c r="D658" s="91" t="s">
        <v>249</v>
      </c>
      <c r="E658" s="94"/>
      <c r="F658" s="93"/>
      <c r="G658" s="94"/>
      <c r="H658" s="127"/>
      <c r="I658" s="94"/>
      <c r="J658" s="94"/>
      <c r="K658" s="127"/>
      <c r="L658" s="94"/>
      <c r="M658" s="94"/>
      <c r="N658" s="127"/>
      <c r="O658" s="94"/>
      <c r="P658" s="94"/>
      <c r="Q658" s="127"/>
      <c r="R658" s="94"/>
      <c r="S658" s="94"/>
      <c r="T658" s="80"/>
      <c r="U658" s="80"/>
      <c r="V658" s="94"/>
    </row>
    <row r="659" spans="1:22" hidden="1">
      <c r="D659" s="7" t="s">
        <v>430</v>
      </c>
      <c r="E659" s="43">
        <v>0</v>
      </c>
      <c r="F659" s="7" t="s">
        <v>251</v>
      </c>
      <c r="G659" s="43">
        <v>10000</v>
      </c>
      <c r="H659" s="125"/>
      <c r="I659" s="43">
        <v>0</v>
      </c>
      <c r="J659" s="43">
        <f>G659*I659</f>
        <v>0</v>
      </c>
      <c r="K659" s="125"/>
      <c r="L659" s="43">
        <v>0</v>
      </c>
      <c r="M659" s="43">
        <f>G659*L659</f>
        <v>0</v>
      </c>
      <c r="N659" s="125"/>
      <c r="O659" s="43">
        <v>0</v>
      </c>
      <c r="P659" s="43">
        <f>G659*O659</f>
        <v>0</v>
      </c>
      <c r="Q659" s="125"/>
      <c r="R659" s="43">
        <v>0</v>
      </c>
      <c r="S659" s="43">
        <f>G659*R659</f>
        <v>0</v>
      </c>
      <c r="T659" s="43">
        <f t="shared" ref="T659" si="403">SUM(P659,M659,J659,E659,S659)</f>
        <v>0</v>
      </c>
      <c r="U659" s="43">
        <v>0</v>
      </c>
      <c r="V659" s="43">
        <f t="shared" ref="V659" si="404">SUM(T659:U659)</f>
        <v>0</v>
      </c>
    </row>
    <row r="660" spans="1:22">
      <c r="A660" s="40"/>
      <c r="B660" s="40"/>
      <c r="C660" s="40"/>
      <c r="D660" s="40" t="s">
        <v>431</v>
      </c>
      <c r="E660" s="47">
        <f>SUM(E655:E659)</f>
        <v>136396.82</v>
      </c>
      <c r="F660" s="45"/>
      <c r="G660" s="47"/>
      <c r="H660" s="135"/>
      <c r="I660" s="47"/>
      <c r="J660" s="47">
        <f>SUM(J655:J659)</f>
        <v>83000</v>
      </c>
      <c r="K660" s="135"/>
      <c r="L660" s="47"/>
      <c r="M660" s="47">
        <f>SUM(M655:M659)</f>
        <v>53000</v>
      </c>
      <c r="N660" s="135"/>
      <c r="O660" s="47"/>
      <c r="P660" s="47">
        <f>SUM(P655:P659)</f>
        <v>8000</v>
      </c>
      <c r="Q660" s="135"/>
      <c r="R660" s="47"/>
      <c r="S660" s="47">
        <f>SUM(S655:S659)</f>
        <v>28000</v>
      </c>
      <c r="T660" s="47">
        <f>SUM(T655:T659)</f>
        <v>308396.82</v>
      </c>
      <c r="U660" s="47">
        <f>SUM(U655:U659)</f>
        <v>0</v>
      </c>
      <c r="V660" s="47">
        <f>SUM(V655:V659)</f>
        <v>308396.82</v>
      </c>
    </row>
    <row r="661" spans="1:22" hidden="1">
      <c r="A661" s="44"/>
      <c r="C661" s="44"/>
      <c r="D661" s="44"/>
      <c r="E661" s="43"/>
      <c r="F661" s="48"/>
      <c r="G661" s="43"/>
      <c r="H661" s="125"/>
      <c r="I661" s="43"/>
      <c r="J661" s="43"/>
      <c r="K661" s="125"/>
      <c r="L661" s="43"/>
      <c r="M661" s="43"/>
      <c r="N661" s="125"/>
      <c r="O661" s="43"/>
      <c r="P661" s="43"/>
      <c r="Q661" s="125"/>
      <c r="R661" s="43"/>
      <c r="S661" s="43"/>
      <c r="T661" s="43"/>
      <c r="U661" s="43"/>
      <c r="V661" s="52"/>
    </row>
    <row r="662" spans="1:22" hidden="1">
      <c r="A662" s="40"/>
      <c r="B662" s="40"/>
      <c r="C662" s="40"/>
      <c r="D662" s="40" t="s">
        <v>432</v>
      </c>
      <c r="E662" s="46"/>
      <c r="F662" s="45"/>
      <c r="G662" s="46"/>
      <c r="H662" s="132"/>
      <c r="I662" s="46"/>
      <c r="J662" s="46"/>
      <c r="K662" s="132"/>
      <c r="L662" s="46"/>
      <c r="M662" s="46"/>
      <c r="N662" s="132"/>
      <c r="O662" s="46"/>
      <c r="P662" s="46"/>
      <c r="Q662" s="132"/>
      <c r="R662" s="46"/>
      <c r="S662" s="46"/>
      <c r="T662" s="46"/>
      <c r="U662" s="46"/>
      <c r="V662" s="46"/>
    </row>
    <row r="663" spans="1:22" hidden="1">
      <c r="D663" s="7" t="s">
        <v>433</v>
      </c>
      <c r="E663" s="43">
        <v>0</v>
      </c>
      <c r="F663" s="48" t="s">
        <v>434</v>
      </c>
      <c r="G663" s="43">
        <v>750</v>
      </c>
      <c r="H663" s="128"/>
      <c r="I663" s="43">
        <v>0</v>
      </c>
      <c r="J663" s="43">
        <v>0</v>
      </c>
      <c r="K663" s="128"/>
      <c r="L663" s="43">
        <v>0</v>
      </c>
      <c r="M663" s="43">
        <v>0</v>
      </c>
      <c r="N663" s="128"/>
      <c r="O663" s="43">
        <v>0</v>
      </c>
      <c r="P663" s="43">
        <v>0</v>
      </c>
      <c r="Q663" s="128"/>
      <c r="R663" s="43">
        <v>0</v>
      </c>
      <c r="S663" s="43">
        <v>0</v>
      </c>
      <c r="T663" s="43">
        <f t="shared" ref="T663" si="405">SUM(P663,M663,J663,E663,S663)</f>
        <v>0</v>
      </c>
      <c r="U663" s="43">
        <f t="shared" ref="U663" si="406">(O663*G663)+(L663*G663)+(I663*G663)+(R663*G663)+E663</f>
        <v>0</v>
      </c>
      <c r="V663" s="43">
        <f t="shared" ref="V663" si="407">SUM(T663:U663)</f>
        <v>0</v>
      </c>
    </row>
    <row r="664" spans="1:22" hidden="1">
      <c r="A664" s="40"/>
      <c r="B664" s="40"/>
      <c r="C664" s="40"/>
      <c r="D664" s="40" t="s">
        <v>435</v>
      </c>
      <c r="E664" s="47">
        <f>SUM(E663:E663)</f>
        <v>0</v>
      </c>
      <c r="F664" s="45"/>
      <c r="G664" s="47"/>
      <c r="H664" s="135"/>
      <c r="I664" s="47"/>
      <c r="J664" s="47">
        <f>SUM(J663:J663)</f>
        <v>0</v>
      </c>
      <c r="K664" s="135"/>
      <c r="L664" s="47"/>
      <c r="M664" s="47">
        <f>SUM(M663:M663)</f>
        <v>0</v>
      </c>
      <c r="N664" s="135"/>
      <c r="O664" s="47"/>
      <c r="P664" s="47">
        <f>SUM(P663:P663)</f>
        <v>0</v>
      </c>
      <c r="Q664" s="135"/>
      <c r="R664" s="47"/>
      <c r="S664" s="47">
        <f>SUM(S663:S663)</f>
        <v>0</v>
      </c>
      <c r="T664" s="47">
        <f>SUM(T663:T663)</f>
        <v>0</v>
      </c>
      <c r="U664" s="47">
        <f>SUM(U663:U663)</f>
        <v>0</v>
      </c>
      <c r="V664" s="47">
        <f>SUM(V663:V663)</f>
        <v>0</v>
      </c>
    </row>
    <row r="665" spans="1:22">
      <c r="A665" s="104"/>
      <c r="B665" s="104"/>
      <c r="C665" s="104"/>
      <c r="D665" s="104"/>
      <c r="E665" s="62"/>
      <c r="F665" s="81"/>
      <c r="G665" s="62"/>
      <c r="H665" s="133"/>
      <c r="I665" s="62"/>
      <c r="J665" s="62"/>
      <c r="K665" s="133"/>
      <c r="L665" s="62"/>
      <c r="M665" s="62"/>
      <c r="N665" s="133"/>
      <c r="O665" s="62"/>
      <c r="P665" s="62"/>
      <c r="Q665" s="133"/>
      <c r="R665" s="62"/>
      <c r="S665" s="62"/>
      <c r="T665" s="62"/>
      <c r="U665" s="62"/>
      <c r="V665" s="62"/>
    </row>
    <row r="666" spans="1:22" ht="12.9" thickBot="1">
      <c r="A666" s="53"/>
      <c r="B666" s="66"/>
      <c r="C666" s="53"/>
      <c r="D666" s="53" t="s">
        <v>436</v>
      </c>
      <c r="E666" s="64">
        <f>SUM(E660+E642+E652+E638+E631+E664)</f>
        <v>326182.83</v>
      </c>
      <c r="F666" s="53"/>
      <c r="G666" s="69"/>
      <c r="H666" s="126"/>
      <c r="I666" s="64"/>
      <c r="J666" s="64">
        <f>SUM(J660+J642+J652+J638+J631+J664)</f>
        <v>223852.69801919998</v>
      </c>
      <c r="K666" s="126"/>
      <c r="L666" s="64"/>
      <c r="M666" s="64">
        <f>SUM(M660+M642+M652+M638+M631+M664)</f>
        <v>334430.92318023997</v>
      </c>
      <c r="N666" s="126"/>
      <c r="O666" s="64"/>
      <c r="P666" s="64">
        <f>SUM(P660+P642+P652+P638+P631+P664)</f>
        <v>302757.75413925201</v>
      </c>
      <c r="Q666" s="126"/>
      <c r="R666" s="64"/>
      <c r="S666" s="64">
        <f>SUM(S660+S642+S652+S638+S631+S664)</f>
        <v>87026.802994869795</v>
      </c>
      <c r="T666" s="64">
        <f>SUM(T660+T642+T652+T638+T631+T664)</f>
        <v>1274251.0083335619</v>
      </c>
      <c r="U666" s="64">
        <f>SUM(U660+U642+U652+U638+U631+U664)</f>
        <v>0</v>
      </c>
      <c r="V666" s="64">
        <f>SUM(V660+V642+V652+V638+V631+V664)</f>
        <v>1274251.0083335619</v>
      </c>
    </row>
    <row r="667" spans="1:22">
      <c r="A667" s="81"/>
      <c r="B667" s="81"/>
      <c r="C667" s="81"/>
      <c r="D667" s="81"/>
      <c r="E667" s="62"/>
      <c r="F667" s="81"/>
      <c r="G667" s="62"/>
      <c r="H667" s="123"/>
      <c r="I667" s="62"/>
      <c r="J667" s="62"/>
      <c r="K667" s="123"/>
      <c r="L667" s="62"/>
      <c r="M667" s="62"/>
      <c r="N667" s="123"/>
      <c r="O667" s="62"/>
      <c r="P667" s="62"/>
      <c r="Q667" s="123"/>
      <c r="R667" s="62"/>
      <c r="S667" s="62"/>
      <c r="T667" s="62"/>
      <c r="U667" s="62"/>
      <c r="V667" s="62"/>
    </row>
    <row r="668" spans="1:22">
      <c r="A668" s="98"/>
      <c r="B668" s="617"/>
      <c r="C668" s="98"/>
      <c r="D668" s="98" t="str">
        <f>'USDA Budget Summary'!A36</f>
        <v>Activity 8: Financial Services: Endowment Establishment, Fundraising and Management</v>
      </c>
      <c r="E668" s="99"/>
      <c r="F668" s="37"/>
      <c r="G668" s="38"/>
      <c r="H668" s="130"/>
      <c r="I668" s="99"/>
      <c r="J668" s="99"/>
      <c r="K668" s="130"/>
      <c r="L668" s="99"/>
      <c r="M668" s="99"/>
      <c r="N668" s="130"/>
      <c r="O668" s="99"/>
      <c r="P668" s="99"/>
      <c r="Q668" s="130"/>
      <c r="R668" s="99"/>
      <c r="S668" s="99"/>
      <c r="T668" s="99"/>
      <c r="U668" s="100"/>
      <c r="V668" s="99"/>
    </row>
    <row r="669" spans="1:22">
      <c r="A669" s="101"/>
      <c r="B669" s="101"/>
      <c r="C669" s="101"/>
      <c r="D669" s="101" t="s">
        <v>215</v>
      </c>
      <c r="E669" s="103"/>
      <c r="F669" s="102"/>
      <c r="G669" s="103"/>
      <c r="H669" s="131"/>
      <c r="I669" s="103"/>
      <c r="J669" s="103"/>
      <c r="K669" s="131"/>
      <c r="L669" s="103"/>
      <c r="M669" s="103"/>
      <c r="N669" s="131"/>
      <c r="O669" s="103"/>
      <c r="P669" s="103"/>
      <c r="Q669" s="131"/>
      <c r="R669" s="103"/>
      <c r="S669" s="103"/>
      <c r="T669" s="103"/>
      <c r="U669" s="103"/>
      <c r="V669" s="103"/>
    </row>
    <row r="670" spans="1:22">
      <c r="A670" s="40"/>
      <c r="B670" s="40"/>
      <c r="C670" s="40"/>
      <c r="D670" s="40" t="s">
        <v>437</v>
      </c>
      <c r="E670" s="46"/>
      <c r="F670" s="45"/>
      <c r="G670" s="46"/>
      <c r="H670" s="132"/>
      <c r="I670" s="46"/>
      <c r="J670" s="46"/>
      <c r="K670" s="132"/>
      <c r="L670" s="46"/>
      <c r="M670" s="46"/>
      <c r="N670" s="132"/>
      <c r="O670" s="46"/>
      <c r="P670" s="46"/>
      <c r="Q670" s="132"/>
      <c r="R670" s="46"/>
      <c r="S670" s="46"/>
      <c r="T670" s="46"/>
      <c r="U670" s="46"/>
      <c r="V670" s="46"/>
    </row>
    <row r="671" spans="1:22">
      <c r="A671" s="7" t="s">
        <v>754</v>
      </c>
      <c r="B671" s="7">
        <v>50000</v>
      </c>
      <c r="C671" s="7" t="s">
        <v>709</v>
      </c>
      <c r="D671" s="7" t="str">
        <f t="shared" ref="D671:D700" si="408">D13</f>
        <v>Key Personnel: Chief of Party</v>
      </c>
      <c r="E671" s="43">
        <v>49699</v>
      </c>
      <c r="F671" s="49" t="s">
        <v>95</v>
      </c>
      <c r="G671" s="43">
        <f t="shared" ref="G671:G700" si="409">G13</f>
        <v>14250</v>
      </c>
      <c r="H671" s="119">
        <f>'LOE Breakdown by Year'!L11</f>
        <v>0.15</v>
      </c>
      <c r="I671" s="43">
        <f t="shared" ref="I671:I700" si="410">I13</f>
        <v>12</v>
      </c>
      <c r="J671" s="43">
        <f>I671*G671*$H671</f>
        <v>25650</v>
      </c>
      <c r="K671" s="119">
        <f>'LOE Breakdown by Year'!L51</f>
        <v>0</v>
      </c>
      <c r="L671" s="43">
        <f t="shared" ref="L671:L700" si="411">L13</f>
        <v>12</v>
      </c>
      <c r="M671" s="43">
        <f>L671*G671*$K671*$E$8</f>
        <v>0</v>
      </c>
      <c r="N671" s="119">
        <f>'LOE Breakdown by Year'!L91</f>
        <v>0</v>
      </c>
      <c r="O671" s="43">
        <f t="shared" ref="O671:O700" si="412">O13</f>
        <v>12</v>
      </c>
      <c r="P671" s="43">
        <f>O671*G671*$N671*$E$8*$E$8</f>
        <v>0</v>
      </c>
      <c r="Q671" s="119">
        <f>'LOE Breakdown by Year'!L131</f>
        <v>0</v>
      </c>
      <c r="R671" s="43">
        <f t="shared" ref="R671:R700" si="413">R13</f>
        <v>0</v>
      </c>
      <c r="S671" s="43">
        <f>R671*G671*$Q671*$E$8*$E$8*$E$8</f>
        <v>0</v>
      </c>
      <c r="T671" s="43">
        <f t="shared" ref="T671" si="414">SUM(P671,M671,J671,E671,S671)</f>
        <v>75349</v>
      </c>
      <c r="U671" s="43">
        <v>0</v>
      </c>
      <c r="V671" s="43">
        <f t="shared" ref="V671" si="415">SUM(T671:U671)</f>
        <v>75349</v>
      </c>
    </row>
    <row r="672" spans="1:22" ht="25.2">
      <c r="A672" s="7" t="s">
        <v>754</v>
      </c>
      <c r="B672" s="7">
        <v>70000</v>
      </c>
      <c r="C672" s="7" t="s">
        <v>710</v>
      </c>
      <c r="D672" s="7" t="str">
        <f t="shared" si="408"/>
        <v>Deputy Chief of Party / Value Chain Strengthening Director</v>
      </c>
      <c r="E672" s="43">
        <v>0</v>
      </c>
      <c r="F672" s="49" t="s">
        <v>95</v>
      </c>
      <c r="G672" s="43">
        <f t="shared" si="409"/>
        <v>5000</v>
      </c>
      <c r="H672" s="119">
        <f>'LOE Breakdown by Year'!L12</f>
        <v>0.1</v>
      </c>
      <c r="I672" s="43">
        <f t="shared" si="410"/>
        <v>12</v>
      </c>
      <c r="J672" s="43">
        <f>I672*G672*$H672</f>
        <v>6000</v>
      </c>
      <c r="K672" s="119">
        <f>'LOE Breakdown by Year'!L52</f>
        <v>0</v>
      </c>
      <c r="L672" s="43">
        <f t="shared" si="411"/>
        <v>12</v>
      </c>
      <c r="M672" s="43">
        <f>L672*G672*$K672*$E$8</f>
        <v>0</v>
      </c>
      <c r="N672" s="119">
        <f>'LOE Breakdown by Year'!L92</f>
        <v>0</v>
      </c>
      <c r="O672" s="43">
        <f t="shared" si="412"/>
        <v>12</v>
      </c>
      <c r="P672" s="43">
        <f>O672*G672*$N672*$E$8*$E$8</f>
        <v>0</v>
      </c>
      <c r="Q672" s="119">
        <f>'LOE Breakdown by Year'!L132</f>
        <v>0</v>
      </c>
      <c r="R672" s="43">
        <f t="shared" si="413"/>
        <v>6</v>
      </c>
      <c r="S672" s="43">
        <f>R672*G672*$Q672*$E$8*$E$8*$E$8</f>
        <v>0</v>
      </c>
      <c r="T672" s="43">
        <f t="shared" ref="T672" si="416">SUM(P672,M672,J672,E672,S672)</f>
        <v>6000</v>
      </c>
      <c r="U672" s="43">
        <v>0</v>
      </c>
      <c r="V672" s="43">
        <f t="shared" ref="V672" si="417">SUM(T672:U672)</f>
        <v>6000</v>
      </c>
    </row>
    <row r="673" spans="1:22" hidden="1">
      <c r="A673" s="7" t="s">
        <v>754</v>
      </c>
      <c r="B673" s="7">
        <v>70000</v>
      </c>
      <c r="C673" s="7" t="s">
        <v>710</v>
      </c>
      <c r="D673" s="7" t="str">
        <f t="shared" si="408"/>
        <v>Key Personnel: Technical Director</v>
      </c>
      <c r="E673" s="43">
        <v>0</v>
      </c>
      <c r="F673" s="49" t="s">
        <v>95</v>
      </c>
      <c r="G673" s="43">
        <f t="shared" si="409"/>
        <v>4583.333333333333</v>
      </c>
      <c r="H673" s="119">
        <f>'LOE Breakdown by Year'!L13</f>
        <v>0</v>
      </c>
      <c r="I673" s="43">
        <f t="shared" si="410"/>
        <v>12</v>
      </c>
      <c r="J673" s="43">
        <f t="shared" ref="J673:J700" si="418">I673*G673*$H673</f>
        <v>0</v>
      </c>
      <c r="K673" s="119">
        <f>'LOE Breakdown by Year'!L53</f>
        <v>0</v>
      </c>
      <c r="L673" s="43">
        <f t="shared" si="411"/>
        <v>12</v>
      </c>
      <c r="M673" s="43">
        <f t="shared" ref="M673:M700" si="419">L673*G673*$K673*$E$8</f>
        <v>0</v>
      </c>
      <c r="N673" s="119">
        <f>'LOE Breakdown by Year'!L93</f>
        <v>0</v>
      </c>
      <c r="O673" s="43">
        <f t="shared" si="412"/>
        <v>12</v>
      </c>
      <c r="P673" s="43">
        <f t="shared" ref="P673:P700" si="420">O673*G673*$N673*$E$8*$E$8</f>
        <v>0</v>
      </c>
      <c r="Q673" s="119">
        <f>'LOE Breakdown by Year'!L133</f>
        <v>0</v>
      </c>
      <c r="R673" s="43">
        <f t="shared" si="413"/>
        <v>5</v>
      </c>
      <c r="S673" s="43">
        <f t="shared" ref="S673:S700" si="421">R673*G673*$Q673*$E$8*$E$8*$E$8</f>
        <v>0</v>
      </c>
      <c r="T673" s="43">
        <f t="shared" ref="T673:T700" si="422">SUM(P673,M673,J673,E673,S673)</f>
        <v>0</v>
      </c>
      <c r="U673" s="43">
        <v>0</v>
      </c>
      <c r="V673" s="43">
        <f t="shared" ref="V673:V700" si="423">SUM(T673:U673)</f>
        <v>0</v>
      </c>
    </row>
    <row r="674" spans="1:22">
      <c r="A674" s="7" t="s">
        <v>754</v>
      </c>
      <c r="B674" s="7">
        <v>70000</v>
      </c>
      <c r="C674" s="7" t="s">
        <v>710</v>
      </c>
      <c r="D674" s="7" t="str">
        <f t="shared" si="408"/>
        <v>Activity Lead Agribusiness Senior Specialist (Cacao)</v>
      </c>
      <c r="E674" s="43">
        <v>0</v>
      </c>
      <c r="F674" s="49" t="s">
        <v>95</v>
      </c>
      <c r="G674" s="43">
        <f t="shared" si="409"/>
        <v>2833.3333333333335</v>
      </c>
      <c r="H674" s="119">
        <f>'LOE Breakdown by Year'!L14</f>
        <v>0.15</v>
      </c>
      <c r="I674" s="43">
        <f t="shared" si="410"/>
        <v>12</v>
      </c>
      <c r="J674" s="43">
        <f t="shared" si="418"/>
        <v>5100</v>
      </c>
      <c r="K674" s="119">
        <f>'LOE Breakdown by Year'!L54</f>
        <v>0</v>
      </c>
      <c r="L674" s="43">
        <f t="shared" si="411"/>
        <v>12</v>
      </c>
      <c r="M674" s="43">
        <f t="shared" si="419"/>
        <v>0</v>
      </c>
      <c r="N674" s="119">
        <f>'LOE Breakdown by Year'!L94</f>
        <v>0</v>
      </c>
      <c r="O674" s="43">
        <f t="shared" si="412"/>
        <v>12</v>
      </c>
      <c r="P674" s="43">
        <f t="shared" si="420"/>
        <v>0</v>
      </c>
      <c r="Q674" s="119">
        <f>'LOE Breakdown by Year'!L134</f>
        <v>0</v>
      </c>
      <c r="R674" s="43">
        <f t="shared" si="413"/>
        <v>2</v>
      </c>
      <c r="S674" s="43">
        <f t="shared" si="421"/>
        <v>0</v>
      </c>
      <c r="T674" s="43">
        <f t="shared" si="422"/>
        <v>5100</v>
      </c>
      <c r="U674" s="43">
        <v>0</v>
      </c>
      <c r="V674" s="43">
        <f t="shared" si="423"/>
        <v>5100</v>
      </c>
    </row>
    <row r="675" spans="1:22" hidden="1">
      <c r="A675" s="7" t="s">
        <v>754</v>
      </c>
      <c r="B675" s="7">
        <v>70000</v>
      </c>
      <c r="C675" s="7" t="s">
        <v>710</v>
      </c>
      <c r="D675" s="7" t="str">
        <f t="shared" si="408"/>
        <v>Cacao Field Officer</v>
      </c>
      <c r="E675" s="43">
        <v>0</v>
      </c>
      <c r="F675" s="49" t="s">
        <v>95</v>
      </c>
      <c r="G675" s="43">
        <f t="shared" si="409"/>
        <v>1333.3333333333333</v>
      </c>
      <c r="H675" s="119">
        <f>'LOE Breakdown by Year'!L15</f>
        <v>0</v>
      </c>
      <c r="I675" s="43">
        <f t="shared" si="410"/>
        <v>12</v>
      </c>
      <c r="J675" s="43">
        <f t="shared" si="418"/>
        <v>0</v>
      </c>
      <c r="K675" s="119">
        <f>'LOE Breakdown by Year'!L55</f>
        <v>0</v>
      </c>
      <c r="L675" s="43">
        <f t="shared" si="411"/>
        <v>12</v>
      </c>
      <c r="M675" s="43">
        <f t="shared" si="419"/>
        <v>0</v>
      </c>
      <c r="N675" s="119">
        <f>'LOE Breakdown by Year'!L95</f>
        <v>0</v>
      </c>
      <c r="O675" s="43">
        <f t="shared" si="412"/>
        <v>12</v>
      </c>
      <c r="P675" s="43">
        <f t="shared" si="420"/>
        <v>0</v>
      </c>
      <c r="Q675" s="119">
        <f>'LOE Breakdown by Year'!L135</f>
        <v>0</v>
      </c>
      <c r="R675" s="43">
        <f t="shared" si="413"/>
        <v>0</v>
      </c>
      <c r="S675" s="43">
        <f t="shared" si="421"/>
        <v>0</v>
      </c>
      <c r="T675" s="43">
        <f t="shared" si="422"/>
        <v>0</v>
      </c>
      <c r="U675" s="43">
        <v>0</v>
      </c>
      <c r="V675" s="43">
        <f t="shared" si="423"/>
        <v>0</v>
      </c>
    </row>
    <row r="676" spans="1:22" ht="25.2" hidden="1">
      <c r="A676" s="7" t="s">
        <v>754</v>
      </c>
      <c r="B676" s="7">
        <v>70000</v>
      </c>
      <c r="C676" s="7" t="s">
        <v>710</v>
      </c>
      <c r="D676" s="7" t="str">
        <f t="shared" si="408"/>
        <v>Cacao &amp; Complementary Crop Technical Field Leader (2)</v>
      </c>
      <c r="E676" s="43">
        <v>0</v>
      </c>
      <c r="F676" s="49" t="s">
        <v>95</v>
      </c>
      <c r="G676" s="43">
        <f t="shared" si="409"/>
        <v>3500</v>
      </c>
      <c r="H676" s="119">
        <f>'LOE Breakdown by Year'!L16</f>
        <v>0</v>
      </c>
      <c r="I676" s="43">
        <f t="shared" si="410"/>
        <v>6</v>
      </c>
      <c r="J676" s="43">
        <f t="shared" si="418"/>
        <v>0</v>
      </c>
      <c r="K676" s="119">
        <f>'LOE Breakdown by Year'!L56</f>
        <v>0</v>
      </c>
      <c r="L676" s="43">
        <f t="shared" si="411"/>
        <v>12</v>
      </c>
      <c r="M676" s="43">
        <f t="shared" si="419"/>
        <v>0</v>
      </c>
      <c r="N676" s="119">
        <f>'LOE Breakdown by Year'!L96</f>
        <v>0</v>
      </c>
      <c r="O676" s="43">
        <f t="shared" si="412"/>
        <v>12</v>
      </c>
      <c r="P676" s="43">
        <f t="shared" si="420"/>
        <v>0</v>
      </c>
      <c r="Q676" s="119">
        <f>'LOE Breakdown by Year'!L136</f>
        <v>0</v>
      </c>
      <c r="R676" s="43">
        <f t="shared" si="413"/>
        <v>0</v>
      </c>
      <c r="S676" s="43">
        <f t="shared" si="421"/>
        <v>0</v>
      </c>
      <c r="T676" s="43">
        <f t="shared" si="422"/>
        <v>0</v>
      </c>
      <c r="U676" s="43">
        <v>0</v>
      </c>
      <c r="V676" s="43">
        <f t="shared" si="423"/>
        <v>0</v>
      </c>
    </row>
    <row r="677" spans="1:22" hidden="1">
      <c r="A677" s="7" t="s">
        <v>754</v>
      </c>
      <c r="B677" s="7">
        <v>70000</v>
      </c>
      <c r="C677" s="7" t="s">
        <v>710</v>
      </c>
      <c r="D677" s="7" t="str">
        <f t="shared" si="408"/>
        <v>Extension Agents (45 in Y5 and 25 in Y6)</v>
      </c>
      <c r="E677" s="43">
        <v>0</v>
      </c>
      <c r="F677" s="49" t="s">
        <v>95</v>
      </c>
      <c r="G677" s="43">
        <f t="shared" si="409"/>
        <v>1000</v>
      </c>
      <c r="H677" s="119">
        <f>'LOE Breakdown by Year'!L17</f>
        <v>0</v>
      </c>
      <c r="I677" s="43">
        <f t="shared" si="410"/>
        <v>12</v>
      </c>
      <c r="J677" s="43">
        <f t="shared" si="418"/>
        <v>0</v>
      </c>
      <c r="K677" s="119">
        <f>'LOE Breakdown by Year'!L57</f>
        <v>0</v>
      </c>
      <c r="L677" s="43">
        <f t="shared" si="411"/>
        <v>12</v>
      </c>
      <c r="M677" s="43">
        <f t="shared" si="419"/>
        <v>0</v>
      </c>
      <c r="N677" s="119">
        <f>'LOE Breakdown by Year'!L97</f>
        <v>0</v>
      </c>
      <c r="O677" s="43">
        <f t="shared" si="412"/>
        <v>0</v>
      </c>
      <c r="P677" s="43">
        <f t="shared" si="420"/>
        <v>0</v>
      </c>
      <c r="Q677" s="119">
        <f>'LOE Breakdown by Year'!L137</f>
        <v>0</v>
      </c>
      <c r="R677" s="43">
        <f t="shared" si="413"/>
        <v>0</v>
      </c>
      <c r="S677" s="43">
        <f t="shared" si="421"/>
        <v>0</v>
      </c>
      <c r="T677" s="43">
        <f t="shared" si="422"/>
        <v>0</v>
      </c>
      <c r="U677" s="43">
        <v>0</v>
      </c>
      <c r="V677" s="43">
        <f t="shared" si="423"/>
        <v>0</v>
      </c>
    </row>
    <row r="678" spans="1:22" ht="25.2" hidden="1">
      <c r="A678" s="7" t="s">
        <v>754</v>
      </c>
      <c r="B678" s="7">
        <v>70000</v>
      </c>
      <c r="C678" s="7" t="s">
        <v>710</v>
      </c>
      <c r="D678" s="7" t="str">
        <f t="shared" si="408"/>
        <v>Activity Lead Agribusiness Senior Specialist (Complementary Crop)</v>
      </c>
      <c r="E678" s="43">
        <v>0</v>
      </c>
      <c r="F678" s="49" t="s">
        <v>95</v>
      </c>
      <c r="G678" s="43">
        <f t="shared" si="409"/>
        <v>2833.3333333333335</v>
      </c>
      <c r="H678" s="119">
        <f>'LOE Breakdown by Year'!L18</f>
        <v>0</v>
      </c>
      <c r="I678" s="43">
        <f t="shared" si="410"/>
        <v>12</v>
      </c>
      <c r="J678" s="43">
        <f t="shared" si="418"/>
        <v>0</v>
      </c>
      <c r="K678" s="119">
        <f>'LOE Breakdown by Year'!L58</f>
        <v>0</v>
      </c>
      <c r="L678" s="43">
        <f t="shared" si="411"/>
        <v>12</v>
      </c>
      <c r="M678" s="43">
        <f t="shared" si="419"/>
        <v>0</v>
      </c>
      <c r="N678" s="119">
        <f>'LOE Breakdown by Year'!L98</f>
        <v>0</v>
      </c>
      <c r="O678" s="43">
        <f t="shared" si="412"/>
        <v>12</v>
      </c>
      <c r="P678" s="43">
        <f t="shared" si="420"/>
        <v>0</v>
      </c>
      <c r="Q678" s="119">
        <f>'LOE Breakdown by Year'!L138</f>
        <v>0</v>
      </c>
      <c r="R678" s="43">
        <f t="shared" si="413"/>
        <v>0</v>
      </c>
      <c r="S678" s="43">
        <f t="shared" si="421"/>
        <v>0</v>
      </c>
      <c r="T678" s="43">
        <f t="shared" si="422"/>
        <v>0</v>
      </c>
      <c r="U678" s="43">
        <v>0</v>
      </c>
      <c r="V678" s="43">
        <f t="shared" si="423"/>
        <v>0</v>
      </c>
    </row>
    <row r="679" spans="1:22" hidden="1">
      <c r="A679" s="7" t="s">
        <v>754</v>
      </c>
      <c r="B679" s="7">
        <v>70000</v>
      </c>
      <c r="C679" s="7" t="s">
        <v>710</v>
      </c>
      <c r="D679" s="7" t="str">
        <f t="shared" si="408"/>
        <v>Complementary Crops Field Officer</v>
      </c>
      <c r="E679" s="43">
        <v>0</v>
      </c>
      <c r="F679" s="49" t="s">
        <v>95</v>
      </c>
      <c r="G679" s="43">
        <f t="shared" si="409"/>
        <v>0</v>
      </c>
      <c r="H679" s="119">
        <f>'LOE Breakdown by Year'!L19</f>
        <v>0</v>
      </c>
      <c r="I679" s="43">
        <f t="shared" si="410"/>
        <v>0</v>
      </c>
      <c r="J679" s="43">
        <f t="shared" si="418"/>
        <v>0</v>
      </c>
      <c r="K679" s="119">
        <f>'LOE Breakdown by Year'!L59</f>
        <v>0</v>
      </c>
      <c r="L679" s="43">
        <f t="shared" si="411"/>
        <v>12</v>
      </c>
      <c r="M679" s="43">
        <f t="shared" si="419"/>
        <v>0</v>
      </c>
      <c r="N679" s="119">
        <f>'LOE Breakdown by Year'!L99</f>
        <v>0</v>
      </c>
      <c r="O679" s="43">
        <f t="shared" si="412"/>
        <v>12</v>
      </c>
      <c r="P679" s="43">
        <f t="shared" si="420"/>
        <v>0</v>
      </c>
      <c r="Q679" s="119">
        <f>'LOE Breakdown by Year'!L139</f>
        <v>0</v>
      </c>
      <c r="R679" s="43">
        <f t="shared" si="413"/>
        <v>0</v>
      </c>
      <c r="S679" s="43">
        <f t="shared" si="421"/>
        <v>0</v>
      </c>
      <c r="T679" s="43">
        <f t="shared" si="422"/>
        <v>0</v>
      </c>
      <c r="U679" s="43">
        <v>0</v>
      </c>
      <c r="V679" s="43">
        <f t="shared" si="423"/>
        <v>0</v>
      </c>
    </row>
    <row r="680" spans="1:22" hidden="1">
      <c r="A680" s="7" t="s">
        <v>754</v>
      </c>
      <c r="B680" s="7">
        <v>70000</v>
      </c>
      <c r="C680" s="7" t="s">
        <v>710</v>
      </c>
      <c r="D680" s="7" t="str">
        <f t="shared" si="408"/>
        <v>EPSEAS Specialist</v>
      </c>
      <c r="E680" s="43">
        <v>0</v>
      </c>
      <c r="F680" s="49" t="s">
        <v>95</v>
      </c>
      <c r="G680" s="43">
        <f t="shared" si="409"/>
        <v>0</v>
      </c>
      <c r="H680" s="119">
        <f>'LOE Breakdown by Year'!L20</f>
        <v>0</v>
      </c>
      <c r="I680" s="43">
        <f t="shared" si="410"/>
        <v>0</v>
      </c>
      <c r="J680" s="43">
        <f t="shared" si="418"/>
        <v>0</v>
      </c>
      <c r="K680" s="119">
        <f>'LOE Breakdown by Year'!L60</f>
        <v>0</v>
      </c>
      <c r="L680" s="43">
        <f t="shared" si="411"/>
        <v>12</v>
      </c>
      <c r="M680" s="43">
        <f t="shared" si="419"/>
        <v>0</v>
      </c>
      <c r="N680" s="119">
        <f>'LOE Breakdown by Year'!L100</f>
        <v>0</v>
      </c>
      <c r="O680" s="43">
        <f t="shared" si="412"/>
        <v>12</v>
      </c>
      <c r="P680" s="43">
        <f t="shared" si="420"/>
        <v>0</v>
      </c>
      <c r="Q680" s="119">
        <f>'LOE Breakdown by Year'!L140</f>
        <v>0</v>
      </c>
      <c r="R680" s="43">
        <f t="shared" si="413"/>
        <v>0</v>
      </c>
      <c r="S680" s="43">
        <f t="shared" si="421"/>
        <v>0</v>
      </c>
      <c r="T680" s="43">
        <f t="shared" si="422"/>
        <v>0</v>
      </c>
      <c r="U680" s="43">
        <v>0</v>
      </c>
      <c r="V680" s="43">
        <f t="shared" si="423"/>
        <v>0</v>
      </c>
    </row>
    <row r="681" spans="1:22" hidden="1">
      <c r="A681" s="7" t="s">
        <v>754</v>
      </c>
      <c r="B681" s="7">
        <v>70000</v>
      </c>
      <c r="C681" s="7" t="s">
        <v>710</v>
      </c>
      <c r="D681" s="7" t="str">
        <f t="shared" si="408"/>
        <v>Extension Agents for EPSEAS (20 in Y6 and 25 in Y7)</v>
      </c>
      <c r="E681" s="43">
        <v>0</v>
      </c>
      <c r="F681" s="49" t="s">
        <v>95</v>
      </c>
      <c r="G681" s="43">
        <f t="shared" si="409"/>
        <v>1000</v>
      </c>
      <c r="H681" s="119">
        <f>'LOE Breakdown by Year'!L21</f>
        <v>0</v>
      </c>
      <c r="I681" s="43">
        <f t="shared" si="410"/>
        <v>0</v>
      </c>
      <c r="J681" s="43">
        <f t="shared" si="418"/>
        <v>0</v>
      </c>
      <c r="K681" s="119">
        <f>'LOE Breakdown by Year'!L61</f>
        <v>0</v>
      </c>
      <c r="L681" s="43">
        <f t="shared" si="411"/>
        <v>12</v>
      </c>
      <c r="M681" s="43">
        <f t="shared" si="419"/>
        <v>0</v>
      </c>
      <c r="N681" s="119">
        <f>'LOE Breakdown by Year'!L101</f>
        <v>0</v>
      </c>
      <c r="O681" s="43">
        <f t="shared" si="412"/>
        <v>12</v>
      </c>
      <c r="P681" s="43">
        <f t="shared" si="420"/>
        <v>0</v>
      </c>
      <c r="Q681" s="119">
        <f>'LOE Breakdown by Year'!L141</f>
        <v>0</v>
      </c>
      <c r="R681" s="43">
        <f t="shared" si="413"/>
        <v>0</v>
      </c>
      <c r="S681" s="43">
        <f t="shared" si="421"/>
        <v>0</v>
      </c>
      <c r="T681" s="43">
        <f t="shared" si="422"/>
        <v>0</v>
      </c>
      <c r="U681" s="43">
        <v>0</v>
      </c>
      <c r="V681" s="43">
        <f t="shared" si="423"/>
        <v>0</v>
      </c>
    </row>
    <row r="682" spans="1:22">
      <c r="A682" s="7" t="s">
        <v>754</v>
      </c>
      <c r="B682" s="7">
        <v>70000</v>
      </c>
      <c r="C682" s="7" t="s">
        <v>710</v>
      </c>
      <c r="D682" s="7" t="str">
        <f t="shared" si="408"/>
        <v xml:space="preserve">Senior M&amp;E Director </v>
      </c>
      <c r="E682" s="43">
        <v>9778.7999999999993</v>
      </c>
      <c r="F682" s="49" t="s">
        <v>95</v>
      </c>
      <c r="G682" s="43">
        <f t="shared" si="409"/>
        <v>6250</v>
      </c>
      <c r="H682" s="119">
        <f>'LOE Breakdown by Year'!L22</f>
        <v>0.15</v>
      </c>
      <c r="I682" s="43">
        <f t="shared" si="410"/>
        <v>12</v>
      </c>
      <c r="J682" s="43">
        <f t="shared" si="418"/>
        <v>11250</v>
      </c>
      <c r="K682" s="119">
        <f>'LOE Breakdown by Year'!L62</f>
        <v>0</v>
      </c>
      <c r="L682" s="43">
        <f t="shared" si="411"/>
        <v>12</v>
      </c>
      <c r="M682" s="43">
        <f t="shared" si="419"/>
        <v>0</v>
      </c>
      <c r="N682" s="119">
        <f>'LOE Breakdown by Year'!L102</f>
        <v>0</v>
      </c>
      <c r="O682" s="43">
        <f t="shared" si="412"/>
        <v>12</v>
      </c>
      <c r="P682" s="43">
        <f t="shared" si="420"/>
        <v>0</v>
      </c>
      <c r="Q682" s="119">
        <f>'LOE Breakdown by Year'!L142</f>
        <v>0</v>
      </c>
      <c r="R682" s="43">
        <f t="shared" si="413"/>
        <v>6</v>
      </c>
      <c r="S682" s="43">
        <f t="shared" si="421"/>
        <v>0</v>
      </c>
      <c r="T682" s="43">
        <f t="shared" si="422"/>
        <v>21028.799999999999</v>
      </c>
      <c r="U682" s="43">
        <v>0</v>
      </c>
      <c r="V682" s="43">
        <f t="shared" si="423"/>
        <v>21028.799999999999</v>
      </c>
    </row>
    <row r="683" spans="1:22">
      <c r="A683" s="7" t="s">
        <v>754</v>
      </c>
      <c r="B683" s="7">
        <v>70000</v>
      </c>
      <c r="C683" s="7" t="s">
        <v>710</v>
      </c>
      <c r="D683" s="7" t="str">
        <f t="shared" si="408"/>
        <v>Senior M&amp;E Specialist</v>
      </c>
      <c r="E683" s="43">
        <v>8678.7999999999993</v>
      </c>
      <c r="F683" s="49" t="s">
        <v>95</v>
      </c>
      <c r="G683" s="43">
        <f t="shared" si="409"/>
        <v>2833.3333333333335</v>
      </c>
      <c r="H683" s="119">
        <f>'LOE Breakdown by Year'!L23</f>
        <v>0.15</v>
      </c>
      <c r="I683" s="43">
        <f t="shared" si="410"/>
        <v>12</v>
      </c>
      <c r="J683" s="43">
        <f t="shared" si="418"/>
        <v>5100</v>
      </c>
      <c r="K683" s="119">
        <f>'LOE Breakdown by Year'!L63</f>
        <v>0</v>
      </c>
      <c r="L683" s="43">
        <f t="shared" si="411"/>
        <v>12</v>
      </c>
      <c r="M683" s="43">
        <f t="shared" si="419"/>
        <v>0</v>
      </c>
      <c r="N683" s="119">
        <f>'LOE Breakdown by Year'!L103</f>
        <v>0</v>
      </c>
      <c r="O683" s="43">
        <f t="shared" si="412"/>
        <v>12</v>
      </c>
      <c r="P683" s="43">
        <f t="shared" si="420"/>
        <v>0</v>
      </c>
      <c r="Q683" s="119">
        <f>'LOE Breakdown by Year'!L143</f>
        <v>0</v>
      </c>
      <c r="R683" s="43">
        <f t="shared" si="413"/>
        <v>6</v>
      </c>
      <c r="S683" s="43">
        <f t="shared" si="421"/>
        <v>0</v>
      </c>
      <c r="T683" s="43">
        <f t="shared" si="422"/>
        <v>13778.8</v>
      </c>
      <c r="U683" s="43">
        <v>0</v>
      </c>
      <c r="V683" s="43">
        <f t="shared" si="423"/>
        <v>13778.8</v>
      </c>
    </row>
    <row r="684" spans="1:22">
      <c r="A684" s="7" t="s">
        <v>754</v>
      </c>
      <c r="B684" s="7">
        <v>70000</v>
      </c>
      <c r="C684" s="7" t="s">
        <v>710</v>
      </c>
      <c r="D684" s="7" t="str">
        <f t="shared" si="408"/>
        <v>M&amp;E Specialist</v>
      </c>
      <c r="E684" s="43">
        <v>1578.8</v>
      </c>
      <c r="F684" s="49" t="s">
        <v>95</v>
      </c>
      <c r="G684" s="43">
        <f t="shared" si="409"/>
        <v>2500</v>
      </c>
      <c r="H684" s="119">
        <f>'LOE Breakdown by Year'!L24</f>
        <v>0.15</v>
      </c>
      <c r="I684" s="43">
        <f t="shared" si="410"/>
        <v>12</v>
      </c>
      <c r="J684" s="43">
        <f t="shared" si="418"/>
        <v>4500</v>
      </c>
      <c r="K684" s="119">
        <f>'LOE Breakdown by Year'!L64</f>
        <v>0</v>
      </c>
      <c r="L684" s="43">
        <f t="shared" si="411"/>
        <v>12</v>
      </c>
      <c r="M684" s="43">
        <f t="shared" si="419"/>
        <v>0</v>
      </c>
      <c r="N684" s="119">
        <f>'LOE Breakdown by Year'!L104</f>
        <v>0</v>
      </c>
      <c r="O684" s="43">
        <f t="shared" si="412"/>
        <v>12</v>
      </c>
      <c r="P684" s="43">
        <f t="shared" si="420"/>
        <v>0</v>
      </c>
      <c r="Q684" s="119">
        <f>'LOE Breakdown by Year'!L144</f>
        <v>0</v>
      </c>
      <c r="R684" s="43">
        <f t="shared" si="413"/>
        <v>3</v>
      </c>
      <c r="S684" s="43">
        <f t="shared" si="421"/>
        <v>0</v>
      </c>
      <c r="T684" s="43">
        <f t="shared" si="422"/>
        <v>6078.8</v>
      </c>
      <c r="U684" s="43">
        <v>0</v>
      </c>
      <c r="V684" s="43">
        <f t="shared" si="423"/>
        <v>6078.8</v>
      </c>
    </row>
    <row r="685" spans="1:22">
      <c r="A685" s="7" t="s">
        <v>754</v>
      </c>
      <c r="B685" s="7">
        <v>70000</v>
      </c>
      <c r="C685" s="7" t="s">
        <v>710</v>
      </c>
      <c r="D685" s="7" t="str">
        <f t="shared" si="408"/>
        <v>M&amp;E Officer</v>
      </c>
      <c r="E685" s="43">
        <v>0</v>
      </c>
      <c r="F685" s="49" t="s">
        <v>95</v>
      </c>
      <c r="G685" s="43">
        <f t="shared" si="409"/>
        <v>1000</v>
      </c>
      <c r="H685" s="119">
        <f>'LOE Breakdown by Year'!L25</f>
        <v>0.15</v>
      </c>
      <c r="I685" s="43">
        <f t="shared" si="410"/>
        <v>12</v>
      </c>
      <c r="J685" s="43">
        <f t="shared" si="418"/>
        <v>1800</v>
      </c>
      <c r="K685" s="119">
        <f>'LOE Breakdown by Year'!L65</f>
        <v>0</v>
      </c>
      <c r="L685" s="43">
        <f t="shared" si="411"/>
        <v>12</v>
      </c>
      <c r="M685" s="43">
        <f t="shared" si="419"/>
        <v>0</v>
      </c>
      <c r="N685" s="119">
        <f>'LOE Breakdown by Year'!L105</f>
        <v>0</v>
      </c>
      <c r="O685" s="43">
        <f t="shared" si="412"/>
        <v>12</v>
      </c>
      <c r="P685" s="43">
        <f t="shared" si="420"/>
        <v>0</v>
      </c>
      <c r="Q685" s="119">
        <f>'LOE Breakdown by Year'!L145</f>
        <v>0</v>
      </c>
      <c r="R685" s="43">
        <f t="shared" si="413"/>
        <v>3</v>
      </c>
      <c r="S685" s="43">
        <f t="shared" si="421"/>
        <v>0</v>
      </c>
      <c r="T685" s="43">
        <f t="shared" si="422"/>
        <v>1800</v>
      </c>
      <c r="U685" s="43">
        <v>0</v>
      </c>
      <c r="V685" s="43">
        <f t="shared" si="423"/>
        <v>1800</v>
      </c>
    </row>
    <row r="686" spans="1:22">
      <c r="A686" s="7" t="s">
        <v>754</v>
      </c>
      <c r="B686" s="7">
        <v>70000</v>
      </c>
      <c r="C686" s="7" t="s">
        <v>710</v>
      </c>
      <c r="D686" s="7" t="str">
        <f t="shared" si="408"/>
        <v>Partnerships and Investment Director</v>
      </c>
      <c r="E686" s="43">
        <v>49430.39</v>
      </c>
      <c r="F686" s="49" t="s">
        <v>95</v>
      </c>
      <c r="G686" s="43">
        <f t="shared" si="409"/>
        <v>4583.333333333333</v>
      </c>
      <c r="H686" s="119">
        <f>'LOE Breakdown by Year'!L26</f>
        <v>0.15</v>
      </c>
      <c r="I686" s="43">
        <f t="shared" si="410"/>
        <v>12</v>
      </c>
      <c r="J686" s="43">
        <f t="shared" si="418"/>
        <v>8250</v>
      </c>
      <c r="K686" s="119">
        <f>'LOE Breakdown by Year'!L66</f>
        <v>0</v>
      </c>
      <c r="L686" s="43">
        <f t="shared" si="411"/>
        <v>12</v>
      </c>
      <c r="M686" s="43">
        <f t="shared" si="419"/>
        <v>0</v>
      </c>
      <c r="N686" s="119">
        <f>'LOE Breakdown by Year'!L106</f>
        <v>0</v>
      </c>
      <c r="O686" s="43">
        <f t="shared" si="412"/>
        <v>12</v>
      </c>
      <c r="P686" s="43">
        <f t="shared" si="420"/>
        <v>0</v>
      </c>
      <c r="Q686" s="119">
        <f>'LOE Breakdown by Year'!L146</f>
        <v>0</v>
      </c>
      <c r="R686" s="43">
        <f t="shared" si="413"/>
        <v>0</v>
      </c>
      <c r="S686" s="43">
        <f t="shared" si="421"/>
        <v>0</v>
      </c>
      <c r="T686" s="43">
        <f t="shared" si="422"/>
        <v>57680.39</v>
      </c>
      <c r="U686" s="43">
        <v>0</v>
      </c>
      <c r="V686" s="43">
        <f t="shared" si="423"/>
        <v>57680.39</v>
      </c>
    </row>
    <row r="687" spans="1:22">
      <c r="A687" s="7" t="s">
        <v>754</v>
      </c>
      <c r="B687" s="7">
        <v>70000</v>
      </c>
      <c r="C687" s="7" t="s">
        <v>710</v>
      </c>
      <c r="D687" s="7" t="str">
        <f t="shared" si="408"/>
        <v>Partnerships and Investment Specialist</v>
      </c>
      <c r="E687" s="43">
        <v>0</v>
      </c>
      <c r="F687" s="49" t="s">
        <v>95</v>
      </c>
      <c r="G687" s="43">
        <f t="shared" si="409"/>
        <v>1750</v>
      </c>
      <c r="H687" s="119">
        <f>'LOE Breakdown by Year'!L27</f>
        <v>0.15</v>
      </c>
      <c r="I687" s="43">
        <f t="shared" si="410"/>
        <v>12</v>
      </c>
      <c r="J687" s="43">
        <f t="shared" si="418"/>
        <v>3150</v>
      </c>
      <c r="K687" s="119">
        <f>'LOE Breakdown by Year'!L67</f>
        <v>0</v>
      </c>
      <c r="L687" s="43">
        <f t="shared" si="411"/>
        <v>12</v>
      </c>
      <c r="M687" s="43">
        <f t="shared" si="419"/>
        <v>0</v>
      </c>
      <c r="N687" s="119">
        <f>'LOE Breakdown by Year'!L107</f>
        <v>0</v>
      </c>
      <c r="O687" s="43">
        <f t="shared" si="412"/>
        <v>12</v>
      </c>
      <c r="P687" s="43">
        <f t="shared" si="420"/>
        <v>0</v>
      </c>
      <c r="Q687" s="119">
        <f>'LOE Breakdown by Year'!L147</f>
        <v>0</v>
      </c>
      <c r="R687" s="43">
        <f t="shared" si="413"/>
        <v>0</v>
      </c>
      <c r="S687" s="43">
        <f t="shared" si="421"/>
        <v>0</v>
      </c>
      <c r="T687" s="43">
        <f t="shared" si="422"/>
        <v>3150</v>
      </c>
      <c r="U687" s="43">
        <v>0</v>
      </c>
      <c r="V687" s="43">
        <f t="shared" si="423"/>
        <v>3150</v>
      </c>
    </row>
    <row r="688" spans="1:22">
      <c r="A688" s="7" t="s">
        <v>754</v>
      </c>
      <c r="B688" s="7">
        <v>70000</v>
      </c>
      <c r="C688" s="7" t="s">
        <v>710</v>
      </c>
      <c r="D688" s="7" t="str">
        <f t="shared" si="408"/>
        <v>Organizational Strengthening Specialist</v>
      </c>
      <c r="E688" s="43">
        <v>0</v>
      </c>
      <c r="F688" s="49" t="s">
        <v>95</v>
      </c>
      <c r="G688" s="43">
        <f t="shared" si="409"/>
        <v>1750</v>
      </c>
      <c r="H688" s="119">
        <f>'LOE Breakdown by Year'!L28</f>
        <v>0.15</v>
      </c>
      <c r="I688" s="43">
        <f t="shared" si="410"/>
        <v>12</v>
      </c>
      <c r="J688" s="43">
        <f t="shared" si="418"/>
        <v>3150</v>
      </c>
      <c r="K688" s="119">
        <f>'LOE Breakdown by Year'!L68</f>
        <v>0</v>
      </c>
      <c r="L688" s="43">
        <f t="shared" si="411"/>
        <v>12</v>
      </c>
      <c r="M688" s="43">
        <f t="shared" si="419"/>
        <v>0</v>
      </c>
      <c r="N688" s="119">
        <f>'LOE Breakdown by Year'!L108</f>
        <v>0</v>
      </c>
      <c r="O688" s="43">
        <f t="shared" si="412"/>
        <v>12</v>
      </c>
      <c r="P688" s="43">
        <f t="shared" si="420"/>
        <v>0</v>
      </c>
      <c r="Q688" s="119">
        <f>'LOE Breakdown by Year'!L148</f>
        <v>0</v>
      </c>
      <c r="R688" s="43">
        <f t="shared" si="413"/>
        <v>0</v>
      </c>
      <c r="S688" s="43">
        <f t="shared" si="421"/>
        <v>0</v>
      </c>
      <c r="T688" s="43">
        <f t="shared" si="422"/>
        <v>3150</v>
      </c>
      <c r="U688" s="43">
        <v>0</v>
      </c>
      <c r="V688" s="43">
        <f t="shared" si="423"/>
        <v>3150</v>
      </c>
    </row>
    <row r="689" spans="1:22" hidden="1">
      <c r="A689" s="7" t="s">
        <v>754</v>
      </c>
      <c r="B689" s="7">
        <v>70000</v>
      </c>
      <c r="C689" s="7" t="s">
        <v>710</v>
      </c>
      <c r="D689" s="7" t="str">
        <f t="shared" si="408"/>
        <v>Value Chain Strengthening Director</v>
      </c>
      <c r="E689" s="43">
        <v>0</v>
      </c>
      <c r="F689" s="49" t="s">
        <v>95</v>
      </c>
      <c r="G689" s="43">
        <f t="shared" si="409"/>
        <v>0</v>
      </c>
      <c r="H689" s="119">
        <f>'LOE Breakdown by Year'!L29</f>
        <v>0.15</v>
      </c>
      <c r="I689" s="43">
        <f t="shared" si="410"/>
        <v>12</v>
      </c>
      <c r="J689" s="43">
        <f t="shared" si="418"/>
        <v>0</v>
      </c>
      <c r="K689" s="119">
        <f>'LOE Breakdown by Year'!L69</f>
        <v>0</v>
      </c>
      <c r="L689" s="43">
        <f t="shared" si="411"/>
        <v>12</v>
      </c>
      <c r="M689" s="43">
        <f t="shared" si="419"/>
        <v>0</v>
      </c>
      <c r="N689" s="119">
        <f>'LOE Breakdown by Year'!L109</f>
        <v>0</v>
      </c>
      <c r="O689" s="43">
        <f t="shared" si="412"/>
        <v>12</v>
      </c>
      <c r="P689" s="43">
        <f t="shared" si="420"/>
        <v>0</v>
      </c>
      <c r="Q689" s="119">
        <f>'LOE Breakdown by Year'!L149</f>
        <v>0</v>
      </c>
      <c r="R689" s="43">
        <f t="shared" si="413"/>
        <v>4</v>
      </c>
      <c r="S689" s="43">
        <f t="shared" si="421"/>
        <v>0</v>
      </c>
      <c r="T689" s="43">
        <f t="shared" si="422"/>
        <v>0</v>
      </c>
      <c r="U689" s="43">
        <v>0</v>
      </c>
      <c r="V689" s="43">
        <f t="shared" si="423"/>
        <v>0</v>
      </c>
    </row>
    <row r="690" spans="1:22">
      <c r="A690" s="7" t="s">
        <v>754</v>
      </c>
      <c r="B690" s="7">
        <v>70000</v>
      </c>
      <c r="C690" s="7" t="s">
        <v>710</v>
      </c>
      <c r="D690" s="7" t="str">
        <f t="shared" si="408"/>
        <v>Communications Specialist</v>
      </c>
      <c r="E690" s="43">
        <v>0</v>
      </c>
      <c r="F690" s="49" t="s">
        <v>95</v>
      </c>
      <c r="G690" s="43">
        <f t="shared" si="409"/>
        <v>1750</v>
      </c>
      <c r="H690" s="119">
        <f>'LOE Breakdown by Year'!L30</f>
        <v>0.15</v>
      </c>
      <c r="I690" s="43">
        <f t="shared" si="410"/>
        <v>12</v>
      </c>
      <c r="J690" s="43">
        <f t="shared" si="418"/>
        <v>3150</v>
      </c>
      <c r="K690" s="119">
        <f>'LOE Breakdown by Year'!L70</f>
        <v>0</v>
      </c>
      <c r="L690" s="43">
        <f t="shared" si="411"/>
        <v>12</v>
      </c>
      <c r="M690" s="43">
        <f t="shared" si="419"/>
        <v>0</v>
      </c>
      <c r="N690" s="119">
        <f>'LOE Breakdown by Year'!L110</f>
        <v>0</v>
      </c>
      <c r="O690" s="43">
        <f t="shared" si="412"/>
        <v>12</v>
      </c>
      <c r="P690" s="43">
        <f t="shared" si="420"/>
        <v>0</v>
      </c>
      <c r="Q690" s="119">
        <f>'LOE Breakdown by Year'!L150</f>
        <v>0</v>
      </c>
      <c r="R690" s="43">
        <f t="shared" si="413"/>
        <v>0</v>
      </c>
      <c r="S690" s="43">
        <f t="shared" si="421"/>
        <v>0</v>
      </c>
      <c r="T690" s="43">
        <f t="shared" si="422"/>
        <v>3150</v>
      </c>
      <c r="U690" s="43">
        <v>0</v>
      </c>
      <c r="V690" s="43">
        <f t="shared" si="423"/>
        <v>3150</v>
      </c>
    </row>
    <row r="691" spans="1:22">
      <c r="A691" s="7" t="s">
        <v>754</v>
      </c>
      <c r="B691" s="7">
        <v>70000</v>
      </c>
      <c r="C691" s="7" t="s">
        <v>710</v>
      </c>
      <c r="D691" s="7" t="str">
        <f t="shared" si="408"/>
        <v>Value Chain Specialist</v>
      </c>
      <c r="E691" s="43">
        <v>0</v>
      </c>
      <c r="F691" s="49" t="s">
        <v>95</v>
      </c>
      <c r="G691" s="43">
        <f t="shared" si="409"/>
        <v>2500</v>
      </c>
      <c r="H691" s="119">
        <f>'LOE Breakdown by Year'!L31</f>
        <v>0.15</v>
      </c>
      <c r="I691" s="43">
        <f t="shared" si="410"/>
        <v>12</v>
      </c>
      <c r="J691" s="43">
        <f t="shared" si="418"/>
        <v>4500</v>
      </c>
      <c r="K691" s="119">
        <f>'LOE Breakdown by Year'!L71</f>
        <v>0</v>
      </c>
      <c r="L691" s="43">
        <f t="shared" si="411"/>
        <v>12</v>
      </c>
      <c r="M691" s="43">
        <f t="shared" si="419"/>
        <v>0</v>
      </c>
      <c r="N691" s="119">
        <f>'LOE Breakdown by Year'!L111</f>
        <v>0</v>
      </c>
      <c r="O691" s="43">
        <f t="shared" si="412"/>
        <v>12</v>
      </c>
      <c r="P691" s="43">
        <f t="shared" si="420"/>
        <v>0</v>
      </c>
      <c r="Q691" s="119">
        <f>'LOE Breakdown by Year'!L151</f>
        <v>0</v>
      </c>
      <c r="R691" s="43">
        <f t="shared" si="413"/>
        <v>0</v>
      </c>
      <c r="S691" s="43">
        <f t="shared" si="421"/>
        <v>0</v>
      </c>
      <c r="T691" s="43">
        <f t="shared" si="422"/>
        <v>4500</v>
      </c>
      <c r="U691" s="43">
        <v>0</v>
      </c>
      <c r="V691" s="43">
        <f t="shared" si="423"/>
        <v>4500</v>
      </c>
    </row>
    <row r="692" spans="1:22">
      <c r="A692" s="7" t="s">
        <v>754</v>
      </c>
      <c r="B692" s="7">
        <v>70000</v>
      </c>
      <c r="C692" s="7" t="s">
        <v>710</v>
      </c>
      <c r="D692" s="7" t="str">
        <f t="shared" si="408"/>
        <v>Contracts &amp; Compliance Director</v>
      </c>
      <c r="E692" s="43">
        <v>5878.8</v>
      </c>
      <c r="F692" s="49" t="s">
        <v>95</v>
      </c>
      <c r="G692" s="43">
        <f t="shared" si="409"/>
        <v>4583.333333333333</v>
      </c>
      <c r="H692" s="119">
        <f>'LOE Breakdown by Year'!L32</f>
        <v>0.15</v>
      </c>
      <c r="I692" s="43">
        <f t="shared" si="410"/>
        <v>12</v>
      </c>
      <c r="J692" s="43">
        <f t="shared" si="418"/>
        <v>8250</v>
      </c>
      <c r="K692" s="119">
        <f>'LOE Breakdown by Year'!L72</f>
        <v>0</v>
      </c>
      <c r="L692" s="43">
        <f t="shared" si="411"/>
        <v>12</v>
      </c>
      <c r="M692" s="43">
        <f t="shared" si="419"/>
        <v>0</v>
      </c>
      <c r="N692" s="119">
        <f>'LOE Breakdown by Year'!L112</f>
        <v>0</v>
      </c>
      <c r="O692" s="43">
        <f t="shared" si="412"/>
        <v>12</v>
      </c>
      <c r="P692" s="43">
        <f t="shared" si="420"/>
        <v>0</v>
      </c>
      <c r="Q692" s="119">
        <f>'LOE Breakdown by Year'!L152</f>
        <v>0</v>
      </c>
      <c r="R692" s="43">
        <f t="shared" si="413"/>
        <v>3</v>
      </c>
      <c r="S692" s="43">
        <f t="shared" si="421"/>
        <v>0</v>
      </c>
      <c r="T692" s="43">
        <f t="shared" si="422"/>
        <v>14128.8</v>
      </c>
      <c r="U692" s="43">
        <v>0</v>
      </c>
      <c r="V692" s="43">
        <f t="shared" si="423"/>
        <v>14128.8</v>
      </c>
    </row>
    <row r="693" spans="1:22" hidden="1">
      <c r="A693" s="7" t="s">
        <v>754</v>
      </c>
      <c r="B693" s="7">
        <v>70000</v>
      </c>
      <c r="C693" s="7" t="s">
        <v>710</v>
      </c>
      <c r="D693" s="7" t="str">
        <f t="shared" si="408"/>
        <v>Grants &amp; Procurement Specialist (2)</v>
      </c>
      <c r="E693" s="43">
        <v>0</v>
      </c>
      <c r="F693" s="49" t="s">
        <v>95</v>
      </c>
      <c r="G693" s="43">
        <f t="shared" si="409"/>
        <v>3500</v>
      </c>
      <c r="H693" s="119">
        <f>'LOE Breakdown by Year'!L33</f>
        <v>0</v>
      </c>
      <c r="I693" s="43">
        <f t="shared" si="410"/>
        <v>12</v>
      </c>
      <c r="J693" s="43">
        <f t="shared" si="418"/>
        <v>0</v>
      </c>
      <c r="K693" s="119">
        <f>'LOE Breakdown by Year'!L73</f>
        <v>0</v>
      </c>
      <c r="L693" s="43">
        <f t="shared" si="411"/>
        <v>12</v>
      </c>
      <c r="M693" s="43">
        <f t="shared" si="419"/>
        <v>0</v>
      </c>
      <c r="N693" s="119">
        <f>'LOE Breakdown by Year'!L113</f>
        <v>0</v>
      </c>
      <c r="O693" s="43">
        <f t="shared" si="412"/>
        <v>12</v>
      </c>
      <c r="P693" s="43">
        <f t="shared" si="420"/>
        <v>0</v>
      </c>
      <c r="Q693" s="119">
        <f>'LOE Breakdown by Year'!L153</f>
        <v>0</v>
      </c>
      <c r="R693" s="43">
        <f t="shared" si="413"/>
        <v>0</v>
      </c>
      <c r="S693" s="43">
        <f t="shared" si="421"/>
        <v>0</v>
      </c>
      <c r="T693" s="43">
        <f t="shared" si="422"/>
        <v>0</v>
      </c>
      <c r="U693" s="43">
        <v>0</v>
      </c>
      <c r="V693" s="43">
        <f t="shared" si="423"/>
        <v>0</v>
      </c>
    </row>
    <row r="694" spans="1:22">
      <c r="A694" s="7" t="s">
        <v>754</v>
      </c>
      <c r="B694" s="7">
        <v>70000</v>
      </c>
      <c r="C694" s="7" t="s">
        <v>710</v>
      </c>
      <c r="D694" s="7" t="str">
        <f t="shared" si="408"/>
        <v xml:space="preserve">F&amp;A Director </v>
      </c>
      <c r="E694" s="43">
        <v>4339.51</v>
      </c>
      <c r="F694" s="49" t="s">
        <v>95</v>
      </c>
      <c r="G694" s="43">
        <f t="shared" si="409"/>
        <v>5279.4</v>
      </c>
      <c r="H694" s="119">
        <f>'LOE Breakdown by Year'!L34</f>
        <v>0.1</v>
      </c>
      <c r="I694" s="43">
        <f t="shared" si="410"/>
        <v>12</v>
      </c>
      <c r="J694" s="43">
        <f t="shared" si="418"/>
        <v>6335.28</v>
      </c>
      <c r="K694" s="119">
        <f>'LOE Breakdown by Year'!L74</f>
        <v>0</v>
      </c>
      <c r="L694" s="43">
        <f t="shared" si="411"/>
        <v>12</v>
      </c>
      <c r="M694" s="43">
        <f t="shared" si="419"/>
        <v>0</v>
      </c>
      <c r="N694" s="119">
        <f>'LOE Breakdown by Year'!L114</f>
        <v>0</v>
      </c>
      <c r="O694" s="43">
        <f t="shared" si="412"/>
        <v>12</v>
      </c>
      <c r="P694" s="43">
        <f t="shared" si="420"/>
        <v>0</v>
      </c>
      <c r="Q694" s="119">
        <f>'LOE Breakdown by Year'!L154</f>
        <v>0</v>
      </c>
      <c r="R694" s="43">
        <f t="shared" si="413"/>
        <v>6</v>
      </c>
      <c r="S694" s="43">
        <f t="shared" si="421"/>
        <v>0</v>
      </c>
      <c r="T694" s="43">
        <f t="shared" si="422"/>
        <v>10674.79</v>
      </c>
      <c r="U694" s="43">
        <v>0</v>
      </c>
      <c r="V694" s="43">
        <f t="shared" si="423"/>
        <v>10674.79</v>
      </c>
    </row>
    <row r="695" spans="1:22">
      <c r="A695" s="7" t="s">
        <v>754</v>
      </c>
      <c r="B695" s="7">
        <v>70000</v>
      </c>
      <c r="C695" s="7" t="s">
        <v>710</v>
      </c>
      <c r="D695" s="7" t="str">
        <f t="shared" si="408"/>
        <v>Accounting &amp; Finance Specialist</v>
      </c>
      <c r="E695" s="43">
        <v>0</v>
      </c>
      <c r="F695" s="49" t="s">
        <v>95</v>
      </c>
      <c r="G695" s="43">
        <f t="shared" si="409"/>
        <v>1750</v>
      </c>
      <c r="H695" s="119">
        <f>'LOE Breakdown by Year'!L35</f>
        <v>0.15</v>
      </c>
      <c r="I695" s="43">
        <f t="shared" si="410"/>
        <v>12</v>
      </c>
      <c r="J695" s="43">
        <f t="shared" si="418"/>
        <v>3150</v>
      </c>
      <c r="K695" s="119">
        <f>'LOE Breakdown by Year'!L75</f>
        <v>0</v>
      </c>
      <c r="L695" s="43">
        <f t="shared" si="411"/>
        <v>12</v>
      </c>
      <c r="M695" s="43">
        <f t="shared" si="419"/>
        <v>0</v>
      </c>
      <c r="N695" s="119">
        <f>'LOE Breakdown by Year'!L115</f>
        <v>0</v>
      </c>
      <c r="O695" s="43">
        <f t="shared" si="412"/>
        <v>12</v>
      </c>
      <c r="P695" s="43">
        <f t="shared" si="420"/>
        <v>0</v>
      </c>
      <c r="Q695" s="119">
        <f>'LOE Breakdown by Year'!L155</f>
        <v>0</v>
      </c>
      <c r="R695" s="43">
        <f t="shared" si="413"/>
        <v>3</v>
      </c>
      <c r="S695" s="43">
        <f t="shared" si="421"/>
        <v>0</v>
      </c>
      <c r="T695" s="43">
        <f t="shared" si="422"/>
        <v>3150</v>
      </c>
      <c r="U695" s="43">
        <v>0</v>
      </c>
      <c r="V695" s="43">
        <f t="shared" si="423"/>
        <v>3150</v>
      </c>
    </row>
    <row r="696" spans="1:22">
      <c r="A696" s="7" t="s">
        <v>754</v>
      </c>
      <c r="B696" s="7">
        <v>70000</v>
      </c>
      <c r="C696" s="7" t="s">
        <v>710</v>
      </c>
      <c r="D696" s="7" t="str">
        <f t="shared" si="408"/>
        <v xml:space="preserve">Accountant </v>
      </c>
      <c r="E696" s="43">
        <v>0</v>
      </c>
      <c r="F696" s="49" t="s">
        <v>95</v>
      </c>
      <c r="G696" s="43">
        <f t="shared" si="409"/>
        <v>1750</v>
      </c>
      <c r="H696" s="119">
        <f>'LOE Breakdown by Year'!L36</f>
        <v>0.15</v>
      </c>
      <c r="I696" s="43">
        <f t="shared" si="410"/>
        <v>12</v>
      </c>
      <c r="J696" s="43">
        <f t="shared" si="418"/>
        <v>3150</v>
      </c>
      <c r="K696" s="119">
        <f>'LOE Breakdown by Year'!L76</f>
        <v>0</v>
      </c>
      <c r="L696" s="43">
        <f t="shared" si="411"/>
        <v>12</v>
      </c>
      <c r="M696" s="43">
        <f t="shared" si="419"/>
        <v>0</v>
      </c>
      <c r="N696" s="119">
        <f>'LOE Breakdown by Year'!L116</f>
        <v>0</v>
      </c>
      <c r="O696" s="43">
        <f t="shared" si="412"/>
        <v>12</v>
      </c>
      <c r="P696" s="43">
        <f t="shared" si="420"/>
        <v>0</v>
      </c>
      <c r="Q696" s="119">
        <f>'LOE Breakdown by Year'!L156</f>
        <v>0</v>
      </c>
      <c r="R696" s="43">
        <f t="shared" si="413"/>
        <v>5</v>
      </c>
      <c r="S696" s="43">
        <f t="shared" si="421"/>
        <v>0</v>
      </c>
      <c r="T696" s="43">
        <f t="shared" si="422"/>
        <v>3150</v>
      </c>
      <c r="U696" s="43">
        <v>0</v>
      </c>
      <c r="V696" s="43">
        <f t="shared" si="423"/>
        <v>3150</v>
      </c>
    </row>
    <row r="697" spans="1:22">
      <c r="A697" s="7" t="s">
        <v>754</v>
      </c>
      <c r="B697" s="7">
        <v>70000</v>
      </c>
      <c r="C697" s="7" t="s">
        <v>710</v>
      </c>
      <c r="D697" s="7" t="str">
        <f t="shared" si="408"/>
        <v>Finance &amp; Admin Coordinator - 50% LOE</v>
      </c>
      <c r="E697" s="43">
        <v>0</v>
      </c>
      <c r="F697" s="49" t="s">
        <v>95</v>
      </c>
      <c r="G697" s="43">
        <f t="shared" si="409"/>
        <v>2583.3333333333335</v>
      </c>
      <c r="H697" s="119">
        <f>'LOE Breakdown by Year'!L37</f>
        <v>0.05</v>
      </c>
      <c r="I697" s="43">
        <f t="shared" si="410"/>
        <v>12</v>
      </c>
      <c r="J697" s="43">
        <f t="shared" si="418"/>
        <v>1550</v>
      </c>
      <c r="K697" s="119">
        <f>'LOE Breakdown by Year'!L77</f>
        <v>0</v>
      </c>
      <c r="L697" s="43">
        <f t="shared" si="411"/>
        <v>12</v>
      </c>
      <c r="M697" s="43">
        <f t="shared" si="419"/>
        <v>0</v>
      </c>
      <c r="N697" s="119">
        <f>'LOE Breakdown by Year'!L117</f>
        <v>0</v>
      </c>
      <c r="O697" s="43">
        <f t="shared" si="412"/>
        <v>12</v>
      </c>
      <c r="P697" s="43">
        <f t="shared" si="420"/>
        <v>0</v>
      </c>
      <c r="Q697" s="119">
        <f>'LOE Breakdown by Year'!L157</f>
        <v>0</v>
      </c>
      <c r="R697" s="43">
        <f t="shared" si="413"/>
        <v>6</v>
      </c>
      <c r="S697" s="43">
        <f t="shared" si="421"/>
        <v>0</v>
      </c>
      <c r="T697" s="43">
        <f t="shared" si="422"/>
        <v>1550</v>
      </c>
      <c r="U697" s="43">
        <v>0</v>
      </c>
      <c r="V697" s="43">
        <f t="shared" si="423"/>
        <v>1550</v>
      </c>
    </row>
    <row r="698" spans="1:22">
      <c r="A698" s="7" t="s">
        <v>754</v>
      </c>
      <c r="B698" s="7">
        <v>70000</v>
      </c>
      <c r="C698" s="7" t="s">
        <v>710</v>
      </c>
      <c r="D698" s="7" t="str">
        <f t="shared" si="408"/>
        <v xml:space="preserve">Administrative Officer </v>
      </c>
      <c r="E698" s="43">
        <v>798.14</v>
      </c>
      <c r="F698" s="49" t="s">
        <v>95</v>
      </c>
      <c r="G698" s="43">
        <f t="shared" si="409"/>
        <v>1000</v>
      </c>
      <c r="H698" s="119">
        <f>'LOE Breakdown by Year'!L38</f>
        <v>0.15</v>
      </c>
      <c r="I698" s="43">
        <f t="shared" si="410"/>
        <v>12</v>
      </c>
      <c r="J698" s="43">
        <f t="shared" si="418"/>
        <v>1800</v>
      </c>
      <c r="K698" s="119">
        <f>'LOE Breakdown by Year'!L78</f>
        <v>0</v>
      </c>
      <c r="L698" s="43">
        <f t="shared" si="411"/>
        <v>12</v>
      </c>
      <c r="M698" s="43">
        <f t="shared" si="419"/>
        <v>0</v>
      </c>
      <c r="N698" s="119">
        <f>'LOE Breakdown by Year'!L118</f>
        <v>0</v>
      </c>
      <c r="O698" s="43">
        <f t="shared" si="412"/>
        <v>12</v>
      </c>
      <c r="P698" s="43">
        <f t="shared" si="420"/>
        <v>0</v>
      </c>
      <c r="Q698" s="119">
        <f>'LOE Breakdown by Year'!L158</f>
        <v>0</v>
      </c>
      <c r="R698" s="43">
        <f t="shared" si="413"/>
        <v>3</v>
      </c>
      <c r="S698" s="43">
        <f t="shared" si="421"/>
        <v>0</v>
      </c>
      <c r="T698" s="43">
        <f t="shared" si="422"/>
        <v>2598.14</v>
      </c>
      <c r="U698" s="43">
        <v>0</v>
      </c>
      <c r="V698" s="43">
        <f t="shared" si="423"/>
        <v>2598.14</v>
      </c>
    </row>
    <row r="699" spans="1:22">
      <c r="A699" s="7" t="s">
        <v>754</v>
      </c>
      <c r="B699" s="7">
        <v>70000</v>
      </c>
      <c r="C699" s="7" t="s">
        <v>710</v>
      </c>
      <c r="D699" s="7" t="str">
        <f t="shared" si="408"/>
        <v>Human Resource Manager</v>
      </c>
      <c r="E699" s="43">
        <v>0</v>
      </c>
      <c r="F699" s="49" t="s">
        <v>95</v>
      </c>
      <c r="G699" s="43">
        <f t="shared" si="409"/>
        <v>1954.1666666666667</v>
      </c>
      <c r="H699" s="119">
        <f>'LOE Breakdown by Year'!L39</f>
        <v>0.15</v>
      </c>
      <c r="I699" s="43">
        <f t="shared" si="410"/>
        <v>12</v>
      </c>
      <c r="J699" s="43">
        <f t="shared" si="418"/>
        <v>3517.5</v>
      </c>
      <c r="K699" s="119">
        <f>'LOE Breakdown by Year'!L79</f>
        <v>0</v>
      </c>
      <c r="L699" s="43">
        <f t="shared" si="411"/>
        <v>12</v>
      </c>
      <c r="M699" s="43">
        <f t="shared" si="419"/>
        <v>0</v>
      </c>
      <c r="N699" s="119">
        <f>'LOE Breakdown by Year'!L119</f>
        <v>0</v>
      </c>
      <c r="O699" s="43">
        <f t="shared" si="412"/>
        <v>12</v>
      </c>
      <c r="P699" s="43">
        <f t="shared" si="420"/>
        <v>0</v>
      </c>
      <c r="Q699" s="119">
        <f>'LOE Breakdown by Year'!L159</f>
        <v>0</v>
      </c>
      <c r="R699" s="43">
        <f t="shared" si="413"/>
        <v>6</v>
      </c>
      <c r="S699" s="43">
        <f t="shared" si="421"/>
        <v>0</v>
      </c>
      <c r="T699" s="43">
        <f t="shared" si="422"/>
        <v>3517.5</v>
      </c>
      <c r="U699" s="43">
        <v>0</v>
      </c>
      <c r="V699" s="43">
        <f t="shared" si="423"/>
        <v>3517.5</v>
      </c>
    </row>
    <row r="700" spans="1:22" ht="17.95" customHeight="1">
      <c r="A700" s="7" t="s">
        <v>754</v>
      </c>
      <c r="B700" s="7">
        <v>70000</v>
      </c>
      <c r="C700" s="7" t="s">
        <v>710</v>
      </c>
      <c r="D700" s="7" t="str">
        <f t="shared" si="408"/>
        <v>Human Resource Specialist</v>
      </c>
      <c r="E700" s="43">
        <v>0</v>
      </c>
      <c r="F700" s="49" t="s">
        <v>95</v>
      </c>
      <c r="G700" s="43">
        <f t="shared" si="409"/>
        <v>1750</v>
      </c>
      <c r="H700" s="119">
        <f>'LOE Breakdown by Year'!L40</f>
        <v>0.15</v>
      </c>
      <c r="I700" s="43">
        <f t="shared" si="410"/>
        <v>12</v>
      </c>
      <c r="J700" s="43">
        <f t="shared" si="418"/>
        <v>3150</v>
      </c>
      <c r="K700" s="119">
        <f>'LOE Breakdown by Year'!L80</f>
        <v>0</v>
      </c>
      <c r="L700" s="43">
        <f t="shared" si="411"/>
        <v>12</v>
      </c>
      <c r="M700" s="43">
        <f t="shared" si="419"/>
        <v>0</v>
      </c>
      <c r="N700" s="119">
        <f>'LOE Breakdown by Year'!L120</f>
        <v>0</v>
      </c>
      <c r="O700" s="43">
        <f t="shared" si="412"/>
        <v>12</v>
      </c>
      <c r="P700" s="43">
        <f t="shared" si="420"/>
        <v>0</v>
      </c>
      <c r="Q700" s="119">
        <f>'LOE Breakdown by Year'!L160</f>
        <v>0</v>
      </c>
      <c r="R700" s="43">
        <f t="shared" si="413"/>
        <v>3</v>
      </c>
      <c r="S700" s="43">
        <f t="shared" si="421"/>
        <v>0</v>
      </c>
      <c r="T700" s="43">
        <f t="shared" si="422"/>
        <v>3150</v>
      </c>
      <c r="U700" s="43">
        <v>0</v>
      </c>
      <c r="V700" s="43">
        <f t="shared" si="423"/>
        <v>3150</v>
      </c>
    </row>
    <row r="701" spans="1:22">
      <c r="A701" s="40"/>
      <c r="B701" s="40"/>
      <c r="C701" s="40"/>
      <c r="D701" s="40" t="s">
        <v>438</v>
      </c>
      <c r="E701" s="47">
        <f>SUM(E671:E700)</f>
        <v>130182.24</v>
      </c>
      <c r="F701" s="45"/>
      <c r="G701" s="46"/>
      <c r="H701" s="132"/>
      <c r="I701" s="47"/>
      <c r="J701" s="47">
        <f>SUM(J671:J700)</f>
        <v>112502.78</v>
      </c>
      <c r="K701" s="132"/>
      <c r="L701" s="47"/>
      <c r="M701" s="47">
        <f>SUM(M671:M700)</f>
        <v>0</v>
      </c>
      <c r="N701" s="132"/>
      <c r="O701" s="47"/>
      <c r="P701" s="47">
        <f>SUM(P671:P700)</f>
        <v>0</v>
      </c>
      <c r="Q701" s="132"/>
      <c r="R701" s="47"/>
      <c r="S701" s="47">
        <f>SUM(S671:S700)</f>
        <v>0</v>
      </c>
      <c r="T701" s="47">
        <f>SUM(T671:T700)</f>
        <v>242685.02000000002</v>
      </c>
      <c r="U701" s="47">
        <f>SUM(U671:U700)</f>
        <v>0</v>
      </c>
      <c r="V701" s="47">
        <f>SUM(V671:V700)</f>
        <v>242685.02000000002</v>
      </c>
    </row>
    <row r="702" spans="1:22">
      <c r="A702" s="104"/>
      <c r="B702" s="104"/>
      <c r="C702" s="104"/>
      <c r="D702" s="104"/>
      <c r="E702" s="593"/>
      <c r="F702" s="81"/>
      <c r="G702" s="62"/>
      <c r="H702" s="133"/>
      <c r="I702" s="62"/>
      <c r="J702" s="62"/>
      <c r="K702" s="133"/>
      <c r="L702" s="62"/>
      <c r="M702" s="62"/>
      <c r="N702" s="133"/>
      <c r="O702" s="62"/>
      <c r="P702" s="62"/>
      <c r="Q702" s="133"/>
      <c r="R702" s="62"/>
      <c r="S702" s="62"/>
      <c r="T702" s="62"/>
      <c r="U702" s="62"/>
      <c r="V702" s="62"/>
    </row>
    <row r="703" spans="1:22">
      <c r="A703" s="40"/>
      <c r="B703" s="40"/>
      <c r="C703" s="40"/>
      <c r="D703" s="40" t="s">
        <v>439</v>
      </c>
      <c r="E703" s="47"/>
      <c r="F703" s="45"/>
      <c r="G703" s="46"/>
      <c r="H703" s="132"/>
      <c r="I703" s="47"/>
      <c r="J703" s="47"/>
      <c r="K703" s="132"/>
      <c r="L703" s="47"/>
      <c r="M703" s="47"/>
      <c r="N703" s="132"/>
      <c r="O703" s="47"/>
      <c r="P703" s="47"/>
      <c r="Q703" s="132"/>
      <c r="R703" s="47"/>
      <c r="S703" s="47"/>
      <c r="T703" s="47"/>
      <c r="U703" s="47"/>
      <c r="V703" s="47"/>
    </row>
    <row r="704" spans="1:22" ht="25.2">
      <c r="A704" s="7" t="s">
        <v>827</v>
      </c>
      <c r="B704" s="7">
        <v>70015</v>
      </c>
      <c r="C704" s="7" t="s">
        <v>710</v>
      </c>
      <c r="D704" s="7" t="str">
        <f>D51</f>
        <v>Fringe Benefits CCN - Colombia (above $3,350 monthly)</v>
      </c>
      <c r="E704" s="43">
        <v>5118.8900000000003</v>
      </c>
      <c r="F704" s="82" t="s">
        <v>132</v>
      </c>
      <c r="G704" s="59">
        <f>G51</f>
        <v>0.53864000000000001</v>
      </c>
      <c r="H704" s="120"/>
      <c r="I704" s="43"/>
      <c r="J704" s="43">
        <f>(J673+J689+J682+J686+J694+J692+J672)*$G$51</f>
        <v>21591.535219199999</v>
      </c>
      <c r="K704" s="120"/>
      <c r="L704" s="43"/>
      <c r="M704" s="43">
        <f>(M673+M689+M682+M686+M694+M692+M672)*$G$51</f>
        <v>0</v>
      </c>
      <c r="N704" s="120"/>
      <c r="O704" s="43"/>
      <c r="P704" s="43">
        <f>(P673+P689+P682+P686+P694+P692+P672)*$G$51</f>
        <v>0</v>
      </c>
      <c r="Q704" s="120"/>
      <c r="R704" s="43"/>
      <c r="S704" s="43">
        <f>(S673+S689+S682+S686+S694+S692+S672)*$G$51</f>
        <v>0</v>
      </c>
      <c r="T704" s="43">
        <f>SUM(P704,M704,J704,E704,S704)</f>
        <v>26710.425219199999</v>
      </c>
      <c r="U704" s="43">
        <v>0</v>
      </c>
      <c r="V704" s="43">
        <f t="shared" ref="V704:V707" si="424">SUM(T704:U704)</f>
        <v>26710.425219199999</v>
      </c>
    </row>
    <row r="705" spans="1:22" ht="25.2">
      <c r="A705" s="7" t="s">
        <v>827</v>
      </c>
      <c r="B705" s="7">
        <v>70015</v>
      </c>
      <c r="C705" s="7" t="s">
        <v>710</v>
      </c>
      <c r="D705" s="7" t="str">
        <f>D52</f>
        <v>Fringe Benefits CCN - Colombia (below $3,350 monthly)</v>
      </c>
      <c r="E705" s="83">
        <v>55645.85</v>
      </c>
      <c r="F705" s="82" t="s">
        <v>132</v>
      </c>
      <c r="G705" s="59">
        <f>G52</f>
        <v>0.44863999999999998</v>
      </c>
      <c r="H705" s="125"/>
      <c r="I705" s="83"/>
      <c r="J705" s="43">
        <f>(J674+J675+J676+J677+J678+J679+J680+J681+J683+J684+J685+J687+J688+J690+J691+J693+J695+J696+J697+J698+J699+J700)*$G$52</f>
        <v>20981.771199999999</v>
      </c>
      <c r="K705" s="125"/>
      <c r="L705" s="83"/>
      <c r="M705" s="43">
        <f>(M674+M675+M676+M677+M678+M679+M680+M681+M683+M684+M685+M687+M688+M690+M691+M693+M695+M696+M697+M698+M699+M700)*$G$52</f>
        <v>0</v>
      </c>
      <c r="N705" s="125"/>
      <c r="O705" s="83"/>
      <c r="P705" s="43">
        <f>(P674+P675+P676+P677+P678+P679+P680+P681+P683+P684+P685+P687+P688+P690+P691+P693+P695+P696+P697+P698+P699+P700)*$G$52</f>
        <v>0</v>
      </c>
      <c r="Q705" s="125"/>
      <c r="R705" s="83"/>
      <c r="S705" s="43">
        <f>(S674+S675+S676+S677+S678+S679+S680+S681+S683+S684+S685+S687+S688+S690+S691+S693+S695+S696+S697+S698+S699+S700)*$G$52</f>
        <v>0</v>
      </c>
      <c r="T705" s="43">
        <f t="shared" ref="T705:T707" si="425">SUM(P705,M705,J705,E705,S705)</f>
        <v>76627.621199999994</v>
      </c>
      <c r="U705" s="43">
        <v>0</v>
      </c>
      <c r="V705" s="43">
        <f t="shared" si="424"/>
        <v>76627.621199999994</v>
      </c>
    </row>
    <row r="706" spans="1:22">
      <c r="A706" s="7" t="s">
        <v>828</v>
      </c>
      <c r="B706" s="7">
        <v>50202</v>
      </c>
      <c r="C706" s="7" t="s">
        <v>709</v>
      </c>
      <c r="D706" s="7" t="str">
        <f>D54</f>
        <v>Post (Hardship) Differential for Chief of Party</v>
      </c>
      <c r="E706" s="83">
        <v>1301.82</v>
      </c>
      <c r="F706" s="82" t="s">
        <v>132</v>
      </c>
      <c r="G706" s="59">
        <f>G54</f>
        <v>0.15</v>
      </c>
      <c r="H706" s="125"/>
      <c r="I706" s="83"/>
      <c r="J706" s="83">
        <f>J671*$G$312</f>
        <v>3847.5</v>
      </c>
      <c r="K706" s="125"/>
      <c r="L706" s="83"/>
      <c r="M706" s="83">
        <f>M671*$G$312</f>
        <v>0</v>
      </c>
      <c r="N706" s="125"/>
      <c r="O706" s="83"/>
      <c r="P706" s="83">
        <f>P671*$G$312</f>
        <v>0</v>
      </c>
      <c r="Q706" s="125"/>
      <c r="R706" s="83"/>
      <c r="S706" s="83">
        <f>S671*$G$312</f>
        <v>0</v>
      </c>
      <c r="T706" s="43">
        <f t="shared" si="425"/>
        <v>5149.32</v>
      </c>
      <c r="U706" s="43">
        <v>0</v>
      </c>
      <c r="V706" s="43">
        <f t="shared" si="424"/>
        <v>5149.32</v>
      </c>
    </row>
    <row r="707" spans="1:22">
      <c r="A707" s="7" t="s">
        <v>827</v>
      </c>
      <c r="B707" s="7">
        <v>50900</v>
      </c>
      <c r="C707" s="7" t="s">
        <v>709</v>
      </c>
      <c r="D707" s="7" t="str">
        <f>D55</f>
        <v>Fringe Benefits Package for Chief of Party</v>
      </c>
      <c r="E707" s="83">
        <v>1919.58</v>
      </c>
      <c r="F707" s="82" t="s">
        <v>132</v>
      </c>
      <c r="G707" s="59">
        <f>G55</f>
        <v>0.56469999999999998</v>
      </c>
      <c r="H707" s="125"/>
      <c r="I707" s="83"/>
      <c r="J707" s="83">
        <f>J671*$G$313</f>
        <v>14484.555</v>
      </c>
      <c r="K707" s="125"/>
      <c r="L707" s="83"/>
      <c r="M707" s="83">
        <f>M671*$G$313</f>
        <v>0</v>
      </c>
      <c r="N707" s="125"/>
      <c r="O707" s="83"/>
      <c r="P707" s="83">
        <f>P671*$G$313</f>
        <v>0</v>
      </c>
      <c r="Q707" s="125"/>
      <c r="R707" s="83"/>
      <c r="S707" s="83">
        <f>S671*$G$313</f>
        <v>0</v>
      </c>
      <c r="T707" s="43">
        <f t="shared" si="425"/>
        <v>16404.135000000002</v>
      </c>
      <c r="U707" s="43">
        <v>0</v>
      </c>
      <c r="V707" s="43">
        <f t="shared" si="424"/>
        <v>16404.135000000002</v>
      </c>
    </row>
    <row r="708" spans="1:22">
      <c r="A708" s="40"/>
      <c r="B708" s="40"/>
      <c r="C708" s="40"/>
      <c r="D708" s="40" t="s">
        <v>440</v>
      </c>
      <c r="E708" s="47">
        <f>SUM(E704:E707)</f>
        <v>63986.14</v>
      </c>
      <c r="F708" s="45"/>
      <c r="G708" s="46"/>
      <c r="H708" s="132"/>
      <c r="I708" s="47"/>
      <c r="J708" s="47">
        <f>SUM(J704:J707)</f>
        <v>60905.361419200002</v>
      </c>
      <c r="K708" s="132"/>
      <c r="L708" s="47"/>
      <c r="M708" s="47">
        <f>SUM(M704:M707)</f>
        <v>0</v>
      </c>
      <c r="N708" s="132"/>
      <c r="O708" s="47"/>
      <c r="P708" s="47">
        <f>SUM(P704:P707)</f>
        <v>0</v>
      </c>
      <c r="Q708" s="132"/>
      <c r="R708" s="47"/>
      <c r="S708" s="47">
        <f>SUM(S704:S707)</f>
        <v>0</v>
      </c>
      <c r="T708" s="47">
        <f>SUM(T704:T707)</f>
        <v>124891.50141920001</v>
      </c>
      <c r="U708" s="47">
        <f>SUM(U704:U707)</f>
        <v>0</v>
      </c>
      <c r="V708" s="47">
        <f>SUM(V704:V707)</f>
        <v>124891.50141920001</v>
      </c>
    </row>
    <row r="709" spans="1:22">
      <c r="A709" s="104"/>
      <c r="B709" s="104"/>
      <c r="C709" s="104"/>
      <c r="D709" s="104"/>
      <c r="E709" s="62"/>
      <c r="F709" s="81"/>
      <c r="G709" s="62"/>
      <c r="H709" s="133"/>
      <c r="I709" s="62"/>
      <c r="J709" s="62"/>
      <c r="K709" s="133"/>
      <c r="L709" s="62"/>
      <c r="M709" s="62"/>
      <c r="N709" s="133"/>
      <c r="O709" s="62"/>
      <c r="P709" s="62"/>
      <c r="Q709" s="133"/>
      <c r="R709" s="62"/>
      <c r="S709" s="62"/>
      <c r="T709" s="62"/>
      <c r="U709" s="62"/>
      <c r="V709" s="62"/>
    </row>
    <row r="710" spans="1:22">
      <c r="A710" s="40"/>
      <c r="B710" s="40"/>
      <c r="C710" s="40"/>
      <c r="D710" s="40" t="s">
        <v>441</v>
      </c>
      <c r="E710" s="46"/>
      <c r="F710" s="45"/>
      <c r="G710" s="46"/>
      <c r="H710" s="132"/>
      <c r="I710" s="46"/>
      <c r="J710" s="46"/>
      <c r="K710" s="132"/>
      <c r="L710" s="46"/>
      <c r="M710" s="46"/>
      <c r="N710" s="132"/>
      <c r="O710" s="46"/>
      <c r="P710" s="46"/>
      <c r="Q710" s="132"/>
      <c r="R710" s="46"/>
      <c r="S710" s="46"/>
      <c r="T710" s="46"/>
      <c r="U710" s="46"/>
      <c r="V710" s="46"/>
    </row>
    <row r="711" spans="1:22">
      <c r="A711" s="7" t="s">
        <v>830</v>
      </c>
      <c r="B711" s="7">
        <v>81000</v>
      </c>
      <c r="C711" s="7" t="s">
        <v>710</v>
      </c>
      <c r="D711" s="7" t="s">
        <v>442</v>
      </c>
      <c r="E711" s="43">
        <v>5000</v>
      </c>
      <c r="F711" s="48" t="s">
        <v>95</v>
      </c>
      <c r="G711" s="43">
        <v>5000</v>
      </c>
      <c r="H711" s="125"/>
      <c r="I711" s="43">
        <v>3</v>
      </c>
      <c r="J711" s="83">
        <f>I711*G711</f>
        <v>15000</v>
      </c>
      <c r="K711" s="125"/>
      <c r="L711" s="43">
        <v>0</v>
      </c>
      <c r="M711" s="43">
        <f>L711*G711</f>
        <v>0</v>
      </c>
      <c r="N711" s="125"/>
      <c r="O711" s="43">
        <v>0</v>
      </c>
      <c r="P711" s="43">
        <f>O711*G711</f>
        <v>0</v>
      </c>
      <c r="Q711" s="125"/>
      <c r="R711" s="43">
        <v>0</v>
      </c>
      <c r="S711" s="43">
        <f>R711*G711</f>
        <v>0</v>
      </c>
      <c r="T711" s="43">
        <f t="shared" ref="T711" si="426">SUM(P711,M711,J711,E711,S711)</f>
        <v>20000</v>
      </c>
      <c r="U711" s="43">
        <v>0</v>
      </c>
      <c r="V711" s="43">
        <f t="shared" ref="V711" si="427">SUM(T711:U711)</f>
        <v>20000</v>
      </c>
    </row>
    <row r="712" spans="1:22">
      <c r="A712" s="7" t="s">
        <v>831</v>
      </c>
      <c r="B712" s="7">
        <v>81010</v>
      </c>
      <c r="C712" s="7" t="s">
        <v>710</v>
      </c>
      <c r="D712" s="7" t="s">
        <v>443</v>
      </c>
      <c r="E712" s="43">
        <v>109708.24</v>
      </c>
      <c r="F712" s="48" t="s">
        <v>95</v>
      </c>
      <c r="G712" s="43">
        <v>6000</v>
      </c>
      <c r="H712" s="125"/>
      <c r="I712" s="43">
        <v>6</v>
      </c>
      <c r="J712" s="83">
        <f>I712*G712</f>
        <v>36000</v>
      </c>
      <c r="K712" s="125"/>
      <c r="L712" s="43">
        <v>0</v>
      </c>
      <c r="M712" s="43">
        <f>L712*G712</f>
        <v>0</v>
      </c>
      <c r="N712" s="125"/>
      <c r="O712" s="43">
        <v>0</v>
      </c>
      <c r="P712" s="43">
        <f>O712*G712</f>
        <v>0</v>
      </c>
      <c r="Q712" s="125"/>
      <c r="R712" s="43">
        <v>0</v>
      </c>
      <c r="S712" s="43">
        <f>R712*G712</f>
        <v>0</v>
      </c>
      <c r="T712" s="43">
        <f>SUM(P712,M712,J712,E712,S712)</f>
        <v>145708.24</v>
      </c>
      <c r="U712" s="43">
        <v>0</v>
      </c>
      <c r="V712" s="43">
        <f t="shared" ref="V712" si="428">SUM(T712:U712)</f>
        <v>145708.24</v>
      </c>
    </row>
    <row r="713" spans="1:22" ht="24.9">
      <c r="A713" s="40"/>
      <c r="B713" s="40"/>
      <c r="C713" s="40"/>
      <c r="D713" s="40" t="s">
        <v>444</v>
      </c>
      <c r="E713" s="47">
        <f>SUM(E711:E712)</f>
        <v>114708.24</v>
      </c>
      <c r="F713" s="45"/>
      <c r="G713" s="47"/>
      <c r="H713" s="135"/>
      <c r="I713" s="47"/>
      <c r="J713" s="47">
        <f>SUM(J711:J712)</f>
        <v>51000</v>
      </c>
      <c r="K713" s="135"/>
      <c r="L713" s="47"/>
      <c r="M713" s="47">
        <f>SUM(M711:M712)</f>
        <v>0</v>
      </c>
      <c r="N713" s="135"/>
      <c r="O713" s="47"/>
      <c r="P713" s="47">
        <f>SUM(P711:P712)</f>
        <v>0</v>
      </c>
      <c r="Q713" s="135"/>
      <c r="R713" s="47"/>
      <c r="S713" s="47">
        <f>SUM(S711:S712)</f>
        <v>0</v>
      </c>
      <c r="T713" s="47">
        <f>SUM(T711:T712)</f>
        <v>165708.24</v>
      </c>
      <c r="U713" s="47">
        <f>SUM(U711:U712)</f>
        <v>0</v>
      </c>
      <c r="V713" s="47">
        <f>SUM(V711:V712)</f>
        <v>165708.24</v>
      </c>
    </row>
    <row r="714" spans="1:22">
      <c r="A714" s="104"/>
      <c r="B714" s="104"/>
      <c r="C714" s="104"/>
      <c r="D714" s="104"/>
      <c r="E714" s="62"/>
      <c r="F714" s="81"/>
      <c r="G714" s="62"/>
      <c r="H714" s="133"/>
      <c r="I714" s="62"/>
      <c r="J714" s="62"/>
      <c r="K714" s="133"/>
      <c r="L714" s="62"/>
      <c r="M714" s="62"/>
      <c r="N714" s="133"/>
      <c r="O714" s="62"/>
      <c r="P714" s="62"/>
      <c r="Q714" s="133"/>
      <c r="R714" s="62"/>
      <c r="S714" s="62"/>
      <c r="T714" s="62"/>
      <c r="U714" s="62"/>
      <c r="V714" s="62"/>
    </row>
    <row r="715" spans="1:22">
      <c r="A715" s="40"/>
      <c r="B715" s="40"/>
      <c r="C715" s="40"/>
      <c r="D715" s="40" t="s">
        <v>445</v>
      </c>
      <c r="E715" s="46"/>
      <c r="F715" s="45"/>
      <c r="G715" s="46"/>
      <c r="H715" s="132"/>
      <c r="I715" s="46"/>
      <c r="J715" s="46"/>
      <c r="K715" s="132"/>
      <c r="L715" s="46"/>
      <c r="M715" s="46"/>
      <c r="N715" s="132"/>
      <c r="O715" s="46"/>
      <c r="P715" s="46"/>
      <c r="Q715" s="132"/>
      <c r="R715" s="46"/>
      <c r="S715" s="46"/>
      <c r="T715" s="46"/>
      <c r="U715" s="46"/>
      <c r="V715" s="46"/>
    </row>
    <row r="716" spans="1:22">
      <c r="A716" s="7" t="s">
        <v>829</v>
      </c>
      <c r="B716" s="7">
        <v>86000</v>
      </c>
      <c r="C716" s="7" t="s">
        <v>710</v>
      </c>
      <c r="D716" s="7" t="s">
        <v>446</v>
      </c>
      <c r="E716" s="43">
        <v>5000</v>
      </c>
      <c r="F716" s="7" t="s">
        <v>144</v>
      </c>
      <c r="G716" s="43">
        <v>25</v>
      </c>
      <c r="H716" s="128"/>
      <c r="I716" s="43">
        <v>60</v>
      </c>
      <c r="J716" s="43">
        <f>G716*I716</f>
        <v>1500</v>
      </c>
      <c r="K716" s="128"/>
      <c r="L716" s="43">
        <v>0</v>
      </c>
      <c r="M716" s="43">
        <f>G716*L716*$E$7</f>
        <v>0</v>
      </c>
      <c r="N716" s="128"/>
      <c r="O716" s="43">
        <v>0</v>
      </c>
      <c r="P716" s="43">
        <f>G716*O716*$E$7*$E$7</f>
        <v>0</v>
      </c>
      <c r="Q716" s="128"/>
      <c r="R716" s="43">
        <v>0</v>
      </c>
      <c r="S716" s="43">
        <f>G716*R716*$E$7*$E$7*$E$7</f>
        <v>0</v>
      </c>
      <c r="T716" s="43">
        <f>SUM(P716,M716,J716,E716,S716)</f>
        <v>6500</v>
      </c>
      <c r="U716" s="43">
        <v>0</v>
      </c>
      <c r="V716" s="43">
        <f t="shared" ref="V716" si="429">SUM(T716:U716)</f>
        <v>6500</v>
      </c>
    </row>
    <row r="717" spans="1:22">
      <c r="A717" s="40"/>
      <c r="B717" s="40"/>
      <c r="C717" s="40"/>
      <c r="D717" s="40" t="s">
        <v>447</v>
      </c>
      <c r="E717" s="47">
        <f>SUM(E716:E716)</f>
        <v>5000</v>
      </c>
      <c r="F717" s="45"/>
      <c r="G717" s="47"/>
      <c r="H717" s="132"/>
      <c r="I717" s="47"/>
      <c r="J717" s="47">
        <f>SUM(J716:J716)</f>
        <v>1500</v>
      </c>
      <c r="K717" s="132"/>
      <c r="L717" s="47"/>
      <c r="M717" s="47">
        <f>SUM(M716:M716)</f>
        <v>0</v>
      </c>
      <c r="N717" s="132"/>
      <c r="O717" s="47"/>
      <c r="P717" s="47">
        <f>SUM(P716:P716)</f>
        <v>0</v>
      </c>
      <c r="Q717" s="132"/>
      <c r="R717" s="47"/>
      <c r="S717" s="47">
        <f>SUM(S716:S716)</f>
        <v>0</v>
      </c>
      <c r="T717" s="47">
        <f>SUM(T716:T716)</f>
        <v>6500</v>
      </c>
      <c r="U717" s="47">
        <f>SUM(U716:U716)</f>
        <v>0</v>
      </c>
      <c r="V717" s="47">
        <f>SUM(V716:V716)</f>
        <v>6500</v>
      </c>
    </row>
    <row r="718" spans="1:22">
      <c r="A718" s="104"/>
      <c r="B718" s="104"/>
      <c r="C718" s="104"/>
      <c r="D718" s="104"/>
      <c r="E718" s="62"/>
      <c r="F718" s="81"/>
      <c r="G718" s="62"/>
      <c r="H718" s="133"/>
      <c r="I718" s="62"/>
      <c r="J718" s="62"/>
      <c r="K718" s="133"/>
      <c r="L718" s="62"/>
      <c r="M718" s="62"/>
      <c r="N718" s="133"/>
      <c r="O718" s="62"/>
      <c r="P718" s="62"/>
      <c r="Q718" s="133"/>
      <c r="R718" s="62"/>
      <c r="S718" s="62"/>
      <c r="T718" s="62"/>
      <c r="U718" s="62"/>
      <c r="V718" s="62"/>
    </row>
    <row r="719" spans="1:22">
      <c r="A719" s="40"/>
      <c r="B719" s="40"/>
      <c r="C719" s="40"/>
      <c r="D719" s="40" t="s">
        <v>448</v>
      </c>
      <c r="E719" s="46"/>
      <c r="F719" s="45"/>
      <c r="G719" s="46"/>
      <c r="H719" s="132"/>
      <c r="I719" s="46"/>
      <c r="J719" s="46"/>
      <c r="K719" s="132"/>
      <c r="L719" s="46"/>
      <c r="M719" s="46"/>
      <c r="N719" s="132"/>
      <c r="O719" s="46"/>
      <c r="P719" s="46"/>
      <c r="Q719" s="132"/>
      <c r="R719" s="46"/>
      <c r="S719" s="46"/>
      <c r="T719" s="46"/>
      <c r="U719" s="46"/>
      <c r="V719" s="46"/>
    </row>
    <row r="720" spans="1:22">
      <c r="A720" s="44" t="s">
        <v>832</v>
      </c>
      <c r="B720" s="7">
        <v>89000</v>
      </c>
      <c r="C720" s="7" t="s">
        <v>710</v>
      </c>
      <c r="D720" s="44" t="s">
        <v>449</v>
      </c>
      <c r="E720" s="43">
        <v>0</v>
      </c>
      <c r="F720" s="48" t="s">
        <v>163</v>
      </c>
      <c r="G720" s="43">
        <v>3000000</v>
      </c>
      <c r="H720" s="125"/>
      <c r="I720" s="43">
        <v>1</v>
      </c>
      <c r="J720" s="43">
        <f>I720*G720</f>
        <v>3000000</v>
      </c>
      <c r="K720" s="125"/>
      <c r="L720" s="43"/>
      <c r="M720" s="43">
        <v>0</v>
      </c>
      <c r="N720" s="125"/>
      <c r="O720" s="43">
        <v>0</v>
      </c>
      <c r="P720" s="43">
        <f>O720*G720</f>
        <v>0</v>
      </c>
      <c r="Q720" s="125"/>
      <c r="R720" s="43"/>
      <c r="S720" s="43">
        <v>0</v>
      </c>
      <c r="T720" s="43">
        <f t="shared" ref="T720" si="430">SUM(P720,M720,J720,E720,S720)</f>
        <v>3000000</v>
      </c>
      <c r="U720" s="43">
        <v>0</v>
      </c>
      <c r="V720" s="43">
        <f t="shared" ref="V720" si="431">SUM(T720:U720)</f>
        <v>3000000</v>
      </c>
    </row>
    <row r="721" spans="1:22">
      <c r="A721" s="40"/>
      <c r="B721" s="40"/>
      <c r="C721" s="40"/>
      <c r="D721" s="40" t="s">
        <v>450</v>
      </c>
      <c r="E721" s="47">
        <f>SUM(E720:E720)</f>
        <v>0</v>
      </c>
      <c r="F721" s="45"/>
      <c r="G721" s="47"/>
      <c r="H721" s="135"/>
      <c r="I721" s="47"/>
      <c r="J721" s="47">
        <f>SUM(J720:J720)</f>
        <v>3000000</v>
      </c>
      <c r="K721" s="135"/>
      <c r="L721" s="47"/>
      <c r="M721" s="47">
        <f>SUM(M720:M720)</f>
        <v>0</v>
      </c>
      <c r="N721" s="135"/>
      <c r="O721" s="47"/>
      <c r="P721" s="47">
        <f>SUM(P720:P720)</f>
        <v>0</v>
      </c>
      <c r="Q721" s="135"/>
      <c r="R721" s="47"/>
      <c r="S721" s="47">
        <f>SUM(S720:S720)</f>
        <v>0</v>
      </c>
      <c r="T721" s="47">
        <f>SUM(T720:T720)</f>
        <v>3000000</v>
      </c>
      <c r="U721" s="47">
        <f>SUM(U720:U720)</f>
        <v>0</v>
      </c>
      <c r="V721" s="47">
        <f>SUM(V720:V720)</f>
        <v>3000000</v>
      </c>
    </row>
    <row r="722" spans="1:22" hidden="1">
      <c r="A722" s="104"/>
      <c r="B722" s="104"/>
      <c r="C722" s="104"/>
      <c r="D722" s="104"/>
      <c r="E722" s="62"/>
      <c r="F722" s="81"/>
      <c r="G722" s="62"/>
      <c r="H722" s="133"/>
      <c r="I722" s="62"/>
      <c r="J722" s="62"/>
      <c r="K722" s="133"/>
      <c r="L722" s="62"/>
      <c r="M722" s="62"/>
      <c r="N722" s="133"/>
      <c r="O722" s="62"/>
      <c r="P722" s="62"/>
      <c r="Q722" s="133"/>
      <c r="R722" s="62"/>
      <c r="S722" s="62"/>
      <c r="T722" s="62"/>
      <c r="U722" s="62"/>
      <c r="V722" s="62"/>
    </row>
    <row r="723" spans="1:22" hidden="1">
      <c r="A723" s="40"/>
      <c r="B723" s="40"/>
      <c r="C723" s="40"/>
      <c r="D723" s="40" t="s">
        <v>451</v>
      </c>
      <c r="E723" s="46"/>
      <c r="F723" s="45"/>
      <c r="G723" s="46"/>
      <c r="H723" s="132"/>
      <c r="I723" s="46"/>
      <c r="J723" s="46"/>
      <c r="K723" s="132"/>
      <c r="L723" s="46"/>
      <c r="M723" s="46"/>
      <c r="N723" s="132"/>
      <c r="O723" s="46"/>
      <c r="P723" s="46"/>
      <c r="Q723" s="132"/>
      <c r="R723" s="46"/>
      <c r="S723" s="46"/>
      <c r="T723" s="46"/>
      <c r="U723" s="46"/>
      <c r="V723" s="46"/>
    </row>
    <row r="724" spans="1:22" ht="25.2" hidden="1">
      <c r="D724" s="7" t="s">
        <v>452</v>
      </c>
      <c r="E724" s="43">
        <v>0</v>
      </c>
      <c r="F724" s="48" t="s">
        <v>226</v>
      </c>
      <c r="G724" s="43">
        <v>350.1</v>
      </c>
      <c r="H724" s="125"/>
      <c r="I724" s="43">
        <v>0</v>
      </c>
      <c r="J724" s="43">
        <v>0</v>
      </c>
      <c r="K724" s="125"/>
      <c r="L724" s="43">
        <v>0</v>
      </c>
      <c r="M724" s="43">
        <v>0</v>
      </c>
      <c r="N724" s="125"/>
      <c r="O724" s="43">
        <v>0</v>
      </c>
      <c r="P724" s="43">
        <v>0</v>
      </c>
      <c r="Q724" s="125"/>
      <c r="R724" s="43">
        <v>0</v>
      </c>
      <c r="S724" s="43">
        <v>0</v>
      </c>
      <c r="T724" s="43">
        <f t="shared" ref="T724:T726" si="432">SUM(P724,M724,J724,E724,S724)</f>
        <v>0</v>
      </c>
      <c r="U724" s="43">
        <f t="shared" ref="U724:U726" si="433">(O724*G724)+(L724*G724)+(I724*G724)+(R724*G724)+E724</f>
        <v>0</v>
      </c>
      <c r="V724" s="43">
        <f t="shared" ref="V724:V726" si="434">SUM(T724:U724)</f>
        <v>0</v>
      </c>
    </row>
    <row r="725" spans="1:22" ht="25.2" hidden="1">
      <c r="D725" s="7" t="s">
        <v>453</v>
      </c>
      <c r="E725" s="43">
        <v>0</v>
      </c>
      <c r="F725" s="48" t="s">
        <v>226</v>
      </c>
      <c r="G725" s="43">
        <f>((8000*12)/2080)</f>
        <v>46.153846153846153</v>
      </c>
      <c r="H725" s="128"/>
      <c r="I725" s="43">
        <v>0</v>
      </c>
      <c r="J725" s="43">
        <v>0</v>
      </c>
      <c r="K725" s="128"/>
      <c r="L725" s="43">
        <v>0</v>
      </c>
      <c r="M725" s="43">
        <v>0</v>
      </c>
      <c r="N725" s="128"/>
      <c r="O725" s="43">
        <v>0</v>
      </c>
      <c r="P725" s="43">
        <v>0</v>
      </c>
      <c r="Q725" s="128"/>
      <c r="R725" s="43">
        <v>0</v>
      </c>
      <c r="S725" s="43">
        <v>0</v>
      </c>
      <c r="T725" s="43">
        <f t="shared" si="432"/>
        <v>0</v>
      </c>
      <c r="U725" s="43">
        <f t="shared" si="433"/>
        <v>0</v>
      </c>
      <c r="V725" s="43">
        <f t="shared" si="434"/>
        <v>0</v>
      </c>
    </row>
    <row r="726" spans="1:22" hidden="1">
      <c r="A726" s="44"/>
      <c r="C726" s="44"/>
      <c r="D726" s="44" t="s">
        <v>454</v>
      </c>
      <c r="E726" s="43">
        <v>0</v>
      </c>
      <c r="F726" s="48" t="s">
        <v>163</v>
      </c>
      <c r="G726" s="43">
        <v>250000</v>
      </c>
      <c r="H726" s="125"/>
      <c r="I726" s="43">
        <v>0</v>
      </c>
      <c r="J726" s="43">
        <v>0</v>
      </c>
      <c r="K726" s="125"/>
      <c r="L726" s="43">
        <v>0</v>
      </c>
      <c r="M726" s="43">
        <v>0</v>
      </c>
      <c r="N726" s="125"/>
      <c r="O726" s="43">
        <v>0</v>
      </c>
      <c r="P726" s="43">
        <f>O726*G726</f>
        <v>0</v>
      </c>
      <c r="Q726" s="125"/>
      <c r="R726" s="43">
        <v>0</v>
      </c>
      <c r="S726" s="43">
        <v>0</v>
      </c>
      <c r="T726" s="43">
        <f t="shared" si="432"/>
        <v>0</v>
      </c>
      <c r="U726" s="43">
        <f t="shared" si="433"/>
        <v>0</v>
      </c>
      <c r="V726" s="43">
        <f t="shared" si="434"/>
        <v>0</v>
      </c>
    </row>
    <row r="727" spans="1:22" hidden="1">
      <c r="A727" s="40"/>
      <c r="B727" s="40"/>
      <c r="C727" s="40"/>
      <c r="D727" s="40" t="s">
        <v>455</v>
      </c>
      <c r="E727" s="47">
        <f>SUM(E724:E726)</f>
        <v>0</v>
      </c>
      <c r="F727" s="45"/>
      <c r="G727" s="47"/>
      <c r="H727" s="135"/>
      <c r="I727" s="47"/>
      <c r="J727" s="47">
        <f>SUM(J724:J726)</f>
        <v>0</v>
      </c>
      <c r="K727" s="135"/>
      <c r="L727" s="47"/>
      <c r="M727" s="47">
        <f>SUM(M724:M726)</f>
        <v>0</v>
      </c>
      <c r="N727" s="135"/>
      <c r="O727" s="47"/>
      <c r="P727" s="47">
        <f>SUM(P724:P726)</f>
        <v>0</v>
      </c>
      <c r="Q727" s="135"/>
      <c r="R727" s="47"/>
      <c r="S727" s="47">
        <f>SUM(S724:S726)</f>
        <v>0</v>
      </c>
      <c r="T727" s="47">
        <f>SUM(T724:T726)</f>
        <v>0</v>
      </c>
      <c r="U727" s="47">
        <f>SUM(U724:U726)</f>
        <v>0</v>
      </c>
      <c r="V727" s="47">
        <f>SUM(V724:V726)</f>
        <v>0</v>
      </c>
    </row>
    <row r="728" spans="1:22">
      <c r="A728" s="104"/>
      <c r="B728" s="104"/>
      <c r="C728" s="104"/>
      <c r="D728" s="104"/>
      <c r="E728" s="62"/>
      <c r="F728" s="81"/>
      <c r="G728" s="62"/>
      <c r="H728" s="133"/>
      <c r="I728" s="62"/>
      <c r="J728" s="62"/>
      <c r="K728" s="133"/>
      <c r="L728" s="62"/>
      <c r="M728" s="62"/>
      <c r="N728" s="133"/>
      <c r="O728" s="62"/>
      <c r="P728" s="62"/>
      <c r="Q728" s="133"/>
      <c r="R728" s="62"/>
      <c r="S728" s="62"/>
      <c r="T728" s="62"/>
      <c r="U728" s="62"/>
      <c r="V728" s="62"/>
    </row>
    <row r="729" spans="1:22" ht="12.9" thickBot="1">
      <c r="A729" s="53"/>
      <c r="B729" s="66"/>
      <c r="C729" s="53"/>
      <c r="D729" s="53" t="s">
        <v>456</v>
      </c>
      <c r="E729" s="64">
        <f>SUM(E721+E713+E717+E708+E701+E727)</f>
        <v>313876.62</v>
      </c>
      <c r="F729" s="53"/>
      <c r="G729" s="69"/>
      <c r="H729" s="126"/>
      <c r="I729" s="64"/>
      <c r="J729" s="64">
        <f>SUM(J721+J713+J717+J708+J701+J727)</f>
        <v>3225908.1414191998</v>
      </c>
      <c r="K729" s="126"/>
      <c r="L729" s="64"/>
      <c r="M729" s="64">
        <f>SUM(M721+M713+M717+M708+M701+M727)</f>
        <v>0</v>
      </c>
      <c r="N729" s="126"/>
      <c r="O729" s="64"/>
      <c r="P729" s="64">
        <f>SUM(P721+P713+P717+P708+P701+P727)</f>
        <v>0</v>
      </c>
      <c r="Q729" s="126"/>
      <c r="R729" s="64"/>
      <c r="S729" s="64">
        <f>SUM(S721+S713+S717+S708+S701+S727)</f>
        <v>0</v>
      </c>
      <c r="T729" s="64">
        <f>SUM(T721+T713+T717+T708+T701+T727)</f>
        <v>3539784.7614192003</v>
      </c>
      <c r="U729" s="64">
        <f>SUM(U721+U713+U717+U708+U701+U727)</f>
        <v>0</v>
      </c>
      <c r="V729" s="64">
        <f>SUM(V721+V713+V717+V708+V701+V727)</f>
        <v>3539784.7614192003</v>
      </c>
    </row>
    <row r="730" spans="1:22">
      <c r="A730" s="81"/>
      <c r="B730" s="81"/>
      <c r="C730" s="81"/>
      <c r="D730" s="81"/>
      <c r="E730" s="62"/>
      <c r="F730" s="81"/>
      <c r="G730" s="62"/>
      <c r="H730" s="123"/>
      <c r="I730" s="62"/>
      <c r="J730" s="62"/>
      <c r="K730" s="123"/>
      <c r="L730" s="62"/>
      <c r="M730" s="62"/>
      <c r="N730" s="123"/>
      <c r="O730" s="62"/>
      <c r="P730" s="62"/>
      <c r="Q730" s="123"/>
      <c r="R730" s="62"/>
      <c r="S730" s="62"/>
      <c r="T730" s="62"/>
      <c r="U730" s="62"/>
      <c r="V730" s="62"/>
    </row>
    <row r="731" spans="1:22">
      <c r="A731" s="98"/>
      <c r="B731" s="617"/>
      <c r="C731" s="98"/>
      <c r="D731" s="98" t="s">
        <v>457</v>
      </c>
      <c r="E731" s="99"/>
      <c r="F731" s="37"/>
      <c r="G731" s="38"/>
      <c r="H731" s="130"/>
      <c r="I731" s="99"/>
      <c r="J731" s="99"/>
      <c r="K731" s="130"/>
      <c r="L731" s="99"/>
      <c r="M731" s="99"/>
      <c r="N731" s="130"/>
      <c r="O731" s="99"/>
      <c r="P731" s="99"/>
      <c r="Q731" s="130"/>
      <c r="R731" s="99"/>
      <c r="S731" s="99"/>
      <c r="T731" s="99"/>
      <c r="U731" s="100"/>
      <c r="V731" s="99"/>
    </row>
    <row r="732" spans="1:22">
      <c r="A732" s="101"/>
      <c r="B732" s="101"/>
      <c r="C732" s="101"/>
      <c r="D732" s="101" t="s">
        <v>215</v>
      </c>
      <c r="E732" s="103"/>
      <c r="F732" s="102"/>
      <c r="G732" s="103"/>
      <c r="H732" s="131"/>
      <c r="I732" s="103"/>
      <c r="J732" s="103"/>
      <c r="K732" s="131"/>
      <c r="L732" s="103"/>
      <c r="M732" s="103"/>
      <c r="N732" s="131"/>
      <c r="O732" s="103"/>
      <c r="P732" s="103"/>
      <c r="Q732" s="131"/>
      <c r="R732" s="103"/>
      <c r="S732" s="103"/>
      <c r="T732" s="103"/>
      <c r="U732" s="103"/>
      <c r="V732" s="103"/>
    </row>
    <row r="733" spans="1:22">
      <c r="A733" s="44"/>
      <c r="C733" s="44"/>
      <c r="D733" s="44" t="s">
        <v>458</v>
      </c>
      <c r="E733" s="43">
        <v>0</v>
      </c>
      <c r="F733" s="48"/>
      <c r="G733" s="43">
        <v>0</v>
      </c>
      <c r="H733" s="125"/>
      <c r="I733" s="43"/>
      <c r="J733" s="43">
        <v>0</v>
      </c>
      <c r="K733" s="125"/>
      <c r="L733" s="43"/>
      <c r="M733" s="43">
        <v>0</v>
      </c>
      <c r="N733" s="125"/>
      <c r="O733" s="43"/>
      <c r="P733" s="43">
        <v>0</v>
      </c>
      <c r="Q733" s="125"/>
      <c r="R733" s="43"/>
      <c r="S733" s="43">
        <v>0</v>
      </c>
      <c r="T733" s="43">
        <f t="shared" ref="T733" si="435">SUM(P733,M733,J733,E733,S733)</f>
        <v>0</v>
      </c>
      <c r="U733" s="43">
        <v>0</v>
      </c>
      <c r="V733" s="43">
        <f t="shared" ref="V733" si="436">SUM(T733:U733)</f>
        <v>0</v>
      </c>
    </row>
    <row r="734" spans="1:22">
      <c r="E734" s="43"/>
      <c r="F734" s="49"/>
      <c r="G734" s="43"/>
      <c r="H734" s="125"/>
      <c r="I734" s="43"/>
      <c r="J734" s="43"/>
      <c r="K734" s="125"/>
      <c r="L734" s="43"/>
      <c r="M734" s="43"/>
      <c r="N734" s="125"/>
      <c r="O734" s="43"/>
      <c r="P734" s="43"/>
      <c r="Q734" s="125"/>
      <c r="R734" s="43"/>
      <c r="S734" s="43"/>
      <c r="T734" s="43"/>
      <c r="U734" s="43"/>
      <c r="V734" s="43"/>
    </row>
    <row r="735" spans="1:22" ht="25.2" thickBot="1">
      <c r="A735" s="53"/>
      <c r="B735" s="66"/>
      <c r="C735" s="53"/>
      <c r="D735" s="53" t="s">
        <v>459</v>
      </c>
      <c r="E735" s="64">
        <f>SUM(E733:E733)</f>
        <v>0</v>
      </c>
      <c r="F735" s="53"/>
      <c r="G735" s="69"/>
      <c r="H735" s="126"/>
      <c r="I735" s="64"/>
      <c r="J735" s="64">
        <f>SUM(J733:J733)</f>
        <v>0</v>
      </c>
      <c r="K735" s="126"/>
      <c r="L735" s="64"/>
      <c r="M735" s="64">
        <f>SUM(M733:M733)</f>
        <v>0</v>
      </c>
      <c r="N735" s="126"/>
      <c r="O735" s="64"/>
      <c r="P735" s="64">
        <f>SUM(P733:P733)</f>
        <v>0</v>
      </c>
      <c r="Q735" s="126"/>
      <c r="R735" s="64"/>
      <c r="S735" s="64">
        <f>SUM(S733:S733)</f>
        <v>0</v>
      </c>
      <c r="T735" s="56">
        <f>S735+E735+J735+M735+P735</f>
        <v>0</v>
      </c>
      <c r="U735" s="64">
        <f>SUM(U733:U733)</f>
        <v>0</v>
      </c>
      <c r="V735" s="64">
        <f>SUM(T735:U735)</f>
        <v>0</v>
      </c>
    </row>
    <row r="736" spans="1:22">
      <c r="A736" s="58"/>
      <c r="B736" s="618"/>
      <c r="C736" s="58"/>
      <c r="D736" s="58"/>
      <c r="E736" s="42"/>
      <c r="G736" s="42"/>
      <c r="H736" s="136"/>
      <c r="I736" s="42"/>
      <c r="J736" s="42"/>
      <c r="K736" s="136"/>
      <c r="L736" s="42"/>
      <c r="M736" s="42"/>
      <c r="N736" s="136"/>
      <c r="O736" s="42"/>
      <c r="P736" s="42"/>
      <c r="Q736" s="136"/>
      <c r="R736" s="42"/>
      <c r="S736" s="42"/>
      <c r="T736" s="42"/>
      <c r="U736" s="43"/>
      <c r="V736" s="42"/>
    </row>
    <row r="737" spans="1:23" ht="12.9" thickBot="1">
      <c r="A737" s="106"/>
      <c r="B737" s="619"/>
      <c r="C737" s="106"/>
      <c r="D737" s="106" t="s">
        <v>58</v>
      </c>
      <c r="E737" s="108">
        <f>E735+E442+E369+E272+E195+E141+E129+E118+E106+E101+E77+E60+E48+E516+E596+E666+E729</f>
        <v>8140871.9190000007</v>
      </c>
      <c r="F737" s="106"/>
      <c r="G737" s="107"/>
      <c r="H737" s="137"/>
      <c r="I737" s="108"/>
      <c r="J737" s="108">
        <f>J735+J442+J369+J272+J195+J141+J129+J118+J106+J101+J77+J60+J48+J516+J596+J666+J729</f>
        <v>8859617.2501545381</v>
      </c>
      <c r="K737" s="137"/>
      <c r="L737" s="108"/>
      <c r="M737" s="108">
        <f>M735+M442+M369+M272+M195+M141+M129+M118+M106+M101+M77+M60+M48+M516+M596+M666+M729</f>
        <v>4021301.7165267607</v>
      </c>
      <c r="N737" s="137"/>
      <c r="O737" s="108"/>
      <c r="P737" s="108">
        <f>P735+P442+P369+P272+P195+P141+P129+P118+P106+P101+P77+P60+P48+P516+P596+P666+P729</f>
        <v>3123183.5502496795</v>
      </c>
      <c r="Q737" s="137"/>
      <c r="R737" s="108"/>
      <c r="S737" s="108">
        <f>S735+S442+S369+S272+S195+S141+S129+S118+S106+S101+S77+S60+S48+S516+S596+S666+S729</f>
        <v>893403.38907163206</v>
      </c>
      <c r="T737" s="108">
        <f>T735+T442+T369+T272+T195+T141+T129+T118+T106+T101+T77+T60+T48+T516+T596+T666+T729</f>
        <v>25038377.825002611</v>
      </c>
      <c r="U737" s="108">
        <f>U735+U442+U369+U272+U195+U141+U129+U118+U106+U101+U77+U60+U48+U516+U596+U666+U729</f>
        <v>1977928</v>
      </c>
      <c r="V737" s="108">
        <f>V735+V442+V369+V272+V195+V141+V129+V118+V106+V101+V77+V60+V48+V516+V596+V666+V729</f>
        <v>27016305.825002611</v>
      </c>
    </row>
    <row r="738" spans="1:23">
      <c r="A738" s="57"/>
      <c r="B738" s="620"/>
      <c r="C738" s="57"/>
      <c r="D738" s="57"/>
      <c r="E738" s="60"/>
      <c r="G738" s="42"/>
      <c r="H738" s="138"/>
      <c r="I738" s="60"/>
      <c r="J738" s="60"/>
      <c r="K738" s="138"/>
      <c r="L738" s="60"/>
      <c r="M738" s="60"/>
      <c r="N738" s="138"/>
      <c r="O738" s="60"/>
      <c r="P738" s="60"/>
      <c r="Q738" s="138"/>
      <c r="R738" s="60"/>
      <c r="S738" s="60"/>
      <c r="T738" s="60"/>
      <c r="U738" s="60"/>
      <c r="V738" s="60"/>
    </row>
    <row r="739" spans="1:23">
      <c r="A739" s="7" t="s">
        <v>833</v>
      </c>
      <c r="B739" s="7">
        <v>94050</v>
      </c>
      <c r="C739" s="7" t="s">
        <v>709</v>
      </c>
      <c r="D739" s="57" t="s">
        <v>460</v>
      </c>
      <c r="E739" s="60">
        <v>2374271.40522984</v>
      </c>
      <c r="F739" s="58"/>
      <c r="G739" s="63">
        <v>0.2828</v>
      </c>
      <c r="H739" s="138"/>
      <c r="I739" s="60"/>
      <c r="J739" s="60">
        <f>(J737-J720)*$G$739</f>
        <v>1657099.7583437033</v>
      </c>
      <c r="K739" s="138"/>
      <c r="L739" s="60"/>
      <c r="M739" s="60">
        <f>M737*$G$739</f>
        <v>1137224.1254337679</v>
      </c>
      <c r="N739" s="138"/>
      <c r="O739" s="60"/>
      <c r="P739" s="60">
        <f>P737*$G$739</f>
        <v>883236.30801060935</v>
      </c>
      <c r="Q739" s="138"/>
      <c r="R739" s="60"/>
      <c r="S739" s="60">
        <f>(S737)*$G$739</f>
        <v>252654.47842945755</v>
      </c>
      <c r="T739" s="43">
        <f>SUM(P739,M739,J739,E739,S739)</f>
        <v>6304486.0754473777</v>
      </c>
      <c r="U739" s="43">
        <v>0</v>
      </c>
      <c r="V739" s="43">
        <f>SUM(T739:U739)</f>
        <v>6304486.0754473777</v>
      </c>
      <c r="W739" s="570" t="s">
        <v>461</v>
      </c>
    </row>
    <row r="740" spans="1:23">
      <c r="A740" s="5"/>
      <c r="B740" s="8"/>
      <c r="C740" s="5"/>
      <c r="D740" s="5"/>
      <c r="E740" s="111"/>
      <c r="F740" s="110"/>
      <c r="G740" s="41"/>
      <c r="H740" s="580"/>
      <c r="I740" s="111"/>
      <c r="J740" s="111"/>
      <c r="K740" s="580"/>
      <c r="L740" s="111"/>
      <c r="M740" s="111"/>
      <c r="N740" s="580"/>
      <c r="O740" s="111"/>
      <c r="P740" s="111"/>
      <c r="Q740" s="580"/>
      <c r="R740" s="111"/>
      <c r="S740" s="111"/>
      <c r="T740" s="111"/>
      <c r="U740" s="111"/>
      <c r="V740" s="111"/>
    </row>
    <row r="741" spans="1:23" ht="12.9" thickBot="1">
      <c r="A741" s="112"/>
      <c r="B741" s="621"/>
      <c r="C741" s="112"/>
      <c r="D741" s="112" t="s">
        <v>462</v>
      </c>
      <c r="E741" s="114">
        <f>E737+E739</f>
        <v>10515143.32422984</v>
      </c>
      <c r="F741" s="112"/>
      <c r="G741" s="113"/>
      <c r="H741" s="139"/>
      <c r="I741" s="114"/>
      <c r="J741" s="114">
        <f>J737+J739</f>
        <v>10516717.008498242</v>
      </c>
      <c r="K741" s="139"/>
      <c r="L741" s="114"/>
      <c r="M741" s="114">
        <f>M737+M739</f>
        <v>5158525.8419605289</v>
      </c>
      <c r="N741" s="139"/>
      <c r="O741" s="114"/>
      <c r="P741" s="114">
        <f>P737+P739</f>
        <v>4006419.8582602888</v>
      </c>
      <c r="Q741" s="139"/>
      <c r="R741" s="114"/>
      <c r="S741" s="114">
        <f>S737+S739</f>
        <v>1146057.8675010896</v>
      </c>
      <c r="T741" s="114">
        <f>S741+E741+J741+M741+P741</f>
        <v>31342863.900449991</v>
      </c>
      <c r="U741" s="114">
        <f>U737+U739</f>
        <v>1977928</v>
      </c>
      <c r="V741" s="114">
        <f>SUM(T741:U741)</f>
        <v>33320791.900449991</v>
      </c>
    </row>
    <row r="742" spans="1:23" ht="12.9" thickTop="1">
      <c r="H742" s="128"/>
      <c r="K742" s="128"/>
      <c r="N742" s="128"/>
      <c r="Q742" s="128"/>
    </row>
  </sheetData>
  <mergeCells count="5">
    <mergeCell ref="D1:V1"/>
    <mergeCell ref="D3:V3"/>
    <mergeCell ref="D4:V4"/>
    <mergeCell ref="D5:E5"/>
    <mergeCell ref="D2:V2"/>
  </mergeCells>
  <phoneticPr fontId="10" type="noConversion"/>
  <hyperlinks>
    <hyperlink ref="E513" r:id="rId1" display="javascript:fin_gldrill('',0,59,'04/30/2024','12/31/2018','04/30/2024','Allocations;true','','','%7B%22_obj__acctgrp%22:%22Expenditures%22,%22_obj__ITEMID_SUBS%22:%22false%22,%22_obj__loc%22:%22Combined_Entities--Combined Entities%22,%22_obj__ytdbal%22:%22false%22,%22_obj__reportingBook%22:%22ACCRUAL%22,%22_obj__ADJUSTMENTBOOK%22:%22Allocations%22,%22_obj__INCLUDEREPBOOK%22:%22true%22,%22_projectdimkey%22:%221220%22,%22_itemdimkey%22:%221785%22,%22_obj__dept%22:%22%22%7D');" xr:uid="{3FD79B90-E443-40A8-9CE2-400AB6240F7A}"/>
  </hyperlinks>
  <pageMargins left="0.7" right="0.7" top="0.75" bottom="0.75" header="0.3" footer="0.3"/>
  <pageSetup scale="10" orientation="landscape" r:id="rId2"/>
  <headerFooter alignWithMargins="0"/>
  <rowBreaks count="1" manualBreakCount="1">
    <brk id="142" min="3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3C5C-A019-4432-ABF7-AB50A29C7EF8}">
  <dimension ref="B2:H42"/>
  <sheetViews>
    <sheetView topLeftCell="A7" zoomScale="96" zoomScaleNormal="110" workbookViewId="0">
      <selection activeCell="C21" sqref="C21"/>
    </sheetView>
  </sheetViews>
  <sheetFormatPr defaultColWidth="8.83203125" defaultRowHeight="14.4"/>
  <cols>
    <col min="1" max="1" width="7.44140625" style="539" customWidth="1"/>
    <col min="2" max="2" width="53.44140625" style="539" bestFit="1" customWidth="1"/>
    <col min="3" max="3" width="18.5546875" style="539" customWidth="1"/>
    <col min="4" max="4" width="19.83203125" style="539" customWidth="1"/>
    <col min="5" max="5" width="8.83203125" style="539" customWidth="1"/>
    <col min="6" max="6" width="19" style="539" customWidth="1"/>
    <col min="7" max="7" width="16.83203125" style="539" customWidth="1"/>
    <col min="8" max="8" width="12.1640625" style="539" customWidth="1"/>
    <col min="9" max="16384" width="8.83203125" style="539"/>
  </cols>
  <sheetData>
    <row r="2" spans="2:8" ht="35.25" customHeight="1">
      <c r="B2" s="644" t="s">
        <v>463</v>
      </c>
      <c r="C2" s="644"/>
      <c r="D2" s="644"/>
      <c r="E2" s="644"/>
      <c r="F2" s="644"/>
      <c r="G2" s="644"/>
    </row>
    <row r="3" spans="2:8" s="542" customFormat="1" ht="46.5" customHeight="1">
      <c r="B3" s="540"/>
      <c r="C3" s="541" t="s">
        <v>464</v>
      </c>
      <c r="D3" s="541" t="s">
        <v>465</v>
      </c>
      <c r="E3" s="541" t="s">
        <v>466</v>
      </c>
      <c r="F3" s="541" t="s">
        <v>467</v>
      </c>
      <c r="G3" s="541" t="s">
        <v>468</v>
      </c>
    </row>
    <row r="4" spans="2:8">
      <c r="B4" s="543"/>
      <c r="C4" s="544"/>
      <c r="D4" s="544"/>
      <c r="E4" s="544"/>
      <c r="F4" s="544"/>
      <c r="G4" s="575"/>
    </row>
    <row r="5" spans="2:8">
      <c r="B5" s="543" t="s">
        <v>469</v>
      </c>
      <c r="C5" s="545">
        <f>'USDA Budget Summary'!F66</f>
        <v>33320791.900449984</v>
      </c>
      <c r="D5" s="545">
        <f>'USDA Budget Summary'!F55</f>
        <v>27016305.825002607</v>
      </c>
      <c r="E5" s="576">
        <f>D5/C5</f>
        <v>0.81079423039275855</v>
      </c>
      <c r="F5" s="545">
        <f>'USDA Budget Summary'!E62</f>
        <v>6304486.0754473777</v>
      </c>
      <c r="G5" s="576">
        <f>F5/C5</f>
        <v>0.18920576960724148</v>
      </c>
    </row>
    <row r="6" spans="2:8">
      <c r="B6" s="543" t="s">
        <v>470</v>
      </c>
      <c r="C6" s="545">
        <f>'USDA Budget Summary'!B66+'USDA Budget Summary'!C66</f>
        <v>31342863.900449988</v>
      </c>
      <c r="D6" s="577">
        <f>'USDA Budget Summary'!E55</f>
        <v>25038377.825002611</v>
      </c>
      <c r="E6" s="576">
        <f>D6/C6</f>
        <v>0.79885417952005133</v>
      </c>
      <c r="F6" s="545">
        <f>'USDA Budget Summary'!E62</f>
        <v>6304486.0754473777</v>
      </c>
      <c r="G6" s="576">
        <f>F6/C6</f>
        <v>0.20114582047994869</v>
      </c>
    </row>
    <row r="7" spans="2:8">
      <c r="B7" s="543" t="s">
        <v>24</v>
      </c>
      <c r="C7" s="545">
        <f>'USDA Budget Summary'!D66</f>
        <v>1977928</v>
      </c>
      <c r="D7" s="545">
        <f>'USDA Budget Summary'!D26+'USDA Budget Summary'!D37</f>
        <v>1977928</v>
      </c>
      <c r="E7" s="576">
        <f>D7/C7</f>
        <v>1</v>
      </c>
      <c r="F7" s="545">
        <v>0</v>
      </c>
      <c r="G7" s="576">
        <f>F7/C7</f>
        <v>0</v>
      </c>
    </row>
    <row r="8" spans="2:8">
      <c r="B8" s="543"/>
      <c r="C8" s="545"/>
      <c r="D8" s="545"/>
      <c r="E8" s="545"/>
      <c r="F8" s="545"/>
    </row>
    <row r="9" spans="2:8" ht="43.2">
      <c r="B9" s="540"/>
      <c r="C9" s="541" t="s">
        <v>464</v>
      </c>
      <c r="D9" s="541" t="s">
        <v>465</v>
      </c>
      <c r="E9" s="541" t="s">
        <v>466</v>
      </c>
      <c r="F9" s="541" t="s">
        <v>467</v>
      </c>
      <c r="G9" s="541" t="s">
        <v>471</v>
      </c>
      <c r="H9" s="541" t="s">
        <v>472</v>
      </c>
    </row>
    <row r="10" spans="2:8">
      <c r="B10" s="543"/>
      <c r="C10" s="545"/>
      <c r="D10" s="545"/>
      <c r="E10" s="545"/>
      <c r="F10" s="545"/>
      <c r="G10" s="545"/>
    </row>
    <row r="11" spans="2:8">
      <c r="B11" s="546" t="s">
        <v>473</v>
      </c>
      <c r="C11" s="578"/>
      <c r="D11" s="547"/>
      <c r="E11" s="547"/>
      <c r="F11" s="547"/>
      <c r="G11" s="544"/>
      <c r="H11" s="547"/>
    </row>
    <row r="12" spans="2:8">
      <c r="B12" s="543" t="s">
        <v>474</v>
      </c>
      <c r="C12" s="545">
        <f>'USDA Budget Summary'!F66-C13</f>
        <v>32318198.999162287</v>
      </c>
      <c r="D12" s="545">
        <f>C12-F12-G12-G13</f>
        <v>24035784.92371491</v>
      </c>
      <c r="E12" s="576">
        <f>D12/SUM($C$12:$C$13)</f>
        <v>0.72134494868923915</v>
      </c>
      <c r="F12" s="545">
        <f>'USDA Budget Summary'!E62</f>
        <v>6304486.0754473777</v>
      </c>
      <c r="G12" s="545">
        <f>'USDA Budget Summary'!D37-'Project Funds Snapshots'!G13</f>
        <v>1965708.81</v>
      </c>
      <c r="H12" s="576">
        <f>(G12+D12)/SUM($C$12:$C$13)</f>
        <v>0.7803384088648796</v>
      </c>
    </row>
    <row r="13" spans="2:8">
      <c r="B13" s="543" t="s">
        <v>475</v>
      </c>
      <c r="C13" s="577">
        <f>'Detailed Budget'!T107</f>
        <v>1002592.9012876991</v>
      </c>
      <c r="D13" s="577">
        <f>'Sub Budget Fundacion IC'!T103</f>
        <v>953995.5440835231</v>
      </c>
      <c r="E13" s="576">
        <f>D13/SUM($C$12:$C$13)</f>
        <v>2.8630638399402501E-2</v>
      </c>
      <c r="F13" s="577">
        <f>'Sub Budget Fundacion IC'!T107</f>
        <v>48596.357204176151</v>
      </c>
      <c r="G13" s="545">
        <f>'Sub Budget Fundacion IC'!T110</f>
        <v>12219.19</v>
      </c>
      <c r="H13" s="576">
        <f>(G13+D13)/SUM($C$12:$C$13)</f>
        <v>2.8997352072850188E-2</v>
      </c>
    </row>
    <row r="14" spans="2:8">
      <c r="B14" s="543"/>
      <c r="C14" s="577"/>
      <c r="D14" s="577"/>
      <c r="E14" s="576"/>
      <c r="F14" s="577"/>
      <c r="G14" s="577"/>
      <c r="H14" s="576"/>
    </row>
    <row r="15" spans="2:8" ht="43.2">
      <c r="B15" s="540"/>
      <c r="C15" s="541" t="s">
        <v>464</v>
      </c>
      <c r="D15" s="541" t="s">
        <v>465</v>
      </c>
      <c r="E15" s="541" t="s">
        <v>466</v>
      </c>
      <c r="F15" s="541" t="s">
        <v>467</v>
      </c>
      <c r="G15" s="541" t="s">
        <v>471</v>
      </c>
      <c r="H15" s="541" t="s">
        <v>476</v>
      </c>
    </row>
    <row r="16" spans="2:8">
      <c r="B16" s="546" t="s">
        <v>477</v>
      </c>
      <c r="C16" s="547"/>
      <c r="D16" s="547"/>
      <c r="E16" s="547"/>
      <c r="F16" s="547"/>
      <c r="G16" s="578"/>
      <c r="H16" s="547"/>
    </row>
    <row r="17" spans="2:8">
      <c r="B17" s="543" t="s">
        <v>478</v>
      </c>
      <c r="C17" s="545">
        <f t="shared" ref="C17:C25" si="0">F17+D17+G17</f>
        <v>8183592.5287832012</v>
      </c>
      <c r="D17" s="545">
        <f>'USDA Budget Summary'!E26</f>
        <v>6355224.3008627864</v>
      </c>
      <c r="E17" s="576">
        <f>D17/SUM($C$17:$C$25)</f>
        <v>0.19072816805786236</v>
      </c>
      <c r="F17" s="545">
        <f>Admin!T144</f>
        <v>1828368.2279204149</v>
      </c>
      <c r="G17" s="545">
        <v>0</v>
      </c>
      <c r="H17" s="576">
        <f t="shared" ref="H17:H25" si="1">(G17+D17)/SUM($C$17:$C$25)</f>
        <v>0.19072816805786236</v>
      </c>
    </row>
    <row r="18" spans="2:8">
      <c r="B18" s="543" t="s">
        <v>479</v>
      </c>
      <c r="C18" s="545">
        <f t="shared" si="0"/>
        <v>352228.29479081818</v>
      </c>
      <c r="D18" s="545">
        <f>'USDA Budget Summary'!B29</f>
        <v>272696.75</v>
      </c>
      <c r="E18" s="576">
        <f t="shared" ref="E18:E25" si="2">D18/SUM($C$17:$C$25)</f>
        <v>8.1839678822621352E-3</v>
      </c>
      <c r="F18" s="545">
        <f>'Activity 1'!T84</f>
        <v>79531.544790818167</v>
      </c>
      <c r="G18" s="545">
        <v>0</v>
      </c>
      <c r="H18" s="576">
        <f t="shared" si="1"/>
        <v>8.1839678822621352E-3</v>
      </c>
    </row>
    <row r="19" spans="2:8">
      <c r="B19" s="543" t="s">
        <v>480</v>
      </c>
      <c r="C19" s="545">
        <f t="shared" si="0"/>
        <v>3152067.9302741475</v>
      </c>
      <c r="D19" s="545">
        <f>'USDA Budget Summary'!B30</f>
        <v>2209930.0967690814</v>
      </c>
      <c r="E19" s="576">
        <f t="shared" si="2"/>
        <v>6.6322744711855258E-2</v>
      </c>
      <c r="F19" s="545">
        <f>'Activity 2'!T92</f>
        <v>629918.83350506634</v>
      </c>
      <c r="G19" s="545">
        <v>312219</v>
      </c>
      <c r="H19" s="576">
        <f t="shared" si="1"/>
        <v>7.5692824363453606E-2</v>
      </c>
    </row>
    <row r="20" spans="2:8">
      <c r="B20" s="543" t="s">
        <v>481</v>
      </c>
      <c r="C20" s="545">
        <f t="shared" si="0"/>
        <v>10538868.325859854</v>
      </c>
      <c r="D20" s="545">
        <f>'USDA Budget Summary'!B31</f>
        <v>7469424.7042913325</v>
      </c>
      <c r="E20" s="576">
        <f t="shared" si="2"/>
        <v>0.22416670487967169</v>
      </c>
      <c r="F20" s="545">
        <f>'Activity 3'!T111</f>
        <v>2129853.061568521</v>
      </c>
      <c r="G20" s="545">
        <v>939590.56</v>
      </c>
      <c r="H20" s="576">
        <f t="shared" si="1"/>
        <v>0.25236498361059423</v>
      </c>
    </row>
    <row r="21" spans="2:8">
      <c r="B21" s="543" t="s">
        <v>482</v>
      </c>
      <c r="C21" s="545">
        <f t="shared" si="0"/>
        <v>2703803.1893266528</v>
      </c>
      <c r="D21" s="545">
        <f>'USDA Budget Summary'!B32</f>
        <v>1992268.164910662</v>
      </c>
      <c r="E21" s="576">
        <f t="shared" si="2"/>
        <v>5.9790440019846888E-2</v>
      </c>
      <c r="F21" s="545">
        <f>'Activity 4'!T93</f>
        <v>569606.02441599092</v>
      </c>
      <c r="G21" s="545">
        <v>141929</v>
      </c>
      <c r="H21" s="576">
        <f t="shared" si="1"/>
        <v>6.4049905442744609E-2</v>
      </c>
    </row>
    <row r="22" spans="2:8">
      <c r="B22" s="543" t="s">
        <v>483</v>
      </c>
      <c r="C22" s="545">
        <f t="shared" si="0"/>
        <v>2003731.6984136004</v>
      </c>
      <c r="D22" s="545">
        <f>'USDA Budget Summary'!B33</f>
        <v>1105173.6343967868</v>
      </c>
      <c r="E22" s="576">
        <f t="shared" si="2"/>
        <v>3.316763228100892E-2</v>
      </c>
      <c r="F22" s="545">
        <f>'Activity 5'!T86</f>
        <v>314368.06401681359</v>
      </c>
      <c r="G22" s="545">
        <v>584190</v>
      </c>
      <c r="H22" s="576">
        <f t="shared" si="1"/>
        <v>5.0699899156718721E-2</v>
      </c>
    </row>
    <row r="23" spans="2:8">
      <c r="B23" s="543" t="s">
        <v>484</v>
      </c>
      <c r="C23" s="545">
        <f t="shared" si="0"/>
        <v>1053847.5998761498</v>
      </c>
      <c r="D23" s="545">
        <f>'USDA Budget Summary'!B34</f>
        <v>819624.40401920001</v>
      </c>
      <c r="E23" s="576">
        <f t="shared" si="2"/>
        <v>2.4597945512777022E-2</v>
      </c>
      <c r="F23" s="545">
        <f>'Activity 6'!T93</f>
        <v>234223.19585694972</v>
      </c>
      <c r="G23" s="545">
        <v>0</v>
      </c>
      <c r="H23" s="576">
        <f t="shared" si="1"/>
        <v>2.4597945512777022E-2</v>
      </c>
    </row>
    <row r="24" spans="2:8">
      <c r="B24" s="543" t="s">
        <v>485</v>
      </c>
      <c r="C24" s="545">
        <f t="shared" si="0"/>
        <v>1637495.3590417847</v>
      </c>
      <c r="D24" s="545">
        <f>'USDA Budget Summary'!B35</f>
        <v>1274251.0083335619</v>
      </c>
      <c r="E24" s="576">
        <f t="shared" si="2"/>
        <v>3.8241854096691695E-2</v>
      </c>
      <c r="F24" s="545">
        <f>'Activity 7'!T90</f>
        <v>363244.35070822277</v>
      </c>
      <c r="G24" s="545">
        <v>0</v>
      </c>
      <c r="H24" s="576">
        <f t="shared" si="1"/>
        <v>3.8241854096691695E-2</v>
      </c>
    </row>
    <row r="25" spans="2:8">
      <c r="B25" s="543" t="s">
        <v>486</v>
      </c>
      <c r="C25" s="545">
        <f t="shared" si="0"/>
        <v>3695213.0929717813</v>
      </c>
      <c r="D25" s="545">
        <f>'USDA Budget Summary'!B36</f>
        <v>3539784.7614192003</v>
      </c>
      <c r="E25" s="576">
        <f t="shared" si="2"/>
        <v>0.10623333353835597</v>
      </c>
      <c r="F25" s="545">
        <f>'Activity 8'!T81</f>
        <v>155428.33155258105</v>
      </c>
      <c r="G25" s="545">
        <v>0</v>
      </c>
      <c r="H25" s="576">
        <f t="shared" si="1"/>
        <v>0.10623333353835597</v>
      </c>
    </row>
    <row r="26" spans="2:8">
      <c r="B26" s="543"/>
      <c r="C26" s="544"/>
      <c r="D26" s="544"/>
      <c r="E26" s="544"/>
      <c r="F26" s="544"/>
      <c r="G26" s="544"/>
    </row>
    <row r="27" spans="2:8" ht="57.6">
      <c r="B27" s="540"/>
      <c r="C27" s="541" t="s">
        <v>464</v>
      </c>
      <c r="D27" s="541" t="s">
        <v>465</v>
      </c>
      <c r="E27" s="541" t="s">
        <v>466</v>
      </c>
      <c r="F27" s="541" t="s">
        <v>467</v>
      </c>
      <c r="G27" s="541" t="s">
        <v>471</v>
      </c>
      <c r="H27" s="541" t="s">
        <v>487</v>
      </c>
    </row>
    <row r="28" spans="2:8">
      <c r="B28" s="546" t="s">
        <v>488</v>
      </c>
      <c r="C28" s="547"/>
      <c r="D28" s="547"/>
      <c r="E28" s="547"/>
      <c r="F28" s="547"/>
      <c r="G28" s="547"/>
      <c r="H28" s="547"/>
    </row>
    <row r="29" spans="2:8">
      <c r="B29" s="543" t="s">
        <v>489</v>
      </c>
      <c r="C29" s="545">
        <f>C17</f>
        <v>8183592.5287832012</v>
      </c>
      <c r="D29" s="545">
        <f>D17</f>
        <v>6355224.3008627864</v>
      </c>
      <c r="E29" s="576">
        <f t="shared" ref="E29:E38" si="3">D29/SUM($C$29:$C$38)</f>
        <v>0.19072816805786236</v>
      </c>
      <c r="F29" s="545">
        <f>Admin!T144</f>
        <v>1828368.2279204149</v>
      </c>
      <c r="G29" s="545">
        <f>Admin!T147</f>
        <v>0</v>
      </c>
      <c r="H29" s="576">
        <f t="shared" ref="H29:H38" si="4">(G29+D29)/SUM($C$29:$C$38)</f>
        <v>0.19072816805786236</v>
      </c>
    </row>
    <row r="30" spans="2:8">
      <c r="B30" s="543" t="s">
        <v>490</v>
      </c>
      <c r="C30" s="545">
        <f>C18</f>
        <v>352228.29479081818</v>
      </c>
      <c r="D30" s="545">
        <f>D18</f>
        <v>272696.75</v>
      </c>
      <c r="E30" s="576">
        <f t="shared" si="3"/>
        <v>8.1839678822621352E-3</v>
      </c>
      <c r="F30" s="545">
        <f>'Activity 1'!T84</f>
        <v>79531.544790818167</v>
      </c>
      <c r="G30" s="545">
        <f>'Activity 1'!T87</f>
        <v>0</v>
      </c>
      <c r="H30" s="576">
        <f t="shared" si="4"/>
        <v>8.1839678822621352E-3</v>
      </c>
    </row>
    <row r="31" spans="2:8">
      <c r="B31" s="543" t="s">
        <v>491</v>
      </c>
      <c r="C31" s="545">
        <f>C19-C32</f>
        <v>2149475.0289864484</v>
      </c>
      <c r="D31" s="545">
        <f>D19-D32</f>
        <v>1255934.5526855583</v>
      </c>
      <c r="E31" s="576">
        <f t="shared" si="3"/>
        <v>3.7692154532101577E-2</v>
      </c>
      <c r="F31" s="545">
        <f>'Activity 2'!T92</f>
        <v>629918.83350506634</v>
      </c>
      <c r="G31" s="545">
        <f>'Activity 2'!T96</f>
        <v>300000</v>
      </c>
      <c r="H31" s="576">
        <f t="shared" si="4"/>
        <v>4.6695526830006266E-2</v>
      </c>
    </row>
    <row r="32" spans="2:8" s="579" customFormat="1">
      <c r="B32" s="543" t="s">
        <v>492</v>
      </c>
      <c r="C32" s="577">
        <f>C13</f>
        <v>1002592.9012876991</v>
      </c>
      <c r="D32" s="577">
        <f>'Sub Budget Fundacion IC'!T103</f>
        <v>953995.5440835231</v>
      </c>
      <c r="E32" s="576">
        <f t="shared" si="3"/>
        <v>2.8630590179753682E-2</v>
      </c>
      <c r="F32" s="577">
        <f>'Sub Budget Fundacion IC'!T107</f>
        <v>48596.357204176151</v>
      </c>
      <c r="G32" s="545">
        <f>'Sub Budget Fundacion IC'!T110</f>
        <v>12219.19</v>
      </c>
      <c r="H32" s="576">
        <f t="shared" si="4"/>
        <v>2.8997303235583125E-2</v>
      </c>
    </row>
    <row r="33" spans="2:8">
      <c r="B33" s="543" t="s">
        <v>493</v>
      </c>
      <c r="C33" s="545">
        <f t="shared" ref="C33:D38" si="5">C20</f>
        <v>10538868.325859854</v>
      </c>
      <c r="D33" s="577">
        <f t="shared" si="5"/>
        <v>7469424.7042913325</v>
      </c>
      <c r="E33" s="576">
        <f t="shared" si="3"/>
        <v>0.22416670487967169</v>
      </c>
      <c r="F33" s="545">
        <f>'Activity 3'!T111</f>
        <v>2129853.061568521</v>
      </c>
      <c r="G33" s="545">
        <f>'Activity 3'!T114+'Activity 3'!T115+'Activity 3'!T116</f>
        <v>939590.56</v>
      </c>
      <c r="H33" s="576">
        <f t="shared" si="4"/>
        <v>0.25236498361059423</v>
      </c>
    </row>
    <row r="34" spans="2:8">
      <c r="B34" s="543" t="s">
        <v>494</v>
      </c>
      <c r="C34" s="545">
        <f t="shared" si="5"/>
        <v>2703803.1893266528</v>
      </c>
      <c r="D34" s="545">
        <f t="shared" si="5"/>
        <v>1992268.164910662</v>
      </c>
      <c r="E34" s="576">
        <f t="shared" si="3"/>
        <v>5.9790440019846888E-2</v>
      </c>
      <c r="F34" s="545">
        <f>'Activity 4'!T93</f>
        <v>569606.02441599092</v>
      </c>
      <c r="G34" s="545">
        <f>'Activity 4'!T96+'Activity 4'!T97</f>
        <v>141928.58000000002</v>
      </c>
      <c r="H34" s="576">
        <f t="shared" si="4"/>
        <v>6.4049892838023384E-2</v>
      </c>
    </row>
    <row r="35" spans="2:8">
      <c r="B35" s="543" t="s">
        <v>495</v>
      </c>
      <c r="C35" s="545">
        <f t="shared" si="5"/>
        <v>2003731.6984136004</v>
      </c>
      <c r="D35" s="545">
        <f t="shared" si="5"/>
        <v>1105173.6343967868</v>
      </c>
      <c r="E35" s="576">
        <f t="shared" si="3"/>
        <v>3.316763228100892E-2</v>
      </c>
      <c r="F35" s="545">
        <f>'Activity 5'!T86</f>
        <v>314368.06401681359</v>
      </c>
      <c r="G35" s="545">
        <f>'Activity 5'!T89</f>
        <v>584189.75</v>
      </c>
      <c r="H35" s="576">
        <f t="shared" si="4"/>
        <v>5.0699891653908473E-2</v>
      </c>
    </row>
    <row r="36" spans="2:8">
      <c r="B36" s="543" t="s">
        <v>496</v>
      </c>
      <c r="C36" s="545">
        <f t="shared" si="5"/>
        <v>1053847.5998761498</v>
      </c>
      <c r="D36" s="545">
        <f t="shared" si="5"/>
        <v>819624.40401920001</v>
      </c>
      <c r="E36" s="576">
        <f t="shared" si="3"/>
        <v>2.4597945512777022E-2</v>
      </c>
      <c r="F36" s="545">
        <f>'Activity 6'!T93</f>
        <v>234223.19585694972</v>
      </c>
      <c r="G36" s="545">
        <f>'Activity 6'!T96</f>
        <v>0</v>
      </c>
      <c r="H36" s="576">
        <f t="shared" si="4"/>
        <v>2.4597945512777022E-2</v>
      </c>
    </row>
    <row r="37" spans="2:8">
      <c r="B37" s="543" t="s">
        <v>497</v>
      </c>
      <c r="C37" s="545">
        <f t="shared" si="5"/>
        <v>1637495.3590417847</v>
      </c>
      <c r="D37" s="545">
        <f t="shared" si="5"/>
        <v>1274251.0083335619</v>
      </c>
      <c r="E37" s="576">
        <f t="shared" si="3"/>
        <v>3.8241854096691695E-2</v>
      </c>
      <c r="F37" s="545">
        <f>'Activity 7'!T90</f>
        <v>363244.35070822277</v>
      </c>
      <c r="G37" s="545">
        <f>'Activity 7'!T93</f>
        <v>0</v>
      </c>
      <c r="H37" s="576">
        <f t="shared" si="4"/>
        <v>3.8241854096691695E-2</v>
      </c>
    </row>
    <row r="38" spans="2:8">
      <c r="B38" s="543" t="s">
        <v>498</v>
      </c>
      <c r="C38" s="545">
        <f t="shared" si="5"/>
        <v>3695213.0929717813</v>
      </c>
      <c r="D38" s="545">
        <f t="shared" si="5"/>
        <v>3539784.7614192003</v>
      </c>
      <c r="E38" s="576">
        <f t="shared" si="3"/>
        <v>0.10623333353835597</v>
      </c>
      <c r="F38" s="545">
        <f>'Activity 8'!T81</f>
        <v>155428.33155258105</v>
      </c>
      <c r="G38" s="545">
        <f>'Activity 8'!T84</f>
        <v>0</v>
      </c>
      <c r="H38" s="576">
        <f t="shared" si="4"/>
        <v>0.10623333353835597</v>
      </c>
    </row>
    <row r="39" spans="2:8">
      <c r="B39" s="548"/>
      <c r="C39" s="549"/>
      <c r="D39" s="549"/>
      <c r="E39" s="549"/>
      <c r="F39" s="549"/>
    </row>
    <row r="40" spans="2:8">
      <c r="B40" s="548"/>
      <c r="C40" s="549"/>
      <c r="D40" s="549"/>
      <c r="E40" s="549"/>
      <c r="F40" s="549"/>
    </row>
    <row r="41" spans="2:8">
      <c r="B41" s="548"/>
      <c r="C41" s="549"/>
      <c r="D41" s="549"/>
      <c r="E41" s="549"/>
      <c r="F41" s="549"/>
    </row>
    <row r="42" spans="2:8">
      <c r="B42" s="548"/>
      <c r="C42" s="549"/>
      <c r="D42" s="549"/>
      <c r="E42" s="549"/>
      <c r="F42" s="549"/>
    </row>
  </sheetData>
  <mergeCells count="1">
    <mergeCell ref="B2:G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2619-CD80-4D26-90A5-6BE6A04DDEDE}">
  <sheetPr>
    <tabColor theme="9" tint="0.39997558519241921"/>
    <pageSetUpPr fitToPage="1"/>
  </sheetPr>
  <dimension ref="A1:AG238"/>
  <sheetViews>
    <sheetView showOutlineSymbols="0" showWhiteSpace="0" zoomScale="70" zoomScaleNormal="70" workbookViewId="0">
      <pane ySplit="3" topLeftCell="A4" activePane="bottomLeft" state="frozen"/>
      <selection pane="bottomLeft" activeCell="T46" sqref="T46"/>
    </sheetView>
  </sheetViews>
  <sheetFormatPr defaultColWidth="8.71875" defaultRowHeight="14.4" outlineLevelRow="1" outlineLevelCol="1"/>
  <cols>
    <col min="1" max="1" width="62.83203125" style="438" customWidth="1"/>
    <col min="2" max="2" width="13" style="157" customWidth="1"/>
    <col min="3" max="3" width="25.1640625" style="157" customWidth="1"/>
    <col min="4" max="4" width="15.1640625" style="330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330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330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330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158" customWidth="1"/>
    <col min="21" max="22" width="10.1640625" style="157" bestFit="1" customWidth="1"/>
    <col min="23" max="181" width="8.83203125" style="157"/>
    <col min="182" max="182" width="38.1640625" style="157" customWidth="1"/>
    <col min="183" max="183" width="23.44140625" style="157" bestFit="1" customWidth="1"/>
    <col min="184" max="185" width="9.1640625" style="157" customWidth="1"/>
    <col min="186" max="186" width="11.1640625" style="157" bestFit="1" customWidth="1"/>
    <col min="187" max="187" width="14.44140625" style="157" bestFit="1" customWidth="1"/>
    <col min="188" max="188" width="8.1640625" style="157" customWidth="1"/>
    <col min="189" max="189" width="10.83203125" style="157" bestFit="1" customWidth="1"/>
    <col min="190" max="190" width="12.1640625" style="157" bestFit="1" customWidth="1"/>
    <col min="191" max="191" width="9.1640625" style="157" customWidth="1"/>
    <col min="192" max="192" width="10.83203125" style="157" bestFit="1" customWidth="1"/>
    <col min="193" max="193" width="12.1640625" style="157" bestFit="1" customWidth="1"/>
    <col min="194" max="194" width="8" style="157" customWidth="1"/>
    <col min="195" max="195" width="10.83203125" style="157" bestFit="1" customWidth="1"/>
    <col min="196" max="196" width="12.1640625" style="157" bestFit="1" customWidth="1"/>
    <col min="197" max="197" width="8.1640625" style="157" bestFit="1" customWidth="1"/>
    <col min="198" max="198" width="10.83203125" style="157" bestFit="1" customWidth="1"/>
    <col min="199" max="199" width="12.1640625" style="157" bestFit="1" customWidth="1"/>
    <col min="200" max="200" width="18.1640625" style="157" bestFit="1" customWidth="1"/>
    <col min="201" max="201" width="10.83203125" style="157" bestFit="1" customWidth="1"/>
    <col min="202" max="437" width="8.83203125" style="157"/>
    <col min="438" max="438" width="38.1640625" style="157" customWidth="1"/>
    <col min="439" max="439" width="23.44140625" style="157" bestFit="1" customWidth="1"/>
    <col min="440" max="441" width="9.1640625" style="157" customWidth="1"/>
    <col min="442" max="442" width="11.1640625" style="157" bestFit="1" customWidth="1"/>
    <col min="443" max="443" width="14.44140625" style="157" bestFit="1" customWidth="1"/>
    <col min="444" max="444" width="8.1640625" style="157" customWidth="1"/>
    <col min="445" max="445" width="10.83203125" style="157" bestFit="1" customWidth="1"/>
    <col min="446" max="446" width="12.1640625" style="157" bestFit="1" customWidth="1"/>
    <col min="447" max="447" width="9.1640625" style="157" customWidth="1"/>
    <col min="448" max="448" width="10.83203125" style="157" bestFit="1" customWidth="1"/>
    <col min="449" max="449" width="12.1640625" style="157" bestFit="1" customWidth="1"/>
    <col min="450" max="450" width="8" style="157" customWidth="1"/>
    <col min="451" max="451" width="10.83203125" style="157" bestFit="1" customWidth="1"/>
    <col min="452" max="452" width="12.1640625" style="157" bestFit="1" customWidth="1"/>
    <col min="453" max="453" width="8.1640625" style="157" bestFit="1" customWidth="1"/>
    <col min="454" max="454" width="10.83203125" style="157" bestFit="1" customWidth="1"/>
    <col min="455" max="455" width="12.1640625" style="157" bestFit="1" customWidth="1"/>
    <col min="456" max="456" width="18.1640625" style="157" bestFit="1" customWidth="1"/>
    <col min="457" max="457" width="10.83203125" style="157" bestFit="1" customWidth="1"/>
    <col min="458" max="693" width="8.83203125" style="157"/>
    <col min="694" max="694" width="38.1640625" style="157" customWidth="1"/>
    <col min="695" max="695" width="23.44140625" style="157" bestFit="1" customWidth="1"/>
    <col min="696" max="697" width="9.1640625" style="157" customWidth="1"/>
    <col min="698" max="698" width="11.1640625" style="157" bestFit="1" customWidth="1"/>
    <col min="699" max="699" width="14.44140625" style="157" bestFit="1" customWidth="1"/>
    <col min="700" max="700" width="8.1640625" style="157" customWidth="1"/>
    <col min="701" max="701" width="10.83203125" style="157" bestFit="1" customWidth="1"/>
    <col min="702" max="702" width="12.1640625" style="157" bestFit="1" customWidth="1"/>
    <col min="703" max="703" width="9.1640625" style="157" customWidth="1"/>
    <col min="704" max="704" width="10.83203125" style="157" bestFit="1" customWidth="1"/>
    <col min="705" max="705" width="12.1640625" style="157" bestFit="1" customWidth="1"/>
    <col min="706" max="706" width="8" style="157" customWidth="1"/>
    <col min="707" max="707" width="10.83203125" style="157" bestFit="1" customWidth="1"/>
    <col min="708" max="708" width="12.1640625" style="157" bestFit="1" customWidth="1"/>
    <col min="709" max="709" width="8.1640625" style="157" bestFit="1" customWidth="1"/>
    <col min="710" max="710" width="10.83203125" style="157" bestFit="1" customWidth="1"/>
    <col min="711" max="711" width="12.1640625" style="157" bestFit="1" customWidth="1"/>
    <col min="712" max="712" width="18.1640625" style="157" bestFit="1" customWidth="1"/>
    <col min="713" max="713" width="10.83203125" style="157" bestFit="1" customWidth="1"/>
    <col min="714" max="949" width="8.83203125" style="157"/>
    <col min="950" max="950" width="38.1640625" style="157" customWidth="1"/>
    <col min="951" max="951" width="23.44140625" style="157" bestFit="1" customWidth="1"/>
    <col min="952" max="953" width="9.1640625" style="157" customWidth="1"/>
    <col min="954" max="954" width="11.1640625" style="157" bestFit="1" customWidth="1"/>
    <col min="955" max="955" width="14.44140625" style="157" bestFit="1" customWidth="1"/>
    <col min="956" max="956" width="8.1640625" style="157" customWidth="1"/>
    <col min="957" max="957" width="10.83203125" style="157" bestFit="1" customWidth="1"/>
    <col min="958" max="958" width="12.1640625" style="157" bestFit="1" customWidth="1"/>
    <col min="959" max="959" width="9.1640625" style="157" customWidth="1"/>
    <col min="960" max="960" width="10.83203125" style="157" bestFit="1" customWidth="1"/>
    <col min="961" max="961" width="12.1640625" style="157" bestFit="1" customWidth="1"/>
    <col min="962" max="962" width="8" style="157" customWidth="1"/>
    <col min="963" max="963" width="10.83203125" style="157" bestFit="1" customWidth="1"/>
    <col min="964" max="964" width="12.1640625" style="157" bestFit="1" customWidth="1"/>
    <col min="965" max="965" width="8.1640625" style="157" bestFit="1" customWidth="1"/>
    <col min="966" max="966" width="10.83203125" style="157" bestFit="1" customWidth="1"/>
    <col min="967" max="967" width="12.1640625" style="157" bestFit="1" customWidth="1"/>
    <col min="968" max="968" width="18.1640625" style="157" bestFit="1" customWidth="1"/>
    <col min="969" max="969" width="10.83203125" style="157" bestFit="1" customWidth="1"/>
    <col min="970" max="1205" width="8.83203125" style="157"/>
    <col min="1206" max="1206" width="38.1640625" style="157" customWidth="1"/>
    <col min="1207" max="1207" width="23.44140625" style="157" bestFit="1" customWidth="1"/>
    <col min="1208" max="1209" width="9.1640625" style="157" customWidth="1"/>
    <col min="1210" max="1210" width="11.1640625" style="157" bestFit="1" customWidth="1"/>
    <col min="1211" max="1211" width="14.44140625" style="157" bestFit="1" customWidth="1"/>
    <col min="1212" max="1212" width="8.1640625" style="157" customWidth="1"/>
    <col min="1213" max="1213" width="10.83203125" style="157" bestFit="1" customWidth="1"/>
    <col min="1214" max="1214" width="12.1640625" style="157" bestFit="1" customWidth="1"/>
    <col min="1215" max="1215" width="9.1640625" style="157" customWidth="1"/>
    <col min="1216" max="1216" width="10.83203125" style="157" bestFit="1" customWidth="1"/>
    <col min="1217" max="1217" width="12.1640625" style="157" bestFit="1" customWidth="1"/>
    <col min="1218" max="1218" width="8" style="157" customWidth="1"/>
    <col min="1219" max="1219" width="10.83203125" style="157" bestFit="1" customWidth="1"/>
    <col min="1220" max="1220" width="12.1640625" style="157" bestFit="1" customWidth="1"/>
    <col min="1221" max="1221" width="8.1640625" style="157" bestFit="1" customWidth="1"/>
    <col min="1222" max="1222" width="10.83203125" style="157" bestFit="1" customWidth="1"/>
    <col min="1223" max="1223" width="12.1640625" style="157" bestFit="1" customWidth="1"/>
    <col min="1224" max="1224" width="18.1640625" style="157" bestFit="1" customWidth="1"/>
    <col min="1225" max="1225" width="10.83203125" style="157" bestFit="1" customWidth="1"/>
    <col min="1226" max="1461" width="8.83203125" style="157"/>
    <col min="1462" max="1462" width="38.1640625" style="157" customWidth="1"/>
    <col min="1463" max="1463" width="23.44140625" style="157" bestFit="1" customWidth="1"/>
    <col min="1464" max="1465" width="9.1640625" style="157" customWidth="1"/>
    <col min="1466" max="1466" width="11.1640625" style="157" bestFit="1" customWidth="1"/>
    <col min="1467" max="1467" width="14.44140625" style="157" bestFit="1" customWidth="1"/>
    <col min="1468" max="1468" width="8.1640625" style="157" customWidth="1"/>
    <col min="1469" max="1469" width="10.83203125" style="157" bestFit="1" customWidth="1"/>
    <col min="1470" max="1470" width="12.1640625" style="157" bestFit="1" customWidth="1"/>
    <col min="1471" max="1471" width="9.1640625" style="157" customWidth="1"/>
    <col min="1472" max="1472" width="10.83203125" style="157" bestFit="1" customWidth="1"/>
    <col min="1473" max="1473" width="12.1640625" style="157" bestFit="1" customWidth="1"/>
    <col min="1474" max="1474" width="8" style="157" customWidth="1"/>
    <col min="1475" max="1475" width="10.83203125" style="157" bestFit="1" customWidth="1"/>
    <col min="1476" max="1476" width="12.1640625" style="157" bestFit="1" customWidth="1"/>
    <col min="1477" max="1477" width="8.1640625" style="157" bestFit="1" customWidth="1"/>
    <col min="1478" max="1478" width="10.83203125" style="157" bestFit="1" customWidth="1"/>
    <col min="1479" max="1479" width="12.1640625" style="157" bestFit="1" customWidth="1"/>
    <col min="1480" max="1480" width="18.1640625" style="157" bestFit="1" customWidth="1"/>
    <col min="1481" max="1481" width="10.83203125" style="157" bestFit="1" customWidth="1"/>
    <col min="1482" max="1717" width="8.83203125" style="157"/>
    <col min="1718" max="1718" width="38.1640625" style="157" customWidth="1"/>
    <col min="1719" max="1719" width="23.44140625" style="157" bestFit="1" customWidth="1"/>
    <col min="1720" max="1721" width="9.1640625" style="157" customWidth="1"/>
    <col min="1722" max="1722" width="11.1640625" style="157" bestFit="1" customWidth="1"/>
    <col min="1723" max="1723" width="14.44140625" style="157" bestFit="1" customWidth="1"/>
    <col min="1724" max="1724" width="8.1640625" style="157" customWidth="1"/>
    <col min="1725" max="1725" width="10.83203125" style="157" bestFit="1" customWidth="1"/>
    <col min="1726" max="1726" width="12.1640625" style="157" bestFit="1" customWidth="1"/>
    <col min="1727" max="1727" width="9.1640625" style="157" customWidth="1"/>
    <col min="1728" max="1728" width="10.83203125" style="157" bestFit="1" customWidth="1"/>
    <col min="1729" max="1729" width="12.1640625" style="157" bestFit="1" customWidth="1"/>
    <col min="1730" max="1730" width="8" style="157" customWidth="1"/>
    <col min="1731" max="1731" width="10.83203125" style="157" bestFit="1" customWidth="1"/>
    <col min="1732" max="1732" width="12.1640625" style="157" bestFit="1" customWidth="1"/>
    <col min="1733" max="1733" width="8.1640625" style="157" bestFit="1" customWidth="1"/>
    <col min="1734" max="1734" width="10.83203125" style="157" bestFit="1" customWidth="1"/>
    <col min="1735" max="1735" width="12.1640625" style="157" bestFit="1" customWidth="1"/>
    <col min="1736" max="1736" width="18.1640625" style="157" bestFit="1" customWidth="1"/>
    <col min="1737" max="1737" width="10.83203125" style="157" bestFit="1" customWidth="1"/>
    <col min="1738" max="1973" width="8.83203125" style="157"/>
    <col min="1974" max="1974" width="38.1640625" style="157" customWidth="1"/>
    <col min="1975" max="1975" width="23.44140625" style="157" bestFit="1" customWidth="1"/>
    <col min="1976" max="1977" width="9.1640625" style="157" customWidth="1"/>
    <col min="1978" max="1978" width="11.1640625" style="157" bestFit="1" customWidth="1"/>
    <col min="1979" max="1979" width="14.44140625" style="157" bestFit="1" customWidth="1"/>
    <col min="1980" max="1980" width="8.1640625" style="157" customWidth="1"/>
    <col min="1981" max="1981" width="10.83203125" style="157" bestFit="1" customWidth="1"/>
    <col min="1982" max="1982" width="12.1640625" style="157" bestFit="1" customWidth="1"/>
    <col min="1983" max="1983" width="9.1640625" style="157" customWidth="1"/>
    <col min="1984" max="1984" width="10.83203125" style="157" bestFit="1" customWidth="1"/>
    <col min="1985" max="1985" width="12.1640625" style="157" bestFit="1" customWidth="1"/>
    <col min="1986" max="1986" width="8" style="157" customWidth="1"/>
    <col min="1987" max="1987" width="10.83203125" style="157" bestFit="1" customWidth="1"/>
    <col min="1988" max="1988" width="12.1640625" style="157" bestFit="1" customWidth="1"/>
    <col min="1989" max="1989" width="8.1640625" style="157" bestFit="1" customWidth="1"/>
    <col min="1990" max="1990" width="10.83203125" style="157" bestFit="1" customWidth="1"/>
    <col min="1991" max="1991" width="12.1640625" style="157" bestFit="1" customWidth="1"/>
    <col min="1992" max="1992" width="18.1640625" style="157" bestFit="1" customWidth="1"/>
    <col min="1993" max="1993" width="10.83203125" style="157" bestFit="1" customWidth="1"/>
    <col min="1994" max="2229" width="8.83203125" style="157"/>
    <col min="2230" max="2230" width="38.1640625" style="157" customWidth="1"/>
    <col min="2231" max="2231" width="23.44140625" style="157" bestFit="1" customWidth="1"/>
    <col min="2232" max="2233" width="9.1640625" style="157" customWidth="1"/>
    <col min="2234" max="2234" width="11.1640625" style="157" bestFit="1" customWidth="1"/>
    <col min="2235" max="2235" width="14.44140625" style="157" bestFit="1" customWidth="1"/>
    <col min="2236" max="2236" width="8.1640625" style="157" customWidth="1"/>
    <col min="2237" max="2237" width="10.83203125" style="157" bestFit="1" customWidth="1"/>
    <col min="2238" max="2238" width="12.1640625" style="157" bestFit="1" customWidth="1"/>
    <col min="2239" max="2239" width="9.1640625" style="157" customWidth="1"/>
    <col min="2240" max="2240" width="10.83203125" style="157" bestFit="1" customWidth="1"/>
    <col min="2241" max="2241" width="12.1640625" style="157" bestFit="1" customWidth="1"/>
    <col min="2242" max="2242" width="8" style="157" customWidth="1"/>
    <col min="2243" max="2243" width="10.83203125" style="157" bestFit="1" customWidth="1"/>
    <col min="2244" max="2244" width="12.1640625" style="157" bestFit="1" customWidth="1"/>
    <col min="2245" max="2245" width="8.1640625" style="157" bestFit="1" customWidth="1"/>
    <col min="2246" max="2246" width="10.83203125" style="157" bestFit="1" customWidth="1"/>
    <col min="2247" max="2247" width="12.1640625" style="157" bestFit="1" customWidth="1"/>
    <col min="2248" max="2248" width="18.1640625" style="157" bestFit="1" customWidth="1"/>
    <col min="2249" max="2249" width="10.83203125" style="157" bestFit="1" customWidth="1"/>
    <col min="2250" max="2485" width="8.83203125" style="157"/>
    <col min="2486" max="2486" width="38.1640625" style="157" customWidth="1"/>
    <col min="2487" max="2487" width="23.44140625" style="157" bestFit="1" customWidth="1"/>
    <col min="2488" max="2489" width="9.1640625" style="157" customWidth="1"/>
    <col min="2490" max="2490" width="11.1640625" style="157" bestFit="1" customWidth="1"/>
    <col min="2491" max="2491" width="14.44140625" style="157" bestFit="1" customWidth="1"/>
    <col min="2492" max="2492" width="8.1640625" style="157" customWidth="1"/>
    <col min="2493" max="2493" width="10.83203125" style="157" bestFit="1" customWidth="1"/>
    <col min="2494" max="2494" width="12.1640625" style="157" bestFit="1" customWidth="1"/>
    <col min="2495" max="2495" width="9.1640625" style="157" customWidth="1"/>
    <col min="2496" max="2496" width="10.83203125" style="157" bestFit="1" customWidth="1"/>
    <col min="2497" max="2497" width="12.1640625" style="157" bestFit="1" customWidth="1"/>
    <col min="2498" max="2498" width="8" style="157" customWidth="1"/>
    <col min="2499" max="2499" width="10.83203125" style="157" bestFit="1" customWidth="1"/>
    <col min="2500" max="2500" width="12.1640625" style="157" bestFit="1" customWidth="1"/>
    <col min="2501" max="2501" width="8.1640625" style="157" bestFit="1" customWidth="1"/>
    <col min="2502" max="2502" width="10.83203125" style="157" bestFit="1" customWidth="1"/>
    <col min="2503" max="2503" width="12.1640625" style="157" bestFit="1" customWidth="1"/>
    <col min="2504" max="2504" width="18.1640625" style="157" bestFit="1" customWidth="1"/>
    <col min="2505" max="2505" width="10.83203125" style="157" bestFit="1" customWidth="1"/>
    <col min="2506" max="2741" width="8.83203125" style="157"/>
    <col min="2742" max="2742" width="38.1640625" style="157" customWidth="1"/>
    <col min="2743" max="2743" width="23.44140625" style="157" bestFit="1" customWidth="1"/>
    <col min="2744" max="2745" width="9.1640625" style="157" customWidth="1"/>
    <col min="2746" max="2746" width="11.1640625" style="157" bestFit="1" customWidth="1"/>
    <col min="2747" max="2747" width="14.44140625" style="157" bestFit="1" customWidth="1"/>
    <col min="2748" max="2748" width="8.1640625" style="157" customWidth="1"/>
    <col min="2749" max="2749" width="10.83203125" style="157" bestFit="1" customWidth="1"/>
    <col min="2750" max="2750" width="12.1640625" style="157" bestFit="1" customWidth="1"/>
    <col min="2751" max="2751" width="9.1640625" style="157" customWidth="1"/>
    <col min="2752" max="2752" width="10.83203125" style="157" bestFit="1" customWidth="1"/>
    <col min="2753" max="2753" width="12.1640625" style="157" bestFit="1" customWidth="1"/>
    <col min="2754" max="2754" width="8" style="157" customWidth="1"/>
    <col min="2755" max="2755" width="10.83203125" style="157" bestFit="1" customWidth="1"/>
    <col min="2756" max="2756" width="12.1640625" style="157" bestFit="1" customWidth="1"/>
    <col min="2757" max="2757" width="8.1640625" style="157" bestFit="1" customWidth="1"/>
    <col min="2758" max="2758" width="10.83203125" style="157" bestFit="1" customWidth="1"/>
    <col min="2759" max="2759" width="12.1640625" style="157" bestFit="1" customWidth="1"/>
    <col min="2760" max="2760" width="18.1640625" style="157" bestFit="1" customWidth="1"/>
    <col min="2761" max="2761" width="10.83203125" style="157" bestFit="1" customWidth="1"/>
    <col min="2762" max="2997" width="8.83203125" style="157"/>
    <col min="2998" max="2998" width="38.1640625" style="157" customWidth="1"/>
    <col min="2999" max="2999" width="23.44140625" style="157" bestFit="1" customWidth="1"/>
    <col min="3000" max="3001" width="9.1640625" style="157" customWidth="1"/>
    <col min="3002" max="3002" width="11.1640625" style="157" bestFit="1" customWidth="1"/>
    <col min="3003" max="3003" width="14.44140625" style="157" bestFit="1" customWidth="1"/>
    <col min="3004" max="3004" width="8.1640625" style="157" customWidth="1"/>
    <col min="3005" max="3005" width="10.83203125" style="157" bestFit="1" customWidth="1"/>
    <col min="3006" max="3006" width="12.1640625" style="157" bestFit="1" customWidth="1"/>
    <col min="3007" max="3007" width="9.1640625" style="157" customWidth="1"/>
    <col min="3008" max="3008" width="10.83203125" style="157" bestFit="1" customWidth="1"/>
    <col min="3009" max="3009" width="12.1640625" style="157" bestFit="1" customWidth="1"/>
    <col min="3010" max="3010" width="8" style="157" customWidth="1"/>
    <col min="3011" max="3011" width="10.83203125" style="157" bestFit="1" customWidth="1"/>
    <col min="3012" max="3012" width="12.1640625" style="157" bestFit="1" customWidth="1"/>
    <col min="3013" max="3013" width="8.1640625" style="157" bestFit="1" customWidth="1"/>
    <col min="3014" max="3014" width="10.83203125" style="157" bestFit="1" customWidth="1"/>
    <col min="3015" max="3015" width="12.1640625" style="157" bestFit="1" customWidth="1"/>
    <col min="3016" max="3016" width="18.1640625" style="157" bestFit="1" customWidth="1"/>
    <col min="3017" max="3017" width="10.83203125" style="157" bestFit="1" customWidth="1"/>
    <col min="3018" max="3253" width="8.83203125" style="157"/>
    <col min="3254" max="3254" width="38.1640625" style="157" customWidth="1"/>
    <col min="3255" max="3255" width="23.44140625" style="157" bestFit="1" customWidth="1"/>
    <col min="3256" max="3257" width="9.1640625" style="157" customWidth="1"/>
    <col min="3258" max="3258" width="11.1640625" style="157" bestFit="1" customWidth="1"/>
    <col min="3259" max="3259" width="14.44140625" style="157" bestFit="1" customWidth="1"/>
    <col min="3260" max="3260" width="8.1640625" style="157" customWidth="1"/>
    <col min="3261" max="3261" width="10.83203125" style="157" bestFit="1" customWidth="1"/>
    <col min="3262" max="3262" width="12.1640625" style="157" bestFit="1" customWidth="1"/>
    <col min="3263" max="3263" width="9.1640625" style="157" customWidth="1"/>
    <col min="3264" max="3264" width="10.83203125" style="157" bestFit="1" customWidth="1"/>
    <col min="3265" max="3265" width="12.1640625" style="157" bestFit="1" customWidth="1"/>
    <col min="3266" max="3266" width="8" style="157" customWidth="1"/>
    <col min="3267" max="3267" width="10.83203125" style="157" bestFit="1" customWidth="1"/>
    <col min="3268" max="3268" width="12.1640625" style="157" bestFit="1" customWidth="1"/>
    <col min="3269" max="3269" width="8.1640625" style="157" bestFit="1" customWidth="1"/>
    <col min="3270" max="3270" width="10.83203125" style="157" bestFit="1" customWidth="1"/>
    <col min="3271" max="3271" width="12.1640625" style="157" bestFit="1" customWidth="1"/>
    <col min="3272" max="3272" width="18.1640625" style="157" bestFit="1" customWidth="1"/>
    <col min="3273" max="3273" width="10.83203125" style="157" bestFit="1" customWidth="1"/>
    <col min="3274" max="3509" width="8.83203125" style="157"/>
    <col min="3510" max="3510" width="38.1640625" style="157" customWidth="1"/>
    <col min="3511" max="3511" width="23.44140625" style="157" bestFit="1" customWidth="1"/>
    <col min="3512" max="3513" width="9.1640625" style="157" customWidth="1"/>
    <col min="3514" max="3514" width="11.1640625" style="157" bestFit="1" customWidth="1"/>
    <col min="3515" max="3515" width="14.44140625" style="157" bestFit="1" customWidth="1"/>
    <col min="3516" max="3516" width="8.1640625" style="157" customWidth="1"/>
    <col min="3517" max="3517" width="10.83203125" style="157" bestFit="1" customWidth="1"/>
    <col min="3518" max="3518" width="12.1640625" style="157" bestFit="1" customWidth="1"/>
    <col min="3519" max="3519" width="9.1640625" style="157" customWidth="1"/>
    <col min="3520" max="3520" width="10.83203125" style="157" bestFit="1" customWidth="1"/>
    <col min="3521" max="3521" width="12.1640625" style="157" bestFit="1" customWidth="1"/>
    <col min="3522" max="3522" width="8" style="157" customWidth="1"/>
    <col min="3523" max="3523" width="10.83203125" style="157" bestFit="1" customWidth="1"/>
    <col min="3524" max="3524" width="12.1640625" style="157" bestFit="1" customWidth="1"/>
    <col min="3525" max="3525" width="8.1640625" style="157" bestFit="1" customWidth="1"/>
    <col min="3526" max="3526" width="10.83203125" style="157" bestFit="1" customWidth="1"/>
    <col min="3527" max="3527" width="12.1640625" style="157" bestFit="1" customWidth="1"/>
    <col min="3528" max="3528" width="18.1640625" style="157" bestFit="1" customWidth="1"/>
    <col min="3529" max="3529" width="10.83203125" style="157" bestFit="1" customWidth="1"/>
    <col min="3530" max="3765" width="8.83203125" style="157"/>
    <col min="3766" max="3766" width="38.1640625" style="157" customWidth="1"/>
    <col min="3767" max="3767" width="23.44140625" style="157" bestFit="1" customWidth="1"/>
    <col min="3768" max="3769" width="9.1640625" style="157" customWidth="1"/>
    <col min="3770" max="3770" width="11.1640625" style="157" bestFit="1" customWidth="1"/>
    <col min="3771" max="3771" width="14.44140625" style="157" bestFit="1" customWidth="1"/>
    <col min="3772" max="3772" width="8.1640625" style="157" customWidth="1"/>
    <col min="3773" max="3773" width="10.83203125" style="157" bestFit="1" customWidth="1"/>
    <col min="3774" max="3774" width="12.1640625" style="157" bestFit="1" customWidth="1"/>
    <col min="3775" max="3775" width="9.1640625" style="157" customWidth="1"/>
    <col min="3776" max="3776" width="10.83203125" style="157" bestFit="1" customWidth="1"/>
    <col min="3777" max="3777" width="12.1640625" style="157" bestFit="1" customWidth="1"/>
    <col min="3778" max="3778" width="8" style="157" customWidth="1"/>
    <col min="3779" max="3779" width="10.83203125" style="157" bestFit="1" customWidth="1"/>
    <col min="3780" max="3780" width="12.1640625" style="157" bestFit="1" customWidth="1"/>
    <col min="3781" max="3781" width="8.1640625" style="157" bestFit="1" customWidth="1"/>
    <col min="3782" max="3782" width="10.83203125" style="157" bestFit="1" customWidth="1"/>
    <col min="3783" max="3783" width="12.1640625" style="157" bestFit="1" customWidth="1"/>
    <col min="3784" max="3784" width="18.1640625" style="157" bestFit="1" customWidth="1"/>
    <col min="3785" max="3785" width="10.83203125" style="157" bestFit="1" customWidth="1"/>
    <col min="3786" max="4021" width="8.83203125" style="157"/>
    <col min="4022" max="4022" width="38.1640625" style="157" customWidth="1"/>
    <col min="4023" max="4023" width="23.44140625" style="157" bestFit="1" customWidth="1"/>
    <col min="4024" max="4025" width="9.1640625" style="157" customWidth="1"/>
    <col min="4026" max="4026" width="11.1640625" style="157" bestFit="1" customWidth="1"/>
    <col min="4027" max="4027" width="14.44140625" style="157" bestFit="1" customWidth="1"/>
    <col min="4028" max="4028" width="8.1640625" style="157" customWidth="1"/>
    <col min="4029" max="4029" width="10.83203125" style="157" bestFit="1" customWidth="1"/>
    <col min="4030" max="4030" width="12.1640625" style="157" bestFit="1" customWidth="1"/>
    <col min="4031" max="4031" width="9.1640625" style="157" customWidth="1"/>
    <col min="4032" max="4032" width="10.83203125" style="157" bestFit="1" customWidth="1"/>
    <col min="4033" max="4033" width="12.1640625" style="157" bestFit="1" customWidth="1"/>
    <col min="4034" max="4034" width="8" style="157" customWidth="1"/>
    <col min="4035" max="4035" width="10.83203125" style="157" bestFit="1" customWidth="1"/>
    <col min="4036" max="4036" width="12.1640625" style="157" bestFit="1" customWidth="1"/>
    <col min="4037" max="4037" width="8.1640625" style="157" bestFit="1" customWidth="1"/>
    <col min="4038" max="4038" width="10.83203125" style="157" bestFit="1" customWidth="1"/>
    <col min="4039" max="4039" width="12.1640625" style="157" bestFit="1" customWidth="1"/>
    <col min="4040" max="4040" width="18.1640625" style="157" bestFit="1" customWidth="1"/>
    <col min="4041" max="4041" width="10.83203125" style="157" bestFit="1" customWidth="1"/>
    <col min="4042" max="4277" width="8.83203125" style="157"/>
    <col min="4278" max="4278" width="38.1640625" style="157" customWidth="1"/>
    <col min="4279" max="4279" width="23.44140625" style="157" bestFit="1" customWidth="1"/>
    <col min="4280" max="4281" width="9.1640625" style="157" customWidth="1"/>
    <col min="4282" max="4282" width="11.1640625" style="157" bestFit="1" customWidth="1"/>
    <col min="4283" max="4283" width="14.44140625" style="157" bestFit="1" customWidth="1"/>
    <col min="4284" max="4284" width="8.1640625" style="157" customWidth="1"/>
    <col min="4285" max="4285" width="10.83203125" style="157" bestFit="1" customWidth="1"/>
    <col min="4286" max="4286" width="12.1640625" style="157" bestFit="1" customWidth="1"/>
    <col min="4287" max="4287" width="9.1640625" style="157" customWidth="1"/>
    <col min="4288" max="4288" width="10.83203125" style="157" bestFit="1" customWidth="1"/>
    <col min="4289" max="4289" width="12.1640625" style="157" bestFit="1" customWidth="1"/>
    <col min="4290" max="4290" width="8" style="157" customWidth="1"/>
    <col min="4291" max="4291" width="10.83203125" style="157" bestFit="1" customWidth="1"/>
    <col min="4292" max="4292" width="12.1640625" style="157" bestFit="1" customWidth="1"/>
    <col min="4293" max="4293" width="8.1640625" style="157" bestFit="1" customWidth="1"/>
    <col min="4294" max="4294" width="10.83203125" style="157" bestFit="1" customWidth="1"/>
    <col min="4295" max="4295" width="12.1640625" style="157" bestFit="1" customWidth="1"/>
    <col min="4296" max="4296" width="18.1640625" style="157" bestFit="1" customWidth="1"/>
    <col min="4297" max="4297" width="10.83203125" style="157" bestFit="1" customWidth="1"/>
    <col min="4298" max="4533" width="8.83203125" style="157"/>
    <col min="4534" max="4534" width="38.1640625" style="157" customWidth="1"/>
    <col min="4535" max="4535" width="23.44140625" style="157" bestFit="1" customWidth="1"/>
    <col min="4536" max="4537" width="9.1640625" style="157" customWidth="1"/>
    <col min="4538" max="4538" width="11.1640625" style="157" bestFit="1" customWidth="1"/>
    <col min="4539" max="4539" width="14.44140625" style="157" bestFit="1" customWidth="1"/>
    <col min="4540" max="4540" width="8.1640625" style="157" customWidth="1"/>
    <col min="4541" max="4541" width="10.83203125" style="157" bestFit="1" customWidth="1"/>
    <col min="4542" max="4542" width="12.1640625" style="157" bestFit="1" customWidth="1"/>
    <col min="4543" max="4543" width="9.1640625" style="157" customWidth="1"/>
    <col min="4544" max="4544" width="10.83203125" style="157" bestFit="1" customWidth="1"/>
    <col min="4545" max="4545" width="12.1640625" style="157" bestFit="1" customWidth="1"/>
    <col min="4546" max="4546" width="8" style="157" customWidth="1"/>
    <col min="4547" max="4547" width="10.83203125" style="157" bestFit="1" customWidth="1"/>
    <col min="4548" max="4548" width="12.1640625" style="157" bestFit="1" customWidth="1"/>
    <col min="4549" max="4549" width="8.1640625" style="157" bestFit="1" customWidth="1"/>
    <col min="4550" max="4550" width="10.83203125" style="157" bestFit="1" customWidth="1"/>
    <col min="4551" max="4551" width="12.1640625" style="157" bestFit="1" customWidth="1"/>
    <col min="4552" max="4552" width="18.1640625" style="157" bestFit="1" customWidth="1"/>
    <col min="4553" max="4553" width="10.83203125" style="157" bestFit="1" customWidth="1"/>
    <col min="4554" max="4789" width="8.83203125" style="157"/>
    <col min="4790" max="4790" width="38.1640625" style="157" customWidth="1"/>
    <col min="4791" max="4791" width="23.44140625" style="157" bestFit="1" customWidth="1"/>
    <col min="4792" max="4793" width="9.1640625" style="157" customWidth="1"/>
    <col min="4794" max="4794" width="11.1640625" style="157" bestFit="1" customWidth="1"/>
    <col min="4795" max="4795" width="14.44140625" style="157" bestFit="1" customWidth="1"/>
    <col min="4796" max="4796" width="8.1640625" style="157" customWidth="1"/>
    <col min="4797" max="4797" width="10.83203125" style="157" bestFit="1" customWidth="1"/>
    <col min="4798" max="4798" width="12.1640625" style="157" bestFit="1" customWidth="1"/>
    <col min="4799" max="4799" width="9.1640625" style="157" customWidth="1"/>
    <col min="4800" max="4800" width="10.83203125" style="157" bestFit="1" customWidth="1"/>
    <col min="4801" max="4801" width="12.1640625" style="157" bestFit="1" customWidth="1"/>
    <col min="4802" max="4802" width="8" style="157" customWidth="1"/>
    <col min="4803" max="4803" width="10.83203125" style="157" bestFit="1" customWidth="1"/>
    <col min="4804" max="4804" width="12.1640625" style="157" bestFit="1" customWidth="1"/>
    <col min="4805" max="4805" width="8.1640625" style="157" bestFit="1" customWidth="1"/>
    <col min="4806" max="4806" width="10.83203125" style="157" bestFit="1" customWidth="1"/>
    <col min="4807" max="4807" width="12.1640625" style="157" bestFit="1" customWidth="1"/>
    <col min="4808" max="4808" width="18.1640625" style="157" bestFit="1" customWidth="1"/>
    <col min="4809" max="4809" width="10.83203125" style="157" bestFit="1" customWidth="1"/>
    <col min="4810" max="5045" width="8.83203125" style="157"/>
    <col min="5046" max="5046" width="38.1640625" style="157" customWidth="1"/>
    <col min="5047" max="5047" width="23.44140625" style="157" bestFit="1" customWidth="1"/>
    <col min="5048" max="5049" width="9.1640625" style="157" customWidth="1"/>
    <col min="5050" max="5050" width="11.1640625" style="157" bestFit="1" customWidth="1"/>
    <col min="5051" max="5051" width="14.44140625" style="157" bestFit="1" customWidth="1"/>
    <col min="5052" max="5052" width="8.1640625" style="157" customWidth="1"/>
    <col min="5053" max="5053" width="10.83203125" style="157" bestFit="1" customWidth="1"/>
    <col min="5054" max="5054" width="12.1640625" style="157" bestFit="1" customWidth="1"/>
    <col min="5055" max="5055" width="9.1640625" style="157" customWidth="1"/>
    <col min="5056" max="5056" width="10.83203125" style="157" bestFit="1" customWidth="1"/>
    <col min="5057" max="5057" width="12.1640625" style="157" bestFit="1" customWidth="1"/>
    <col min="5058" max="5058" width="8" style="157" customWidth="1"/>
    <col min="5059" max="5059" width="10.83203125" style="157" bestFit="1" customWidth="1"/>
    <col min="5060" max="5060" width="12.1640625" style="157" bestFit="1" customWidth="1"/>
    <col min="5061" max="5061" width="8.1640625" style="157" bestFit="1" customWidth="1"/>
    <col min="5062" max="5062" width="10.83203125" style="157" bestFit="1" customWidth="1"/>
    <col min="5063" max="5063" width="12.1640625" style="157" bestFit="1" customWidth="1"/>
    <col min="5064" max="5064" width="18.1640625" style="157" bestFit="1" customWidth="1"/>
    <col min="5065" max="5065" width="10.83203125" style="157" bestFit="1" customWidth="1"/>
    <col min="5066" max="5301" width="8.83203125" style="157"/>
    <col min="5302" max="5302" width="38.1640625" style="157" customWidth="1"/>
    <col min="5303" max="5303" width="23.44140625" style="157" bestFit="1" customWidth="1"/>
    <col min="5304" max="5305" width="9.1640625" style="157" customWidth="1"/>
    <col min="5306" max="5306" width="11.1640625" style="157" bestFit="1" customWidth="1"/>
    <col min="5307" max="5307" width="14.44140625" style="157" bestFit="1" customWidth="1"/>
    <col min="5308" max="5308" width="8.1640625" style="157" customWidth="1"/>
    <col min="5309" max="5309" width="10.83203125" style="157" bestFit="1" customWidth="1"/>
    <col min="5310" max="5310" width="12.1640625" style="157" bestFit="1" customWidth="1"/>
    <col min="5311" max="5311" width="9.1640625" style="157" customWidth="1"/>
    <col min="5312" max="5312" width="10.83203125" style="157" bestFit="1" customWidth="1"/>
    <col min="5313" max="5313" width="12.1640625" style="157" bestFit="1" customWidth="1"/>
    <col min="5314" max="5314" width="8" style="157" customWidth="1"/>
    <col min="5315" max="5315" width="10.83203125" style="157" bestFit="1" customWidth="1"/>
    <col min="5316" max="5316" width="12.1640625" style="157" bestFit="1" customWidth="1"/>
    <col min="5317" max="5317" width="8.1640625" style="157" bestFit="1" customWidth="1"/>
    <col min="5318" max="5318" width="10.83203125" style="157" bestFit="1" customWidth="1"/>
    <col min="5319" max="5319" width="12.1640625" style="157" bestFit="1" customWidth="1"/>
    <col min="5320" max="5320" width="18.1640625" style="157" bestFit="1" customWidth="1"/>
    <col min="5321" max="5321" width="10.83203125" style="157" bestFit="1" customWidth="1"/>
    <col min="5322" max="5557" width="8.83203125" style="157"/>
    <col min="5558" max="5558" width="38.1640625" style="157" customWidth="1"/>
    <col min="5559" max="5559" width="23.44140625" style="157" bestFit="1" customWidth="1"/>
    <col min="5560" max="5561" width="9.1640625" style="157" customWidth="1"/>
    <col min="5562" max="5562" width="11.1640625" style="157" bestFit="1" customWidth="1"/>
    <col min="5563" max="5563" width="14.44140625" style="157" bestFit="1" customWidth="1"/>
    <col min="5564" max="5564" width="8.1640625" style="157" customWidth="1"/>
    <col min="5565" max="5565" width="10.83203125" style="157" bestFit="1" customWidth="1"/>
    <col min="5566" max="5566" width="12.1640625" style="157" bestFit="1" customWidth="1"/>
    <col min="5567" max="5567" width="9.1640625" style="157" customWidth="1"/>
    <col min="5568" max="5568" width="10.83203125" style="157" bestFit="1" customWidth="1"/>
    <col min="5569" max="5569" width="12.1640625" style="157" bestFit="1" customWidth="1"/>
    <col min="5570" max="5570" width="8" style="157" customWidth="1"/>
    <col min="5571" max="5571" width="10.83203125" style="157" bestFit="1" customWidth="1"/>
    <col min="5572" max="5572" width="12.1640625" style="157" bestFit="1" customWidth="1"/>
    <col min="5573" max="5573" width="8.1640625" style="157" bestFit="1" customWidth="1"/>
    <col min="5574" max="5574" width="10.83203125" style="157" bestFit="1" customWidth="1"/>
    <col min="5575" max="5575" width="12.1640625" style="157" bestFit="1" customWidth="1"/>
    <col min="5576" max="5576" width="18.1640625" style="157" bestFit="1" customWidth="1"/>
    <col min="5577" max="5577" width="10.83203125" style="157" bestFit="1" customWidth="1"/>
    <col min="5578" max="5813" width="8.83203125" style="157"/>
    <col min="5814" max="5814" width="38.1640625" style="157" customWidth="1"/>
    <col min="5815" max="5815" width="23.44140625" style="157" bestFit="1" customWidth="1"/>
    <col min="5816" max="5817" width="9.1640625" style="157" customWidth="1"/>
    <col min="5818" max="5818" width="11.1640625" style="157" bestFit="1" customWidth="1"/>
    <col min="5819" max="5819" width="14.44140625" style="157" bestFit="1" customWidth="1"/>
    <col min="5820" max="5820" width="8.1640625" style="157" customWidth="1"/>
    <col min="5821" max="5821" width="10.83203125" style="157" bestFit="1" customWidth="1"/>
    <col min="5822" max="5822" width="12.1640625" style="157" bestFit="1" customWidth="1"/>
    <col min="5823" max="5823" width="9.1640625" style="157" customWidth="1"/>
    <col min="5824" max="5824" width="10.83203125" style="157" bestFit="1" customWidth="1"/>
    <col min="5825" max="5825" width="12.1640625" style="157" bestFit="1" customWidth="1"/>
    <col min="5826" max="5826" width="8" style="157" customWidth="1"/>
    <col min="5827" max="5827" width="10.83203125" style="157" bestFit="1" customWidth="1"/>
    <col min="5828" max="5828" width="12.1640625" style="157" bestFit="1" customWidth="1"/>
    <col min="5829" max="5829" width="8.1640625" style="157" bestFit="1" customWidth="1"/>
    <col min="5830" max="5830" width="10.83203125" style="157" bestFit="1" customWidth="1"/>
    <col min="5831" max="5831" width="12.1640625" style="157" bestFit="1" customWidth="1"/>
    <col min="5832" max="5832" width="18.1640625" style="157" bestFit="1" customWidth="1"/>
    <col min="5833" max="5833" width="10.83203125" style="157" bestFit="1" customWidth="1"/>
    <col min="5834" max="6069" width="8.83203125" style="157"/>
    <col min="6070" max="6070" width="38.1640625" style="157" customWidth="1"/>
    <col min="6071" max="6071" width="23.44140625" style="157" bestFit="1" customWidth="1"/>
    <col min="6072" max="6073" width="9.1640625" style="157" customWidth="1"/>
    <col min="6074" max="6074" width="11.1640625" style="157" bestFit="1" customWidth="1"/>
    <col min="6075" max="6075" width="14.44140625" style="157" bestFit="1" customWidth="1"/>
    <col min="6076" max="6076" width="8.1640625" style="157" customWidth="1"/>
    <col min="6077" max="6077" width="10.83203125" style="157" bestFit="1" customWidth="1"/>
    <col min="6078" max="6078" width="12.1640625" style="157" bestFit="1" customWidth="1"/>
    <col min="6079" max="6079" width="9.1640625" style="157" customWidth="1"/>
    <col min="6080" max="6080" width="10.83203125" style="157" bestFit="1" customWidth="1"/>
    <col min="6081" max="6081" width="12.1640625" style="157" bestFit="1" customWidth="1"/>
    <col min="6082" max="6082" width="8" style="157" customWidth="1"/>
    <col min="6083" max="6083" width="10.83203125" style="157" bestFit="1" customWidth="1"/>
    <col min="6084" max="6084" width="12.1640625" style="157" bestFit="1" customWidth="1"/>
    <col min="6085" max="6085" width="8.1640625" style="157" bestFit="1" customWidth="1"/>
    <col min="6086" max="6086" width="10.83203125" style="157" bestFit="1" customWidth="1"/>
    <col min="6087" max="6087" width="12.1640625" style="157" bestFit="1" customWidth="1"/>
    <col min="6088" max="6088" width="18.1640625" style="157" bestFit="1" customWidth="1"/>
    <col min="6089" max="6089" width="10.83203125" style="157" bestFit="1" customWidth="1"/>
    <col min="6090" max="6325" width="8.83203125" style="157"/>
    <col min="6326" max="6326" width="38.1640625" style="157" customWidth="1"/>
    <col min="6327" max="6327" width="23.44140625" style="157" bestFit="1" customWidth="1"/>
    <col min="6328" max="6329" width="9.1640625" style="157" customWidth="1"/>
    <col min="6330" max="6330" width="11.1640625" style="157" bestFit="1" customWidth="1"/>
    <col min="6331" max="6331" width="14.44140625" style="157" bestFit="1" customWidth="1"/>
    <col min="6332" max="6332" width="8.1640625" style="157" customWidth="1"/>
    <col min="6333" max="6333" width="10.83203125" style="157" bestFit="1" customWidth="1"/>
    <col min="6334" max="6334" width="12.1640625" style="157" bestFit="1" customWidth="1"/>
    <col min="6335" max="6335" width="9.1640625" style="157" customWidth="1"/>
    <col min="6336" max="6336" width="10.83203125" style="157" bestFit="1" customWidth="1"/>
    <col min="6337" max="6337" width="12.1640625" style="157" bestFit="1" customWidth="1"/>
    <col min="6338" max="6338" width="8" style="157" customWidth="1"/>
    <col min="6339" max="6339" width="10.83203125" style="157" bestFit="1" customWidth="1"/>
    <col min="6340" max="6340" width="12.1640625" style="157" bestFit="1" customWidth="1"/>
    <col min="6341" max="6341" width="8.1640625" style="157" bestFit="1" customWidth="1"/>
    <col min="6342" max="6342" width="10.83203125" style="157" bestFit="1" customWidth="1"/>
    <col min="6343" max="6343" width="12.1640625" style="157" bestFit="1" customWidth="1"/>
    <col min="6344" max="6344" width="18.1640625" style="157" bestFit="1" customWidth="1"/>
    <col min="6345" max="6345" width="10.83203125" style="157" bestFit="1" customWidth="1"/>
    <col min="6346" max="6581" width="8.83203125" style="157"/>
    <col min="6582" max="6582" width="38.1640625" style="157" customWidth="1"/>
    <col min="6583" max="6583" width="23.44140625" style="157" bestFit="1" customWidth="1"/>
    <col min="6584" max="6585" width="9.1640625" style="157" customWidth="1"/>
    <col min="6586" max="6586" width="11.1640625" style="157" bestFit="1" customWidth="1"/>
    <col min="6587" max="6587" width="14.44140625" style="157" bestFit="1" customWidth="1"/>
    <col min="6588" max="6588" width="8.1640625" style="157" customWidth="1"/>
    <col min="6589" max="6589" width="10.83203125" style="157" bestFit="1" customWidth="1"/>
    <col min="6590" max="6590" width="12.1640625" style="157" bestFit="1" customWidth="1"/>
    <col min="6591" max="6591" width="9.1640625" style="157" customWidth="1"/>
    <col min="6592" max="6592" width="10.83203125" style="157" bestFit="1" customWidth="1"/>
    <col min="6593" max="6593" width="12.1640625" style="157" bestFit="1" customWidth="1"/>
    <col min="6594" max="6594" width="8" style="157" customWidth="1"/>
    <col min="6595" max="6595" width="10.83203125" style="157" bestFit="1" customWidth="1"/>
    <col min="6596" max="6596" width="12.1640625" style="157" bestFit="1" customWidth="1"/>
    <col min="6597" max="6597" width="8.1640625" style="157" bestFit="1" customWidth="1"/>
    <col min="6598" max="6598" width="10.83203125" style="157" bestFit="1" customWidth="1"/>
    <col min="6599" max="6599" width="12.1640625" style="157" bestFit="1" customWidth="1"/>
    <col min="6600" max="6600" width="18.1640625" style="157" bestFit="1" customWidth="1"/>
    <col min="6601" max="6601" width="10.83203125" style="157" bestFit="1" customWidth="1"/>
    <col min="6602" max="6837" width="8.83203125" style="157"/>
    <col min="6838" max="6838" width="38.1640625" style="157" customWidth="1"/>
    <col min="6839" max="6839" width="23.44140625" style="157" bestFit="1" customWidth="1"/>
    <col min="6840" max="6841" width="9.1640625" style="157" customWidth="1"/>
    <col min="6842" max="6842" width="11.1640625" style="157" bestFit="1" customWidth="1"/>
    <col min="6843" max="6843" width="14.44140625" style="157" bestFit="1" customWidth="1"/>
    <col min="6844" max="6844" width="8.1640625" style="157" customWidth="1"/>
    <col min="6845" max="6845" width="10.83203125" style="157" bestFit="1" customWidth="1"/>
    <col min="6846" max="6846" width="12.1640625" style="157" bestFit="1" customWidth="1"/>
    <col min="6847" max="6847" width="9.1640625" style="157" customWidth="1"/>
    <col min="6848" max="6848" width="10.83203125" style="157" bestFit="1" customWidth="1"/>
    <col min="6849" max="6849" width="12.1640625" style="157" bestFit="1" customWidth="1"/>
    <col min="6850" max="6850" width="8" style="157" customWidth="1"/>
    <col min="6851" max="6851" width="10.83203125" style="157" bestFit="1" customWidth="1"/>
    <col min="6852" max="6852" width="12.1640625" style="157" bestFit="1" customWidth="1"/>
    <col min="6853" max="6853" width="8.1640625" style="157" bestFit="1" customWidth="1"/>
    <col min="6854" max="6854" width="10.83203125" style="157" bestFit="1" customWidth="1"/>
    <col min="6855" max="6855" width="12.1640625" style="157" bestFit="1" customWidth="1"/>
    <col min="6856" max="6856" width="18.1640625" style="157" bestFit="1" customWidth="1"/>
    <col min="6857" max="6857" width="10.83203125" style="157" bestFit="1" customWidth="1"/>
    <col min="6858" max="7093" width="8.83203125" style="157"/>
    <col min="7094" max="7094" width="38.1640625" style="157" customWidth="1"/>
    <col min="7095" max="7095" width="23.44140625" style="157" bestFit="1" customWidth="1"/>
    <col min="7096" max="7097" width="9.1640625" style="157" customWidth="1"/>
    <col min="7098" max="7098" width="11.1640625" style="157" bestFit="1" customWidth="1"/>
    <col min="7099" max="7099" width="14.44140625" style="157" bestFit="1" customWidth="1"/>
    <col min="7100" max="7100" width="8.1640625" style="157" customWidth="1"/>
    <col min="7101" max="7101" width="10.83203125" style="157" bestFit="1" customWidth="1"/>
    <col min="7102" max="7102" width="12.1640625" style="157" bestFit="1" customWidth="1"/>
    <col min="7103" max="7103" width="9.1640625" style="157" customWidth="1"/>
    <col min="7104" max="7104" width="10.83203125" style="157" bestFit="1" customWidth="1"/>
    <col min="7105" max="7105" width="12.1640625" style="157" bestFit="1" customWidth="1"/>
    <col min="7106" max="7106" width="8" style="157" customWidth="1"/>
    <col min="7107" max="7107" width="10.83203125" style="157" bestFit="1" customWidth="1"/>
    <col min="7108" max="7108" width="12.1640625" style="157" bestFit="1" customWidth="1"/>
    <col min="7109" max="7109" width="8.1640625" style="157" bestFit="1" customWidth="1"/>
    <col min="7110" max="7110" width="10.83203125" style="157" bestFit="1" customWidth="1"/>
    <col min="7111" max="7111" width="12.1640625" style="157" bestFit="1" customWidth="1"/>
    <col min="7112" max="7112" width="18.1640625" style="157" bestFit="1" customWidth="1"/>
    <col min="7113" max="7113" width="10.83203125" style="157" bestFit="1" customWidth="1"/>
    <col min="7114" max="7349" width="8.83203125" style="157"/>
    <col min="7350" max="7350" width="38.1640625" style="157" customWidth="1"/>
    <col min="7351" max="7351" width="23.44140625" style="157" bestFit="1" customWidth="1"/>
    <col min="7352" max="7353" width="9.1640625" style="157" customWidth="1"/>
    <col min="7354" max="7354" width="11.1640625" style="157" bestFit="1" customWidth="1"/>
    <col min="7355" max="7355" width="14.44140625" style="157" bestFit="1" customWidth="1"/>
    <col min="7356" max="7356" width="8.1640625" style="157" customWidth="1"/>
    <col min="7357" max="7357" width="10.83203125" style="157" bestFit="1" customWidth="1"/>
    <col min="7358" max="7358" width="12.1640625" style="157" bestFit="1" customWidth="1"/>
    <col min="7359" max="7359" width="9.1640625" style="157" customWidth="1"/>
    <col min="7360" max="7360" width="10.83203125" style="157" bestFit="1" customWidth="1"/>
    <col min="7361" max="7361" width="12.1640625" style="157" bestFit="1" customWidth="1"/>
    <col min="7362" max="7362" width="8" style="157" customWidth="1"/>
    <col min="7363" max="7363" width="10.83203125" style="157" bestFit="1" customWidth="1"/>
    <col min="7364" max="7364" width="12.1640625" style="157" bestFit="1" customWidth="1"/>
    <col min="7365" max="7365" width="8.1640625" style="157" bestFit="1" customWidth="1"/>
    <col min="7366" max="7366" width="10.83203125" style="157" bestFit="1" customWidth="1"/>
    <col min="7367" max="7367" width="12.1640625" style="157" bestFit="1" customWidth="1"/>
    <col min="7368" max="7368" width="18.1640625" style="157" bestFit="1" customWidth="1"/>
    <col min="7369" max="7369" width="10.83203125" style="157" bestFit="1" customWidth="1"/>
    <col min="7370" max="7605" width="8.83203125" style="157"/>
    <col min="7606" max="7606" width="38.1640625" style="157" customWidth="1"/>
    <col min="7607" max="7607" width="23.44140625" style="157" bestFit="1" customWidth="1"/>
    <col min="7608" max="7609" width="9.1640625" style="157" customWidth="1"/>
    <col min="7610" max="7610" width="11.1640625" style="157" bestFit="1" customWidth="1"/>
    <col min="7611" max="7611" width="14.44140625" style="157" bestFit="1" customWidth="1"/>
    <col min="7612" max="7612" width="8.1640625" style="157" customWidth="1"/>
    <col min="7613" max="7613" width="10.83203125" style="157" bestFit="1" customWidth="1"/>
    <col min="7614" max="7614" width="12.1640625" style="157" bestFit="1" customWidth="1"/>
    <col min="7615" max="7615" width="9.1640625" style="157" customWidth="1"/>
    <col min="7616" max="7616" width="10.83203125" style="157" bestFit="1" customWidth="1"/>
    <col min="7617" max="7617" width="12.1640625" style="157" bestFit="1" customWidth="1"/>
    <col min="7618" max="7618" width="8" style="157" customWidth="1"/>
    <col min="7619" max="7619" width="10.83203125" style="157" bestFit="1" customWidth="1"/>
    <col min="7620" max="7620" width="12.1640625" style="157" bestFit="1" customWidth="1"/>
    <col min="7621" max="7621" width="8.1640625" style="157" bestFit="1" customWidth="1"/>
    <col min="7622" max="7622" width="10.83203125" style="157" bestFit="1" customWidth="1"/>
    <col min="7623" max="7623" width="12.1640625" style="157" bestFit="1" customWidth="1"/>
    <col min="7624" max="7624" width="18.1640625" style="157" bestFit="1" customWidth="1"/>
    <col min="7625" max="7625" width="10.83203125" style="157" bestFit="1" customWidth="1"/>
    <col min="7626" max="7861" width="8.83203125" style="157"/>
    <col min="7862" max="7862" width="38.1640625" style="157" customWidth="1"/>
    <col min="7863" max="7863" width="23.44140625" style="157" bestFit="1" customWidth="1"/>
    <col min="7864" max="7865" width="9.1640625" style="157" customWidth="1"/>
    <col min="7866" max="7866" width="11.1640625" style="157" bestFit="1" customWidth="1"/>
    <col min="7867" max="7867" width="14.44140625" style="157" bestFit="1" customWidth="1"/>
    <col min="7868" max="7868" width="8.1640625" style="157" customWidth="1"/>
    <col min="7869" max="7869" width="10.83203125" style="157" bestFit="1" customWidth="1"/>
    <col min="7870" max="7870" width="12.1640625" style="157" bestFit="1" customWidth="1"/>
    <col min="7871" max="7871" width="9.1640625" style="157" customWidth="1"/>
    <col min="7872" max="7872" width="10.83203125" style="157" bestFit="1" customWidth="1"/>
    <col min="7873" max="7873" width="12.1640625" style="157" bestFit="1" customWidth="1"/>
    <col min="7874" max="7874" width="8" style="157" customWidth="1"/>
    <col min="7875" max="7875" width="10.83203125" style="157" bestFit="1" customWidth="1"/>
    <col min="7876" max="7876" width="12.1640625" style="157" bestFit="1" customWidth="1"/>
    <col min="7877" max="7877" width="8.1640625" style="157" bestFit="1" customWidth="1"/>
    <col min="7878" max="7878" width="10.83203125" style="157" bestFit="1" customWidth="1"/>
    <col min="7879" max="7879" width="12.1640625" style="157" bestFit="1" customWidth="1"/>
    <col min="7880" max="7880" width="18.1640625" style="157" bestFit="1" customWidth="1"/>
    <col min="7881" max="7881" width="10.83203125" style="157" bestFit="1" customWidth="1"/>
    <col min="7882" max="8117" width="8.83203125" style="157"/>
    <col min="8118" max="8118" width="38.1640625" style="157" customWidth="1"/>
    <col min="8119" max="8119" width="23.44140625" style="157" bestFit="1" customWidth="1"/>
    <col min="8120" max="8121" width="9.1640625" style="157" customWidth="1"/>
    <col min="8122" max="8122" width="11.1640625" style="157" bestFit="1" customWidth="1"/>
    <col min="8123" max="8123" width="14.44140625" style="157" bestFit="1" customWidth="1"/>
    <col min="8124" max="8124" width="8.1640625" style="157" customWidth="1"/>
    <col min="8125" max="8125" width="10.83203125" style="157" bestFit="1" customWidth="1"/>
    <col min="8126" max="8126" width="12.1640625" style="157" bestFit="1" customWidth="1"/>
    <col min="8127" max="8127" width="9.1640625" style="157" customWidth="1"/>
    <col min="8128" max="8128" width="10.83203125" style="157" bestFit="1" customWidth="1"/>
    <col min="8129" max="8129" width="12.1640625" style="157" bestFit="1" customWidth="1"/>
    <col min="8130" max="8130" width="8" style="157" customWidth="1"/>
    <col min="8131" max="8131" width="10.83203125" style="157" bestFit="1" customWidth="1"/>
    <col min="8132" max="8132" width="12.1640625" style="157" bestFit="1" customWidth="1"/>
    <col min="8133" max="8133" width="8.1640625" style="157" bestFit="1" customWidth="1"/>
    <col min="8134" max="8134" width="10.83203125" style="157" bestFit="1" customWidth="1"/>
    <col min="8135" max="8135" width="12.1640625" style="157" bestFit="1" customWidth="1"/>
    <col min="8136" max="8136" width="18.1640625" style="157" bestFit="1" customWidth="1"/>
    <col min="8137" max="8137" width="10.83203125" style="157" bestFit="1" customWidth="1"/>
    <col min="8138" max="8373" width="8.83203125" style="157"/>
    <col min="8374" max="8374" width="38.1640625" style="157" customWidth="1"/>
    <col min="8375" max="8375" width="23.44140625" style="157" bestFit="1" customWidth="1"/>
    <col min="8376" max="8377" width="9.1640625" style="157" customWidth="1"/>
    <col min="8378" max="8378" width="11.1640625" style="157" bestFit="1" customWidth="1"/>
    <col min="8379" max="8379" width="14.44140625" style="157" bestFit="1" customWidth="1"/>
    <col min="8380" max="8380" width="8.1640625" style="157" customWidth="1"/>
    <col min="8381" max="8381" width="10.83203125" style="157" bestFit="1" customWidth="1"/>
    <col min="8382" max="8382" width="12.1640625" style="157" bestFit="1" customWidth="1"/>
    <col min="8383" max="8383" width="9.1640625" style="157" customWidth="1"/>
    <col min="8384" max="8384" width="10.83203125" style="157" bestFit="1" customWidth="1"/>
    <col min="8385" max="8385" width="12.1640625" style="157" bestFit="1" customWidth="1"/>
    <col min="8386" max="8386" width="8" style="157" customWidth="1"/>
    <col min="8387" max="8387" width="10.83203125" style="157" bestFit="1" customWidth="1"/>
    <col min="8388" max="8388" width="12.1640625" style="157" bestFit="1" customWidth="1"/>
    <col min="8389" max="8389" width="8.1640625" style="157" bestFit="1" customWidth="1"/>
    <col min="8390" max="8390" width="10.83203125" style="157" bestFit="1" customWidth="1"/>
    <col min="8391" max="8391" width="12.1640625" style="157" bestFit="1" customWidth="1"/>
    <col min="8392" max="8392" width="18.1640625" style="157" bestFit="1" customWidth="1"/>
    <col min="8393" max="8393" width="10.83203125" style="157" bestFit="1" customWidth="1"/>
    <col min="8394" max="8629" width="8.83203125" style="157"/>
    <col min="8630" max="8630" width="38.1640625" style="157" customWidth="1"/>
    <col min="8631" max="8631" width="23.44140625" style="157" bestFit="1" customWidth="1"/>
    <col min="8632" max="8633" width="9.1640625" style="157" customWidth="1"/>
    <col min="8634" max="8634" width="11.1640625" style="157" bestFit="1" customWidth="1"/>
    <col min="8635" max="8635" width="14.44140625" style="157" bestFit="1" customWidth="1"/>
    <col min="8636" max="8636" width="8.1640625" style="157" customWidth="1"/>
    <col min="8637" max="8637" width="10.83203125" style="157" bestFit="1" customWidth="1"/>
    <col min="8638" max="8638" width="12.1640625" style="157" bestFit="1" customWidth="1"/>
    <col min="8639" max="8639" width="9.1640625" style="157" customWidth="1"/>
    <col min="8640" max="8640" width="10.83203125" style="157" bestFit="1" customWidth="1"/>
    <col min="8641" max="8641" width="12.1640625" style="157" bestFit="1" customWidth="1"/>
    <col min="8642" max="8642" width="8" style="157" customWidth="1"/>
    <col min="8643" max="8643" width="10.83203125" style="157" bestFit="1" customWidth="1"/>
    <col min="8644" max="8644" width="12.1640625" style="157" bestFit="1" customWidth="1"/>
    <col min="8645" max="8645" width="8.1640625" style="157" bestFit="1" customWidth="1"/>
    <col min="8646" max="8646" width="10.83203125" style="157" bestFit="1" customWidth="1"/>
    <col min="8647" max="8647" width="12.1640625" style="157" bestFit="1" customWidth="1"/>
    <col min="8648" max="8648" width="18.1640625" style="157" bestFit="1" customWidth="1"/>
    <col min="8649" max="8649" width="10.83203125" style="157" bestFit="1" customWidth="1"/>
    <col min="8650" max="8885" width="8.83203125" style="157"/>
    <col min="8886" max="8886" width="38.1640625" style="157" customWidth="1"/>
    <col min="8887" max="8887" width="23.44140625" style="157" bestFit="1" customWidth="1"/>
    <col min="8888" max="8889" width="9.1640625" style="157" customWidth="1"/>
    <col min="8890" max="8890" width="11.1640625" style="157" bestFit="1" customWidth="1"/>
    <col min="8891" max="8891" width="14.44140625" style="157" bestFit="1" customWidth="1"/>
    <col min="8892" max="8892" width="8.1640625" style="157" customWidth="1"/>
    <col min="8893" max="8893" width="10.83203125" style="157" bestFit="1" customWidth="1"/>
    <col min="8894" max="8894" width="12.1640625" style="157" bestFit="1" customWidth="1"/>
    <col min="8895" max="8895" width="9.1640625" style="157" customWidth="1"/>
    <col min="8896" max="8896" width="10.83203125" style="157" bestFit="1" customWidth="1"/>
    <col min="8897" max="8897" width="12.1640625" style="157" bestFit="1" customWidth="1"/>
    <col min="8898" max="8898" width="8" style="157" customWidth="1"/>
    <col min="8899" max="8899" width="10.83203125" style="157" bestFit="1" customWidth="1"/>
    <col min="8900" max="8900" width="12.1640625" style="157" bestFit="1" customWidth="1"/>
    <col min="8901" max="8901" width="8.1640625" style="157" bestFit="1" customWidth="1"/>
    <col min="8902" max="8902" width="10.83203125" style="157" bestFit="1" customWidth="1"/>
    <col min="8903" max="8903" width="12.1640625" style="157" bestFit="1" customWidth="1"/>
    <col min="8904" max="8904" width="18.1640625" style="157" bestFit="1" customWidth="1"/>
    <col min="8905" max="8905" width="10.83203125" style="157" bestFit="1" customWidth="1"/>
    <col min="8906" max="9141" width="8.83203125" style="157"/>
    <col min="9142" max="9142" width="38.1640625" style="157" customWidth="1"/>
    <col min="9143" max="9143" width="23.44140625" style="157" bestFit="1" customWidth="1"/>
    <col min="9144" max="9145" width="9.1640625" style="157" customWidth="1"/>
    <col min="9146" max="9146" width="11.1640625" style="157" bestFit="1" customWidth="1"/>
    <col min="9147" max="9147" width="14.44140625" style="157" bestFit="1" customWidth="1"/>
    <col min="9148" max="9148" width="8.1640625" style="157" customWidth="1"/>
    <col min="9149" max="9149" width="10.83203125" style="157" bestFit="1" customWidth="1"/>
    <col min="9150" max="9150" width="12.1640625" style="157" bestFit="1" customWidth="1"/>
    <col min="9151" max="9151" width="9.1640625" style="157" customWidth="1"/>
    <col min="9152" max="9152" width="10.83203125" style="157" bestFit="1" customWidth="1"/>
    <col min="9153" max="9153" width="12.1640625" style="157" bestFit="1" customWidth="1"/>
    <col min="9154" max="9154" width="8" style="157" customWidth="1"/>
    <col min="9155" max="9155" width="10.83203125" style="157" bestFit="1" customWidth="1"/>
    <col min="9156" max="9156" width="12.1640625" style="157" bestFit="1" customWidth="1"/>
    <col min="9157" max="9157" width="8.1640625" style="157" bestFit="1" customWidth="1"/>
    <col min="9158" max="9158" width="10.83203125" style="157" bestFit="1" customWidth="1"/>
    <col min="9159" max="9159" width="12.1640625" style="157" bestFit="1" customWidth="1"/>
    <col min="9160" max="9160" width="18.1640625" style="157" bestFit="1" customWidth="1"/>
    <col min="9161" max="9161" width="10.83203125" style="157" bestFit="1" customWidth="1"/>
    <col min="9162" max="9397" width="8.83203125" style="157"/>
    <col min="9398" max="9398" width="38.1640625" style="157" customWidth="1"/>
    <col min="9399" max="9399" width="23.44140625" style="157" bestFit="1" customWidth="1"/>
    <col min="9400" max="9401" width="9.1640625" style="157" customWidth="1"/>
    <col min="9402" max="9402" width="11.1640625" style="157" bestFit="1" customWidth="1"/>
    <col min="9403" max="9403" width="14.44140625" style="157" bestFit="1" customWidth="1"/>
    <col min="9404" max="9404" width="8.1640625" style="157" customWidth="1"/>
    <col min="9405" max="9405" width="10.83203125" style="157" bestFit="1" customWidth="1"/>
    <col min="9406" max="9406" width="12.1640625" style="157" bestFit="1" customWidth="1"/>
    <col min="9407" max="9407" width="9.1640625" style="157" customWidth="1"/>
    <col min="9408" max="9408" width="10.83203125" style="157" bestFit="1" customWidth="1"/>
    <col min="9409" max="9409" width="12.1640625" style="157" bestFit="1" customWidth="1"/>
    <col min="9410" max="9410" width="8" style="157" customWidth="1"/>
    <col min="9411" max="9411" width="10.83203125" style="157" bestFit="1" customWidth="1"/>
    <col min="9412" max="9412" width="12.1640625" style="157" bestFit="1" customWidth="1"/>
    <col min="9413" max="9413" width="8.1640625" style="157" bestFit="1" customWidth="1"/>
    <col min="9414" max="9414" width="10.83203125" style="157" bestFit="1" customWidth="1"/>
    <col min="9415" max="9415" width="12.1640625" style="157" bestFit="1" customWidth="1"/>
    <col min="9416" max="9416" width="18.1640625" style="157" bestFit="1" customWidth="1"/>
    <col min="9417" max="9417" width="10.83203125" style="157" bestFit="1" customWidth="1"/>
    <col min="9418" max="9653" width="8.83203125" style="157"/>
    <col min="9654" max="9654" width="38.1640625" style="157" customWidth="1"/>
    <col min="9655" max="9655" width="23.44140625" style="157" bestFit="1" customWidth="1"/>
    <col min="9656" max="9657" width="9.1640625" style="157" customWidth="1"/>
    <col min="9658" max="9658" width="11.1640625" style="157" bestFit="1" customWidth="1"/>
    <col min="9659" max="9659" width="14.44140625" style="157" bestFit="1" customWidth="1"/>
    <col min="9660" max="9660" width="8.1640625" style="157" customWidth="1"/>
    <col min="9661" max="9661" width="10.83203125" style="157" bestFit="1" customWidth="1"/>
    <col min="9662" max="9662" width="12.1640625" style="157" bestFit="1" customWidth="1"/>
    <col min="9663" max="9663" width="9.1640625" style="157" customWidth="1"/>
    <col min="9664" max="9664" width="10.83203125" style="157" bestFit="1" customWidth="1"/>
    <col min="9665" max="9665" width="12.1640625" style="157" bestFit="1" customWidth="1"/>
    <col min="9666" max="9666" width="8" style="157" customWidth="1"/>
    <col min="9667" max="9667" width="10.83203125" style="157" bestFit="1" customWidth="1"/>
    <col min="9668" max="9668" width="12.1640625" style="157" bestFit="1" customWidth="1"/>
    <col min="9669" max="9669" width="8.1640625" style="157" bestFit="1" customWidth="1"/>
    <col min="9670" max="9670" width="10.83203125" style="157" bestFit="1" customWidth="1"/>
    <col min="9671" max="9671" width="12.1640625" style="157" bestFit="1" customWidth="1"/>
    <col min="9672" max="9672" width="18.1640625" style="157" bestFit="1" customWidth="1"/>
    <col min="9673" max="9673" width="10.83203125" style="157" bestFit="1" customWidth="1"/>
    <col min="9674" max="9909" width="8.83203125" style="157"/>
    <col min="9910" max="9910" width="38.1640625" style="157" customWidth="1"/>
    <col min="9911" max="9911" width="23.44140625" style="157" bestFit="1" customWidth="1"/>
    <col min="9912" max="9913" width="9.1640625" style="157" customWidth="1"/>
    <col min="9914" max="9914" width="11.1640625" style="157" bestFit="1" customWidth="1"/>
    <col min="9915" max="9915" width="14.44140625" style="157" bestFit="1" customWidth="1"/>
    <col min="9916" max="9916" width="8.1640625" style="157" customWidth="1"/>
    <col min="9917" max="9917" width="10.83203125" style="157" bestFit="1" customWidth="1"/>
    <col min="9918" max="9918" width="12.1640625" style="157" bestFit="1" customWidth="1"/>
    <col min="9919" max="9919" width="9.1640625" style="157" customWidth="1"/>
    <col min="9920" max="9920" width="10.83203125" style="157" bestFit="1" customWidth="1"/>
    <col min="9921" max="9921" width="12.1640625" style="157" bestFit="1" customWidth="1"/>
    <col min="9922" max="9922" width="8" style="157" customWidth="1"/>
    <col min="9923" max="9923" width="10.83203125" style="157" bestFit="1" customWidth="1"/>
    <col min="9924" max="9924" width="12.1640625" style="157" bestFit="1" customWidth="1"/>
    <col min="9925" max="9925" width="8.1640625" style="157" bestFit="1" customWidth="1"/>
    <col min="9926" max="9926" width="10.83203125" style="157" bestFit="1" customWidth="1"/>
    <col min="9927" max="9927" width="12.1640625" style="157" bestFit="1" customWidth="1"/>
    <col min="9928" max="9928" width="18.1640625" style="157" bestFit="1" customWidth="1"/>
    <col min="9929" max="9929" width="10.83203125" style="157" bestFit="1" customWidth="1"/>
    <col min="9930" max="10165" width="8.83203125" style="157"/>
    <col min="10166" max="10166" width="38.1640625" style="157" customWidth="1"/>
    <col min="10167" max="10167" width="23.44140625" style="157" bestFit="1" customWidth="1"/>
    <col min="10168" max="10169" width="9.1640625" style="157" customWidth="1"/>
    <col min="10170" max="10170" width="11.1640625" style="157" bestFit="1" customWidth="1"/>
    <col min="10171" max="10171" width="14.44140625" style="157" bestFit="1" customWidth="1"/>
    <col min="10172" max="10172" width="8.1640625" style="157" customWidth="1"/>
    <col min="10173" max="10173" width="10.83203125" style="157" bestFit="1" customWidth="1"/>
    <col min="10174" max="10174" width="12.1640625" style="157" bestFit="1" customWidth="1"/>
    <col min="10175" max="10175" width="9.1640625" style="157" customWidth="1"/>
    <col min="10176" max="10176" width="10.83203125" style="157" bestFit="1" customWidth="1"/>
    <col min="10177" max="10177" width="12.1640625" style="157" bestFit="1" customWidth="1"/>
    <col min="10178" max="10178" width="8" style="157" customWidth="1"/>
    <col min="10179" max="10179" width="10.83203125" style="157" bestFit="1" customWidth="1"/>
    <col min="10180" max="10180" width="12.1640625" style="157" bestFit="1" customWidth="1"/>
    <col min="10181" max="10181" width="8.1640625" style="157" bestFit="1" customWidth="1"/>
    <col min="10182" max="10182" width="10.83203125" style="157" bestFit="1" customWidth="1"/>
    <col min="10183" max="10183" width="12.1640625" style="157" bestFit="1" customWidth="1"/>
    <col min="10184" max="10184" width="18.1640625" style="157" bestFit="1" customWidth="1"/>
    <col min="10185" max="10185" width="10.83203125" style="157" bestFit="1" customWidth="1"/>
    <col min="10186" max="10421" width="8.83203125" style="157"/>
    <col min="10422" max="10422" width="38.1640625" style="157" customWidth="1"/>
    <col min="10423" max="10423" width="23.44140625" style="157" bestFit="1" customWidth="1"/>
    <col min="10424" max="10425" width="9.1640625" style="157" customWidth="1"/>
    <col min="10426" max="10426" width="11.1640625" style="157" bestFit="1" customWidth="1"/>
    <col min="10427" max="10427" width="14.44140625" style="157" bestFit="1" customWidth="1"/>
    <col min="10428" max="10428" width="8.1640625" style="157" customWidth="1"/>
    <col min="10429" max="10429" width="10.83203125" style="157" bestFit="1" customWidth="1"/>
    <col min="10430" max="10430" width="12.1640625" style="157" bestFit="1" customWidth="1"/>
    <col min="10431" max="10431" width="9.1640625" style="157" customWidth="1"/>
    <col min="10432" max="10432" width="10.83203125" style="157" bestFit="1" customWidth="1"/>
    <col min="10433" max="10433" width="12.1640625" style="157" bestFit="1" customWidth="1"/>
    <col min="10434" max="10434" width="8" style="157" customWidth="1"/>
    <col min="10435" max="10435" width="10.83203125" style="157" bestFit="1" customWidth="1"/>
    <col min="10436" max="10436" width="12.1640625" style="157" bestFit="1" customWidth="1"/>
    <col min="10437" max="10437" width="8.1640625" style="157" bestFit="1" customWidth="1"/>
    <col min="10438" max="10438" width="10.83203125" style="157" bestFit="1" customWidth="1"/>
    <col min="10439" max="10439" width="12.1640625" style="157" bestFit="1" customWidth="1"/>
    <col min="10440" max="10440" width="18.1640625" style="157" bestFit="1" customWidth="1"/>
    <col min="10441" max="10441" width="10.83203125" style="157" bestFit="1" customWidth="1"/>
    <col min="10442" max="10677" width="8.83203125" style="157"/>
    <col min="10678" max="10678" width="38.1640625" style="157" customWidth="1"/>
    <col min="10679" max="10679" width="23.44140625" style="157" bestFit="1" customWidth="1"/>
    <col min="10680" max="10681" width="9.1640625" style="157" customWidth="1"/>
    <col min="10682" max="10682" width="11.1640625" style="157" bestFit="1" customWidth="1"/>
    <col min="10683" max="10683" width="14.44140625" style="157" bestFit="1" customWidth="1"/>
    <col min="10684" max="10684" width="8.1640625" style="157" customWidth="1"/>
    <col min="10685" max="10685" width="10.83203125" style="157" bestFit="1" customWidth="1"/>
    <col min="10686" max="10686" width="12.1640625" style="157" bestFit="1" customWidth="1"/>
    <col min="10687" max="10687" width="9.1640625" style="157" customWidth="1"/>
    <col min="10688" max="10688" width="10.83203125" style="157" bestFit="1" customWidth="1"/>
    <col min="10689" max="10689" width="12.1640625" style="157" bestFit="1" customWidth="1"/>
    <col min="10690" max="10690" width="8" style="157" customWidth="1"/>
    <col min="10691" max="10691" width="10.83203125" style="157" bestFit="1" customWidth="1"/>
    <col min="10692" max="10692" width="12.1640625" style="157" bestFit="1" customWidth="1"/>
    <col min="10693" max="10693" width="8.1640625" style="157" bestFit="1" customWidth="1"/>
    <col min="10694" max="10694" width="10.83203125" style="157" bestFit="1" customWidth="1"/>
    <col min="10695" max="10695" width="12.1640625" style="157" bestFit="1" customWidth="1"/>
    <col min="10696" max="10696" width="18.1640625" style="157" bestFit="1" customWidth="1"/>
    <col min="10697" max="10697" width="10.83203125" style="157" bestFit="1" customWidth="1"/>
    <col min="10698" max="10933" width="8.83203125" style="157"/>
    <col min="10934" max="10934" width="38.1640625" style="157" customWidth="1"/>
    <col min="10935" max="10935" width="23.44140625" style="157" bestFit="1" customWidth="1"/>
    <col min="10936" max="10937" width="9.1640625" style="157" customWidth="1"/>
    <col min="10938" max="10938" width="11.1640625" style="157" bestFit="1" customWidth="1"/>
    <col min="10939" max="10939" width="14.44140625" style="157" bestFit="1" customWidth="1"/>
    <col min="10940" max="10940" width="8.1640625" style="157" customWidth="1"/>
    <col min="10941" max="10941" width="10.83203125" style="157" bestFit="1" customWidth="1"/>
    <col min="10942" max="10942" width="12.1640625" style="157" bestFit="1" customWidth="1"/>
    <col min="10943" max="10943" width="9.1640625" style="157" customWidth="1"/>
    <col min="10944" max="10944" width="10.83203125" style="157" bestFit="1" customWidth="1"/>
    <col min="10945" max="10945" width="12.1640625" style="157" bestFit="1" customWidth="1"/>
    <col min="10946" max="10946" width="8" style="157" customWidth="1"/>
    <col min="10947" max="10947" width="10.83203125" style="157" bestFit="1" customWidth="1"/>
    <col min="10948" max="10948" width="12.1640625" style="157" bestFit="1" customWidth="1"/>
    <col min="10949" max="10949" width="8.1640625" style="157" bestFit="1" customWidth="1"/>
    <col min="10950" max="10950" width="10.83203125" style="157" bestFit="1" customWidth="1"/>
    <col min="10951" max="10951" width="12.1640625" style="157" bestFit="1" customWidth="1"/>
    <col min="10952" max="10952" width="18.1640625" style="157" bestFit="1" customWidth="1"/>
    <col min="10953" max="10953" width="10.83203125" style="157" bestFit="1" customWidth="1"/>
    <col min="10954" max="11189" width="8.83203125" style="157"/>
    <col min="11190" max="11190" width="38.1640625" style="157" customWidth="1"/>
    <col min="11191" max="11191" width="23.44140625" style="157" bestFit="1" customWidth="1"/>
    <col min="11192" max="11193" width="9.1640625" style="157" customWidth="1"/>
    <col min="11194" max="11194" width="11.1640625" style="157" bestFit="1" customWidth="1"/>
    <col min="11195" max="11195" width="14.44140625" style="157" bestFit="1" customWidth="1"/>
    <col min="11196" max="11196" width="8.1640625" style="157" customWidth="1"/>
    <col min="11197" max="11197" width="10.83203125" style="157" bestFit="1" customWidth="1"/>
    <col min="11198" max="11198" width="12.1640625" style="157" bestFit="1" customWidth="1"/>
    <col min="11199" max="11199" width="9.1640625" style="157" customWidth="1"/>
    <col min="11200" max="11200" width="10.83203125" style="157" bestFit="1" customWidth="1"/>
    <col min="11201" max="11201" width="12.1640625" style="157" bestFit="1" customWidth="1"/>
    <col min="11202" max="11202" width="8" style="157" customWidth="1"/>
    <col min="11203" max="11203" width="10.83203125" style="157" bestFit="1" customWidth="1"/>
    <col min="11204" max="11204" width="12.1640625" style="157" bestFit="1" customWidth="1"/>
    <col min="11205" max="11205" width="8.1640625" style="157" bestFit="1" customWidth="1"/>
    <col min="11206" max="11206" width="10.83203125" style="157" bestFit="1" customWidth="1"/>
    <col min="11207" max="11207" width="12.1640625" style="157" bestFit="1" customWidth="1"/>
    <col min="11208" max="11208" width="18.1640625" style="157" bestFit="1" customWidth="1"/>
    <col min="11209" max="11209" width="10.83203125" style="157" bestFit="1" customWidth="1"/>
    <col min="11210" max="11445" width="8.83203125" style="157"/>
    <col min="11446" max="11446" width="38.1640625" style="157" customWidth="1"/>
    <col min="11447" max="11447" width="23.44140625" style="157" bestFit="1" customWidth="1"/>
    <col min="11448" max="11449" width="9.1640625" style="157" customWidth="1"/>
    <col min="11450" max="11450" width="11.1640625" style="157" bestFit="1" customWidth="1"/>
    <col min="11451" max="11451" width="14.44140625" style="157" bestFit="1" customWidth="1"/>
    <col min="11452" max="11452" width="8.1640625" style="157" customWidth="1"/>
    <col min="11453" max="11453" width="10.83203125" style="157" bestFit="1" customWidth="1"/>
    <col min="11454" max="11454" width="12.1640625" style="157" bestFit="1" customWidth="1"/>
    <col min="11455" max="11455" width="9.1640625" style="157" customWidth="1"/>
    <col min="11456" max="11456" width="10.83203125" style="157" bestFit="1" customWidth="1"/>
    <col min="11457" max="11457" width="12.1640625" style="157" bestFit="1" customWidth="1"/>
    <col min="11458" max="11458" width="8" style="157" customWidth="1"/>
    <col min="11459" max="11459" width="10.83203125" style="157" bestFit="1" customWidth="1"/>
    <col min="11460" max="11460" width="12.1640625" style="157" bestFit="1" customWidth="1"/>
    <col min="11461" max="11461" width="8.1640625" style="157" bestFit="1" customWidth="1"/>
    <col min="11462" max="11462" width="10.83203125" style="157" bestFit="1" customWidth="1"/>
    <col min="11463" max="11463" width="12.1640625" style="157" bestFit="1" customWidth="1"/>
    <col min="11464" max="11464" width="18.1640625" style="157" bestFit="1" customWidth="1"/>
    <col min="11465" max="11465" width="10.83203125" style="157" bestFit="1" customWidth="1"/>
    <col min="11466" max="11701" width="8.83203125" style="157"/>
    <col min="11702" max="11702" width="38.1640625" style="157" customWidth="1"/>
    <col min="11703" max="11703" width="23.44140625" style="157" bestFit="1" customWidth="1"/>
    <col min="11704" max="11705" width="9.1640625" style="157" customWidth="1"/>
    <col min="11706" max="11706" width="11.1640625" style="157" bestFit="1" customWidth="1"/>
    <col min="11707" max="11707" width="14.44140625" style="157" bestFit="1" customWidth="1"/>
    <col min="11708" max="11708" width="8.1640625" style="157" customWidth="1"/>
    <col min="11709" max="11709" width="10.83203125" style="157" bestFit="1" customWidth="1"/>
    <col min="11710" max="11710" width="12.1640625" style="157" bestFit="1" customWidth="1"/>
    <col min="11711" max="11711" width="9.1640625" style="157" customWidth="1"/>
    <col min="11712" max="11712" width="10.83203125" style="157" bestFit="1" customWidth="1"/>
    <col min="11713" max="11713" width="12.1640625" style="157" bestFit="1" customWidth="1"/>
    <col min="11714" max="11714" width="8" style="157" customWidth="1"/>
    <col min="11715" max="11715" width="10.83203125" style="157" bestFit="1" customWidth="1"/>
    <col min="11716" max="11716" width="12.1640625" style="157" bestFit="1" customWidth="1"/>
    <col min="11717" max="11717" width="8.1640625" style="157" bestFit="1" customWidth="1"/>
    <col min="11718" max="11718" width="10.83203125" style="157" bestFit="1" customWidth="1"/>
    <col min="11719" max="11719" width="12.1640625" style="157" bestFit="1" customWidth="1"/>
    <col min="11720" max="11720" width="18.1640625" style="157" bestFit="1" customWidth="1"/>
    <col min="11721" max="11721" width="10.83203125" style="157" bestFit="1" customWidth="1"/>
    <col min="11722" max="11957" width="8.83203125" style="157"/>
    <col min="11958" max="11958" width="38.1640625" style="157" customWidth="1"/>
    <col min="11959" max="11959" width="23.44140625" style="157" bestFit="1" customWidth="1"/>
    <col min="11960" max="11961" width="9.1640625" style="157" customWidth="1"/>
    <col min="11962" max="11962" width="11.1640625" style="157" bestFit="1" customWidth="1"/>
    <col min="11963" max="11963" width="14.44140625" style="157" bestFit="1" customWidth="1"/>
    <col min="11964" max="11964" width="8.1640625" style="157" customWidth="1"/>
    <col min="11965" max="11965" width="10.83203125" style="157" bestFit="1" customWidth="1"/>
    <col min="11966" max="11966" width="12.1640625" style="157" bestFit="1" customWidth="1"/>
    <col min="11967" max="11967" width="9.1640625" style="157" customWidth="1"/>
    <col min="11968" max="11968" width="10.83203125" style="157" bestFit="1" customWidth="1"/>
    <col min="11969" max="11969" width="12.1640625" style="157" bestFit="1" customWidth="1"/>
    <col min="11970" max="11970" width="8" style="157" customWidth="1"/>
    <col min="11971" max="11971" width="10.83203125" style="157" bestFit="1" customWidth="1"/>
    <col min="11972" max="11972" width="12.1640625" style="157" bestFit="1" customWidth="1"/>
    <col min="11973" max="11973" width="8.1640625" style="157" bestFit="1" customWidth="1"/>
    <col min="11974" max="11974" width="10.83203125" style="157" bestFit="1" customWidth="1"/>
    <col min="11975" max="11975" width="12.1640625" style="157" bestFit="1" customWidth="1"/>
    <col min="11976" max="11976" width="18.1640625" style="157" bestFit="1" customWidth="1"/>
    <col min="11977" max="11977" width="10.83203125" style="157" bestFit="1" customWidth="1"/>
    <col min="11978" max="12213" width="8.83203125" style="157"/>
    <col min="12214" max="12214" width="38.1640625" style="157" customWidth="1"/>
    <col min="12215" max="12215" width="23.44140625" style="157" bestFit="1" customWidth="1"/>
    <col min="12216" max="12217" width="9.1640625" style="157" customWidth="1"/>
    <col min="12218" max="12218" width="11.1640625" style="157" bestFit="1" customWidth="1"/>
    <col min="12219" max="12219" width="14.44140625" style="157" bestFit="1" customWidth="1"/>
    <col min="12220" max="12220" width="8.1640625" style="157" customWidth="1"/>
    <col min="12221" max="12221" width="10.83203125" style="157" bestFit="1" customWidth="1"/>
    <col min="12222" max="12222" width="12.1640625" style="157" bestFit="1" customWidth="1"/>
    <col min="12223" max="12223" width="9.1640625" style="157" customWidth="1"/>
    <col min="12224" max="12224" width="10.83203125" style="157" bestFit="1" customWidth="1"/>
    <col min="12225" max="12225" width="12.1640625" style="157" bestFit="1" customWidth="1"/>
    <col min="12226" max="12226" width="8" style="157" customWidth="1"/>
    <col min="12227" max="12227" width="10.83203125" style="157" bestFit="1" customWidth="1"/>
    <col min="12228" max="12228" width="12.1640625" style="157" bestFit="1" customWidth="1"/>
    <col min="12229" max="12229" width="8.1640625" style="157" bestFit="1" customWidth="1"/>
    <col min="12230" max="12230" width="10.83203125" style="157" bestFit="1" customWidth="1"/>
    <col min="12231" max="12231" width="12.1640625" style="157" bestFit="1" customWidth="1"/>
    <col min="12232" max="12232" width="18.1640625" style="157" bestFit="1" customWidth="1"/>
    <col min="12233" max="12233" width="10.83203125" style="157" bestFit="1" customWidth="1"/>
    <col min="12234" max="12469" width="8.83203125" style="157"/>
    <col min="12470" max="12470" width="38.1640625" style="157" customWidth="1"/>
    <col min="12471" max="12471" width="23.44140625" style="157" bestFit="1" customWidth="1"/>
    <col min="12472" max="12473" width="9.1640625" style="157" customWidth="1"/>
    <col min="12474" max="12474" width="11.1640625" style="157" bestFit="1" customWidth="1"/>
    <col min="12475" max="12475" width="14.44140625" style="157" bestFit="1" customWidth="1"/>
    <col min="12476" max="12476" width="8.1640625" style="157" customWidth="1"/>
    <col min="12477" max="12477" width="10.83203125" style="157" bestFit="1" customWidth="1"/>
    <col min="12478" max="12478" width="12.1640625" style="157" bestFit="1" customWidth="1"/>
    <col min="12479" max="12479" width="9.1640625" style="157" customWidth="1"/>
    <col min="12480" max="12480" width="10.83203125" style="157" bestFit="1" customWidth="1"/>
    <col min="12481" max="12481" width="12.1640625" style="157" bestFit="1" customWidth="1"/>
    <col min="12482" max="12482" width="8" style="157" customWidth="1"/>
    <col min="12483" max="12483" width="10.83203125" style="157" bestFit="1" customWidth="1"/>
    <col min="12484" max="12484" width="12.1640625" style="157" bestFit="1" customWidth="1"/>
    <col min="12485" max="12485" width="8.1640625" style="157" bestFit="1" customWidth="1"/>
    <col min="12486" max="12486" width="10.83203125" style="157" bestFit="1" customWidth="1"/>
    <col min="12487" max="12487" width="12.1640625" style="157" bestFit="1" customWidth="1"/>
    <col min="12488" max="12488" width="18.1640625" style="157" bestFit="1" customWidth="1"/>
    <col min="12489" max="12489" width="10.83203125" style="157" bestFit="1" customWidth="1"/>
    <col min="12490" max="12725" width="8.83203125" style="157"/>
    <col min="12726" max="12726" width="38.1640625" style="157" customWidth="1"/>
    <col min="12727" max="12727" width="23.44140625" style="157" bestFit="1" customWidth="1"/>
    <col min="12728" max="12729" width="9.1640625" style="157" customWidth="1"/>
    <col min="12730" max="12730" width="11.1640625" style="157" bestFit="1" customWidth="1"/>
    <col min="12731" max="12731" width="14.44140625" style="157" bestFit="1" customWidth="1"/>
    <col min="12732" max="12732" width="8.1640625" style="157" customWidth="1"/>
    <col min="12733" max="12733" width="10.83203125" style="157" bestFit="1" customWidth="1"/>
    <col min="12734" max="12734" width="12.1640625" style="157" bestFit="1" customWidth="1"/>
    <col min="12735" max="12735" width="9.1640625" style="157" customWidth="1"/>
    <col min="12736" max="12736" width="10.83203125" style="157" bestFit="1" customWidth="1"/>
    <col min="12737" max="12737" width="12.1640625" style="157" bestFit="1" customWidth="1"/>
    <col min="12738" max="12738" width="8" style="157" customWidth="1"/>
    <col min="12739" max="12739" width="10.83203125" style="157" bestFit="1" customWidth="1"/>
    <col min="12740" max="12740" width="12.1640625" style="157" bestFit="1" customWidth="1"/>
    <col min="12741" max="12741" width="8.1640625" style="157" bestFit="1" customWidth="1"/>
    <col min="12742" max="12742" width="10.83203125" style="157" bestFit="1" customWidth="1"/>
    <col min="12743" max="12743" width="12.1640625" style="157" bestFit="1" customWidth="1"/>
    <col min="12744" max="12744" width="18.1640625" style="157" bestFit="1" customWidth="1"/>
    <col min="12745" max="12745" width="10.83203125" style="157" bestFit="1" customWidth="1"/>
    <col min="12746" max="12981" width="8.83203125" style="157"/>
    <col min="12982" max="12982" width="38.1640625" style="157" customWidth="1"/>
    <col min="12983" max="12983" width="23.44140625" style="157" bestFit="1" customWidth="1"/>
    <col min="12984" max="12985" width="9.1640625" style="157" customWidth="1"/>
    <col min="12986" max="12986" width="11.1640625" style="157" bestFit="1" customWidth="1"/>
    <col min="12987" max="12987" width="14.44140625" style="157" bestFit="1" customWidth="1"/>
    <col min="12988" max="12988" width="8.1640625" style="157" customWidth="1"/>
    <col min="12989" max="12989" width="10.83203125" style="157" bestFit="1" customWidth="1"/>
    <col min="12990" max="12990" width="12.1640625" style="157" bestFit="1" customWidth="1"/>
    <col min="12991" max="12991" width="9.1640625" style="157" customWidth="1"/>
    <col min="12992" max="12992" width="10.83203125" style="157" bestFit="1" customWidth="1"/>
    <col min="12993" max="12993" width="12.1640625" style="157" bestFit="1" customWidth="1"/>
    <col min="12994" max="12994" width="8" style="157" customWidth="1"/>
    <col min="12995" max="12995" width="10.83203125" style="157" bestFit="1" customWidth="1"/>
    <col min="12996" max="12996" width="12.1640625" style="157" bestFit="1" customWidth="1"/>
    <col min="12997" max="12997" width="8.1640625" style="157" bestFit="1" customWidth="1"/>
    <col min="12998" max="12998" width="10.83203125" style="157" bestFit="1" customWidth="1"/>
    <col min="12999" max="12999" width="12.1640625" style="157" bestFit="1" customWidth="1"/>
    <col min="13000" max="13000" width="18.1640625" style="157" bestFit="1" customWidth="1"/>
    <col min="13001" max="13001" width="10.83203125" style="157" bestFit="1" customWidth="1"/>
    <col min="13002" max="13237" width="8.83203125" style="157"/>
    <col min="13238" max="13238" width="38.1640625" style="157" customWidth="1"/>
    <col min="13239" max="13239" width="23.44140625" style="157" bestFit="1" customWidth="1"/>
    <col min="13240" max="13241" width="9.1640625" style="157" customWidth="1"/>
    <col min="13242" max="13242" width="11.1640625" style="157" bestFit="1" customWidth="1"/>
    <col min="13243" max="13243" width="14.44140625" style="157" bestFit="1" customWidth="1"/>
    <col min="13244" max="13244" width="8.1640625" style="157" customWidth="1"/>
    <col min="13245" max="13245" width="10.83203125" style="157" bestFit="1" customWidth="1"/>
    <col min="13246" max="13246" width="12.1640625" style="157" bestFit="1" customWidth="1"/>
    <col min="13247" max="13247" width="9.1640625" style="157" customWidth="1"/>
    <col min="13248" max="13248" width="10.83203125" style="157" bestFit="1" customWidth="1"/>
    <col min="13249" max="13249" width="12.1640625" style="157" bestFit="1" customWidth="1"/>
    <col min="13250" max="13250" width="8" style="157" customWidth="1"/>
    <col min="13251" max="13251" width="10.83203125" style="157" bestFit="1" customWidth="1"/>
    <col min="13252" max="13252" width="12.1640625" style="157" bestFit="1" customWidth="1"/>
    <col min="13253" max="13253" width="8.1640625" style="157" bestFit="1" customWidth="1"/>
    <col min="13254" max="13254" width="10.83203125" style="157" bestFit="1" customWidth="1"/>
    <col min="13255" max="13255" width="12.1640625" style="157" bestFit="1" customWidth="1"/>
    <col min="13256" max="13256" width="18.1640625" style="157" bestFit="1" customWidth="1"/>
    <col min="13257" max="13257" width="10.83203125" style="157" bestFit="1" customWidth="1"/>
    <col min="13258" max="13493" width="8.83203125" style="157"/>
    <col min="13494" max="13494" width="38.1640625" style="157" customWidth="1"/>
    <col min="13495" max="13495" width="23.44140625" style="157" bestFit="1" customWidth="1"/>
    <col min="13496" max="13497" width="9.1640625" style="157" customWidth="1"/>
    <col min="13498" max="13498" width="11.1640625" style="157" bestFit="1" customWidth="1"/>
    <col min="13499" max="13499" width="14.44140625" style="157" bestFit="1" customWidth="1"/>
    <col min="13500" max="13500" width="8.1640625" style="157" customWidth="1"/>
    <col min="13501" max="13501" width="10.83203125" style="157" bestFit="1" customWidth="1"/>
    <col min="13502" max="13502" width="12.1640625" style="157" bestFit="1" customWidth="1"/>
    <col min="13503" max="13503" width="9.1640625" style="157" customWidth="1"/>
    <col min="13504" max="13504" width="10.83203125" style="157" bestFit="1" customWidth="1"/>
    <col min="13505" max="13505" width="12.1640625" style="157" bestFit="1" customWidth="1"/>
    <col min="13506" max="13506" width="8" style="157" customWidth="1"/>
    <col min="13507" max="13507" width="10.83203125" style="157" bestFit="1" customWidth="1"/>
    <col min="13508" max="13508" width="12.1640625" style="157" bestFit="1" customWidth="1"/>
    <col min="13509" max="13509" width="8.1640625" style="157" bestFit="1" customWidth="1"/>
    <col min="13510" max="13510" width="10.83203125" style="157" bestFit="1" customWidth="1"/>
    <col min="13511" max="13511" width="12.1640625" style="157" bestFit="1" customWidth="1"/>
    <col min="13512" max="13512" width="18.1640625" style="157" bestFit="1" customWidth="1"/>
    <col min="13513" max="13513" width="10.83203125" style="157" bestFit="1" customWidth="1"/>
    <col min="13514" max="13749" width="8.83203125" style="157"/>
    <col min="13750" max="13750" width="38.1640625" style="157" customWidth="1"/>
    <col min="13751" max="13751" width="23.44140625" style="157" bestFit="1" customWidth="1"/>
    <col min="13752" max="13753" width="9.1640625" style="157" customWidth="1"/>
    <col min="13754" max="13754" width="11.1640625" style="157" bestFit="1" customWidth="1"/>
    <col min="13755" max="13755" width="14.44140625" style="157" bestFit="1" customWidth="1"/>
    <col min="13756" max="13756" width="8.1640625" style="157" customWidth="1"/>
    <col min="13757" max="13757" width="10.83203125" style="157" bestFit="1" customWidth="1"/>
    <col min="13758" max="13758" width="12.1640625" style="157" bestFit="1" customWidth="1"/>
    <col min="13759" max="13759" width="9.1640625" style="157" customWidth="1"/>
    <col min="13760" max="13760" width="10.83203125" style="157" bestFit="1" customWidth="1"/>
    <col min="13761" max="13761" width="12.1640625" style="157" bestFit="1" customWidth="1"/>
    <col min="13762" max="13762" width="8" style="157" customWidth="1"/>
    <col min="13763" max="13763" width="10.83203125" style="157" bestFit="1" customWidth="1"/>
    <col min="13764" max="13764" width="12.1640625" style="157" bestFit="1" customWidth="1"/>
    <col min="13765" max="13765" width="8.1640625" style="157" bestFit="1" customWidth="1"/>
    <col min="13766" max="13766" width="10.83203125" style="157" bestFit="1" customWidth="1"/>
    <col min="13767" max="13767" width="12.1640625" style="157" bestFit="1" customWidth="1"/>
    <col min="13768" max="13768" width="18.1640625" style="157" bestFit="1" customWidth="1"/>
    <col min="13769" max="13769" width="10.83203125" style="157" bestFit="1" customWidth="1"/>
    <col min="13770" max="14005" width="8.83203125" style="157"/>
    <col min="14006" max="14006" width="38.1640625" style="157" customWidth="1"/>
    <col min="14007" max="14007" width="23.44140625" style="157" bestFit="1" customWidth="1"/>
    <col min="14008" max="14009" width="9.1640625" style="157" customWidth="1"/>
    <col min="14010" max="14010" width="11.1640625" style="157" bestFit="1" customWidth="1"/>
    <col min="14011" max="14011" width="14.44140625" style="157" bestFit="1" customWidth="1"/>
    <col min="14012" max="14012" width="8.1640625" style="157" customWidth="1"/>
    <col min="14013" max="14013" width="10.83203125" style="157" bestFit="1" customWidth="1"/>
    <col min="14014" max="14014" width="12.1640625" style="157" bestFit="1" customWidth="1"/>
    <col min="14015" max="14015" width="9.1640625" style="157" customWidth="1"/>
    <col min="14016" max="14016" width="10.83203125" style="157" bestFit="1" customWidth="1"/>
    <col min="14017" max="14017" width="12.1640625" style="157" bestFit="1" customWidth="1"/>
    <col min="14018" max="14018" width="8" style="157" customWidth="1"/>
    <col min="14019" max="14019" width="10.83203125" style="157" bestFit="1" customWidth="1"/>
    <col min="14020" max="14020" width="12.1640625" style="157" bestFit="1" customWidth="1"/>
    <col min="14021" max="14021" width="8.1640625" style="157" bestFit="1" customWidth="1"/>
    <col min="14022" max="14022" width="10.83203125" style="157" bestFit="1" customWidth="1"/>
    <col min="14023" max="14023" width="12.1640625" style="157" bestFit="1" customWidth="1"/>
    <col min="14024" max="14024" width="18.1640625" style="157" bestFit="1" customWidth="1"/>
    <col min="14025" max="14025" width="10.83203125" style="157" bestFit="1" customWidth="1"/>
    <col min="14026" max="14261" width="8.83203125" style="157"/>
    <col min="14262" max="14262" width="38.1640625" style="157" customWidth="1"/>
    <col min="14263" max="14263" width="23.44140625" style="157" bestFit="1" customWidth="1"/>
    <col min="14264" max="14265" width="9.1640625" style="157" customWidth="1"/>
    <col min="14266" max="14266" width="11.1640625" style="157" bestFit="1" customWidth="1"/>
    <col min="14267" max="14267" width="14.44140625" style="157" bestFit="1" customWidth="1"/>
    <col min="14268" max="14268" width="8.1640625" style="157" customWidth="1"/>
    <col min="14269" max="14269" width="10.83203125" style="157" bestFit="1" customWidth="1"/>
    <col min="14270" max="14270" width="12.1640625" style="157" bestFit="1" customWidth="1"/>
    <col min="14271" max="14271" width="9.1640625" style="157" customWidth="1"/>
    <col min="14272" max="14272" width="10.83203125" style="157" bestFit="1" customWidth="1"/>
    <col min="14273" max="14273" width="12.1640625" style="157" bestFit="1" customWidth="1"/>
    <col min="14274" max="14274" width="8" style="157" customWidth="1"/>
    <col min="14275" max="14275" width="10.83203125" style="157" bestFit="1" customWidth="1"/>
    <col min="14276" max="14276" width="12.1640625" style="157" bestFit="1" customWidth="1"/>
    <col min="14277" max="14277" width="8.1640625" style="157" bestFit="1" customWidth="1"/>
    <col min="14278" max="14278" width="10.83203125" style="157" bestFit="1" customWidth="1"/>
    <col min="14279" max="14279" width="12.1640625" style="157" bestFit="1" customWidth="1"/>
    <col min="14280" max="14280" width="18.1640625" style="157" bestFit="1" customWidth="1"/>
    <col min="14281" max="14281" width="10.83203125" style="157" bestFit="1" customWidth="1"/>
    <col min="14282" max="14517" width="8.83203125" style="157"/>
    <col min="14518" max="14518" width="38.1640625" style="157" customWidth="1"/>
    <col min="14519" max="14519" width="23.44140625" style="157" bestFit="1" customWidth="1"/>
    <col min="14520" max="14521" width="9.1640625" style="157" customWidth="1"/>
    <col min="14522" max="14522" width="11.1640625" style="157" bestFit="1" customWidth="1"/>
    <col min="14523" max="14523" width="14.44140625" style="157" bestFit="1" customWidth="1"/>
    <col min="14524" max="14524" width="8.1640625" style="157" customWidth="1"/>
    <col min="14525" max="14525" width="10.83203125" style="157" bestFit="1" customWidth="1"/>
    <col min="14526" max="14526" width="12.1640625" style="157" bestFit="1" customWidth="1"/>
    <col min="14527" max="14527" width="9.1640625" style="157" customWidth="1"/>
    <col min="14528" max="14528" width="10.83203125" style="157" bestFit="1" customWidth="1"/>
    <col min="14529" max="14529" width="12.1640625" style="157" bestFit="1" customWidth="1"/>
    <col min="14530" max="14530" width="8" style="157" customWidth="1"/>
    <col min="14531" max="14531" width="10.83203125" style="157" bestFit="1" customWidth="1"/>
    <col min="14532" max="14532" width="12.1640625" style="157" bestFit="1" customWidth="1"/>
    <col min="14533" max="14533" width="8.1640625" style="157" bestFit="1" customWidth="1"/>
    <col min="14534" max="14534" width="10.83203125" style="157" bestFit="1" customWidth="1"/>
    <col min="14535" max="14535" width="12.1640625" style="157" bestFit="1" customWidth="1"/>
    <col min="14536" max="14536" width="18.1640625" style="157" bestFit="1" customWidth="1"/>
    <col min="14537" max="14537" width="10.83203125" style="157" bestFit="1" customWidth="1"/>
    <col min="14538" max="14773" width="8.83203125" style="157"/>
    <col min="14774" max="14774" width="38.1640625" style="157" customWidth="1"/>
    <col min="14775" max="14775" width="23.44140625" style="157" bestFit="1" customWidth="1"/>
    <col min="14776" max="14777" width="9.1640625" style="157" customWidth="1"/>
    <col min="14778" max="14778" width="11.1640625" style="157" bestFit="1" customWidth="1"/>
    <col min="14779" max="14779" width="14.44140625" style="157" bestFit="1" customWidth="1"/>
    <col min="14780" max="14780" width="8.1640625" style="157" customWidth="1"/>
    <col min="14781" max="14781" width="10.83203125" style="157" bestFit="1" customWidth="1"/>
    <col min="14782" max="14782" width="12.1640625" style="157" bestFit="1" customWidth="1"/>
    <col min="14783" max="14783" width="9.1640625" style="157" customWidth="1"/>
    <col min="14784" max="14784" width="10.83203125" style="157" bestFit="1" customWidth="1"/>
    <col min="14785" max="14785" width="12.1640625" style="157" bestFit="1" customWidth="1"/>
    <col min="14786" max="14786" width="8" style="157" customWidth="1"/>
    <col min="14787" max="14787" width="10.83203125" style="157" bestFit="1" customWidth="1"/>
    <col min="14788" max="14788" width="12.1640625" style="157" bestFit="1" customWidth="1"/>
    <col min="14789" max="14789" width="8.1640625" style="157" bestFit="1" customWidth="1"/>
    <col min="14790" max="14790" width="10.83203125" style="157" bestFit="1" customWidth="1"/>
    <col min="14791" max="14791" width="12.1640625" style="157" bestFit="1" customWidth="1"/>
    <col min="14792" max="14792" width="18.1640625" style="157" bestFit="1" customWidth="1"/>
    <col min="14793" max="14793" width="10.83203125" style="157" bestFit="1" customWidth="1"/>
    <col min="14794" max="15029" width="8.83203125" style="157"/>
    <col min="15030" max="15030" width="38.1640625" style="157" customWidth="1"/>
    <col min="15031" max="15031" width="23.44140625" style="157" bestFit="1" customWidth="1"/>
    <col min="15032" max="15033" width="9.1640625" style="157" customWidth="1"/>
    <col min="15034" max="15034" width="11.1640625" style="157" bestFit="1" customWidth="1"/>
    <col min="15035" max="15035" width="14.44140625" style="157" bestFit="1" customWidth="1"/>
    <col min="15036" max="15036" width="8.1640625" style="157" customWidth="1"/>
    <col min="15037" max="15037" width="10.83203125" style="157" bestFit="1" customWidth="1"/>
    <col min="15038" max="15038" width="12.1640625" style="157" bestFit="1" customWidth="1"/>
    <col min="15039" max="15039" width="9.1640625" style="157" customWidth="1"/>
    <col min="15040" max="15040" width="10.83203125" style="157" bestFit="1" customWidth="1"/>
    <col min="15041" max="15041" width="12.1640625" style="157" bestFit="1" customWidth="1"/>
    <col min="15042" max="15042" width="8" style="157" customWidth="1"/>
    <col min="15043" max="15043" width="10.83203125" style="157" bestFit="1" customWidth="1"/>
    <col min="15044" max="15044" width="12.1640625" style="157" bestFit="1" customWidth="1"/>
    <col min="15045" max="15045" width="8.1640625" style="157" bestFit="1" customWidth="1"/>
    <col min="15046" max="15046" width="10.83203125" style="157" bestFit="1" customWidth="1"/>
    <col min="15047" max="15047" width="12.1640625" style="157" bestFit="1" customWidth="1"/>
    <col min="15048" max="15048" width="18.1640625" style="157" bestFit="1" customWidth="1"/>
    <col min="15049" max="15049" width="10.83203125" style="157" bestFit="1" customWidth="1"/>
    <col min="15050" max="15285" width="8.83203125" style="157"/>
    <col min="15286" max="15286" width="38.1640625" style="157" customWidth="1"/>
    <col min="15287" max="15287" width="23.44140625" style="157" bestFit="1" customWidth="1"/>
    <col min="15288" max="15289" width="9.1640625" style="157" customWidth="1"/>
    <col min="15290" max="15290" width="11.1640625" style="157" bestFit="1" customWidth="1"/>
    <col min="15291" max="15291" width="14.44140625" style="157" bestFit="1" customWidth="1"/>
    <col min="15292" max="15292" width="8.1640625" style="157" customWidth="1"/>
    <col min="15293" max="15293" width="10.83203125" style="157" bestFit="1" customWidth="1"/>
    <col min="15294" max="15294" width="12.1640625" style="157" bestFit="1" customWidth="1"/>
    <col min="15295" max="15295" width="9.1640625" style="157" customWidth="1"/>
    <col min="15296" max="15296" width="10.83203125" style="157" bestFit="1" customWidth="1"/>
    <col min="15297" max="15297" width="12.1640625" style="157" bestFit="1" customWidth="1"/>
    <col min="15298" max="15298" width="8" style="157" customWidth="1"/>
    <col min="15299" max="15299" width="10.83203125" style="157" bestFit="1" customWidth="1"/>
    <col min="15300" max="15300" width="12.1640625" style="157" bestFit="1" customWidth="1"/>
    <col min="15301" max="15301" width="8.1640625" style="157" bestFit="1" customWidth="1"/>
    <col min="15302" max="15302" width="10.83203125" style="157" bestFit="1" customWidth="1"/>
    <col min="15303" max="15303" width="12.1640625" style="157" bestFit="1" customWidth="1"/>
    <col min="15304" max="15304" width="18.1640625" style="157" bestFit="1" customWidth="1"/>
    <col min="15305" max="15305" width="10.83203125" style="157" bestFit="1" customWidth="1"/>
    <col min="15306" max="15541" width="8.83203125" style="157"/>
    <col min="15542" max="15542" width="38.1640625" style="157" customWidth="1"/>
    <col min="15543" max="15543" width="23.44140625" style="157" bestFit="1" customWidth="1"/>
    <col min="15544" max="15545" width="9.1640625" style="157" customWidth="1"/>
    <col min="15546" max="15546" width="11.1640625" style="157" bestFit="1" customWidth="1"/>
    <col min="15547" max="15547" width="14.44140625" style="157" bestFit="1" customWidth="1"/>
    <col min="15548" max="15548" width="8.1640625" style="157" customWidth="1"/>
    <col min="15549" max="15549" width="10.83203125" style="157" bestFit="1" customWidth="1"/>
    <col min="15550" max="15550" width="12.1640625" style="157" bestFit="1" customWidth="1"/>
    <col min="15551" max="15551" width="9.1640625" style="157" customWidth="1"/>
    <col min="15552" max="15552" width="10.83203125" style="157" bestFit="1" customWidth="1"/>
    <col min="15553" max="15553" width="12.1640625" style="157" bestFit="1" customWidth="1"/>
    <col min="15554" max="15554" width="8" style="157" customWidth="1"/>
    <col min="15555" max="15555" width="10.83203125" style="157" bestFit="1" customWidth="1"/>
    <col min="15556" max="15556" width="12.1640625" style="157" bestFit="1" customWidth="1"/>
    <col min="15557" max="15557" width="8.1640625" style="157" bestFit="1" customWidth="1"/>
    <col min="15558" max="15558" width="10.83203125" style="157" bestFit="1" customWidth="1"/>
    <col min="15559" max="15559" width="12.1640625" style="157" bestFit="1" customWidth="1"/>
    <col min="15560" max="15560" width="18.1640625" style="157" bestFit="1" customWidth="1"/>
    <col min="15561" max="15561" width="10.83203125" style="157" bestFit="1" customWidth="1"/>
    <col min="15562" max="15797" width="8.83203125" style="157"/>
    <col min="15798" max="15798" width="38.1640625" style="157" customWidth="1"/>
    <col min="15799" max="15799" width="23.44140625" style="157" bestFit="1" customWidth="1"/>
    <col min="15800" max="15801" width="9.1640625" style="157" customWidth="1"/>
    <col min="15802" max="15802" width="11.1640625" style="157" bestFit="1" customWidth="1"/>
    <col min="15803" max="15803" width="14.44140625" style="157" bestFit="1" customWidth="1"/>
    <col min="15804" max="15804" width="8.1640625" style="157" customWidth="1"/>
    <col min="15805" max="15805" width="10.83203125" style="157" bestFit="1" customWidth="1"/>
    <col min="15806" max="15806" width="12.1640625" style="157" bestFit="1" customWidth="1"/>
    <col min="15807" max="15807" width="9.1640625" style="157" customWidth="1"/>
    <col min="15808" max="15808" width="10.83203125" style="157" bestFit="1" customWidth="1"/>
    <col min="15809" max="15809" width="12.1640625" style="157" bestFit="1" customWidth="1"/>
    <col min="15810" max="15810" width="8" style="157" customWidth="1"/>
    <col min="15811" max="15811" width="10.83203125" style="157" bestFit="1" customWidth="1"/>
    <col min="15812" max="15812" width="12.1640625" style="157" bestFit="1" customWidth="1"/>
    <col min="15813" max="15813" width="8.1640625" style="157" bestFit="1" customWidth="1"/>
    <col min="15814" max="15814" width="10.83203125" style="157" bestFit="1" customWidth="1"/>
    <col min="15815" max="15815" width="12.1640625" style="157" bestFit="1" customWidth="1"/>
    <col min="15816" max="15816" width="18.1640625" style="157" bestFit="1" customWidth="1"/>
    <col min="15817" max="15817" width="10.83203125" style="157" bestFit="1" customWidth="1"/>
    <col min="15818" max="16053" width="8.83203125" style="157"/>
    <col min="16054" max="16054" width="38.1640625" style="157" customWidth="1"/>
    <col min="16055" max="16055" width="23.44140625" style="157" bestFit="1" customWidth="1"/>
    <col min="16056" max="16057" width="9.1640625" style="157" customWidth="1"/>
    <col min="16058" max="16058" width="11.1640625" style="157" bestFit="1" customWidth="1"/>
    <col min="16059" max="16059" width="14.44140625" style="157" bestFit="1" customWidth="1"/>
    <col min="16060" max="16060" width="8.1640625" style="157" customWidth="1"/>
    <col min="16061" max="16061" width="10.83203125" style="157" bestFit="1" customWidth="1"/>
    <col min="16062" max="16062" width="12.1640625" style="157" bestFit="1" customWidth="1"/>
    <col min="16063" max="16063" width="9.1640625" style="157" customWidth="1"/>
    <col min="16064" max="16064" width="10.83203125" style="157" bestFit="1" customWidth="1"/>
    <col min="16065" max="16065" width="12.1640625" style="157" bestFit="1" customWidth="1"/>
    <col min="16066" max="16066" width="8" style="157" customWidth="1"/>
    <col min="16067" max="16067" width="10.83203125" style="157" bestFit="1" customWidth="1"/>
    <col min="16068" max="16068" width="12.1640625" style="157" bestFit="1" customWidth="1"/>
    <col min="16069" max="16069" width="8.1640625" style="157" bestFit="1" customWidth="1"/>
    <col min="16070" max="16070" width="10.83203125" style="157" bestFit="1" customWidth="1"/>
    <col min="16071" max="16071" width="12.1640625" style="157" bestFit="1" customWidth="1"/>
    <col min="16072" max="16072" width="18.1640625" style="157" bestFit="1" customWidth="1"/>
    <col min="16073" max="16073" width="10.83203125" style="157" bestFit="1" customWidth="1"/>
    <col min="16074" max="16301" width="8.83203125" style="157"/>
    <col min="16302" max="16384" width="8.83203125" style="157" customWidth="1"/>
  </cols>
  <sheetData>
    <row r="1" spans="1:25" ht="14.7" thickBot="1"/>
    <row r="2" spans="1:25" ht="23.5" customHeight="1">
      <c r="A2" s="650" t="s">
        <v>499</v>
      </c>
      <c r="B2" s="652" t="s">
        <v>500</v>
      </c>
      <c r="C2" s="654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48" t="s">
        <v>502</v>
      </c>
    </row>
    <row r="3" spans="1:25" ht="47.95" customHeight="1">
      <c r="A3" s="651"/>
      <c r="B3" s="653"/>
      <c r="C3" s="655"/>
      <c r="D3" s="352" t="s">
        <v>503</v>
      </c>
      <c r="E3" s="165" t="s">
        <v>504</v>
      </c>
      <c r="F3" s="167" t="s">
        <v>505</v>
      </c>
      <c r="G3" s="168" t="s">
        <v>502</v>
      </c>
      <c r="H3" s="352" t="s">
        <v>503</v>
      </c>
      <c r="I3" s="165" t="s">
        <v>504</v>
      </c>
      <c r="J3" s="166" t="s">
        <v>505</v>
      </c>
      <c r="K3" s="168" t="s">
        <v>502</v>
      </c>
      <c r="L3" s="352" t="s">
        <v>503</v>
      </c>
      <c r="M3" s="165" t="s">
        <v>504</v>
      </c>
      <c r="N3" s="167" t="s">
        <v>505</v>
      </c>
      <c r="O3" s="168" t="s">
        <v>502</v>
      </c>
      <c r="P3" s="352" t="s">
        <v>503</v>
      </c>
      <c r="Q3" s="165" t="s">
        <v>504</v>
      </c>
      <c r="R3" s="167" t="s">
        <v>505</v>
      </c>
      <c r="S3" s="168" t="s">
        <v>502</v>
      </c>
      <c r="T3" s="649"/>
    </row>
    <row r="4" spans="1:25" ht="18.3">
      <c r="A4" s="439" t="s">
        <v>506</v>
      </c>
      <c r="B4" s="169"/>
      <c r="C4" s="173"/>
      <c r="D4" s="367"/>
      <c r="E4" s="171"/>
      <c r="F4" s="174"/>
      <c r="G4" s="175"/>
      <c r="H4" s="367"/>
      <c r="I4" s="171"/>
      <c r="J4" s="172"/>
      <c r="K4" s="175"/>
      <c r="L4" s="353"/>
      <c r="M4" s="171"/>
      <c r="N4" s="174"/>
      <c r="O4" s="175"/>
      <c r="P4" s="353"/>
      <c r="Q4" s="171"/>
      <c r="R4" s="174"/>
      <c r="S4" s="177"/>
      <c r="T4" s="175"/>
    </row>
    <row r="5" spans="1:25" s="189" customFormat="1" ht="15" customHeight="1" outlineLevel="1">
      <c r="A5" s="440" t="s">
        <v>53</v>
      </c>
      <c r="B5" s="180"/>
      <c r="C5" s="184"/>
      <c r="D5" s="354"/>
      <c r="E5" s="182"/>
      <c r="F5" s="185"/>
      <c r="G5" s="186"/>
      <c r="H5" s="354"/>
      <c r="I5" s="182"/>
      <c r="J5" s="183"/>
      <c r="K5" s="186"/>
      <c r="L5" s="354"/>
      <c r="M5" s="182"/>
      <c r="N5" s="185"/>
      <c r="O5" s="186"/>
      <c r="P5" s="354"/>
      <c r="Q5" s="182"/>
      <c r="R5" s="185"/>
      <c r="S5" s="186"/>
      <c r="T5" s="187"/>
    </row>
    <row r="6" spans="1:25" s="189" customFormat="1" ht="15.6" outlineLevel="1">
      <c r="A6" s="441" t="s">
        <v>507</v>
      </c>
      <c r="B6" s="191"/>
      <c r="C6" s="184"/>
      <c r="D6" s="354"/>
      <c r="E6" s="182"/>
      <c r="F6" s="185"/>
      <c r="G6" s="186"/>
      <c r="H6" s="354"/>
      <c r="I6" s="182"/>
      <c r="J6" s="183"/>
      <c r="K6" s="186"/>
      <c r="L6" s="354"/>
      <c r="M6" s="182"/>
      <c r="N6" s="185"/>
      <c r="O6" s="186"/>
      <c r="P6" s="354"/>
      <c r="Q6" s="182"/>
      <c r="R6" s="185"/>
      <c r="S6" s="186"/>
      <c r="T6" s="332"/>
      <c r="U6" s="157"/>
      <c r="V6" s="157"/>
      <c r="W6" s="157"/>
    </row>
    <row r="7" spans="1:25" ht="15" customHeight="1" outlineLevel="1">
      <c r="A7" s="193" t="str">
        <f>'Program Budget'!D13</f>
        <v>Key Personnel: Chief of Party</v>
      </c>
      <c r="B7" s="194" t="str">
        <f>'Program Budget'!F15</f>
        <v>Month</v>
      </c>
      <c r="C7" s="198">
        <f>Admin!C7+'Activity 1'!C7+'Activity 2'!C7+'Activity 3'!C7+'Activity 4'!C7+'Activity 5'!C7+'Activity 6'!C7+'Activity 7'!C7+'Activity 8'!C7</f>
        <v>568684.68999999994</v>
      </c>
      <c r="D7" s="195">
        <f>'Program Budget'!G13</f>
        <v>14250</v>
      </c>
      <c r="E7" s="196">
        <f>'Program Budget'!I13</f>
        <v>12</v>
      </c>
      <c r="F7" s="197">
        <f>Admin!F7+'Activity 1'!F7+'Activity 2'!F7+'Activity 3'!F7+'Activity 4'!F7+'Activity 5'!F7+'Activity 6'!F7+'Activity 7'!F7+'Activity 8'!F7</f>
        <v>0.99999999999999989</v>
      </c>
      <c r="G7" s="198">
        <f>D7*E7*F7</f>
        <v>170999.99999999997</v>
      </c>
      <c r="H7" s="195">
        <f>D7*1.05</f>
        <v>14962.5</v>
      </c>
      <c r="I7" s="196">
        <f>'Program Budget'!L13</f>
        <v>12</v>
      </c>
      <c r="J7" s="197">
        <f>Admin!J7+'Activity 1'!J7+'Activity 2'!J7+'Activity 3'!J7+'Activity 4'!J7+'Activity 5'!J7+'Activity 6'!J7+'Activity 7'!J7+'Activity 8'!J7</f>
        <v>1</v>
      </c>
      <c r="K7" s="198">
        <f>H7*I7*J7</f>
        <v>179550</v>
      </c>
      <c r="L7" s="195">
        <f>H7*1.05</f>
        <v>15710.625</v>
      </c>
      <c r="M7" s="196">
        <f>'Program Budget'!O13</f>
        <v>12</v>
      </c>
      <c r="N7" s="197">
        <f>Admin!N7+'Activity 1'!N7+'Activity 2'!N7+'Activity 3'!N7+'Activity 4'!N7+'Activity 5'!N7+'Activity 6'!N7+'Activity 7'!N7+'Activity 8'!N7</f>
        <v>1</v>
      </c>
      <c r="O7" s="198">
        <f>L7*M7*N7</f>
        <v>188527.5</v>
      </c>
      <c r="P7" s="195">
        <f>L7*1.05</f>
        <v>16496.15625</v>
      </c>
      <c r="Q7" s="196">
        <f>'Program Budget'!R13</f>
        <v>0</v>
      </c>
      <c r="R7" s="197">
        <f>Admin!R10+'Activity 1'!R10+'Activity 2'!R10+'Activity 3'!R10+'Activity 4'!R10+'Activity 5'!R10+'Activity 6'!R10+'Activity 7'!R10+'Activity 8'!R10</f>
        <v>1</v>
      </c>
      <c r="S7" s="198">
        <f>P7*Q7*R4</f>
        <v>0</v>
      </c>
      <c r="T7" s="335">
        <f>C7+G7+K7+O7+S7</f>
        <v>1107762.19</v>
      </c>
      <c r="Y7" s="205"/>
    </row>
    <row r="8" spans="1:25" ht="15" customHeight="1" outlineLevel="1">
      <c r="A8" s="442" t="s">
        <v>508</v>
      </c>
      <c r="B8" s="209"/>
      <c r="C8" s="213">
        <f>SUM(C7:C7)</f>
        <v>568684.68999999994</v>
      </c>
      <c r="D8" s="356"/>
      <c r="E8" s="211"/>
      <c r="F8" s="214"/>
      <c r="G8" s="213">
        <f>SUM(G7:G7)</f>
        <v>170999.99999999997</v>
      </c>
      <c r="H8" s="356"/>
      <c r="I8" s="211"/>
      <c r="J8" s="212"/>
      <c r="K8" s="213">
        <f>SUM(K7:K7)</f>
        <v>179550</v>
      </c>
      <c r="L8" s="356"/>
      <c r="M8" s="211"/>
      <c r="N8" s="214"/>
      <c r="O8" s="213">
        <f>SUM(O7:O7)</f>
        <v>188527.5</v>
      </c>
      <c r="P8" s="356"/>
      <c r="Q8" s="211"/>
      <c r="R8" s="214"/>
      <c r="S8" s="213">
        <f>SUM(S7:S7)</f>
        <v>0</v>
      </c>
      <c r="T8" s="334">
        <f>+C8+G8+K8+O8+S8</f>
        <v>1107762.19</v>
      </c>
    </row>
    <row r="9" spans="1:25" s="189" customFormat="1" ht="15" customHeight="1" outlineLevel="1">
      <c r="A9" s="441" t="s">
        <v>509</v>
      </c>
      <c r="B9" s="216"/>
      <c r="C9" s="198"/>
      <c r="D9" s="357"/>
      <c r="E9" s="218"/>
      <c r="F9" s="220"/>
      <c r="G9" s="200"/>
      <c r="H9" s="357"/>
      <c r="I9" s="218"/>
      <c r="J9" s="219"/>
      <c r="K9" s="200"/>
      <c r="L9" s="357"/>
      <c r="M9" s="218"/>
      <c r="N9" s="220"/>
      <c r="O9" s="200"/>
      <c r="P9" s="357"/>
      <c r="Q9" s="218"/>
      <c r="R9" s="220"/>
      <c r="S9" s="200"/>
      <c r="T9" s="333"/>
      <c r="U9" s="157"/>
      <c r="V9" s="157"/>
      <c r="W9" s="157"/>
    </row>
    <row r="10" spans="1:25" ht="15" customHeight="1" outlineLevel="1">
      <c r="A10" s="193" t="str">
        <f>'Program Budget'!D14</f>
        <v>Deputy Chief of Party / Value Chain Strengthening Director</v>
      </c>
      <c r="B10" s="194" t="str">
        <f>'Program Budget'!F14</f>
        <v>Month</v>
      </c>
      <c r="C10" s="198">
        <f>Admin!C10+'Activity 1'!C10+'Activity 2'!C10+'Activity 3'!C10+'Activity 4'!C10+'Activity 5'!C10+'Activity 6'!C10+'Activity 7'!C10+'Activity 8'!C10</f>
        <v>0</v>
      </c>
      <c r="D10" s="195">
        <f>'Program Budget'!G14</f>
        <v>5000</v>
      </c>
      <c r="E10" s="196">
        <f>'Program Budget'!I14</f>
        <v>12</v>
      </c>
      <c r="F10" s="197">
        <f>Admin!F10+'Activity 1'!F10+'Activity 2'!F10+'Activity 3'!F10+'Activity 4'!F10+'Activity 5'!F10+'Activity 6'!F10+'Activity 7'!F10+'Activity 8'!F10</f>
        <v>1</v>
      </c>
      <c r="G10" s="198">
        <f>D10*E10*F10</f>
        <v>60000</v>
      </c>
      <c r="H10" s="195">
        <f>D10*1.05</f>
        <v>5250</v>
      </c>
      <c r="I10" s="196">
        <f>'Program Budget'!L14</f>
        <v>12</v>
      </c>
      <c r="J10" s="197">
        <f>Admin!J10+'Activity 1'!J10+'Activity 2'!J10+'Activity 3'!J10+'Activity 4'!J10+'Activity 5'!J10+'Activity 6'!J10+'Activity 7'!J10+'Activity 8'!J10</f>
        <v>1</v>
      </c>
      <c r="K10" s="198">
        <f>H10*I10*J10</f>
        <v>63000</v>
      </c>
      <c r="L10" s="195">
        <f>H10*1.05</f>
        <v>5512.5</v>
      </c>
      <c r="M10" s="196">
        <f>'Program Budget'!O14</f>
        <v>12</v>
      </c>
      <c r="N10" s="197">
        <f>Admin!N10+'Activity 1'!N10+'Activity 2'!N10+'Activity 3'!N10+'Activity 4'!N10+'Activity 5'!N10+'Activity 6'!N10+'Activity 7'!N10+'Activity 8'!N10</f>
        <v>1</v>
      </c>
      <c r="O10" s="198">
        <f>L10*M10*N10</f>
        <v>66150</v>
      </c>
      <c r="P10" s="195">
        <f>L10*1.05</f>
        <v>5788.125</v>
      </c>
      <c r="Q10" s="196">
        <f>'Program Budget'!R14</f>
        <v>6</v>
      </c>
      <c r="R10" s="197">
        <f>Admin!R10+'Activity 1'!R10+'Activity 2'!R10+'Activity 3'!R10+'Activity 4'!R10+'Activity 5'!R10+'Activity 6'!R10+'Activity 7'!R10+'Activity 8'!R10</f>
        <v>1</v>
      </c>
      <c r="S10" s="198">
        <f>P10*Q10*R7</f>
        <v>34728.75</v>
      </c>
      <c r="T10" s="333">
        <f>C10+G10+K10+O10+S10</f>
        <v>223878.75</v>
      </c>
      <c r="Y10" s="205"/>
    </row>
    <row r="11" spans="1:25" ht="15" customHeight="1" outlineLevel="1">
      <c r="A11" s="193" t="str">
        <f>'Program Budget'!D15</f>
        <v>Key Personnel: Technical Director</v>
      </c>
      <c r="B11" s="194" t="str">
        <f>'Program Budget'!F15</f>
        <v>Month</v>
      </c>
      <c r="C11" s="198">
        <f>Admin!C11+'Activity 1'!C11+'Activity 2'!C11+'Activity 3'!C11+'Activity 4'!C11+'Activity 5'!C11+'Activity 6'!C11+'Activity 7'!C11+'Activity 8'!C11</f>
        <v>296291.11000000004</v>
      </c>
      <c r="D11" s="195">
        <f>'Program Budget'!G15</f>
        <v>4583.333333333333</v>
      </c>
      <c r="E11" s="196">
        <f>'Program Budget'!I15</f>
        <v>12</v>
      </c>
      <c r="F11" s="197">
        <f>Admin!F11+'Activity 1'!F11+'Activity 2'!F11+'Activity 3'!F11+'Activity 4'!F11+'Activity 5'!F11+'Activity 6'!F11+'Activity 7'!F11+'Activity 8'!F11</f>
        <v>1</v>
      </c>
      <c r="G11" s="198">
        <f>D11*E11*F11</f>
        <v>55000</v>
      </c>
      <c r="H11" s="195">
        <f t="shared" ref="H11:H38" si="0">D11*1.05</f>
        <v>4812.5</v>
      </c>
      <c r="I11" s="196">
        <f>'Program Budget'!L15</f>
        <v>12</v>
      </c>
      <c r="J11" s="197">
        <f>Admin!J11+'Activity 1'!J11+'Activity 2'!J11+'Activity 3'!J11+'Activity 4'!J11+'Activity 5'!J11+'Activity 6'!J11+'Activity 7'!J11+'Activity 8'!J11</f>
        <v>1</v>
      </c>
      <c r="K11" s="198">
        <f t="shared" ref="K11:K38" si="1">H11*I11*J11</f>
        <v>57750</v>
      </c>
      <c r="L11" s="195">
        <f t="shared" ref="L11:L38" si="2">H11*1.05</f>
        <v>5053.125</v>
      </c>
      <c r="M11" s="196">
        <f>'Program Budget'!O15</f>
        <v>12</v>
      </c>
      <c r="N11" s="197">
        <f>Admin!N11+'Activity 1'!N11+'Activity 2'!N11+'Activity 3'!N11+'Activity 4'!N11+'Activity 5'!N11+'Activity 6'!N11+'Activity 7'!N11+'Activity 8'!N11</f>
        <v>1</v>
      </c>
      <c r="O11" s="198">
        <f t="shared" ref="O11:O38" si="3">L11*M11*N11</f>
        <v>60637.5</v>
      </c>
      <c r="P11" s="195">
        <f t="shared" ref="P11:P38" si="4">L11*1.05</f>
        <v>5305.78125</v>
      </c>
      <c r="Q11" s="196">
        <f>'Program Budget'!R15</f>
        <v>5</v>
      </c>
      <c r="R11" s="197">
        <f>Admin!R11+'Activity 1'!R11+'Activity 2'!R11+'Activity 3'!R11+'Activity 4'!R11+'Activity 5'!R11+'Activity 6'!R11+'Activity 7'!R11+'Activity 8'!R11</f>
        <v>1</v>
      </c>
      <c r="S11" s="198">
        <f t="shared" ref="S11:S38" si="5">P11*Q11*R11</f>
        <v>26528.90625</v>
      </c>
      <c r="T11" s="333">
        <f t="shared" ref="T11:T38" si="6">C11+G11+K11+O11+S11</f>
        <v>496207.51625000004</v>
      </c>
      <c r="Y11" s="205"/>
    </row>
    <row r="12" spans="1:25" ht="15" customHeight="1" outlineLevel="1">
      <c r="A12" s="193" t="str">
        <f>'Program Budget'!D16</f>
        <v>Activity Lead Agribusiness Senior Specialist (Cacao)</v>
      </c>
      <c r="B12" s="194" t="str">
        <f>'Program Budget'!F16</f>
        <v>Month</v>
      </c>
      <c r="C12" s="198">
        <f>Admin!C12+'Activity 1'!C12+'Activity 2'!C12+'Activity 3'!C12+'Activity 4'!C12+'Activity 5'!C12+'Activity 6'!C12+'Activity 7'!C12+'Activity 8'!C12</f>
        <v>160735.87</v>
      </c>
      <c r="D12" s="195">
        <f>'Program Budget'!G16</f>
        <v>2833.3333333333335</v>
      </c>
      <c r="E12" s="196">
        <f>'Program Budget'!I16</f>
        <v>12</v>
      </c>
      <c r="F12" s="197">
        <f>Admin!F12+'Activity 1'!F12+'Activity 2'!F12+'Activity 3'!F12+'Activity 4'!F12+'Activity 5'!F12+'Activity 6'!F12+'Activity 7'!F12+'Activity 8'!F12</f>
        <v>0.99999999999999989</v>
      </c>
      <c r="G12" s="198">
        <f t="shared" ref="G12:G38" si="7">D12*E12*F12</f>
        <v>33999.999999999993</v>
      </c>
      <c r="H12" s="195">
        <f t="shared" si="0"/>
        <v>2975.0000000000005</v>
      </c>
      <c r="I12" s="196">
        <f>'Program Budget'!L16</f>
        <v>12</v>
      </c>
      <c r="J12" s="197">
        <f>Admin!J12+'Activity 1'!J12+'Activity 2'!J12+'Activity 3'!J12+'Activity 4'!J12+'Activity 5'!J12+'Activity 6'!J12+'Activity 7'!J12+'Activity 8'!J12</f>
        <v>1</v>
      </c>
      <c r="K12" s="198">
        <f t="shared" si="1"/>
        <v>35700.000000000007</v>
      </c>
      <c r="L12" s="195">
        <f t="shared" si="2"/>
        <v>3123.7500000000005</v>
      </c>
      <c r="M12" s="196">
        <f>'Program Budget'!O16</f>
        <v>12</v>
      </c>
      <c r="N12" s="197">
        <f>Admin!N12+'Activity 1'!N12+'Activity 2'!N12+'Activity 3'!N12+'Activity 4'!N12+'Activity 5'!N12+'Activity 6'!N12+'Activity 7'!N12+'Activity 8'!N12</f>
        <v>1</v>
      </c>
      <c r="O12" s="198">
        <f t="shared" si="3"/>
        <v>37485.000000000007</v>
      </c>
      <c r="P12" s="195">
        <f t="shared" si="4"/>
        <v>3279.9375000000005</v>
      </c>
      <c r="Q12" s="196">
        <f>'Program Budget'!R16</f>
        <v>2</v>
      </c>
      <c r="R12" s="197">
        <f>Admin!R12+'Activity 1'!R12+'Activity 2'!R12+'Activity 3'!R12+'Activity 4'!R12+'Activity 5'!R12+'Activity 6'!R12+'Activity 7'!R12+'Activity 8'!R12</f>
        <v>1</v>
      </c>
      <c r="S12" s="198">
        <f t="shared" si="5"/>
        <v>6559.8750000000009</v>
      </c>
      <c r="T12" s="333">
        <f t="shared" si="6"/>
        <v>274480.745</v>
      </c>
    </row>
    <row r="13" spans="1:25" ht="15" customHeight="1" outlineLevel="1">
      <c r="A13" s="193" t="str">
        <f>'Program Budget'!D17</f>
        <v>Cacao Field Officer</v>
      </c>
      <c r="B13" s="194" t="str">
        <f>'Program Budget'!F17</f>
        <v>Month</v>
      </c>
      <c r="C13" s="198">
        <f>Admin!C13+'Activity 1'!C13+'Activity 2'!C13+'Activity 3'!C13+'Activity 4'!C13+'Activity 5'!C13+'Activity 6'!C13+'Activity 7'!C13+'Activity 8'!C13</f>
        <v>0</v>
      </c>
      <c r="D13" s="195">
        <f>'Program Budget'!G17</f>
        <v>1333.3333333333333</v>
      </c>
      <c r="E13" s="196">
        <f>'Program Budget'!I17</f>
        <v>12</v>
      </c>
      <c r="F13" s="197">
        <f>Admin!F13+'Activity 1'!F13+'Activity 2'!F13+'Activity 3'!F13+'Activity 4'!F13+'Activity 5'!F13+'Activity 6'!F13+'Activity 7'!F13+'Activity 8'!F13</f>
        <v>1</v>
      </c>
      <c r="G13" s="198">
        <f t="shared" si="7"/>
        <v>16000</v>
      </c>
      <c r="H13" s="195">
        <f t="shared" si="0"/>
        <v>1400</v>
      </c>
      <c r="I13" s="196">
        <f>'Program Budget'!L17</f>
        <v>12</v>
      </c>
      <c r="J13" s="197">
        <f>Admin!J13+'Activity 1'!J13+'Activity 2'!J13+'Activity 3'!J13+'Activity 4'!J13+'Activity 5'!J13+'Activity 6'!J13+'Activity 7'!J13+'Activity 8'!J13</f>
        <v>1</v>
      </c>
      <c r="K13" s="198">
        <f t="shared" si="1"/>
        <v>16800</v>
      </c>
      <c r="L13" s="195">
        <f t="shared" si="2"/>
        <v>1470</v>
      </c>
      <c r="M13" s="196">
        <f>'Program Budget'!O17</f>
        <v>12</v>
      </c>
      <c r="N13" s="197">
        <f>Admin!N13+'Activity 1'!N13+'Activity 2'!N13+'Activity 3'!N13+'Activity 4'!N13+'Activity 5'!N13+'Activity 6'!N13+'Activity 7'!N13+'Activity 8'!N13</f>
        <v>1</v>
      </c>
      <c r="O13" s="198">
        <f t="shared" si="3"/>
        <v>17640</v>
      </c>
      <c r="P13" s="195">
        <f t="shared" si="4"/>
        <v>1543.5</v>
      </c>
      <c r="Q13" s="196">
        <f>'Program Budget'!R17</f>
        <v>0</v>
      </c>
      <c r="R13" s="197">
        <f>Admin!R13+'Activity 1'!R13+'Activity 2'!R13+'Activity 3'!R13+'Activity 4'!R13+'Activity 5'!R13+'Activity 6'!R13+'Activity 7'!R13+'Activity 8'!R13</f>
        <v>1</v>
      </c>
      <c r="S13" s="198">
        <f t="shared" si="5"/>
        <v>0</v>
      </c>
      <c r="T13" s="333">
        <f t="shared" si="6"/>
        <v>50440</v>
      </c>
    </row>
    <row r="14" spans="1:25" ht="15" customHeight="1" outlineLevel="1">
      <c r="A14" s="193" t="str">
        <f>'Program Budget'!D18</f>
        <v>Cacao &amp; Complementary Crop Technical Field Leader (2)</v>
      </c>
      <c r="B14" s="194" t="str">
        <f>'Program Budget'!F18</f>
        <v>Month</v>
      </c>
      <c r="C14" s="198">
        <f>Admin!C14+'Activity 1'!C14+'Activity 2'!C14+'Activity 3'!C14+'Activity 4'!C14+'Activity 5'!C14+'Activity 6'!C14+'Activity 7'!C14+'Activity 8'!C14</f>
        <v>0</v>
      </c>
      <c r="D14" s="195">
        <f>'Program Budget'!G18</f>
        <v>3500</v>
      </c>
      <c r="E14" s="196">
        <f>'Program Budget'!I18</f>
        <v>6</v>
      </c>
      <c r="F14" s="197">
        <f>Admin!F14+'Activity 1'!F14+'Activity 2'!F14+'Activity 3'!F14+'Activity 4'!F14+'Activity 5'!F14+'Activity 6'!F14+'Activity 7'!F14+'Activity 8'!F14</f>
        <v>1</v>
      </c>
      <c r="G14" s="198">
        <f t="shared" si="7"/>
        <v>21000</v>
      </c>
      <c r="H14" s="195">
        <f t="shared" si="0"/>
        <v>3675</v>
      </c>
      <c r="I14" s="196">
        <f>'Program Budget'!L18</f>
        <v>12</v>
      </c>
      <c r="J14" s="197">
        <f>Admin!J14+'Activity 1'!J14+'Activity 2'!J14+'Activity 3'!J14+'Activity 4'!J14+'Activity 5'!J14+'Activity 6'!J14+'Activity 7'!J14+'Activity 8'!J14</f>
        <v>1</v>
      </c>
      <c r="K14" s="198">
        <f t="shared" si="1"/>
        <v>44100</v>
      </c>
      <c r="L14" s="195">
        <f t="shared" si="2"/>
        <v>3858.75</v>
      </c>
      <c r="M14" s="196">
        <f>'Program Budget'!O18</f>
        <v>12</v>
      </c>
      <c r="N14" s="197">
        <f>Admin!N14+'Activity 1'!N14+'Activity 2'!N14+'Activity 3'!N14+'Activity 4'!N14+'Activity 5'!N14+'Activity 6'!N14+'Activity 7'!N14+'Activity 8'!N14</f>
        <v>1</v>
      </c>
      <c r="O14" s="198">
        <f t="shared" si="3"/>
        <v>46305</v>
      </c>
      <c r="P14" s="195">
        <f t="shared" si="4"/>
        <v>4051.6875</v>
      </c>
      <c r="Q14" s="196">
        <f>'Program Budget'!R18</f>
        <v>0</v>
      </c>
      <c r="R14" s="197">
        <f>Admin!R14+'Activity 1'!R14+'Activity 2'!R14+'Activity 3'!R14+'Activity 4'!R14+'Activity 5'!R14+'Activity 6'!R14+'Activity 7'!R14+'Activity 8'!R14</f>
        <v>1</v>
      </c>
      <c r="S14" s="198">
        <f t="shared" si="5"/>
        <v>0</v>
      </c>
      <c r="T14" s="333">
        <f t="shared" si="6"/>
        <v>111405</v>
      </c>
    </row>
    <row r="15" spans="1:25" ht="15" customHeight="1" outlineLevel="1">
      <c r="A15" s="193" t="str">
        <f>'Program Budget'!D19</f>
        <v>Extension Agents (45 in Y5 and 25 in Y6)</v>
      </c>
      <c r="B15" s="194" t="str">
        <f>'Program Budget'!F19</f>
        <v>Month</v>
      </c>
      <c r="C15" s="198">
        <f>Admin!C15+'Activity 1'!C15+'Activity 2'!C15+'Activity 3'!C15+'Activity 4'!C15+'Activity 5'!C15+'Activity 6'!C15+'Activity 7'!C15+'Activity 8'!C15</f>
        <v>187435.61000000002</v>
      </c>
      <c r="D15" s="195">
        <f>'Program Budget'!G19</f>
        <v>1000</v>
      </c>
      <c r="E15" s="196">
        <f>'Program Budget'!I19</f>
        <v>12</v>
      </c>
      <c r="F15" s="197">
        <f>Admin!F15+'Activity 1'!F15+'Activity 2'!F15+'Activity 3'!F15+'Activity 4'!F15+'Activity 5'!F15+'Activity 6'!F15+'Activity 7'!F15+'Activity 8'!F15</f>
        <v>1</v>
      </c>
      <c r="G15" s="198">
        <f>(D15*45)*E15*F15</f>
        <v>540000</v>
      </c>
      <c r="H15" s="195">
        <f t="shared" si="0"/>
        <v>1050</v>
      </c>
      <c r="I15" s="196">
        <f>'Program Budget'!L19</f>
        <v>12</v>
      </c>
      <c r="J15" s="197">
        <f>Admin!J15+'Activity 1'!J15+'Activity 2'!J15+'Activity 3'!J15+'Activity 4'!J15+'Activity 5'!J15+'Activity 6'!J15+'Activity 7'!J15+'Activity 8'!J15</f>
        <v>1</v>
      </c>
      <c r="K15" s="198">
        <f>(H15*25)*I15*J15</f>
        <v>315000</v>
      </c>
      <c r="L15" s="195">
        <f t="shared" si="2"/>
        <v>1102.5</v>
      </c>
      <c r="M15" s="196">
        <f>'Program Budget'!O19</f>
        <v>0</v>
      </c>
      <c r="N15" s="197">
        <f>Admin!N15+'Activity 1'!N15+'Activity 2'!N15+'Activity 3'!N15+'Activity 4'!N15+'Activity 5'!N15+'Activity 6'!N15+'Activity 7'!N15+'Activity 8'!N15</f>
        <v>1</v>
      </c>
      <c r="O15" s="198">
        <f t="shared" si="3"/>
        <v>0</v>
      </c>
      <c r="P15" s="195">
        <f t="shared" si="4"/>
        <v>1157.625</v>
      </c>
      <c r="Q15" s="196">
        <f>'Program Budget'!R19</f>
        <v>0</v>
      </c>
      <c r="R15" s="197">
        <f>Admin!R15+'Activity 1'!R15+'Activity 2'!R15+'Activity 3'!R15+'Activity 4'!R15+'Activity 5'!R15+'Activity 6'!R15+'Activity 7'!R15+'Activity 8'!R15</f>
        <v>1</v>
      </c>
      <c r="S15" s="198">
        <f t="shared" si="5"/>
        <v>0</v>
      </c>
      <c r="T15" s="333">
        <f t="shared" si="6"/>
        <v>1042435.61</v>
      </c>
    </row>
    <row r="16" spans="1:25" ht="15" customHeight="1" outlineLevel="1">
      <c r="A16" s="193" t="str">
        <f>'Program Budget'!D20</f>
        <v>Activity Lead Agribusiness Senior Specialist (Complementary Crop)</v>
      </c>
      <c r="B16" s="194" t="str">
        <f>'Program Budget'!F20</f>
        <v>Month</v>
      </c>
      <c r="C16" s="198">
        <f>Admin!C16+'Activity 1'!C16+'Activity 2'!C16+'Activity 3'!C16+'Activity 4'!C16+'Activity 5'!C16+'Activity 6'!C16+'Activity 7'!C16+'Activity 8'!C16</f>
        <v>151336.29999999999</v>
      </c>
      <c r="D16" s="195">
        <f>'Program Budget'!G20</f>
        <v>2833.3333333333335</v>
      </c>
      <c r="E16" s="196">
        <f>'Program Budget'!I20</f>
        <v>12</v>
      </c>
      <c r="F16" s="197">
        <f>Admin!F16+'Activity 1'!F16+'Activity 2'!F16+'Activity 3'!F16+'Activity 4'!F16+'Activity 5'!F16+'Activity 6'!F16+'Activity 7'!F16+'Activity 8'!F16</f>
        <v>1</v>
      </c>
      <c r="G16" s="198">
        <f t="shared" si="7"/>
        <v>34000</v>
      </c>
      <c r="H16" s="195">
        <f t="shared" si="0"/>
        <v>2975.0000000000005</v>
      </c>
      <c r="I16" s="196">
        <f>'Program Budget'!L20</f>
        <v>12</v>
      </c>
      <c r="J16" s="197">
        <f>Admin!J16+'Activity 1'!J16+'Activity 2'!J16+'Activity 3'!J16+'Activity 4'!J16+'Activity 5'!J16+'Activity 6'!J16+'Activity 7'!J16+'Activity 8'!J16</f>
        <v>1</v>
      </c>
      <c r="K16" s="198">
        <f t="shared" si="1"/>
        <v>35700.000000000007</v>
      </c>
      <c r="L16" s="195">
        <f t="shared" si="2"/>
        <v>3123.7500000000005</v>
      </c>
      <c r="M16" s="196">
        <f>'Program Budget'!O20</f>
        <v>12</v>
      </c>
      <c r="N16" s="197">
        <f>Admin!N16+'Activity 1'!N16+'Activity 2'!N16+'Activity 3'!N16+'Activity 4'!N16+'Activity 5'!N16+'Activity 6'!N16+'Activity 7'!N16+'Activity 8'!N16</f>
        <v>1</v>
      </c>
      <c r="O16" s="198">
        <f t="shared" si="3"/>
        <v>37485.000000000007</v>
      </c>
      <c r="P16" s="195">
        <f t="shared" si="4"/>
        <v>3279.9375000000005</v>
      </c>
      <c r="Q16" s="196">
        <f>'Program Budget'!R20</f>
        <v>0</v>
      </c>
      <c r="R16" s="197">
        <f>Admin!R16+'Activity 1'!R16+'Activity 2'!R16+'Activity 3'!R16+'Activity 4'!R16+'Activity 5'!R16+'Activity 6'!R16+'Activity 7'!R16+'Activity 8'!R16</f>
        <v>1</v>
      </c>
      <c r="S16" s="198">
        <f t="shared" si="5"/>
        <v>0</v>
      </c>
      <c r="T16" s="333">
        <f t="shared" si="6"/>
        <v>258521.3</v>
      </c>
    </row>
    <row r="17" spans="1:20" ht="15" customHeight="1" outlineLevel="1">
      <c r="A17" s="193" t="str">
        <f>'Program Budget'!D21</f>
        <v>Complementary Crops Field Officer</v>
      </c>
      <c r="B17" s="194" t="str">
        <f>'Program Budget'!F21</f>
        <v>Month</v>
      </c>
      <c r="C17" s="198">
        <f>Admin!C17+'Activity 1'!C17+'Activity 2'!C17+'Activity 3'!C17+'Activity 4'!C17+'Activity 5'!C17+'Activity 6'!C17+'Activity 7'!C17+'Activity 8'!C17</f>
        <v>0</v>
      </c>
      <c r="D17" s="195">
        <f>'Program Budget'!G21</f>
        <v>0</v>
      </c>
      <c r="E17" s="196">
        <f>'Program Budget'!I21</f>
        <v>0</v>
      </c>
      <c r="F17" s="197">
        <f>Admin!F17+'Activity 1'!F17+'Activity 2'!F17+'Activity 3'!F17+'Activity 4'!F17+'Activity 5'!F17+'Activity 6'!F17+'Activity 7'!F17+'Activity 8'!F17</f>
        <v>1</v>
      </c>
      <c r="G17" s="198">
        <f t="shared" si="7"/>
        <v>0</v>
      </c>
      <c r="H17" s="195">
        <f t="shared" si="0"/>
        <v>0</v>
      </c>
      <c r="I17" s="196">
        <f>'Program Budget'!L21</f>
        <v>12</v>
      </c>
      <c r="J17" s="197">
        <f>Admin!J17+'Activity 1'!J17+'Activity 2'!J17+'Activity 3'!J17+'Activity 4'!J17+'Activity 5'!J17+'Activity 6'!J17+'Activity 7'!J17+'Activity 8'!J17</f>
        <v>1</v>
      </c>
      <c r="K17" s="198">
        <f t="shared" si="1"/>
        <v>0</v>
      </c>
      <c r="L17" s="195">
        <f t="shared" si="2"/>
        <v>0</v>
      </c>
      <c r="M17" s="196">
        <f>'Program Budget'!O21</f>
        <v>12</v>
      </c>
      <c r="N17" s="197">
        <f>Admin!N17+'Activity 1'!N17+'Activity 2'!N17+'Activity 3'!N17+'Activity 4'!N17+'Activity 5'!N17+'Activity 6'!N17+'Activity 7'!N17+'Activity 8'!N17</f>
        <v>1</v>
      </c>
      <c r="O17" s="198">
        <f t="shared" si="3"/>
        <v>0</v>
      </c>
      <c r="P17" s="195">
        <f t="shared" si="4"/>
        <v>0</v>
      </c>
      <c r="Q17" s="196">
        <f>'Program Budget'!R21</f>
        <v>0</v>
      </c>
      <c r="R17" s="197">
        <f>Admin!R17+'Activity 1'!R17+'Activity 2'!R17+'Activity 3'!R17+'Activity 4'!R17+'Activity 5'!R17+'Activity 6'!R17+'Activity 7'!R17+'Activity 8'!R17</f>
        <v>1</v>
      </c>
      <c r="S17" s="198">
        <f t="shared" si="5"/>
        <v>0</v>
      </c>
      <c r="T17" s="333">
        <f t="shared" si="6"/>
        <v>0</v>
      </c>
    </row>
    <row r="18" spans="1:20" ht="15" customHeight="1" outlineLevel="1">
      <c r="A18" s="193" t="str">
        <f>'Program Budget'!D22</f>
        <v>EPSEAS Specialist</v>
      </c>
      <c r="B18" s="194" t="str">
        <f>'Program Budget'!F22</f>
        <v>Month</v>
      </c>
      <c r="C18" s="198">
        <f>Admin!C18+'Activity 1'!C18+'Activity 2'!C18+'Activity 3'!C18+'Activity 4'!C18+'Activity 5'!C18+'Activity 6'!C18+'Activity 7'!C18+'Activity 8'!C18</f>
        <v>0</v>
      </c>
      <c r="D18" s="195">
        <f>'Program Budget'!G22</f>
        <v>0</v>
      </c>
      <c r="E18" s="196">
        <f>'Program Budget'!I22</f>
        <v>0</v>
      </c>
      <c r="F18" s="197">
        <f>Admin!F18+'Activity 1'!F18+'Activity 2'!F18+'Activity 3'!F18+'Activity 4'!F18+'Activity 5'!F18+'Activity 6'!F18+'Activity 7'!F18+'Activity 8'!F18</f>
        <v>1</v>
      </c>
      <c r="G18" s="198">
        <f t="shared" si="7"/>
        <v>0</v>
      </c>
      <c r="H18" s="195">
        <f t="shared" si="0"/>
        <v>0</v>
      </c>
      <c r="I18" s="196">
        <f>'Program Budget'!L22</f>
        <v>12</v>
      </c>
      <c r="J18" s="197">
        <f>Admin!J18+'Activity 1'!J18+'Activity 2'!J18+'Activity 3'!J18+'Activity 4'!J18+'Activity 5'!J18+'Activity 6'!J18+'Activity 7'!J18+'Activity 8'!J18</f>
        <v>1</v>
      </c>
      <c r="K18" s="198">
        <f t="shared" si="1"/>
        <v>0</v>
      </c>
      <c r="L18" s="195">
        <f t="shared" si="2"/>
        <v>0</v>
      </c>
      <c r="M18" s="196">
        <f>'Program Budget'!O22</f>
        <v>12</v>
      </c>
      <c r="N18" s="197">
        <f>Admin!N18+'Activity 1'!N18+'Activity 2'!N18+'Activity 3'!N18+'Activity 4'!N18+'Activity 5'!N18+'Activity 6'!N18+'Activity 7'!N18+'Activity 8'!N18</f>
        <v>1</v>
      </c>
      <c r="O18" s="198">
        <f t="shared" si="3"/>
        <v>0</v>
      </c>
      <c r="P18" s="195">
        <f t="shared" si="4"/>
        <v>0</v>
      </c>
      <c r="Q18" s="196">
        <f>'Program Budget'!R22</f>
        <v>0</v>
      </c>
      <c r="R18" s="197">
        <f>Admin!R18+'Activity 1'!R18+'Activity 2'!R18+'Activity 3'!R18+'Activity 4'!R18+'Activity 5'!R18+'Activity 6'!R18+'Activity 7'!R18+'Activity 8'!R18</f>
        <v>1</v>
      </c>
      <c r="S18" s="198">
        <f t="shared" si="5"/>
        <v>0</v>
      </c>
      <c r="T18" s="333">
        <f t="shared" si="6"/>
        <v>0</v>
      </c>
    </row>
    <row r="19" spans="1:20" ht="15" customHeight="1" outlineLevel="1">
      <c r="A19" s="193" t="str">
        <f>'Program Budget'!D23</f>
        <v>Extension Agents for EPSEAS (20 in Y6 and 25 in Y7)</v>
      </c>
      <c r="B19" s="194" t="str">
        <f>'Program Budget'!F23</f>
        <v>Month</v>
      </c>
      <c r="C19" s="198">
        <f>Admin!C19+'Activity 1'!C19+'Activity 2'!C19+'Activity 3'!C19+'Activity 4'!C19+'Activity 5'!C19+'Activity 6'!C19+'Activity 7'!C19+'Activity 8'!C19</f>
        <v>0</v>
      </c>
      <c r="D19" s="195">
        <f>'Program Budget'!G23</f>
        <v>1000</v>
      </c>
      <c r="E19" s="196">
        <f>'Program Budget'!I23</f>
        <v>0</v>
      </c>
      <c r="F19" s="197">
        <f>Admin!F19+'Activity 1'!F19+'Activity 2'!F19+'Activity 3'!F19+'Activity 4'!F19+'Activity 5'!F19+'Activity 6'!F19+'Activity 7'!F19+'Activity 8'!F19</f>
        <v>1</v>
      </c>
      <c r="G19" s="198">
        <f t="shared" si="7"/>
        <v>0</v>
      </c>
      <c r="H19" s="195">
        <f t="shared" si="0"/>
        <v>1050</v>
      </c>
      <c r="I19" s="196">
        <f>'Program Budget'!L23</f>
        <v>12</v>
      </c>
      <c r="J19" s="197">
        <f>Admin!J19+'Activity 1'!J19+'Activity 2'!J19+'Activity 3'!J19+'Activity 4'!J19+'Activity 5'!J19+'Activity 6'!J19+'Activity 7'!J19+'Activity 8'!J19</f>
        <v>1</v>
      </c>
      <c r="K19" s="198">
        <f>(H19*20)*I19*J19</f>
        <v>252000</v>
      </c>
      <c r="L19" s="195">
        <f>H19*1.05</f>
        <v>1102.5</v>
      </c>
      <c r="M19" s="196">
        <f>'Program Budget'!O23</f>
        <v>12</v>
      </c>
      <c r="N19" s="197">
        <f>Admin!N19+'Activity 1'!N19+'Activity 2'!N19+'Activity 3'!N19+'Activity 4'!N19+'Activity 5'!N19+'Activity 6'!N19+'Activity 7'!N19+'Activity 8'!N19</f>
        <v>1</v>
      </c>
      <c r="O19" s="198">
        <f>(L19*25)*M19*N19</f>
        <v>330750</v>
      </c>
      <c r="P19" s="195">
        <f t="shared" si="4"/>
        <v>1157.625</v>
      </c>
      <c r="Q19" s="196">
        <f>'Program Budget'!R23</f>
        <v>0</v>
      </c>
      <c r="R19" s="197">
        <f>Admin!R19+'Activity 1'!R19+'Activity 2'!R19+'Activity 3'!R19+'Activity 4'!R19+'Activity 5'!R19+'Activity 6'!R19+'Activity 7'!R19+'Activity 8'!R19</f>
        <v>1</v>
      </c>
      <c r="S19" s="198">
        <f t="shared" si="5"/>
        <v>0</v>
      </c>
      <c r="T19" s="333">
        <f t="shared" si="6"/>
        <v>582750</v>
      </c>
    </row>
    <row r="20" spans="1:20" ht="15" customHeight="1" outlineLevel="1">
      <c r="A20" s="193" t="str">
        <f>'Program Budget'!D24</f>
        <v xml:space="preserve">Senior M&amp;E Director </v>
      </c>
      <c r="B20" s="194" t="str">
        <f>'Program Budget'!F24</f>
        <v>Month</v>
      </c>
      <c r="C20" s="198">
        <f>Admin!C20+'Activity 1'!C20+'Activity 2'!C20+'Activity 3'!C20+'Activity 4'!C20+'Activity 5'!C20+'Activity 6'!C20+'Activity 7'!C20+'Activity 8'!C20</f>
        <v>124292.19</v>
      </c>
      <c r="D20" s="195">
        <f>'Program Budget'!G24</f>
        <v>6250</v>
      </c>
      <c r="E20" s="196">
        <f>'Program Budget'!I24</f>
        <v>12</v>
      </c>
      <c r="F20" s="197">
        <f>Admin!F20+'Activity 1'!F20+'Activity 2'!F20+'Activity 3'!F20+'Activity 4'!F20+'Activity 5'!F20+'Activity 6'!F20+'Activity 7'!F20+'Activity 8'!F20</f>
        <v>0.99999999999999989</v>
      </c>
      <c r="G20" s="198">
        <f t="shared" si="7"/>
        <v>74999.999999999985</v>
      </c>
      <c r="H20" s="195">
        <f t="shared" si="0"/>
        <v>6562.5</v>
      </c>
      <c r="I20" s="196">
        <f>'Program Budget'!L24</f>
        <v>12</v>
      </c>
      <c r="J20" s="197">
        <f>Admin!J20+'Activity 1'!J20+'Activity 2'!J20+'Activity 3'!J20+'Activity 4'!J20+'Activity 5'!J20+'Activity 6'!J20+'Activity 7'!J20+'Activity 8'!J20</f>
        <v>1</v>
      </c>
      <c r="K20" s="198">
        <f t="shared" si="1"/>
        <v>78750</v>
      </c>
      <c r="L20" s="195">
        <f t="shared" si="2"/>
        <v>6890.625</v>
      </c>
      <c r="M20" s="196">
        <f>'Program Budget'!O24</f>
        <v>12</v>
      </c>
      <c r="N20" s="197">
        <f>Admin!N20+'Activity 1'!N20+'Activity 2'!N20+'Activity 3'!N20+'Activity 4'!N20+'Activity 5'!N20+'Activity 6'!N20+'Activity 7'!N20+'Activity 8'!N20</f>
        <v>1</v>
      </c>
      <c r="O20" s="198">
        <f t="shared" si="3"/>
        <v>82687.5</v>
      </c>
      <c r="P20" s="195">
        <f t="shared" si="4"/>
        <v>7235.15625</v>
      </c>
      <c r="Q20" s="196">
        <f>'Program Budget'!R24</f>
        <v>6</v>
      </c>
      <c r="R20" s="197">
        <f>Admin!R20+'Activity 1'!R20+'Activity 2'!R20+'Activity 3'!R20+'Activity 4'!R20+'Activity 5'!R20+'Activity 6'!R20+'Activity 7'!R20+'Activity 8'!R20</f>
        <v>1</v>
      </c>
      <c r="S20" s="198">
        <f t="shared" si="5"/>
        <v>43410.9375</v>
      </c>
      <c r="T20" s="333">
        <f t="shared" si="6"/>
        <v>404140.6275</v>
      </c>
    </row>
    <row r="21" spans="1:20" ht="15" customHeight="1" outlineLevel="1">
      <c r="A21" s="193" t="str">
        <f>'Program Budget'!D25</f>
        <v>Senior M&amp;E Specialist</v>
      </c>
      <c r="B21" s="194" t="str">
        <f>'Program Budget'!F25</f>
        <v>Month</v>
      </c>
      <c r="C21" s="198">
        <f>Admin!C21+'Activity 1'!C21+'Activity 2'!C21+'Activity 3'!C21+'Activity 4'!C21+'Activity 5'!C21+'Activity 6'!C21+'Activity 7'!C21+'Activity 8'!C21</f>
        <v>97588.950000000012</v>
      </c>
      <c r="D21" s="195">
        <f>'Program Budget'!G25</f>
        <v>2833.3333333333335</v>
      </c>
      <c r="E21" s="196">
        <f>'Program Budget'!I25</f>
        <v>12</v>
      </c>
      <c r="F21" s="197">
        <f>Admin!F21+'Activity 1'!F21+'Activity 2'!F21+'Activity 3'!F21+'Activity 4'!F21+'Activity 5'!F21+'Activity 6'!F21+'Activity 7'!F21+'Activity 8'!F21</f>
        <v>0.99999999999999989</v>
      </c>
      <c r="G21" s="198">
        <f t="shared" si="7"/>
        <v>33999.999999999993</v>
      </c>
      <c r="H21" s="195">
        <f t="shared" si="0"/>
        <v>2975.0000000000005</v>
      </c>
      <c r="I21" s="196">
        <f>'Program Budget'!L25</f>
        <v>12</v>
      </c>
      <c r="J21" s="197">
        <f>Admin!J21+'Activity 1'!J21+'Activity 2'!J21+'Activity 3'!J21+'Activity 4'!J21+'Activity 5'!J21+'Activity 6'!J21+'Activity 7'!J21+'Activity 8'!J21</f>
        <v>1</v>
      </c>
      <c r="K21" s="198">
        <f t="shared" si="1"/>
        <v>35700.000000000007</v>
      </c>
      <c r="L21" s="195">
        <f t="shared" si="2"/>
        <v>3123.7500000000005</v>
      </c>
      <c r="M21" s="196">
        <f>'Program Budget'!O25</f>
        <v>12</v>
      </c>
      <c r="N21" s="197">
        <f>Admin!N21+'Activity 1'!N21+'Activity 2'!N21+'Activity 3'!N21+'Activity 4'!N21+'Activity 5'!N21+'Activity 6'!N21+'Activity 7'!N21+'Activity 8'!N21</f>
        <v>1</v>
      </c>
      <c r="O21" s="198">
        <f t="shared" si="3"/>
        <v>37485.000000000007</v>
      </c>
      <c r="P21" s="195">
        <f t="shared" si="4"/>
        <v>3279.9375000000005</v>
      </c>
      <c r="Q21" s="196">
        <f>'Program Budget'!R25</f>
        <v>6</v>
      </c>
      <c r="R21" s="197">
        <f>Admin!R21+'Activity 1'!R21+'Activity 2'!R21+'Activity 3'!R21+'Activity 4'!R21+'Activity 5'!R21+'Activity 6'!R21+'Activity 7'!R21+'Activity 8'!R21</f>
        <v>1</v>
      </c>
      <c r="S21" s="198">
        <f t="shared" si="5"/>
        <v>19679.625000000004</v>
      </c>
      <c r="T21" s="333">
        <f t="shared" si="6"/>
        <v>224453.57500000001</v>
      </c>
    </row>
    <row r="22" spans="1:20" ht="15" customHeight="1" outlineLevel="1">
      <c r="A22" s="193" t="str">
        <f>'Program Budget'!D26</f>
        <v>M&amp;E Specialist</v>
      </c>
      <c r="B22" s="194" t="str">
        <f>'Program Budget'!F26</f>
        <v>Month</v>
      </c>
      <c r="C22" s="198">
        <f>Admin!C22+'Activity 1'!C22+'Activity 2'!C22+'Activity 3'!C22+'Activity 4'!C22+'Activity 5'!C22+'Activity 6'!C22+'Activity 7'!C22+'Activity 8'!C22</f>
        <v>77001.794999999998</v>
      </c>
      <c r="D22" s="195">
        <f>'Program Budget'!G26</f>
        <v>2500</v>
      </c>
      <c r="E22" s="196">
        <f>'Program Budget'!I26</f>
        <v>12</v>
      </c>
      <c r="F22" s="197">
        <f>Admin!F22+'Activity 1'!F22+'Activity 2'!F22+'Activity 3'!F22+'Activity 4'!F22+'Activity 5'!F22+'Activity 6'!F22+'Activity 7'!F22+'Activity 8'!F22</f>
        <v>0.99999999999999989</v>
      </c>
      <c r="G22" s="198">
        <f t="shared" si="7"/>
        <v>29999.999999999996</v>
      </c>
      <c r="H22" s="195">
        <f t="shared" si="0"/>
        <v>2625</v>
      </c>
      <c r="I22" s="196">
        <f>'Program Budget'!L26</f>
        <v>12</v>
      </c>
      <c r="J22" s="197">
        <f>Admin!J22+'Activity 1'!J22+'Activity 2'!J22+'Activity 3'!J22+'Activity 4'!J22+'Activity 5'!J22+'Activity 6'!J22+'Activity 7'!J22+'Activity 8'!J22</f>
        <v>1</v>
      </c>
      <c r="K22" s="198">
        <f t="shared" si="1"/>
        <v>31500</v>
      </c>
      <c r="L22" s="195">
        <f t="shared" si="2"/>
        <v>2756.25</v>
      </c>
      <c r="M22" s="196">
        <f>'Program Budget'!O26</f>
        <v>12</v>
      </c>
      <c r="N22" s="197">
        <f>Admin!N22+'Activity 1'!N22+'Activity 2'!N22+'Activity 3'!N22+'Activity 4'!N22+'Activity 5'!N22+'Activity 6'!N22+'Activity 7'!N22+'Activity 8'!N22</f>
        <v>1</v>
      </c>
      <c r="O22" s="198">
        <f t="shared" si="3"/>
        <v>33075</v>
      </c>
      <c r="P22" s="195">
        <f t="shared" si="4"/>
        <v>2894.0625</v>
      </c>
      <c r="Q22" s="196">
        <f>'Program Budget'!R26</f>
        <v>3</v>
      </c>
      <c r="R22" s="197">
        <f>Admin!R22+'Activity 1'!R22+'Activity 2'!R22+'Activity 3'!R22+'Activity 4'!R22+'Activity 5'!R22+'Activity 6'!R22+'Activity 7'!R22+'Activity 8'!R22</f>
        <v>1</v>
      </c>
      <c r="S22" s="198">
        <f t="shared" si="5"/>
        <v>8682.1875</v>
      </c>
      <c r="T22" s="333">
        <f t="shared" si="6"/>
        <v>180258.98249999998</v>
      </c>
    </row>
    <row r="23" spans="1:20" ht="15" customHeight="1" outlineLevel="1">
      <c r="A23" s="193" t="str">
        <f>'Program Budget'!D27</f>
        <v>M&amp;E Officer</v>
      </c>
      <c r="B23" s="194" t="str">
        <f>'Program Budget'!F27</f>
        <v>Month</v>
      </c>
      <c r="C23" s="198">
        <f>Admin!C23+'Activity 1'!C23+'Activity 2'!C23+'Activity 3'!C23+'Activity 4'!C23+'Activity 5'!C23+'Activity 6'!C23+'Activity 7'!C23+'Activity 8'!C23</f>
        <v>48959.525000000001</v>
      </c>
      <c r="D23" s="195">
        <f>'Program Budget'!G27</f>
        <v>1000</v>
      </c>
      <c r="E23" s="196">
        <f>'Program Budget'!I27</f>
        <v>12</v>
      </c>
      <c r="F23" s="197">
        <f>Admin!F23+'Activity 1'!F23+'Activity 2'!F23+'Activity 3'!F23+'Activity 4'!F23+'Activity 5'!F23+'Activity 6'!F23+'Activity 7'!F23+'Activity 8'!F23</f>
        <v>0.99999999999999989</v>
      </c>
      <c r="G23" s="198">
        <f t="shared" si="7"/>
        <v>11999.999999999998</v>
      </c>
      <c r="H23" s="195">
        <f t="shared" si="0"/>
        <v>1050</v>
      </c>
      <c r="I23" s="196">
        <f>'Program Budget'!L27</f>
        <v>12</v>
      </c>
      <c r="J23" s="197">
        <f>Admin!J23+'Activity 1'!J23+'Activity 2'!J23+'Activity 3'!J23+'Activity 4'!J23+'Activity 5'!J23+'Activity 6'!J23+'Activity 7'!J23+'Activity 8'!J23</f>
        <v>1</v>
      </c>
      <c r="K23" s="198">
        <f t="shared" si="1"/>
        <v>12600</v>
      </c>
      <c r="L23" s="195">
        <f t="shared" si="2"/>
        <v>1102.5</v>
      </c>
      <c r="M23" s="196">
        <f>'Program Budget'!O27</f>
        <v>12</v>
      </c>
      <c r="N23" s="197">
        <f>Admin!N23+'Activity 1'!N23+'Activity 2'!N23+'Activity 3'!N23+'Activity 4'!N23+'Activity 5'!N23+'Activity 6'!N23+'Activity 7'!N23+'Activity 8'!N23</f>
        <v>1</v>
      </c>
      <c r="O23" s="198">
        <f t="shared" si="3"/>
        <v>13230</v>
      </c>
      <c r="P23" s="195">
        <f t="shared" si="4"/>
        <v>1157.625</v>
      </c>
      <c r="Q23" s="196">
        <f>'Program Budget'!R27</f>
        <v>3</v>
      </c>
      <c r="R23" s="197">
        <f>Admin!R23+'Activity 1'!R23+'Activity 2'!R23+'Activity 3'!R23+'Activity 4'!R23+'Activity 5'!R23+'Activity 6'!R23+'Activity 7'!R23+'Activity 8'!R23</f>
        <v>1</v>
      </c>
      <c r="S23" s="198">
        <f t="shared" si="5"/>
        <v>3472.875</v>
      </c>
      <c r="T23" s="333">
        <f t="shared" si="6"/>
        <v>90262.399999999994</v>
      </c>
    </row>
    <row r="24" spans="1:20" ht="16" customHeight="1" outlineLevel="1">
      <c r="A24" s="193" t="str">
        <f>'Program Budget'!D28</f>
        <v>Partnerships and Investment Director</v>
      </c>
      <c r="B24" s="194" t="str">
        <f>'Program Budget'!F28</f>
        <v>Month</v>
      </c>
      <c r="C24" s="198">
        <f>Admin!C24+'Activity 1'!C24+'Activity 2'!C24+'Activity 3'!C24+'Activity 4'!C24+'Activity 5'!C24+'Activity 6'!C24+'Activity 7'!C24+'Activity 8'!C24</f>
        <v>235574.48000000004</v>
      </c>
      <c r="D24" s="195">
        <f>'Program Budget'!G28</f>
        <v>4583.333333333333</v>
      </c>
      <c r="E24" s="196">
        <f>'Program Budget'!I28</f>
        <v>12</v>
      </c>
      <c r="F24" s="197">
        <f>Admin!F24+'Activity 1'!F24+'Activity 2'!F24+'Activity 3'!F24+'Activity 4'!F24+'Activity 5'!F24+'Activity 6'!F24+'Activity 7'!F24+'Activity 8'!F24</f>
        <v>0.99999999999999989</v>
      </c>
      <c r="G24" s="198">
        <f t="shared" si="7"/>
        <v>54999.999999999993</v>
      </c>
      <c r="H24" s="195">
        <f t="shared" si="0"/>
        <v>4812.5</v>
      </c>
      <c r="I24" s="196">
        <f>'Program Budget'!L28</f>
        <v>12</v>
      </c>
      <c r="J24" s="197">
        <f>Admin!J24+'Activity 1'!J24+'Activity 2'!J24+'Activity 3'!J24+'Activity 4'!J24+'Activity 5'!J24+'Activity 6'!J24+'Activity 7'!J24+'Activity 8'!J24</f>
        <v>1</v>
      </c>
      <c r="K24" s="198">
        <f t="shared" si="1"/>
        <v>57750</v>
      </c>
      <c r="L24" s="195">
        <f t="shared" si="2"/>
        <v>5053.125</v>
      </c>
      <c r="M24" s="196">
        <f>'Program Budget'!O28</f>
        <v>12</v>
      </c>
      <c r="N24" s="197">
        <f>Admin!N24+'Activity 1'!N24+'Activity 2'!N24+'Activity 3'!N24+'Activity 4'!N24+'Activity 5'!N24+'Activity 6'!N24+'Activity 7'!N24+'Activity 8'!N24</f>
        <v>1</v>
      </c>
      <c r="O24" s="198">
        <f t="shared" si="3"/>
        <v>60637.5</v>
      </c>
      <c r="P24" s="195">
        <f t="shared" si="4"/>
        <v>5305.78125</v>
      </c>
      <c r="Q24" s="196">
        <f>'Program Budget'!R28</f>
        <v>0</v>
      </c>
      <c r="R24" s="197">
        <f>Admin!R24+'Activity 1'!R24+'Activity 2'!R24+'Activity 3'!R24+'Activity 4'!R24+'Activity 5'!R24+'Activity 6'!R24+'Activity 7'!R24+'Activity 8'!R24</f>
        <v>1</v>
      </c>
      <c r="S24" s="198">
        <f t="shared" si="5"/>
        <v>0</v>
      </c>
      <c r="T24" s="333">
        <f t="shared" si="6"/>
        <v>408961.98000000004</v>
      </c>
    </row>
    <row r="25" spans="1:20" ht="16" customHeight="1" outlineLevel="1">
      <c r="A25" s="193" t="str">
        <f>'Program Budget'!D29</f>
        <v>Partnerships and Investment Specialist</v>
      </c>
      <c r="B25" s="194" t="str">
        <f>'Program Budget'!F29</f>
        <v>Month</v>
      </c>
      <c r="C25" s="198">
        <f>Admin!C25+'Activity 1'!C25+'Activity 2'!C25+'Activity 3'!C25+'Activity 4'!C25+'Activity 5'!C25+'Activity 6'!C25+'Activity 7'!C25+'Activity 8'!C25</f>
        <v>0</v>
      </c>
      <c r="D25" s="195">
        <f>'Program Budget'!G29</f>
        <v>1750</v>
      </c>
      <c r="E25" s="196">
        <f>'Program Budget'!I29</f>
        <v>12</v>
      </c>
      <c r="F25" s="197">
        <f>Admin!F25+'Activity 1'!F25+'Activity 2'!F25+'Activity 3'!F25+'Activity 4'!F25+'Activity 5'!F25+'Activity 6'!F25+'Activity 7'!F25+'Activity 8'!F25</f>
        <v>0.99999999999999989</v>
      </c>
      <c r="G25" s="198">
        <f t="shared" si="7"/>
        <v>20999.999999999996</v>
      </c>
      <c r="H25" s="195">
        <f t="shared" si="0"/>
        <v>1837.5</v>
      </c>
      <c r="I25" s="196">
        <f>'Program Budget'!L29</f>
        <v>12</v>
      </c>
      <c r="J25" s="197">
        <f>Admin!J25+'Activity 1'!J25+'Activity 2'!J25+'Activity 3'!J25+'Activity 4'!J25+'Activity 5'!J25+'Activity 6'!J25+'Activity 7'!J25+'Activity 8'!J25</f>
        <v>1</v>
      </c>
      <c r="K25" s="198">
        <f t="shared" si="1"/>
        <v>22050</v>
      </c>
      <c r="L25" s="195">
        <f t="shared" si="2"/>
        <v>1929.375</v>
      </c>
      <c r="M25" s="196">
        <f>'Program Budget'!O29</f>
        <v>12</v>
      </c>
      <c r="N25" s="197">
        <f>Admin!N25+'Activity 1'!N25+'Activity 2'!N25+'Activity 3'!N25+'Activity 4'!N25+'Activity 5'!N25+'Activity 6'!N25+'Activity 7'!N25+'Activity 8'!N25</f>
        <v>1</v>
      </c>
      <c r="O25" s="198">
        <f t="shared" si="3"/>
        <v>23152.5</v>
      </c>
      <c r="P25" s="195">
        <f t="shared" si="4"/>
        <v>2025.84375</v>
      </c>
      <c r="Q25" s="196">
        <f>'Program Budget'!R29</f>
        <v>0</v>
      </c>
      <c r="R25" s="197">
        <f>Admin!R25+'Activity 1'!R25+'Activity 2'!R25+'Activity 3'!R25+'Activity 4'!R25+'Activity 5'!R25+'Activity 6'!R25+'Activity 7'!R25+'Activity 8'!R25</f>
        <v>1</v>
      </c>
      <c r="S25" s="198">
        <f t="shared" si="5"/>
        <v>0</v>
      </c>
      <c r="T25" s="333">
        <f t="shared" si="6"/>
        <v>66202.5</v>
      </c>
    </row>
    <row r="26" spans="1:20" ht="16" customHeight="1" outlineLevel="1">
      <c r="A26" s="193" t="str">
        <f>'Program Budget'!D30</f>
        <v>Organizational Strengthening Specialist</v>
      </c>
      <c r="B26" s="194" t="str">
        <f>'Program Budget'!F30</f>
        <v>Month</v>
      </c>
      <c r="C26" s="198">
        <f>Admin!C26+'Activity 1'!C26+'Activity 2'!C26+'Activity 3'!C26+'Activity 4'!C26+'Activity 5'!C26+'Activity 6'!C26+'Activity 7'!C26+'Activity 8'!C26</f>
        <v>0</v>
      </c>
      <c r="D26" s="195">
        <f>'Program Budget'!G30</f>
        <v>1750</v>
      </c>
      <c r="E26" s="196">
        <f>'Program Budget'!I30</f>
        <v>12</v>
      </c>
      <c r="F26" s="197">
        <f>Admin!F26+'Activity 1'!F26+'Activity 2'!F26+'Activity 3'!F26+'Activity 4'!F26+'Activity 5'!F26+'Activity 6'!F26+'Activity 7'!F26+'Activity 8'!F26</f>
        <v>0.99999999999999989</v>
      </c>
      <c r="G26" s="198">
        <f t="shared" si="7"/>
        <v>20999.999999999996</v>
      </c>
      <c r="H26" s="195">
        <f t="shared" si="0"/>
        <v>1837.5</v>
      </c>
      <c r="I26" s="196">
        <f>'Program Budget'!L30</f>
        <v>12</v>
      </c>
      <c r="J26" s="197">
        <f>Admin!J26+'Activity 1'!J26+'Activity 2'!J26+'Activity 3'!J26+'Activity 4'!J26+'Activity 5'!J26+'Activity 6'!J26+'Activity 7'!J26+'Activity 8'!J26</f>
        <v>1</v>
      </c>
      <c r="K26" s="198">
        <f t="shared" si="1"/>
        <v>22050</v>
      </c>
      <c r="L26" s="195">
        <f t="shared" si="2"/>
        <v>1929.375</v>
      </c>
      <c r="M26" s="196">
        <f>'Program Budget'!O30</f>
        <v>12</v>
      </c>
      <c r="N26" s="197">
        <f>Admin!N26+'Activity 1'!N26+'Activity 2'!N26+'Activity 3'!N26+'Activity 4'!N26+'Activity 5'!N26+'Activity 6'!N26+'Activity 7'!N26+'Activity 8'!N26</f>
        <v>1</v>
      </c>
      <c r="O26" s="198">
        <f t="shared" si="3"/>
        <v>23152.5</v>
      </c>
      <c r="P26" s="195">
        <f t="shared" si="4"/>
        <v>2025.84375</v>
      </c>
      <c r="Q26" s="196">
        <f>'Program Budget'!R30</f>
        <v>0</v>
      </c>
      <c r="R26" s="197">
        <f>Admin!R26+'Activity 1'!R26+'Activity 2'!R26+'Activity 3'!R26+'Activity 4'!R26+'Activity 5'!R26+'Activity 6'!R26+'Activity 7'!R26+'Activity 8'!R26</f>
        <v>1</v>
      </c>
      <c r="S26" s="198">
        <f t="shared" si="5"/>
        <v>0</v>
      </c>
      <c r="T26" s="333">
        <f t="shared" si="6"/>
        <v>66202.5</v>
      </c>
    </row>
    <row r="27" spans="1:20" ht="16" customHeight="1" outlineLevel="1">
      <c r="A27" s="193" t="str">
        <f>'Program Budget'!D31</f>
        <v>Value Chain Strengthening Director</v>
      </c>
      <c r="B27" s="194" t="str">
        <f>'Program Budget'!F31</f>
        <v>Month</v>
      </c>
      <c r="C27" s="198">
        <f>Admin!C27+'Activity 1'!C27+'Activity 2'!C27+'Activity 3'!C27+'Activity 4'!C27+'Activity 5'!C27+'Activity 6'!C27+'Activity 7'!C27+'Activity 8'!C27</f>
        <v>0</v>
      </c>
      <c r="D27" s="195">
        <f>'Program Budget'!G31</f>
        <v>0</v>
      </c>
      <c r="E27" s="196">
        <f>'Program Budget'!I31</f>
        <v>12</v>
      </c>
      <c r="F27" s="197">
        <f>Admin!F27+'Activity 1'!F27+'Activity 2'!F27+'Activity 3'!F27+'Activity 4'!F27+'Activity 5'!F27+'Activity 6'!F27+'Activity 7'!F27+'Activity 8'!F27</f>
        <v>0.99999999999999989</v>
      </c>
      <c r="G27" s="198">
        <f t="shared" si="7"/>
        <v>0</v>
      </c>
      <c r="H27" s="195">
        <f t="shared" si="0"/>
        <v>0</v>
      </c>
      <c r="I27" s="196">
        <f>'Program Budget'!L31</f>
        <v>12</v>
      </c>
      <c r="J27" s="197">
        <f>Admin!J27+'Activity 1'!J27+'Activity 2'!J27+'Activity 3'!J27+'Activity 4'!J27+'Activity 5'!J27+'Activity 6'!J27+'Activity 7'!J27+'Activity 8'!J27</f>
        <v>1</v>
      </c>
      <c r="K27" s="198">
        <f t="shared" si="1"/>
        <v>0</v>
      </c>
      <c r="L27" s="195">
        <f t="shared" si="2"/>
        <v>0</v>
      </c>
      <c r="M27" s="196">
        <f>'Program Budget'!O31</f>
        <v>12</v>
      </c>
      <c r="N27" s="197">
        <f>Admin!N27+'Activity 1'!N27+'Activity 2'!N27+'Activity 3'!N27+'Activity 4'!N27+'Activity 5'!N27+'Activity 6'!N27+'Activity 7'!N27+'Activity 8'!N27</f>
        <v>1</v>
      </c>
      <c r="O27" s="198">
        <f t="shared" si="3"/>
        <v>0</v>
      </c>
      <c r="P27" s="195">
        <f t="shared" si="4"/>
        <v>0</v>
      </c>
      <c r="Q27" s="196">
        <f>'Program Budget'!R31</f>
        <v>4</v>
      </c>
      <c r="R27" s="197">
        <f>Admin!R27+'Activity 1'!R27+'Activity 2'!R27+'Activity 3'!R27+'Activity 4'!R27+'Activity 5'!R27+'Activity 6'!R27+'Activity 7'!R27+'Activity 8'!R27</f>
        <v>1</v>
      </c>
      <c r="S27" s="198">
        <f t="shared" si="5"/>
        <v>0</v>
      </c>
      <c r="T27" s="333">
        <f t="shared" si="6"/>
        <v>0</v>
      </c>
    </row>
    <row r="28" spans="1:20" ht="15" customHeight="1" outlineLevel="1">
      <c r="A28" s="193" t="str">
        <f>'Program Budget'!D32</f>
        <v>Communications Specialist</v>
      </c>
      <c r="B28" s="194" t="str">
        <f>'Program Budget'!F32</f>
        <v>Month</v>
      </c>
      <c r="C28" s="198">
        <f>Admin!C28+'Activity 1'!C28+'Activity 2'!C28+'Activity 3'!C28+'Activity 4'!C28+'Activity 5'!C28+'Activity 6'!C28+'Activity 7'!C28+'Activity 8'!C28</f>
        <v>0</v>
      </c>
      <c r="D28" s="195">
        <f>'Program Budget'!G32</f>
        <v>1750</v>
      </c>
      <c r="E28" s="196">
        <f>'Program Budget'!I32</f>
        <v>12</v>
      </c>
      <c r="F28" s="197">
        <f>Admin!F28+'Activity 1'!F28+'Activity 2'!F28+'Activity 3'!F28+'Activity 4'!F28+'Activity 5'!F28+'Activity 6'!F28+'Activity 7'!F28+'Activity 8'!F28</f>
        <v>0.99999999999999989</v>
      </c>
      <c r="G28" s="198">
        <f t="shared" si="7"/>
        <v>20999.999999999996</v>
      </c>
      <c r="H28" s="195">
        <f t="shared" si="0"/>
        <v>1837.5</v>
      </c>
      <c r="I28" s="196">
        <f>'Program Budget'!L32</f>
        <v>12</v>
      </c>
      <c r="J28" s="197">
        <f>Admin!J28+'Activity 1'!J28+'Activity 2'!J28+'Activity 3'!J28+'Activity 4'!J28+'Activity 5'!J28+'Activity 6'!J28+'Activity 7'!J28+'Activity 8'!J28</f>
        <v>1</v>
      </c>
      <c r="K28" s="198">
        <f t="shared" si="1"/>
        <v>22050</v>
      </c>
      <c r="L28" s="195">
        <f t="shared" si="2"/>
        <v>1929.375</v>
      </c>
      <c r="M28" s="196">
        <f>'Program Budget'!O32</f>
        <v>12</v>
      </c>
      <c r="N28" s="197">
        <f>Admin!N28+'Activity 1'!N28+'Activity 2'!N28+'Activity 3'!N28+'Activity 4'!N28+'Activity 5'!N28+'Activity 6'!N28+'Activity 7'!N28+'Activity 8'!N28</f>
        <v>1</v>
      </c>
      <c r="O28" s="198">
        <f t="shared" si="3"/>
        <v>23152.5</v>
      </c>
      <c r="P28" s="195">
        <f t="shared" si="4"/>
        <v>2025.84375</v>
      </c>
      <c r="Q28" s="196">
        <f>'Program Budget'!R32</f>
        <v>0</v>
      </c>
      <c r="R28" s="197">
        <f>Admin!R28+'Activity 1'!R28+'Activity 2'!R28+'Activity 3'!R28+'Activity 4'!R28+'Activity 5'!R28+'Activity 6'!R28+'Activity 7'!R28+'Activity 8'!R28</f>
        <v>1</v>
      </c>
      <c r="S28" s="198">
        <f t="shared" si="5"/>
        <v>0</v>
      </c>
      <c r="T28" s="333">
        <f t="shared" si="6"/>
        <v>66202.5</v>
      </c>
    </row>
    <row r="29" spans="1:20" ht="15" customHeight="1" outlineLevel="1">
      <c r="A29" s="193" t="str">
        <f>'Program Budget'!D33</f>
        <v>Value Chain Specialist</v>
      </c>
      <c r="B29" s="194" t="str">
        <f>'Program Budget'!F33</f>
        <v>Month</v>
      </c>
      <c r="C29" s="198">
        <f>Admin!C29+'Activity 1'!C29+'Activity 2'!C29+'Activity 3'!C29+'Activity 4'!C29+'Activity 5'!C29+'Activity 6'!C29+'Activity 7'!C29+'Activity 8'!C29</f>
        <v>0</v>
      </c>
      <c r="D29" s="195">
        <f>'Program Budget'!G33</f>
        <v>2500</v>
      </c>
      <c r="E29" s="196">
        <f>'Program Budget'!I33</f>
        <v>12</v>
      </c>
      <c r="F29" s="197">
        <f>Admin!F29+'Activity 1'!F29+'Activity 2'!F29+'Activity 3'!F29+'Activity 4'!F29+'Activity 5'!F29+'Activity 6'!F29+'Activity 7'!F29+'Activity 8'!F29</f>
        <v>0.99999999999999989</v>
      </c>
      <c r="G29" s="198">
        <f t="shared" si="7"/>
        <v>29999.999999999996</v>
      </c>
      <c r="H29" s="195">
        <f t="shared" si="0"/>
        <v>2625</v>
      </c>
      <c r="I29" s="196">
        <f>'Program Budget'!L33</f>
        <v>12</v>
      </c>
      <c r="J29" s="197">
        <f>Admin!J29+'Activity 1'!J29+'Activity 2'!J29+'Activity 3'!J29+'Activity 4'!J29+'Activity 5'!J29+'Activity 6'!J29+'Activity 7'!J29+'Activity 8'!J29</f>
        <v>1</v>
      </c>
      <c r="K29" s="198">
        <f t="shared" si="1"/>
        <v>31500</v>
      </c>
      <c r="L29" s="195">
        <f t="shared" si="2"/>
        <v>2756.25</v>
      </c>
      <c r="M29" s="196">
        <f>'Program Budget'!O33</f>
        <v>12</v>
      </c>
      <c r="N29" s="197">
        <f>Admin!N29+'Activity 1'!N29+'Activity 2'!N29+'Activity 3'!N29+'Activity 4'!N29+'Activity 5'!N29+'Activity 6'!N29+'Activity 7'!N29+'Activity 8'!N29</f>
        <v>1</v>
      </c>
      <c r="O29" s="198">
        <f t="shared" si="3"/>
        <v>33075</v>
      </c>
      <c r="P29" s="195">
        <f t="shared" si="4"/>
        <v>2894.0625</v>
      </c>
      <c r="Q29" s="196">
        <f>'Program Budget'!R33</f>
        <v>0</v>
      </c>
      <c r="R29" s="197">
        <f>Admin!R29+'Activity 1'!R29+'Activity 2'!R29+'Activity 3'!R29+'Activity 4'!R29+'Activity 5'!R29+'Activity 6'!R29+'Activity 7'!R29+'Activity 8'!R29</f>
        <v>1</v>
      </c>
      <c r="S29" s="198">
        <f t="shared" si="5"/>
        <v>0</v>
      </c>
      <c r="T29" s="333">
        <f t="shared" si="6"/>
        <v>94575</v>
      </c>
    </row>
    <row r="30" spans="1:20" ht="15" customHeight="1" outlineLevel="1">
      <c r="A30" s="193" t="str">
        <f>'Program Budget'!D34</f>
        <v>Contracts &amp; Compliance Director</v>
      </c>
      <c r="B30" s="194" t="str">
        <f>'Program Budget'!F34</f>
        <v>Month</v>
      </c>
      <c r="C30" s="198">
        <f>Admin!C30+'Activity 1'!C30+'Activity 2'!C30+'Activity 3'!C30+'Activity 4'!C30+'Activity 5'!C30+'Activity 6'!C30+'Activity 7'!C30+'Activity 8'!C30</f>
        <v>166155.62999999998</v>
      </c>
      <c r="D30" s="195">
        <f>'Program Budget'!G34</f>
        <v>4583.333333333333</v>
      </c>
      <c r="E30" s="196">
        <f>'Program Budget'!I34</f>
        <v>12</v>
      </c>
      <c r="F30" s="197">
        <f>Admin!F30+'Activity 1'!F30+'Activity 2'!F30+'Activity 3'!F30+'Activity 4'!F30+'Activity 5'!F30+'Activity 6'!F30+'Activity 7'!F30+'Activity 8'!F30</f>
        <v>0.99999999999999989</v>
      </c>
      <c r="G30" s="198">
        <f t="shared" si="7"/>
        <v>54999.999999999993</v>
      </c>
      <c r="H30" s="195">
        <f t="shared" si="0"/>
        <v>4812.5</v>
      </c>
      <c r="I30" s="196">
        <f>'Program Budget'!L34</f>
        <v>12</v>
      </c>
      <c r="J30" s="197">
        <f>Admin!J30+'Activity 1'!J30+'Activity 2'!J30+'Activity 3'!J30+'Activity 4'!J30+'Activity 5'!J30+'Activity 6'!J30+'Activity 7'!J30+'Activity 8'!J30</f>
        <v>1</v>
      </c>
      <c r="K30" s="198">
        <f t="shared" si="1"/>
        <v>57750</v>
      </c>
      <c r="L30" s="195">
        <f t="shared" si="2"/>
        <v>5053.125</v>
      </c>
      <c r="M30" s="196">
        <f>'Program Budget'!O34</f>
        <v>12</v>
      </c>
      <c r="N30" s="197">
        <f>Admin!N30+'Activity 1'!N30+'Activity 2'!N30+'Activity 3'!N30+'Activity 4'!N30+'Activity 5'!N30+'Activity 6'!N30+'Activity 7'!N30+'Activity 8'!N30</f>
        <v>1</v>
      </c>
      <c r="O30" s="198">
        <f t="shared" si="3"/>
        <v>60637.5</v>
      </c>
      <c r="P30" s="195">
        <f t="shared" si="4"/>
        <v>5305.78125</v>
      </c>
      <c r="Q30" s="196">
        <f>'Program Budget'!R34</f>
        <v>3</v>
      </c>
      <c r="R30" s="197">
        <f>Admin!R30+'Activity 1'!R30+'Activity 2'!R30+'Activity 3'!R30+'Activity 4'!R30+'Activity 5'!R30+'Activity 6'!R30+'Activity 7'!R30+'Activity 8'!R30</f>
        <v>1</v>
      </c>
      <c r="S30" s="198">
        <f t="shared" si="5"/>
        <v>15917.34375</v>
      </c>
      <c r="T30" s="333">
        <f t="shared" si="6"/>
        <v>355460.47375</v>
      </c>
    </row>
    <row r="31" spans="1:20" ht="15" customHeight="1" outlineLevel="1">
      <c r="A31" s="193" t="str">
        <f>'Program Budget'!D35</f>
        <v>Grants &amp; Procurement Specialist (2)</v>
      </c>
      <c r="B31" s="194" t="str">
        <f>'Program Budget'!F35</f>
        <v>Month</v>
      </c>
      <c r="C31" s="198">
        <f>Admin!C31+'Activity 1'!C31+'Activity 2'!C31+'Activity 3'!C31+'Activity 4'!C31+'Activity 5'!C31+'Activity 6'!C31+'Activity 7'!C31+'Activity 8'!C31</f>
        <v>0</v>
      </c>
      <c r="D31" s="195">
        <f>'Program Budget'!G35</f>
        <v>3500</v>
      </c>
      <c r="E31" s="196">
        <f>'Program Budget'!I35</f>
        <v>12</v>
      </c>
      <c r="F31" s="197">
        <f>Admin!F31+'Activity 1'!F31+'Activity 2'!F31+'Activity 3'!F31+'Activity 4'!F31+'Activity 5'!F31+'Activity 6'!F31+'Activity 7'!F31+'Activity 8'!F31</f>
        <v>1.0000000000000002</v>
      </c>
      <c r="G31" s="198">
        <f t="shared" si="7"/>
        <v>42000.000000000007</v>
      </c>
      <c r="H31" s="195">
        <f t="shared" si="0"/>
        <v>3675</v>
      </c>
      <c r="I31" s="196">
        <f>'Program Budget'!L35</f>
        <v>12</v>
      </c>
      <c r="J31" s="197">
        <f>Admin!J31+'Activity 1'!J31+'Activity 2'!J31+'Activity 3'!J31+'Activity 4'!J31+'Activity 5'!J31+'Activity 6'!J31+'Activity 7'!J31+'Activity 8'!J31</f>
        <v>1</v>
      </c>
      <c r="K31" s="198">
        <f t="shared" si="1"/>
        <v>44100</v>
      </c>
      <c r="L31" s="195">
        <f t="shared" si="2"/>
        <v>3858.75</v>
      </c>
      <c r="M31" s="196">
        <f>'Program Budget'!O35</f>
        <v>12</v>
      </c>
      <c r="N31" s="197">
        <f>Admin!N31+'Activity 1'!N31+'Activity 2'!N31+'Activity 3'!N31+'Activity 4'!N31+'Activity 5'!N31+'Activity 6'!N31+'Activity 7'!N31+'Activity 8'!N31</f>
        <v>1</v>
      </c>
      <c r="O31" s="198">
        <f t="shared" si="3"/>
        <v>46305</v>
      </c>
      <c r="P31" s="195">
        <f t="shared" si="4"/>
        <v>4051.6875</v>
      </c>
      <c r="Q31" s="196">
        <f>'Program Budget'!R35</f>
        <v>0</v>
      </c>
      <c r="R31" s="197">
        <f>Admin!R31+'Activity 1'!R31+'Activity 2'!R31+'Activity 3'!R31+'Activity 4'!R31+'Activity 5'!R31+'Activity 6'!R31+'Activity 7'!R31+'Activity 8'!R31</f>
        <v>1</v>
      </c>
      <c r="S31" s="198">
        <f t="shared" si="5"/>
        <v>0</v>
      </c>
      <c r="T31" s="333">
        <f t="shared" si="6"/>
        <v>132405</v>
      </c>
    </row>
    <row r="32" spans="1:20" ht="15" customHeight="1" outlineLevel="1">
      <c r="A32" s="193" t="str">
        <f>'Program Budget'!D36</f>
        <v xml:space="preserve">F&amp;A Director </v>
      </c>
      <c r="B32" s="194" t="str">
        <f>'Program Budget'!F36</f>
        <v>Month</v>
      </c>
      <c r="C32" s="198">
        <f>Admin!C32+'Activity 1'!C32+'Activity 2'!C32+'Activity 3'!C32+'Activity 4'!C32+'Activity 5'!C32+'Activity 6'!C32+'Activity 7'!C32+'Activity 8'!C32</f>
        <v>242528.58000000002</v>
      </c>
      <c r="D32" s="195">
        <f>'Program Budget'!G36</f>
        <v>5279.4</v>
      </c>
      <c r="E32" s="196">
        <f>'Program Budget'!I36</f>
        <v>12</v>
      </c>
      <c r="F32" s="197">
        <f>Admin!F32+'Activity 1'!F32+'Activity 2'!F32+'Activity 3'!F32+'Activity 4'!F32+'Activity 5'!F32+'Activity 6'!F32+'Activity 7'!F32+'Activity 8'!F32</f>
        <v>1</v>
      </c>
      <c r="G32" s="198">
        <f t="shared" si="7"/>
        <v>63352.799999999996</v>
      </c>
      <c r="H32" s="195">
        <f t="shared" si="0"/>
        <v>5543.37</v>
      </c>
      <c r="I32" s="196">
        <f>'Program Budget'!L36</f>
        <v>12</v>
      </c>
      <c r="J32" s="197">
        <f>Admin!J32+'Activity 1'!J32+'Activity 2'!J32+'Activity 3'!J32+'Activity 4'!J32+'Activity 5'!J32+'Activity 6'!J32+'Activity 7'!J32+'Activity 8'!J32</f>
        <v>1</v>
      </c>
      <c r="K32" s="198">
        <f t="shared" si="1"/>
        <v>66520.44</v>
      </c>
      <c r="L32" s="195">
        <f t="shared" si="2"/>
        <v>5820.5385000000006</v>
      </c>
      <c r="M32" s="196">
        <f>'Program Budget'!O36</f>
        <v>12</v>
      </c>
      <c r="N32" s="197">
        <f>Admin!N32+'Activity 1'!N32+'Activity 2'!N32+'Activity 3'!N32+'Activity 4'!N32+'Activity 5'!N32+'Activity 6'!N32+'Activity 7'!N32+'Activity 8'!N32</f>
        <v>1</v>
      </c>
      <c r="O32" s="198">
        <f t="shared" si="3"/>
        <v>69846.462</v>
      </c>
      <c r="P32" s="195">
        <f t="shared" si="4"/>
        <v>6111.5654250000007</v>
      </c>
      <c r="Q32" s="196">
        <f>'Program Budget'!R36</f>
        <v>6</v>
      </c>
      <c r="R32" s="197">
        <f>Admin!R32+'Activity 1'!R32+'Activity 2'!R32+'Activity 3'!R32+'Activity 4'!R32+'Activity 5'!R32+'Activity 6'!R32+'Activity 7'!R32+'Activity 8'!R32</f>
        <v>1</v>
      </c>
      <c r="S32" s="198">
        <f t="shared" si="5"/>
        <v>36669.392550000004</v>
      </c>
      <c r="T32" s="333">
        <f t="shared" si="6"/>
        <v>478917.67455</v>
      </c>
    </row>
    <row r="33" spans="1:25" ht="15" customHeight="1" outlineLevel="1">
      <c r="A33" s="193" t="str">
        <f>'Program Budget'!D37</f>
        <v>Accounting &amp; Finance Specialist</v>
      </c>
      <c r="B33" s="194" t="str">
        <f>'Program Budget'!F37</f>
        <v>Month</v>
      </c>
      <c r="C33" s="198">
        <f>Admin!C33+'Activity 1'!C33+'Activity 2'!C33+'Activity 3'!C33+'Activity 4'!C33+'Activity 5'!C33+'Activity 6'!C33+'Activity 7'!C33+'Activity 8'!C33</f>
        <v>0</v>
      </c>
      <c r="D33" s="195">
        <f>'Program Budget'!G37</f>
        <v>1750</v>
      </c>
      <c r="E33" s="196">
        <f>'Program Budget'!I37</f>
        <v>12</v>
      </c>
      <c r="F33" s="197">
        <f>Admin!F33+'Activity 1'!F33+'Activity 2'!F33+'Activity 3'!F33+'Activity 4'!F33+'Activity 5'!F33+'Activity 6'!F33+'Activity 7'!F33+'Activity 8'!F33</f>
        <v>0.99999999999999989</v>
      </c>
      <c r="G33" s="198">
        <f t="shared" si="7"/>
        <v>20999.999999999996</v>
      </c>
      <c r="H33" s="195">
        <f t="shared" si="0"/>
        <v>1837.5</v>
      </c>
      <c r="I33" s="196">
        <f>'Program Budget'!L37</f>
        <v>12</v>
      </c>
      <c r="J33" s="197">
        <f>Admin!J33+'Activity 1'!J33+'Activity 2'!J33+'Activity 3'!J33+'Activity 4'!J33+'Activity 5'!J33+'Activity 6'!J33+'Activity 7'!J33+'Activity 8'!J33</f>
        <v>1</v>
      </c>
      <c r="K33" s="198">
        <f t="shared" si="1"/>
        <v>22050</v>
      </c>
      <c r="L33" s="195">
        <f t="shared" si="2"/>
        <v>1929.375</v>
      </c>
      <c r="M33" s="196">
        <f>'Program Budget'!O37</f>
        <v>12</v>
      </c>
      <c r="N33" s="197">
        <f>Admin!N33+'Activity 1'!N33+'Activity 2'!N33+'Activity 3'!N33+'Activity 4'!N33+'Activity 5'!N33+'Activity 6'!N33+'Activity 7'!N33+'Activity 8'!N33</f>
        <v>1</v>
      </c>
      <c r="O33" s="198">
        <f t="shared" si="3"/>
        <v>23152.5</v>
      </c>
      <c r="P33" s="195">
        <f t="shared" si="4"/>
        <v>2025.84375</v>
      </c>
      <c r="Q33" s="196">
        <f>'Program Budget'!R37</f>
        <v>3</v>
      </c>
      <c r="R33" s="197">
        <f>Admin!R33+'Activity 1'!R33+'Activity 2'!R33+'Activity 3'!R33+'Activity 4'!R33+'Activity 5'!R33+'Activity 6'!R33+'Activity 7'!R33+'Activity 8'!R33</f>
        <v>1</v>
      </c>
      <c r="S33" s="198">
        <f t="shared" si="5"/>
        <v>6077.53125</v>
      </c>
      <c r="T33" s="333">
        <f t="shared" si="6"/>
        <v>72280.03125</v>
      </c>
    </row>
    <row r="34" spans="1:25" ht="15" customHeight="1" outlineLevel="1">
      <c r="A34" s="193" t="str">
        <f>'Program Budget'!D38</f>
        <v xml:space="preserve">Accountant </v>
      </c>
      <c r="B34" s="194" t="str">
        <f>'Program Budget'!F38</f>
        <v>Month</v>
      </c>
      <c r="C34" s="198">
        <f>Admin!C34+'Activity 1'!C34+'Activity 2'!C34+'Activity 3'!C34+'Activity 4'!C34+'Activity 5'!C34+'Activity 6'!C34+'Activity 7'!C34+'Activity 8'!C34</f>
        <v>63999.21</v>
      </c>
      <c r="D34" s="195">
        <f>'Program Budget'!G38</f>
        <v>1750</v>
      </c>
      <c r="E34" s="196">
        <f>'Program Budget'!I38</f>
        <v>12</v>
      </c>
      <c r="F34" s="197">
        <f>Admin!F34+'Activity 1'!F34+'Activity 2'!F34+'Activity 3'!F34+'Activity 4'!F34+'Activity 5'!F34+'Activity 6'!F34+'Activity 7'!F34+'Activity 8'!F34</f>
        <v>0.99999999999999989</v>
      </c>
      <c r="G34" s="198">
        <f t="shared" si="7"/>
        <v>20999.999999999996</v>
      </c>
      <c r="H34" s="195">
        <f t="shared" si="0"/>
        <v>1837.5</v>
      </c>
      <c r="I34" s="196">
        <f>'Program Budget'!L38</f>
        <v>12</v>
      </c>
      <c r="J34" s="197">
        <f>Admin!J34+'Activity 1'!J34+'Activity 2'!J34+'Activity 3'!J34+'Activity 4'!J34+'Activity 5'!J34+'Activity 6'!J34+'Activity 7'!J34+'Activity 8'!J34</f>
        <v>1</v>
      </c>
      <c r="K34" s="198">
        <f t="shared" si="1"/>
        <v>22050</v>
      </c>
      <c r="L34" s="195">
        <f t="shared" si="2"/>
        <v>1929.375</v>
      </c>
      <c r="M34" s="196">
        <f>'Program Budget'!O38</f>
        <v>12</v>
      </c>
      <c r="N34" s="197">
        <f>Admin!N34+'Activity 1'!N34+'Activity 2'!N34+'Activity 3'!N34+'Activity 4'!N34+'Activity 5'!N34+'Activity 6'!N34+'Activity 7'!N34+'Activity 8'!N34</f>
        <v>1</v>
      </c>
      <c r="O34" s="198">
        <f t="shared" si="3"/>
        <v>23152.5</v>
      </c>
      <c r="P34" s="195">
        <f t="shared" si="4"/>
        <v>2025.84375</v>
      </c>
      <c r="Q34" s="196">
        <f>'Program Budget'!R38</f>
        <v>5</v>
      </c>
      <c r="R34" s="197">
        <f>Admin!R34+'Activity 1'!R34+'Activity 2'!R34+'Activity 3'!R34+'Activity 4'!R34+'Activity 5'!R34+'Activity 6'!R34+'Activity 7'!R34+'Activity 8'!R34</f>
        <v>1</v>
      </c>
      <c r="S34" s="198">
        <f t="shared" si="5"/>
        <v>10129.21875</v>
      </c>
      <c r="T34" s="333">
        <f t="shared" si="6"/>
        <v>140330.92874999999</v>
      </c>
    </row>
    <row r="35" spans="1:25" ht="15" customHeight="1" outlineLevel="1">
      <c r="A35" s="193" t="str">
        <f>'Program Budget'!D39</f>
        <v>Finance &amp; Admin Coordinator - 50% LOE</v>
      </c>
      <c r="B35" s="194" t="str">
        <f>'Program Budget'!F39</f>
        <v>Month</v>
      </c>
      <c r="C35" s="198">
        <f>Admin!C35+'Activity 1'!C35+'Activity 2'!C35+'Activity 3'!C35+'Activity 4'!C35+'Activity 5'!C35+'Activity 6'!C35+'Activity 7'!C35+'Activity 8'!C35</f>
        <v>0</v>
      </c>
      <c r="D35" s="195">
        <f>'Program Budget'!G39</f>
        <v>2583.3333333333335</v>
      </c>
      <c r="E35" s="196">
        <f>'Program Budget'!I39</f>
        <v>12</v>
      </c>
      <c r="F35" s="197">
        <f>Admin!F35+'Activity 1'!F35+'Activity 2'!F35+'Activity 3'!F35+'Activity 4'!F35+'Activity 5'!F35+'Activity 6'!F35+'Activity 7'!F35+'Activity 8'!F35</f>
        <v>0.5</v>
      </c>
      <c r="G35" s="198">
        <f t="shared" si="7"/>
        <v>15500</v>
      </c>
      <c r="H35" s="195">
        <f t="shared" si="0"/>
        <v>2712.5000000000005</v>
      </c>
      <c r="I35" s="196">
        <f>'Program Budget'!L39</f>
        <v>12</v>
      </c>
      <c r="J35" s="197">
        <f>Admin!J35+'Activity 1'!J35+'Activity 2'!J35+'Activity 3'!J35+'Activity 4'!J35+'Activity 5'!J35+'Activity 6'!J35+'Activity 7'!J35+'Activity 8'!J35</f>
        <v>0.5</v>
      </c>
      <c r="K35" s="198">
        <f t="shared" si="1"/>
        <v>16275.000000000004</v>
      </c>
      <c r="L35" s="195">
        <f t="shared" si="2"/>
        <v>2848.1250000000005</v>
      </c>
      <c r="M35" s="196">
        <f>'Program Budget'!O39</f>
        <v>12</v>
      </c>
      <c r="N35" s="197">
        <f>Admin!N35+'Activity 1'!N35+'Activity 2'!N35+'Activity 3'!N35+'Activity 4'!N35+'Activity 5'!N35+'Activity 6'!N35+'Activity 7'!N35+'Activity 8'!N35</f>
        <v>0.5</v>
      </c>
      <c r="O35" s="198">
        <f t="shared" si="3"/>
        <v>17088.750000000004</v>
      </c>
      <c r="P35" s="195">
        <f t="shared" si="4"/>
        <v>2990.5312500000005</v>
      </c>
      <c r="Q35" s="196">
        <f>'Program Budget'!R39</f>
        <v>6</v>
      </c>
      <c r="R35" s="197">
        <f>Admin!R35+'Activity 1'!R35+'Activity 2'!R35+'Activity 3'!R35+'Activity 4'!R35+'Activity 5'!R35+'Activity 6'!R35+'Activity 7'!R35+'Activity 8'!R35</f>
        <v>0.5</v>
      </c>
      <c r="S35" s="198">
        <f t="shared" si="5"/>
        <v>8971.5937500000018</v>
      </c>
      <c r="T35" s="333">
        <f t="shared" si="6"/>
        <v>57835.343750000007</v>
      </c>
    </row>
    <row r="36" spans="1:25" ht="15" customHeight="1" outlineLevel="1">
      <c r="A36" s="193" t="str">
        <f>'Program Budget'!D40</f>
        <v xml:space="preserve">Administrative Officer </v>
      </c>
      <c r="B36" s="194" t="str">
        <f>'Program Budget'!F40</f>
        <v>Month</v>
      </c>
      <c r="C36" s="198">
        <f>Admin!C36+'Activity 1'!C36+'Activity 2'!C36+'Activity 3'!C36+'Activity 4'!C36+'Activity 5'!C36+'Activity 6'!C36+'Activity 7'!C36+'Activity 8'!C36</f>
        <v>54409.919999999998</v>
      </c>
      <c r="D36" s="195">
        <f>'Program Budget'!G40</f>
        <v>1000</v>
      </c>
      <c r="E36" s="196">
        <f>'Program Budget'!I40</f>
        <v>12</v>
      </c>
      <c r="F36" s="197">
        <f>Admin!F36+'Activity 1'!F36+'Activity 2'!F36+'Activity 3'!F36+'Activity 4'!F36+'Activity 5'!F36+'Activity 6'!F36+'Activity 7'!F36+'Activity 8'!F36</f>
        <v>0.99999999999999989</v>
      </c>
      <c r="G36" s="198">
        <f t="shared" si="7"/>
        <v>11999.999999999998</v>
      </c>
      <c r="H36" s="195">
        <f t="shared" si="0"/>
        <v>1050</v>
      </c>
      <c r="I36" s="196">
        <f>'Program Budget'!L40</f>
        <v>12</v>
      </c>
      <c r="J36" s="197">
        <f>Admin!J36+'Activity 1'!J36+'Activity 2'!J36+'Activity 3'!J36+'Activity 4'!J36+'Activity 5'!J36+'Activity 6'!J36+'Activity 7'!J36+'Activity 8'!J36</f>
        <v>0.99999999999999989</v>
      </c>
      <c r="K36" s="198">
        <f t="shared" si="1"/>
        <v>12599.999999999998</v>
      </c>
      <c r="L36" s="195">
        <f t="shared" si="2"/>
        <v>1102.5</v>
      </c>
      <c r="M36" s="196">
        <f>'Program Budget'!O40</f>
        <v>12</v>
      </c>
      <c r="N36" s="197">
        <f>Admin!N36+'Activity 1'!N36+'Activity 2'!N36+'Activity 3'!N36+'Activity 4'!N36+'Activity 5'!N36+'Activity 6'!N36+'Activity 7'!N36+'Activity 8'!N36</f>
        <v>0.99999999999999989</v>
      </c>
      <c r="O36" s="198">
        <f t="shared" si="3"/>
        <v>13229.999999999998</v>
      </c>
      <c r="P36" s="195">
        <f t="shared" si="4"/>
        <v>1157.625</v>
      </c>
      <c r="Q36" s="196">
        <f>'Program Budget'!R40</f>
        <v>3</v>
      </c>
      <c r="R36" s="197">
        <f>Admin!R36+'Activity 1'!R36+'Activity 2'!R36+'Activity 3'!R36+'Activity 4'!R36+'Activity 5'!R36+'Activity 6'!R36+'Activity 7'!R36+'Activity 8'!R36</f>
        <v>0.99999999999999989</v>
      </c>
      <c r="S36" s="198">
        <f t="shared" si="5"/>
        <v>3472.8749999999995</v>
      </c>
      <c r="T36" s="333">
        <f t="shared" si="6"/>
        <v>95712.794999999998</v>
      </c>
    </row>
    <row r="37" spans="1:25" ht="15" customHeight="1" outlineLevel="1">
      <c r="A37" s="193" t="str">
        <f>'Program Budget'!D41</f>
        <v>Human Resource Manager</v>
      </c>
      <c r="B37" s="194" t="str">
        <f>'Program Budget'!F41</f>
        <v>Month</v>
      </c>
      <c r="C37" s="198">
        <f>Admin!C37+'Activity 1'!C37+'Activity 2'!C37+'Activity 3'!C37+'Activity 4'!C37+'Activity 5'!C37+'Activity 6'!C37+'Activity 7'!C37+'Activity 8'!C37</f>
        <v>0</v>
      </c>
      <c r="D37" s="195">
        <f>'Program Budget'!G41</f>
        <v>1954.1666666666667</v>
      </c>
      <c r="E37" s="196">
        <f>'Program Budget'!I41</f>
        <v>12</v>
      </c>
      <c r="F37" s="197">
        <f>Admin!F37+'Activity 1'!F37+'Activity 2'!F37+'Activity 3'!F37+'Activity 4'!F37+'Activity 5'!F37+'Activity 6'!F37+'Activity 7'!F37+'Activity 8'!F37</f>
        <v>0.99999999999999989</v>
      </c>
      <c r="G37" s="198">
        <f t="shared" si="7"/>
        <v>23449.999999999996</v>
      </c>
      <c r="H37" s="195">
        <f t="shared" si="0"/>
        <v>2051.875</v>
      </c>
      <c r="I37" s="196">
        <f>'Program Budget'!L41</f>
        <v>12</v>
      </c>
      <c r="J37" s="197">
        <f>Admin!J37+'Activity 1'!J37+'Activity 2'!J37+'Activity 3'!J37+'Activity 4'!J37+'Activity 5'!J37+'Activity 6'!J37+'Activity 7'!J37+'Activity 8'!J37</f>
        <v>0.99999999999999989</v>
      </c>
      <c r="K37" s="198">
        <f t="shared" si="1"/>
        <v>24622.499999999996</v>
      </c>
      <c r="L37" s="195">
        <f t="shared" si="2"/>
        <v>2154.46875</v>
      </c>
      <c r="M37" s="196">
        <f>'Program Budget'!O41</f>
        <v>12</v>
      </c>
      <c r="N37" s="197">
        <f>Admin!N37+'Activity 1'!N37+'Activity 2'!N37+'Activity 3'!N37+'Activity 4'!N37+'Activity 5'!N37+'Activity 6'!N37+'Activity 7'!N37+'Activity 8'!N37</f>
        <v>0.99999999999999989</v>
      </c>
      <c r="O37" s="198">
        <f t="shared" si="3"/>
        <v>25853.624999999996</v>
      </c>
      <c r="P37" s="195">
        <f t="shared" si="4"/>
        <v>2262.1921875000003</v>
      </c>
      <c r="Q37" s="196">
        <f>'Program Budget'!R41</f>
        <v>6</v>
      </c>
      <c r="R37" s="197">
        <f>Admin!R37+'Activity 1'!R37+'Activity 2'!R37+'Activity 3'!R37+'Activity 4'!R37+'Activity 5'!R37+'Activity 6'!R37+'Activity 7'!R37+'Activity 8'!R37</f>
        <v>0.99999999999999989</v>
      </c>
      <c r="S37" s="198">
        <f t="shared" si="5"/>
        <v>13573.153124999999</v>
      </c>
      <c r="T37" s="333">
        <f t="shared" si="6"/>
        <v>87499.278124999983</v>
      </c>
    </row>
    <row r="38" spans="1:25" ht="15" customHeight="1" outlineLevel="1">
      <c r="A38" s="193" t="str">
        <f>'Program Budget'!D42</f>
        <v>Human Resource Specialist</v>
      </c>
      <c r="B38" s="194" t="str">
        <f>'Program Budget'!F42</f>
        <v>Month</v>
      </c>
      <c r="C38" s="198">
        <f>Admin!C38+'Activity 1'!C38+'Activity 2'!C38+'Activity 3'!C38+'Activity 4'!C38+'Activity 5'!C38+'Activity 6'!C38+'Activity 7'!C38+'Activity 8'!C38</f>
        <v>0</v>
      </c>
      <c r="D38" s="195">
        <f>'Program Budget'!G42</f>
        <v>1750</v>
      </c>
      <c r="E38" s="196">
        <f>'Program Budget'!I42</f>
        <v>12</v>
      </c>
      <c r="F38" s="197">
        <f>Admin!F38+'Activity 1'!F38+'Activity 2'!F38+'Activity 3'!F38+'Activity 4'!F38+'Activity 5'!F38+'Activity 6'!F38+'Activity 7'!F38+'Activity 8'!F38</f>
        <v>0.99999999999999989</v>
      </c>
      <c r="G38" s="198">
        <f t="shared" si="7"/>
        <v>20999.999999999996</v>
      </c>
      <c r="H38" s="195">
        <f t="shared" si="0"/>
        <v>1837.5</v>
      </c>
      <c r="I38" s="196">
        <f>'Program Budget'!L42</f>
        <v>12</v>
      </c>
      <c r="J38" s="197">
        <f>Admin!J38+'Activity 1'!J38+'Activity 2'!J38+'Activity 3'!J38+'Activity 4'!J38+'Activity 5'!J38+'Activity 6'!J38+'Activity 7'!J38+'Activity 8'!J38</f>
        <v>0.99999999999999989</v>
      </c>
      <c r="K38" s="198">
        <f t="shared" si="1"/>
        <v>22049.999999999996</v>
      </c>
      <c r="L38" s="195">
        <f t="shared" si="2"/>
        <v>1929.375</v>
      </c>
      <c r="M38" s="196">
        <f>'Program Budget'!O42</f>
        <v>12</v>
      </c>
      <c r="N38" s="197">
        <f>Admin!N38+'Activity 1'!N38+'Activity 2'!N38+'Activity 3'!N38+'Activity 4'!N38+'Activity 5'!N38+'Activity 6'!N38+'Activity 7'!N38+'Activity 8'!N38</f>
        <v>0.99999999999999989</v>
      </c>
      <c r="O38" s="198">
        <f t="shared" si="3"/>
        <v>23152.499999999996</v>
      </c>
      <c r="P38" s="195">
        <f t="shared" si="4"/>
        <v>2025.84375</v>
      </c>
      <c r="Q38" s="196">
        <f>'Program Budget'!R42</f>
        <v>3</v>
      </c>
      <c r="R38" s="197">
        <f>Admin!R38+'Activity 1'!R38+'Activity 2'!R38+'Activity 3'!R38+'Activity 4'!R38+'Activity 5'!R38+'Activity 6'!R38+'Activity 7'!R38+'Activity 8'!R38</f>
        <v>0.99999999999999989</v>
      </c>
      <c r="S38" s="198">
        <f t="shared" si="5"/>
        <v>6077.5312499999991</v>
      </c>
      <c r="T38" s="335">
        <f t="shared" si="6"/>
        <v>72280.031249999985</v>
      </c>
    </row>
    <row r="39" spans="1:25" ht="15" customHeight="1" outlineLevel="1">
      <c r="A39" s="442" t="s">
        <v>510</v>
      </c>
      <c r="B39" s="209"/>
      <c r="C39" s="222">
        <f>SUM(C10:C38)</f>
        <v>1906309.1699999997</v>
      </c>
      <c r="D39" s="356"/>
      <c r="E39" s="211"/>
      <c r="F39" s="214"/>
      <c r="G39" s="222">
        <f>SUM(G10:G38)</f>
        <v>1333302.8</v>
      </c>
      <c r="H39" s="356"/>
      <c r="I39" s="211"/>
      <c r="J39" s="212"/>
      <c r="K39" s="222">
        <f>SUM(K10:K38)</f>
        <v>1422017.94</v>
      </c>
      <c r="L39" s="356"/>
      <c r="M39" s="211"/>
      <c r="N39" s="214"/>
      <c r="O39" s="222">
        <f>SUM(O10:O38)</f>
        <v>1228518.8370000001</v>
      </c>
      <c r="P39" s="356"/>
      <c r="Q39" s="211"/>
      <c r="R39" s="214"/>
      <c r="S39" s="222">
        <f>SUM(S10:S38)</f>
        <v>243951.795675</v>
      </c>
      <c r="T39" s="334">
        <f>C39+G39+K39+O39+S39</f>
        <v>6134100.5426750006</v>
      </c>
    </row>
    <row r="40" spans="1:25" s="189" customFormat="1" ht="15.6" outlineLevel="1">
      <c r="A40" s="441" t="s">
        <v>511</v>
      </c>
      <c r="B40" s="191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332"/>
    </row>
    <row r="41" spans="1:25" ht="15" customHeight="1" outlineLevel="1">
      <c r="A41" s="193" t="str">
        <f>'Program Budget'!D44</f>
        <v xml:space="preserve">Senior Program Director </v>
      </c>
      <c r="B41" s="194" t="str">
        <f>'Program Budget'!F44</f>
        <v>Month</v>
      </c>
      <c r="C41" s="198">
        <f>Admin!C41</f>
        <v>105808.88</v>
      </c>
      <c r="D41" s="355">
        <f>'Program Budget'!G44</f>
        <v>12500</v>
      </c>
      <c r="E41" s="196">
        <f>Admin!E41</f>
        <v>12</v>
      </c>
      <c r="F41" s="199">
        <f>Admin!F41</f>
        <v>0.25</v>
      </c>
      <c r="G41" s="198">
        <f>D41*E41*F41</f>
        <v>37500</v>
      </c>
      <c r="H41" s="355">
        <f>D41*1.05</f>
        <v>13125</v>
      </c>
      <c r="I41" s="196">
        <f>'Program Budget'!L44</f>
        <v>12</v>
      </c>
      <c r="J41" s="199">
        <f>'Program Budget'!K44</f>
        <v>0.25</v>
      </c>
      <c r="K41" s="198">
        <f>H41*I41*J41</f>
        <v>39375</v>
      </c>
      <c r="L41" s="355">
        <f>H41*1.05</f>
        <v>13781.25</v>
      </c>
      <c r="M41" s="196">
        <f>'Program Budget'!O44</f>
        <v>12</v>
      </c>
      <c r="N41" s="199">
        <f>'Program Budget'!N44</f>
        <v>0.25</v>
      </c>
      <c r="O41" s="198">
        <f>L41*M41*N41</f>
        <v>41343.75</v>
      </c>
      <c r="P41" s="355">
        <f>L41*1.05</f>
        <v>14470.3125</v>
      </c>
      <c r="Q41" s="196">
        <f>'Program Budget'!R44</f>
        <v>6</v>
      </c>
      <c r="R41" s="199">
        <f>'Program Budget'!Q44</f>
        <v>0.25</v>
      </c>
      <c r="S41" s="198">
        <f>P41*Q41*R41</f>
        <v>21705.46875</v>
      </c>
      <c r="T41" s="333">
        <f>C41+G41+K41+O41+S41</f>
        <v>245733.09875</v>
      </c>
    </row>
    <row r="42" spans="1:25" ht="15" customHeight="1" outlineLevel="1">
      <c r="A42" s="193" t="str">
        <f>'Program Budget'!D45</f>
        <v>Associate Director</v>
      </c>
      <c r="B42" s="194" t="str">
        <f>'Program Budget'!F45</f>
        <v>Month</v>
      </c>
      <c r="C42" s="198">
        <f>Admin!C42</f>
        <v>170702.65000000002</v>
      </c>
      <c r="D42" s="355">
        <f>'Program Budget'!G45</f>
        <v>8333.3333333333339</v>
      </c>
      <c r="E42" s="196">
        <f>Admin!E42</f>
        <v>12</v>
      </c>
      <c r="F42" s="199">
        <f>Admin!F42</f>
        <v>0.65</v>
      </c>
      <c r="G42" s="198">
        <f t="shared" ref="G42:G43" si="8">D42*E42*F42</f>
        <v>65000</v>
      </c>
      <c r="H42" s="355">
        <f t="shared" ref="H42:H43" si="9">D42*1.05</f>
        <v>8750.0000000000018</v>
      </c>
      <c r="I42" s="196">
        <f>'Program Budget'!L45</f>
        <v>12</v>
      </c>
      <c r="J42" s="199">
        <f>'Program Budget'!K45</f>
        <v>0.65</v>
      </c>
      <c r="K42" s="198">
        <f t="shared" ref="K42:K43" si="10">H42*I42*J42</f>
        <v>68250.000000000015</v>
      </c>
      <c r="L42" s="355">
        <f t="shared" ref="L42:L43" si="11">H42*1.05</f>
        <v>9187.5000000000018</v>
      </c>
      <c r="M42" s="196">
        <f>'Program Budget'!O45</f>
        <v>12</v>
      </c>
      <c r="N42" s="199">
        <f>'Program Budget'!N45</f>
        <v>0.65</v>
      </c>
      <c r="O42" s="198">
        <f t="shared" ref="O42:O43" si="12">L42*M42*N42</f>
        <v>71662.500000000015</v>
      </c>
      <c r="P42" s="355">
        <f t="shared" ref="P42:P43" si="13">L42*1.05</f>
        <v>9646.8750000000018</v>
      </c>
      <c r="Q42" s="196">
        <f>'Program Budget'!R45</f>
        <v>6</v>
      </c>
      <c r="R42" s="199">
        <f>'Program Budget'!Q45</f>
        <v>0.65</v>
      </c>
      <c r="S42" s="198">
        <f t="shared" ref="S42:S43" si="14">P42*Q42*R42</f>
        <v>37622.812500000007</v>
      </c>
      <c r="T42" s="333">
        <f t="shared" ref="T42:T43" si="15">C42+G42+K42+O42+S42</f>
        <v>413237.96250000002</v>
      </c>
    </row>
    <row r="43" spans="1:25" ht="15" customHeight="1" outlineLevel="1">
      <c r="A43" s="193" t="str">
        <f>'Program Budget'!D46</f>
        <v xml:space="preserve">Senior Program Officer </v>
      </c>
      <c r="B43" s="194" t="str">
        <f>'Program Budget'!F46</f>
        <v>Month</v>
      </c>
      <c r="C43" s="198">
        <f>Admin!C43</f>
        <v>0</v>
      </c>
      <c r="D43" s="355">
        <f>'Program Budget'!G46</f>
        <v>5833.333333333333</v>
      </c>
      <c r="E43" s="196">
        <f>Admin!E43</f>
        <v>12</v>
      </c>
      <c r="F43" s="199">
        <f>Admin!F43</f>
        <v>0.61</v>
      </c>
      <c r="G43" s="198">
        <f t="shared" si="8"/>
        <v>42700</v>
      </c>
      <c r="H43" s="355">
        <f t="shared" si="9"/>
        <v>6125</v>
      </c>
      <c r="I43" s="196">
        <f>'Program Budget'!L46</f>
        <v>12</v>
      </c>
      <c r="J43" s="199">
        <f>'Program Budget'!K46</f>
        <v>0.61</v>
      </c>
      <c r="K43" s="198">
        <f t="shared" si="10"/>
        <v>44835</v>
      </c>
      <c r="L43" s="355">
        <f t="shared" si="11"/>
        <v>6431.25</v>
      </c>
      <c r="M43" s="196">
        <f>'Program Budget'!O46</f>
        <v>12</v>
      </c>
      <c r="N43" s="199">
        <f>'Program Budget'!N46</f>
        <v>0.61</v>
      </c>
      <c r="O43" s="198">
        <f t="shared" si="12"/>
        <v>47076.75</v>
      </c>
      <c r="P43" s="355">
        <f t="shared" si="13"/>
        <v>6752.8125</v>
      </c>
      <c r="Q43" s="196">
        <f>'Program Budget'!R46</f>
        <v>6</v>
      </c>
      <c r="R43" s="199">
        <f>'Program Budget'!Q46</f>
        <v>0.61</v>
      </c>
      <c r="S43" s="198">
        <f t="shared" si="14"/>
        <v>24715.293750000001</v>
      </c>
      <c r="T43" s="335">
        <f t="shared" si="15"/>
        <v>159327.04375000001</v>
      </c>
    </row>
    <row r="44" spans="1:25" ht="15" customHeight="1" outlineLevel="1">
      <c r="A44" s="442" t="s">
        <v>512</v>
      </c>
      <c r="B44" s="209"/>
      <c r="C44" s="213">
        <f>SUM(C41:C43)</f>
        <v>276511.53000000003</v>
      </c>
      <c r="D44" s="356"/>
      <c r="E44" s="211"/>
      <c r="F44" s="214"/>
      <c r="G44" s="213">
        <f>SUM(G41:G43)</f>
        <v>145200</v>
      </c>
      <c r="H44" s="356"/>
      <c r="I44" s="211"/>
      <c r="J44" s="212"/>
      <c r="K44" s="213">
        <f>SUM(K41:K43)</f>
        <v>152460</v>
      </c>
      <c r="L44" s="356"/>
      <c r="M44" s="211"/>
      <c r="N44" s="214"/>
      <c r="O44" s="213">
        <f>SUM(O41:O43)</f>
        <v>160083</v>
      </c>
      <c r="P44" s="356"/>
      <c r="Q44" s="211"/>
      <c r="R44" s="214"/>
      <c r="S44" s="213">
        <f>SUM(S41:S43)</f>
        <v>84043.575000000012</v>
      </c>
      <c r="T44" s="334">
        <f>+C44+G44+K44+O44+S44</f>
        <v>818298.10499999998</v>
      </c>
    </row>
    <row r="45" spans="1:25" s="189" customFormat="1" ht="15" customHeight="1" outlineLevel="1">
      <c r="A45" s="443"/>
      <c r="B45" s="216"/>
      <c r="C45" s="198"/>
      <c r="D45" s="357"/>
      <c r="E45" s="218"/>
      <c r="F45" s="160"/>
      <c r="G45" s="198"/>
      <c r="H45" s="357"/>
      <c r="I45" s="218"/>
      <c r="J45" s="160"/>
      <c r="K45" s="198"/>
      <c r="L45" s="357"/>
      <c r="M45" s="218"/>
      <c r="N45" s="160"/>
      <c r="O45" s="198"/>
      <c r="P45" s="357"/>
      <c r="Q45" s="218"/>
      <c r="R45" s="160"/>
      <c r="S45" s="198"/>
      <c r="T45" s="206"/>
    </row>
    <row r="46" spans="1:25" s="236" customFormat="1" ht="15" customHeight="1">
      <c r="A46" s="444" t="s">
        <v>513</v>
      </c>
      <c r="B46" s="227"/>
      <c r="C46" s="231">
        <f>C44+C39+C8</f>
        <v>2751505.3899999997</v>
      </c>
      <c r="D46" s="358"/>
      <c r="E46" s="229"/>
      <c r="F46" s="232"/>
      <c r="G46" s="231">
        <f>G44+G39+G8</f>
        <v>1649502.8</v>
      </c>
      <c r="H46" s="358"/>
      <c r="I46" s="229"/>
      <c r="J46" s="230"/>
      <c r="K46" s="231">
        <f>K44+K39+K8</f>
        <v>1754027.94</v>
      </c>
      <c r="L46" s="358"/>
      <c r="M46" s="229"/>
      <c r="N46" s="232"/>
      <c r="O46" s="231">
        <f>O44+O39+O8</f>
        <v>1577129.3370000001</v>
      </c>
      <c r="P46" s="358"/>
      <c r="Q46" s="229"/>
      <c r="R46" s="232"/>
      <c r="S46" s="231">
        <f>S44+S39+S8</f>
        <v>327995.37067500001</v>
      </c>
      <c r="T46" s="233">
        <f>+C46+G46+K46+O46+S46</f>
        <v>8060160.8376749996</v>
      </c>
    </row>
    <row r="47" spans="1:25" s="189" customFormat="1" ht="15" customHeight="1" outlineLevel="1">
      <c r="A47" s="441" t="s">
        <v>514</v>
      </c>
      <c r="B47" s="191"/>
      <c r="C47" s="184"/>
      <c r="D47" s="354"/>
      <c r="E47" s="182"/>
      <c r="F47" s="185"/>
      <c r="G47" s="186"/>
      <c r="H47" s="354"/>
      <c r="I47" s="182"/>
      <c r="J47" s="183"/>
      <c r="K47" s="186"/>
      <c r="L47" s="354"/>
      <c r="M47" s="182"/>
      <c r="N47" s="185"/>
      <c r="O47" s="186"/>
      <c r="P47" s="354"/>
      <c r="Q47" s="182"/>
      <c r="R47" s="185"/>
      <c r="S47" s="186"/>
      <c r="T47" s="187"/>
    </row>
    <row r="48" spans="1:25" s="189" customFormat="1" ht="15" customHeight="1" outlineLevel="1">
      <c r="A48" s="445" t="s">
        <v>507</v>
      </c>
      <c r="B48" s="216" t="str">
        <f>'Program Budget'!F51</f>
        <v>%</v>
      </c>
      <c r="C48" s="198">
        <f>Admin!C48+'Activity 1'!C43+'Activity 2'!C43+'Activity 3'!C43+'Activity 4'!C42+'Activity 5'!C42+'Activity 6'!C42+'Activity 7'!C42+'Activity 8'!C42</f>
        <v>87985.60000000002</v>
      </c>
      <c r="D48" s="195">
        <f>G8</f>
        <v>170999.99999999997</v>
      </c>
      <c r="E48" s="218">
        <v>1</v>
      </c>
      <c r="F48" s="160">
        <f>'Program Budget'!G55</f>
        <v>0.56469999999999998</v>
      </c>
      <c r="G48" s="198">
        <f t="shared" ref="G48:G51" si="16">D48*E48*F48</f>
        <v>96563.699999999983</v>
      </c>
      <c r="H48" s="195">
        <f>K8</f>
        <v>179550</v>
      </c>
      <c r="I48" s="218">
        <v>1</v>
      </c>
      <c r="J48" s="160">
        <f>F48</f>
        <v>0.56469999999999998</v>
      </c>
      <c r="K48" s="198">
        <f t="shared" ref="K48:K51" si="17">H48*I48*J48</f>
        <v>101391.88499999999</v>
      </c>
      <c r="L48" s="195">
        <f>O8</f>
        <v>188527.5</v>
      </c>
      <c r="M48" s="218">
        <v>1</v>
      </c>
      <c r="N48" s="160">
        <f>J48</f>
        <v>0.56469999999999998</v>
      </c>
      <c r="O48" s="198">
        <f t="shared" ref="O48:O51" si="18">L48*M48*N48</f>
        <v>106461.47924999999</v>
      </c>
      <c r="P48" s="195">
        <f>S8</f>
        <v>0</v>
      </c>
      <c r="Q48" s="218">
        <v>1</v>
      </c>
      <c r="R48" s="160">
        <f>N48</f>
        <v>0.56469999999999998</v>
      </c>
      <c r="S48" s="198">
        <f t="shared" ref="S48:S51" si="19">P48*Q48*R48</f>
        <v>0</v>
      </c>
      <c r="T48" s="333">
        <f t="shared" ref="T48:T51" si="20">C48+G48+K48+O48+S48</f>
        <v>392402.66424999997</v>
      </c>
      <c r="U48" s="157"/>
      <c r="V48" s="157"/>
      <c r="W48" s="157"/>
      <c r="Y48" s="157"/>
    </row>
    <row r="49" spans="1:33" s="189" customFormat="1" ht="15" customHeight="1" outlineLevel="1">
      <c r="A49" s="237" t="s">
        <v>515</v>
      </c>
      <c r="B49" s="216" t="str">
        <f>'Program Budget'!F52</f>
        <v>%</v>
      </c>
      <c r="C49" s="198">
        <f>Admin!C49+'Activity 1'!C44+'Activity 2'!C44+'Activity 3'!C44+'Activity 4'!C43+'Activity 5'!C43+'Activity 6'!C43+'Activity 7'!C43+'Activity 8'!C43</f>
        <v>102223.19999999998</v>
      </c>
      <c r="D49" s="195">
        <f>G10+G11+G20+G24+G27+G30+G32</f>
        <v>363352.8</v>
      </c>
      <c r="E49" s="218">
        <v>1</v>
      </c>
      <c r="F49" s="160">
        <f>'Program Budget'!G51</f>
        <v>0.53864000000000001</v>
      </c>
      <c r="G49" s="198">
        <f t="shared" si="16"/>
        <v>195716.35219199999</v>
      </c>
      <c r="H49" s="195">
        <f>K10+K11+K20+K24+K27+K30+K32</f>
        <v>381520.44</v>
      </c>
      <c r="I49" s="218">
        <v>1</v>
      </c>
      <c r="J49" s="160">
        <f t="shared" ref="J49:J50" si="21">F49</f>
        <v>0.53864000000000001</v>
      </c>
      <c r="K49" s="198">
        <f t="shared" si="17"/>
        <v>205502.16980160002</v>
      </c>
      <c r="L49" s="195">
        <f>O10+O11+O20+O24+O27+O30+O32</f>
        <v>400596.462</v>
      </c>
      <c r="M49" s="218">
        <v>1</v>
      </c>
      <c r="N49" s="160">
        <f t="shared" ref="N49:N50" si="22">J49</f>
        <v>0.53864000000000001</v>
      </c>
      <c r="O49" s="198">
        <f t="shared" si="18"/>
        <v>215777.27829168001</v>
      </c>
      <c r="P49" s="195">
        <f>S10+S11+S20+S24+S27+S30+S32</f>
        <v>157255.33004999999</v>
      </c>
      <c r="Q49" s="218">
        <v>1</v>
      </c>
      <c r="R49" s="160">
        <f t="shared" ref="R49:R50" si="23">N49</f>
        <v>0.53864000000000001</v>
      </c>
      <c r="S49" s="198">
        <f t="shared" si="19"/>
        <v>84704.010978131992</v>
      </c>
      <c r="T49" s="333">
        <f t="shared" si="20"/>
        <v>803923.01126341207</v>
      </c>
      <c r="U49" s="157"/>
      <c r="V49" s="157"/>
      <c r="W49" s="157"/>
      <c r="X49" s="157"/>
      <c r="Y49" s="157"/>
      <c r="Z49" s="157"/>
      <c r="AA49" s="157"/>
      <c r="AB49" s="238"/>
      <c r="AC49" s="239"/>
      <c r="AD49" s="239"/>
      <c r="AG49" s="157"/>
    </row>
    <row r="50" spans="1:33" s="189" customFormat="1" ht="15" customHeight="1" outlineLevel="1">
      <c r="A50" s="237" t="s">
        <v>516</v>
      </c>
      <c r="B50" s="216" t="str">
        <f>'Program Budget'!F53</f>
        <v>%</v>
      </c>
      <c r="C50" s="198">
        <f>Admin!C50+'Activity 1'!C45+'Activity 2'!C45+'Activity 3'!C45+'Activity 4'!C44+'Activity 5'!C44+'Activity 6'!C44+'Activity 7'!C44+'Activity 8'!C44</f>
        <v>915013.3600000001</v>
      </c>
      <c r="D50" s="195">
        <f>G39-D49</f>
        <v>969950</v>
      </c>
      <c r="E50" s="218">
        <v>1</v>
      </c>
      <c r="F50" s="160">
        <f>'Program Budget'!G52</f>
        <v>0.44863999999999998</v>
      </c>
      <c r="G50" s="198">
        <f t="shared" si="16"/>
        <v>435158.36799999996</v>
      </c>
      <c r="H50" s="195">
        <f>K39-H49</f>
        <v>1040497.5</v>
      </c>
      <c r="I50" s="218">
        <v>1</v>
      </c>
      <c r="J50" s="160">
        <f t="shared" si="21"/>
        <v>0.44863999999999998</v>
      </c>
      <c r="K50" s="198">
        <f t="shared" si="17"/>
        <v>466808.79839999997</v>
      </c>
      <c r="L50" s="195">
        <f>O39-L49</f>
        <v>827922.375</v>
      </c>
      <c r="M50" s="218">
        <v>1</v>
      </c>
      <c r="N50" s="160">
        <f t="shared" si="22"/>
        <v>0.44863999999999998</v>
      </c>
      <c r="O50" s="198">
        <f t="shared" si="18"/>
        <v>371439.09431999997</v>
      </c>
      <c r="P50" s="195">
        <f>S39-P49</f>
        <v>86696.465625000012</v>
      </c>
      <c r="Q50" s="218">
        <v>1</v>
      </c>
      <c r="R50" s="160">
        <f t="shared" si="23"/>
        <v>0.44863999999999998</v>
      </c>
      <c r="S50" s="198">
        <f t="shared" si="19"/>
        <v>38895.502338000006</v>
      </c>
      <c r="T50" s="333">
        <f t="shared" si="20"/>
        <v>2227315.1230580001</v>
      </c>
      <c r="U50" s="157"/>
      <c r="V50" s="157"/>
      <c r="W50" s="157"/>
      <c r="X50" s="157"/>
      <c r="Y50" s="157"/>
      <c r="Z50" s="157"/>
      <c r="AA50" s="157"/>
      <c r="AB50" s="238"/>
      <c r="AC50" s="239"/>
      <c r="AD50" s="239"/>
      <c r="AG50" s="157"/>
    </row>
    <row r="51" spans="1:33" s="189" customFormat="1" ht="15" customHeight="1" outlineLevel="1">
      <c r="A51" s="446" t="s">
        <v>517</v>
      </c>
      <c r="B51" s="216" t="str">
        <f>'Program Budget'!F53</f>
        <v>%</v>
      </c>
      <c r="C51" s="198">
        <f>Admin!C51</f>
        <v>99333.38</v>
      </c>
      <c r="D51" s="195">
        <f>G44</f>
        <v>145200</v>
      </c>
      <c r="E51" s="243">
        <v>1</v>
      </c>
      <c r="F51" s="160">
        <f>'Program Budget'!G53</f>
        <v>0.23469999999999999</v>
      </c>
      <c r="G51" s="245">
        <f t="shared" si="16"/>
        <v>34078.44</v>
      </c>
      <c r="H51" s="195">
        <f>K44</f>
        <v>152460</v>
      </c>
      <c r="I51" s="243">
        <v>1</v>
      </c>
      <c r="J51" s="160">
        <f t="shared" ref="J51" si="24">F51</f>
        <v>0.23469999999999999</v>
      </c>
      <c r="K51" s="245">
        <f t="shared" si="17"/>
        <v>35782.362000000001</v>
      </c>
      <c r="L51" s="195">
        <f>O44</f>
        <v>160083</v>
      </c>
      <c r="M51" s="243">
        <v>1</v>
      </c>
      <c r="N51" s="160">
        <f t="shared" ref="N51" si="25">J51</f>
        <v>0.23469999999999999</v>
      </c>
      <c r="O51" s="245">
        <f t="shared" si="18"/>
        <v>37571.480100000001</v>
      </c>
      <c r="P51" s="195">
        <f>S44</f>
        <v>84043.575000000012</v>
      </c>
      <c r="Q51" s="243">
        <v>1</v>
      </c>
      <c r="R51" s="160">
        <f t="shared" ref="R51" si="26">N51</f>
        <v>0.23469999999999999</v>
      </c>
      <c r="S51" s="245">
        <f t="shared" si="19"/>
        <v>19725.027052500001</v>
      </c>
      <c r="T51" s="337">
        <f t="shared" si="20"/>
        <v>226490.68915250001</v>
      </c>
      <c r="U51" s="157"/>
      <c r="V51" s="157"/>
      <c r="W51" s="157"/>
      <c r="Y51" s="157"/>
    </row>
    <row r="52" spans="1:33" ht="15" customHeight="1" outlineLevel="1">
      <c r="A52" s="442" t="s">
        <v>518</v>
      </c>
      <c r="B52" s="209"/>
      <c r="C52" s="213">
        <f>+SUM(C48:C51)</f>
        <v>1204555.54</v>
      </c>
      <c r="D52" s="356"/>
      <c r="E52" s="211"/>
      <c r="F52" s="214"/>
      <c r="G52" s="213">
        <f>+SUM(G48:G51)</f>
        <v>761516.86019199993</v>
      </c>
      <c r="H52" s="356"/>
      <c r="I52" s="211"/>
      <c r="J52" s="212"/>
      <c r="K52" s="213">
        <f>+SUM(K48:K51)</f>
        <v>809485.21520159999</v>
      </c>
      <c r="L52" s="356"/>
      <c r="M52" s="211"/>
      <c r="N52" s="214"/>
      <c r="O52" s="213">
        <f>+SUM(O48:O51)</f>
        <v>731249.33196167997</v>
      </c>
      <c r="P52" s="356"/>
      <c r="Q52" s="211"/>
      <c r="R52" s="214"/>
      <c r="S52" s="213">
        <f>+SUM(S48:S51)</f>
        <v>143324.54036863201</v>
      </c>
      <c r="T52" s="334">
        <f>+C52+G52+K52+O52+S52</f>
        <v>3650131.4877239116</v>
      </c>
    </row>
    <row r="53" spans="1:33" s="189" customFormat="1" ht="15" customHeight="1" outlineLevel="1">
      <c r="A53" s="441" t="s">
        <v>519</v>
      </c>
      <c r="B53" s="247"/>
      <c r="C53" s="248"/>
      <c r="D53" s="357"/>
      <c r="E53" s="218"/>
      <c r="F53" s="161"/>
      <c r="G53" s="221"/>
      <c r="H53" s="357"/>
      <c r="I53" s="218"/>
      <c r="J53" s="160"/>
      <c r="K53" s="221"/>
      <c r="L53" s="357"/>
      <c r="M53" s="218"/>
      <c r="N53" s="161"/>
      <c r="O53" s="221"/>
      <c r="P53" s="357"/>
      <c r="Q53" s="218"/>
      <c r="R53" s="161"/>
      <c r="S53" s="221"/>
      <c r="T53" s="333"/>
      <c r="U53" s="157"/>
      <c r="V53" s="157"/>
      <c r="W53" s="157"/>
    </row>
    <row r="54" spans="1:33" s="189" customFormat="1" ht="15" customHeight="1" outlineLevel="1">
      <c r="A54" s="445" t="s">
        <v>507</v>
      </c>
      <c r="B54" s="216"/>
      <c r="C54" s="198"/>
      <c r="D54" s="330"/>
      <c r="E54" s="159"/>
      <c r="F54" s="161"/>
      <c r="G54" s="198"/>
      <c r="H54" s="330"/>
      <c r="I54" s="159"/>
      <c r="J54" s="160"/>
      <c r="K54" s="198"/>
      <c r="L54" s="330"/>
      <c r="M54" s="159"/>
      <c r="N54" s="161"/>
      <c r="O54" s="198"/>
      <c r="P54" s="330"/>
      <c r="Q54" s="159"/>
      <c r="R54" s="161"/>
      <c r="S54" s="198"/>
      <c r="T54" s="333"/>
      <c r="U54" s="157"/>
      <c r="V54" s="157"/>
      <c r="W54" s="157"/>
    </row>
    <row r="55" spans="1:33" s="189" customFormat="1" ht="15" customHeight="1" outlineLevel="1">
      <c r="A55" s="193" t="str">
        <f>'Program Budget'!D54</f>
        <v>Post (Hardship) Differential for Chief of Party</v>
      </c>
      <c r="B55" s="216" t="str">
        <f>'Program Budget'!F54</f>
        <v>%</v>
      </c>
      <c r="C55" s="198">
        <f>Admin!C55+'Activity 1'!C48+'Activity 2'!C48+'Activity 3'!C48+'Activity 4'!C48+'Activity 5'!C48+'Activity 6'!C48+'Activity 7'!C48+'Activity 8'!C48</f>
        <v>76841.539999999994</v>
      </c>
      <c r="D55" s="351">
        <f>G8</f>
        <v>170999.99999999997</v>
      </c>
      <c r="E55" s="159">
        <v>1</v>
      </c>
      <c r="F55" s="161">
        <f>'Program Budget'!G54</f>
        <v>0.15</v>
      </c>
      <c r="G55" s="198">
        <f>D55*E55*F55</f>
        <v>25649.999999999996</v>
      </c>
      <c r="H55" s="195">
        <f>K8</f>
        <v>179550</v>
      </c>
      <c r="I55" s="159">
        <v>1</v>
      </c>
      <c r="J55" s="160">
        <f>F55</f>
        <v>0.15</v>
      </c>
      <c r="K55" s="198">
        <f>H55*I55*J55</f>
        <v>26932.5</v>
      </c>
      <c r="L55" s="195">
        <f>O8</f>
        <v>188527.5</v>
      </c>
      <c r="M55" s="159">
        <v>1</v>
      </c>
      <c r="N55" s="161">
        <f>J55</f>
        <v>0.15</v>
      </c>
      <c r="O55" s="198">
        <f>L55*M55*N55</f>
        <v>28279.125</v>
      </c>
      <c r="P55" s="195">
        <f>S8</f>
        <v>0</v>
      </c>
      <c r="Q55" s="159">
        <v>1</v>
      </c>
      <c r="R55" s="161">
        <f>N55</f>
        <v>0.15</v>
      </c>
      <c r="S55" s="198">
        <f>P55*Q55*R55</f>
        <v>0</v>
      </c>
      <c r="T55" s="333">
        <f>C55+G55+K55+O55+S55</f>
        <v>157703.16499999998</v>
      </c>
      <c r="U55" s="157"/>
      <c r="V55" s="157"/>
      <c r="W55" s="157"/>
      <c r="Y55" s="157"/>
    </row>
    <row r="56" spans="1:33" s="189" customFormat="1" ht="15" customHeight="1" outlineLevel="1">
      <c r="A56" s="193" t="str">
        <f>'Program Budget'!D56</f>
        <v>Housing Allowance for Chief of Party</v>
      </c>
      <c r="B56" s="216" t="str">
        <f>'Program Budget'!F56</f>
        <v>Month</v>
      </c>
      <c r="C56" s="198">
        <f>'Program Budget'!E56</f>
        <v>68428.33</v>
      </c>
      <c r="D56" s="195">
        <f>'Program Budget'!G56</f>
        <v>3000</v>
      </c>
      <c r="E56" s="159">
        <f>'Program Budget'!I56</f>
        <v>12</v>
      </c>
      <c r="F56" s="161">
        <v>1</v>
      </c>
      <c r="G56" s="198">
        <f t="shared" ref="G56:G57" si="27">D56*E56*F56</f>
        <v>36000</v>
      </c>
      <c r="H56" s="195">
        <f>D56*1.04</f>
        <v>3120</v>
      </c>
      <c r="I56" s="159">
        <f>'Program Budget'!L56</f>
        <v>12</v>
      </c>
      <c r="J56" s="160">
        <f t="shared" ref="J56" si="28">F56</f>
        <v>1</v>
      </c>
      <c r="K56" s="198">
        <f t="shared" ref="K56:K57" si="29">H56*I56*J56</f>
        <v>37440</v>
      </c>
      <c r="L56" s="195">
        <f>H56*1.04</f>
        <v>3244.8</v>
      </c>
      <c r="M56" s="159">
        <f>'Program Budget'!O56</f>
        <v>12</v>
      </c>
      <c r="N56" s="161">
        <f t="shared" ref="N56" si="30">J56</f>
        <v>1</v>
      </c>
      <c r="O56" s="198">
        <f t="shared" ref="O56:O57" si="31">L56*M56*N56</f>
        <v>38937.600000000006</v>
      </c>
      <c r="P56" s="195">
        <f>L56*1.04</f>
        <v>3374.5920000000001</v>
      </c>
      <c r="Q56" s="159">
        <f>'Program Budget'!R56</f>
        <v>0</v>
      </c>
      <c r="R56" s="161">
        <v>0</v>
      </c>
      <c r="S56" s="198">
        <f t="shared" ref="S56:S57" si="32">P56*Q56*R56</f>
        <v>0</v>
      </c>
      <c r="T56" s="333">
        <f t="shared" ref="T56:T57" si="33">C56+G56+K56+O56+S56</f>
        <v>180805.93000000002</v>
      </c>
      <c r="U56" s="157"/>
      <c r="V56" s="157"/>
      <c r="W56" s="157"/>
      <c r="Y56" s="157"/>
    </row>
    <row r="57" spans="1:33" s="189" customFormat="1" ht="15" customHeight="1" outlineLevel="1">
      <c r="A57" s="193" t="str">
        <f>'Program Budget'!D57</f>
        <v>Reallocation &amp; Demobilization Allowance for Chief of Party</v>
      </c>
      <c r="B57" s="216" t="str">
        <f>'Program Budget'!F57</f>
        <v>Year</v>
      </c>
      <c r="C57" s="198">
        <f>'Program Budget'!E57</f>
        <v>1565.26</v>
      </c>
      <c r="D57" s="195">
        <f>'Program Budget'!G57</f>
        <v>2583.9299999999998</v>
      </c>
      <c r="E57" s="159">
        <f>'Program Budget'!I57</f>
        <v>0</v>
      </c>
      <c r="F57" s="161">
        <v>0</v>
      </c>
      <c r="G57" s="198">
        <f t="shared" si="27"/>
        <v>0</v>
      </c>
      <c r="H57" s="195">
        <f t="shared" ref="H57" si="34">D57*1.04</f>
        <v>2687.2871999999998</v>
      </c>
      <c r="I57" s="159">
        <f>'Program Budget'!L57</f>
        <v>0</v>
      </c>
      <c r="J57" s="160">
        <v>0</v>
      </c>
      <c r="K57" s="198">
        <f t="shared" si="29"/>
        <v>0</v>
      </c>
      <c r="L57" s="195">
        <f t="shared" ref="L57" si="35">H57*1.04</f>
        <v>2794.7786879999999</v>
      </c>
      <c r="M57" s="159">
        <f>'Program Budget'!O57</f>
        <v>1</v>
      </c>
      <c r="N57" s="161">
        <v>1</v>
      </c>
      <c r="O57" s="198">
        <f t="shared" si="31"/>
        <v>2794.7786879999999</v>
      </c>
      <c r="P57" s="195">
        <f t="shared" ref="P57" si="36">L57*1.04</f>
        <v>2906.5698355199997</v>
      </c>
      <c r="Q57" s="159">
        <f>'Program Budget'!R57</f>
        <v>0</v>
      </c>
      <c r="R57" s="161">
        <v>0</v>
      </c>
      <c r="S57" s="198">
        <f t="shared" si="32"/>
        <v>0</v>
      </c>
      <c r="T57" s="333">
        <f t="shared" si="33"/>
        <v>4360.0386879999996</v>
      </c>
      <c r="U57" s="157"/>
      <c r="V57" s="157"/>
      <c r="W57" s="157"/>
      <c r="Y57" s="157"/>
    </row>
    <row r="58" spans="1:33" s="189" customFormat="1" ht="15" customHeight="1" outlineLevel="1">
      <c r="A58" s="193" t="str">
        <f>'Program Budget'!D58</f>
        <v>Annual Home of Record for Chief of Party</v>
      </c>
      <c r="B58" s="216" t="str">
        <f>'Program Budget'!F58</f>
        <v>Year</v>
      </c>
      <c r="C58" s="198">
        <f>'Program Budget'!E58</f>
        <v>1357.75</v>
      </c>
      <c r="D58" s="195">
        <f>'Program Budget'!G58</f>
        <v>1100</v>
      </c>
      <c r="E58" s="159">
        <f>'Program Budget'!I58</f>
        <v>1</v>
      </c>
      <c r="F58" s="161">
        <v>1</v>
      </c>
      <c r="G58" s="198">
        <f t="shared" ref="G58" si="37">D58*E58*F58</f>
        <v>1100</v>
      </c>
      <c r="H58" s="195">
        <f t="shared" ref="H58" si="38">D58*1.04</f>
        <v>1144</v>
      </c>
      <c r="I58" s="159">
        <f>'Program Budget'!L58</f>
        <v>1</v>
      </c>
      <c r="J58" s="160">
        <v>1</v>
      </c>
      <c r="K58" s="198">
        <f t="shared" ref="K58" si="39">H58*I58*J58</f>
        <v>1144</v>
      </c>
      <c r="L58" s="195">
        <f t="shared" ref="L58" si="40">H58*1.04</f>
        <v>1189.76</v>
      </c>
      <c r="M58" s="159">
        <f>'Program Budget'!O58</f>
        <v>1</v>
      </c>
      <c r="N58" s="161">
        <v>1</v>
      </c>
      <c r="O58" s="198">
        <f t="shared" ref="O58" si="41">L58*M58*N58</f>
        <v>1189.76</v>
      </c>
      <c r="P58" s="195">
        <f t="shared" ref="P58" si="42">L58*1.04</f>
        <v>1237.3504</v>
      </c>
      <c r="Q58" s="159">
        <f>'Program Budget'!R58</f>
        <v>1</v>
      </c>
      <c r="R58" s="161">
        <v>1</v>
      </c>
      <c r="S58" s="198">
        <f t="shared" ref="S58" si="43">P58*Q58*R58</f>
        <v>1237.3504</v>
      </c>
      <c r="T58" s="335">
        <f t="shared" ref="T58" si="44">C58+G58+K58+O58+S58</f>
        <v>6028.8604000000005</v>
      </c>
      <c r="U58" s="157"/>
      <c r="V58" s="157"/>
      <c r="W58" s="157"/>
      <c r="Y58" s="157"/>
    </row>
    <row r="59" spans="1:33" ht="15" customHeight="1" outlineLevel="1">
      <c r="A59" s="442" t="s">
        <v>520</v>
      </c>
      <c r="B59" s="209"/>
      <c r="C59" s="213">
        <f>SUM(C54:C58)</f>
        <v>148192.88</v>
      </c>
      <c r="D59" s="356"/>
      <c r="E59" s="211"/>
      <c r="F59" s="214"/>
      <c r="G59" s="213">
        <f>SUM(G54:G58)</f>
        <v>62750</v>
      </c>
      <c r="H59" s="356"/>
      <c r="I59" s="211"/>
      <c r="J59" s="212"/>
      <c r="K59" s="213">
        <f>SUM(K54:K58)</f>
        <v>65516.5</v>
      </c>
      <c r="L59" s="356"/>
      <c r="M59" s="211"/>
      <c r="N59" s="214"/>
      <c r="O59" s="213">
        <f>SUM(O54:O58)</f>
        <v>71201.263688000006</v>
      </c>
      <c r="P59" s="356"/>
      <c r="Q59" s="211"/>
      <c r="R59" s="214"/>
      <c r="S59" s="213">
        <f>SUM(S54:S58)</f>
        <v>1237.3504</v>
      </c>
      <c r="T59" s="334">
        <f>C59+G59+K59+O59+S59</f>
        <v>348897.99408800004</v>
      </c>
    </row>
    <row r="60" spans="1:33" s="189" customFormat="1" ht="15" customHeight="1" outlineLevel="1">
      <c r="A60" s="193"/>
      <c r="B60" s="216"/>
      <c r="C60" s="198"/>
      <c r="D60" s="330"/>
      <c r="E60" s="159"/>
      <c r="F60" s="161"/>
      <c r="G60" s="198"/>
      <c r="H60" s="330"/>
      <c r="I60" s="159"/>
      <c r="J60" s="160"/>
      <c r="K60" s="198"/>
      <c r="L60" s="330"/>
      <c r="M60" s="159"/>
      <c r="N60" s="161"/>
      <c r="O60" s="198"/>
      <c r="P60" s="330"/>
      <c r="Q60" s="159"/>
      <c r="R60" s="161"/>
      <c r="S60" s="198"/>
      <c r="T60" s="246"/>
    </row>
    <row r="61" spans="1:33" s="258" customFormat="1" ht="18.3" outlineLevel="1">
      <c r="A61" s="447" t="s">
        <v>521</v>
      </c>
      <c r="B61" s="250"/>
      <c r="C61" s="254">
        <f>C59+C52</f>
        <v>1352748.42</v>
      </c>
      <c r="D61" s="359"/>
      <c r="E61" s="252"/>
      <c r="F61" s="255"/>
      <c r="G61" s="254">
        <f>G59+G52</f>
        <v>824266.86019199993</v>
      </c>
      <c r="H61" s="359"/>
      <c r="I61" s="252"/>
      <c r="J61" s="253"/>
      <c r="K61" s="254">
        <f>K59+K52</f>
        <v>875001.71520159999</v>
      </c>
      <c r="L61" s="359"/>
      <c r="M61" s="252"/>
      <c r="N61" s="255"/>
      <c r="O61" s="254">
        <f>O59+O52</f>
        <v>802450.59564968001</v>
      </c>
      <c r="P61" s="359"/>
      <c r="Q61" s="252"/>
      <c r="R61" s="255"/>
      <c r="S61" s="254">
        <f>S59+S52</f>
        <v>144561.890768632</v>
      </c>
      <c r="T61" s="233">
        <f>+C61+G61+K61+O61+S61</f>
        <v>3999029.4818119118</v>
      </c>
    </row>
    <row r="62" spans="1:33" s="260" customFormat="1" ht="15.6" outlineLevel="1">
      <c r="A62" s="441" t="s">
        <v>522</v>
      </c>
      <c r="B62" s="191"/>
      <c r="C62" s="198"/>
      <c r="D62" s="330"/>
      <c r="E62" s="159"/>
      <c r="F62" s="185"/>
      <c r="G62" s="198"/>
      <c r="H62" s="330"/>
      <c r="I62" s="159"/>
      <c r="J62" s="183"/>
      <c r="K62" s="198"/>
      <c r="L62" s="330"/>
      <c r="M62" s="159"/>
      <c r="N62" s="185"/>
      <c r="O62" s="198"/>
      <c r="P62" s="330"/>
      <c r="Q62" s="159"/>
      <c r="R62" s="185"/>
      <c r="S62" s="198"/>
      <c r="T62" s="333"/>
    </row>
    <row r="63" spans="1:33" ht="15" customHeight="1" outlineLevel="1">
      <c r="A63" s="193" t="str">
        <f>'Program Budget'!D64</f>
        <v>Airfare - DC-Colombia - HQ Project Management Trip</v>
      </c>
      <c r="B63" s="194" t="str">
        <f>'Program Budget'!F64</f>
        <v>Trip</v>
      </c>
      <c r="C63" s="198">
        <f>Admin!C63</f>
        <v>12141.749999999998</v>
      </c>
      <c r="D63" s="355">
        <f>Admin!D63</f>
        <v>800</v>
      </c>
      <c r="E63" s="196">
        <f>Admin!E63</f>
        <v>4</v>
      </c>
      <c r="F63" s="197">
        <v>1</v>
      </c>
      <c r="G63" s="198">
        <f>D63*E63*F63</f>
        <v>3200</v>
      </c>
      <c r="H63" s="355">
        <f>D63*1.04</f>
        <v>832</v>
      </c>
      <c r="I63" s="196">
        <f>Admin!I63</f>
        <v>4</v>
      </c>
      <c r="J63" s="197">
        <v>1</v>
      </c>
      <c r="K63" s="198">
        <f>H63*I63*J63</f>
        <v>3328</v>
      </c>
      <c r="L63" s="355">
        <f>H63*1.04</f>
        <v>865.28</v>
      </c>
      <c r="M63" s="196">
        <f>Admin!M63</f>
        <v>4</v>
      </c>
      <c r="N63" s="197">
        <v>1</v>
      </c>
      <c r="O63" s="198">
        <f>L63*M63*N63</f>
        <v>3461.12</v>
      </c>
      <c r="P63" s="355">
        <f>L63*1.04</f>
        <v>899.89120000000003</v>
      </c>
      <c r="Q63" s="196">
        <f>Admin!Q63</f>
        <v>4</v>
      </c>
      <c r="R63" s="197">
        <v>1</v>
      </c>
      <c r="S63" s="198">
        <f>P63*Q63*R63</f>
        <v>3599.5648000000001</v>
      </c>
      <c r="T63" s="350">
        <f>C63+G63+K63+O63+S63</f>
        <v>25730.434799999999</v>
      </c>
    </row>
    <row r="64" spans="1:33" ht="15" customHeight="1" outlineLevel="1">
      <c r="A64" s="193" t="str">
        <f>'Program Budget'!D69</f>
        <v>Airfare - Roundtrip - Colombia to USA</v>
      </c>
      <c r="B64" s="194" t="str">
        <f>'Program Budget'!F69</f>
        <v>Trip</v>
      </c>
      <c r="C64" s="198">
        <f>Admin!C64</f>
        <v>8640.5600000000013</v>
      </c>
      <c r="D64" s="355">
        <f>Admin!D64</f>
        <v>800</v>
      </c>
      <c r="E64" s="196">
        <f>Admin!E64</f>
        <v>4</v>
      </c>
      <c r="F64" s="197">
        <v>1</v>
      </c>
      <c r="G64" s="198">
        <f>D64*E64*F64</f>
        <v>3200</v>
      </c>
      <c r="H64" s="355">
        <f>D64*1.03</f>
        <v>824</v>
      </c>
      <c r="I64" s="196">
        <f>Admin!I64</f>
        <v>4</v>
      </c>
      <c r="J64" s="197">
        <v>1</v>
      </c>
      <c r="K64" s="198">
        <f>H64*I64*J64</f>
        <v>3296</v>
      </c>
      <c r="L64" s="355">
        <f>H64*1.03</f>
        <v>848.72</v>
      </c>
      <c r="M64" s="196">
        <f>Admin!M64</f>
        <v>4</v>
      </c>
      <c r="N64" s="197">
        <v>1</v>
      </c>
      <c r="O64" s="198">
        <f>L64*M64*N64</f>
        <v>3394.88</v>
      </c>
      <c r="P64" s="355">
        <f>L64*1.03</f>
        <v>874.1816</v>
      </c>
      <c r="Q64" s="196">
        <f>Admin!Q64</f>
        <v>4</v>
      </c>
      <c r="R64" s="197">
        <v>1</v>
      </c>
      <c r="S64" s="198">
        <f>P64*Q64*R64</f>
        <v>3496.7264</v>
      </c>
      <c r="T64" s="350">
        <f t="shared" ref="T64:T97" si="45">C64+G64+K64+O64+S64</f>
        <v>22028.166400000002</v>
      </c>
    </row>
    <row r="65" spans="1:20" ht="15" customHeight="1" outlineLevel="1">
      <c r="A65" s="193" t="str">
        <f>'Activity 6'!A51</f>
        <v>International Airfare for Young Agriculture Entrepreneur International Exchange</v>
      </c>
      <c r="B65" s="194" t="str">
        <f>'Activity 6'!B51</f>
        <v>Trip</v>
      </c>
      <c r="C65" s="198">
        <f>'Activity 6'!C51</f>
        <v>19061.169999999998</v>
      </c>
      <c r="D65" s="355">
        <f>'Activity 6'!D51</f>
        <v>2000</v>
      </c>
      <c r="E65" s="196">
        <f>'Activity 6'!E51</f>
        <v>11</v>
      </c>
      <c r="F65" s="197">
        <v>1</v>
      </c>
      <c r="G65" s="198">
        <f t="shared" ref="G65:G66" si="46">D65*E65*F65</f>
        <v>22000</v>
      </c>
      <c r="H65" s="355">
        <f t="shared" ref="H65:H94" si="47">D65*1.04</f>
        <v>2080</v>
      </c>
      <c r="I65" s="196">
        <f>'Activity 6'!I51</f>
        <v>0</v>
      </c>
      <c r="J65" s="197">
        <v>0</v>
      </c>
      <c r="K65" s="198">
        <f t="shared" ref="K65:K66" si="48">H65*I65*J65</f>
        <v>0</v>
      </c>
      <c r="L65" s="355">
        <f t="shared" ref="L65:L66" si="49">H65*1.04</f>
        <v>2163.2000000000003</v>
      </c>
      <c r="M65" s="196">
        <f>'Activity 6'!M51</f>
        <v>0</v>
      </c>
      <c r="N65" s="197">
        <v>0</v>
      </c>
      <c r="O65" s="198">
        <f t="shared" ref="O65:O66" si="50">L65*M65*N65</f>
        <v>0</v>
      </c>
      <c r="P65" s="355">
        <f t="shared" ref="P65:P66" si="51">L65*1.04</f>
        <v>2249.7280000000005</v>
      </c>
      <c r="Q65" s="196">
        <f>'Activity 6'!Q51</f>
        <v>0</v>
      </c>
      <c r="R65" s="197">
        <v>0</v>
      </c>
      <c r="S65" s="198">
        <f t="shared" ref="S65:S66" si="52">P65*Q65*R65</f>
        <v>0</v>
      </c>
      <c r="T65" s="350">
        <f t="shared" si="45"/>
        <v>41061.17</v>
      </c>
    </row>
    <row r="66" spans="1:20" ht="15" customHeight="1" outlineLevel="1">
      <c r="A66" s="193" t="str">
        <f>'Activity 7'!A51</f>
        <v>International &amp; Domestic Airfare for Conferences &amp; Forums</v>
      </c>
      <c r="B66" s="194" t="str">
        <f>'Activity 7'!B51</f>
        <v>Trip</v>
      </c>
      <c r="C66" s="198">
        <f>'Activity 7'!C51</f>
        <v>0</v>
      </c>
      <c r="D66" s="355">
        <f>'Activity 7'!D51</f>
        <v>1200</v>
      </c>
      <c r="E66" s="196">
        <f>'Activity 7'!E51</f>
        <v>2</v>
      </c>
      <c r="F66" s="197">
        <v>1</v>
      </c>
      <c r="G66" s="198">
        <f t="shared" si="46"/>
        <v>2400</v>
      </c>
      <c r="H66" s="355">
        <f t="shared" si="47"/>
        <v>1248</v>
      </c>
      <c r="I66" s="196">
        <f>'Activity 7'!I51</f>
        <v>2</v>
      </c>
      <c r="J66" s="197">
        <v>1</v>
      </c>
      <c r="K66" s="198">
        <f t="shared" si="48"/>
        <v>2496</v>
      </c>
      <c r="L66" s="355">
        <f t="shared" si="49"/>
        <v>1297.92</v>
      </c>
      <c r="M66" s="196">
        <f>'Activity 7'!M51</f>
        <v>2</v>
      </c>
      <c r="N66" s="197">
        <v>1</v>
      </c>
      <c r="O66" s="198">
        <f t="shared" si="50"/>
        <v>2595.84</v>
      </c>
      <c r="P66" s="355">
        <f t="shared" si="51"/>
        <v>1349.8368</v>
      </c>
      <c r="Q66" s="196">
        <f>'Activity 7'!Q51</f>
        <v>2</v>
      </c>
      <c r="R66" s="197">
        <v>1</v>
      </c>
      <c r="S66" s="198">
        <f t="shared" si="52"/>
        <v>2699.6736000000001</v>
      </c>
      <c r="T66" s="350">
        <f t="shared" si="45"/>
        <v>10191.5136</v>
      </c>
    </row>
    <row r="67" spans="1:20" s="260" customFormat="1" ht="15.6" outlineLevel="1">
      <c r="A67" s="441" t="s">
        <v>523</v>
      </c>
      <c r="B67" s="191"/>
      <c r="C67" s="198"/>
      <c r="D67" s="355"/>
      <c r="E67" s="159"/>
      <c r="F67" s="185"/>
      <c r="G67" s="198"/>
      <c r="H67" s="355"/>
      <c r="I67" s="159"/>
      <c r="J67" s="183"/>
      <c r="K67" s="198"/>
      <c r="L67" s="355"/>
      <c r="M67" s="159"/>
      <c r="N67" s="185"/>
      <c r="O67" s="198"/>
      <c r="P67" s="355"/>
      <c r="Q67" s="159"/>
      <c r="R67" s="185"/>
      <c r="S67" s="198"/>
      <c r="T67" s="350">
        <f t="shared" si="45"/>
        <v>0</v>
      </c>
    </row>
    <row r="68" spans="1:20" ht="15" customHeight="1" outlineLevel="1">
      <c r="A68" s="193" t="str">
        <f>'Program Budget'!D66</f>
        <v>Local Transportation – HQ Project Management Trip</v>
      </c>
      <c r="B68" s="194" t="str">
        <f>'Program Budget'!F66</f>
        <v>Trip</v>
      </c>
      <c r="C68" s="198">
        <f>Admin!C66</f>
        <v>1104.45</v>
      </c>
      <c r="D68" s="355">
        <f>Admin!D66</f>
        <v>100</v>
      </c>
      <c r="E68" s="196">
        <f>Admin!E66</f>
        <v>4</v>
      </c>
      <c r="F68" s="197">
        <v>1</v>
      </c>
      <c r="G68" s="198">
        <f>D68*E68*F68</f>
        <v>400</v>
      </c>
      <c r="H68" s="355">
        <f t="shared" si="47"/>
        <v>104</v>
      </c>
      <c r="I68" s="196">
        <f>Admin!I66</f>
        <v>4</v>
      </c>
      <c r="J68" s="197">
        <v>1</v>
      </c>
      <c r="K68" s="198">
        <f>H68*I68*J68</f>
        <v>416</v>
      </c>
      <c r="L68" s="355">
        <f t="shared" ref="L68:L94" si="53">H68*1.04</f>
        <v>108.16</v>
      </c>
      <c r="M68" s="196">
        <f>Admin!M66</f>
        <v>4</v>
      </c>
      <c r="N68" s="197">
        <v>1</v>
      </c>
      <c r="O68" s="198">
        <f>L68*M68*N68</f>
        <v>432.64</v>
      </c>
      <c r="P68" s="355">
        <f t="shared" ref="P68:P94" si="54">L68*1.04</f>
        <v>112.4864</v>
      </c>
      <c r="Q68" s="196">
        <f>Admin!Q66</f>
        <v>4</v>
      </c>
      <c r="R68" s="197">
        <v>1</v>
      </c>
      <c r="S68" s="198">
        <f>P68*Q68*R68</f>
        <v>449.94560000000001</v>
      </c>
      <c r="T68" s="350">
        <f t="shared" si="45"/>
        <v>2803.0356000000002</v>
      </c>
    </row>
    <row r="69" spans="1:20" ht="15" customHeight="1" outlineLevel="1">
      <c r="A69" s="193" t="str">
        <f>'Program Budget'!D71</f>
        <v>Local Transportation for Colombia Staff Travel</v>
      </c>
      <c r="B69" s="194" t="str">
        <f>'Program Budget'!F75</f>
        <v>Trip</v>
      </c>
      <c r="C69" s="198">
        <f>Admin!C67</f>
        <v>895.05</v>
      </c>
      <c r="D69" s="355">
        <f>Admin!D67</f>
        <v>100</v>
      </c>
      <c r="E69" s="196">
        <f>Admin!E67</f>
        <v>4</v>
      </c>
      <c r="F69" s="197">
        <v>1</v>
      </c>
      <c r="G69" s="198">
        <f>D69*E69*F69</f>
        <v>400</v>
      </c>
      <c r="H69" s="355">
        <f>D69*1.03</f>
        <v>103</v>
      </c>
      <c r="I69" s="196">
        <f>Admin!I67</f>
        <v>4</v>
      </c>
      <c r="J69" s="197">
        <v>1</v>
      </c>
      <c r="K69" s="198">
        <f>H69*I69*J69</f>
        <v>412</v>
      </c>
      <c r="L69" s="355">
        <f>H69*1.03</f>
        <v>106.09</v>
      </c>
      <c r="M69" s="196">
        <f>Admin!M67</f>
        <v>4</v>
      </c>
      <c r="N69" s="197">
        <v>1</v>
      </c>
      <c r="O69" s="198">
        <f>L69*M69*N69</f>
        <v>424.36</v>
      </c>
      <c r="P69" s="355">
        <f>L69*1.03</f>
        <v>109.2727</v>
      </c>
      <c r="Q69" s="196">
        <f>Admin!Q67</f>
        <v>4</v>
      </c>
      <c r="R69" s="197">
        <v>1</v>
      </c>
      <c r="S69" s="198">
        <f>P69*Q69*R69</f>
        <v>437.0908</v>
      </c>
      <c r="T69" s="350">
        <f t="shared" si="45"/>
        <v>2568.5007999999998</v>
      </c>
    </row>
    <row r="70" spans="1:20" ht="15" customHeight="1" outlineLevel="1">
      <c r="A70" s="569" t="str">
        <f>'Program Budget'!D75</f>
        <v>Local Transportation – Training, M&amp;E, &amp; Data Collection</v>
      </c>
      <c r="B70" s="194" t="str">
        <f>'Program Budget'!F75</f>
        <v>Trip</v>
      </c>
      <c r="C70" s="198">
        <f>Admin!C68</f>
        <v>32433.77</v>
      </c>
      <c r="D70" s="355">
        <f>Admin!D68</f>
        <v>100</v>
      </c>
      <c r="E70" s="196">
        <f>Admin!E68</f>
        <v>36</v>
      </c>
      <c r="F70" s="197">
        <v>1</v>
      </c>
      <c r="G70" s="198">
        <f>D70*E70*F70</f>
        <v>3600</v>
      </c>
      <c r="H70" s="355">
        <f t="shared" si="47"/>
        <v>104</v>
      </c>
      <c r="I70" s="196">
        <f>Admin!I68</f>
        <v>36</v>
      </c>
      <c r="J70" s="197">
        <v>1</v>
      </c>
      <c r="K70" s="198">
        <f>H70*I70*J70</f>
        <v>3744</v>
      </c>
      <c r="L70" s="355">
        <f t="shared" si="53"/>
        <v>108.16</v>
      </c>
      <c r="M70" s="196">
        <f>Admin!M68</f>
        <v>36</v>
      </c>
      <c r="N70" s="197">
        <v>1</v>
      </c>
      <c r="O70" s="198">
        <f>L70*M70*N70</f>
        <v>3893.7599999999998</v>
      </c>
      <c r="P70" s="355">
        <f t="shared" si="54"/>
        <v>112.4864</v>
      </c>
      <c r="Q70" s="196">
        <f>Admin!Q68</f>
        <v>9</v>
      </c>
      <c r="R70" s="197">
        <v>1</v>
      </c>
      <c r="S70" s="198">
        <f>P70*Q70*R70</f>
        <v>1012.3776</v>
      </c>
      <c r="T70" s="350">
        <f t="shared" si="45"/>
        <v>44683.907600000006</v>
      </c>
    </row>
    <row r="71" spans="1:20" ht="15" customHeight="1" outlineLevel="1">
      <c r="A71" s="569" t="str">
        <f>'Activity 2'!A52</f>
        <v>Local Transportation – Training &amp; Data Collection</v>
      </c>
      <c r="B71" s="194" t="str">
        <f>'Activity 2'!B52</f>
        <v>Trip</v>
      </c>
      <c r="C71" s="198">
        <f>'Activity 2'!C52</f>
        <v>6403.93</v>
      </c>
      <c r="D71" s="355">
        <f>'Activity 2'!D52</f>
        <v>300</v>
      </c>
      <c r="E71" s="196">
        <f>'Activity 2'!E52</f>
        <v>12</v>
      </c>
      <c r="F71" s="197">
        <v>1</v>
      </c>
      <c r="G71" s="198">
        <f t="shared" ref="G71:G84" si="55">D71*E71*F71</f>
        <v>3600</v>
      </c>
      <c r="H71" s="355">
        <f>D71*1.04</f>
        <v>312</v>
      </c>
      <c r="I71" s="196">
        <f>'Activity 2'!I52</f>
        <v>12</v>
      </c>
      <c r="J71" s="197">
        <v>1</v>
      </c>
      <c r="K71" s="198">
        <f t="shared" ref="K71:K76" si="56">H71*I71*J71</f>
        <v>3744</v>
      </c>
      <c r="L71" s="355">
        <f t="shared" si="53"/>
        <v>324.48</v>
      </c>
      <c r="M71" s="196">
        <f>'Activity 2'!M52</f>
        <v>12</v>
      </c>
      <c r="N71" s="197">
        <v>1</v>
      </c>
      <c r="O71" s="198">
        <f t="shared" ref="O71:O78" si="57">L71*M71*N71</f>
        <v>3893.76</v>
      </c>
      <c r="P71" s="355">
        <f t="shared" si="54"/>
        <v>337.45920000000001</v>
      </c>
      <c r="Q71" s="196">
        <f>'Activity 2'!Q52</f>
        <v>3</v>
      </c>
      <c r="R71" s="197">
        <v>1</v>
      </c>
      <c r="S71" s="198">
        <f t="shared" ref="S71:S72" si="58">P71*Q71*R71</f>
        <v>1012.3776</v>
      </c>
      <c r="T71" s="350">
        <f t="shared" si="45"/>
        <v>18654.067600000002</v>
      </c>
    </row>
    <row r="72" spans="1:20" ht="15" customHeight="1" outlineLevel="1">
      <c r="A72" s="569" t="str">
        <f>'Activity 2'!A53</f>
        <v>Transport Stipend for Fedecafe Extension Agents for Boot Camp</v>
      </c>
      <c r="B72" s="194" t="str">
        <f>'Activity 2'!B53</f>
        <v>Participant</v>
      </c>
      <c r="C72" s="198">
        <f>'Activity 2'!C53</f>
        <v>0</v>
      </c>
      <c r="D72" s="355">
        <f>'Activity 2'!D53</f>
        <v>250</v>
      </c>
      <c r="E72" s="196">
        <f>'Activity 2'!E53</f>
        <v>0</v>
      </c>
      <c r="F72" s="197">
        <v>1</v>
      </c>
      <c r="G72" s="198">
        <f t="shared" si="55"/>
        <v>0</v>
      </c>
      <c r="H72" s="355">
        <f>D72*1.04</f>
        <v>260</v>
      </c>
      <c r="I72" s="196">
        <f>'Activity 2'!I53</f>
        <v>0</v>
      </c>
      <c r="J72" s="197">
        <v>1</v>
      </c>
      <c r="K72" s="198">
        <f t="shared" si="56"/>
        <v>0</v>
      </c>
      <c r="L72" s="355">
        <f t="shared" si="53"/>
        <v>270.40000000000003</v>
      </c>
      <c r="M72" s="196">
        <f>'Activity 2'!M53</f>
        <v>0</v>
      </c>
      <c r="N72" s="197">
        <v>1</v>
      </c>
      <c r="O72" s="198">
        <f t="shared" si="57"/>
        <v>0</v>
      </c>
      <c r="P72" s="355">
        <f t="shared" si="54"/>
        <v>281.21600000000007</v>
      </c>
      <c r="Q72" s="196">
        <f>'Activity 2'!Q53</f>
        <v>0</v>
      </c>
      <c r="R72" s="197">
        <v>1</v>
      </c>
      <c r="S72" s="198">
        <f t="shared" si="58"/>
        <v>0</v>
      </c>
      <c r="T72" s="350">
        <f t="shared" si="45"/>
        <v>0</v>
      </c>
    </row>
    <row r="73" spans="1:20" ht="15" customHeight="1" outlineLevel="1">
      <c r="A73" s="569" t="str">
        <f>'Activity 3'!A53</f>
        <v>Local Transportation – Training &amp; Data Collection</v>
      </c>
      <c r="B73" s="194" t="str">
        <f>'Activity 3'!B53</f>
        <v>Trip</v>
      </c>
      <c r="C73" s="198">
        <f>'Activity 3'!C53</f>
        <v>172784.89999999997</v>
      </c>
      <c r="D73" s="355">
        <f>'Activity 3'!D53</f>
        <v>650</v>
      </c>
      <c r="E73" s="196">
        <f>'Activity 3'!E53</f>
        <v>72</v>
      </c>
      <c r="F73" s="197">
        <v>1</v>
      </c>
      <c r="G73" s="198">
        <f t="shared" si="55"/>
        <v>46800</v>
      </c>
      <c r="H73" s="355">
        <f t="shared" ref="H73:H83" si="59">D73*1.04</f>
        <v>676</v>
      </c>
      <c r="I73" s="196">
        <f>'Activity 3'!I53</f>
        <v>72</v>
      </c>
      <c r="J73" s="197">
        <v>1</v>
      </c>
      <c r="K73" s="198">
        <f t="shared" si="56"/>
        <v>48672</v>
      </c>
      <c r="L73" s="355">
        <f t="shared" si="53"/>
        <v>703.04000000000008</v>
      </c>
      <c r="M73" s="196">
        <f>'Activity 3'!M53</f>
        <v>72</v>
      </c>
      <c r="N73" s="197">
        <v>1</v>
      </c>
      <c r="O73" s="198">
        <f t="shared" si="57"/>
        <v>50618.880000000005</v>
      </c>
      <c r="P73" s="355">
        <f t="shared" si="54"/>
        <v>731.16160000000013</v>
      </c>
      <c r="Q73" s="196">
        <f>'Activity 3'!Q53</f>
        <v>6</v>
      </c>
      <c r="R73" s="197">
        <v>1</v>
      </c>
      <c r="S73" s="198">
        <f t="shared" ref="S73:S75" si="60">P73*Q73*R73</f>
        <v>4386.9696000000004</v>
      </c>
      <c r="T73" s="350">
        <f t="shared" si="45"/>
        <v>323262.74959999998</v>
      </c>
    </row>
    <row r="74" spans="1:20" ht="15" customHeight="1" outlineLevel="1">
      <c r="A74" s="569" t="str">
        <f>'Activity 3'!A54</f>
        <v>Transport Stipend for Cacao Farmers for Boot Camp</v>
      </c>
      <c r="B74" s="194" t="str">
        <f>'Activity 3'!B54</f>
        <v>Participant</v>
      </c>
      <c r="C74" s="198">
        <f>'Activity 3'!C54</f>
        <v>0</v>
      </c>
      <c r="D74" s="355">
        <f>'Activity 3'!D54</f>
        <v>250</v>
      </c>
      <c r="E74" s="196">
        <f>'Activity 3'!E54</f>
        <v>45</v>
      </c>
      <c r="F74" s="197">
        <v>1</v>
      </c>
      <c r="G74" s="198">
        <f t="shared" si="55"/>
        <v>11250</v>
      </c>
      <c r="H74" s="355">
        <f t="shared" si="59"/>
        <v>260</v>
      </c>
      <c r="I74" s="196">
        <f>'Activity 3'!I54</f>
        <v>45</v>
      </c>
      <c r="J74" s="197">
        <v>1</v>
      </c>
      <c r="K74" s="198">
        <f t="shared" si="56"/>
        <v>11700</v>
      </c>
      <c r="L74" s="355">
        <f t="shared" si="53"/>
        <v>270.40000000000003</v>
      </c>
      <c r="M74" s="196">
        <f>'Activity 3'!M54</f>
        <v>45</v>
      </c>
      <c r="N74" s="197">
        <v>1</v>
      </c>
      <c r="O74" s="198">
        <f t="shared" si="57"/>
        <v>12168.000000000002</v>
      </c>
      <c r="P74" s="355">
        <f t="shared" si="54"/>
        <v>281.21600000000007</v>
      </c>
      <c r="Q74" s="196">
        <f>'Activity 3'!Q54</f>
        <v>0</v>
      </c>
      <c r="R74" s="197">
        <v>1</v>
      </c>
      <c r="S74" s="198">
        <f t="shared" si="60"/>
        <v>0</v>
      </c>
      <c r="T74" s="350">
        <f t="shared" si="45"/>
        <v>35118</v>
      </c>
    </row>
    <row r="75" spans="1:20" ht="15" customHeight="1" outlineLevel="1">
      <c r="A75" s="569" t="str">
        <f>'Activity 3'!A55</f>
        <v>Transport Stipend for Producers Representatives on Cacao and Complementary Crops</v>
      </c>
      <c r="B75" s="194" t="str">
        <f>'Activity 3'!B55</f>
        <v>Participant</v>
      </c>
      <c r="C75" s="198">
        <f>'Activity 3'!C55</f>
        <v>0</v>
      </c>
      <c r="D75" s="355">
        <f>'Activity 3'!D55</f>
        <v>250</v>
      </c>
      <c r="E75" s="196">
        <f>'Activity 3'!E55</f>
        <v>45</v>
      </c>
      <c r="F75" s="197">
        <v>1</v>
      </c>
      <c r="G75" s="198">
        <f t="shared" si="55"/>
        <v>11250</v>
      </c>
      <c r="H75" s="355">
        <f t="shared" si="59"/>
        <v>260</v>
      </c>
      <c r="I75" s="196">
        <f>'Activity 3'!I55</f>
        <v>45</v>
      </c>
      <c r="J75" s="197">
        <v>1</v>
      </c>
      <c r="K75" s="198">
        <f t="shared" si="56"/>
        <v>11700</v>
      </c>
      <c r="L75" s="355">
        <f t="shared" si="53"/>
        <v>270.40000000000003</v>
      </c>
      <c r="M75" s="196">
        <f>'Activity 3'!M55</f>
        <v>45</v>
      </c>
      <c r="N75" s="197">
        <v>1</v>
      </c>
      <c r="O75" s="198">
        <f t="shared" si="57"/>
        <v>12168.000000000002</v>
      </c>
      <c r="P75" s="355">
        <f t="shared" si="54"/>
        <v>281.21600000000007</v>
      </c>
      <c r="Q75" s="196">
        <f>'Activity 3'!Q55</f>
        <v>0</v>
      </c>
      <c r="R75" s="197">
        <v>1</v>
      </c>
      <c r="S75" s="198">
        <f t="shared" si="60"/>
        <v>0</v>
      </c>
      <c r="T75" s="350">
        <f t="shared" si="45"/>
        <v>35118</v>
      </c>
    </row>
    <row r="76" spans="1:20" ht="15" customHeight="1" outlineLevel="1">
      <c r="A76" s="569" t="str">
        <f>'Activity 3'!A56</f>
        <v>Transport, Lodging &amp; M&amp;IE for 3 Months for Students of Cacao Extension Professionalization Program</v>
      </c>
      <c r="B76" s="194" t="str">
        <f>'Activity 3'!B56</f>
        <v>Participant</v>
      </c>
      <c r="C76" s="198">
        <f>'Activity 3'!C56</f>
        <v>0</v>
      </c>
      <c r="D76" s="355">
        <f>'Activity 3'!D56</f>
        <v>4200</v>
      </c>
      <c r="E76" s="196">
        <f>'Activity 3'!E56</f>
        <v>12</v>
      </c>
      <c r="F76" s="197">
        <v>1</v>
      </c>
      <c r="G76" s="198">
        <f t="shared" si="55"/>
        <v>50400</v>
      </c>
      <c r="H76" s="355">
        <f t="shared" si="59"/>
        <v>4368</v>
      </c>
      <c r="I76" s="196">
        <f>'Activity 3'!I56</f>
        <v>13</v>
      </c>
      <c r="J76" s="197">
        <v>1</v>
      </c>
      <c r="K76" s="198">
        <f t="shared" si="56"/>
        <v>56784</v>
      </c>
      <c r="L76" s="355">
        <f t="shared" si="53"/>
        <v>4542.72</v>
      </c>
      <c r="M76" s="196">
        <f>'Activity 3'!M56</f>
        <v>0</v>
      </c>
      <c r="N76" s="197">
        <v>1</v>
      </c>
      <c r="O76" s="198">
        <f t="shared" si="57"/>
        <v>0</v>
      </c>
      <c r="P76" s="355">
        <f t="shared" si="54"/>
        <v>4724.4288000000006</v>
      </c>
      <c r="Q76" s="196">
        <f>'Activity 3'!Q56</f>
        <v>0</v>
      </c>
      <c r="R76" s="197">
        <v>0</v>
      </c>
      <c r="S76" s="198">
        <f t="shared" ref="S76" si="61">P76*Q76*R76</f>
        <v>0</v>
      </c>
      <c r="T76" s="350">
        <f t="shared" si="45"/>
        <v>107184</v>
      </c>
    </row>
    <row r="77" spans="1:20" ht="15" customHeight="1" outlineLevel="1">
      <c r="A77" s="569" t="str">
        <f>'Activity 4'!A51</f>
        <v>Local Transportation – Training &amp; Data Collection</v>
      </c>
      <c r="B77" s="194" t="str">
        <f>'Activity 4'!B51</f>
        <v>Trip</v>
      </c>
      <c r="C77" s="198">
        <f>'Activity 4'!C51</f>
        <v>10363.09</v>
      </c>
      <c r="D77" s="355">
        <f>'Activity 4'!D51</f>
        <v>300</v>
      </c>
      <c r="E77" s="196">
        <f>'Activity 4'!E51</f>
        <v>12</v>
      </c>
      <c r="F77" s="197">
        <v>1</v>
      </c>
      <c r="G77" s="198">
        <f t="shared" ref="G77" si="62">D77*E77*F77</f>
        <v>3600</v>
      </c>
      <c r="H77" s="355">
        <f t="shared" si="59"/>
        <v>312</v>
      </c>
      <c r="I77" s="196">
        <f>'Activity 4'!I51</f>
        <v>12</v>
      </c>
      <c r="J77" s="197">
        <v>1</v>
      </c>
      <c r="K77" s="198">
        <f t="shared" ref="K77:K78" si="63">H77*I77*J77</f>
        <v>3744</v>
      </c>
      <c r="L77" s="355">
        <f t="shared" si="53"/>
        <v>324.48</v>
      </c>
      <c r="M77" s="196">
        <f>'Activity 4'!M51</f>
        <v>12</v>
      </c>
      <c r="N77" s="197">
        <v>1</v>
      </c>
      <c r="O77" s="198">
        <f t="shared" si="57"/>
        <v>3893.76</v>
      </c>
      <c r="P77" s="355">
        <f t="shared" si="54"/>
        <v>337.45920000000001</v>
      </c>
      <c r="Q77" s="196">
        <f>'Activity 4'!Q51</f>
        <v>6</v>
      </c>
      <c r="R77" s="197">
        <v>1</v>
      </c>
      <c r="S77" s="198">
        <f t="shared" ref="S77" si="64">P77*Q77*R77</f>
        <v>2024.7552000000001</v>
      </c>
      <c r="T77" s="350">
        <f t="shared" si="45"/>
        <v>23625.605199999998</v>
      </c>
    </row>
    <row r="78" spans="1:20" ht="15" customHeight="1" outlineLevel="1">
      <c r="A78" s="569" t="str">
        <f>'Activity 5'!A51</f>
        <v>Local Transportation to Bogota for Business Plan Presentation to ANDEAN</v>
      </c>
      <c r="B78" s="194" t="str">
        <f>'Activity 5'!B51</f>
        <v>Trip</v>
      </c>
      <c r="C78" s="198">
        <f>'Activity 5'!C51</f>
        <v>2024</v>
      </c>
      <c r="D78" s="355">
        <f>'Activity 5'!D51</f>
        <v>100</v>
      </c>
      <c r="E78" s="196">
        <f>'Activity 5'!E51</f>
        <v>0</v>
      </c>
      <c r="F78" s="197">
        <v>0</v>
      </c>
      <c r="G78" s="198">
        <f t="shared" ref="G78" si="65">D78*E78*F78</f>
        <v>0</v>
      </c>
      <c r="H78" s="355">
        <f t="shared" si="59"/>
        <v>104</v>
      </c>
      <c r="I78" s="196">
        <f>'Activity 5'!I51</f>
        <v>0</v>
      </c>
      <c r="J78" s="197">
        <v>0</v>
      </c>
      <c r="K78" s="198">
        <f t="shared" si="63"/>
        <v>0</v>
      </c>
      <c r="L78" s="355">
        <f t="shared" si="53"/>
        <v>108.16</v>
      </c>
      <c r="M78" s="196">
        <f>'Activity 5'!M51</f>
        <v>0</v>
      </c>
      <c r="N78" s="197">
        <v>0</v>
      </c>
      <c r="O78" s="198">
        <f t="shared" si="57"/>
        <v>0</v>
      </c>
      <c r="P78" s="355">
        <f t="shared" si="54"/>
        <v>112.4864</v>
      </c>
      <c r="Q78" s="196">
        <f>'Activity 5'!Q51</f>
        <v>0</v>
      </c>
      <c r="R78" s="197">
        <v>0</v>
      </c>
      <c r="S78" s="198">
        <f t="shared" ref="S78" si="66">P78*Q78*R78</f>
        <v>0</v>
      </c>
      <c r="T78" s="350">
        <f t="shared" si="45"/>
        <v>2024</v>
      </c>
    </row>
    <row r="79" spans="1:20" ht="15" customHeight="1" outlineLevel="1">
      <c r="A79" s="193" t="str">
        <f>'Activity 6'!A55</f>
        <v>Local Transportation for Young Agriculture Entrepreneur International Exchange</v>
      </c>
      <c r="B79" s="194" t="str">
        <f>'Activity 6'!B55</f>
        <v>Day</v>
      </c>
      <c r="C79" s="198">
        <f>'Activity 6'!C55</f>
        <v>4511.6899999999996</v>
      </c>
      <c r="D79" s="355">
        <f>'Activity 6'!D55</f>
        <v>25</v>
      </c>
      <c r="E79" s="196">
        <f>'Activity 6'!E55</f>
        <v>154</v>
      </c>
      <c r="F79" s="197">
        <v>1</v>
      </c>
      <c r="G79" s="198">
        <f t="shared" ref="G79" si="67">D79*E79*F79</f>
        <v>3850</v>
      </c>
      <c r="H79" s="355">
        <f t="shared" si="59"/>
        <v>26</v>
      </c>
      <c r="I79" s="196">
        <f>'Activity 6'!I55</f>
        <v>0</v>
      </c>
      <c r="J79" s="197">
        <v>0</v>
      </c>
      <c r="K79" s="198">
        <f t="shared" ref="K79:K83" si="68">H79*I79*J79</f>
        <v>0</v>
      </c>
      <c r="L79" s="355">
        <f t="shared" si="53"/>
        <v>27.04</v>
      </c>
      <c r="M79" s="196">
        <f>'Activity 6'!M55</f>
        <v>0</v>
      </c>
      <c r="N79" s="197">
        <v>0</v>
      </c>
      <c r="O79" s="198">
        <f t="shared" ref="O79:O83" si="69">L79*M79*N79</f>
        <v>0</v>
      </c>
      <c r="P79" s="355">
        <f t="shared" si="54"/>
        <v>28.121600000000001</v>
      </c>
      <c r="Q79" s="196">
        <f>'Activity 6'!Q55</f>
        <v>0</v>
      </c>
      <c r="R79" s="197">
        <v>0</v>
      </c>
      <c r="S79" s="198">
        <f t="shared" ref="S79" si="70">P79*Q79*R79</f>
        <v>0</v>
      </c>
      <c r="T79" s="350">
        <f t="shared" si="45"/>
        <v>8361.6899999999987</v>
      </c>
    </row>
    <row r="80" spans="1:20" ht="15" customHeight="1" outlineLevel="1">
      <c r="A80" s="193" t="str">
        <f>'Activity 7'!A53</f>
        <v xml:space="preserve">Local Travel for Meetings and Cacao Council </v>
      </c>
      <c r="B80" s="194" t="str">
        <f>'Activity 7'!B53</f>
        <v>Month</v>
      </c>
      <c r="C80" s="198">
        <f>'Activity 7'!C53</f>
        <v>12523.1</v>
      </c>
      <c r="D80" s="355">
        <f>'Activity 7'!D53</f>
        <v>200</v>
      </c>
      <c r="E80" s="196">
        <f>'Activity 7'!E53</f>
        <v>12</v>
      </c>
      <c r="F80" s="197">
        <v>1</v>
      </c>
      <c r="G80" s="198">
        <f t="shared" ref="G80:G83" si="71">D80*E80*F80</f>
        <v>2400</v>
      </c>
      <c r="H80" s="355">
        <f t="shared" si="59"/>
        <v>208</v>
      </c>
      <c r="I80" s="196">
        <f>'Activity 7'!I53</f>
        <v>12</v>
      </c>
      <c r="J80" s="197">
        <v>1</v>
      </c>
      <c r="K80" s="198">
        <f t="shared" si="68"/>
        <v>2496</v>
      </c>
      <c r="L80" s="355">
        <f t="shared" si="53"/>
        <v>216.32</v>
      </c>
      <c r="M80" s="196">
        <f>'Activity 7'!M53</f>
        <v>12</v>
      </c>
      <c r="N80" s="197">
        <v>1</v>
      </c>
      <c r="O80" s="198">
        <f t="shared" si="69"/>
        <v>2595.84</v>
      </c>
      <c r="P80" s="355">
        <f t="shared" si="54"/>
        <v>224.97280000000001</v>
      </c>
      <c r="Q80" s="196">
        <f>'Activity 7'!Q53</f>
        <v>4</v>
      </c>
      <c r="R80" s="197">
        <v>1</v>
      </c>
      <c r="S80" s="198">
        <f t="shared" ref="S80:S82" si="72">P80*Q80*R80</f>
        <v>899.89120000000003</v>
      </c>
      <c r="T80" s="350">
        <f t="shared" si="45"/>
        <v>20914.831200000001</v>
      </c>
    </row>
    <row r="81" spans="1:20" ht="15" customHeight="1" outlineLevel="1">
      <c r="A81" s="193" t="str">
        <f>'Activity 7'!A54</f>
        <v>Local Transportation for Conferences &amp; Forums</v>
      </c>
      <c r="B81" s="194" t="str">
        <f>'Activity 7'!B54</f>
        <v>Trip</v>
      </c>
      <c r="C81" s="198">
        <f>'Activity 7'!C54</f>
        <v>0</v>
      </c>
      <c r="D81" s="355">
        <f>'Activity 7'!D54</f>
        <v>300</v>
      </c>
      <c r="E81" s="196">
        <f>'Activity 7'!E54</f>
        <v>2</v>
      </c>
      <c r="F81" s="197">
        <v>1</v>
      </c>
      <c r="G81" s="198">
        <f t="shared" si="71"/>
        <v>600</v>
      </c>
      <c r="H81" s="355">
        <f t="shared" si="59"/>
        <v>312</v>
      </c>
      <c r="I81" s="196">
        <f>'Activity 7'!I54</f>
        <v>2</v>
      </c>
      <c r="J81" s="197">
        <v>1</v>
      </c>
      <c r="K81" s="198">
        <f t="shared" si="68"/>
        <v>624</v>
      </c>
      <c r="L81" s="355">
        <f t="shared" si="53"/>
        <v>324.48</v>
      </c>
      <c r="M81" s="196">
        <f>'Activity 7'!M54</f>
        <v>2</v>
      </c>
      <c r="N81" s="197">
        <v>1</v>
      </c>
      <c r="O81" s="198">
        <f t="shared" si="69"/>
        <v>648.96</v>
      </c>
      <c r="P81" s="355">
        <f t="shared" si="54"/>
        <v>337.45920000000001</v>
      </c>
      <c r="Q81" s="196">
        <f>'Activity 7'!Q54</f>
        <v>2</v>
      </c>
      <c r="R81" s="197">
        <v>1</v>
      </c>
      <c r="S81" s="198">
        <f t="shared" si="72"/>
        <v>674.91840000000002</v>
      </c>
      <c r="T81" s="350">
        <f t="shared" si="45"/>
        <v>2547.8784000000001</v>
      </c>
    </row>
    <row r="82" spans="1:20" ht="15" customHeight="1" outlineLevel="1">
      <c r="A82" s="193" t="str">
        <f>'Activity 7'!A55</f>
        <v>Colombia Young Producers Stipends for Exchange Trip</v>
      </c>
      <c r="B82" s="194" t="str">
        <f>'Activity 7'!B55</f>
        <v>Trip</v>
      </c>
      <c r="C82" s="198">
        <f>'Activity 7'!C55</f>
        <v>17263.260000000002</v>
      </c>
      <c r="D82" s="355">
        <f>'Activity 7'!D55</f>
        <v>10000</v>
      </c>
      <c r="E82" s="196">
        <f>'Activity 7'!E55</f>
        <v>0</v>
      </c>
      <c r="F82" s="197">
        <v>0</v>
      </c>
      <c r="G82" s="198">
        <f t="shared" si="71"/>
        <v>0</v>
      </c>
      <c r="H82" s="355">
        <f t="shared" si="59"/>
        <v>10400</v>
      </c>
      <c r="I82" s="196">
        <f>'Activity 7'!I55</f>
        <v>5</v>
      </c>
      <c r="J82" s="197">
        <v>1</v>
      </c>
      <c r="K82" s="198">
        <f t="shared" si="68"/>
        <v>52000</v>
      </c>
      <c r="L82" s="355">
        <f t="shared" si="53"/>
        <v>10816</v>
      </c>
      <c r="M82" s="196">
        <f>'Activity 7'!M55</f>
        <v>5</v>
      </c>
      <c r="N82" s="197">
        <v>1</v>
      </c>
      <c r="O82" s="198">
        <f t="shared" si="69"/>
        <v>54080</v>
      </c>
      <c r="P82" s="355">
        <f t="shared" si="54"/>
        <v>11248.640000000001</v>
      </c>
      <c r="Q82" s="196">
        <f>'Activity 7'!Q55</f>
        <v>0</v>
      </c>
      <c r="R82" s="197">
        <v>0</v>
      </c>
      <c r="S82" s="198">
        <f t="shared" si="72"/>
        <v>0</v>
      </c>
      <c r="T82" s="350">
        <f t="shared" si="45"/>
        <v>123343.26000000001</v>
      </c>
    </row>
    <row r="83" spans="1:20" ht="15" customHeight="1" outlineLevel="1">
      <c r="A83" s="193" t="str">
        <f>'Activity 8'!A51</f>
        <v>Local Travel for Meetings</v>
      </c>
      <c r="B83" s="194" t="str">
        <f>'Activity 8'!B51</f>
        <v>Trip</v>
      </c>
      <c r="C83" s="198">
        <f>'Activity 8'!C51</f>
        <v>5000</v>
      </c>
      <c r="D83" s="355">
        <f>'Activity 8'!D51</f>
        <v>25</v>
      </c>
      <c r="E83" s="196">
        <f>'Activity 8'!E51</f>
        <v>60</v>
      </c>
      <c r="F83" s="197">
        <v>1</v>
      </c>
      <c r="G83" s="198">
        <f t="shared" si="71"/>
        <v>1500</v>
      </c>
      <c r="H83" s="355">
        <f t="shared" si="59"/>
        <v>26</v>
      </c>
      <c r="I83" s="196">
        <f>'Activity 8'!I51</f>
        <v>0</v>
      </c>
      <c r="J83" s="197">
        <v>0</v>
      </c>
      <c r="K83" s="198">
        <f t="shared" si="68"/>
        <v>0</v>
      </c>
      <c r="L83" s="355">
        <f t="shared" si="53"/>
        <v>27.04</v>
      </c>
      <c r="M83" s="196">
        <f>'Activity 8'!M51</f>
        <v>0</v>
      </c>
      <c r="N83" s="197">
        <v>0</v>
      </c>
      <c r="O83" s="198">
        <f t="shared" si="69"/>
        <v>0</v>
      </c>
      <c r="P83" s="355">
        <f t="shared" si="54"/>
        <v>28.121600000000001</v>
      </c>
      <c r="Q83" s="196">
        <f>'Activity 8'!Q51</f>
        <v>0</v>
      </c>
      <c r="R83" s="197">
        <v>0</v>
      </c>
      <c r="S83" s="198">
        <f t="shared" ref="S83" si="73">P83*Q83*R83</f>
        <v>0</v>
      </c>
      <c r="T83" s="350">
        <f t="shared" si="45"/>
        <v>6500</v>
      </c>
    </row>
    <row r="84" spans="1:20" s="260" customFormat="1" ht="15.6" outlineLevel="1">
      <c r="A84" s="441" t="s">
        <v>524</v>
      </c>
      <c r="B84" s="216"/>
      <c r="C84" s="198"/>
      <c r="D84" s="355"/>
      <c r="E84" s="159"/>
      <c r="F84" s="197"/>
      <c r="G84" s="198">
        <f t="shared" si="55"/>
        <v>0</v>
      </c>
      <c r="H84" s="355"/>
      <c r="I84" s="159"/>
      <c r="J84" s="160"/>
      <c r="K84" s="198"/>
      <c r="L84" s="355"/>
      <c r="M84" s="159"/>
      <c r="N84" s="161"/>
      <c r="O84" s="198"/>
      <c r="P84" s="355"/>
      <c r="Q84" s="159"/>
      <c r="R84" s="161"/>
      <c r="S84" s="198"/>
      <c r="T84" s="350">
        <f t="shared" si="45"/>
        <v>0</v>
      </c>
    </row>
    <row r="85" spans="1:20" ht="15" customHeight="1" outlineLevel="1">
      <c r="A85" s="193" t="str">
        <f>Admin!A70</f>
        <v>Vehicle/Motorcycle Fuel Expense</v>
      </c>
      <c r="B85" s="194" t="str">
        <f>Admin!B70</f>
        <v>Month</v>
      </c>
      <c r="C85" s="198">
        <f>Admin!C70</f>
        <v>9640.86</v>
      </c>
      <c r="D85" s="355">
        <f>Admin!D70</f>
        <v>200</v>
      </c>
      <c r="E85" s="196">
        <f>Admin!E70</f>
        <v>12</v>
      </c>
      <c r="F85" s="197">
        <v>1</v>
      </c>
      <c r="G85" s="198">
        <f>D85*E85*F85</f>
        <v>2400</v>
      </c>
      <c r="H85" s="355">
        <f t="shared" ref="H85" si="74">D85*1.04</f>
        <v>208</v>
      </c>
      <c r="I85" s="196">
        <f>Admin!I70</f>
        <v>12</v>
      </c>
      <c r="J85" s="197">
        <v>1</v>
      </c>
      <c r="K85" s="198">
        <f>H85*I85*J85</f>
        <v>2496</v>
      </c>
      <c r="L85" s="355">
        <f t="shared" ref="L85" si="75">H85*1.04</f>
        <v>216.32</v>
      </c>
      <c r="M85" s="196">
        <f>Admin!M70</f>
        <v>12</v>
      </c>
      <c r="N85" s="197">
        <v>1</v>
      </c>
      <c r="O85" s="198">
        <f>L85*M85*N85</f>
        <v>2595.84</v>
      </c>
      <c r="P85" s="355">
        <f t="shared" ref="P85" si="76">L85*1.04</f>
        <v>224.97280000000001</v>
      </c>
      <c r="Q85" s="196">
        <f>Admin!Q70</f>
        <v>3</v>
      </c>
      <c r="R85" s="197">
        <v>1</v>
      </c>
      <c r="S85" s="198">
        <f>P85*Q85*R85</f>
        <v>674.91840000000002</v>
      </c>
      <c r="T85" s="350">
        <f t="shared" si="45"/>
        <v>17807.618399999999</v>
      </c>
    </row>
    <row r="86" spans="1:20" ht="15" customHeight="1" outlineLevel="1">
      <c r="A86" s="193" t="str">
        <f>'Activity 3'!A58</f>
        <v>Motorcycle Fuel Expense for Extension Agents</v>
      </c>
      <c r="B86" s="194" t="str">
        <f>'Activity 3'!B58</f>
        <v>Month</v>
      </c>
      <c r="C86" s="198">
        <f>'Activity 3'!C58+'Activity 4'!C53</f>
        <v>125947.34</v>
      </c>
      <c r="D86" s="355">
        <f>'Activity 3'!D58+'Activity 4'!D53</f>
        <v>3300</v>
      </c>
      <c r="E86" s="196">
        <f>'Activity 3'!E58</f>
        <v>12</v>
      </c>
      <c r="F86" s="197">
        <v>1</v>
      </c>
      <c r="G86" s="198">
        <f>D86*E86*F86</f>
        <v>39600</v>
      </c>
      <c r="H86" s="355">
        <f t="shared" ref="H86" si="77">D86*1.04</f>
        <v>3432</v>
      </c>
      <c r="I86" s="196">
        <f>'Activity 3'!I58</f>
        <v>12</v>
      </c>
      <c r="J86" s="197">
        <v>1</v>
      </c>
      <c r="K86" s="198">
        <f>H86*I86*J86</f>
        <v>41184</v>
      </c>
      <c r="L86" s="355">
        <f t="shared" ref="L86" si="78">H86*1.04</f>
        <v>3569.28</v>
      </c>
      <c r="M86" s="196">
        <f>'Activity 3'!M58</f>
        <v>12</v>
      </c>
      <c r="N86" s="197">
        <v>1</v>
      </c>
      <c r="O86" s="198">
        <f>L86*M86*N86</f>
        <v>42831.360000000001</v>
      </c>
      <c r="P86" s="355">
        <f t="shared" ref="P86" si="79">L86*1.04</f>
        <v>3712.0512000000003</v>
      </c>
      <c r="Q86" s="196">
        <f>'Activity 3'!Q58</f>
        <v>0</v>
      </c>
      <c r="R86" s="197">
        <v>0</v>
      </c>
      <c r="S86" s="198">
        <f>P86*Q86*R86</f>
        <v>0</v>
      </c>
      <c r="T86" s="350">
        <f t="shared" si="45"/>
        <v>249562.7</v>
      </c>
    </row>
    <row r="87" spans="1:20" s="260" customFormat="1" ht="15.6" outlineLevel="1">
      <c r="A87" s="441" t="s">
        <v>525</v>
      </c>
      <c r="B87" s="216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350">
        <f t="shared" si="45"/>
        <v>0</v>
      </c>
    </row>
    <row r="88" spans="1:20" ht="15" customHeight="1" outlineLevel="1">
      <c r="A88" s="193" t="str">
        <f>Admin!A72</f>
        <v>Lodging and M&amp;IE - HQ Project Management Trip</v>
      </c>
      <c r="B88" s="194" t="str">
        <f>Admin!B72</f>
        <v>Day</v>
      </c>
      <c r="C88" s="198">
        <f>Admin!C72</f>
        <v>13828.71</v>
      </c>
      <c r="D88" s="355">
        <f>Admin!D72</f>
        <v>286</v>
      </c>
      <c r="E88" s="196">
        <f>Admin!E72</f>
        <v>20</v>
      </c>
      <c r="F88" s="197">
        <v>1</v>
      </c>
      <c r="G88" s="198">
        <f t="shared" ref="G88:G94" si="80">D88*E88*F88</f>
        <v>5720</v>
      </c>
      <c r="H88" s="355">
        <f t="shared" si="47"/>
        <v>297.44</v>
      </c>
      <c r="I88" s="196">
        <f>Admin!I72</f>
        <v>20</v>
      </c>
      <c r="J88" s="197">
        <v>1</v>
      </c>
      <c r="K88" s="198">
        <f t="shared" ref="K88:K94" si="81">H88*I88*J88</f>
        <v>5948.8</v>
      </c>
      <c r="L88" s="355">
        <f t="shared" si="53"/>
        <v>309.33760000000001</v>
      </c>
      <c r="M88" s="196">
        <f>Admin!M72</f>
        <v>20</v>
      </c>
      <c r="N88" s="197">
        <v>1</v>
      </c>
      <c r="O88" s="198">
        <f t="shared" ref="O88:O94" si="82">L88*M88*N88</f>
        <v>6186.7520000000004</v>
      </c>
      <c r="P88" s="355">
        <f t="shared" si="54"/>
        <v>321.71110400000003</v>
      </c>
      <c r="Q88" s="196">
        <f>'Program Budget'!R65</f>
        <v>20</v>
      </c>
      <c r="R88" s="197">
        <v>1</v>
      </c>
      <c r="S88" s="198">
        <f t="shared" ref="S88:S93" si="83">P88*Q88*R88</f>
        <v>6434.2220800000005</v>
      </c>
      <c r="T88" s="350">
        <f t="shared" si="45"/>
        <v>38118.484080000002</v>
      </c>
    </row>
    <row r="89" spans="1:20" ht="15" customHeight="1" outlineLevel="1">
      <c r="A89" s="193" t="str">
        <f>Admin!A73</f>
        <v>Other Travel Related Expenses – HQ Project Management Trip</v>
      </c>
      <c r="B89" s="194" t="str">
        <f>Admin!B73</f>
        <v>Trip</v>
      </c>
      <c r="C89" s="198">
        <f>Admin!C73</f>
        <v>118.18</v>
      </c>
      <c r="D89" s="355">
        <f>Admin!D73</f>
        <v>25</v>
      </c>
      <c r="E89" s="196">
        <f>Admin!E73</f>
        <v>4</v>
      </c>
      <c r="F89" s="197">
        <v>1</v>
      </c>
      <c r="G89" s="198">
        <f t="shared" si="80"/>
        <v>100</v>
      </c>
      <c r="H89" s="355">
        <f t="shared" si="47"/>
        <v>26</v>
      </c>
      <c r="I89" s="196">
        <f>Admin!I73</f>
        <v>4</v>
      </c>
      <c r="J89" s="197">
        <v>1</v>
      </c>
      <c r="K89" s="198">
        <f t="shared" si="81"/>
        <v>104</v>
      </c>
      <c r="L89" s="355">
        <f t="shared" si="53"/>
        <v>27.04</v>
      </c>
      <c r="M89" s="196">
        <f>Admin!M73</f>
        <v>4</v>
      </c>
      <c r="N89" s="197">
        <v>1</v>
      </c>
      <c r="O89" s="198">
        <f t="shared" si="82"/>
        <v>108.16</v>
      </c>
      <c r="P89" s="355">
        <f t="shared" si="54"/>
        <v>28.121600000000001</v>
      </c>
      <c r="Q89" s="196">
        <f>'Program Budget'!R67</f>
        <v>4</v>
      </c>
      <c r="R89" s="197">
        <v>1</v>
      </c>
      <c r="S89" s="198">
        <f t="shared" si="83"/>
        <v>112.4864</v>
      </c>
      <c r="T89" s="350">
        <f t="shared" si="45"/>
        <v>542.82640000000004</v>
      </c>
    </row>
    <row r="90" spans="1:20" ht="15" customHeight="1" outlineLevel="1">
      <c r="A90" s="193" t="str">
        <f>Admin!A74</f>
        <v>Lodging and M&amp;IE for Colombia Staff Travel</v>
      </c>
      <c r="B90" s="194" t="str">
        <f>Admin!B74</f>
        <v>Day</v>
      </c>
      <c r="C90" s="198">
        <f>Admin!C74</f>
        <v>8160.39</v>
      </c>
      <c r="D90" s="355">
        <f>Admin!D74</f>
        <v>260</v>
      </c>
      <c r="E90" s="196">
        <f>Admin!E74</f>
        <v>40</v>
      </c>
      <c r="F90" s="197">
        <v>1</v>
      </c>
      <c r="G90" s="198">
        <f t="shared" si="80"/>
        <v>10400</v>
      </c>
      <c r="H90" s="355">
        <f>D90*1.03</f>
        <v>267.8</v>
      </c>
      <c r="I90" s="196">
        <f>Admin!I74</f>
        <v>40</v>
      </c>
      <c r="J90" s="197">
        <v>1</v>
      </c>
      <c r="K90" s="198">
        <f t="shared" si="81"/>
        <v>10712</v>
      </c>
      <c r="L90" s="355">
        <f>H90*1.03</f>
        <v>275.834</v>
      </c>
      <c r="M90" s="196">
        <f>Admin!M74</f>
        <v>40</v>
      </c>
      <c r="N90" s="197">
        <v>1</v>
      </c>
      <c r="O90" s="198">
        <f t="shared" si="82"/>
        <v>11033.36</v>
      </c>
      <c r="P90" s="355">
        <f>L90*1.03</f>
        <v>284.10901999999999</v>
      </c>
      <c r="Q90" s="196">
        <f>'Program Budget'!R70</f>
        <v>40</v>
      </c>
      <c r="R90" s="197">
        <v>1</v>
      </c>
      <c r="S90" s="198">
        <f t="shared" si="83"/>
        <v>11364.360799999999</v>
      </c>
      <c r="T90" s="350">
        <f t="shared" si="45"/>
        <v>51670.110799999995</v>
      </c>
    </row>
    <row r="91" spans="1:20" ht="15" customHeight="1" outlineLevel="1">
      <c r="A91" s="193" t="str">
        <f>Admin!A75</f>
        <v>Other Travel Related Expenses for Colombia Staff Travel</v>
      </c>
      <c r="B91" s="194" t="str">
        <f>Admin!B75</f>
        <v>Trip</v>
      </c>
      <c r="C91" s="198">
        <f>Admin!C75</f>
        <v>374.49</v>
      </c>
      <c r="D91" s="355">
        <f>Admin!D75</f>
        <v>25</v>
      </c>
      <c r="E91" s="196">
        <f>Admin!E75</f>
        <v>4</v>
      </c>
      <c r="F91" s="197">
        <v>1</v>
      </c>
      <c r="G91" s="198">
        <f t="shared" si="80"/>
        <v>100</v>
      </c>
      <c r="H91" s="355">
        <f>D91*1.03</f>
        <v>25.75</v>
      </c>
      <c r="I91" s="196">
        <f>Admin!I75</f>
        <v>4</v>
      </c>
      <c r="J91" s="197">
        <v>1</v>
      </c>
      <c r="K91" s="198">
        <f t="shared" si="81"/>
        <v>103</v>
      </c>
      <c r="L91" s="355">
        <f>H91*1.03</f>
        <v>26.522500000000001</v>
      </c>
      <c r="M91" s="196">
        <f>Admin!M75</f>
        <v>4</v>
      </c>
      <c r="N91" s="197">
        <v>1</v>
      </c>
      <c r="O91" s="198">
        <f t="shared" si="82"/>
        <v>106.09</v>
      </c>
      <c r="P91" s="355">
        <f>L91*1.03</f>
        <v>27.318175</v>
      </c>
      <c r="Q91" s="196">
        <f>'Program Budget'!R72</f>
        <v>4</v>
      </c>
      <c r="R91" s="197">
        <v>1</v>
      </c>
      <c r="S91" s="198">
        <f t="shared" si="83"/>
        <v>109.2727</v>
      </c>
      <c r="T91" s="350">
        <f t="shared" si="45"/>
        <v>792.85270000000003</v>
      </c>
    </row>
    <row r="92" spans="1:20" ht="15" customHeight="1" outlineLevel="1">
      <c r="A92" s="193" t="str">
        <f>'Activity 2'!A57</f>
        <v>Lodging and M&amp;IE - Training, &amp; Data Collection</v>
      </c>
      <c r="B92" s="194" t="str">
        <f>'Activity 2'!B57</f>
        <v>Day</v>
      </c>
      <c r="C92" s="198">
        <f>'Activity 2'!C57+'Activity 3'!C60+'Activity 4'!C55+Admin!C76</f>
        <v>74971.510000000009</v>
      </c>
      <c r="D92" s="355">
        <f>'Activity 2'!D57</f>
        <v>157</v>
      </c>
      <c r="E92" s="196">
        <f>'Activity 2'!E57+'Activity 3'!E60+'Activity 4'!E55+Admin!E76</f>
        <v>432</v>
      </c>
      <c r="F92" s="197">
        <v>1</v>
      </c>
      <c r="G92" s="198">
        <f t="shared" si="80"/>
        <v>67824</v>
      </c>
      <c r="H92" s="355">
        <f t="shared" si="47"/>
        <v>163.28</v>
      </c>
      <c r="I92" s="196">
        <f>'Activity 2'!I57+'Activity 3'!I60+'Activity 4'!I55+Admin!I76</f>
        <v>432</v>
      </c>
      <c r="J92" s="197">
        <v>1</v>
      </c>
      <c r="K92" s="198">
        <f t="shared" si="81"/>
        <v>70536.960000000006</v>
      </c>
      <c r="L92" s="355">
        <f t="shared" si="53"/>
        <v>169.81120000000001</v>
      </c>
      <c r="M92" s="196">
        <f>'Activity 2'!M57+'Activity 3'!M60+'Activity 4'!M55+Admin!M76</f>
        <v>432</v>
      </c>
      <c r="N92" s="197">
        <v>1</v>
      </c>
      <c r="O92" s="198">
        <f t="shared" si="82"/>
        <v>73358.438399999999</v>
      </c>
      <c r="P92" s="355">
        <f t="shared" si="54"/>
        <v>176.60364800000002</v>
      </c>
      <c r="Q92" s="196">
        <f>'Activity 2'!Q57+'Activity 3'!Q60+'Activity 4'!Q55+Admin!Q76</f>
        <v>81</v>
      </c>
      <c r="R92" s="197">
        <v>1</v>
      </c>
      <c r="S92" s="198">
        <f t="shared" si="83"/>
        <v>14304.895488000002</v>
      </c>
      <c r="T92" s="350">
        <f t="shared" si="45"/>
        <v>300995.80388800002</v>
      </c>
    </row>
    <row r="93" spans="1:20" ht="15" customHeight="1" outlineLevel="1">
      <c r="A93" s="193" t="str">
        <f>'Activity 5'!A53</f>
        <v>Lodging and M&amp;IE in Bogota for Business Plan Presentation to ANDEAN</v>
      </c>
      <c r="B93" s="194" t="str">
        <f>'Activity 5'!B53</f>
        <v>Day</v>
      </c>
      <c r="C93" s="198">
        <f>'Activity 5'!C53</f>
        <v>1680</v>
      </c>
      <c r="D93" s="355">
        <f>'Activity 5'!D53</f>
        <v>100</v>
      </c>
      <c r="E93" s="196">
        <f>'Activity 5'!E53</f>
        <v>0</v>
      </c>
      <c r="F93" s="197">
        <v>0</v>
      </c>
      <c r="G93" s="198">
        <f t="shared" si="80"/>
        <v>0</v>
      </c>
      <c r="H93" s="355">
        <f t="shared" si="47"/>
        <v>104</v>
      </c>
      <c r="I93" s="196">
        <f>'Activity 5'!I53</f>
        <v>0</v>
      </c>
      <c r="J93" s="197">
        <v>0</v>
      </c>
      <c r="K93" s="198">
        <f t="shared" si="81"/>
        <v>0</v>
      </c>
      <c r="L93" s="355">
        <f t="shared" si="53"/>
        <v>108.16</v>
      </c>
      <c r="M93" s="196">
        <f>'Activity 5'!M53</f>
        <v>0</v>
      </c>
      <c r="N93" s="197">
        <v>0</v>
      </c>
      <c r="O93" s="198">
        <f t="shared" si="82"/>
        <v>0</v>
      </c>
      <c r="P93" s="355">
        <f t="shared" si="54"/>
        <v>112.4864</v>
      </c>
      <c r="Q93" s="196">
        <f>'Activity 5'!Q53</f>
        <v>0</v>
      </c>
      <c r="R93" s="197">
        <v>0</v>
      </c>
      <c r="S93" s="198">
        <f t="shared" si="83"/>
        <v>0</v>
      </c>
      <c r="T93" s="350">
        <f t="shared" si="45"/>
        <v>1680</v>
      </c>
    </row>
    <row r="94" spans="1:20" ht="15" customHeight="1" outlineLevel="1">
      <c r="A94" s="193" t="str">
        <f>'Activity 6'!A57</f>
        <v>Student Lodging and M&amp;IE - Bogota - Business Plan Presentation to RCP</v>
      </c>
      <c r="B94" s="194" t="str">
        <f>'Activity 6'!B57</f>
        <v>Day</v>
      </c>
      <c r="C94" s="198">
        <f>'Activity 6'!C57</f>
        <v>3864.88</v>
      </c>
      <c r="D94" s="355">
        <f>'Activity 6'!D57</f>
        <v>100</v>
      </c>
      <c r="E94" s="196">
        <f>'Activity 6'!E57</f>
        <v>0</v>
      </c>
      <c r="F94" s="197">
        <v>0</v>
      </c>
      <c r="G94" s="198">
        <f t="shared" si="80"/>
        <v>0</v>
      </c>
      <c r="H94" s="355">
        <f t="shared" si="47"/>
        <v>104</v>
      </c>
      <c r="I94" s="196">
        <f>'Activity 6'!I57</f>
        <v>0</v>
      </c>
      <c r="J94" s="197">
        <v>0</v>
      </c>
      <c r="K94" s="198">
        <f t="shared" si="81"/>
        <v>0</v>
      </c>
      <c r="L94" s="355">
        <f t="shared" si="53"/>
        <v>108.16</v>
      </c>
      <c r="M94" s="196">
        <f>'Activity 6'!M57</f>
        <v>0</v>
      </c>
      <c r="N94" s="197">
        <v>0</v>
      </c>
      <c r="O94" s="198">
        <f t="shared" si="82"/>
        <v>0</v>
      </c>
      <c r="P94" s="355">
        <f t="shared" si="54"/>
        <v>112.4864</v>
      </c>
      <c r="Q94" s="196">
        <f>'Activity 6'!Q57</f>
        <v>0</v>
      </c>
      <c r="R94" s="197">
        <v>0</v>
      </c>
      <c r="S94" s="198">
        <f t="shared" ref="S94" si="84">P94*Q94*R94</f>
        <v>0</v>
      </c>
      <c r="T94" s="350">
        <f t="shared" si="45"/>
        <v>3864.88</v>
      </c>
    </row>
    <row r="95" spans="1:20" ht="15" customHeight="1" outlineLevel="1">
      <c r="A95" s="193" t="str">
        <f>'Activity 6'!A58</f>
        <v>Lodging M&amp;IE for Young Agriculture Entrepreneur International Exchange</v>
      </c>
      <c r="B95" s="194" t="str">
        <f>'Activity 6'!B58</f>
        <v>Day</v>
      </c>
      <c r="C95" s="198">
        <f>'Activity 6'!C58</f>
        <v>19247.39</v>
      </c>
      <c r="D95" s="355">
        <f>'Activity 6'!D58</f>
        <v>100</v>
      </c>
      <c r="E95" s="196">
        <f>'Activity 6'!E58</f>
        <v>154</v>
      </c>
      <c r="F95" s="197">
        <v>1</v>
      </c>
      <c r="G95" s="198">
        <f t="shared" ref="G95:G96" si="85">D95*E95*F95</f>
        <v>15400</v>
      </c>
      <c r="H95" s="355">
        <f t="shared" ref="H95:H96" si="86">D95*1.04</f>
        <v>104</v>
      </c>
      <c r="I95" s="196">
        <f>'Activity 6'!I58</f>
        <v>0</v>
      </c>
      <c r="J95" s="197">
        <v>0</v>
      </c>
      <c r="K95" s="198">
        <f t="shared" ref="K95:K96" si="87">H95*I95*J95</f>
        <v>0</v>
      </c>
      <c r="L95" s="355">
        <f t="shared" ref="L95:L96" si="88">H95*1.04</f>
        <v>108.16</v>
      </c>
      <c r="M95" s="196">
        <f>'Activity 6'!M58</f>
        <v>0</v>
      </c>
      <c r="N95" s="197">
        <v>0</v>
      </c>
      <c r="O95" s="198">
        <f t="shared" ref="O95:O96" si="89">L95*M95*N95</f>
        <v>0</v>
      </c>
      <c r="P95" s="355">
        <f t="shared" ref="P95:P96" si="90">L95*1.04</f>
        <v>112.4864</v>
      </c>
      <c r="Q95" s="196">
        <f>'Activity 6'!Q58</f>
        <v>0</v>
      </c>
      <c r="R95" s="197">
        <v>0</v>
      </c>
      <c r="S95" s="198">
        <f t="shared" ref="S95:S96" si="91">P95*Q95*R95</f>
        <v>0</v>
      </c>
      <c r="T95" s="350">
        <f t="shared" si="45"/>
        <v>34647.39</v>
      </c>
    </row>
    <row r="96" spans="1:20" ht="15" customHeight="1" outlineLevel="1">
      <c r="A96" s="193" t="str">
        <f>'Activity 6'!A59</f>
        <v>Other Travel Related Expenses for Young Agriculture Entrepreneur International Exchange</v>
      </c>
      <c r="B96" s="194" t="str">
        <f>'Activity 6'!B59</f>
        <v>Trip</v>
      </c>
      <c r="C96" s="198">
        <f>'Activity 6'!C59</f>
        <v>919.07</v>
      </c>
      <c r="D96" s="355">
        <f>'Activity 6'!D59</f>
        <v>25</v>
      </c>
      <c r="E96" s="196">
        <f>'Activity 6'!E59</f>
        <v>11</v>
      </c>
      <c r="F96" s="197">
        <v>1</v>
      </c>
      <c r="G96" s="198">
        <f t="shared" si="85"/>
        <v>275</v>
      </c>
      <c r="H96" s="355">
        <f t="shared" si="86"/>
        <v>26</v>
      </c>
      <c r="I96" s="196">
        <f>'Activity 6'!I59</f>
        <v>0</v>
      </c>
      <c r="J96" s="197">
        <v>0</v>
      </c>
      <c r="K96" s="198">
        <f t="shared" si="87"/>
        <v>0</v>
      </c>
      <c r="L96" s="355">
        <f t="shared" si="88"/>
        <v>27.04</v>
      </c>
      <c r="M96" s="196">
        <f>'Activity 6'!M59</f>
        <v>0</v>
      </c>
      <c r="N96" s="197">
        <v>0</v>
      </c>
      <c r="O96" s="198">
        <f t="shared" si="89"/>
        <v>0</v>
      </c>
      <c r="P96" s="355">
        <f t="shared" si="90"/>
        <v>28.121600000000001</v>
      </c>
      <c r="Q96" s="196">
        <f>'Activity 6'!Q59</f>
        <v>0</v>
      </c>
      <c r="R96" s="197">
        <v>0</v>
      </c>
      <c r="S96" s="198">
        <f t="shared" si="91"/>
        <v>0</v>
      </c>
      <c r="T96" s="350">
        <f t="shared" si="45"/>
        <v>1194.0700000000002</v>
      </c>
    </row>
    <row r="97" spans="1:20" ht="15" customHeight="1" outlineLevel="1">
      <c r="A97" s="193" t="str">
        <f>'Activity 7'!A57</f>
        <v>Lodging &amp; M&amp;IE for Conferences &amp; Forums</v>
      </c>
      <c r="B97" s="194" t="str">
        <f>'Activity 7'!B57</f>
        <v>Day</v>
      </c>
      <c r="C97" s="198">
        <f>'Activity 7'!C57</f>
        <v>0</v>
      </c>
      <c r="D97" s="355">
        <f>'Activity 7'!D57</f>
        <v>349</v>
      </c>
      <c r="E97" s="196">
        <f>'Activity 7'!E57</f>
        <v>12</v>
      </c>
      <c r="F97" s="197">
        <v>1</v>
      </c>
      <c r="G97" s="198">
        <f t="shared" ref="G97" si="92">D97*E97*F97</f>
        <v>4188</v>
      </c>
      <c r="H97" s="355">
        <f t="shared" ref="H97" si="93">D97*1.04</f>
        <v>362.96000000000004</v>
      </c>
      <c r="I97" s="196">
        <f>'Activity 7'!I57</f>
        <v>12</v>
      </c>
      <c r="J97" s="197">
        <v>1</v>
      </c>
      <c r="K97" s="198">
        <f t="shared" ref="K97" si="94">H97*I97*J97</f>
        <v>4355.5200000000004</v>
      </c>
      <c r="L97" s="355">
        <f t="shared" ref="L97" si="95">H97*1.04</f>
        <v>377.47840000000008</v>
      </c>
      <c r="M97" s="196">
        <f>'Activity 7'!M57</f>
        <v>12</v>
      </c>
      <c r="N97" s="197">
        <v>1</v>
      </c>
      <c r="O97" s="198">
        <f t="shared" ref="O97" si="96">L97*M97*N97</f>
        <v>4529.7408000000014</v>
      </c>
      <c r="P97" s="355">
        <f t="shared" ref="P97" si="97">L97*1.04</f>
        <v>392.57753600000012</v>
      </c>
      <c r="Q97" s="196">
        <f>'Activity 7'!Q57</f>
        <v>12</v>
      </c>
      <c r="R97" s="197">
        <v>1</v>
      </c>
      <c r="S97" s="198">
        <f t="shared" ref="S97" si="98">P97*Q97*R97</f>
        <v>4710.930432000001</v>
      </c>
      <c r="T97" s="350">
        <f t="shared" si="45"/>
        <v>17784.191232000005</v>
      </c>
    </row>
    <row r="98" spans="1:20" ht="15.6" outlineLevel="1">
      <c r="A98" s="448"/>
      <c r="B98" s="216"/>
      <c r="C98" s="198"/>
      <c r="G98" s="198"/>
      <c r="K98" s="198"/>
      <c r="O98" s="198"/>
      <c r="S98" s="198"/>
      <c r="T98" s="200"/>
    </row>
    <row r="99" spans="1:20" ht="18.3">
      <c r="A99" s="449" t="s">
        <v>526</v>
      </c>
      <c r="B99" s="227"/>
      <c r="C99" s="231">
        <f>SUM(C63:C98)</f>
        <v>563903.53999999992</v>
      </c>
      <c r="D99" s="358"/>
      <c r="E99" s="262"/>
      <c r="F99" s="232"/>
      <c r="G99" s="231">
        <f>SUM(G63:G98)</f>
        <v>316457</v>
      </c>
      <c r="H99" s="358"/>
      <c r="I99" s="262"/>
      <c r="J99" s="263"/>
      <c r="K99" s="231">
        <f>SUM(K63:K98)</f>
        <v>340596.28</v>
      </c>
      <c r="L99" s="358"/>
      <c r="M99" s="262"/>
      <c r="N99" s="232"/>
      <c r="O99" s="231">
        <f>SUM(O63:O98)</f>
        <v>295019.54120000004</v>
      </c>
      <c r="P99" s="358"/>
      <c r="Q99" s="262"/>
      <c r="R99" s="232"/>
      <c r="S99" s="231">
        <f>SUM(S63:S98)</f>
        <v>58405.377099999998</v>
      </c>
      <c r="T99" s="231">
        <f>SUM(T63:T98)</f>
        <v>1574381.7382999999</v>
      </c>
    </row>
    <row r="100" spans="1:20" ht="15.6" outlineLevel="1">
      <c r="A100" s="441" t="s">
        <v>55</v>
      </c>
      <c r="B100" s="264"/>
      <c r="C100" s="248"/>
      <c r="E100" s="265"/>
      <c r="F100" s="267"/>
      <c r="G100" s="221"/>
      <c r="I100" s="265"/>
      <c r="J100" s="266"/>
      <c r="K100" s="221"/>
      <c r="M100" s="265"/>
      <c r="N100" s="267"/>
      <c r="O100" s="221"/>
      <c r="Q100" s="265"/>
      <c r="R100" s="267"/>
      <c r="S100" s="221"/>
      <c r="T100" s="200"/>
    </row>
    <row r="101" spans="1:20" ht="15.6" outlineLevel="1">
      <c r="A101" s="450" t="str">
        <f>Admin!A80</f>
        <v>Payroll, Accounting and Audit Costs - (Auditoria Fiscal &amp; Program Specific Audits)</v>
      </c>
      <c r="B101" s="194" t="str">
        <f>Admin!B80</f>
        <v>Year</v>
      </c>
      <c r="C101" s="198">
        <f>Admin!C80</f>
        <v>26306.36</v>
      </c>
      <c r="D101" s="355">
        <f>Admin!D80</f>
        <v>13000</v>
      </c>
      <c r="E101" s="196">
        <f>Admin!E80</f>
        <v>1</v>
      </c>
      <c r="F101" s="197">
        <v>1</v>
      </c>
      <c r="G101" s="198">
        <f t="shared" ref="G101:G106" si="99">D101*E101*F101</f>
        <v>13000</v>
      </c>
      <c r="H101" s="355">
        <f t="shared" ref="H101:H106" si="100">D101</f>
        <v>13000</v>
      </c>
      <c r="I101" s="196">
        <f>Admin!I80</f>
        <v>1</v>
      </c>
      <c r="J101" s="197">
        <v>1</v>
      </c>
      <c r="K101" s="198">
        <f t="shared" ref="K101:K106" si="101">H101*I101*J101</f>
        <v>13000</v>
      </c>
      <c r="L101" s="355">
        <f t="shared" ref="L101:L106" si="102">H101</f>
        <v>13000</v>
      </c>
      <c r="M101" s="196">
        <f>Admin!M80</f>
        <v>1</v>
      </c>
      <c r="N101" s="197">
        <v>1</v>
      </c>
      <c r="O101" s="198">
        <f t="shared" ref="O101:O106" si="103">L101*M101*N101</f>
        <v>13000</v>
      </c>
      <c r="P101" s="355">
        <f t="shared" ref="P101:P106" si="104">L101</f>
        <v>13000</v>
      </c>
      <c r="Q101" s="196">
        <f>Admin!Q80</f>
        <v>0.5</v>
      </c>
      <c r="R101" s="197">
        <v>1</v>
      </c>
      <c r="S101" s="198">
        <f t="shared" ref="S101:S106" si="105">P101*Q101*R101</f>
        <v>6500</v>
      </c>
      <c r="T101" s="333">
        <f t="shared" ref="T101:T106" si="106">C101+G101+K101+O101+S101</f>
        <v>71806.36</v>
      </c>
    </row>
    <row r="102" spans="1:20" ht="15.6" outlineLevel="1">
      <c r="A102" s="450" t="str">
        <f>Admin!A81</f>
        <v>Legal Fees</v>
      </c>
      <c r="B102" s="194" t="str">
        <f>Admin!B81</f>
        <v>Year</v>
      </c>
      <c r="C102" s="198">
        <f>Admin!C81</f>
        <v>22150.080000000002</v>
      </c>
      <c r="D102" s="355">
        <f>Admin!D81</f>
        <v>4425</v>
      </c>
      <c r="E102" s="196">
        <f>Admin!E81</f>
        <v>1</v>
      </c>
      <c r="F102" s="197">
        <v>1</v>
      </c>
      <c r="G102" s="198">
        <f t="shared" si="99"/>
        <v>4425</v>
      </c>
      <c r="H102" s="355">
        <f t="shared" si="100"/>
        <v>4425</v>
      </c>
      <c r="I102" s="196">
        <f>Admin!I81</f>
        <v>1</v>
      </c>
      <c r="J102" s="197">
        <v>1</v>
      </c>
      <c r="K102" s="198">
        <f t="shared" si="101"/>
        <v>4425</v>
      </c>
      <c r="L102" s="355">
        <f t="shared" si="102"/>
        <v>4425</v>
      </c>
      <c r="M102" s="196">
        <f>Admin!M81</f>
        <v>1</v>
      </c>
      <c r="N102" s="197">
        <v>1</v>
      </c>
      <c r="O102" s="198">
        <f t="shared" si="103"/>
        <v>4425</v>
      </c>
      <c r="P102" s="355">
        <f t="shared" si="104"/>
        <v>4425</v>
      </c>
      <c r="Q102" s="196">
        <f>Admin!Q81</f>
        <v>1</v>
      </c>
      <c r="R102" s="197">
        <v>1</v>
      </c>
      <c r="S102" s="198">
        <f t="shared" si="105"/>
        <v>4425</v>
      </c>
      <c r="T102" s="333">
        <f t="shared" si="106"/>
        <v>39850.080000000002</v>
      </c>
    </row>
    <row r="103" spans="1:20" ht="15.6" outlineLevel="1">
      <c r="A103" s="450" t="str">
        <f>Admin!A82</f>
        <v>Monetization Agent Fee</v>
      </c>
      <c r="B103" s="194" t="str">
        <f>Admin!B82</f>
        <v>%</v>
      </c>
      <c r="C103" s="198">
        <f>Admin!C82</f>
        <v>512975</v>
      </c>
      <c r="D103" s="355">
        <f>Admin!D82</f>
        <v>9000000</v>
      </c>
      <c r="E103" s="196">
        <f>Admin!E82</f>
        <v>1</v>
      </c>
      <c r="F103" s="197">
        <v>2.5000000000000001E-2</v>
      </c>
      <c r="G103" s="198">
        <f t="shared" si="99"/>
        <v>225000</v>
      </c>
      <c r="H103" s="355">
        <f t="shared" si="100"/>
        <v>9000000</v>
      </c>
      <c r="I103" s="196">
        <f>Admin!I82</f>
        <v>0</v>
      </c>
      <c r="J103" s="197">
        <v>0</v>
      </c>
      <c r="K103" s="198">
        <f t="shared" si="101"/>
        <v>0</v>
      </c>
      <c r="L103" s="355">
        <f t="shared" si="102"/>
        <v>9000000</v>
      </c>
      <c r="M103" s="196">
        <f>Admin!M82</f>
        <v>0</v>
      </c>
      <c r="N103" s="197">
        <v>0</v>
      </c>
      <c r="O103" s="198">
        <f t="shared" si="103"/>
        <v>0</v>
      </c>
      <c r="P103" s="355">
        <f t="shared" si="104"/>
        <v>9000000</v>
      </c>
      <c r="Q103" s="196">
        <f>Admin!Q82</f>
        <v>0</v>
      </c>
      <c r="R103" s="197">
        <v>1</v>
      </c>
      <c r="S103" s="198">
        <f t="shared" si="105"/>
        <v>0</v>
      </c>
      <c r="T103" s="333">
        <f t="shared" si="106"/>
        <v>737975</v>
      </c>
    </row>
    <row r="104" spans="1:20" ht="15.6" outlineLevel="1">
      <c r="A104" s="450" t="str">
        <f>Admin!A83</f>
        <v>Post Monetization Assessment</v>
      </c>
      <c r="B104" s="194" t="str">
        <f>Admin!B83</f>
        <v>Unit</v>
      </c>
      <c r="C104" s="198">
        <f>Admin!C83</f>
        <v>47918.55</v>
      </c>
      <c r="D104" s="355">
        <f>Admin!D83</f>
        <v>47918.55</v>
      </c>
      <c r="E104" s="196">
        <f>Admin!E83</f>
        <v>0</v>
      </c>
      <c r="F104" s="197">
        <v>0</v>
      </c>
      <c r="G104" s="198">
        <f t="shared" si="99"/>
        <v>0</v>
      </c>
      <c r="H104" s="355">
        <f t="shared" si="100"/>
        <v>47918.55</v>
      </c>
      <c r="I104" s="196">
        <f>Admin!I83</f>
        <v>0</v>
      </c>
      <c r="J104" s="197">
        <v>0</v>
      </c>
      <c r="K104" s="198">
        <f t="shared" si="101"/>
        <v>0</v>
      </c>
      <c r="L104" s="355">
        <f t="shared" si="102"/>
        <v>47918.55</v>
      </c>
      <c r="M104" s="196">
        <f>Admin!M83</f>
        <v>0</v>
      </c>
      <c r="N104" s="197">
        <v>0</v>
      </c>
      <c r="O104" s="198">
        <f t="shared" si="103"/>
        <v>0</v>
      </c>
      <c r="P104" s="355">
        <f t="shared" si="104"/>
        <v>47918.55</v>
      </c>
      <c r="Q104" s="196">
        <f>Admin!Q83</f>
        <v>0</v>
      </c>
      <c r="R104" s="197">
        <v>1</v>
      </c>
      <c r="S104" s="198">
        <f t="shared" si="105"/>
        <v>0</v>
      </c>
      <c r="T104" s="333">
        <f t="shared" si="106"/>
        <v>47918.55</v>
      </c>
    </row>
    <row r="105" spans="1:20" ht="15.6" outlineLevel="1">
      <c r="A105" s="450" t="str">
        <f>Admin!A84</f>
        <v>Security Plan and Advisors</v>
      </c>
      <c r="B105" s="194" t="str">
        <f>Admin!B84</f>
        <v>Year</v>
      </c>
      <c r="C105" s="198">
        <f>Admin!C84</f>
        <v>0</v>
      </c>
      <c r="D105" s="355">
        <f>Admin!D84</f>
        <v>25000</v>
      </c>
      <c r="E105" s="196">
        <f>Admin!E84</f>
        <v>1</v>
      </c>
      <c r="F105" s="197">
        <v>1</v>
      </c>
      <c r="G105" s="198">
        <f t="shared" si="99"/>
        <v>25000</v>
      </c>
      <c r="H105" s="355">
        <f t="shared" si="100"/>
        <v>25000</v>
      </c>
      <c r="I105" s="196">
        <f>Admin!I84</f>
        <v>1</v>
      </c>
      <c r="J105" s="197">
        <v>1</v>
      </c>
      <c r="K105" s="198">
        <f t="shared" si="101"/>
        <v>25000</v>
      </c>
      <c r="L105" s="355">
        <f t="shared" si="102"/>
        <v>25000</v>
      </c>
      <c r="M105" s="196">
        <f>Admin!M84</f>
        <v>1</v>
      </c>
      <c r="N105" s="197">
        <v>1</v>
      </c>
      <c r="O105" s="198">
        <f t="shared" si="103"/>
        <v>25000</v>
      </c>
      <c r="P105" s="355">
        <f t="shared" si="104"/>
        <v>25000</v>
      </c>
      <c r="Q105" s="196">
        <f>Admin!Q84</f>
        <v>0.5</v>
      </c>
      <c r="R105" s="197">
        <v>1</v>
      </c>
      <c r="S105" s="198">
        <f t="shared" si="105"/>
        <v>12500</v>
      </c>
      <c r="T105" s="333">
        <f t="shared" si="106"/>
        <v>87500</v>
      </c>
    </row>
    <row r="106" spans="1:20" ht="15.6" outlineLevel="1">
      <c r="A106" s="450" t="str">
        <f>Admin!A85</f>
        <v>HQ Consultants &amp; Advisory Support Services</v>
      </c>
      <c r="B106" s="194" t="str">
        <f>Admin!B85</f>
        <v>Month</v>
      </c>
      <c r="C106" s="198">
        <f>Admin!C85</f>
        <v>68599.100000000006</v>
      </c>
      <c r="D106" s="355">
        <f>Admin!D85</f>
        <v>1125</v>
      </c>
      <c r="E106" s="196">
        <f>Admin!E85</f>
        <v>12</v>
      </c>
      <c r="F106" s="197">
        <v>1</v>
      </c>
      <c r="G106" s="198">
        <f t="shared" si="99"/>
        <v>13500</v>
      </c>
      <c r="H106" s="355">
        <f t="shared" si="100"/>
        <v>1125</v>
      </c>
      <c r="I106" s="196">
        <f>Admin!I85</f>
        <v>12</v>
      </c>
      <c r="J106" s="197">
        <v>1</v>
      </c>
      <c r="K106" s="198">
        <f t="shared" si="101"/>
        <v>13500</v>
      </c>
      <c r="L106" s="355">
        <f t="shared" si="102"/>
        <v>1125</v>
      </c>
      <c r="M106" s="196">
        <f>Admin!M85</f>
        <v>12</v>
      </c>
      <c r="N106" s="197">
        <v>1</v>
      </c>
      <c r="O106" s="198">
        <f t="shared" si="103"/>
        <v>13500</v>
      </c>
      <c r="P106" s="355">
        <f t="shared" si="104"/>
        <v>1125</v>
      </c>
      <c r="Q106" s="196">
        <f>Admin!Q85</f>
        <v>6</v>
      </c>
      <c r="R106" s="197">
        <v>1</v>
      </c>
      <c r="S106" s="198">
        <f t="shared" si="105"/>
        <v>6750</v>
      </c>
      <c r="T106" s="333">
        <f t="shared" si="106"/>
        <v>115849.1</v>
      </c>
    </row>
    <row r="107" spans="1:20" ht="15.6" outlineLevel="1">
      <c r="A107" s="450" t="str">
        <f>'Activity 2'!A61</f>
        <v>Subrecipient: Training for Producer Organizations - Fundación Julio y Astrida Carrizosa ONG (IC Fundación)</v>
      </c>
      <c r="B107" s="194" t="str">
        <f>'Activity 2'!B61</f>
        <v>Subrecipient</v>
      </c>
      <c r="C107" s="198">
        <f>'Activity 2'!C61</f>
        <v>358416.28</v>
      </c>
      <c r="D107" s="355">
        <f>'Activity 2'!D61</f>
        <v>440999.99996253912</v>
      </c>
      <c r="E107" s="196">
        <f>'Activity 2'!E61</f>
        <v>1</v>
      </c>
      <c r="F107" s="197">
        <v>1</v>
      </c>
      <c r="G107" s="198">
        <f t="shared" ref="G107" si="107">D107*E107*F107</f>
        <v>440999.99996253912</v>
      </c>
      <c r="H107" s="355">
        <f>'Activity 2'!H61</f>
        <v>203176.62132515997</v>
      </c>
      <c r="I107" s="196">
        <f>'Activity 2'!I61</f>
        <v>1</v>
      </c>
      <c r="J107" s="197">
        <v>1</v>
      </c>
      <c r="K107" s="198">
        <f t="shared" ref="K107" si="108">H107*I107*J107</f>
        <v>203176.62132515997</v>
      </c>
      <c r="L107" s="355">
        <f>'Activity 2'!L61</f>
        <v>0</v>
      </c>
      <c r="M107" s="196">
        <f>'Activity 2'!M61</f>
        <v>1</v>
      </c>
      <c r="N107" s="197">
        <v>1</v>
      </c>
      <c r="O107" s="198">
        <f t="shared" ref="O107" si="109">L107*M107*N107</f>
        <v>0</v>
      </c>
      <c r="P107" s="355">
        <f>'Activity 2'!PD61</f>
        <v>0</v>
      </c>
      <c r="Q107" s="196">
        <f>'Activity 2'!Q61</f>
        <v>0</v>
      </c>
      <c r="R107" s="197">
        <v>0</v>
      </c>
      <c r="S107" s="198">
        <f t="shared" ref="S107" si="110">P107*Q107*R107</f>
        <v>0</v>
      </c>
      <c r="T107" s="333">
        <f t="shared" ref="T107" si="111">C107+G107+K107+O107+S107</f>
        <v>1002592.9012876991</v>
      </c>
    </row>
    <row r="108" spans="1:20" ht="15.6" outlineLevel="1">
      <c r="A108" s="450" t="str">
        <f>'Activity 2'!A62</f>
        <v>Business Plan Advisory Services for Agribusiness Entrepreneurship Grants</v>
      </c>
      <c r="B108" s="194" t="str">
        <f>'Activity 2'!B62</f>
        <v>Contract</v>
      </c>
      <c r="C108" s="198">
        <f>'Activity 2'!C62</f>
        <v>0</v>
      </c>
      <c r="D108" s="355">
        <f>'Activity 2'!D62</f>
        <v>0</v>
      </c>
      <c r="E108" s="196">
        <f>'Activity 2'!E62</f>
        <v>0</v>
      </c>
      <c r="F108" s="197">
        <v>0</v>
      </c>
      <c r="G108" s="198">
        <f t="shared" ref="G108:G109" si="112">D108*E108*F108</f>
        <v>0</v>
      </c>
      <c r="H108" s="355">
        <f>'Activity 2'!H62</f>
        <v>0</v>
      </c>
      <c r="I108" s="196">
        <f>'Activity 2'!I62</f>
        <v>1</v>
      </c>
      <c r="J108" s="197">
        <v>1</v>
      </c>
      <c r="K108" s="198">
        <f t="shared" ref="K108:K109" si="113">H108*I108*J108</f>
        <v>0</v>
      </c>
      <c r="L108" s="355">
        <f>'Activity 2'!L62</f>
        <v>0</v>
      </c>
      <c r="M108" s="196">
        <f>'Activity 2'!M62</f>
        <v>1</v>
      </c>
      <c r="N108" s="197">
        <v>1</v>
      </c>
      <c r="O108" s="198">
        <f t="shared" ref="O108:O109" si="114">L108*M108*N108</f>
        <v>0</v>
      </c>
      <c r="P108" s="355">
        <f>'Activity 2'!PD62</f>
        <v>0</v>
      </c>
      <c r="Q108" s="196">
        <f>'Activity 2'!Q62</f>
        <v>0</v>
      </c>
      <c r="R108" s="197">
        <v>0</v>
      </c>
      <c r="S108" s="198">
        <f t="shared" ref="S108:S109" si="115">P108*Q108*R108</f>
        <v>0</v>
      </c>
      <c r="T108" s="333">
        <f t="shared" ref="T108:T109" si="116">C108+G108+K108+O108+S108</f>
        <v>0</v>
      </c>
    </row>
    <row r="109" spans="1:20" ht="15.6" outlineLevel="1">
      <c r="A109" s="450" t="str">
        <f>'Activity 3'!A64</f>
        <v xml:space="preserve">Subrecipient: Digital Extension tools/GIS </v>
      </c>
      <c r="B109" s="194" t="str">
        <f>'Activity 3'!B64</f>
        <v>Subrecipient</v>
      </c>
      <c r="C109" s="198">
        <f>'Activity 3'!C64</f>
        <v>20000</v>
      </c>
      <c r="D109" s="355">
        <f>'Activity 3'!D64</f>
        <v>20000</v>
      </c>
      <c r="E109" s="196">
        <f>'Activity 3'!E64</f>
        <v>0</v>
      </c>
      <c r="F109" s="197">
        <v>0</v>
      </c>
      <c r="G109" s="198">
        <f t="shared" si="112"/>
        <v>0</v>
      </c>
      <c r="H109" s="355">
        <f>'Activity 3'!H64</f>
        <v>20000</v>
      </c>
      <c r="I109" s="196">
        <f>'Activity 3'!I64</f>
        <v>0</v>
      </c>
      <c r="J109" s="197">
        <v>0</v>
      </c>
      <c r="K109" s="198">
        <f t="shared" si="113"/>
        <v>0</v>
      </c>
      <c r="L109" s="355">
        <f>'Activity 3'!L64</f>
        <v>20000</v>
      </c>
      <c r="M109" s="196">
        <f>'Activity 3'!M64</f>
        <v>0</v>
      </c>
      <c r="N109" s="197">
        <v>0</v>
      </c>
      <c r="O109" s="198">
        <f t="shared" si="114"/>
        <v>0</v>
      </c>
      <c r="P109" s="355">
        <f>'Activity 3'!P64</f>
        <v>20000</v>
      </c>
      <c r="Q109" s="196">
        <f>'Activity 3'!AQ4</f>
        <v>0</v>
      </c>
      <c r="R109" s="197">
        <v>0</v>
      </c>
      <c r="S109" s="198">
        <f t="shared" si="115"/>
        <v>0</v>
      </c>
      <c r="T109" s="333">
        <f t="shared" si="116"/>
        <v>20000</v>
      </c>
    </row>
    <row r="110" spans="1:20" ht="15.6" outlineLevel="1">
      <c r="A110" s="450" t="str">
        <f>'Activity 3'!A65</f>
        <v>Subrecipient: Food Safety/Gene Editing</v>
      </c>
      <c r="B110" s="194" t="str">
        <f>'Activity 3'!B65</f>
        <v>Subrecipient</v>
      </c>
      <c r="C110" s="198">
        <f>'Activity 3'!C65</f>
        <v>0</v>
      </c>
      <c r="D110" s="355">
        <f>'Activity 3'!D65</f>
        <v>0</v>
      </c>
      <c r="E110" s="196">
        <f>'Activity 3'!E65</f>
        <v>0</v>
      </c>
      <c r="F110" s="197">
        <v>0</v>
      </c>
      <c r="G110" s="198">
        <f t="shared" ref="G110:G116" si="117">D110*E110*F110</f>
        <v>0</v>
      </c>
      <c r="H110" s="355">
        <f>'Activity 3'!H65</f>
        <v>0</v>
      </c>
      <c r="I110" s="196">
        <f>'Activity 3'!I65</f>
        <v>0</v>
      </c>
      <c r="J110" s="197">
        <v>0</v>
      </c>
      <c r="K110" s="198">
        <f t="shared" ref="K110:K116" si="118">H110*I110*J110</f>
        <v>0</v>
      </c>
      <c r="L110" s="355">
        <f>'Activity 3'!L65</f>
        <v>0</v>
      </c>
      <c r="M110" s="196">
        <f>'Activity 3'!M65</f>
        <v>0</v>
      </c>
      <c r="N110" s="197">
        <v>0</v>
      </c>
      <c r="O110" s="198">
        <f t="shared" ref="O110:O116" si="119">L110*M110*N110</f>
        <v>0</v>
      </c>
      <c r="P110" s="355">
        <f>'Activity 3'!P65</f>
        <v>0</v>
      </c>
      <c r="Q110" s="196">
        <f>'Activity 3'!AQ5</f>
        <v>0</v>
      </c>
      <c r="R110" s="197">
        <v>0</v>
      </c>
      <c r="S110" s="198">
        <f t="shared" ref="S110:S116" si="120">P110*Q110*R110</f>
        <v>0</v>
      </c>
      <c r="T110" s="333">
        <f t="shared" ref="T110:T116" si="121">C110+G110+K110+O110+S110</f>
        <v>0</v>
      </c>
    </row>
    <row r="111" spans="1:20" ht="15.6" outlineLevel="1">
      <c r="A111" s="450" t="str">
        <f>'Activity 3'!A66</f>
        <v>Digital Training Partnership</v>
      </c>
      <c r="B111" s="194" t="str">
        <f>'Activity 3'!B66</f>
        <v>Contract</v>
      </c>
      <c r="C111" s="198">
        <f>'Activity 3'!C66</f>
        <v>94000</v>
      </c>
      <c r="D111" s="355">
        <f>'Activity 3'!D66</f>
        <v>20000</v>
      </c>
      <c r="E111" s="196">
        <f>'Activity 3'!E66</f>
        <v>1</v>
      </c>
      <c r="F111" s="197">
        <v>1</v>
      </c>
      <c r="G111" s="198">
        <f>'Activity 3'!G66</f>
        <v>73031</v>
      </c>
      <c r="H111" s="355">
        <f>'Activity 3'!H66</f>
        <v>20000</v>
      </c>
      <c r="I111" s="196">
        <f>'Activity 3'!I66</f>
        <v>1</v>
      </c>
      <c r="J111" s="197">
        <v>1</v>
      </c>
      <c r="K111" s="198">
        <f t="shared" si="118"/>
        <v>20000</v>
      </c>
      <c r="L111" s="355">
        <f>'Activity 3'!L66</f>
        <v>20000</v>
      </c>
      <c r="M111" s="196">
        <f>'Activity 3'!M66</f>
        <v>1</v>
      </c>
      <c r="N111" s="197">
        <v>1</v>
      </c>
      <c r="O111" s="198">
        <f t="shared" si="119"/>
        <v>20000</v>
      </c>
      <c r="P111" s="355">
        <f>'Activity 3'!P66</f>
        <v>20000</v>
      </c>
      <c r="Q111" s="196">
        <f>'Activity 3'!AQ6</f>
        <v>0</v>
      </c>
      <c r="R111" s="197">
        <v>0</v>
      </c>
      <c r="S111" s="198">
        <f t="shared" si="120"/>
        <v>0</v>
      </c>
      <c r="T111" s="333">
        <f t="shared" si="121"/>
        <v>207031</v>
      </c>
    </row>
    <row r="112" spans="1:20" ht="15.6" outlineLevel="1">
      <c r="A112" s="450" t="str">
        <f>'Activity 3'!A67</f>
        <v>New Carbon Partnerships</v>
      </c>
      <c r="B112" s="194" t="str">
        <f>'Activity 3'!B67</f>
        <v>Contract</v>
      </c>
      <c r="C112" s="198">
        <f>'Activity 3'!C67</f>
        <v>10000</v>
      </c>
      <c r="D112" s="355">
        <f>'Activity 3'!D67</f>
        <v>10000</v>
      </c>
      <c r="E112" s="196">
        <f>'Activity 3'!E67</f>
        <v>0</v>
      </c>
      <c r="F112" s="197">
        <v>0</v>
      </c>
      <c r="G112" s="198">
        <f t="shared" si="117"/>
        <v>0</v>
      </c>
      <c r="H112" s="355">
        <f>'Activity 3'!H67</f>
        <v>10000</v>
      </c>
      <c r="I112" s="196">
        <f>'Activity 3'!I67</f>
        <v>0</v>
      </c>
      <c r="J112" s="197">
        <v>0</v>
      </c>
      <c r="K112" s="198">
        <f t="shared" si="118"/>
        <v>0</v>
      </c>
      <c r="L112" s="355">
        <f>'Activity 3'!L67</f>
        <v>10000</v>
      </c>
      <c r="M112" s="196">
        <f>'Activity 3'!M67</f>
        <v>0</v>
      </c>
      <c r="N112" s="197">
        <v>0</v>
      </c>
      <c r="O112" s="198">
        <f t="shared" si="119"/>
        <v>0</v>
      </c>
      <c r="P112" s="355">
        <f>'Activity 3'!P67</f>
        <v>10000</v>
      </c>
      <c r="Q112" s="196">
        <f>'Activity 3'!AQ7</f>
        <v>0</v>
      </c>
      <c r="R112" s="197">
        <v>0</v>
      </c>
      <c r="S112" s="198">
        <f t="shared" si="120"/>
        <v>0</v>
      </c>
      <c r="T112" s="333">
        <f t="shared" si="121"/>
        <v>10000</v>
      </c>
    </row>
    <row r="113" spans="1:20" ht="15.6" outlineLevel="1">
      <c r="A113" s="450" t="str">
        <f>'Activity 3'!A68</f>
        <v>Other New Partnerships</v>
      </c>
      <c r="B113" s="194" t="str">
        <f>'Activity 3'!B68</f>
        <v>Contract</v>
      </c>
      <c r="C113" s="198">
        <f>'Activity 3'!C68</f>
        <v>25000</v>
      </c>
      <c r="D113" s="355">
        <f>'Activity 3'!D68</f>
        <v>25000</v>
      </c>
      <c r="E113" s="196">
        <f>'Activity 3'!E68</f>
        <v>0</v>
      </c>
      <c r="F113" s="197">
        <v>0</v>
      </c>
      <c r="G113" s="198">
        <f t="shared" si="117"/>
        <v>0</v>
      </c>
      <c r="H113" s="355">
        <f>'Activity 3'!H68</f>
        <v>25000</v>
      </c>
      <c r="I113" s="196">
        <f>'Activity 3'!I68</f>
        <v>0</v>
      </c>
      <c r="J113" s="197">
        <v>0</v>
      </c>
      <c r="K113" s="198">
        <f t="shared" si="118"/>
        <v>0</v>
      </c>
      <c r="L113" s="355">
        <f>'Activity 3'!L68</f>
        <v>25000</v>
      </c>
      <c r="M113" s="196">
        <f>'Activity 3'!M68</f>
        <v>0</v>
      </c>
      <c r="N113" s="197">
        <v>0</v>
      </c>
      <c r="O113" s="198">
        <f t="shared" si="119"/>
        <v>0</v>
      </c>
      <c r="P113" s="355">
        <f>'Activity 3'!P68</f>
        <v>25000</v>
      </c>
      <c r="Q113" s="196">
        <f>'Activity 3'!AQ8</f>
        <v>0</v>
      </c>
      <c r="R113" s="197">
        <v>0</v>
      </c>
      <c r="S113" s="198">
        <f t="shared" si="120"/>
        <v>0</v>
      </c>
      <c r="T113" s="333">
        <f t="shared" si="121"/>
        <v>25000</v>
      </c>
    </row>
    <row r="114" spans="1:20" ht="15.6" outlineLevel="1">
      <c r="A114" s="450" t="str">
        <f>'Activity 3'!A69</f>
        <v>Cacao Food Safety, Traceability, and Risk Management (&amp; Organic Carmenta Trap Initiative)</v>
      </c>
      <c r="B114" s="194" t="str">
        <f>'Activity 3'!B69</f>
        <v>Contract</v>
      </c>
      <c r="C114" s="198">
        <f>'Activity 3'!C69</f>
        <v>37685.26</v>
      </c>
      <c r="D114" s="355">
        <f>'Activity 3'!D69</f>
        <v>25000</v>
      </c>
      <c r="E114" s="196">
        <f>'Activity 3'!E69</f>
        <v>1</v>
      </c>
      <c r="F114" s="197">
        <v>1</v>
      </c>
      <c r="G114" s="198">
        <f>'Activity 3'!G69</f>
        <v>202000</v>
      </c>
      <c r="H114" s="355">
        <f>'Activity 3'!H69</f>
        <v>25000</v>
      </c>
      <c r="I114" s="196">
        <f>'Activity 3'!I69</f>
        <v>1</v>
      </c>
      <c r="J114" s="197">
        <v>1</v>
      </c>
      <c r="K114" s="198">
        <f t="shared" si="118"/>
        <v>25000</v>
      </c>
      <c r="L114" s="355">
        <f>'Activity 3'!L69</f>
        <v>25000</v>
      </c>
      <c r="M114" s="196">
        <f>'Activity 3'!M69</f>
        <v>0</v>
      </c>
      <c r="N114" s="197">
        <v>0</v>
      </c>
      <c r="O114" s="198">
        <f t="shared" si="119"/>
        <v>0</v>
      </c>
      <c r="P114" s="355">
        <f>'Activity 3'!P69</f>
        <v>25000</v>
      </c>
      <c r="Q114" s="196">
        <f>'Activity 3'!AQ9</f>
        <v>0</v>
      </c>
      <c r="R114" s="197">
        <v>0</v>
      </c>
      <c r="S114" s="198">
        <f t="shared" si="120"/>
        <v>0</v>
      </c>
      <c r="T114" s="333">
        <f t="shared" si="121"/>
        <v>264685.26</v>
      </c>
    </row>
    <row r="115" spans="1:20" ht="15.6" outlineLevel="1">
      <c r="A115" s="450" t="str">
        <f>'Activity 3'!A70</f>
        <v xml:space="preserve">Complementary Crops Food Safety, Traceability, and Risk Management </v>
      </c>
      <c r="B115" s="194" t="str">
        <f>'Activity 3'!B70</f>
        <v>Contract</v>
      </c>
      <c r="C115" s="198">
        <f>'Activity 3'!C70</f>
        <v>55733.63</v>
      </c>
      <c r="D115" s="355">
        <f>'Activity 3'!D70</f>
        <v>8500</v>
      </c>
      <c r="E115" s="196">
        <f>'Activity 3'!E70</f>
        <v>3</v>
      </c>
      <c r="F115" s="197">
        <v>1</v>
      </c>
      <c r="G115" s="198">
        <f t="shared" si="117"/>
        <v>25500</v>
      </c>
      <c r="H115" s="355">
        <f>'Activity 3'!H70</f>
        <v>8500</v>
      </c>
      <c r="I115" s="196">
        <f>'Activity 3'!I70</f>
        <v>0</v>
      </c>
      <c r="J115" s="197">
        <v>0</v>
      </c>
      <c r="K115" s="198">
        <f t="shared" si="118"/>
        <v>0</v>
      </c>
      <c r="L115" s="355">
        <f>'Activity 3'!L70</f>
        <v>8500</v>
      </c>
      <c r="M115" s="196">
        <f>'Activity 3'!M70</f>
        <v>0</v>
      </c>
      <c r="N115" s="197">
        <v>0</v>
      </c>
      <c r="O115" s="198">
        <f t="shared" si="119"/>
        <v>0</v>
      </c>
      <c r="P115" s="355">
        <f>'Activity 3'!P70</f>
        <v>8500</v>
      </c>
      <c r="Q115" s="196">
        <f>'Activity 3'!AQ10</f>
        <v>0</v>
      </c>
      <c r="R115" s="197">
        <v>0</v>
      </c>
      <c r="S115" s="198">
        <f t="shared" si="120"/>
        <v>0</v>
      </c>
      <c r="T115" s="333">
        <f t="shared" si="121"/>
        <v>81233.63</v>
      </c>
    </row>
    <row r="116" spans="1:20" ht="15.6" outlineLevel="1">
      <c r="A116" s="450" t="str">
        <f>'Activity 3'!A71</f>
        <v>Contract for Local Organization to Support Capacity Building for EPSEAs</v>
      </c>
      <c r="B116" s="194" t="str">
        <f>'Activity 3'!B71</f>
        <v>Contract</v>
      </c>
      <c r="C116" s="198">
        <f>'Activity 3'!C71</f>
        <v>0</v>
      </c>
      <c r="D116" s="355">
        <f>'Activity 3'!D71</f>
        <v>25000</v>
      </c>
      <c r="E116" s="196">
        <f>'Activity 3'!E71</f>
        <v>1</v>
      </c>
      <c r="F116" s="197">
        <v>1</v>
      </c>
      <c r="G116" s="198">
        <f t="shared" si="117"/>
        <v>25000</v>
      </c>
      <c r="H116" s="355">
        <f>'Activity 3'!H71</f>
        <v>25000</v>
      </c>
      <c r="I116" s="196">
        <f>'Activity 3'!I71</f>
        <v>1</v>
      </c>
      <c r="J116" s="197">
        <v>1</v>
      </c>
      <c r="K116" s="198">
        <f t="shared" si="118"/>
        <v>25000</v>
      </c>
      <c r="L116" s="355">
        <f>'Activity 3'!L71</f>
        <v>25000</v>
      </c>
      <c r="M116" s="196">
        <f>'Activity 3'!M71</f>
        <v>1</v>
      </c>
      <c r="N116" s="197">
        <v>1</v>
      </c>
      <c r="O116" s="198">
        <f t="shared" si="119"/>
        <v>25000</v>
      </c>
      <c r="P116" s="355">
        <f>'Activity 3'!P71</f>
        <v>25000</v>
      </c>
      <c r="Q116" s="196">
        <f>'Activity 3'!AQ11</f>
        <v>0</v>
      </c>
      <c r="R116" s="197">
        <v>0</v>
      </c>
      <c r="S116" s="198">
        <f t="shared" si="120"/>
        <v>0</v>
      </c>
      <c r="T116" s="333">
        <f t="shared" si="121"/>
        <v>75000</v>
      </c>
    </row>
    <row r="117" spans="1:20" ht="15.6" outlineLevel="1">
      <c r="A117" s="450" t="str">
        <f>'Activity 3'!A72</f>
        <v>Contract to Strengthen Fedecacao Extension Services</v>
      </c>
      <c r="B117" s="194" t="str">
        <f>'Activity 3'!B72</f>
        <v>Contract</v>
      </c>
      <c r="C117" s="198">
        <f>'Activity 3'!C72</f>
        <v>0</v>
      </c>
      <c r="D117" s="355">
        <f>'Activity 3'!D72</f>
        <v>20000</v>
      </c>
      <c r="E117" s="196">
        <f>'Activity 3'!E72</f>
        <v>1</v>
      </c>
      <c r="F117" s="197">
        <v>1</v>
      </c>
      <c r="G117" s="198">
        <f t="shared" ref="G117:G120" si="122">D117*E117*F117</f>
        <v>20000</v>
      </c>
      <c r="H117" s="355">
        <f>'Activity 3'!H72</f>
        <v>20000</v>
      </c>
      <c r="I117" s="196">
        <f>'Activity 3'!I72</f>
        <v>1</v>
      </c>
      <c r="J117" s="197">
        <v>1</v>
      </c>
      <c r="K117" s="198">
        <f t="shared" ref="K117:K120" si="123">H117*I117*J117</f>
        <v>20000</v>
      </c>
      <c r="L117" s="355">
        <f>'Activity 3'!L72</f>
        <v>20000</v>
      </c>
      <c r="M117" s="196">
        <f>'Activity 3'!M72</f>
        <v>1</v>
      </c>
      <c r="N117" s="197">
        <v>1</v>
      </c>
      <c r="O117" s="198">
        <f t="shared" ref="O117:O120" si="124">L117*M117*N117</f>
        <v>20000</v>
      </c>
      <c r="P117" s="355">
        <f>'Activity 3'!P72</f>
        <v>20000</v>
      </c>
      <c r="Q117" s="196">
        <f>'Activity 3'!AQ12</f>
        <v>0</v>
      </c>
      <c r="R117" s="197">
        <v>0</v>
      </c>
      <c r="S117" s="198">
        <f t="shared" ref="S117:S120" si="125">P117*Q117*R117</f>
        <v>0</v>
      </c>
      <c r="T117" s="333">
        <f t="shared" ref="T117:T120" si="126">C117+G117+K117+O117+S117</f>
        <v>60000</v>
      </c>
    </row>
    <row r="118" spans="1:20" ht="15.6" outlineLevel="1">
      <c r="A118" s="450" t="str">
        <f>'Activity 3'!A73</f>
        <v>Consultant and Legal Fees for Diagnostic and Mapping of EPSEAs</v>
      </c>
      <c r="B118" s="194" t="str">
        <f>'Activity 3'!B73</f>
        <v>Contract</v>
      </c>
      <c r="C118" s="198">
        <f>'Activity 3'!C73</f>
        <v>0</v>
      </c>
      <c r="D118" s="355">
        <f>'Activity 3'!D73</f>
        <v>35000</v>
      </c>
      <c r="E118" s="196">
        <f>'Activity 3'!E73</f>
        <v>1</v>
      </c>
      <c r="F118" s="197">
        <v>1</v>
      </c>
      <c r="G118" s="198">
        <f t="shared" si="122"/>
        <v>35000</v>
      </c>
      <c r="H118" s="355">
        <f>'Activity 3'!H73</f>
        <v>35000</v>
      </c>
      <c r="I118" s="196">
        <f>'Activity 3'!I73</f>
        <v>0</v>
      </c>
      <c r="J118" s="197">
        <v>0</v>
      </c>
      <c r="K118" s="198">
        <f t="shared" si="123"/>
        <v>0</v>
      </c>
      <c r="L118" s="355">
        <f>'Activity 3'!L73</f>
        <v>35000</v>
      </c>
      <c r="M118" s="196">
        <f>'Activity 3'!M73</f>
        <v>0</v>
      </c>
      <c r="N118" s="197">
        <v>0</v>
      </c>
      <c r="O118" s="198">
        <f t="shared" si="124"/>
        <v>0</v>
      </c>
      <c r="P118" s="355">
        <f>'Activity 3'!P73</f>
        <v>35000</v>
      </c>
      <c r="Q118" s="196">
        <f>'Activity 3'!AQ13</f>
        <v>0</v>
      </c>
      <c r="R118" s="197">
        <v>0</v>
      </c>
      <c r="S118" s="198">
        <f t="shared" si="125"/>
        <v>0</v>
      </c>
      <c r="T118" s="333">
        <f t="shared" si="126"/>
        <v>35000</v>
      </c>
    </row>
    <row r="119" spans="1:20" ht="15.6" outlineLevel="1">
      <c r="A119" s="450" t="str">
        <f>'Activity 3'!A74</f>
        <v>Contract for Business Plan to Monetize Extension Data</v>
      </c>
      <c r="B119" s="194" t="str">
        <f>'Activity 3'!B74</f>
        <v>Contract</v>
      </c>
      <c r="C119" s="198">
        <f>'Activity 3'!C74</f>
        <v>0</v>
      </c>
      <c r="D119" s="355">
        <f>'Activity 3'!D74</f>
        <v>0</v>
      </c>
      <c r="E119" s="196">
        <f>'Activity 3'!E74</f>
        <v>1</v>
      </c>
      <c r="F119" s="197">
        <v>1</v>
      </c>
      <c r="G119" s="198">
        <f t="shared" si="122"/>
        <v>0</v>
      </c>
      <c r="H119" s="355">
        <f>'Activity 3'!H74</f>
        <v>0</v>
      </c>
      <c r="I119" s="196">
        <f>'Activity 3'!I74</f>
        <v>0</v>
      </c>
      <c r="J119" s="197">
        <v>0</v>
      </c>
      <c r="K119" s="198">
        <f t="shared" si="123"/>
        <v>0</v>
      </c>
      <c r="L119" s="355">
        <f>'Activity 3'!L74</f>
        <v>0</v>
      </c>
      <c r="M119" s="196">
        <f>'Activity 3'!M74</f>
        <v>0</v>
      </c>
      <c r="N119" s="197">
        <v>0</v>
      </c>
      <c r="O119" s="198">
        <f t="shared" si="124"/>
        <v>0</v>
      </c>
      <c r="P119" s="355">
        <f>'Activity 3'!P74</f>
        <v>0</v>
      </c>
      <c r="Q119" s="196">
        <f>'Activity 3'!AQ14</f>
        <v>0</v>
      </c>
      <c r="R119" s="197">
        <v>0</v>
      </c>
      <c r="S119" s="198">
        <f t="shared" si="125"/>
        <v>0</v>
      </c>
      <c r="T119" s="333">
        <f t="shared" si="126"/>
        <v>0</v>
      </c>
    </row>
    <row r="120" spans="1:20" ht="15.6" outlineLevel="1">
      <c r="A120" s="450" t="str">
        <f>'Activity 4'!A59</f>
        <v>Subrecipient: Agrosavia</v>
      </c>
      <c r="B120" s="194" t="str">
        <f>'Activity 4'!B59</f>
        <v>Subrecipient</v>
      </c>
      <c r="C120" s="198">
        <f>'Activity 4'!C59</f>
        <v>188092.28899999999</v>
      </c>
      <c r="D120" s="355">
        <f>'Activity 4'!D59</f>
        <v>40000</v>
      </c>
      <c r="E120" s="196">
        <f>'Activity 4'!E59</f>
        <v>1</v>
      </c>
      <c r="F120" s="197">
        <v>1</v>
      </c>
      <c r="G120" s="198">
        <f t="shared" si="122"/>
        <v>40000</v>
      </c>
      <c r="H120" s="355">
        <f>'Activity 4'!H59</f>
        <v>40000</v>
      </c>
      <c r="I120" s="196">
        <f>'Activity 4'!I59</f>
        <v>0</v>
      </c>
      <c r="J120" s="197">
        <v>0</v>
      </c>
      <c r="K120" s="198">
        <f t="shared" si="123"/>
        <v>0</v>
      </c>
      <c r="L120" s="355">
        <f>'Activity 4'!L59</f>
        <v>40000</v>
      </c>
      <c r="M120" s="196">
        <f>'Activity 4'!M59</f>
        <v>0</v>
      </c>
      <c r="N120" s="197">
        <v>0</v>
      </c>
      <c r="O120" s="198">
        <f t="shared" si="124"/>
        <v>0</v>
      </c>
      <c r="P120" s="355">
        <f>'Activity 4'!P59</f>
        <v>40000</v>
      </c>
      <c r="Q120" s="196">
        <f>'Activity 4'!Q59</f>
        <v>0</v>
      </c>
      <c r="R120" s="197">
        <v>0</v>
      </c>
      <c r="S120" s="198">
        <f t="shared" si="125"/>
        <v>0</v>
      </c>
      <c r="T120" s="333">
        <f t="shared" si="126"/>
        <v>228092.28899999999</v>
      </c>
    </row>
    <row r="121" spans="1:20" ht="15.6" outlineLevel="1">
      <c r="A121" s="450" t="str">
        <f>'Activity 4'!A60</f>
        <v>New Partnerships in Post-Harvest Aggregation &amp; Processing and Traceability</v>
      </c>
      <c r="B121" s="194" t="str">
        <f>'Activity 4'!B60</f>
        <v>Contract</v>
      </c>
      <c r="C121" s="198">
        <f>'Activity 4'!C60</f>
        <v>33306.71</v>
      </c>
      <c r="D121" s="355">
        <f>'Activity 4'!D60</f>
        <v>5000</v>
      </c>
      <c r="E121" s="196">
        <f>'Activity 4'!E60</f>
        <v>1</v>
      </c>
      <c r="F121" s="197">
        <v>1</v>
      </c>
      <c r="G121" s="198">
        <f t="shared" ref="G121:G123" si="127">D121*E121*F121</f>
        <v>5000</v>
      </c>
      <c r="H121" s="355">
        <f>'Activity 4'!H60</f>
        <v>5000</v>
      </c>
      <c r="I121" s="196">
        <f>'Activity 4'!I60</f>
        <v>0</v>
      </c>
      <c r="J121" s="197">
        <v>1</v>
      </c>
      <c r="K121" s="198">
        <f t="shared" ref="K121:K123" si="128">H121*I121*J121</f>
        <v>0</v>
      </c>
      <c r="L121" s="355">
        <f>'Activity 4'!L60</f>
        <v>5000</v>
      </c>
      <c r="M121" s="196">
        <f>'Activity 4'!M60</f>
        <v>0</v>
      </c>
      <c r="N121" s="197">
        <v>1</v>
      </c>
      <c r="O121" s="198">
        <f t="shared" ref="O121:O123" si="129">L121*M121*N121</f>
        <v>0</v>
      </c>
      <c r="P121" s="355">
        <f>'Activity 4'!P60</f>
        <v>5000</v>
      </c>
      <c r="Q121" s="196">
        <f>'Activity 4'!Q60</f>
        <v>0</v>
      </c>
      <c r="R121" s="197">
        <v>0</v>
      </c>
      <c r="S121" s="198">
        <f t="shared" ref="S121:S123" si="130">P121*Q121*R121</f>
        <v>0</v>
      </c>
      <c r="T121" s="333">
        <f t="shared" ref="T121:T123" si="131">C121+G121+K121+O121+S121</f>
        <v>38306.71</v>
      </c>
    </row>
    <row r="122" spans="1:20" ht="15.6" outlineLevel="1">
      <c r="A122" s="450" t="str">
        <f>'Activity 4'!A61</f>
        <v xml:space="preserve">Contract for Cacao Fermentation Control Technology </v>
      </c>
      <c r="B122" s="194" t="str">
        <f>'Activity 4'!B61</f>
        <v>Contract</v>
      </c>
      <c r="C122" s="198">
        <f>'Activity 4'!C61</f>
        <v>0</v>
      </c>
      <c r="D122" s="355">
        <f>'Activity 4'!D61</f>
        <v>150000</v>
      </c>
      <c r="E122" s="196">
        <f>'Activity 4'!E61</f>
        <v>1</v>
      </c>
      <c r="F122" s="197">
        <v>1</v>
      </c>
      <c r="G122" s="198">
        <f t="shared" si="127"/>
        <v>150000</v>
      </c>
      <c r="H122" s="355">
        <f>'Activity 4'!H61</f>
        <v>150000</v>
      </c>
      <c r="I122" s="196">
        <f>'Activity 4'!I61</f>
        <v>1</v>
      </c>
      <c r="J122" s="197">
        <v>1</v>
      </c>
      <c r="K122" s="198">
        <f t="shared" si="128"/>
        <v>150000</v>
      </c>
      <c r="L122" s="355">
        <f>'Activity 4'!L61</f>
        <v>150000</v>
      </c>
      <c r="M122" s="196">
        <f>'Activity 4'!M61</f>
        <v>0</v>
      </c>
      <c r="N122" s="197">
        <v>0</v>
      </c>
      <c r="O122" s="198">
        <f t="shared" si="129"/>
        <v>0</v>
      </c>
      <c r="P122" s="355">
        <f>'Activity 4'!P61</f>
        <v>150000</v>
      </c>
      <c r="Q122" s="196">
        <f>'Activity 4'!Q61</f>
        <v>0</v>
      </c>
      <c r="R122" s="197">
        <v>0</v>
      </c>
      <c r="S122" s="198">
        <f t="shared" si="130"/>
        <v>0</v>
      </c>
      <c r="T122" s="333">
        <f t="shared" si="131"/>
        <v>300000</v>
      </c>
    </row>
    <row r="123" spans="1:20" ht="15.6" outlineLevel="1">
      <c r="A123" s="450" t="str">
        <f>'Activity 4'!A62</f>
        <v xml:space="preserve">Contract to Fine Chocolate Industry Association (FCIA) for Positioning for Cacao and Visibility </v>
      </c>
      <c r="B123" s="194" t="str">
        <f>'Activity 4'!B62</f>
        <v>Contract</v>
      </c>
      <c r="C123" s="198">
        <f>'Activity 4'!C62</f>
        <v>0</v>
      </c>
      <c r="D123" s="355">
        <f>'Activity 4'!D62</f>
        <v>25000</v>
      </c>
      <c r="E123" s="196">
        <f>'Activity 4'!E62</f>
        <v>1</v>
      </c>
      <c r="F123" s="197">
        <v>1</v>
      </c>
      <c r="G123" s="198">
        <f t="shared" si="127"/>
        <v>25000</v>
      </c>
      <c r="H123" s="355">
        <f>'Activity 4'!H62</f>
        <v>25000</v>
      </c>
      <c r="I123" s="196">
        <f>'Activity 4'!I62</f>
        <v>1</v>
      </c>
      <c r="J123" s="197">
        <v>1</v>
      </c>
      <c r="K123" s="198">
        <f t="shared" si="128"/>
        <v>25000</v>
      </c>
      <c r="L123" s="355">
        <f>'Activity 4'!L62</f>
        <v>25000</v>
      </c>
      <c r="M123" s="196">
        <f>'Activity 4'!M62</f>
        <v>1</v>
      </c>
      <c r="N123" s="197">
        <v>1</v>
      </c>
      <c r="O123" s="198">
        <f t="shared" si="129"/>
        <v>25000</v>
      </c>
      <c r="P123" s="355">
        <f>'Activity 4'!P62</f>
        <v>25000</v>
      </c>
      <c r="Q123" s="196">
        <f>'Activity 4'!Q62</f>
        <v>0</v>
      </c>
      <c r="R123" s="197">
        <v>0</v>
      </c>
      <c r="S123" s="198">
        <f t="shared" si="130"/>
        <v>0</v>
      </c>
      <c r="T123" s="333">
        <f t="shared" si="131"/>
        <v>75000</v>
      </c>
    </row>
    <row r="124" spans="1:20" ht="15.6" outlineLevel="1">
      <c r="A124" s="450" t="str">
        <f>'Activity 4'!A63</f>
        <v>Contract for Technical Mapping for Colombian Cacao Catalogue and Flavour Map</v>
      </c>
      <c r="B124" s="194" t="str">
        <f>'Activity 4'!B63</f>
        <v>Contract</v>
      </c>
      <c r="C124" s="198">
        <f>'Activity 4'!C63</f>
        <v>0</v>
      </c>
      <c r="D124" s="355">
        <f>'Activity 4'!D63</f>
        <v>0</v>
      </c>
      <c r="E124" s="196">
        <f>'Activity 4'!E63</f>
        <v>0</v>
      </c>
      <c r="F124" s="197">
        <v>0</v>
      </c>
      <c r="G124" s="198">
        <f t="shared" ref="G124" si="132">D124*E124*F124</f>
        <v>0</v>
      </c>
      <c r="H124" s="355">
        <f>'Activity 4'!H63</f>
        <v>0</v>
      </c>
      <c r="I124" s="196">
        <f>'Activity 4'!I63</f>
        <v>1</v>
      </c>
      <c r="J124" s="197">
        <v>1</v>
      </c>
      <c r="K124" s="198">
        <f t="shared" ref="K124" si="133">H124*I124*J124</f>
        <v>0</v>
      </c>
      <c r="L124" s="355">
        <f>'Activity 4'!L63</f>
        <v>0</v>
      </c>
      <c r="M124" s="196">
        <f>'Activity 4'!M63</f>
        <v>0</v>
      </c>
      <c r="N124" s="197">
        <v>0</v>
      </c>
      <c r="O124" s="198">
        <f t="shared" ref="O124" si="134">L124*M124*N124</f>
        <v>0</v>
      </c>
      <c r="P124" s="355">
        <f>'Activity 4'!P63</f>
        <v>0</v>
      </c>
      <c r="Q124" s="196">
        <f>'Activity 4'!Q63</f>
        <v>0</v>
      </c>
      <c r="R124" s="197">
        <v>0</v>
      </c>
      <c r="S124" s="198">
        <f t="shared" ref="S124" si="135">P124*Q124*R124</f>
        <v>0</v>
      </c>
      <c r="T124" s="333">
        <f t="shared" ref="T124" si="136">C124+G124+K124+O124+S124</f>
        <v>0</v>
      </c>
    </row>
    <row r="125" spans="1:20" ht="15.6" outlineLevel="1">
      <c r="A125" s="450" t="str">
        <f>'Activity 4'!A64</f>
        <v>Consultant for Graphic Design for Colombian Cacao Catalogue and Flavour Map</v>
      </c>
      <c r="B125" s="194" t="str">
        <f>'Activity 4'!B64</f>
        <v>Month</v>
      </c>
      <c r="C125" s="198">
        <f>'Activity 4'!C64</f>
        <v>0</v>
      </c>
      <c r="D125" s="355">
        <f>'Activity 4'!D64</f>
        <v>0</v>
      </c>
      <c r="E125" s="196">
        <f>'Activity 4'!E64</f>
        <v>0</v>
      </c>
      <c r="F125" s="197">
        <v>0</v>
      </c>
      <c r="G125" s="198">
        <f t="shared" ref="G125:G126" si="137">D125*E125*F125</f>
        <v>0</v>
      </c>
      <c r="H125" s="355">
        <f>'Activity 4'!H64</f>
        <v>0</v>
      </c>
      <c r="I125" s="196">
        <f>'Activity 4'!I64</f>
        <v>2</v>
      </c>
      <c r="J125" s="197">
        <v>1</v>
      </c>
      <c r="K125" s="198">
        <f t="shared" ref="K125:K126" si="138">H125*I125*J125</f>
        <v>0</v>
      </c>
      <c r="L125" s="355">
        <f>'Activity 4'!L64</f>
        <v>0</v>
      </c>
      <c r="M125" s="196">
        <f>'Activity 4'!M64</f>
        <v>0</v>
      </c>
      <c r="N125" s="197">
        <v>0</v>
      </c>
      <c r="O125" s="198">
        <f t="shared" ref="O125:O126" si="139">L125*M125*N125</f>
        <v>0</v>
      </c>
      <c r="P125" s="355">
        <f>'Activity 4'!P64</f>
        <v>0</v>
      </c>
      <c r="Q125" s="196">
        <f>'Activity 4'!Q64</f>
        <v>0</v>
      </c>
      <c r="R125" s="197">
        <v>0</v>
      </c>
      <c r="S125" s="198">
        <f t="shared" ref="S125:S126" si="140">P125*Q125*R125</f>
        <v>0</v>
      </c>
      <c r="T125" s="333">
        <f t="shared" ref="T125:T126" si="141">C125+G125+K125+O125+S125</f>
        <v>0</v>
      </c>
    </row>
    <row r="126" spans="1:20" ht="15.6" outlineLevel="1">
      <c r="A126" s="450" t="str">
        <f>'Activity 5'!A57</f>
        <v>Incubator/Accelerator Partnerships</v>
      </c>
      <c r="B126" s="194" t="str">
        <f>'Activity 5'!B57</f>
        <v>Contract</v>
      </c>
      <c r="C126" s="198">
        <f>'Activity 5'!C57</f>
        <v>0</v>
      </c>
      <c r="D126" s="355">
        <f>'Activity 5'!D57</f>
        <v>74500</v>
      </c>
      <c r="E126" s="196">
        <f>'Activity 5'!E57</f>
        <v>1</v>
      </c>
      <c r="F126" s="197">
        <v>1</v>
      </c>
      <c r="G126" s="198">
        <f t="shared" si="137"/>
        <v>74500</v>
      </c>
      <c r="H126" s="355">
        <f>'Activity 5'!H57</f>
        <v>74500</v>
      </c>
      <c r="I126" s="196">
        <f>'Activity 5'!I57</f>
        <v>0</v>
      </c>
      <c r="J126" s="197">
        <v>0</v>
      </c>
      <c r="K126" s="198">
        <f t="shared" si="138"/>
        <v>0</v>
      </c>
      <c r="L126" s="355">
        <f>'Activity 5'!L57</f>
        <v>74500</v>
      </c>
      <c r="M126" s="196">
        <f>'Activity 5'!M57</f>
        <v>0</v>
      </c>
      <c r="N126" s="197">
        <v>0</v>
      </c>
      <c r="O126" s="198">
        <f t="shared" si="139"/>
        <v>0</v>
      </c>
      <c r="P126" s="355">
        <f>'Activity 5'!P57</f>
        <v>74500</v>
      </c>
      <c r="Q126" s="196">
        <f>'Activity 5'!Q57</f>
        <v>0</v>
      </c>
      <c r="R126" s="197">
        <v>0</v>
      </c>
      <c r="S126" s="198">
        <f t="shared" si="140"/>
        <v>0</v>
      </c>
      <c r="T126" s="333">
        <f t="shared" si="141"/>
        <v>74500</v>
      </c>
    </row>
    <row r="127" spans="1:20" ht="15.6" outlineLevel="1">
      <c r="A127" s="450" t="str">
        <f>'Activity 5'!A58</f>
        <v xml:space="preserve">Consultant for Farmer Segmentation as Bankability Tool </v>
      </c>
      <c r="B127" s="194" t="str">
        <f>'Activity 5'!B58</f>
        <v>Month</v>
      </c>
      <c r="C127" s="198">
        <f>'Activity 5'!C58</f>
        <v>0</v>
      </c>
      <c r="D127" s="355">
        <f>'Activity 5'!D58</f>
        <v>5000</v>
      </c>
      <c r="E127" s="196">
        <f>'Activity 5'!E58</f>
        <v>2</v>
      </c>
      <c r="F127" s="197">
        <v>1</v>
      </c>
      <c r="G127" s="198">
        <f t="shared" ref="G127:G128" si="142">D127*E127*F127</f>
        <v>10000</v>
      </c>
      <c r="H127" s="355">
        <f>'Activity 5'!H58</f>
        <v>5000</v>
      </c>
      <c r="I127" s="196">
        <f>'Activity 5'!I58</f>
        <v>0</v>
      </c>
      <c r="J127" s="197">
        <v>1</v>
      </c>
      <c r="K127" s="198">
        <f t="shared" ref="K127:K128" si="143">H127*I127*J127</f>
        <v>0</v>
      </c>
      <c r="L127" s="355">
        <f>'Activity 5'!L58</f>
        <v>5000</v>
      </c>
      <c r="M127" s="196">
        <f>'Activity 5'!M58</f>
        <v>0</v>
      </c>
      <c r="N127" s="197">
        <v>1</v>
      </c>
      <c r="O127" s="198">
        <f t="shared" ref="O127:O128" si="144">L127*M127*N127</f>
        <v>0</v>
      </c>
      <c r="P127" s="355">
        <f>'Activity 5'!P58</f>
        <v>5000</v>
      </c>
      <c r="Q127" s="196">
        <f>'Activity 5'!Q58</f>
        <v>0</v>
      </c>
      <c r="R127" s="197">
        <v>0</v>
      </c>
      <c r="S127" s="198">
        <f t="shared" ref="S127:S128" si="145">P127*Q127*R127</f>
        <v>0</v>
      </c>
      <c r="T127" s="333">
        <f t="shared" ref="T127:T128" si="146">C127+G127+K127+O127+S127</f>
        <v>10000</v>
      </c>
    </row>
    <row r="128" spans="1:20" ht="15.6" outlineLevel="1">
      <c r="A128" s="450" t="str">
        <f>'Activity 6'!A63</f>
        <v>Youth Logistics/Travel Coordinator Consultant</v>
      </c>
      <c r="B128" s="194" t="str">
        <f>'Activity 6'!B63</f>
        <v>Month</v>
      </c>
      <c r="C128" s="198">
        <f>'Activity 6'!C63</f>
        <v>526.33000000000004</v>
      </c>
      <c r="D128" s="355">
        <f>'Activity 6'!D63</f>
        <v>3750</v>
      </c>
      <c r="E128" s="196">
        <f>'Activity 6'!E63</f>
        <v>2</v>
      </c>
      <c r="F128" s="197">
        <v>1</v>
      </c>
      <c r="G128" s="198">
        <f t="shared" si="142"/>
        <v>7500</v>
      </c>
      <c r="H128" s="355">
        <f>'Activity 6'!H63</f>
        <v>3750</v>
      </c>
      <c r="I128" s="196">
        <f>'Activity 6'!I63</f>
        <v>0</v>
      </c>
      <c r="J128" s="197">
        <v>0</v>
      </c>
      <c r="K128" s="198">
        <f t="shared" si="143"/>
        <v>0</v>
      </c>
      <c r="L128" s="355">
        <f>'Activity 6'!L63</f>
        <v>3750</v>
      </c>
      <c r="M128" s="196">
        <f>'Activity 6'!M63</f>
        <v>0</v>
      </c>
      <c r="N128" s="197">
        <v>0</v>
      </c>
      <c r="O128" s="198">
        <f t="shared" si="144"/>
        <v>0</v>
      </c>
      <c r="P128" s="355">
        <f>'Activity 6'!P63</f>
        <v>3750</v>
      </c>
      <c r="Q128" s="196">
        <f>'Activity 6'!Q63</f>
        <v>0</v>
      </c>
      <c r="R128" s="197">
        <v>0</v>
      </c>
      <c r="S128" s="198">
        <f t="shared" si="145"/>
        <v>0</v>
      </c>
      <c r="T128" s="333">
        <f t="shared" si="146"/>
        <v>8026.33</v>
      </c>
    </row>
    <row r="129" spans="1:20" ht="15.6" outlineLevel="1">
      <c r="A129" s="450" t="str">
        <f>'Activity 6'!A64</f>
        <v>New Partnerships with Youth Organizations/Networks/Youth Incubators</v>
      </c>
      <c r="B129" s="194" t="str">
        <f>'Activity 6'!B64</f>
        <v>Contract</v>
      </c>
      <c r="C129" s="198">
        <f>'Activity 6'!C64</f>
        <v>38063.69</v>
      </c>
      <c r="D129" s="355">
        <f>'Activity 6'!D64</f>
        <v>52369</v>
      </c>
      <c r="E129" s="196">
        <f>'Activity 6'!E64</f>
        <v>1</v>
      </c>
      <c r="F129" s="197">
        <v>1</v>
      </c>
      <c r="G129" s="198">
        <f t="shared" ref="G129:G131" si="147">D129*E129*F129</f>
        <v>52369</v>
      </c>
      <c r="H129" s="355">
        <f>'Activity 6'!H64</f>
        <v>52369</v>
      </c>
      <c r="I129" s="196">
        <f>'Activity 6'!I64</f>
        <v>0</v>
      </c>
      <c r="J129" s="197">
        <v>0</v>
      </c>
      <c r="K129" s="198">
        <f t="shared" ref="K129:K130" si="148">H129*I129*J129</f>
        <v>0</v>
      </c>
      <c r="L129" s="355">
        <f>'Activity 6'!L64</f>
        <v>52369</v>
      </c>
      <c r="M129" s="196">
        <f>'Activity 6'!M64</f>
        <v>0</v>
      </c>
      <c r="N129" s="197">
        <v>0</v>
      </c>
      <c r="O129" s="198">
        <f t="shared" ref="O129:O131" si="149">L129*M129*N129</f>
        <v>0</v>
      </c>
      <c r="P129" s="355">
        <f>'Activity 6'!P64</f>
        <v>52369</v>
      </c>
      <c r="Q129" s="196">
        <f>'Activity 6'!Q64</f>
        <v>0</v>
      </c>
      <c r="R129" s="197">
        <v>0</v>
      </c>
      <c r="S129" s="198">
        <f t="shared" ref="S129:S131" si="150">P129*Q129*R129</f>
        <v>0</v>
      </c>
      <c r="T129" s="333">
        <f t="shared" ref="T129:T131" si="151">C129+G129+K129+O129+S129</f>
        <v>90432.69</v>
      </c>
    </row>
    <row r="130" spans="1:20" ht="15.6" outlineLevel="1">
      <c r="A130" s="450" t="str">
        <f>'Activity 7'!A61</f>
        <v xml:space="preserve">Contracted Technology Platform for Webinars &amp; Resources </v>
      </c>
      <c r="B130" s="194" t="str">
        <f>'Activity 7'!B61</f>
        <v>Year</v>
      </c>
      <c r="C130" s="198">
        <f>'Activity 7'!C61</f>
        <v>6977.05</v>
      </c>
      <c r="D130" s="355">
        <f>'Activity 7'!D61</f>
        <v>2500</v>
      </c>
      <c r="E130" s="196">
        <f>'Activity 7'!E61</f>
        <v>1</v>
      </c>
      <c r="F130" s="197">
        <v>1</v>
      </c>
      <c r="G130" s="198">
        <f t="shared" si="147"/>
        <v>2500</v>
      </c>
      <c r="H130" s="355">
        <f>'Activity 7'!H61</f>
        <v>2500</v>
      </c>
      <c r="I130" s="196">
        <f>'Activity 7'!I61</f>
        <v>1</v>
      </c>
      <c r="J130" s="197">
        <v>1</v>
      </c>
      <c r="K130" s="198">
        <f t="shared" si="148"/>
        <v>2500</v>
      </c>
      <c r="L130" s="355">
        <f>'Activity 7'!L61</f>
        <v>2500</v>
      </c>
      <c r="M130" s="196">
        <f>'Activity 7'!M61</f>
        <v>1</v>
      </c>
      <c r="N130" s="197">
        <v>1</v>
      </c>
      <c r="O130" s="198">
        <f t="shared" si="149"/>
        <v>2500</v>
      </c>
      <c r="P130" s="355">
        <f>'Activity 7'!P61</f>
        <v>2500</v>
      </c>
      <c r="Q130" s="196">
        <f>'Activity 7'!Q61</f>
        <v>0</v>
      </c>
      <c r="R130" s="197">
        <v>1</v>
      </c>
      <c r="S130" s="198">
        <f t="shared" si="150"/>
        <v>0</v>
      </c>
      <c r="T130" s="333">
        <f t="shared" si="151"/>
        <v>14477.05</v>
      </c>
    </row>
    <row r="131" spans="1:20" ht="15.6" outlineLevel="1">
      <c r="A131" s="450" t="str">
        <f>'Activity 8'!A55</f>
        <v xml:space="preserve">Investment Vehicle Fundraising Consultant </v>
      </c>
      <c r="B131" s="194" t="str">
        <f>'Activity 8'!B55</f>
        <v>Month</v>
      </c>
      <c r="C131" s="198">
        <f>'Activity 8'!C55</f>
        <v>5000</v>
      </c>
      <c r="D131" s="355">
        <f>'Activity 8'!D55</f>
        <v>5000</v>
      </c>
      <c r="E131" s="196">
        <f>'Activity 8'!E55</f>
        <v>3</v>
      </c>
      <c r="F131" s="197">
        <v>1</v>
      </c>
      <c r="G131" s="198">
        <f t="shared" si="147"/>
        <v>15000</v>
      </c>
      <c r="H131" s="355">
        <f>'Activity 8'!H55</f>
        <v>5000</v>
      </c>
      <c r="I131" s="196">
        <f>'Activity 8'!I55</f>
        <v>0</v>
      </c>
      <c r="J131" s="197">
        <v>0</v>
      </c>
      <c r="K131" s="198">
        <f t="shared" ref="K131" si="152">H131*I131*J131</f>
        <v>0</v>
      </c>
      <c r="L131" s="355">
        <f>'Activity 8'!L55</f>
        <v>5000</v>
      </c>
      <c r="M131" s="196">
        <f>'Activity 8'!M55</f>
        <v>0</v>
      </c>
      <c r="N131" s="197">
        <v>0</v>
      </c>
      <c r="O131" s="198">
        <f t="shared" si="149"/>
        <v>0</v>
      </c>
      <c r="P131" s="355">
        <f>'Activity 8'!P55</f>
        <v>5000</v>
      </c>
      <c r="Q131" s="196">
        <f>'Activity 8'!Q55</f>
        <v>0</v>
      </c>
      <c r="R131" s="197">
        <v>0</v>
      </c>
      <c r="S131" s="198">
        <f t="shared" si="150"/>
        <v>0</v>
      </c>
      <c r="T131" s="333">
        <f t="shared" si="151"/>
        <v>20000</v>
      </c>
    </row>
    <row r="132" spans="1:20" ht="15.6" outlineLevel="1">
      <c r="A132" s="450" t="str">
        <f>'Activity 8'!A56</f>
        <v>Legal Advisor</v>
      </c>
      <c r="B132" s="194" t="str">
        <f>'Activity 8'!B56</f>
        <v>Month</v>
      </c>
      <c r="C132" s="198">
        <f>'Activity 8'!C56</f>
        <v>109708.24</v>
      </c>
      <c r="D132" s="355">
        <f>'Activity 8'!D56</f>
        <v>6000</v>
      </c>
      <c r="E132" s="196">
        <f>'Activity 8'!E56</f>
        <v>6</v>
      </c>
      <c r="F132" s="197">
        <v>1</v>
      </c>
      <c r="G132" s="198">
        <f t="shared" ref="G132:G134" si="153">D132*E132*F132</f>
        <v>36000</v>
      </c>
      <c r="H132" s="355">
        <f>'Activity 8'!H56</f>
        <v>6000</v>
      </c>
      <c r="I132" s="196">
        <f>'Activity 8'!I56</f>
        <v>0</v>
      </c>
      <c r="J132" s="197">
        <v>0</v>
      </c>
      <c r="K132" s="198">
        <f t="shared" ref="K132" si="154">H132*I132*J132</f>
        <v>0</v>
      </c>
      <c r="L132" s="355">
        <f>'Activity 8'!L56</f>
        <v>6000</v>
      </c>
      <c r="M132" s="196">
        <f>'Activity 8'!M56</f>
        <v>0</v>
      </c>
      <c r="N132" s="197">
        <v>0</v>
      </c>
      <c r="O132" s="198">
        <f t="shared" ref="O132" si="155">L132*M132*N132</f>
        <v>0</v>
      </c>
      <c r="P132" s="355">
        <f>'Activity 8'!P56</f>
        <v>6000</v>
      </c>
      <c r="Q132" s="196">
        <f>'Activity 8'!Q56</f>
        <v>0</v>
      </c>
      <c r="R132" s="197">
        <v>0</v>
      </c>
      <c r="S132" s="198">
        <f t="shared" ref="S132" si="156">P132*Q132*R132</f>
        <v>0</v>
      </c>
      <c r="T132" s="333">
        <f>C132+G132+K132+O132+S132</f>
        <v>145708.24</v>
      </c>
    </row>
    <row r="133" spans="1:20" ht="15.6" outlineLevel="1">
      <c r="A133" s="441" t="str">
        <f>Admin!A86</f>
        <v>Evaluations</v>
      </c>
      <c r="B133" s="194"/>
      <c r="C133" s="198"/>
      <c r="D133" s="355"/>
      <c r="E133" s="196"/>
      <c r="F133" s="197"/>
      <c r="G133" s="198"/>
      <c r="H133" s="355"/>
      <c r="I133" s="196"/>
      <c r="J133" s="197"/>
      <c r="K133" s="198"/>
      <c r="L133" s="355"/>
      <c r="M133" s="196"/>
      <c r="N133" s="197"/>
      <c r="O133" s="198"/>
      <c r="P133" s="355"/>
      <c r="Q133" s="196"/>
      <c r="R133" s="197"/>
      <c r="S133" s="198"/>
      <c r="T133" s="333"/>
    </row>
    <row r="134" spans="1:20" ht="15.6" outlineLevel="1">
      <c r="A134" s="450" t="str">
        <f>Admin!A87</f>
        <v>Baseline Evaluation</v>
      </c>
      <c r="B134" s="194" t="str">
        <f>Admin!B87</f>
        <v>Unit</v>
      </c>
      <c r="C134" s="198">
        <f>Admin!C87</f>
        <v>151977.65</v>
      </c>
      <c r="D134" s="355">
        <f>Admin!D87</f>
        <v>151977.65</v>
      </c>
      <c r="E134" s="196">
        <f>Admin!E87</f>
        <v>0</v>
      </c>
      <c r="F134" s="197">
        <v>0</v>
      </c>
      <c r="G134" s="198">
        <f t="shared" si="153"/>
        <v>0</v>
      </c>
      <c r="H134" s="355">
        <f>Admin!H87</f>
        <v>151977.65</v>
      </c>
      <c r="I134" s="196">
        <f>Admin!I87</f>
        <v>0</v>
      </c>
      <c r="J134" s="197">
        <v>0</v>
      </c>
      <c r="K134" s="198">
        <f t="shared" ref="K134:K139" si="157">H134*I134*J134</f>
        <v>0</v>
      </c>
      <c r="L134" s="355">
        <f>Admin!L87</f>
        <v>151977.65</v>
      </c>
      <c r="M134" s="196">
        <f>Admin!M87</f>
        <v>0</v>
      </c>
      <c r="N134" s="197">
        <v>0</v>
      </c>
      <c r="O134" s="198">
        <f t="shared" ref="O134:O139" si="158">L134*M134*N134</f>
        <v>0</v>
      </c>
      <c r="P134" s="355">
        <f>Admin!P87</f>
        <v>151977.65</v>
      </c>
      <c r="Q134" s="196">
        <f>Admin!Q87</f>
        <v>0</v>
      </c>
      <c r="R134" s="197">
        <v>0</v>
      </c>
      <c r="S134" s="198">
        <f t="shared" ref="S134:S139" si="159">P134*Q134*R134</f>
        <v>0</v>
      </c>
      <c r="T134" s="333">
        <f t="shared" ref="T134:T139" si="160">C134+G134+K134+O134+S134</f>
        <v>151977.65</v>
      </c>
    </row>
    <row r="135" spans="1:20" ht="15.6" outlineLevel="1">
      <c r="A135" s="450" t="str">
        <f>Admin!A88</f>
        <v>Midterm Evaluation</v>
      </c>
      <c r="B135" s="194" t="str">
        <f>Admin!B88</f>
        <v>Unit</v>
      </c>
      <c r="C135" s="198">
        <f>Admin!C88</f>
        <v>18463</v>
      </c>
      <c r="D135" s="355">
        <f>Admin!D88</f>
        <v>166537</v>
      </c>
      <c r="E135" s="196">
        <f>Admin!E88</f>
        <v>1</v>
      </c>
      <c r="F135" s="197">
        <v>1</v>
      </c>
      <c r="G135" s="198">
        <f t="shared" ref="G135:G137" si="161">D135*E135*F135</f>
        <v>166537</v>
      </c>
      <c r="H135" s="355">
        <f>Admin!H88</f>
        <v>166537</v>
      </c>
      <c r="I135" s="196">
        <f>Admin!I88</f>
        <v>0</v>
      </c>
      <c r="J135" s="197">
        <v>0</v>
      </c>
      <c r="K135" s="198">
        <f t="shared" ref="K135:K137" si="162">H135*I135*J135</f>
        <v>0</v>
      </c>
      <c r="L135" s="355">
        <f>Admin!L88</f>
        <v>166537</v>
      </c>
      <c r="M135" s="196">
        <f>Admin!M88</f>
        <v>0</v>
      </c>
      <c r="N135" s="197">
        <v>0</v>
      </c>
      <c r="O135" s="198">
        <f t="shared" ref="O135:O137" si="163">L135*M135*N135</f>
        <v>0</v>
      </c>
      <c r="P135" s="355">
        <f>Admin!P88</f>
        <v>166537</v>
      </c>
      <c r="Q135" s="196">
        <f>Admin!Q88</f>
        <v>0</v>
      </c>
      <c r="R135" s="197">
        <v>0</v>
      </c>
      <c r="S135" s="198">
        <f t="shared" ref="S135:S137" si="164">P135*Q135*R135</f>
        <v>0</v>
      </c>
      <c r="T135" s="333">
        <f t="shared" ref="T135:T137" si="165">C135+G135+K135+O135+S135</f>
        <v>185000</v>
      </c>
    </row>
    <row r="136" spans="1:20" ht="15.6" outlineLevel="1">
      <c r="A136" s="450" t="str">
        <f>Admin!A89</f>
        <v>Final Evaluation</v>
      </c>
      <c r="B136" s="194" t="str">
        <f>Admin!B89</f>
        <v>Unit</v>
      </c>
      <c r="C136" s="198">
        <f>Admin!C89</f>
        <v>0</v>
      </c>
      <c r="D136" s="355">
        <f>Admin!D89</f>
        <v>225000</v>
      </c>
      <c r="E136" s="196">
        <f>Admin!E89</f>
        <v>0</v>
      </c>
      <c r="F136" s="197">
        <v>0</v>
      </c>
      <c r="G136" s="198">
        <f t="shared" si="161"/>
        <v>0</v>
      </c>
      <c r="H136" s="355">
        <f>Admin!H89</f>
        <v>225000</v>
      </c>
      <c r="I136" s="196">
        <f>Admin!I89</f>
        <v>0</v>
      </c>
      <c r="J136" s="197">
        <v>0</v>
      </c>
      <c r="K136" s="198">
        <f t="shared" si="162"/>
        <v>0</v>
      </c>
      <c r="L136" s="355">
        <f>Admin!L89</f>
        <v>225000</v>
      </c>
      <c r="M136" s="196">
        <f>Admin!M89</f>
        <v>0</v>
      </c>
      <c r="N136" s="197">
        <v>0</v>
      </c>
      <c r="O136" s="198">
        <f t="shared" si="163"/>
        <v>0</v>
      </c>
      <c r="P136" s="355">
        <f>Admin!P89</f>
        <v>225000</v>
      </c>
      <c r="Q136" s="196">
        <f>Admin!Q89</f>
        <v>1</v>
      </c>
      <c r="R136" s="197">
        <v>1</v>
      </c>
      <c r="S136" s="198">
        <f t="shared" si="164"/>
        <v>225000</v>
      </c>
      <c r="T136" s="333">
        <f t="shared" si="165"/>
        <v>225000</v>
      </c>
    </row>
    <row r="137" spans="1:20" ht="15.6" outlineLevel="1">
      <c r="A137" s="450" t="str">
        <f>Admin!A90</f>
        <v xml:space="preserve">Value Chain Analysis, Carbon Assessment, and Living Incomes </v>
      </c>
      <c r="B137" s="194" t="str">
        <f>Admin!B90</f>
        <v>Subrecipient</v>
      </c>
      <c r="C137" s="198">
        <f>Admin!C90</f>
        <v>542898.59</v>
      </c>
      <c r="D137" s="355">
        <f>Admin!D90</f>
        <v>31587</v>
      </c>
      <c r="E137" s="196">
        <f>Admin!E90</f>
        <v>1</v>
      </c>
      <c r="F137" s="197">
        <v>1</v>
      </c>
      <c r="G137" s="198">
        <f t="shared" si="161"/>
        <v>31587</v>
      </c>
      <c r="H137" s="355">
        <f>Admin!H90</f>
        <v>0</v>
      </c>
      <c r="I137" s="196">
        <f>Admin!I90</f>
        <v>0</v>
      </c>
      <c r="J137" s="197">
        <v>0</v>
      </c>
      <c r="K137" s="198">
        <f t="shared" si="162"/>
        <v>0</v>
      </c>
      <c r="L137" s="355">
        <f>Admin!L90</f>
        <v>43803.95</v>
      </c>
      <c r="M137" s="196">
        <f>Admin!M90</f>
        <v>1</v>
      </c>
      <c r="N137" s="197">
        <v>1</v>
      </c>
      <c r="O137" s="198">
        <f t="shared" si="163"/>
        <v>43803.95</v>
      </c>
      <c r="P137" s="355">
        <f>Admin!P90</f>
        <v>0</v>
      </c>
      <c r="Q137" s="196">
        <f>Admin!Q90</f>
        <v>0</v>
      </c>
      <c r="R137" s="197">
        <v>0</v>
      </c>
      <c r="S137" s="198">
        <f t="shared" si="164"/>
        <v>0</v>
      </c>
      <c r="T137" s="333">
        <f t="shared" si="165"/>
        <v>618289.53999999992</v>
      </c>
    </row>
    <row r="138" spans="1:20" ht="15.6" outlineLevel="1">
      <c r="A138" s="441" t="str">
        <f>Admin!A91</f>
        <v>Monitoring Guidelines Development</v>
      </c>
      <c r="B138" s="194"/>
      <c r="C138" s="198"/>
      <c r="D138" s="355"/>
      <c r="E138" s="196"/>
      <c r="F138" s="197"/>
      <c r="G138" s="198"/>
      <c r="H138" s="355"/>
      <c r="I138" s="196"/>
      <c r="J138" s="197"/>
      <c r="K138" s="198"/>
      <c r="L138" s="355"/>
      <c r="M138" s="196"/>
      <c r="N138" s="197"/>
      <c r="O138" s="198"/>
      <c r="P138" s="355"/>
      <c r="Q138" s="196"/>
      <c r="R138" s="197"/>
      <c r="S138" s="198"/>
      <c r="T138" s="333"/>
    </row>
    <row r="139" spans="1:20" ht="15.6" outlineLevel="1">
      <c r="A139" s="450" t="str">
        <f>Admin!A92</f>
        <v>Monitoring Guidelines Creation, Translation &amp; Printing</v>
      </c>
      <c r="B139" s="194" t="str">
        <f>Admin!B92</f>
        <v>Document</v>
      </c>
      <c r="C139" s="198">
        <f>Admin!C92</f>
        <v>0</v>
      </c>
      <c r="D139" s="355">
        <f>Admin!D92</f>
        <v>6000</v>
      </c>
      <c r="E139" s="196">
        <f>'Program Budget'!I97</f>
        <v>1</v>
      </c>
      <c r="F139" s="197">
        <v>1</v>
      </c>
      <c r="G139" s="198">
        <f t="shared" ref="G139" si="166">D139*E139*F139</f>
        <v>6000</v>
      </c>
      <c r="H139" s="355">
        <f t="shared" ref="H139" si="167">D139</f>
        <v>6000</v>
      </c>
      <c r="I139" s="196">
        <f>Admin!I92</f>
        <v>0</v>
      </c>
      <c r="J139" s="197">
        <v>0</v>
      </c>
      <c r="K139" s="198">
        <f t="shared" si="157"/>
        <v>0</v>
      </c>
      <c r="L139" s="355">
        <f t="shared" ref="L139" si="168">H139</f>
        <v>6000</v>
      </c>
      <c r="M139" s="196">
        <f>Admin!M92</f>
        <v>0</v>
      </c>
      <c r="N139" s="197">
        <v>0</v>
      </c>
      <c r="O139" s="198">
        <f t="shared" si="158"/>
        <v>0</v>
      </c>
      <c r="P139" s="355">
        <f t="shared" ref="P139" si="169">L139</f>
        <v>6000</v>
      </c>
      <c r="Q139" s="196">
        <f>Admin!Q92</f>
        <v>0</v>
      </c>
      <c r="R139" s="197">
        <v>0</v>
      </c>
      <c r="S139" s="198">
        <f t="shared" si="159"/>
        <v>0</v>
      </c>
      <c r="T139" s="333">
        <f t="shared" si="160"/>
        <v>6000</v>
      </c>
    </row>
    <row r="140" spans="1:20" ht="15.6" outlineLevel="1">
      <c r="A140" s="450" t="str">
        <f>Admin!A93</f>
        <v xml:space="preserve">Monitoring Guidelines Staff Training Workshop </v>
      </c>
      <c r="B140" s="194" t="str">
        <f>Admin!B93</f>
        <v xml:space="preserve">Workshop </v>
      </c>
      <c r="C140" s="198">
        <f>Admin!C93</f>
        <v>63.84</v>
      </c>
      <c r="D140" s="355">
        <f>Admin!D93</f>
        <v>6800</v>
      </c>
      <c r="E140" s="196">
        <f>'Program Budget'!I98</f>
        <v>1</v>
      </c>
      <c r="F140" s="197">
        <v>1</v>
      </c>
      <c r="G140" s="198">
        <f t="shared" ref="G140" si="170">D140*E140*F140</f>
        <v>6800</v>
      </c>
      <c r="H140" s="355">
        <f t="shared" ref="H140" si="171">D140</f>
        <v>6800</v>
      </c>
      <c r="I140" s="196">
        <f>Admin!I93</f>
        <v>1</v>
      </c>
      <c r="J140" s="197">
        <v>1</v>
      </c>
      <c r="K140" s="198">
        <f t="shared" ref="K140" si="172">H140*I140*J140</f>
        <v>6800</v>
      </c>
      <c r="L140" s="355">
        <f t="shared" ref="L140" si="173">H140</f>
        <v>6800</v>
      </c>
      <c r="M140" s="196">
        <f>Admin!M93</f>
        <v>1</v>
      </c>
      <c r="N140" s="197">
        <v>1</v>
      </c>
      <c r="O140" s="198">
        <f t="shared" ref="O140" si="174">L140*M140*N140</f>
        <v>6800</v>
      </c>
      <c r="P140" s="355">
        <f t="shared" ref="P140" si="175">L140</f>
        <v>6800</v>
      </c>
      <c r="Q140" s="196">
        <f>Admin!Q93</f>
        <v>0</v>
      </c>
      <c r="R140" s="197">
        <v>0</v>
      </c>
      <c r="S140" s="198">
        <f t="shared" ref="S140" si="176">P140*Q140*R140</f>
        <v>0</v>
      </c>
      <c r="T140" s="333">
        <f t="shared" ref="T140" si="177">C140+G140+K140+O140+S140</f>
        <v>20463.84</v>
      </c>
    </row>
    <row r="141" spans="1:20" ht="15.6" outlineLevel="1">
      <c r="A141" s="441" t="str">
        <f>Admin!A94</f>
        <v>M&amp;E Database</v>
      </c>
      <c r="B141" s="194"/>
      <c r="C141" s="198"/>
      <c r="D141" s="355"/>
      <c r="E141" s="196"/>
      <c r="F141" s="197"/>
      <c r="G141" s="198"/>
      <c r="H141" s="355"/>
      <c r="I141" s="196"/>
      <c r="J141" s="197"/>
      <c r="K141" s="198"/>
      <c r="L141" s="355"/>
      <c r="M141" s="196"/>
      <c r="N141" s="197"/>
      <c r="O141" s="198"/>
      <c r="P141" s="355"/>
      <c r="Q141" s="196"/>
      <c r="R141" s="197"/>
      <c r="S141" s="198"/>
      <c r="T141" s="333"/>
    </row>
    <row r="142" spans="1:20" ht="15.6" outlineLevel="1">
      <c r="A142" s="450" t="str">
        <f>Admin!A95</f>
        <v>M&amp;E Software Setup</v>
      </c>
      <c r="B142" s="194" t="str">
        <f>Admin!B95</f>
        <v>Year</v>
      </c>
      <c r="C142" s="198">
        <f>Admin!C95</f>
        <v>33269.83</v>
      </c>
      <c r="D142" s="355">
        <f>Admin!D95</f>
        <v>33269.83</v>
      </c>
      <c r="E142" s="196">
        <f>Admin!E95</f>
        <v>0</v>
      </c>
      <c r="F142" s="197">
        <v>0</v>
      </c>
      <c r="G142" s="198">
        <f>D142*E142*F142</f>
        <v>0</v>
      </c>
      <c r="H142" s="355">
        <f>Admin!H95</f>
        <v>33269.83</v>
      </c>
      <c r="I142" s="196">
        <f>Admin!I95</f>
        <v>0</v>
      </c>
      <c r="J142" s="197">
        <v>0</v>
      </c>
      <c r="K142" s="198">
        <f>H142*I142*J142</f>
        <v>0</v>
      </c>
      <c r="L142" s="355">
        <f>Admin!L95</f>
        <v>33269.83</v>
      </c>
      <c r="M142" s="196">
        <f>Admin!M95</f>
        <v>0</v>
      </c>
      <c r="N142" s="197">
        <v>0</v>
      </c>
      <c r="O142" s="198">
        <f>L142*M142*N142</f>
        <v>0</v>
      </c>
      <c r="P142" s="355">
        <f>Admin!P95</f>
        <v>33269.83</v>
      </c>
      <c r="Q142" s="196">
        <f>Admin!Q95</f>
        <v>0</v>
      </c>
      <c r="R142" s="197">
        <v>0</v>
      </c>
      <c r="S142" s="198">
        <f>P142*Q142*R142</f>
        <v>0</v>
      </c>
      <c r="T142" s="333">
        <f>C142+G142+K142+O142+S142</f>
        <v>33269.83</v>
      </c>
    </row>
    <row r="143" spans="1:20" ht="15.6" outlineLevel="1">
      <c r="A143" s="450" t="str">
        <f>Admin!A96</f>
        <v>M&amp;E Software Fee (Annual)</v>
      </c>
      <c r="B143" s="194" t="str">
        <f>Admin!B96</f>
        <v>Year</v>
      </c>
      <c r="C143" s="198">
        <f>Admin!C96</f>
        <v>44624.18</v>
      </c>
      <c r="D143" s="355">
        <f>Admin!D96</f>
        <v>10000</v>
      </c>
      <c r="E143" s="196">
        <f>Admin!E96</f>
        <v>1</v>
      </c>
      <c r="F143" s="197">
        <v>1</v>
      </c>
      <c r="G143" s="198">
        <f>D143*E143*F143</f>
        <v>10000</v>
      </c>
      <c r="H143" s="355">
        <f>Admin!H96</f>
        <v>10000</v>
      </c>
      <c r="I143" s="196">
        <f>Admin!I96</f>
        <v>1</v>
      </c>
      <c r="J143" s="197">
        <v>1</v>
      </c>
      <c r="K143" s="198">
        <f>H143*I143*J143</f>
        <v>10000</v>
      </c>
      <c r="L143" s="355">
        <f>Admin!L96</f>
        <v>10000</v>
      </c>
      <c r="M143" s="196">
        <f>Admin!M96</f>
        <v>1</v>
      </c>
      <c r="N143" s="197">
        <v>1</v>
      </c>
      <c r="O143" s="198">
        <f>L143*M143*N143</f>
        <v>10000</v>
      </c>
      <c r="P143" s="355">
        <f>Admin!P96</f>
        <v>10000</v>
      </c>
      <c r="Q143" s="196">
        <f>Admin!Q96</f>
        <v>1</v>
      </c>
      <c r="R143" s="197">
        <v>1</v>
      </c>
      <c r="S143" s="198">
        <f>P143*Q143*R143</f>
        <v>10000</v>
      </c>
      <c r="T143" s="333">
        <f>C143+G143+K143+O143+S143</f>
        <v>84624.18</v>
      </c>
    </row>
    <row r="144" spans="1:20" ht="15.6" outlineLevel="1">
      <c r="A144" s="450" t="str">
        <f>Admin!A97</f>
        <v>M&amp;E Software Training</v>
      </c>
      <c r="B144" s="194" t="str">
        <f>Admin!B97</f>
        <v>Year</v>
      </c>
      <c r="C144" s="198">
        <f>Admin!C97</f>
        <v>0</v>
      </c>
      <c r="D144" s="355">
        <f>Admin!D97</f>
        <v>0</v>
      </c>
      <c r="E144" s="196">
        <f>Admin!E97</f>
        <v>1</v>
      </c>
      <c r="F144" s="197">
        <v>1</v>
      </c>
      <c r="G144" s="198">
        <f>D144*E144*F144</f>
        <v>0</v>
      </c>
      <c r="H144" s="355">
        <f>Admin!H97</f>
        <v>0</v>
      </c>
      <c r="I144" s="196">
        <f>Admin!I97</f>
        <v>0</v>
      </c>
      <c r="J144" s="197">
        <v>0</v>
      </c>
      <c r="K144" s="198">
        <f>H144*I144*J144</f>
        <v>0</v>
      </c>
      <c r="L144" s="355">
        <f>Admin!L97</f>
        <v>0</v>
      </c>
      <c r="M144" s="196">
        <f>Admin!M97</f>
        <v>0</v>
      </c>
      <c r="N144" s="197">
        <v>0</v>
      </c>
      <c r="O144" s="198">
        <f>L144*M144*N144</f>
        <v>0</v>
      </c>
      <c r="P144" s="355">
        <f>Admin!P97</f>
        <v>0</v>
      </c>
      <c r="Q144" s="196">
        <f>Admin!Q97</f>
        <v>0</v>
      </c>
      <c r="R144" s="197">
        <v>0</v>
      </c>
      <c r="S144" s="198">
        <f>P144*Q144*R144</f>
        <v>0</v>
      </c>
      <c r="T144" s="333">
        <f>C144+G144+K144+O144+S144</f>
        <v>0</v>
      </c>
    </row>
    <row r="145" spans="1:20" ht="15.6" outlineLevel="1">
      <c r="A145" s="450"/>
      <c r="B145" s="216"/>
      <c r="C145" s="198"/>
      <c r="D145" s="360"/>
      <c r="E145" s="271"/>
      <c r="F145" s="160"/>
      <c r="G145" s="198"/>
      <c r="H145" s="360"/>
      <c r="I145" s="271"/>
      <c r="K145" s="198"/>
      <c r="L145" s="360"/>
      <c r="M145" s="271"/>
      <c r="N145" s="160"/>
      <c r="O145" s="198"/>
      <c r="P145" s="360"/>
      <c r="Q145" s="271"/>
      <c r="R145" s="160"/>
      <c r="S145" s="198"/>
      <c r="T145" s="272"/>
    </row>
    <row r="146" spans="1:20" ht="18.3" outlineLevel="1">
      <c r="A146" s="449" t="s">
        <v>527</v>
      </c>
      <c r="B146" s="227"/>
      <c r="C146" s="231">
        <f>SUM(C100:C145)</f>
        <v>2451755.659</v>
      </c>
      <c r="D146" s="358"/>
      <c r="E146" s="262"/>
      <c r="F146" s="232"/>
      <c r="G146" s="231">
        <f>SUM(G100:G145)</f>
        <v>1741248.9999625392</v>
      </c>
      <c r="H146" s="358"/>
      <c r="I146" s="262"/>
      <c r="J146" s="263"/>
      <c r="K146" s="231">
        <f>SUM(K100:K145)</f>
        <v>543401.62132515991</v>
      </c>
      <c r="L146" s="358"/>
      <c r="M146" s="262"/>
      <c r="N146" s="232"/>
      <c r="O146" s="231">
        <f>SUM(O100:O145)</f>
        <v>209028.95</v>
      </c>
      <c r="P146" s="358"/>
      <c r="Q146" s="262"/>
      <c r="R146" s="232"/>
      <c r="S146" s="231">
        <f>SUM(S100:S145)</f>
        <v>265175</v>
      </c>
      <c r="T146" s="231">
        <f>SUM(T100:T145)</f>
        <v>5210610.2302876981</v>
      </c>
    </row>
    <row r="147" spans="1:20" ht="15.6" outlineLevel="1">
      <c r="A147" s="441" t="s">
        <v>528</v>
      </c>
      <c r="B147" s="273"/>
      <c r="C147" s="198"/>
      <c r="E147" s="265"/>
      <c r="G147" s="200"/>
      <c r="I147" s="265"/>
      <c r="K147" s="200"/>
      <c r="M147" s="265"/>
      <c r="O147" s="200"/>
      <c r="Q147" s="265"/>
      <c r="S147" s="200"/>
      <c r="T147" s="200"/>
    </row>
    <row r="148" spans="1:20" ht="15.6" outlineLevel="1">
      <c r="A148" s="450" t="str">
        <f>Admin!A101</f>
        <v>Vehicles for Field Office</v>
      </c>
      <c r="B148" s="194" t="str">
        <f>Admin!B101</f>
        <v>Unit</v>
      </c>
      <c r="C148" s="198">
        <f>Admin!C101</f>
        <v>72554.429999999993</v>
      </c>
      <c r="D148" s="355">
        <f>Admin!D101</f>
        <v>72554.429999999993</v>
      </c>
      <c r="E148" s="196">
        <f>Admin!E101</f>
        <v>0</v>
      </c>
      <c r="F148" s="197">
        <v>0</v>
      </c>
      <c r="G148" s="198">
        <f t="shared" ref="G148" si="178">D148*E148*F148</f>
        <v>0</v>
      </c>
      <c r="H148" s="355">
        <f>D148</f>
        <v>72554.429999999993</v>
      </c>
      <c r="I148" s="196">
        <f>Admin!I101</f>
        <v>0</v>
      </c>
      <c r="J148" s="197">
        <v>0</v>
      </c>
      <c r="K148" s="198">
        <f t="shared" ref="K148" si="179">H148*I148*J148</f>
        <v>0</v>
      </c>
      <c r="L148" s="355">
        <f t="shared" ref="L148" si="180">H148</f>
        <v>72554.429999999993</v>
      </c>
      <c r="M148" s="196">
        <f>Admin!M101</f>
        <v>0</v>
      </c>
      <c r="N148" s="197">
        <v>0</v>
      </c>
      <c r="O148" s="198">
        <f t="shared" ref="O148" si="181">L148*M148*N148</f>
        <v>0</v>
      </c>
      <c r="P148" s="355">
        <f t="shared" ref="P148" si="182">L148</f>
        <v>72554.429999999993</v>
      </c>
      <c r="Q148" s="196">
        <f>Admin!Q101</f>
        <v>0</v>
      </c>
      <c r="R148" s="197">
        <v>0</v>
      </c>
      <c r="S148" s="198">
        <f t="shared" ref="S148" si="183">P148*Q148*R148</f>
        <v>0</v>
      </c>
      <c r="T148" s="333">
        <f t="shared" ref="T148" si="184">C148+G148+K148+O148+S148</f>
        <v>72554.429999999993</v>
      </c>
    </row>
    <row r="149" spans="1:20" ht="15.6" outlineLevel="1">
      <c r="A149" s="448"/>
      <c r="B149" s="216"/>
      <c r="C149" s="198"/>
      <c r="E149" s="265"/>
      <c r="F149" s="160"/>
      <c r="G149" s="198"/>
      <c r="I149" s="265"/>
      <c r="K149" s="198"/>
      <c r="M149" s="265"/>
      <c r="N149" s="160"/>
      <c r="O149" s="198"/>
      <c r="Q149" s="265"/>
      <c r="R149" s="160"/>
      <c r="S149" s="198"/>
      <c r="T149" s="275"/>
    </row>
    <row r="150" spans="1:20" ht="18.3" outlineLevel="1">
      <c r="A150" s="449" t="s">
        <v>529</v>
      </c>
      <c r="B150" s="227"/>
      <c r="C150" s="231">
        <f>SUM(C148:C149)</f>
        <v>72554.429999999993</v>
      </c>
      <c r="D150" s="358"/>
      <c r="E150" s="262"/>
      <c r="F150" s="232"/>
      <c r="G150" s="231">
        <f>SUM(G148:G149)</f>
        <v>0</v>
      </c>
      <c r="H150" s="358"/>
      <c r="I150" s="262"/>
      <c r="J150" s="263"/>
      <c r="K150" s="231">
        <f>SUM(K148:K149)</f>
        <v>0</v>
      </c>
      <c r="L150" s="358"/>
      <c r="M150" s="262"/>
      <c r="N150" s="232"/>
      <c r="O150" s="231">
        <f>SUM(O148:O149)</f>
        <v>0</v>
      </c>
      <c r="P150" s="358"/>
      <c r="Q150" s="262"/>
      <c r="R150" s="232"/>
      <c r="S150" s="231">
        <f>SUM(S148:S149)</f>
        <v>0</v>
      </c>
      <c r="T150" s="233">
        <f>+C150+G150+K150+O150+S150</f>
        <v>72554.429999999993</v>
      </c>
    </row>
    <row r="151" spans="1:20" ht="15.6" outlineLevel="1">
      <c r="A151" s="441" t="s">
        <v>33</v>
      </c>
      <c r="B151" s="216"/>
      <c r="C151" s="198"/>
      <c r="E151" s="265"/>
      <c r="F151" s="160"/>
      <c r="G151" s="198"/>
      <c r="I151" s="265"/>
      <c r="K151" s="198"/>
      <c r="M151" s="265"/>
      <c r="N151" s="160"/>
      <c r="O151" s="198"/>
      <c r="Q151" s="265"/>
      <c r="R151" s="160"/>
      <c r="S151" s="198"/>
      <c r="T151" s="200"/>
    </row>
    <row r="152" spans="1:20" ht="15" customHeight="1" outlineLevel="1">
      <c r="A152" s="193" t="str">
        <f>Admin!A105</f>
        <v>Courier fees/services/Postage</v>
      </c>
      <c r="B152" s="194" t="str">
        <f>Admin!B105</f>
        <v>Month</v>
      </c>
      <c r="C152" s="198">
        <f>Admin!C105</f>
        <v>1093.45</v>
      </c>
      <c r="D152" s="355">
        <f>Admin!D105</f>
        <v>30</v>
      </c>
      <c r="E152" s="196">
        <f>Admin!E105</f>
        <v>12</v>
      </c>
      <c r="F152" s="197">
        <v>1</v>
      </c>
      <c r="G152" s="198">
        <f t="shared" ref="G152:G158" si="185">D152*E152*F152</f>
        <v>360</v>
      </c>
      <c r="H152" s="355">
        <f t="shared" ref="H152" si="186">D152*1.04</f>
        <v>31.200000000000003</v>
      </c>
      <c r="I152" s="196">
        <f>Admin!I105</f>
        <v>12</v>
      </c>
      <c r="J152" s="197">
        <v>1</v>
      </c>
      <c r="K152" s="198">
        <f t="shared" ref="K152:K158" si="187">H152*I152*J152</f>
        <v>374.40000000000003</v>
      </c>
      <c r="L152" s="355">
        <f t="shared" ref="L152" si="188">H152*1.04</f>
        <v>32.448000000000008</v>
      </c>
      <c r="M152" s="196">
        <f>Admin!M105</f>
        <v>12</v>
      </c>
      <c r="N152" s="197">
        <v>1</v>
      </c>
      <c r="O152" s="198">
        <f t="shared" ref="O152:O158" si="189">L152*M152*N152</f>
        <v>389.37600000000009</v>
      </c>
      <c r="P152" s="355">
        <f t="shared" ref="P152" si="190">L152*1.04</f>
        <v>33.745920000000012</v>
      </c>
      <c r="Q152" s="196">
        <f>Admin!Q105</f>
        <v>6</v>
      </c>
      <c r="R152" s="197">
        <v>1</v>
      </c>
      <c r="S152" s="198">
        <f t="shared" ref="S152:S158" si="191">P152*Q152*R152</f>
        <v>202.47552000000007</v>
      </c>
      <c r="T152" s="350">
        <f t="shared" ref="T152:T158" si="192">C152+G152+K152+O152+S152</f>
        <v>2419.7015200000001</v>
      </c>
    </row>
    <row r="153" spans="1:20" ht="15" customHeight="1" outlineLevel="1">
      <c r="A153" s="193" t="str">
        <f>Admin!A106</f>
        <v xml:space="preserve">Email/Internet </v>
      </c>
      <c r="B153" s="194" t="str">
        <f>Admin!B106</f>
        <v>Month</v>
      </c>
      <c r="C153" s="198">
        <f>Admin!C106</f>
        <v>17482.46</v>
      </c>
      <c r="D153" s="355">
        <f>Admin!D106</f>
        <v>375</v>
      </c>
      <c r="E153" s="196">
        <f>Admin!E106</f>
        <v>12</v>
      </c>
      <c r="F153" s="197">
        <v>1</v>
      </c>
      <c r="G153" s="198">
        <f t="shared" si="185"/>
        <v>4500</v>
      </c>
      <c r="H153" s="355">
        <f t="shared" ref="H153:H158" si="193">D153*1.04</f>
        <v>390</v>
      </c>
      <c r="I153" s="196">
        <f>Admin!I106</f>
        <v>12</v>
      </c>
      <c r="J153" s="197">
        <v>1</v>
      </c>
      <c r="K153" s="198">
        <f t="shared" si="187"/>
        <v>4680</v>
      </c>
      <c r="L153" s="355">
        <f t="shared" ref="L153:L158" si="194">H153*1.04</f>
        <v>405.6</v>
      </c>
      <c r="M153" s="196">
        <f>Admin!M106</f>
        <v>12</v>
      </c>
      <c r="N153" s="197">
        <v>1</v>
      </c>
      <c r="O153" s="198">
        <f t="shared" si="189"/>
        <v>4867.2000000000007</v>
      </c>
      <c r="P153" s="355">
        <f t="shared" ref="P153:P158" si="195">L153*1.04</f>
        <v>421.82400000000001</v>
      </c>
      <c r="Q153" s="196">
        <f>Admin!Q106</f>
        <v>6</v>
      </c>
      <c r="R153" s="197">
        <v>1</v>
      </c>
      <c r="S153" s="198">
        <f t="shared" si="191"/>
        <v>2530.944</v>
      </c>
      <c r="T153" s="333">
        <f t="shared" si="192"/>
        <v>34060.603999999999</v>
      </c>
    </row>
    <row r="154" spans="1:20" ht="15" customHeight="1" outlineLevel="1">
      <c r="A154" s="193" t="str">
        <f>Admin!A107</f>
        <v xml:space="preserve">Recruitment/Procurement Advertising </v>
      </c>
      <c r="B154" s="194" t="str">
        <f>Admin!B107</f>
        <v>Year</v>
      </c>
      <c r="C154" s="198">
        <f>Admin!C107</f>
        <v>15559.669999999998</v>
      </c>
      <c r="D154" s="355">
        <f>Admin!D107</f>
        <v>3500</v>
      </c>
      <c r="E154" s="196">
        <f>Admin!E107</f>
        <v>1</v>
      </c>
      <c r="F154" s="197">
        <v>1</v>
      </c>
      <c r="G154" s="198">
        <f t="shared" si="185"/>
        <v>3500</v>
      </c>
      <c r="H154" s="355">
        <f t="shared" si="193"/>
        <v>3640</v>
      </c>
      <c r="I154" s="196">
        <f>Admin!I107</f>
        <v>1</v>
      </c>
      <c r="J154" s="197">
        <v>1</v>
      </c>
      <c r="K154" s="198">
        <f t="shared" si="187"/>
        <v>3640</v>
      </c>
      <c r="L154" s="355">
        <f t="shared" si="194"/>
        <v>3785.6</v>
      </c>
      <c r="M154" s="196">
        <f>Admin!M107</f>
        <v>1</v>
      </c>
      <c r="N154" s="197">
        <v>1</v>
      </c>
      <c r="O154" s="198">
        <f t="shared" si="189"/>
        <v>3785.6</v>
      </c>
      <c r="P154" s="355">
        <f t="shared" si="195"/>
        <v>3937.0239999999999</v>
      </c>
      <c r="Q154" s="196">
        <f>Admin!Q107</f>
        <v>0.5</v>
      </c>
      <c r="R154" s="197">
        <v>1</v>
      </c>
      <c r="S154" s="198">
        <f t="shared" si="191"/>
        <v>1968.5119999999999</v>
      </c>
      <c r="T154" s="333">
        <f t="shared" si="192"/>
        <v>28453.781999999996</v>
      </c>
    </row>
    <row r="155" spans="1:20" ht="15" customHeight="1" outlineLevel="1">
      <c r="A155" s="193" t="str">
        <f>Admin!A108</f>
        <v>Office Rent, Utilities &amp; Security (Bogota)</v>
      </c>
      <c r="B155" s="194" t="str">
        <f>Admin!B108</f>
        <v>Month</v>
      </c>
      <c r="C155" s="198">
        <f>Admin!C108</f>
        <v>114429.83</v>
      </c>
      <c r="D155" s="355">
        <f>Admin!D108</f>
        <v>4000</v>
      </c>
      <c r="E155" s="196">
        <f>Admin!E108</f>
        <v>12</v>
      </c>
      <c r="F155" s="197">
        <v>1</v>
      </c>
      <c r="G155" s="198">
        <f t="shared" si="185"/>
        <v>48000</v>
      </c>
      <c r="H155" s="355">
        <f t="shared" si="193"/>
        <v>4160</v>
      </c>
      <c r="I155" s="196">
        <f>Admin!I108</f>
        <v>12</v>
      </c>
      <c r="J155" s="197">
        <v>1</v>
      </c>
      <c r="K155" s="198">
        <f t="shared" si="187"/>
        <v>49920</v>
      </c>
      <c r="L155" s="355">
        <f t="shared" si="194"/>
        <v>4326.4000000000005</v>
      </c>
      <c r="M155" s="196">
        <f>Admin!M108</f>
        <v>12</v>
      </c>
      <c r="N155" s="197">
        <v>1</v>
      </c>
      <c r="O155" s="198">
        <f t="shared" si="189"/>
        <v>51916.800000000003</v>
      </c>
      <c r="P155" s="355">
        <f t="shared" si="195"/>
        <v>4499.456000000001</v>
      </c>
      <c r="Q155" s="196">
        <f>Admin!Q108</f>
        <v>6</v>
      </c>
      <c r="R155" s="197">
        <v>1</v>
      </c>
      <c r="S155" s="198">
        <f t="shared" si="191"/>
        <v>26996.736000000004</v>
      </c>
      <c r="T155" s="333">
        <f t="shared" si="192"/>
        <v>291263.36600000004</v>
      </c>
    </row>
    <row r="156" spans="1:20" ht="15" customHeight="1" outlineLevel="1">
      <c r="A156" s="193" t="str">
        <f>Admin!A109</f>
        <v>Banking and Cash Handling Fees</v>
      </c>
      <c r="B156" s="194" t="str">
        <f>Admin!B109</f>
        <v>Month</v>
      </c>
      <c r="C156" s="198">
        <f>Admin!C109</f>
        <v>6601.99</v>
      </c>
      <c r="D156" s="355">
        <f>Admin!D109</f>
        <v>200</v>
      </c>
      <c r="E156" s="196">
        <f>Admin!E109</f>
        <v>12</v>
      </c>
      <c r="F156" s="197">
        <v>1</v>
      </c>
      <c r="G156" s="198">
        <f t="shared" si="185"/>
        <v>2400</v>
      </c>
      <c r="H156" s="355">
        <f t="shared" si="193"/>
        <v>208</v>
      </c>
      <c r="I156" s="196">
        <f>Admin!I109</f>
        <v>12</v>
      </c>
      <c r="J156" s="197">
        <v>1</v>
      </c>
      <c r="K156" s="198">
        <f t="shared" si="187"/>
        <v>2496</v>
      </c>
      <c r="L156" s="355">
        <f t="shared" si="194"/>
        <v>216.32</v>
      </c>
      <c r="M156" s="196">
        <f>Admin!M109</f>
        <v>12</v>
      </c>
      <c r="N156" s="197">
        <v>1</v>
      </c>
      <c r="O156" s="198">
        <f t="shared" si="189"/>
        <v>2595.84</v>
      </c>
      <c r="P156" s="355">
        <f t="shared" si="195"/>
        <v>224.97280000000001</v>
      </c>
      <c r="Q156" s="196">
        <f>Admin!Q109</f>
        <v>6</v>
      </c>
      <c r="R156" s="197">
        <v>1</v>
      </c>
      <c r="S156" s="198">
        <f t="shared" si="191"/>
        <v>1349.8368</v>
      </c>
      <c r="T156" s="333">
        <f t="shared" si="192"/>
        <v>15443.666799999999</v>
      </c>
    </row>
    <row r="157" spans="1:20" ht="15" customHeight="1" outlineLevel="1">
      <c r="A157" s="193" t="str">
        <f>Admin!A110</f>
        <v>Office Meeting Expenses and IT/Communications</v>
      </c>
      <c r="B157" s="194" t="str">
        <f>Admin!B110</f>
        <v>Month</v>
      </c>
      <c r="C157" s="198">
        <f>Admin!C110</f>
        <v>23514.01</v>
      </c>
      <c r="D157" s="355">
        <f>Admin!D110</f>
        <v>600</v>
      </c>
      <c r="E157" s="196">
        <f>Admin!E110</f>
        <v>12</v>
      </c>
      <c r="F157" s="197">
        <v>1</v>
      </c>
      <c r="G157" s="198">
        <f t="shared" si="185"/>
        <v>7200</v>
      </c>
      <c r="H157" s="355">
        <f t="shared" si="193"/>
        <v>624</v>
      </c>
      <c r="I157" s="196">
        <f>Admin!I110</f>
        <v>12</v>
      </c>
      <c r="J157" s="197">
        <v>1</v>
      </c>
      <c r="K157" s="198">
        <f t="shared" si="187"/>
        <v>7488</v>
      </c>
      <c r="L157" s="355">
        <f t="shared" si="194"/>
        <v>648.96</v>
      </c>
      <c r="M157" s="196">
        <f>Admin!M110</f>
        <v>12</v>
      </c>
      <c r="N157" s="197">
        <v>1</v>
      </c>
      <c r="O157" s="198">
        <f t="shared" si="189"/>
        <v>7787.52</v>
      </c>
      <c r="P157" s="355">
        <f t="shared" si="195"/>
        <v>674.91840000000002</v>
      </c>
      <c r="Q157" s="196">
        <f>Admin!Q110</f>
        <v>6</v>
      </c>
      <c r="R157" s="197">
        <v>1</v>
      </c>
      <c r="S157" s="198">
        <f t="shared" si="191"/>
        <v>4049.5104000000001</v>
      </c>
      <c r="T157" s="333">
        <f t="shared" si="192"/>
        <v>50039.040399999998</v>
      </c>
    </row>
    <row r="158" spans="1:20" outlineLevel="1">
      <c r="A158" s="193" t="str">
        <f>Admin!A111</f>
        <v>Licenses &amp; Subscriptions</v>
      </c>
      <c r="B158" s="194" t="str">
        <f>Admin!B111</f>
        <v>Month</v>
      </c>
      <c r="C158" s="198">
        <f>Admin!C111</f>
        <v>41970.409999999996</v>
      </c>
      <c r="D158" s="355">
        <f>Admin!D111</f>
        <v>1495.3333333333333</v>
      </c>
      <c r="E158" s="196">
        <f>Admin!E111</f>
        <v>12</v>
      </c>
      <c r="F158" s="197">
        <v>1</v>
      </c>
      <c r="G158" s="198">
        <f t="shared" si="185"/>
        <v>17944</v>
      </c>
      <c r="H158" s="355">
        <f t="shared" si="193"/>
        <v>1555.1466666666665</v>
      </c>
      <c r="I158" s="196">
        <f>Admin!I111</f>
        <v>12</v>
      </c>
      <c r="J158" s="197">
        <v>1</v>
      </c>
      <c r="K158" s="198">
        <f t="shared" si="187"/>
        <v>18661.759999999998</v>
      </c>
      <c r="L158" s="355">
        <f t="shared" si="194"/>
        <v>1617.3525333333332</v>
      </c>
      <c r="M158" s="196">
        <f>Admin!M111</f>
        <v>12</v>
      </c>
      <c r="N158" s="197">
        <v>1</v>
      </c>
      <c r="O158" s="198">
        <f t="shared" si="189"/>
        <v>19408.2304</v>
      </c>
      <c r="P158" s="355">
        <f t="shared" si="195"/>
        <v>1682.0466346666667</v>
      </c>
      <c r="Q158" s="196">
        <f>Admin!Q111</f>
        <v>6</v>
      </c>
      <c r="R158" s="197">
        <v>1</v>
      </c>
      <c r="S158" s="198">
        <f t="shared" si="191"/>
        <v>10092.279807999999</v>
      </c>
      <c r="T158" s="333">
        <f t="shared" si="192"/>
        <v>108076.68020800001</v>
      </c>
    </row>
    <row r="159" spans="1:20" ht="15.6" outlineLevel="1">
      <c r="A159" s="448"/>
      <c r="B159" s="216"/>
      <c r="C159" s="198"/>
      <c r="E159" s="265"/>
      <c r="F159" s="160"/>
      <c r="G159" s="198"/>
      <c r="I159" s="265"/>
      <c r="K159" s="198"/>
      <c r="M159" s="265"/>
      <c r="N159" s="160"/>
      <c r="O159" s="198"/>
      <c r="Q159" s="265"/>
      <c r="R159" s="160"/>
      <c r="S159" s="198"/>
      <c r="T159" s="200"/>
    </row>
    <row r="160" spans="1:20" ht="18.3" outlineLevel="1">
      <c r="A160" s="449" t="s">
        <v>530</v>
      </c>
      <c r="B160" s="227"/>
      <c r="C160" s="231">
        <f>SUM(C152:C158)</f>
        <v>220651.82</v>
      </c>
      <c r="D160" s="358"/>
      <c r="E160" s="262"/>
      <c r="F160" s="232"/>
      <c r="G160" s="231">
        <f>SUM(G152:G158)</f>
        <v>83904</v>
      </c>
      <c r="H160" s="358"/>
      <c r="I160" s="262"/>
      <c r="J160" s="263"/>
      <c r="K160" s="231">
        <f>SUM(K152:K158)</f>
        <v>87260.159999999989</v>
      </c>
      <c r="L160" s="358"/>
      <c r="M160" s="262"/>
      <c r="N160" s="232"/>
      <c r="O160" s="231">
        <f>SUM(O152:O158)</f>
        <v>90750.566400000011</v>
      </c>
      <c r="P160" s="358"/>
      <c r="Q160" s="262"/>
      <c r="R160" s="232"/>
      <c r="S160" s="231">
        <f>SUM(S152:S158)</f>
        <v>47190.294527999999</v>
      </c>
      <c r="T160" s="231">
        <f>SUM(T152:T158)</f>
        <v>529756.84092800005</v>
      </c>
    </row>
    <row r="161" spans="1:20" ht="15.6" outlineLevel="1">
      <c r="A161" s="441" t="s">
        <v>34</v>
      </c>
      <c r="B161" s="264"/>
      <c r="C161" s="248"/>
      <c r="E161" s="265"/>
      <c r="F161" s="267"/>
      <c r="G161" s="221"/>
      <c r="I161" s="265"/>
      <c r="J161" s="266"/>
      <c r="K161" s="221"/>
      <c r="M161" s="265"/>
      <c r="N161" s="267"/>
      <c r="O161" s="221"/>
      <c r="Q161" s="265"/>
      <c r="R161" s="267"/>
      <c r="S161" s="221"/>
      <c r="T161" s="200"/>
    </row>
    <row r="162" spans="1:20" outlineLevel="1">
      <c r="A162" s="193" t="str">
        <f>Admin!A116</f>
        <v xml:space="preserve">Desktop/Laptop Computers </v>
      </c>
      <c r="B162" s="194" t="str">
        <f>Admin!B116</f>
        <v>Unit</v>
      </c>
      <c r="C162" s="198">
        <f>Admin!C116</f>
        <v>25417.42</v>
      </c>
      <c r="D162" s="355">
        <f>Admin!D116</f>
        <v>1250</v>
      </c>
      <c r="E162" s="196">
        <f>Admin!E116</f>
        <v>2</v>
      </c>
      <c r="F162" s="197">
        <v>1</v>
      </c>
      <c r="G162" s="198">
        <f t="shared" ref="G162:G168" si="196">D162*E162*F162</f>
        <v>2500</v>
      </c>
      <c r="H162" s="355">
        <f>D162</f>
        <v>1250</v>
      </c>
      <c r="I162" s="196">
        <f>Admin!I116</f>
        <v>0</v>
      </c>
      <c r="J162" s="197">
        <v>0</v>
      </c>
      <c r="K162" s="198">
        <f t="shared" ref="K162:K168" si="197">H162*I162*J162</f>
        <v>0</v>
      </c>
      <c r="L162" s="355">
        <f>H162</f>
        <v>1250</v>
      </c>
      <c r="M162" s="196">
        <f>Admin!M116</f>
        <v>0</v>
      </c>
      <c r="N162" s="197">
        <v>0</v>
      </c>
      <c r="O162" s="198">
        <f t="shared" ref="O162:O168" si="198">L162*M162*N162</f>
        <v>0</v>
      </c>
      <c r="P162" s="355">
        <f>L162</f>
        <v>1250</v>
      </c>
      <c r="Q162" s="196">
        <f>Admin!Q116</f>
        <v>0</v>
      </c>
      <c r="R162" s="197">
        <v>0</v>
      </c>
      <c r="S162" s="198">
        <f t="shared" ref="S162:S168" si="199">P162*Q162*R162</f>
        <v>0</v>
      </c>
      <c r="T162" s="333">
        <f t="shared" ref="T162:T168" si="200">C162+G162+K162+O162+S162</f>
        <v>27917.42</v>
      </c>
    </row>
    <row r="163" spans="1:20" outlineLevel="1">
      <c r="A163" s="193" t="str">
        <f>Admin!A117</f>
        <v>Tablets for Rural Data Collection</v>
      </c>
      <c r="B163" s="194" t="str">
        <f>Admin!B117</f>
        <v>Unit</v>
      </c>
      <c r="C163" s="198">
        <f>Admin!C117</f>
        <v>10065.73</v>
      </c>
      <c r="D163" s="355">
        <f>Admin!D117</f>
        <v>850</v>
      </c>
      <c r="E163" s="196">
        <f>Admin!E117</f>
        <v>0</v>
      </c>
      <c r="F163" s="197">
        <v>0</v>
      </c>
      <c r="G163" s="198">
        <f t="shared" si="196"/>
        <v>0</v>
      </c>
      <c r="H163" s="355">
        <f>D163</f>
        <v>850</v>
      </c>
      <c r="I163" s="196">
        <f>Admin!I117</f>
        <v>2</v>
      </c>
      <c r="J163" s="197">
        <v>1</v>
      </c>
      <c r="K163" s="198">
        <f t="shared" si="197"/>
        <v>1700</v>
      </c>
      <c r="L163" s="355">
        <f>H163</f>
        <v>850</v>
      </c>
      <c r="M163" s="196">
        <f>Admin!M117</f>
        <v>0</v>
      </c>
      <c r="N163" s="197">
        <v>0</v>
      </c>
      <c r="O163" s="198">
        <f t="shared" si="198"/>
        <v>0</v>
      </c>
      <c r="P163" s="355">
        <f>L163</f>
        <v>850</v>
      </c>
      <c r="Q163" s="196">
        <f>Admin!Q117</f>
        <v>0</v>
      </c>
      <c r="R163" s="197">
        <v>0</v>
      </c>
      <c r="S163" s="198">
        <f t="shared" si="199"/>
        <v>0</v>
      </c>
      <c r="T163" s="333">
        <f t="shared" si="200"/>
        <v>11765.73</v>
      </c>
    </row>
    <row r="164" spans="1:20" outlineLevel="1">
      <c r="A164" s="193" t="str">
        <f>Admin!A118</f>
        <v>All in One: Printer, Photocopier &amp; Scanner</v>
      </c>
      <c r="B164" s="194" t="str">
        <f>Admin!B118</f>
        <v>Unit</v>
      </c>
      <c r="C164" s="198">
        <f>Admin!C118</f>
        <v>2255.23</v>
      </c>
      <c r="D164" s="355">
        <f>Admin!D118</f>
        <v>840</v>
      </c>
      <c r="E164" s="196">
        <f>Admin!E118</f>
        <v>0</v>
      </c>
      <c r="F164" s="197">
        <v>0</v>
      </c>
      <c r="G164" s="198">
        <f t="shared" si="196"/>
        <v>0</v>
      </c>
      <c r="H164" s="355">
        <f>D164</f>
        <v>840</v>
      </c>
      <c r="I164" s="196">
        <f>Admin!I118</f>
        <v>0</v>
      </c>
      <c r="J164" s="197">
        <v>0</v>
      </c>
      <c r="K164" s="198">
        <f t="shared" si="197"/>
        <v>0</v>
      </c>
      <c r="L164" s="355">
        <f>H164</f>
        <v>840</v>
      </c>
      <c r="M164" s="196">
        <f>Admin!M118</f>
        <v>0</v>
      </c>
      <c r="N164" s="197">
        <v>0</v>
      </c>
      <c r="O164" s="198">
        <f t="shared" si="198"/>
        <v>0</v>
      </c>
      <c r="P164" s="355">
        <f>L164</f>
        <v>840</v>
      </c>
      <c r="Q164" s="196">
        <f>Admin!Q118</f>
        <v>0</v>
      </c>
      <c r="R164" s="197">
        <v>0</v>
      </c>
      <c r="S164" s="198">
        <f t="shared" si="199"/>
        <v>0</v>
      </c>
      <c r="T164" s="333">
        <f t="shared" si="200"/>
        <v>2255.23</v>
      </c>
    </row>
    <row r="165" spans="1:20" outlineLevel="1">
      <c r="A165" s="193" t="str">
        <f>Admin!A119</f>
        <v>Projector</v>
      </c>
      <c r="B165" s="194" t="str">
        <f>Admin!B119</f>
        <v>Unit</v>
      </c>
      <c r="C165" s="198">
        <f>Admin!C119</f>
        <v>0</v>
      </c>
      <c r="D165" s="355">
        <f>Admin!D119</f>
        <v>634.5</v>
      </c>
      <c r="E165" s="196">
        <f>Admin!E119</f>
        <v>0</v>
      </c>
      <c r="F165" s="197">
        <v>0</v>
      </c>
      <c r="G165" s="198">
        <f t="shared" si="196"/>
        <v>0</v>
      </c>
      <c r="H165" s="355">
        <f>D165</f>
        <v>634.5</v>
      </c>
      <c r="I165" s="196">
        <f>Admin!I119</f>
        <v>0</v>
      </c>
      <c r="J165" s="197">
        <v>0</v>
      </c>
      <c r="K165" s="198">
        <f t="shared" si="197"/>
        <v>0</v>
      </c>
      <c r="L165" s="355">
        <f>H165</f>
        <v>634.5</v>
      </c>
      <c r="M165" s="196">
        <f>Admin!M119</f>
        <v>0</v>
      </c>
      <c r="N165" s="197">
        <v>0</v>
      </c>
      <c r="O165" s="198">
        <f t="shared" si="198"/>
        <v>0</v>
      </c>
      <c r="P165" s="355">
        <f>L165</f>
        <v>634.5</v>
      </c>
      <c r="Q165" s="196">
        <f>Admin!Q119</f>
        <v>0</v>
      </c>
      <c r="R165" s="197">
        <v>0</v>
      </c>
      <c r="S165" s="198">
        <f t="shared" si="199"/>
        <v>0</v>
      </c>
      <c r="T165" s="333">
        <f t="shared" si="200"/>
        <v>0</v>
      </c>
    </row>
    <row r="166" spans="1:20" ht="28.2" outlineLevel="1">
      <c r="A166" s="193" t="str">
        <f>Admin!A120</f>
        <v>Office Furniture (Includes Desk, Chairs, Table, Shelves, Filing Cabinet, Safes, &amp; A/C Unit)</v>
      </c>
      <c r="B166" s="194" t="str">
        <f>Admin!B120</f>
        <v>Unit</v>
      </c>
      <c r="C166" s="198">
        <f>Admin!C120</f>
        <v>1150.95</v>
      </c>
      <c r="D166" s="355">
        <f>Admin!D120</f>
        <v>1150.95</v>
      </c>
      <c r="E166" s="196">
        <f>Admin!E120</f>
        <v>0</v>
      </c>
      <c r="F166" s="197">
        <v>0</v>
      </c>
      <c r="G166" s="198">
        <f t="shared" si="196"/>
        <v>0</v>
      </c>
      <c r="H166" s="355">
        <f>D166</f>
        <v>1150.95</v>
      </c>
      <c r="I166" s="196">
        <f>Admin!I120</f>
        <v>0</v>
      </c>
      <c r="J166" s="197">
        <v>0</v>
      </c>
      <c r="K166" s="198">
        <f t="shared" si="197"/>
        <v>0</v>
      </c>
      <c r="L166" s="355">
        <f>H166</f>
        <v>1150.95</v>
      </c>
      <c r="M166" s="196">
        <f>Admin!M120</f>
        <v>0</v>
      </c>
      <c r="N166" s="197">
        <v>0</v>
      </c>
      <c r="O166" s="198">
        <f t="shared" si="198"/>
        <v>0</v>
      </c>
      <c r="P166" s="355">
        <f>L166</f>
        <v>1150.95</v>
      </c>
      <c r="Q166" s="196">
        <f>Admin!Q120</f>
        <v>0</v>
      </c>
      <c r="R166" s="197">
        <v>0</v>
      </c>
      <c r="S166" s="198">
        <f t="shared" si="199"/>
        <v>0</v>
      </c>
      <c r="T166" s="333">
        <f t="shared" si="200"/>
        <v>1150.95</v>
      </c>
    </row>
    <row r="167" spans="1:20" outlineLevel="1">
      <c r="A167" s="193" t="str">
        <f>Admin!A121</f>
        <v>Office Supplies &amp; Personal Protective Equipment</v>
      </c>
      <c r="B167" s="194" t="str">
        <f>Admin!B121</f>
        <v>Month</v>
      </c>
      <c r="C167" s="198">
        <f>Admin!C121</f>
        <v>69046.780000000013</v>
      </c>
      <c r="D167" s="355">
        <f>Admin!D121</f>
        <v>2000</v>
      </c>
      <c r="E167" s="196">
        <f>Admin!E121</f>
        <v>12</v>
      </c>
      <c r="F167" s="197">
        <v>1</v>
      </c>
      <c r="G167" s="198">
        <f t="shared" si="196"/>
        <v>24000</v>
      </c>
      <c r="H167" s="355">
        <f>D167*1.04</f>
        <v>2080</v>
      </c>
      <c r="I167" s="196">
        <f>Admin!I121</f>
        <v>12</v>
      </c>
      <c r="J167" s="197">
        <v>1</v>
      </c>
      <c r="K167" s="198">
        <f t="shared" si="197"/>
        <v>24960</v>
      </c>
      <c r="L167" s="355">
        <f>H167*1.04</f>
        <v>2163.2000000000003</v>
      </c>
      <c r="M167" s="196">
        <f>Admin!M121</f>
        <v>12</v>
      </c>
      <c r="N167" s="197">
        <v>1</v>
      </c>
      <c r="O167" s="198">
        <f t="shared" si="198"/>
        <v>25958.400000000001</v>
      </c>
      <c r="P167" s="355">
        <f>L167*1.04</f>
        <v>2249.7280000000005</v>
      </c>
      <c r="Q167" s="196">
        <f>Admin!Q121</f>
        <v>6</v>
      </c>
      <c r="R167" s="197">
        <v>1</v>
      </c>
      <c r="S167" s="198">
        <f t="shared" si="199"/>
        <v>13498.368000000002</v>
      </c>
      <c r="T167" s="333">
        <f t="shared" si="200"/>
        <v>157463.54800000001</v>
      </c>
    </row>
    <row r="168" spans="1:20" outlineLevel="1">
      <c r="A168" s="193" t="str">
        <f>'Activity 2'!A72</f>
        <v>Cacao Plants and Seedlings for Producer Organizations</v>
      </c>
      <c r="B168" s="194" t="str">
        <f>'Activity 2'!B72</f>
        <v>Unit</v>
      </c>
      <c r="C168" s="198">
        <f>'Activity 2'!C72</f>
        <v>0</v>
      </c>
      <c r="D168" s="355">
        <f>'Activity 2'!D72</f>
        <v>51250</v>
      </c>
      <c r="E168" s="196">
        <f>'Activity 2'!E72</f>
        <v>0</v>
      </c>
      <c r="F168" s="197">
        <v>0</v>
      </c>
      <c r="G168" s="198">
        <f t="shared" si="196"/>
        <v>0</v>
      </c>
      <c r="H168" s="355">
        <f>D168</f>
        <v>51250</v>
      </c>
      <c r="I168" s="196">
        <f>'Activity 2'!I72</f>
        <v>0</v>
      </c>
      <c r="J168" s="197">
        <v>1</v>
      </c>
      <c r="K168" s="198">
        <f t="shared" si="197"/>
        <v>0</v>
      </c>
      <c r="L168" s="355">
        <f>H168</f>
        <v>51250</v>
      </c>
      <c r="M168" s="196">
        <f>'Activity 2'!M72</f>
        <v>0</v>
      </c>
      <c r="N168" s="197">
        <v>1</v>
      </c>
      <c r="O168" s="198">
        <f t="shared" si="198"/>
        <v>0</v>
      </c>
      <c r="P168" s="355">
        <f>L168</f>
        <v>51250</v>
      </c>
      <c r="Q168" s="196">
        <f>'Activity 2'!Q72</f>
        <v>0</v>
      </c>
      <c r="R168" s="197">
        <v>0</v>
      </c>
      <c r="S168" s="198">
        <f t="shared" si="199"/>
        <v>0</v>
      </c>
      <c r="T168" s="333">
        <f t="shared" si="200"/>
        <v>0</v>
      </c>
    </row>
    <row r="169" spans="1:20" outlineLevel="1">
      <c r="A169" s="193" t="str">
        <f>'Activity 3'!A84</f>
        <v xml:space="preserve">Seedstock for Private Nurseries </v>
      </c>
      <c r="B169" s="194" t="str">
        <f>'Activity 3'!B84</f>
        <v>Unit</v>
      </c>
      <c r="C169" s="198">
        <f>'Activity 3'!C84</f>
        <v>56485.979999999996</v>
      </c>
      <c r="D169" s="355">
        <f>'Activity 3'!D84</f>
        <v>56485.979999999996</v>
      </c>
      <c r="E169" s="196">
        <f>'Activity 3'!E84</f>
        <v>0</v>
      </c>
      <c r="F169" s="197">
        <v>0</v>
      </c>
      <c r="G169" s="198">
        <f t="shared" ref="G169" si="201">D169*E169*F169</f>
        <v>0</v>
      </c>
      <c r="H169" s="355">
        <f t="shared" ref="H169" si="202">D169</f>
        <v>56485.979999999996</v>
      </c>
      <c r="I169" s="196">
        <f>'Activity 3'!I84</f>
        <v>0</v>
      </c>
      <c r="J169" s="197">
        <v>0</v>
      </c>
      <c r="K169" s="198">
        <f t="shared" ref="K169" si="203">H169*I169*J169</f>
        <v>0</v>
      </c>
      <c r="L169" s="355">
        <f t="shared" ref="L169" si="204">H169</f>
        <v>56485.979999999996</v>
      </c>
      <c r="M169" s="196">
        <f>'Activity 3'!M84</f>
        <v>0</v>
      </c>
      <c r="N169" s="197">
        <v>0</v>
      </c>
      <c r="O169" s="198">
        <f t="shared" ref="O169" si="205">L169*M169*N169</f>
        <v>0</v>
      </c>
      <c r="P169" s="355">
        <f t="shared" ref="P169" si="206">L169</f>
        <v>56485.979999999996</v>
      </c>
      <c r="Q169" s="196">
        <f>'Activity 3'!Q84</f>
        <v>0</v>
      </c>
      <c r="R169" s="197">
        <v>0</v>
      </c>
      <c r="S169" s="198">
        <f t="shared" ref="S169" si="207">P169*Q169*R169</f>
        <v>0</v>
      </c>
      <c r="T169" s="350">
        <f t="shared" ref="T169" si="208">C169+G169+K169+O169+S169</f>
        <v>56485.979999999996</v>
      </c>
    </row>
    <row r="170" spans="1:20" outlineLevel="1">
      <c r="A170" s="193" t="str">
        <f>'Activity 3'!A85</f>
        <v>Cacao Seedlings for Farmers (Cacao Crop Renewal)</v>
      </c>
      <c r="B170" s="194" t="str">
        <f>'Activity 3'!B85</f>
        <v>Farmer</v>
      </c>
      <c r="C170" s="198">
        <f>'Activity 3'!C85</f>
        <v>0</v>
      </c>
      <c r="D170" s="355">
        <f>'Activity 3'!D85</f>
        <v>1380</v>
      </c>
      <c r="E170" s="196">
        <f>'Activity 3'!E85</f>
        <v>125</v>
      </c>
      <c r="F170" s="197">
        <v>1</v>
      </c>
      <c r="G170" s="198">
        <f t="shared" ref="G170:G177" si="209">D170*E170*F170</f>
        <v>172500</v>
      </c>
      <c r="H170" s="355">
        <f>D170</f>
        <v>1380</v>
      </c>
      <c r="I170" s="196">
        <f>'Activity 3'!I85</f>
        <v>60</v>
      </c>
      <c r="J170" s="197">
        <v>1</v>
      </c>
      <c r="K170" s="198">
        <f t="shared" ref="K170:K177" si="210">H170*I170*J170</f>
        <v>82800</v>
      </c>
      <c r="L170" s="355">
        <f t="shared" ref="L170:L177" si="211">H170</f>
        <v>1380</v>
      </c>
      <c r="M170" s="196">
        <f>'Activity 3'!M85</f>
        <v>0</v>
      </c>
      <c r="N170" s="197">
        <v>1</v>
      </c>
      <c r="O170" s="198">
        <f t="shared" ref="O170:O177" si="212">L170*M170*N170</f>
        <v>0</v>
      </c>
      <c r="P170" s="355">
        <f t="shared" ref="P170:P177" si="213">L170</f>
        <v>1380</v>
      </c>
      <c r="Q170" s="196">
        <f>'Activity 3'!Q85</f>
        <v>0</v>
      </c>
      <c r="R170" s="197">
        <v>0</v>
      </c>
      <c r="S170" s="198">
        <f t="shared" ref="S170:S177" si="214">P170*Q170*R170</f>
        <v>0</v>
      </c>
      <c r="T170" s="333">
        <f t="shared" ref="T170:T177" si="215">C170+G170+K170+O170+S170</f>
        <v>255300</v>
      </c>
    </row>
    <row r="171" spans="1:20" outlineLevel="1">
      <c r="A171" s="193" t="str">
        <f>'Activity 3'!A86</f>
        <v>Plantain Seedlings for Farmers</v>
      </c>
      <c r="B171" s="194" t="str">
        <f>'Activity 3'!B86</f>
        <v>Farmer</v>
      </c>
      <c r="C171" s="198">
        <f>'Activity 3'!C86</f>
        <v>0</v>
      </c>
      <c r="D171" s="355">
        <f>'Activity 3'!D86</f>
        <v>1380</v>
      </c>
      <c r="E171" s="196">
        <f>'Activity 3'!E86</f>
        <v>125</v>
      </c>
      <c r="F171" s="197">
        <v>1</v>
      </c>
      <c r="G171" s="198">
        <f t="shared" si="209"/>
        <v>172500</v>
      </c>
      <c r="H171" s="355">
        <f>D171</f>
        <v>1380</v>
      </c>
      <c r="I171" s="196">
        <f>'Activity 3'!I86</f>
        <v>60</v>
      </c>
      <c r="J171" s="197">
        <v>1</v>
      </c>
      <c r="K171" s="198">
        <f t="shared" si="210"/>
        <v>82800</v>
      </c>
      <c r="L171" s="355">
        <f t="shared" si="211"/>
        <v>1380</v>
      </c>
      <c r="M171" s="196">
        <f>'Activity 3'!M86</f>
        <v>0</v>
      </c>
      <c r="N171" s="197">
        <v>1</v>
      </c>
      <c r="O171" s="198">
        <f t="shared" si="212"/>
        <v>0</v>
      </c>
      <c r="P171" s="355">
        <f t="shared" si="213"/>
        <v>1380</v>
      </c>
      <c r="Q171" s="196">
        <f>'Activity 3'!Q86</f>
        <v>0</v>
      </c>
      <c r="R171" s="197">
        <v>0</v>
      </c>
      <c r="S171" s="198">
        <f t="shared" si="214"/>
        <v>0</v>
      </c>
      <c r="T171" s="333">
        <f t="shared" si="215"/>
        <v>255300</v>
      </c>
    </row>
    <row r="172" spans="1:20" outlineLevel="1">
      <c r="A172" s="193" t="str">
        <f>'Activity 3'!A87</f>
        <v>Biodegradable Pod Sleeving Pilot</v>
      </c>
      <c r="B172" s="194" t="str">
        <f>'Activity 3'!B87</f>
        <v>Unit</v>
      </c>
      <c r="C172" s="198">
        <f>'Activity 3'!C87</f>
        <v>0</v>
      </c>
      <c r="D172" s="355">
        <f>'Activity 3'!D87</f>
        <v>400</v>
      </c>
      <c r="E172" s="196">
        <f>'Activity 3'!E87</f>
        <v>0</v>
      </c>
      <c r="F172" s="197">
        <v>1</v>
      </c>
      <c r="G172" s="198">
        <f t="shared" si="209"/>
        <v>0</v>
      </c>
      <c r="H172" s="355">
        <f>D172</f>
        <v>400</v>
      </c>
      <c r="I172" s="196">
        <f>'Activity 3'!I87</f>
        <v>0</v>
      </c>
      <c r="J172" s="197">
        <v>1</v>
      </c>
      <c r="K172" s="198">
        <f t="shared" si="210"/>
        <v>0</v>
      </c>
      <c r="L172" s="355">
        <f t="shared" si="211"/>
        <v>400</v>
      </c>
      <c r="M172" s="196">
        <f>'Activity 3'!M87</f>
        <v>0</v>
      </c>
      <c r="N172" s="197">
        <v>1</v>
      </c>
      <c r="O172" s="198">
        <f t="shared" si="212"/>
        <v>0</v>
      </c>
      <c r="P172" s="355">
        <f t="shared" si="213"/>
        <v>400</v>
      </c>
      <c r="Q172" s="196">
        <f>'Activity 3'!Q87</f>
        <v>0</v>
      </c>
      <c r="R172" s="197">
        <v>0</v>
      </c>
      <c r="S172" s="198">
        <f t="shared" si="214"/>
        <v>0</v>
      </c>
      <c r="T172" s="333">
        <f t="shared" si="215"/>
        <v>0</v>
      </c>
    </row>
    <row r="173" spans="1:20" outlineLevel="1">
      <c r="A173" s="193" t="str">
        <f>'Activity 3'!A88</f>
        <v>Printing Extension Tools for Cacao and Complementary Crops</v>
      </c>
      <c r="B173" s="194" t="str">
        <f>'Activity 3'!B88</f>
        <v>Unit</v>
      </c>
      <c r="C173" s="198">
        <f>'Activity 3'!C88</f>
        <v>0</v>
      </c>
      <c r="D173" s="355">
        <f>'Activity 3'!D88</f>
        <v>10000</v>
      </c>
      <c r="E173" s="196">
        <f>'Activity 3'!E88</f>
        <v>1</v>
      </c>
      <c r="F173" s="197">
        <v>1</v>
      </c>
      <c r="G173" s="198">
        <f t="shared" si="209"/>
        <v>10000</v>
      </c>
      <c r="H173" s="355">
        <f>D173</f>
        <v>10000</v>
      </c>
      <c r="I173" s="196">
        <f>'Activity 3'!I88</f>
        <v>0</v>
      </c>
      <c r="J173" s="197">
        <v>0</v>
      </c>
      <c r="K173" s="198">
        <f t="shared" si="210"/>
        <v>0</v>
      </c>
      <c r="L173" s="355">
        <f t="shared" si="211"/>
        <v>10000</v>
      </c>
      <c r="M173" s="196">
        <f>'Activity 3'!M88</f>
        <v>0</v>
      </c>
      <c r="N173" s="197">
        <v>0</v>
      </c>
      <c r="O173" s="198">
        <f t="shared" si="212"/>
        <v>0</v>
      </c>
      <c r="P173" s="355">
        <f t="shared" si="213"/>
        <v>10000</v>
      </c>
      <c r="Q173" s="196">
        <f>'Activity 3'!Q88</f>
        <v>0</v>
      </c>
      <c r="R173" s="197">
        <v>0</v>
      </c>
      <c r="S173" s="198">
        <f t="shared" si="214"/>
        <v>0</v>
      </c>
      <c r="T173" s="333">
        <f t="shared" si="215"/>
        <v>10000</v>
      </c>
    </row>
    <row r="174" spans="1:20" outlineLevel="1">
      <c r="A174" s="193" t="str">
        <f>'Activity 3'!A89</f>
        <v>Installation of Tanks and Irrigation Systems</v>
      </c>
      <c r="B174" s="194" t="str">
        <f>'Activity 3'!B89</f>
        <v>Unit</v>
      </c>
      <c r="C174" s="198">
        <f>'Activity 3'!C89</f>
        <v>0</v>
      </c>
      <c r="D174" s="355">
        <f>'Activity 3'!D89</f>
        <v>2475</v>
      </c>
      <c r="E174" s="196">
        <f>'Activity 3'!E89</f>
        <v>20</v>
      </c>
      <c r="F174" s="197">
        <v>1</v>
      </c>
      <c r="G174" s="198">
        <f t="shared" si="209"/>
        <v>49500</v>
      </c>
      <c r="H174" s="355">
        <f>D174</f>
        <v>2475</v>
      </c>
      <c r="I174" s="196">
        <f>'Activity 3'!I89</f>
        <v>20</v>
      </c>
      <c r="J174" s="197">
        <v>1</v>
      </c>
      <c r="K174" s="198">
        <f t="shared" si="210"/>
        <v>49500</v>
      </c>
      <c r="L174" s="355">
        <f t="shared" si="211"/>
        <v>2475</v>
      </c>
      <c r="M174" s="196">
        <f>'Activity 3'!M89</f>
        <v>20</v>
      </c>
      <c r="N174" s="197">
        <v>1</v>
      </c>
      <c r="O174" s="198">
        <f t="shared" si="212"/>
        <v>49500</v>
      </c>
      <c r="P174" s="355">
        <f t="shared" si="213"/>
        <v>2475</v>
      </c>
      <c r="Q174" s="196">
        <f>'Activity 3'!Q89</f>
        <v>0</v>
      </c>
      <c r="R174" s="197">
        <v>0</v>
      </c>
      <c r="S174" s="198">
        <f t="shared" si="214"/>
        <v>0</v>
      </c>
      <c r="T174" s="333">
        <f t="shared" si="215"/>
        <v>148500</v>
      </c>
    </row>
    <row r="175" spans="1:20" ht="28.2" outlineLevel="1">
      <c r="A175" s="193" t="str">
        <f>'Activity 6'!A75</f>
        <v>Pre-Trip Orientation for Young Agriculture Entrepreneur (Room Rental &amp; Food)</v>
      </c>
      <c r="B175" s="194" t="str">
        <f>'Activity 6'!B75</f>
        <v>Day</v>
      </c>
      <c r="C175" s="198">
        <f>'Activity 6'!C75</f>
        <v>2300</v>
      </c>
      <c r="D175" s="355">
        <f>'Activity 6'!D75</f>
        <v>400</v>
      </c>
      <c r="E175" s="196">
        <f>'Activity 6'!E75</f>
        <v>2</v>
      </c>
      <c r="F175" s="197">
        <v>1</v>
      </c>
      <c r="G175" s="198">
        <f t="shared" si="209"/>
        <v>800</v>
      </c>
      <c r="H175" s="355">
        <f>C175</f>
        <v>2300</v>
      </c>
      <c r="I175" s="196">
        <f>'Activity 6'!I75</f>
        <v>0</v>
      </c>
      <c r="J175" s="197">
        <v>0</v>
      </c>
      <c r="K175" s="198">
        <f t="shared" si="210"/>
        <v>0</v>
      </c>
      <c r="L175" s="355">
        <f t="shared" si="211"/>
        <v>2300</v>
      </c>
      <c r="M175" s="196">
        <f>'Activity 6'!M75</f>
        <v>0</v>
      </c>
      <c r="N175" s="197">
        <v>0</v>
      </c>
      <c r="O175" s="198">
        <f t="shared" si="212"/>
        <v>0</v>
      </c>
      <c r="P175" s="355">
        <f t="shared" si="213"/>
        <v>2300</v>
      </c>
      <c r="Q175" s="196">
        <f>'Activity 6'!Q75</f>
        <v>0</v>
      </c>
      <c r="R175" s="197">
        <v>0</v>
      </c>
      <c r="S175" s="198">
        <f t="shared" si="214"/>
        <v>0</v>
      </c>
      <c r="T175" s="333">
        <f t="shared" si="215"/>
        <v>3100</v>
      </c>
    </row>
    <row r="176" spans="1:20" ht="28.2" outlineLevel="1">
      <c r="A176" s="193" t="str">
        <f>'Activity 6'!A76</f>
        <v>Post-Trip Debrief for Young Agriculture Entrepreneur (Room Rental &amp; Food)</v>
      </c>
      <c r="B176" s="194" t="str">
        <f>'Activity 6'!B76</f>
        <v>Day</v>
      </c>
      <c r="C176" s="198">
        <f>'Activity 6'!C76</f>
        <v>2300</v>
      </c>
      <c r="D176" s="355">
        <f>'Activity 6'!D76</f>
        <v>400</v>
      </c>
      <c r="E176" s="196">
        <f>'Activity 6'!E76</f>
        <v>4</v>
      </c>
      <c r="F176" s="197">
        <v>1</v>
      </c>
      <c r="G176" s="198">
        <f t="shared" si="209"/>
        <v>1600</v>
      </c>
      <c r="H176" s="355">
        <f>C176</f>
        <v>2300</v>
      </c>
      <c r="I176" s="196">
        <f>'Activity 6'!I76</f>
        <v>0</v>
      </c>
      <c r="J176" s="197">
        <v>0</v>
      </c>
      <c r="K176" s="198">
        <f t="shared" si="210"/>
        <v>0</v>
      </c>
      <c r="L176" s="355">
        <f t="shared" si="211"/>
        <v>2300</v>
      </c>
      <c r="M176" s="196">
        <f>'Activity 6'!M76</f>
        <v>0</v>
      </c>
      <c r="N176" s="197">
        <v>0</v>
      </c>
      <c r="O176" s="198">
        <f t="shared" si="212"/>
        <v>0</v>
      </c>
      <c r="P176" s="355">
        <f t="shared" si="213"/>
        <v>2300</v>
      </c>
      <c r="Q176" s="196">
        <f>'Activity 6'!Q76</f>
        <v>0</v>
      </c>
      <c r="R176" s="197">
        <v>0</v>
      </c>
      <c r="S176" s="198">
        <f t="shared" si="214"/>
        <v>0</v>
      </c>
      <c r="T176" s="333">
        <f t="shared" si="215"/>
        <v>3900</v>
      </c>
    </row>
    <row r="177" spans="1:20" outlineLevel="1">
      <c r="A177" s="193" t="str">
        <f>'Activity 6'!A77</f>
        <v>Communication &amp; Promotional Fees for Grant RFAs</v>
      </c>
      <c r="B177" s="194" t="str">
        <f>'Activity 6'!B77</f>
        <v>Unit</v>
      </c>
      <c r="C177" s="198">
        <f>'Activity 6'!C77</f>
        <v>3000</v>
      </c>
      <c r="D177" s="355">
        <f>'Activity 6'!D77</f>
        <v>500</v>
      </c>
      <c r="E177" s="196">
        <f>'Activity 6'!E77</f>
        <v>2</v>
      </c>
      <c r="F177" s="197">
        <v>1</v>
      </c>
      <c r="G177" s="198">
        <f t="shared" si="209"/>
        <v>1000</v>
      </c>
      <c r="H177" s="355">
        <f>C177</f>
        <v>3000</v>
      </c>
      <c r="I177" s="196">
        <f>'Activity 6'!I77</f>
        <v>0</v>
      </c>
      <c r="J177" s="197">
        <v>0</v>
      </c>
      <c r="K177" s="198">
        <f t="shared" si="210"/>
        <v>0</v>
      </c>
      <c r="L177" s="355">
        <f t="shared" si="211"/>
        <v>3000</v>
      </c>
      <c r="M177" s="196">
        <f>'Activity 6'!M77</f>
        <v>0</v>
      </c>
      <c r="N177" s="197">
        <v>0</v>
      </c>
      <c r="O177" s="198">
        <f t="shared" si="212"/>
        <v>0</v>
      </c>
      <c r="P177" s="355">
        <f t="shared" si="213"/>
        <v>3000</v>
      </c>
      <c r="Q177" s="196">
        <f>'Activity 6'!Q77</f>
        <v>0</v>
      </c>
      <c r="R177" s="197">
        <v>0</v>
      </c>
      <c r="S177" s="198">
        <f t="shared" si="214"/>
        <v>0</v>
      </c>
      <c r="T177" s="333">
        <f t="shared" si="215"/>
        <v>4000</v>
      </c>
    </row>
    <row r="178" spans="1:20" ht="15.6" outlineLevel="1">
      <c r="A178" s="450"/>
      <c r="B178" s="216"/>
      <c r="C178" s="198"/>
      <c r="D178" s="360"/>
      <c r="E178" s="271"/>
      <c r="F178" s="160"/>
      <c r="G178" s="198"/>
      <c r="H178" s="360"/>
      <c r="I178" s="271"/>
      <c r="K178" s="198"/>
      <c r="L178" s="360"/>
      <c r="M178" s="271"/>
      <c r="N178" s="160"/>
      <c r="O178" s="198"/>
      <c r="P178" s="360"/>
      <c r="Q178" s="271"/>
      <c r="R178" s="160"/>
      <c r="S178" s="198"/>
      <c r="T178" s="200"/>
    </row>
    <row r="179" spans="1:20" ht="18.3" outlineLevel="1">
      <c r="A179" s="449" t="s">
        <v>531</v>
      </c>
      <c r="B179" s="227"/>
      <c r="C179" s="231">
        <f>SUM(C162:C178)</f>
        <v>172022.09000000003</v>
      </c>
      <c r="D179" s="358"/>
      <c r="E179" s="262"/>
      <c r="F179" s="232"/>
      <c r="G179" s="231">
        <f>SUM(G162:G178)</f>
        <v>434400</v>
      </c>
      <c r="H179" s="358"/>
      <c r="I179" s="262"/>
      <c r="J179" s="263"/>
      <c r="K179" s="231">
        <f>SUM(K162:K178)</f>
        <v>241760</v>
      </c>
      <c r="L179" s="358"/>
      <c r="M179" s="262"/>
      <c r="N179" s="232"/>
      <c r="O179" s="231">
        <f>SUM(O162:O178)</f>
        <v>75458.399999999994</v>
      </c>
      <c r="P179" s="358"/>
      <c r="Q179" s="262"/>
      <c r="R179" s="232"/>
      <c r="S179" s="231">
        <f>SUM(S162:S178)</f>
        <v>13498.368000000002</v>
      </c>
      <c r="T179" s="231">
        <f>SUM(T162:T178)</f>
        <v>937138.85800000001</v>
      </c>
    </row>
    <row r="180" spans="1:20" ht="15.6" outlineLevel="1">
      <c r="A180" s="451" t="s">
        <v>532</v>
      </c>
      <c r="B180" s="216"/>
      <c r="C180" s="248"/>
      <c r="D180" s="248"/>
      <c r="E180" s="248"/>
      <c r="F180" s="248"/>
      <c r="G180" s="248"/>
      <c r="H180" s="248"/>
      <c r="I180" s="278"/>
      <c r="K180" s="221"/>
      <c r="L180" s="361"/>
      <c r="M180" s="278"/>
      <c r="O180" s="221"/>
      <c r="P180" s="361"/>
      <c r="Q180" s="278"/>
      <c r="S180" s="221"/>
      <c r="T180" s="200"/>
    </row>
    <row r="181" spans="1:20" ht="15.6" outlineLevel="1">
      <c r="A181" s="441" t="s">
        <v>254</v>
      </c>
      <c r="B181" s="216"/>
      <c r="C181" s="198"/>
      <c r="D181" s="361"/>
      <c r="E181" s="278"/>
      <c r="F181" s="160"/>
      <c r="G181" s="198"/>
      <c r="H181" s="361"/>
      <c r="I181" s="278"/>
      <c r="K181" s="198"/>
      <c r="L181" s="361"/>
      <c r="M181" s="278"/>
      <c r="N181" s="160"/>
      <c r="O181" s="198"/>
      <c r="P181" s="361"/>
      <c r="Q181" s="278"/>
      <c r="R181" s="160"/>
      <c r="S181" s="198"/>
      <c r="T181" s="221"/>
    </row>
    <row r="182" spans="1:20" outlineLevel="1">
      <c r="A182" s="193" t="str">
        <f>Admin!A126</f>
        <v xml:space="preserve">Training, Workshops, Conference and Registration Fees </v>
      </c>
      <c r="B182" s="194" t="str">
        <f>Admin!B126</f>
        <v>Unit</v>
      </c>
      <c r="C182" s="198">
        <f>Admin!C126</f>
        <v>39594.83</v>
      </c>
      <c r="D182" s="355">
        <f>Admin!D126</f>
        <v>1500</v>
      </c>
      <c r="E182" s="196">
        <f>Admin!E126</f>
        <v>3</v>
      </c>
      <c r="F182" s="197">
        <v>1</v>
      </c>
      <c r="G182" s="198">
        <f t="shared" ref="G182:G183" si="216">D182*E182*F182</f>
        <v>4500</v>
      </c>
      <c r="H182" s="355">
        <f>D182*1.04</f>
        <v>1560</v>
      </c>
      <c r="I182" s="196">
        <f>Admin!I126</f>
        <v>3</v>
      </c>
      <c r="J182" s="197">
        <v>1</v>
      </c>
      <c r="K182" s="198">
        <f t="shared" ref="K182:K183" si="217">H182*I182*J182</f>
        <v>4680</v>
      </c>
      <c r="L182" s="355">
        <f>H182*1.04</f>
        <v>1622.4</v>
      </c>
      <c r="M182" s="196">
        <f>Admin!M126</f>
        <v>3</v>
      </c>
      <c r="N182" s="197">
        <v>1</v>
      </c>
      <c r="O182" s="198">
        <f t="shared" ref="O182:O183" si="218">L182*M182*N182</f>
        <v>4867.2000000000007</v>
      </c>
      <c r="P182" s="355">
        <f>L182*1.04</f>
        <v>1687.296</v>
      </c>
      <c r="Q182" s="196">
        <f>Admin!Q126</f>
        <v>3</v>
      </c>
      <c r="R182" s="197">
        <v>1</v>
      </c>
      <c r="S182" s="198">
        <f t="shared" ref="S182:S183" si="219">P182*Q182*R182</f>
        <v>5061.8879999999999</v>
      </c>
      <c r="T182" s="350">
        <f t="shared" ref="T182:T183" si="220">C182+G182+K182+O182+S182</f>
        <v>58703.917999999998</v>
      </c>
    </row>
    <row r="183" spans="1:20" outlineLevel="1">
      <c r="A183" s="193" t="str">
        <f>'Activity 2'!A81</f>
        <v>Boot Camp Training for Fedecafe Extension Agents (1-Week)</v>
      </c>
      <c r="B183" s="194" t="str">
        <f>'Activity 2'!B81</f>
        <v>Participant</v>
      </c>
      <c r="C183" s="198">
        <f>'Activity 2'!C81</f>
        <v>0</v>
      </c>
      <c r="D183" s="355">
        <f>'Activity 2'!D81</f>
        <v>280</v>
      </c>
      <c r="E183" s="196">
        <f>'Activity 2'!E81</f>
        <v>0</v>
      </c>
      <c r="F183" s="197">
        <v>1</v>
      </c>
      <c r="G183" s="198">
        <f t="shared" si="216"/>
        <v>0</v>
      </c>
      <c r="H183" s="355">
        <f>D183</f>
        <v>280</v>
      </c>
      <c r="I183" s="196">
        <f>'Activity 2'!I81</f>
        <v>0</v>
      </c>
      <c r="J183" s="197">
        <v>1</v>
      </c>
      <c r="K183" s="198">
        <f t="shared" si="217"/>
        <v>0</v>
      </c>
      <c r="L183" s="355">
        <f>H183</f>
        <v>280</v>
      </c>
      <c r="M183" s="196">
        <f>'Activity 2'!M81</f>
        <v>0</v>
      </c>
      <c r="N183" s="197">
        <v>1</v>
      </c>
      <c r="O183" s="198">
        <f t="shared" si="218"/>
        <v>0</v>
      </c>
      <c r="P183" s="355">
        <f>L183</f>
        <v>280</v>
      </c>
      <c r="Q183" s="196">
        <f>'Activity 2'!Q81</f>
        <v>0</v>
      </c>
      <c r="R183" s="197">
        <v>1</v>
      </c>
      <c r="S183" s="198">
        <f t="shared" si="219"/>
        <v>0</v>
      </c>
      <c r="T183" s="350">
        <f t="shared" si="220"/>
        <v>0</v>
      </c>
    </row>
    <row r="184" spans="1:20" outlineLevel="1">
      <c r="A184" s="193" t="str">
        <f>'Activity 2'!A82</f>
        <v>School of Management and Leadership Tuition/Enrollment</v>
      </c>
      <c r="B184" s="194" t="str">
        <f>'Activity 2'!B82</f>
        <v>Student</v>
      </c>
      <c r="C184" s="370">
        <f>'Activity 2'!C82</f>
        <v>0</v>
      </c>
      <c r="D184" s="368">
        <f>'Activity 2'!D82</f>
        <v>3500</v>
      </c>
      <c r="E184" s="369">
        <f>'Activity 2'!E82</f>
        <v>0</v>
      </c>
      <c r="F184" s="197">
        <v>1</v>
      </c>
      <c r="G184" s="370">
        <f>D184*E184*F184</f>
        <v>0</v>
      </c>
      <c r="H184" s="368">
        <f>D184</f>
        <v>3500</v>
      </c>
      <c r="I184" s="369">
        <f>'Activity 2'!I82</f>
        <v>0</v>
      </c>
      <c r="J184" s="197">
        <v>1</v>
      </c>
      <c r="K184" s="370">
        <f>H184*I184*J184</f>
        <v>0</v>
      </c>
      <c r="L184" s="368">
        <f>H184</f>
        <v>3500</v>
      </c>
      <c r="M184" s="369">
        <f>'Activity 2'!M82</f>
        <v>0</v>
      </c>
      <c r="N184" s="197">
        <v>1</v>
      </c>
      <c r="O184" s="370">
        <f>L184*M184*N184</f>
        <v>0</v>
      </c>
      <c r="P184" s="368">
        <f>L184</f>
        <v>3500</v>
      </c>
      <c r="Q184" s="369">
        <f>'Activity 2'!Q82</f>
        <v>0</v>
      </c>
      <c r="R184" s="197">
        <v>1</v>
      </c>
      <c r="S184" s="370">
        <f>P184*Q184*R184</f>
        <v>0</v>
      </c>
      <c r="T184" s="350">
        <f>C184+G184+K184+O184+S184</f>
        <v>0</v>
      </c>
    </row>
    <row r="185" spans="1:20" outlineLevel="1">
      <c r="A185" s="193" t="str">
        <f>'Activity 3'!A100</f>
        <v xml:space="preserve">Boot Camp for Cacao Farmers for 1 - Week Training </v>
      </c>
      <c r="B185" s="194" t="str">
        <f>'Activity 3'!B100</f>
        <v>Participant</v>
      </c>
      <c r="C185" s="370">
        <f>'Activity 3'!C100</f>
        <v>0</v>
      </c>
      <c r="D185" s="368">
        <f>'Activity 3'!D100</f>
        <v>280</v>
      </c>
      <c r="E185" s="369">
        <f>'Activity 3'!E100</f>
        <v>45</v>
      </c>
      <c r="F185" s="197">
        <v>1</v>
      </c>
      <c r="G185" s="370">
        <f t="shared" ref="G185" si="221">D185*E185*F185</f>
        <v>12600</v>
      </c>
      <c r="H185" s="368">
        <f>D185</f>
        <v>280</v>
      </c>
      <c r="I185" s="369">
        <f>'Activity 3'!I100</f>
        <v>45</v>
      </c>
      <c r="J185" s="197">
        <v>1</v>
      </c>
      <c r="K185" s="370">
        <f t="shared" ref="K185" si="222">H185*I185*J185</f>
        <v>12600</v>
      </c>
      <c r="L185" s="368">
        <f>H185</f>
        <v>280</v>
      </c>
      <c r="M185" s="369">
        <f>'Activity 3'!M100</f>
        <v>45</v>
      </c>
      <c r="N185" s="197">
        <v>1</v>
      </c>
      <c r="O185" s="370">
        <f t="shared" ref="O185" si="223">L185*M185*N185</f>
        <v>12600</v>
      </c>
      <c r="P185" s="368">
        <f>L185</f>
        <v>280</v>
      </c>
      <c r="Q185" s="369">
        <f>'Activity 3'!Q100</f>
        <v>0</v>
      </c>
      <c r="R185" s="197">
        <v>1</v>
      </c>
      <c r="S185" s="370">
        <f t="shared" ref="S185" si="224">P185*Q185*R185</f>
        <v>0</v>
      </c>
      <c r="T185" s="350">
        <f t="shared" ref="T185" si="225">C185+G185+K185+O185+S185</f>
        <v>37800</v>
      </c>
    </row>
    <row r="186" spans="1:20" ht="28.2" outlineLevel="1">
      <c r="A186" s="193" t="str">
        <f>'Activity 3'!A101</f>
        <v xml:space="preserve">Training for Produces Representatives on Cacao and Complementary Crops 1 - Week Trainings </v>
      </c>
      <c r="B186" s="194" t="str">
        <f>'Activity 3'!B101</f>
        <v>Participant</v>
      </c>
      <c r="C186" s="370">
        <f>'Activity 3'!C101</f>
        <v>0</v>
      </c>
      <c r="D186" s="368">
        <f>'Activity 3'!D101</f>
        <v>280</v>
      </c>
      <c r="E186" s="369">
        <f>'Activity 3'!E101</f>
        <v>45</v>
      </c>
      <c r="F186" s="197">
        <v>1</v>
      </c>
      <c r="G186" s="370">
        <f>D186*E186*F186</f>
        <v>12600</v>
      </c>
      <c r="H186" s="368">
        <f>D186</f>
        <v>280</v>
      </c>
      <c r="I186" s="369">
        <f>'Activity 3'!I101</f>
        <v>45</v>
      </c>
      <c r="J186" s="197">
        <v>1</v>
      </c>
      <c r="K186" s="370">
        <f>H186*I186*J186</f>
        <v>12600</v>
      </c>
      <c r="L186" s="368">
        <f>H186</f>
        <v>280</v>
      </c>
      <c r="M186" s="369">
        <f>'Activity 3'!M101</f>
        <v>45</v>
      </c>
      <c r="N186" s="197">
        <v>1</v>
      </c>
      <c r="O186" s="370">
        <f>L186*M186*N186</f>
        <v>12600</v>
      </c>
      <c r="P186" s="368">
        <f>L186</f>
        <v>280</v>
      </c>
      <c r="Q186" s="369">
        <f>'Activity 3'!Q101</f>
        <v>0</v>
      </c>
      <c r="R186" s="197">
        <v>1</v>
      </c>
      <c r="S186" s="370">
        <f>P186*Q186*R186</f>
        <v>0</v>
      </c>
      <c r="T186" s="350">
        <f>C186+G186+K186+O186+S186</f>
        <v>37800</v>
      </c>
    </row>
    <row r="187" spans="1:20" ht="15.6" outlineLevel="1">
      <c r="A187" s="441" t="s">
        <v>336</v>
      </c>
      <c r="B187" s="194"/>
      <c r="C187" s="370"/>
      <c r="D187" s="368"/>
      <c r="E187" s="369"/>
      <c r="F187" s="197"/>
      <c r="G187" s="370"/>
      <c r="H187" s="368"/>
      <c r="I187" s="369"/>
      <c r="J187" s="197"/>
      <c r="K187" s="370"/>
      <c r="L187" s="368"/>
      <c r="M187" s="369"/>
      <c r="N187" s="197"/>
      <c r="O187" s="370"/>
      <c r="P187" s="368"/>
      <c r="Q187" s="369"/>
      <c r="R187" s="197"/>
      <c r="S187" s="370"/>
      <c r="T187" s="350"/>
    </row>
    <row r="188" spans="1:20" outlineLevel="1">
      <c r="A188" s="193" t="str">
        <f>'Activity 4'!A83</f>
        <v>Support for Local Fine Flavour Cacao Competitions</v>
      </c>
      <c r="B188" s="194" t="str">
        <f>'Activity 4'!B83</f>
        <v>Year</v>
      </c>
      <c r="C188" s="370">
        <f>'Activity 4'!C83</f>
        <v>0</v>
      </c>
      <c r="D188" s="368">
        <f>'Activity 4'!D83</f>
        <v>10000</v>
      </c>
      <c r="E188" s="369">
        <f>'Activity 4'!E83</f>
        <v>1</v>
      </c>
      <c r="F188" s="197">
        <v>1</v>
      </c>
      <c r="G188" s="370">
        <f t="shared" ref="G188:G196" si="226">D188*E188*F188</f>
        <v>10000</v>
      </c>
      <c r="H188" s="368">
        <f t="shared" ref="H188:H196" si="227">D188</f>
        <v>10000</v>
      </c>
      <c r="I188" s="369">
        <f>'Activity 4'!I83</f>
        <v>1</v>
      </c>
      <c r="J188" s="197">
        <v>1</v>
      </c>
      <c r="K188" s="370">
        <f t="shared" ref="K188:K196" si="228">H188*I188*J188</f>
        <v>10000</v>
      </c>
      <c r="L188" s="368">
        <f t="shared" ref="L188:L196" si="229">H188</f>
        <v>10000</v>
      </c>
      <c r="M188" s="369">
        <f>'Activity 4'!M83</f>
        <v>1</v>
      </c>
      <c r="N188" s="197">
        <v>1</v>
      </c>
      <c r="O188" s="370">
        <f t="shared" ref="O188:O196" si="230">L188*M188*N188</f>
        <v>10000</v>
      </c>
      <c r="P188" s="368">
        <f t="shared" ref="P188:P196" si="231">L188</f>
        <v>10000</v>
      </c>
      <c r="Q188" s="369">
        <f>'Activity 4'!Q83</f>
        <v>0</v>
      </c>
      <c r="R188" s="197">
        <v>0</v>
      </c>
      <c r="S188" s="370">
        <f t="shared" ref="S188:S196" si="232">P188*Q188*R188</f>
        <v>0</v>
      </c>
      <c r="T188" s="350">
        <f t="shared" ref="T188:T196" si="233">C188+G188+K188+O188+S188</f>
        <v>30000</v>
      </c>
    </row>
    <row r="189" spans="1:20" outlineLevel="1">
      <c r="A189" s="193" t="str">
        <f>'Activity 7'!A76</f>
        <v xml:space="preserve">RCP Events/Conferences </v>
      </c>
      <c r="B189" s="194" t="str">
        <f>'Activity 7'!B76</f>
        <v>Unit</v>
      </c>
      <c r="C189" s="370">
        <f>'Activity 7'!C76</f>
        <v>136396.82</v>
      </c>
      <c r="D189" s="368">
        <f>'Activity 7'!D76</f>
        <v>100000</v>
      </c>
      <c r="E189" s="369">
        <f>'Activity 7'!E76</f>
        <v>0.8</v>
      </c>
      <c r="F189" s="197">
        <v>1</v>
      </c>
      <c r="G189" s="370">
        <f t="shared" si="226"/>
        <v>80000</v>
      </c>
      <c r="H189" s="368">
        <f t="shared" si="227"/>
        <v>100000</v>
      </c>
      <c r="I189" s="369">
        <f>'Activity 7'!I76</f>
        <v>0.5</v>
      </c>
      <c r="J189" s="197">
        <v>1</v>
      </c>
      <c r="K189" s="370">
        <f t="shared" si="228"/>
        <v>50000</v>
      </c>
      <c r="L189" s="368">
        <f>'Activity 7'!L76</f>
        <v>0</v>
      </c>
      <c r="M189" s="369">
        <f>'Activity 7'!M76</f>
        <v>0</v>
      </c>
      <c r="N189" s="197">
        <v>1</v>
      </c>
      <c r="O189" s="370">
        <f t="shared" si="230"/>
        <v>0</v>
      </c>
      <c r="P189" s="368">
        <f>'Activity 7'!P76</f>
        <v>100000</v>
      </c>
      <c r="Q189" s="369">
        <f>'Activity 7'!Q76</f>
        <v>0.25</v>
      </c>
      <c r="R189" s="197">
        <v>1</v>
      </c>
      <c r="S189" s="370">
        <f t="shared" si="232"/>
        <v>25000</v>
      </c>
      <c r="T189" s="350">
        <f t="shared" si="233"/>
        <v>291396.82</v>
      </c>
    </row>
    <row r="190" spans="1:20" ht="28.2" outlineLevel="1">
      <c r="A190" s="193" t="str">
        <f>'Activity 7'!A77</f>
        <v>Booth for International Communities of Practices/Conferences/Forums on Cacao</v>
      </c>
      <c r="B190" s="194" t="str">
        <f>'Activity 7'!B77</f>
        <v>Booth</v>
      </c>
      <c r="C190" s="370">
        <f>'Activity 7'!C77</f>
        <v>0</v>
      </c>
      <c r="D190" s="368">
        <f>'Activity 7'!D77</f>
        <v>5000</v>
      </c>
      <c r="E190" s="369">
        <f>'Activity 7'!E77</f>
        <v>0</v>
      </c>
      <c r="F190" s="197">
        <v>0</v>
      </c>
      <c r="G190" s="370">
        <f>D190*E190*F190</f>
        <v>0</v>
      </c>
      <c r="H190" s="368">
        <f>D190</f>
        <v>5000</v>
      </c>
      <c r="I190" s="369">
        <f>'Activity 7'!I77</f>
        <v>0</v>
      </c>
      <c r="J190" s="197">
        <v>0</v>
      </c>
      <c r="K190" s="370">
        <f>H190*I190*J190</f>
        <v>0</v>
      </c>
      <c r="L190" s="368">
        <f>H190</f>
        <v>5000</v>
      </c>
      <c r="M190" s="369">
        <f>'Activity 7'!M77</f>
        <v>1</v>
      </c>
      <c r="N190" s="197">
        <v>1</v>
      </c>
      <c r="O190" s="370">
        <f>L190*M190*N190</f>
        <v>5000</v>
      </c>
      <c r="P190" s="368">
        <f>L190</f>
        <v>5000</v>
      </c>
      <c r="Q190" s="369">
        <f>'Activity 7'!Q77</f>
        <v>0</v>
      </c>
      <c r="R190" s="197">
        <v>0</v>
      </c>
      <c r="S190" s="370">
        <f>P190*Q190*R190</f>
        <v>0</v>
      </c>
      <c r="T190" s="350">
        <f>C190+G190+K190+O190+S190</f>
        <v>5000</v>
      </c>
    </row>
    <row r="191" spans="1:20" ht="28.2" outlineLevel="1">
      <c r="A191" s="193" t="str">
        <f>'Activity 7'!A78</f>
        <v>Registrations for International Communities of Practices/Conferences/Forums on Cacao</v>
      </c>
      <c r="B191" s="194" t="str">
        <f>'Activity 7'!B78</f>
        <v>Participant</v>
      </c>
      <c r="C191" s="370">
        <f>'Activity 7'!C78</f>
        <v>0</v>
      </c>
      <c r="D191" s="368">
        <f>'Activity 7'!D78</f>
        <v>1500</v>
      </c>
      <c r="E191" s="369">
        <f>'Activity 7'!E78</f>
        <v>2</v>
      </c>
      <c r="F191" s="197">
        <v>1</v>
      </c>
      <c r="G191" s="370">
        <f>D191*E191*F191</f>
        <v>3000</v>
      </c>
      <c r="H191" s="368">
        <f>D191</f>
        <v>1500</v>
      </c>
      <c r="I191" s="369">
        <f>'Activity 7'!I78</f>
        <v>2</v>
      </c>
      <c r="J191" s="197">
        <v>1</v>
      </c>
      <c r="K191" s="370">
        <f>H191*I191*J191</f>
        <v>3000</v>
      </c>
      <c r="L191" s="368">
        <f>H191</f>
        <v>1500</v>
      </c>
      <c r="M191" s="369">
        <f>'Activity 7'!M78</f>
        <v>2</v>
      </c>
      <c r="N191" s="197">
        <v>1</v>
      </c>
      <c r="O191" s="370">
        <f>L191*M191*N191</f>
        <v>3000</v>
      </c>
      <c r="P191" s="368">
        <f>L191</f>
        <v>1500</v>
      </c>
      <c r="Q191" s="369">
        <f>'Activity 7'!Q78</f>
        <v>2</v>
      </c>
      <c r="R191" s="197">
        <v>1</v>
      </c>
      <c r="S191" s="370">
        <f>P191*Q191*R191</f>
        <v>3000</v>
      </c>
      <c r="T191" s="350">
        <f>C191+G191+K191+O191+S191</f>
        <v>12000</v>
      </c>
    </row>
    <row r="192" spans="1:20" ht="15.6" outlineLevel="1">
      <c r="A192" s="441" t="s">
        <v>533</v>
      </c>
      <c r="B192" s="194"/>
      <c r="C192" s="370"/>
      <c r="D192" s="368"/>
      <c r="E192" s="369"/>
      <c r="F192" s="197"/>
      <c r="G192" s="370"/>
      <c r="H192" s="368"/>
      <c r="I192" s="369"/>
      <c r="J192" s="197"/>
      <c r="K192" s="370"/>
      <c r="L192" s="368"/>
      <c r="M192" s="369"/>
      <c r="N192" s="197"/>
      <c r="O192" s="370"/>
      <c r="P192" s="368"/>
      <c r="Q192" s="369"/>
      <c r="R192" s="197"/>
      <c r="S192" s="370"/>
      <c r="T192" s="350"/>
    </row>
    <row r="193" spans="1:20" outlineLevel="1">
      <c r="A193" s="193" t="str">
        <f>'Activity 2'!A77</f>
        <v>Grants to Support Producer Organization Business Plans</v>
      </c>
      <c r="B193" s="194" t="str">
        <f>'Activity 2'!B77</f>
        <v>Grant</v>
      </c>
      <c r="C193" s="370">
        <f>'Activity 2'!C77</f>
        <v>0</v>
      </c>
      <c r="D193" s="368">
        <f>'Activity 2'!D77</f>
        <v>25000</v>
      </c>
      <c r="E193" s="369">
        <f>'Activity 2'!E77</f>
        <v>3</v>
      </c>
      <c r="F193" s="197">
        <v>1</v>
      </c>
      <c r="G193" s="370">
        <f>D193*E193*F193</f>
        <v>75000</v>
      </c>
      <c r="H193" s="368">
        <f>D193</f>
        <v>25000</v>
      </c>
      <c r="I193" s="369">
        <f>'Activity 2'!I77</f>
        <v>2</v>
      </c>
      <c r="J193" s="197">
        <v>1</v>
      </c>
      <c r="K193" s="370">
        <f>H193*I193*J193</f>
        <v>50000</v>
      </c>
      <c r="L193" s="368">
        <f>H193</f>
        <v>25000</v>
      </c>
      <c r="M193" s="369">
        <f>'Activity 2'!M77</f>
        <v>0</v>
      </c>
      <c r="N193" s="197">
        <v>1</v>
      </c>
      <c r="O193" s="370">
        <f>L193*M193*N193</f>
        <v>0</v>
      </c>
      <c r="P193" s="368">
        <f>L193</f>
        <v>25000</v>
      </c>
      <c r="Q193" s="369">
        <f>'Activity 2'!Q77</f>
        <v>0</v>
      </c>
      <c r="R193" s="197">
        <v>0</v>
      </c>
      <c r="S193" s="370">
        <f>P193*Q193*R193</f>
        <v>0</v>
      </c>
      <c r="T193" s="350">
        <f>C193+G193+K193+O193+S193</f>
        <v>125000</v>
      </c>
    </row>
    <row r="194" spans="1:20" ht="28.2" outlineLevel="1">
      <c r="A194" s="193" t="str">
        <f>'Activity 2'!A78</f>
        <v>Equipment Upgrades and Modernization of Producer Organizations Grants</v>
      </c>
      <c r="B194" s="194" t="str">
        <f>'Activity 2'!B78</f>
        <v>Grant</v>
      </c>
      <c r="C194" s="370">
        <f>'Activity 2'!C78</f>
        <v>0</v>
      </c>
      <c r="D194" s="368">
        <f>'Activity 2'!D78</f>
        <v>25000</v>
      </c>
      <c r="E194" s="369">
        <f>'Activity 2'!E78</f>
        <v>0</v>
      </c>
      <c r="F194" s="197">
        <v>0</v>
      </c>
      <c r="G194" s="370">
        <f>D194*E194*F194</f>
        <v>0</v>
      </c>
      <c r="H194" s="368">
        <f>D194</f>
        <v>25000</v>
      </c>
      <c r="I194" s="369">
        <f>'Activity 2'!I78</f>
        <v>0</v>
      </c>
      <c r="J194" s="197">
        <v>1</v>
      </c>
      <c r="K194" s="370">
        <f>H194*I194*J194</f>
        <v>0</v>
      </c>
      <c r="L194" s="368">
        <f>H194</f>
        <v>25000</v>
      </c>
      <c r="M194" s="369">
        <f>'Activity 2'!M78</f>
        <v>0</v>
      </c>
      <c r="N194" s="197">
        <v>1</v>
      </c>
      <c r="O194" s="370">
        <f>L194*M194*N194</f>
        <v>0</v>
      </c>
      <c r="P194" s="368">
        <f>L194</f>
        <v>25000</v>
      </c>
      <c r="Q194" s="369">
        <f>'Activity 2'!Q78</f>
        <v>0</v>
      </c>
      <c r="R194" s="197">
        <v>0</v>
      </c>
      <c r="S194" s="370">
        <f>P194*Q194*R194</f>
        <v>0</v>
      </c>
      <c r="T194" s="350">
        <f>C194+G194+K194+O194+S194</f>
        <v>0</v>
      </c>
    </row>
    <row r="195" spans="1:20" outlineLevel="1">
      <c r="A195" s="193" t="str">
        <f>'Activity 2'!A79</f>
        <v xml:space="preserve">Agribusiness Entrepreneurship Grants </v>
      </c>
      <c r="B195" s="194" t="str">
        <f>'Activity 2'!B79</f>
        <v>Grant</v>
      </c>
      <c r="C195" s="370">
        <f>'Activity 2'!C79</f>
        <v>0</v>
      </c>
      <c r="D195" s="368">
        <f>'Activity 2'!D79</f>
        <v>12000</v>
      </c>
      <c r="E195" s="369">
        <f>'Activity 2'!E79</f>
        <v>0</v>
      </c>
      <c r="F195" s="197">
        <v>0</v>
      </c>
      <c r="G195" s="370">
        <f>D195*E195*F195</f>
        <v>0</v>
      </c>
      <c r="H195" s="368">
        <f>D195</f>
        <v>12000</v>
      </c>
      <c r="I195" s="369">
        <f>'Activity 2'!I79</f>
        <v>0</v>
      </c>
      <c r="J195" s="197">
        <v>1</v>
      </c>
      <c r="K195" s="370">
        <f>H195*I195*J195</f>
        <v>0</v>
      </c>
      <c r="L195" s="368">
        <f>H195</f>
        <v>12000</v>
      </c>
      <c r="M195" s="369">
        <f>'Activity 2'!M79</f>
        <v>0</v>
      </c>
      <c r="N195" s="197">
        <v>1</v>
      </c>
      <c r="O195" s="370">
        <f>L195*M195*N195</f>
        <v>0</v>
      </c>
      <c r="P195" s="368">
        <f>L195</f>
        <v>12000</v>
      </c>
      <c r="Q195" s="369">
        <f>'Activity 2'!Q79</f>
        <v>0</v>
      </c>
      <c r="R195" s="197">
        <v>0</v>
      </c>
      <c r="S195" s="370">
        <f>P195*Q195*R195</f>
        <v>0</v>
      </c>
      <c r="T195" s="350">
        <f>C195+G195+K195+O195+S195</f>
        <v>0</v>
      </c>
    </row>
    <row r="196" spans="1:20" outlineLevel="1">
      <c r="A196" s="193" t="str">
        <f>'Activity 3'!A94</f>
        <v>Nursery Start-Up Grants for Producer Organizations</v>
      </c>
      <c r="B196" s="194" t="str">
        <f>'Activity 3'!B94</f>
        <v>Grant</v>
      </c>
      <c r="C196" s="370">
        <f>'Activity 3'!C94</f>
        <v>25000</v>
      </c>
      <c r="D196" s="368">
        <f>'Activity 3'!D94</f>
        <v>15000</v>
      </c>
      <c r="E196" s="369">
        <f>'Activity 3'!E94</f>
        <v>0</v>
      </c>
      <c r="F196" s="197">
        <v>0</v>
      </c>
      <c r="G196" s="370">
        <f t="shared" si="226"/>
        <v>0</v>
      </c>
      <c r="H196" s="368">
        <f t="shared" si="227"/>
        <v>15000</v>
      </c>
      <c r="I196" s="369">
        <f>'Activity 3'!I94</f>
        <v>0</v>
      </c>
      <c r="J196" s="197">
        <v>0</v>
      </c>
      <c r="K196" s="370">
        <f t="shared" si="228"/>
        <v>0</v>
      </c>
      <c r="L196" s="368">
        <f t="shared" si="229"/>
        <v>15000</v>
      </c>
      <c r="M196" s="369">
        <f>'Activity 3'!M94</f>
        <v>0</v>
      </c>
      <c r="N196" s="197">
        <v>0</v>
      </c>
      <c r="O196" s="370">
        <f t="shared" si="230"/>
        <v>0</v>
      </c>
      <c r="P196" s="368">
        <f t="shared" si="231"/>
        <v>15000</v>
      </c>
      <c r="Q196" s="369">
        <f>'Activity 3'!Q94</f>
        <v>0</v>
      </c>
      <c r="R196" s="197">
        <v>0</v>
      </c>
      <c r="S196" s="370">
        <f t="shared" si="232"/>
        <v>0</v>
      </c>
      <c r="T196" s="350">
        <f t="shared" si="233"/>
        <v>25000</v>
      </c>
    </row>
    <row r="197" spans="1:20" outlineLevel="1">
      <c r="A197" s="193" t="str">
        <f>'Activity 3'!A95</f>
        <v>Grants for Biofertilizer Program</v>
      </c>
      <c r="B197" s="194" t="str">
        <f>'Activity 3'!B95</f>
        <v>Grant</v>
      </c>
      <c r="C197" s="370">
        <f>'Activity 3'!C95</f>
        <v>0</v>
      </c>
      <c r="D197" s="368">
        <f>'Activity 3'!D95</f>
        <v>9000</v>
      </c>
      <c r="E197" s="369">
        <f>'Activity 3'!E95</f>
        <v>28</v>
      </c>
      <c r="F197" s="197">
        <v>1</v>
      </c>
      <c r="G197" s="370">
        <f t="shared" ref="G197:G205" si="234">D197*E197*F197</f>
        <v>252000</v>
      </c>
      <c r="H197" s="368">
        <f t="shared" ref="H197:H205" si="235">D197</f>
        <v>9000</v>
      </c>
      <c r="I197" s="369">
        <f>'Activity 3'!I95</f>
        <v>0</v>
      </c>
      <c r="J197" s="197">
        <v>1</v>
      </c>
      <c r="K197" s="370">
        <f t="shared" ref="K197:K205" si="236">H197*I197*J197</f>
        <v>0</v>
      </c>
      <c r="L197" s="368">
        <f t="shared" ref="L197:L205" si="237">H197</f>
        <v>9000</v>
      </c>
      <c r="M197" s="369">
        <f>'Activity 3'!M95</f>
        <v>0</v>
      </c>
      <c r="N197" s="197">
        <v>1</v>
      </c>
      <c r="O197" s="370">
        <f t="shared" ref="O197:O205" si="238">L197*M197*N197</f>
        <v>0</v>
      </c>
      <c r="P197" s="368">
        <f t="shared" ref="P197:P205" si="239">L197</f>
        <v>9000</v>
      </c>
      <c r="Q197" s="369">
        <f>'Activity 3'!Q95</f>
        <v>0</v>
      </c>
      <c r="R197" s="197">
        <v>0</v>
      </c>
      <c r="S197" s="370">
        <f t="shared" ref="S197:S205" si="240">P197*Q197*R197</f>
        <v>0</v>
      </c>
      <c r="T197" s="350">
        <f t="shared" ref="T197:T205" si="241">C197+G197+K197+O197+S197</f>
        <v>252000</v>
      </c>
    </row>
    <row r="198" spans="1:20" ht="28.2" outlineLevel="1">
      <c r="A198" s="193" t="str">
        <f>'Activity 3'!A96</f>
        <v>Grants for Export Ready Complementary Crops and Value Chain Improvements</v>
      </c>
      <c r="B198" s="194" t="str">
        <f>'Activity 3'!B96</f>
        <v>Grant</v>
      </c>
      <c r="C198" s="370">
        <f>'Activity 3'!C96</f>
        <v>0</v>
      </c>
      <c r="D198" s="368">
        <f>'Activity 3'!D96</f>
        <v>20000</v>
      </c>
      <c r="E198" s="369">
        <f>'Activity 3'!E96</f>
        <v>0</v>
      </c>
      <c r="F198" s="197">
        <v>1</v>
      </c>
      <c r="G198" s="370">
        <f t="shared" si="234"/>
        <v>0</v>
      </c>
      <c r="H198" s="368">
        <f t="shared" si="235"/>
        <v>20000</v>
      </c>
      <c r="I198" s="369">
        <f>'Activity 3'!I96</f>
        <v>0</v>
      </c>
      <c r="J198" s="197">
        <v>1</v>
      </c>
      <c r="K198" s="370">
        <f t="shared" si="236"/>
        <v>0</v>
      </c>
      <c r="L198" s="368">
        <f t="shared" si="237"/>
        <v>20000</v>
      </c>
      <c r="M198" s="369">
        <f>'Activity 3'!M96</f>
        <v>0</v>
      </c>
      <c r="N198" s="197">
        <v>1</v>
      </c>
      <c r="O198" s="370">
        <f t="shared" si="238"/>
        <v>0</v>
      </c>
      <c r="P198" s="368">
        <f t="shared" si="239"/>
        <v>20000</v>
      </c>
      <c r="Q198" s="369">
        <f>'Activity 3'!Q96</f>
        <v>0</v>
      </c>
      <c r="R198" s="197">
        <v>0</v>
      </c>
      <c r="S198" s="370">
        <f t="shared" si="240"/>
        <v>0</v>
      </c>
      <c r="T198" s="350">
        <f t="shared" si="241"/>
        <v>0</v>
      </c>
    </row>
    <row r="199" spans="1:20" ht="28.2" outlineLevel="1">
      <c r="A199" s="193" t="str">
        <f>'Activity 3'!A97</f>
        <v>Grants to Producers and Organizations for Cacao Crop Renewal and Enhancement of Agricultural Practices</v>
      </c>
      <c r="B199" s="194" t="str">
        <f>'Activity 3'!B97</f>
        <v>Grant</v>
      </c>
      <c r="C199" s="370">
        <f>'Activity 3'!C97</f>
        <v>0</v>
      </c>
      <c r="D199" s="368">
        <f>'Activity 3'!D97</f>
        <v>10000</v>
      </c>
      <c r="E199" s="369">
        <f>'Activity 3'!E97</f>
        <v>0</v>
      </c>
      <c r="F199" s="197">
        <v>1</v>
      </c>
      <c r="G199" s="370">
        <f t="shared" si="234"/>
        <v>0</v>
      </c>
      <c r="H199" s="368">
        <f t="shared" si="235"/>
        <v>10000</v>
      </c>
      <c r="I199" s="369">
        <f>'Activity 3'!I97</f>
        <v>0</v>
      </c>
      <c r="J199" s="197">
        <v>1</v>
      </c>
      <c r="K199" s="370">
        <f t="shared" si="236"/>
        <v>0</v>
      </c>
      <c r="L199" s="368">
        <f t="shared" si="237"/>
        <v>10000</v>
      </c>
      <c r="M199" s="369">
        <f>'Activity 3'!M97</f>
        <v>0</v>
      </c>
      <c r="N199" s="197">
        <v>1</v>
      </c>
      <c r="O199" s="370">
        <f t="shared" si="238"/>
        <v>0</v>
      </c>
      <c r="P199" s="368">
        <f t="shared" si="239"/>
        <v>10000</v>
      </c>
      <c r="Q199" s="369">
        <f>'Activity 3'!Q97</f>
        <v>0</v>
      </c>
      <c r="R199" s="197">
        <v>0</v>
      </c>
      <c r="S199" s="370">
        <f t="shared" si="240"/>
        <v>0</v>
      </c>
      <c r="T199" s="350">
        <f t="shared" si="241"/>
        <v>0</v>
      </c>
    </row>
    <row r="200" spans="1:20" outlineLevel="1">
      <c r="A200" s="193" t="str">
        <f>'Activity 3'!A98</f>
        <v>Grant to Strengthen Fedecacao</v>
      </c>
      <c r="B200" s="194" t="str">
        <f>'Activity 3'!B98</f>
        <v>Grant</v>
      </c>
      <c r="C200" s="370">
        <f>'Activity 3'!C98</f>
        <v>0</v>
      </c>
      <c r="D200" s="368">
        <f>'Activity 3'!D98</f>
        <v>10000</v>
      </c>
      <c r="E200" s="369">
        <f>'Activity 3'!E98</f>
        <v>1</v>
      </c>
      <c r="F200" s="197">
        <v>1</v>
      </c>
      <c r="G200" s="370">
        <f t="shared" si="234"/>
        <v>10000</v>
      </c>
      <c r="H200" s="368">
        <f t="shared" si="235"/>
        <v>10000</v>
      </c>
      <c r="I200" s="369">
        <f>'Activity 3'!I98</f>
        <v>1</v>
      </c>
      <c r="J200" s="197">
        <v>1</v>
      </c>
      <c r="K200" s="370">
        <f t="shared" si="236"/>
        <v>10000</v>
      </c>
      <c r="L200" s="368">
        <f t="shared" si="237"/>
        <v>10000</v>
      </c>
      <c r="M200" s="369">
        <f>'Activity 3'!M98</f>
        <v>1</v>
      </c>
      <c r="N200" s="197">
        <v>1</v>
      </c>
      <c r="O200" s="370">
        <f t="shared" si="238"/>
        <v>10000</v>
      </c>
      <c r="P200" s="368">
        <f t="shared" si="239"/>
        <v>10000</v>
      </c>
      <c r="Q200" s="369">
        <f>'Activity 3'!Q98</f>
        <v>0</v>
      </c>
      <c r="R200" s="197">
        <v>0</v>
      </c>
      <c r="S200" s="370">
        <f t="shared" si="240"/>
        <v>0</v>
      </c>
      <c r="T200" s="350">
        <f t="shared" si="241"/>
        <v>30000</v>
      </c>
    </row>
    <row r="201" spans="1:20" outlineLevel="1">
      <c r="A201" s="193" t="str">
        <f>'Activity 4'!A80</f>
        <v xml:space="preserve">Grant Fund to Strengthening Small Processors and Aggregators </v>
      </c>
      <c r="B201" s="194" t="str">
        <f>'Activity 4'!B80</f>
        <v>Unit</v>
      </c>
      <c r="C201" s="370">
        <f>'Activity 4'!C80</f>
        <v>204415.31</v>
      </c>
      <c r="D201" s="368">
        <f>'Activity 4'!D80</f>
        <v>204415.31</v>
      </c>
      <c r="E201" s="369">
        <f>'Activity 4'!E80</f>
        <v>0</v>
      </c>
      <c r="F201" s="197">
        <v>0</v>
      </c>
      <c r="G201" s="370">
        <f t="shared" si="234"/>
        <v>0</v>
      </c>
      <c r="H201" s="368">
        <f t="shared" si="235"/>
        <v>204415.31</v>
      </c>
      <c r="I201" s="369">
        <f>'Activity 4'!I80</f>
        <v>0</v>
      </c>
      <c r="J201" s="197">
        <v>0</v>
      </c>
      <c r="K201" s="370">
        <f t="shared" si="236"/>
        <v>0</v>
      </c>
      <c r="L201" s="368">
        <f t="shared" si="237"/>
        <v>204415.31</v>
      </c>
      <c r="M201" s="369">
        <f>'Activity 4'!M80</f>
        <v>0</v>
      </c>
      <c r="N201" s="197">
        <v>0</v>
      </c>
      <c r="O201" s="370">
        <f t="shared" si="238"/>
        <v>0</v>
      </c>
      <c r="P201" s="368">
        <f t="shared" si="239"/>
        <v>204415.31</v>
      </c>
      <c r="Q201" s="369">
        <f>'Activity 4'!Q80</f>
        <v>0</v>
      </c>
      <c r="R201" s="197">
        <v>0</v>
      </c>
      <c r="S201" s="370">
        <f t="shared" si="240"/>
        <v>0</v>
      </c>
      <c r="T201" s="350">
        <f t="shared" si="241"/>
        <v>204415.31</v>
      </c>
    </row>
    <row r="202" spans="1:20" outlineLevel="1">
      <c r="A202" s="193" t="str">
        <f>'Activity 4'!A81</f>
        <v>Grant Fund to Upgrade Fermentation Centers</v>
      </c>
      <c r="B202" s="194" t="str">
        <f>'Activity 4'!B81</f>
        <v>Unit</v>
      </c>
      <c r="C202" s="370">
        <f>'Activity 4'!C81</f>
        <v>0</v>
      </c>
      <c r="D202" s="368">
        <f>'Activity 4'!D81</f>
        <v>65000</v>
      </c>
      <c r="E202" s="369">
        <f>'Activity 4'!E81</f>
        <v>0</v>
      </c>
      <c r="F202" s="197">
        <v>1</v>
      </c>
      <c r="G202" s="370">
        <f t="shared" si="234"/>
        <v>0</v>
      </c>
      <c r="H202" s="368">
        <f t="shared" si="235"/>
        <v>65000</v>
      </c>
      <c r="I202" s="369">
        <f>'Activity 4'!I81</f>
        <v>0</v>
      </c>
      <c r="J202" s="197">
        <v>1</v>
      </c>
      <c r="K202" s="370">
        <f t="shared" si="236"/>
        <v>0</v>
      </c>
      <c r="L202" s="368">
        <f t="shared" si="237"/>
        <v>65000</v>
      </c>
      <c r="M202" s="369">
        <f>'Activity 4'!M81</f>
        <v>0</v>
      </c>
      <c r="N202" s="197">
        <v>1</v>
      </c>
      <c r="O202" s="370">
        <f t="shared" si="238"/>
        <v>0</v>
      </c>
      <c r="P202" s="368">
        <f t="shared" si="239"/>
        <v>65000</v>
      </c>
      <c r="Q202" s="369">
        <f>'Activity 4'!Q81</f>
        <v>0</v>
      </c>
      <c r="R202" s="197">
        <v>0</v>
      </c>
      <c r="S202" s="370">
        <f t="shared" si="240"/>
        <v>0</v>
      </c>
      <c r="T202" s="350">
        <f t="shared" si="241"/>
        <v>0</v>
      </c>
    </row>
    <row r="203" spans="1:20" outlineLevel="1">
      <c r="A203" s="193" t="str">
        <f>'Activity 5'!A74</f>
        <v>Niche Cacao and Complimentary Crop Entrepreneurship Grants</v>
      </c>
      <c r="B203" s="194" t="str">
        <f>'Activity 5'!B74</f>
        <v>Grant</v>
      </c>
      <c r="C203" s="370">
        <f>'Activity 5'!C74</f>
        <v>16000</v>
      </c>
      <c r="D203" s="368">
        <f>'Activity 5'!D74</f>
        <v>13000</v>
      </c>
      <c r="E203" s="369">
        <f>'Activity 5'!E74</f>
        <v>0</v>
      </c>
      <c r="F203" s="197">
        <v>0</v>
      </c>
      <c r="G203" s="370">
        <f t="shared" si="234"/>
        <v>0</v>
      </c>
      <c r="H203" s="368">
        <f t="shared" si="235"/>
        <v>13000</v>
      </c>
      <c r="I203" s="369">
        <f>'Activity 5'!I74</f>
        <v>0</v>
      </c>
      <c r="J203" s="197">
        <v>0</v>
      </c>
      <c r="K203" s="370">
        <f t="shared" si="236"/>
        <v>0</v>
      </c>
      <c r="L203" s="368">
        <f t="shared" si="237"/>
        <v>13000</v>
      </c>
      <c r="M203" s="369">
        <f>'Activity 5'!M74</f>
        <v>0</v>
      </c>
      <c r="N203" s="197">
        <v>0</v>
      </c>
      <c r="O203" s="370">
        <f t="shared" si="238"/>
        <v>0</v>
      </c>
      <c r="P203" s="368">
        <f t="shared" si="239"/>
        <v>13000</v>
      </c>
      <c r="Q203" s="369">
        <f>'Activity 5'!Q74</f>
        <v>0</v>
      </c>
      <c r="R203" s="197">
        <v>0</v>
      </c>
      <c r="S203" s="370">
        <f t="shared" si="240"/>
        <v>0</v>
      </c>
      <c r="T203" s="350">
        <f t="shared" si="241"/>
        <v>16000</v>
      </c>
    </row>
    <row r="204" spans="1:20" outlineLevel="1">
      <c r="A204" s="193" t="str">
        <f>'Activity 6'!A82</f>
        <v>Niche Cacao and Underutilized Value Chain Market Research Grants</v>
      </c>
      <c r="B204" s="194" t="str">
        <f>'Activity 6'!B82</f>
        <v>Grant</v>
      </c>
      <c r="C204" s="370">
        <f>'Activity 6'!C82</f>
        <v>19300</v>
      </c>
      <c r="D204" s="368">
        <f>'Activity 6'!D82</f>
        <v>10000</v>
      </c>
      <c r="E204" s="369">
        <f>'Activity 6'!E82</f>
        <v>1</v>
      </c>
      <c r="F204" s="197">
        <v>1</v>
      </c>
      <c r="G204" s="370">
        <f>'Activity 6'!G82</f>
        <v>181413</v>
      </c>
      <c r="H204" s="368">
        <f t="shared" si="235"/>
        <v>10000</v>
      </c>
      <c r="I204" s="369">
        <f>'Activity 6'!I82</f>
        <v>0</v>
      </c>
      <c r="J204" s="197">
        <v>0</v>
      </c>
      <c r="K204" s="370">
        <f t="shared" si="236"/>
        <v>0</v>
      </c>
      <c r="L204" s="368">
        <f t="shared" si="237"/>
        <v>10000</v>
      </c>
      <c r="M204" s="369">
        <f>'Activity 6'!M82</f>
        <v>0</v>
      </c>
      <c r="N204" s="197">
        <v>0</v>
      </c>
      <c r="O204" s="370">
        <f t="shared" si="238"/>
        <v>0</v>
      </c>
      <c r="P204" s="368">
        <f t="shared" si="239"/>
        <v>10000</v>
      </c>
      <c r="Q204" s="369">
        <f>'Activity 6'!Q82</f>
        <v>0</v>
      </c>
      <c r="R204" s="197">
        <v>0</v>
      </c>
      <c r="S204" s="370">
        <f t="shared" si="240"/>
        <v>0</v>
      </c>
      <c r="T204" s="350">
        <f t="shared" si="241"/>
        <v>200713</v>
      </c>
    </row>
    <row r="205" spans="1:20" outlineLevel="1">
      <c r="A205" s="193" t="str">
        <f>'Activity 6'!A83</f>
        <v>Youth Agribusiness Impact Investing Grants</v>
      </c>
      <c r="B205" s="194" t="str">
        <f>'Activity 6'!B83</f>
        <v>Grant</v>
      </c>
      <c r="C205" s="370">
        <f>'Activity 6'!C83</f>
        <v>38000</v>
      </c>
      <c r="D205" s="368">
        <f>'Activity 6'!D83</f>
        <v>30000</v>
      </c>
      <c r="E205" s="369">
        <f>'Activity 6'!E83</f>
        <v>4</v>
      </c>
      <c r="F205" s="197">
        <v>1</v>
      </c>
      <c r="G205" s="370">
        <f t="shared" si="234"/>
        <v>120000</v>
      </c>
      <c r="H205" s="368">
        <f t="shared" si="235"/>
        <v>30000</v>
      </c>
      <c r="I205" s="369">
        <f>'Activity 6'!I83</f>
        <v>0</v>
      </c>
      <c r="J205" s="197">
        <v>0</v>
      </c>
      <c r="K205" s="370">
        <f t="shared" si="236"/>
        <v>0</v>
      </c>
      <c r="L205" s="368">
        <f t="shared" si="237"/>
        <v>30000</v>
      </c>
      <c r="M205" s="369">
        <f>'Activity 6'!M83</f>
        <v>0</v>
      </c>
      <c r="N205" s="197">
        <v>0</v>
      </c>
      <c r="O205" s="370">
        <f t="shared" si="238"/>
        <v>0</v>
      </c>
      <c r="P205" s="368">
        <f t="shared" si="239"/>
        <v>30000</v>
      </c>
      <c r="Q205" s="369">
        <f>'Activity 6'!Q83</f>
        <v>0</v>
      </c>
      <c r="R205" s="197">
        <v>0</v>
      </c>
      <c r="S205" s="370">
        <f t="shared" si="240"/>
        <v>0</v>
      </c>
      <c r="T205" s="350">
        <f t="shared" si="241"/>
        <v>158000</v>
      </c>
    </row>
    <row r="206" spans="1:20" ht="15.6" outlineLevel="1">
      <c r="A206" s="441" t="s">
        <v>534</v>
      </c>
      <c r="B206" s="194"/>
      <c r="C206" s="370"/>
      <c r="D206" s="368"/>
      <c r="E206" s="369"/>
      <c r="F206" s="197"/>
      <c r="G206" s="370"/>
      <c r="H206" s="368"/>
      <c r="I206" s="369"/>
      <c r="J206" s="197"/>
      <c r="K206" s="370"/>
      <c r="L206" s="368"/>
      <c r="M206" s="369"/>
      <c r="N206" s="197"/>
      <c r="O206" s="370"/>
      <c r="P206" s="368"/>
      <c r="Q206" s="369"/>
      <c r="R206" s="197"/>
      <c r="S206" s="370"/>
      <c r="T206" s="350"/>
    </row>
    <row r="207" spans="1:20" outlineLevel="1">
      <c r="A207" s="193" t="str">
        <f>Admin!A128</f>
        <v>Equipment and Office Repairs and Maintenance</v>
      </c>
      <c r="B207" s="194" t="str">
        <f>Admin!B128</f>
        <v>Year</v>
      </c>
      <c r="C207" s="370">
        <f>Admin!C128</f>
        <v>388.89</v>
      </c>
      <c r="D207" s="368">
        <f>Admin!D128</f>
        <v>500</v>
      </c>
      <c r="E207" s="369">
        <f>Admin!E128</f>
        <v>1</v>
      </c>
      <c r="F207" s="197">
        <v>1</v>
      </c>
      <c r="G207" s="370">
        <f t="shared" ref="G207:G210" si="242">D207*E207*F207</f>
        <v>500</v>
      </c>
      <c r="H207" s="368">
        <f>D207*1.04</f>
        <v>520</v>
      </c>
      <c r="I207" s="369">
        <f>Admin!I128</f>
        <v>1</v>
      </c>
      <c r="J207" s="197">
        <v>1</v>
      </c>
      <c r="K207" s="370">
        <f t="shared" ref="K207:K210" si="243">H207*I207*J207</f>
        <v>520</v>
      </c>
      <c r="L207" s="368">
        <f>H207*1.04</f>
        <v>540.80000000000007</v>
      </c>
      <c r="M207" s="369">
        <f>Admin!M128</f>
        <v>1</v>
      </c>
      <c r="N207" s="197">
        <v>1</v>
      </c>
      <c r="O207" s="370">
        <f t="shared" ref="O207:O210" si="244">L207*M207*N207</f>
        <v>540.80000000000007</v>
      </c>
      <c r="P207" s="368">
        <f>L207*1.04</f>
        <v>562.43200000000013</v>
      </c>
      <c r="Q207" s="369">
        <f>Admin!Q128</f>
        <v>1</v>
      </c>
      <c r="R207" s="197">
        <v>1</v>
      </c>
      <c r="S207" s="370">
        <f t="shared" ref="S207:S210" si="245">P207*Q207*R207</f>
        <v>562.43200000000013</v>
      </c>
      <c r="T207" s="350">
        <f t="shared" ref="T207:T210" si="246">C207+G207+K207+O207+S207</f>
        <v>2512.1220000000003</v>
      </c>
    </row>
    <row r="208" spans="1:20" outlineLevel="1">
      <c r="A208" s="193" t="str">
        <f>Admin!A130</f>
        <v>Vehicle Maintenance/repairs/spare parts</v>
      </c>
      <c r="B208" s="194" t="str">
        <f>Admin!B130</f>
        <v>Month</v>
      </c>
      <c r="C208" s="370">
        <f>Admin!C130</f>
        <v>2381.52</v>
      </c>
      <c r="D208" s="368">
        <f>Admin!D130</f>
        <v>100</v>
      </c>
      <c r="E208" s="369">
        <f>Admin!E130</f>
        <v>12</v>
      </c>
      <c r="F208" s="197">
        <v>1</v>
      </c>
      <c r="G208" s="370">
        <f>D208*E208*F208</f>
        <v>1200</v>
      </c>
      <c r="H208" s="368">
        <f>D208*1.04</f>
        <v>104</v>
      </c>
      <c r="I208" s="369">
        <f>Admin!I130</f>
        <v>12</v>
      </c>
      <c r="J208" s="197">
        <v>1</v>
      </c>
      <c r="K208" s="370">
        <f>H208*I208*J208</f>
        <v>1248</v>
      </c>
      <c r="L208" s="368">
        <f>H208*1.04</f>
        <v>108.16</v>
      </c>
      <c r="M208" s="369">
        <f>Admin!M130</f>
        <v>12</v>
      </c>
      <c r="N208" s="197">
        <v>1</v>
      </c>
      <c r="O208" s="370">
        <f>L208*M208*N208</f>
        <v>1297.92</v>
      </c>
      <c r="P208" s="368">
        <f>L208*1.04</f>
        <v>112.4864</v>
      </c>
      <c r="Q208" s="369">
        <f>Admin!Q130</f>
        <v>6</v>
      </c>
      <c r="R208" s="197">
        <v>1</v>
      </c>
      <c r="S208" s="370">
        <f>P208*Q208*R208</f>
        <v>674.91840000000002</v>
      </c>
      <c r="T208" s="350">
        <f>C208+G208+K208+O208+S208</f>
        <v>6802.358400000001</v>
      </c>
    </row>
    <row r="209" spans="1:20" ht="15.6" outlineLevel="1">
      <c r="A209" s="441" t="s">
        <v>535</v>
      </c>
      <c r="B209" s="194"/>
      <c r="C209" s="370"/>
      <c r="D209" s="368"/>
      <c r="E209" s="369"/>
      <c r="F209" s="197"/>
      <c r="G209" s="370"/>
      <c r="H209" s="368"/>
      <c r="I209" s="369"/>
      <c r="J209" s="197"/>
      <c r="K209" s="370"/>
      <c r="L209" s="368"/>
      <c r="M209" s="369"/>
      <c r="N209" s="197"/>
      <c r="O209" s="370"/>
      <c r="P209" s="368"/>
      <c r="Q209" s="369"/>
      <c r="R209" s="197"/>
      <c r="S209" s="370"/>
      <c r="T209" s="350"/>
    </row>
    <row r="210" spans="1:20" outlineLevel="1">
      <c r="A210" s="193" t="str">
        <f>Admin!A134</f>
        <v>Vehicle Insurance</v>
      </c>
      <c r="B210" s="194" t="str">
        <f>Admin!B134</f>
        <v>Year</v>
      </c>
      <c r="C210" s="370">
        <f>Admin!C134</f>
        <v>8101.24</v>
      </c>
      <c r="D210" s="368">
        <f>Admin!D134</f>
        <v>2025</v>
      </c>
      <c r="E210" s="369">
        <f>Admin!E134</f>
        <v>1</v>
      </c>
      <c r="F210" s="197">
        <v>1</v>
      </c>
      <c r="G210" s="370">
        <f t="shared" si="242"/>
        <v>2025</v>
      </c>
      <c r="H210" s="368">
        <f t="shared" ref="H210" si="247">D210*1.04</f>
        <v>2106</v>
      </c>
      <c r="I210" s="369">
        <f>Admin!I134</f>
        <v>1</v>
      </c>
      <c r="J210" s="197">
        <v>1</v>
      </c>
      <c r="K210" s="370">
        <f t="shared" si="243"/>
        <v>2106</v>
      </c>
      <c r="L210" s="368">
        <f t="shared" ref="L210" si="248">H210*1.04</f>
        <v>2190.2400000000002</v>
      </c>
      <c r="M210" s="369">
        <f>Admin!M134</f>
        <v>1</v>
      </c>
      <c r="N210" s="197">
        <v>1</v>
      </c>
      <c r="O210" s="370">
        <f t="shared" si="244"/>
        <v>2190.2400000000002</v>
      </c>
      <c r="P210" s="368">
        <f t="shared" ref="P210" si="249">L210*1.04</f>
        <v>2277.8496000000005</v>
      </c>
      <c r="Q210" s="369">
        <f>Admin!Q134</f>
        <v>1</v>
      </c>
      <c r="R210" s="197">
        <v>1</v>
      </c>
      <c r="S210" s="370">
        <f t="shared" si="245"/>
        <v>2277.8496000000005</v>
      </c>
      <c r="T210" s="350">
        <f t="shared" si="246"/>
        <v>16700.329600000001</v>
      </c>
    </row>
    <row r="211" spans="1:20" outlineLevel="1">
      <c r="A211" s="193" t="str">
        <f>'Activity 5'!A76</f>
        <v>Expand Cacao Crop Insurance Coverage (Cacao Seguro) - Policy Cost</v>
      </c>
      <c r="B211" s="194" t="str">
        <f>'Activity 5'!B76</f>
        <v>Unit</v>
      </c>
      <c r="C211" s="370">
        <f>'Activity 5'!C76</f>
        <v>66151.959999999992</v>
      </c>
      <c r="D211" s="368">
        <f>'Activity 5'!D76</f>
        <v>45000</v>
      </c>
      <c r="E211" s="369">
        <f>'Activity 5'!E76</f>
        <v>1</v>
      </c>
      <c r="F211" s="197">
        <v>1</v>
      </c>
      <c r="G211" s="370">
        <f>D211*E211*F211</f>
        <v>45000</v>
      </c>
      <c r="H211" s="368">
        <f>D211</f>
        <v>45000</v>
      </c>
      <c r="I211" s="369">
        <f>'Activity 5'!I76</f>
        <v>0.5</v>
      </c>
      <c r="J211" s="197">
        <v>1</v>
      </c>
      <c r="K211" s="370">
        <f>H211*I211*J211</f>
        <v>22500</v>
      </c>
      <c r="L211" s="368">
        <f>H211</f>
        <v>45000</v>
      </c>
      <c r="M211" s="369">
        <f>'Activity 5'!M76</f>
        <v>0.25</v>
      </c>
      <c r="N211" s="197">
        <v>1</v>
      </c>
      <c r="O211" s="370">
        <f>L211*M211*N211</f>
        <v>11250</v>
      </c>
      <c r="P211" s="368">
        <f>L211</f>
        <v>45000</v>
      </c>
      <c r="Q211" s="369">
        <f>'Activity 5'!Q76</f>
        <v>0</v>
      </c>
      <c r="R211" s="197">
        <v>0</v>
      </c>
      <c r="S211" s="370">
        <f>P211*Q211*R211</f>
        <v>0</v>
      </c>
      <c r="T211" s="350">
        <f>C211+G211+K211+O211+S211</f>
        <v>144901.96</v>
      </c>
    </row>
    <row r="212" spans="1:20" ht="15.6" outlineLevel="1">
      <c r="A212" s="441" t="s">
        <v>536</v>
      </c>
      <c r="B212" s="194"/>
      <c r="C212" s="198"/>
      <c r="D212" s="355"/>
      <c r="E212" s="196"/>
      <c r="F212" s="197"/>
      <c r="G212" s="198"/>
      <c r="H212" s="355"/>
      <c r="I212" s="196"/>
      <c r="J212" s="197"/>
      <c r="K212" s="198"/>
      <c r="L212" s="355"/>
      <c r="M212" s="196"/>
      <c r="N212" s="197"/>
      <c r="O212" s="198"/>
      <c r="P212" s="355"/>
      <c r="Q212" s="196"/>
      <c r="R212" s="197"/>
      <c r="S212" s="198"/>
      <c r="T212" s="333"/>
    </row>
    <row r="213" spans="1:20" outlineLevel="1">
      <c r="A213" s="193" t="str">
        <f>'Activity 8'!A71</f>
        <v>Investment Vehicle (Seed Funding)</v>
      </c>
      <c r="B213" s="194" t="str">
        <f>'Activity 8'!B71</f>
        <v>Unit</v>
      </c>
      <c r="C213" s="198">
        <f>'Activity 8'!C71</f>
        <v>0</v>
      </c>
      <c r="D213" s="355">
        <f>'Activity 8'!D71</f>
        <v>3000000</v>
      </c>
      <c r="E213" s="196">
        <f>'Activity 8'!E71</f>
        <v>1</v>
      </c>
      <c r="F213" s="197">
        <v>1</v>
      </c>
      <c r="G213" s="198">
        <f>D213*E213*F213</f>
        <v>3000000</v>
      </c>
      <c r="H213" s="355">
        <f>D213</f>
        <v>3000000</v>
      </c>
      <c r="I213" s="196">
        <f>'Activity 8'!I71</f>
        <v>0</v>
      </c>
      <c r="J213" s="197">
        <v>0</v>
      </c>
      <c r="K213" s="198">
        <f>H213*I213*J213</f>
        <v>0</v>
      </c>
      <c r="L213" s="355">
        <f>H213</f>
        <v>3000000</v>
      </c>
      <c r="M213" s="196">
        <f>'Activity 8'!M71</f>
        <v>0</v>
      </c>
      <c r="N213" s="197">
        <v>0</v>
      </c>
      <c r="O213" s="198">
        <f>L213*M213*N213</f>
        <v>0</v>
      </c>
      <c r="P213" s="355">
        <f>L213</f>
        <v>3000000</v>
      </c>
      <c r="Q213" s="196">
        <f>'Activity 8'!Q71</f>
        <v>0</v>
      </c>
      <c r="R213" s="197">
        <v>0</v>
      </c>
      <c r="S213" s="198">
        <f>P213*Q213*R213</f>
        <v>0</v>
      </c>
      <c r="T213" s="333">
        <f>C213+G213+K213+O213+S213</f>
        <v>3000000</v>
      </c>
    </row>
    <row r="214" spans="1:20" ht="15.6" outlineLevel="1">
      <c r="A214" s="452"/>
      <c r="B214" s="241"/>
      <c r="C214" s="245"/>
      <c r="D214" s="362"/>
      <c r="E214" s="280"/>
      <c r="F214" s="244"/>
      <c r="G214" s="245"/>
      <c r="H214" s="362"/>
      <c r="I214" s="280"/>
      <c r="J214" s="244"/>
      <c r="K214" s="245"/>
      <c r="L214" s="362"/>
      <c r="M214" s="280"/>
      <c r="N214" s="244"/>
      <c r="O214" s="245"/>
      <c r="P214" s="362"/>
      <c r="Q214" s="280"/>
      <c r="R214" s="244"/>
      <c r="S214" s="245"/>
      <c r="T214" s="200"/>
    </row>
    <row r="215" spans="1:20" ht="18.3" outlineLevel="1">
      <c r="A215" s="453" t="s">
        <v>537</v>
      </c>
      <c r="B215" s="227"/>
      <c r="C215" s="254">
        <f>SUM(C181:C214)</f>
        <v>555730.57000000007</v>
      </c>
      <c r="D215" s="359"/>
      <c r="E215" s="252"/>
      <c r="F215" s="255"/>
      <c r="G215" s="254">
        <f>SUM(G181:G214)</f>
        <v>3809838</v>
      </c>
      <c r="H215" s="359"/>
      <c r="I215" s="252"/>
      <c r="J215" s="283"/>
      <c r="K215" s="254">
        <f>SUM(K181:K214)</f>
        <v>179254</v>
      </c>
      <c r="L215" s="359"/>
      <c r="M215" s="252"/>
      <c r="N215" s="255"/>
      <c r="O215" s="254">
        <f>SUM(O181:O214)</f>
        <v>73346.16</v>
      </c>
      <c r="P215" s="359"/>
      <c r="Q215" s="252"/>
      <c r="R215" s="255"/>
      <c r="S215" s="254">
        <f>SUM(S181:S214)</f>
        <v>36577.088000000003</v>
      </c>
      <c r="T215" s="254">
        <f>SUM(T181:T214)</f>
        <v>4654745.818</v>
      </c>
    </row>
    <row r="216" spans="1:20" ht="15.6" outlineLevel="1">
      <c r="A216" s="454"/>
      <c r="B216" s="239"/>
      <c r="C216" s="198"/>
      <c r="D216" s="198"/>
      <c r="E216" s="198"/>
      <c r="F216" s="198"/>
      <c r="G216" s="198"/>
      <c r="H216" s="198"/>
      <c r="I216" s="198"/>
      <c r="K216" s="200"/>
      <c r="L216" s="361"/>
      <c r="M216" s="278"/>
      <c r="O216" s="200"/>
      <c r="P216" s="361"/>
      <c r="Q216" s="278"/>
      <c r="S216" s="200"/>
      <c r="T216" s="200"/>
    </row>
    <row r="217" spans="1:20" ht="18.3" outlineLevel="1">
      <c r="A217" s="455" t="s">
        <v>538</v>
      </c>
      <c r="B217" s="286"/>
      <c r="C217" s="290">
        <f>C46+C61+C99+C160+C179+C146+C215+C150</f>
        <v>8140871.9189999998</v>
      </c>
      <c r="D217" s="363"/>
      <c r="E217" s="288"/>
      <c r="F217" s="291"/>
      <c r="G217" s="290">
        <f>G46+G61+G99+G160+G179+G146+G215+G150</f>
        <v>8859617.6601545401</v>
      </c>
      <c r="H217" s="363"/>
      <c r="I217" s="288"/>
      <c r="J217" s="289"/>
      <c r="K217" s="290">
        <f>K46+K61+K99+K160+K179+K146+K215+K150</f>
        <v>4021301.7165267603</v>
      </c>
      <c r="L217" s="363"/>
      <c r="M217" s="288"/>
      <c r="N217" s="291"/>
      <c r="O217" s="290">
        <f>O46+O61+O99+O160+O179+O146+O215+O150</f>
        <v>3123183.5502496799</v>
      </c>
      <c r="P217" s="363"/>
      <c r="Q217" s="288"/>
      <c r="R217" s="291"/>
      <c r="S217" s="290">
        <f>S46+S61+S99+S160+S179+S146+S215+S150</f>
        <v>893403.38907163194</v>
      </c>
      <c r="T217" s="290">
        <f>T46+T61+T99+T160+T179+T146+T215+T150</f>
        <v>25038378.235002607</v>
      </c>
    </row>
    <row r="218" spans="1:20" ht="15.6">
      <c r="A218" s="456"/>
      <c r="B218" s="239"/>
      <c r="C218" s="198"/>
      <c r="D218" s="361"/>
      <c r="E218" s="278"/>
      <c r="G218" s="200"/>
      <c r="H218" s="361"/>
      <c r="I218" s="278"/>
      <c r="K218" s="200"/>
      <c r="L218" s="361"/>
      <c r="M218" s="278"/>
      <c r="O218" s="200"/>
      <c r="P218" s="361"/>
      <c r="Q218" s="278"/>
      <c r="S218" s="200"/>
      <c r="T218" s="200"/>
    </row>
    <row r="219" spans="1:20" ht="20.399999999999999">
      <c r="A219" s="457" t="s">
        <v>59</v>
      </c>
      <c r="B219" s="293"/>
      <c r="C219" s="294"/>
      <c r="D219" s="364"/>
      <c r="E219" s="294"/>
      <c r="F219" s="294"/>
      <c r="G219" s="294"/>
      <c r="H219" s="364"/>
      <c r="I219" s="294"/>
      <c r="J219" s="294"/>
      <c r="K219" s="294"/>
      <c r="L219" s="364"/>
      <c r="M219" s="294"/>
      <c r="N219" s="294"/>
      <c r="O219" s="294"/>
      <c r="P219" s="364"/>
      <c r="Q219" s="294"/>
      <c r="R219" s="294"/>
      <c r="S219" s="294"/>
      <c r="T219" s="293"/>
    </row>
    <row r="220" spans="1:20" ht="15" customHeight="1">
      <c r="A220" s="458" t="s">
        <v>60</v>
      </c>
      <c r="B220" s="296"/>
      <c r="C220" s="198">
        <f>Admin!C141</f>
        <v>1023613.2522324189</v>
      </c>
      <c r="D220" s="355">
        <f>Admin!D141</f>
        <v>1026057.5036287999</v>
      </c>
      <c r="E220" s="196">
        <f>Admin!E141</f>
        <v>1</v>
      </c>
      <c r="F220" s="197">
        <f>Admin!F141</f>
        <v>0.2828</v>
      </c>
      <c r="G220" s="198">
        <f>D220*E220*F220</f>
        <v>290169.06202622462</v>
      </c>
      <c r="H220" s="355">
        <f>Admin!H141</f>
        <v>613521.78924023989</v>
      </c>
      <c r="I220" s="196">
        <f>E220</f>
        <v>1</v>
      </c>
      <c r="J220" s="197">
        <f>F220</f>
        <v>0.2828</v>
      </c>
      <c r="K220" s="198">
        <f>H220*I220*J220</f>
        <v>173503.96199713985</v>
      </c>
      <c r="L220" s="355">
        <f>Admin!L141</f>
        <v>683291.87459025206</v>
      </c>
      <c r="M220" s="196">
        <f>I220</f>
        <v>1</v>
      </c>
      <c r="N220" s="197">
        <f>J220</f>
        <v>0.2828</v>
      </c>
      <c r="O220" s="198">
        <f>L220*M220*N220</f>
        <v>193234.94213412327</v>
      </c>
      <c r="P220" s="355">
        <f>Admin!P141</f>
        <v>522797.06340349477</v>
      </c>
      <c r="Q220" s="196">
        <f>M220</f>
        <v>1</v>
      </c>
      <c r="R220" s="197">
        <f>N220</f>
        <v>0.2828</v>
      </c>
      <c r="S220" s="198">
        <f>P220*Q220*R220</f>
        <v>147847.00953050831</v>
      </c>
      <c r="T220" s="333">
        <f>ROUNDDOWN(C220+G220+K220+O220+S220,2)</f>
        <v>1828368.22</v>
      </c>
    </row>
    <row r="221" spans="1:20" ht="15" customHeight="1">
      <c r="A221" s="458" t="s">
        <v>61</v>
      </c>
      <c r="B221" s="296"/>
      <c r="C221" s="370">
        <f>Admin!C142+'Activity 1'!C82+'Activity 2'!C90+'Activity 3'!C109+'Activity 4'!C91+'Activity 5'!C84+'Activity 6'!C91+'Activity 7'!C88+'Activity 8'!C79</f>
        <v>1350658.1529974216</v>
      </c>
      <c r="D221" s="355">
        <f>'Activity 1'!D82+'Activity 2'!D90+'Activity 3'!D109+'Activity 4'!D91+'Activity 5'!D84+'Activity 6'!D91+'Activity 7'!D88+'Activity 8'!D79</f>
        <v>4833560.1565257395</v>
      </c>
      <c r="E221" s="196">
        <f>Admin!E142</f>
        <v>1</v>
      </c>
      <c r="F221" s="197">
        <f>Admin!F142</f>
        <v>0.2828</v>
      </c>
      <c r="G221" s="198">
        <f>D221*E221*F221</f>
        <v>1366930.812265479</v>
      </c>
      <c r="H221" s="355">
        <f>'Activity 1'!H82+'Activity 2'!H90+'Activity 3'!H109+'Activity 4'!H91+'Activity 5'!H84+'Activity 6'!H91+'Activity 7'!H88+'Activity 8'!H79</f>
        <v>3407779.9272865201</v>
      </c>
      <c r="I221" s="196">
        <f>E221</f>
        <v>1</v>
      </c>
      <c r="J221" s="197">
        <f>F221</f>
        <v>0.2828</v>
      </c>
      <c r="K221" s="198">
        <f>H221*I221*J221</f>
        <v>963720.16343662783</v>
      </c>
      <c r="L221" s="355">
        <f>'Activity 1'!L82+'Activity 2'!L90+'Activity 3'!L109+'Activity 4'!L91+'Activity 5'!L84+'Activity 6'!L91+'Activity 7'!L88+'Activity 8'!L79</f>
        <v>2440087.7256594277</v>
      </c>
      <c r="M221" s="196">
        <f>I221</f>
        <v>1</v>
      </c>
      <c r="N221" s="197">
        <f>J221</f>
        <v>0.2828</v>
      </c>
      <c r="O221" s="198">
        <f>L221*M221*N221</f>
        <v>690056.80881648615</v>
      </c>
      <c r="P221" s="355">
        <f>'Activity 1'!P82+'Activity 2'!P90+'Activity 3'!P109+'Activity 4'!P91+'Activity 5'!P84+'Activity 6'!P91+'Activity 7'!P88+'Activity 8'!P79</f>
        <v>370606.32566813717</v>
      </c>
      <c r="Q221" s="196">
        <f>M221</f>
        <v>1</v>
      </c>
      <c r="R221" s="197">
        <f>N221</f>
        <v>0.2828</v>
      </c>
      <c r="S221" s="198">
        <f>P221*Q221*R221</f>
        <v>104807.46889894918</v>
      </c>
      <c r="T221" s="333">
        <f>ROUNDDOWN(C221+G221+K221+O221+S221,2)</f>
        <v>4476173.4000000004</v>
      </c>
    </row>
    <row r="222" spans="1:20">
      <c r="A222" s="459"/>
      <c r="B222" s="239"/>
      <c r="C222" s="198"/>
      <c r="D222" s="360"/>
      <c r="E222" s="298"/>
      <c r="F222" s="199"/>
      <c r="G222" s="198"/>
      <c r="H222" s="360"/>
      <c r="I222" s="298"/>
      <c r="J222" s="299"/>
      <c r="K222" s="198"/>
      <c r="L222" s="360"/>
      <c r="M222" s="298"/>
      <c r="N222" s="199"/>
      <c r="O222" s="198"/>
      <c r="P222" s="360"/>
      <c r="Q222" s="298"/>
      <c r="R222" s="199"/>
      <c r="S222" s="198"/>
      <c r="T222" s="200"/>
    </row>
    <row r="223" spans="1:20" ht="18.3">
      <c r="A223" s="455" t="s">
        <v>539</v>
      </c>
      <c r="B223" s="286"/>
      <c r="C223" s="290">
        <f>SUM(C220:C222)</f>
        <v>2374271.4052298404</v>
      </c>
      <c r="D223" s="363"/>
      <c r="E223" s="288"/>
      <c r="F223" s="291"/>
      <c r="G223" s="290">
        <f>SUM(G220:G222)</f>
        <v>1657099.8742917036</v>
      </c>
      <c r="H223" s="363"/>
      <c r="I223" s="288"/>
      <c r="J223" s="289"/>
      <c r="K223" s="290">
        <f>SUM(K220:K222)</f>
        <v>1137224.1254337677</v>
      </c>
      <c r="L223" s="363"/>
      <c r="M223" s="288"/>
      <c r="N223" s="291"/>
      <c r="O223" s="290">
        <f>SUM(O220:O222)</f>
        <v>883291.75095060945</v>
      </c>
      <c r="P223" s="363"/>
      <c r="Q223" s="288"/>
      <c r="R223" s="291"/>
      <c r="S223" s="290">
        <f>SUM(S220:S222)</f>
        <v>252654.47842945749</v>
      </c>
      <c r="T223" s="290">
        <f>SUM(T220:T222)</f>
        <v>6304541.6200000001</v>
      </c>
    </row>
    <row r="224" spans="1:20" ht="15.6">
      <c r="A224" s="460"/>
      <c r="B224" s="239"/>
      <c r="C224" s="198"/>
      <c r="D224" s="360"/>
      <c r="E224" s="298"/>
      <c r="F224" s="199"/>
      <c r="G224" s="198"/>
      <c r="H224" s="360"/>
      <c r="I224" s="298"/>
      <c r="J224" s="299"/>
      <c r="K224" s="198"/>
      <c r="L224" s="360"/>
      <c r="M224" s="298"/>
      <c r="N224" s="199"/>
      <c r="O224" s="198"/>
      <c r="P224" s="360"/>
      <c r="Q224" s="298"/>
      <c r="R224" s="199"/>
      <c r="S224" s="198"/>
      <c r="T224" s="200">
        <f>C224+G224+K224+O224+S224</f>
        <v>0</v>
      </c>
    </row>
    <row r="225" spans="1:20" ht="18.3">
      <c r="A225" s="461" t="s">
        <v>540</v>
      </c>
      <c r="B225" s="305"/>
      <c r="C225" s="309">
        <f>C217+C223</f>
        <v>10515143.32422984</v>
      </c>
      <c r="D225" s="365"/>
      <c r="E225" s="307"/>
      <c r="F225" s="310"/>
      <c r="G225" s="309">
        <f>G217+G223</f>
        <v>10516717.534446243</v>
      </c>
      <c r="H225" s="365"/>
      <c r="I225" s="307"/>
      <c r="J225" s="308"/>
      <c r="K225" s="309">
        <f>K217+K223</f>
        <v>5158525.8419605279</v>
      </c>
      <c r="L225" s="365"/>
      <c r="M225" s="307"/>
      <c r="N225" s="310"/>
      <c r="O225" s="309">
        <f>O217+O223</f>
        <v>4006475.3012002893</v>
      </c>
      <c r="P225" s="365"/>
      <c r="Q225" s="307"/>
      <c r="R225" s="310"/>
      <c r="S225" s="309">
        <f>S217+S223</f>
        <v>1146057.8675010893</v>
      </c>
      <c r="T225" s="311">
        <f>C225+G225+K225+O225+S225</f>
        <v>31342919.869337991</v>
      </c>
    </row>
    <row r="226" spans="1:20" ht="28.2" outlineLevel="1">
      <c r="A226" s="193" t="str">
        <f>'Activity 2'!A95</f>
        <v xml:space="preserve">Cost Share from Subrecipient Fundación Julio y Astrida Carrizosa ONG (IC Fundación) </v>
      </c>
      <c r="B226" s="194" t="str">
        <f>'Activity 2'!B95</f>
        <v>Contract</v>
      </c>
      <c r="C226" s="198">
        <f>'Activity 2'!C95</f>
        <v>12219.19</v>
      </c>
      <c r="D226" s="355">
        <f>'Activity 2'!D95</f>
        <v>0</v>
      </c>
      <c r="E226" s="196">
        <f>'Activity 2'!E95</f>
        <v>0</v>
      </c>
      <c r="F226" s="197">
        <v>0</v>
      </c>
      <c r="G226" s="198">
        <f t="shared" ref="G226" si="250">D226*E226*F226</f>
        <v>0</v>
      </c>
      <c r="H226" s="355">
        <f t="shared" ref="H226:H232" si="251">D226</f>
        <v>0</v>
      </c>
      <c r="I226" s="196">
        <f>'Activity 2'!I95</f>
        <v>0</v>
      </c>
      <c r="J226" s="197">
        <v>0</v>
      </c>
      <c r="K226" s="198">
        <f t="shared" ref="K226" si="252">H226*I226*J226</f>
        <v>0</v>
      </c>
      <c r="L226" s="355">
        <f t="shared" ref="L226:L232" si="253">H226</f>
        <v>0</v>
      </c>
      <c r="M226" s="196">
        <f>'Activity 2'!M95</f>
        <v>0</v>
      </c>
      <c r="N226" s="197">
        <v>0</v>
      </c>
      <c r="O226" s="198">
        <f t="shared" ref="O226" si="254">L226*M226*N226</f>
        <v>0</v>
      </c>
      <c r="P226" s="355">
        <f t="shared" ref="P226:P232" si="255">L226</f>
        <v>0</v>
      </c>
      <c r="Q226" s="196">
        <f>'Activity 2'!Q95</f>
        <v>0</v>
      </c>
      <c r="R226" s="197">
        <v>0</v>
      </c>
      <c r="S226" s="198">
        <f t="shared" ref="S226" si="256">P226*Q226*R226</f>
        <v>0</v>
      </c>
      <c r="T226" s="350">
        <f t="shared" ref="T226" si="257">C226+G226+K226+O226+S226</f>
        <v>12219.19</v>
      </c>
    </row>
    <row r="227" spans="1:20" outlineLevel="1">
      <c r="A227" s="193" t="str">
        <f>'Activity 2'!A96</f>
        <v>Credit for Producer Organizations</v>
      </c>
      <c r="B227" s="194" t="str">
        <f>'Activity 2'!B96</f>
        <v>Contract</v>
      </c>
      <c r="C227" s="198">
        <f>'Activity 2'!C96</f>
        <v>0</v>
      </c>
      <c r="D227" s="355">
        <f>'Activity 2'!D96</f>
        <v>100000</v>
      </c>
      <c r="E227" s="196">
        <f>'Activity 2'!E96</f>
        <v>1</v>
      </c>
      <c r="F227" s="197">
        <v>1</v>
      </c>
      <c r="G227" s="198">
        <f t="shared" ref="G227:G232" si="258">D227*E227*F227</f>
        <v>100000</v>
      </c>
      <c r="H227" s="355">
        <f t="shared" si="251"/>
        <v>100000</v>
      </c>
      <c r="I227" s="196">
        <f>'Activity 2'!I96</f>
        <v>1</v>
      </c>
      <c r="J227" s="197">
        <v>1</v>
      </c>
      <c r="K227" s="198">
        <f t="shared" ref="K227:K232" si="259">H227*I227*J227</f>
        <v>100000</v>
      </c>
      <c r="L227" s="355">
        <f t="shared" si="253"/>
        <v>100000</v>
      </c>
      <c r="M227" s="196">
        <f>'Activity 2'!M96</f>
        <v>1</v>
      </c>
      <c r="N227" s="197">
        <v>1</v>
      </c>
      <c r="O227" s="198">
        <f t="shared" ref="O227:O232" si="260">L227*M227*N227</f>
        <v>100000</v>
      </c>
      <c r="P227" s="355">
        <f t="shared" si="255"/>
        <v>100000</v>
      </c>
      <c r="Q227" s="196">
        <f>'Activity 2'!Q96</f>
        <v>0</v>
      </c>
      <c r="R227" s="197">
        <v>0</v>
      </c>
      <c r="S227" s="198">
        <f t="shared" ref="S227:S232" si="261">P227*Q227*R227</f>
        <v>0</v>
      </c>
      <c r="T227" s="333">
        <f t="shared" ref="T227:T232" si="262">C227+G227+K227+O227+S227</f>
        <v>300000</v>
      </c>
    </row>
    <row r="228" spans="1:20" outlineLevel="1">
      <c r="A228" s="193" t="str">
        <f>'Activity 3'!A114</f>
        <v>Luker Chocolate Donations</v>
      </c>
      <c r="B228" s="194" t="str">
        <f>'Activity 3'!B114</f>
        <v>Contract</v>
      </c>
      <c r="C228" s="198">
        <f>'Activity 3'!C114</f>
        <v>32943.58</v>
      </c>
      <c r="D228" s="355">
        <f>'Activity 3'!D114</f>
        <v>90000</v>
      </c>
      <c r="E228" s="196">
        <f>'Activity 3'!E114</f>
        <v>0.5</v>
      </c>
      <c r="F228" s="197">
        <v>1</v>
      </c>
      <c r="G228" s="198">
        <f t="shared" si="258"/>
        <v>45000</v>
      </c>
      <c r="H228" s="355">
        <f t="shared" si="251"/>
        <v>90000</v>
      </c>
      <c r="I228" s="196">
        <f>'Activity 3'!I114</f>
        <v>0.5</v>
      </c>
      <c r="J228" s="197">
        <v>1</v>
      </c>
      <c r="K228" s="198">
        <f t="shared" si="259"/>
        <v>45000</v>
      </c>
      <c r="L228" s="355">
        <f t="shared" si="253"/>
        <v>90000</v>
      </c>
      <c r="M228" s="196">
        <f>'Activity 3'!M114</f>
        <v>0</v>
      </c>
      <c r="N228" s="197">
        <v>0</v>
      </c>
      <c r="O228" s="198">
        <f t="shared" si="260"/>
        <v>0</v>
      </c>
      <c r="P228" s="355">
        <f t="shared" si="255"/>
        <v>90000</v>
      </c>
      <c r="Q228" s="196">
        <f>'Activity 3'!Q114</f>
        <v>0</v>
      </c>
      <c r="R228" s="197">
        <v>0</v>
      </c>
      <c r="S228" s="198">
        <f t="shared" si="261"/>
        <v>0</v>
      </c>
      <c r="T228" s="333">
        <f t="shared" si="262"/>
        <v>122943.58</v>
      </c>
    </row>
    <row r="229" spans="1:20" outlineLevel="1">
      <c r="A229" s="193" t="str">
        <f>'Activity 3'!A115</f>
        <v>Fundación Nutresa Donations</v>
      </c>
      <c r="B229" s="194" t="str">
        <f>'Activity 3'!B115</f>
        <v>Contract</v>
      </c>
      <c r="C229" s="198">
        <f>'Activity 3'!C115</f>
        <v>105146.98</v>
      </c>
      <c r="D229" s="355">
        <f>'Activity 3'!D115</f>
        <v>10500</v>
      </c>
      <c r="E229" s="196">
        <f>'Activity 3'!E115</f>
        <v>1</v>
      </c>
      <c r="F229" s="197">
        <v>1</v>
      </c>
      <c r="G229" s="198">
        <f t="shared" si="258"/>
        <v>10500</v>
      </c>
      <c r="H229" s="355">
        <f t="shared" si="251"/>
        <v>10500</v>
      </c>
      <c r="I229" s="196">
        <f>'Activity 3'!I115</f>
        <v>1</v>
      </c>
      <c r="J229" s="197">
        <v>1</v>
      </c>
      <c r="K229" s="198">
        <f t="shared" si="259"/>
        <v>10500</v>
      </c>
      <c r="L229" s="355">
        <f t="shared" si="253"/>
        <v>10500</v>
      </c>
      <c r="M229" s="196">
        <f>'Activity 3'!M115</f>
        <v>1</v>
      </c>
      <c r="N229" s="197">
        <v>1</v>
      </c>
      <c r="O229" s="198">
        <f t="shared" si="260"/>
        <v>10500</v>
      </c>
      <c r="P229" s="355">
        <f t="shared" si="255"/>
        <v>10500</v>
      </c>
      <c r="Q229" s="196">
        <f>'Activity 3'!Q115</f>
        <v>0</v>
      </c>
      <c r="R229" s="197">
        <v>0</v>
      </c>
      <c r="S229" s="198">
        <f t="shared" si="261"/>
        <v>0</v>
      </c>
      <c r="T229" s="333">
        <f t="shared" si="262"/>
        <v>136646.97999999998</v>
      </c>
    </row>
    <row r="230" spans="1:20" outlineLevel="1">
      <c r="A230" s="193" t="str">
        <f>'Activity 3'!A116</f>
        <v>Nacional de Chocolates Donations</v>
      </c>
      <c r="B230" s="194" t="str">
        <f>'Activity 3'!B116</f>
        <v>Contract</v>
      </c>
      <c r="C230" s="198">
        <f>'Activity 3'!C116</f>
        <v>0</v>
      </c>
      <c r="D230" s="355">
        <f>'Activity 3'!D116</f>
        <v>170000</v>
      </c>
      <c r="E230" s="196">
        <f>'Activity 3'!E116</f>
        <v>1</v>
      </c>
      <c r="F230" s="197">
        <v>1</v>
      </c>
      <c r="G230" s="198">
        <f t="shared" si="258"/>
        <v>170000</v>
      </c>
      <c r="H230" s="355">
        <f t="shared" si="251"/>
        <v>170000</v>
      </c>
      <c r="I230" s="196">
        <f>'Activity 3'!I116</f>
        <v>1</v>
      </c>
      <c r="J230" s="197">
        <v>1</v>
      </c>
      <c r="K230" s="198">
        <f t="shared" si="259"/>
        <v>170000</v>
      </c>
      <c r="L230" s="355">
        <f t="shared" si="253"/>
        <v>170000</v>
      </c>
      <c r="M230" s="196">
        <f>'Activity 3'!M116</f>
        <v>1</v>
      </c>
      <c r="N230" s="197">
        <v>1</v>
      </c>
      <c r="O230" s="198">
        <f t="shared" si="260"/>
        <v>170000</v>
      </c>
      <c r="P230" s="355">
        <f t="shared" si="255"/>
        <v>170000</v>
      </c>
      <c r="Q230" s="196">
        <f>'Activity 3'!Q116</f>
        <v>1</v>
      </c>
      <c r="R230" s="197">
        <v>1</v>
      </c>
      <c r="S230" s="198">
        <f t="shared" si="261"/>
        <v>170000</v>
      </c>
      <c r="T230" s="333">
        <f t="shared" si="262"/>
        <v>680000</v>
      </c>
    </row>
    <row r="231" spans="1:20" outlineLevel="1">
      <c r="A231" s="193" t="str">
        <f>'Activity 4'!A96</f>
        <v>Subrecipient: Agrosavia</v>
      </c>
      <c r="B231" s="194" t="str">
        <f>'Activity 4'!B96</f>
        <v>Subrecipient</v>
      </c>
      <c r="C231" s="198">
        <f>'Activity 4'!C96</f>
        <v>32943.58</v>
      </c>
      <c r="D231" s="355">
        <f>'Activity 4'!D96</f>
        <v>30000</v>
      </c>
      <c r="E231" s="196">
        <f>'Activity 4'!E96</f>
        <v>1</v>
      </c>
      <c r="F231" s="197">
        <v>1</v>
      </c>
      <c r="G231" s="198">
        <f t="shared" si="258"/>
        <v>30000</v>
      </c>
      <c r="H231" s="355">
        <f t="shared" si="251"/>
        <v>30000</v>
      </c>
      <c r="I231" s="196">
        <f>'Activity 4'!I96</f>
        <v>1</v>
      </c>
      <c r="J231" s="197">
        <v>1</v>
      </c>
      <c r="K231" s="198">
        <f t="shared" si="259"/>
        <v>30000</v>
      </c>
      <c r="L231" s="355">
        <f t="shared" si="253"/>
        <v>30000</v>
      </c>
      <c r="M231" s="196">
        <f>'Activity 4'!M96</f>
        <v>1</v>
      </c>
      <c r="N231" s="197">
        <v>1</v>
      </c>
      <c r="O231" s="198">
        <f t="shared" si="260"/>
        <v>30000</v>
      </c>
      <c r="P231" s="355">
        <f t="shared" si="255"/>
        <v>30000</v>
      </c>
      <c r="Q231" s="196">
        <f>'Activity 4'!Q96</f>
        <v>0</v>
      </c>
      <c r="R231" s="197">
        <v>0</v>
      </c>
      <c r="S231" s="198">
        <f t="shared" si="261"/>
        <v>0</v>
      </c>
      <c r="T231" s="333">
        <f t="shared" si="262"/>
        <v>122943.58</v>
      </c>
    </row>
    <row r="232" spans="1:20" outlineLevel="1">
      <c r="A232" s="193" t="str">
        <f>'Activity 4'!A97</f>
        <v>Fedecacao Donations for Cacao Crop Renewal Program</v>
      </c>
      <c r="B232" s="194" t="str">
        <f>'Activity 4'!B97</f>
        <v>Contract</v>
      </c>
      <c r="C232" s="198">
        <f>'Activity 4'!C97</f>
        <v>0</v>
      </c>
      <c r="D232" s="355">
        <f>'Activity 4'!D97</f>
        <v>18985</v>
      </c>
      <c r="E232" s="196">
        <f>'Activity 4'!E97</f>
        <v>0.5</v>
      </c>
      <c r="F232" s="197">
        <v>1</v>
      </c>
      <c r="G232" s="198">
        <f t="shared" si="258"/>
        <v>9492.5</v>
      </c>
      <c r="H232" s="355">
        <f t="shared" si="251"/>
        <v>18985</v>
      </c>
      <c r="I232" s="196">
        <f>'Activity 4'!I97</f>
        <v>0.5</v>
      </c>
      <c r="J232" s="197">
        <v>1</v>
      </c>
      <c r="K232" s="198">
        <f t="shared" si="259"/>
        <v>9492.5</v>
      </c>
      <c r="L232" s="355">
        <f t="shared" si="253"/>
        <v>18985</v>
      </c>
      <c r="M232" s="196">
        <f>'Activity 4'!M97</f>
        <v>0</v>
      </c>
      <c r="N232" s="197">
        <v>1</v>
      </c>
      <c r="O232" s="198">
        <f t="shared" si="260"/>
        <v>0</v>
      </c>
      <c r="P232" s="355">
        <f t="shared" si="255"/>
        <v>18985</v>
      </c>
      <c r="Q232" s="196">
        <f>'Activity 4'!Q97</f>
        <v>0</v>
      </c>
      <c r="R232" s="197">
        <v>0</v>
      </c>
      <c r="S232" s="198">
        <f t="shared" si="261"/>
        <v>0</v>
      </c>
      <c r="T232" s="333">
        <f t="shared" si="262"/>
        <v>18985</v>
      </c>
    </row>
    <row r="233" spans="1:20" ht="28.2">
      <c r="A233" s="193" t="str">
        <f>'Activity 5'!A89</f>
        <v>Seguros Bolivar - Expand Cacao Parametric Insurance Coverage - Policy Cost</v>
      </c>
      <c r="B233" s="194" t="str">
        <f>'Activity 5'!B89</f>
        <v>Unit</v>
      </c>
      <c r="C233" s="198">
        <f>'Activity 5'!C89</f>
        <v>434189.75</v>
      </c>
      <c r="D233" s="355">
        <f>'Activity 5'!D89</f>
        <v>100000</v>
      </c>
      <c r="E233" s="196">
        <f>'Activity 5'!E89</f>
        <v>0</v>
      </c>
      <c r="F233" s="197">
        <v>0</v>
      </c>
      <c r="G233" s="198">
        <f t="shared" ref="G233" si="263">D233*E233*F233</f>
        <v>0</v>
      </c>
      <c r="H233" s="355">
        <f t="shared" ref="H233" si="264">D233</f>
        <v>100000</v>
      </c>
      <c r="I233" s="196">
        <f>'Activity 5'!I89</f>
        <v>1</v>
      </c>
      <c r="J233" s="197">
        <v>1</v>
      </c>
      <c r="K233" s="198">
        <f t="shared" ref="K233" si="265">H233*I233*J233</f>
        <v>100000</v>
      </c>
      <c r="L233" s="355">
        <f t="shared" ref="L233" si="266">H233</f>
        <v>100000</v>
      </c>
      <c r="M233" s="196">
        <f>'Activity 5'!M89</f>
        <v>0.5</v>
      </c>
      <c r="N233" s="197">
        <v>1</v>
      </c>
      <c r="O233" s="198">
        <f t="shared" ref="O233" si="267">L233*M233*N233</f>
        <v>50000</v>
      </c>
      <c r="P233" s="355">
        <f t="shared" ref="P233" si="268">L233</f>
        <v>100000</v>
      </c>
      <c r="Q233" s="196">
        <f>'Activity 5'!Q89</f>
        <v>0</v>
      </c>
      <c r="R233" s="197">
        <v>0</v>
      </c>
      <c r="S233" s="198">
        <f t="shared" ref="S233" si="269">P233*Q233*R233</f>
        <v>0</v>
      </c>
      <c r="T233" s="350">
        <f t="shared" ref="T233" si="270">C233+G233+K233+O233+S233</f>
        <v>584189.75</v>
      </c>
    </row>
    <row r="234" spans="1:20" ht="18.3">
      <c r="A234" s="461" t="s">
        <v>541</v>
      </c>
      <c r="B234" s="305"/>
      <c r="C234" s="309">
        <f>SUM(C225:C233)</f>
        <v>11132586.40422984</v>
      </c>
      <c r="D234" s="365"/>
      <c r="E234" s="307"/>
      <c r="F234" s="310"/>
      <c r="G234" s="309">
        <f>SUM(G225:G233)</f>
        <v>10881710.034446243</v>
      </c>
      <c r="H234" s="365"/>
      <c r="I234" s="307"/>
      <c r="J234" s="308"/>
      <c r="K234" s="309">
        <f>SUM(K225:K233)</f>
        <v>5623518.3419605279</v>
      </c>
      <c r="L234" s="365"/>
      <c r="M234" s="307"/>
      <c r="N234" s="310"/>
      <c r="O234" s="309">
        <f>SUM(O225:O233)</f>
        <v>4366975.3012002893</v>
      </c>
      <c r="P234" s="365"/>
      <c r="Q234" s="307"/>
      <c r="R234" s="310"/>
      <c r="S234" s="309">
        <f>SUM(S225:S233)</f>
        <v>1316057.8675010893</v>
      </c>
      <c r="T234" s="309">
        <f>SUM(T225:T233)</f>
        <v>33320847.949337989</v>
      </c>
    </row>
    <row r="235" spans="1:20">
      <c r="A235" s="462"/>
      <c r="B235" s="194"/>
      <c r="T235" s="200"/>
    </row>
    <row r="236" spans="1:20" ht="31.2">
      <c r="A236" s="463" t="s">
        <v>542</v>
      </c>
      <c r="B236" s="317"/>
      <c r="C236" s="321"/>
      <c r="D236" s="366"/>
      <c r="E236" s="319"/>
      <c r="F236" s="322"/>
      <c r="G236" s="323"/>
      <c r="H236" s="366"/>
      <c r="I236" s="319"/>
      <c r="J236" s="320"/>
      <c r="K236" s="323"/>
      <c r="L236" s="366"/>
      <c r="M236" s="319"/>
      <c r="N236" s="322"/>
      <c r="O236" s="323"/>
      <c r="P236" s="366"/>
      <c r="Q236" s="319"/>
      <c r="R236" s="322"/>
      <c r="S236" s="323"/>
      <c r="T236" s="323">
        <f>'USDA Budget Summary'!F64</f>
        <v>932916</v>
      </c>
    </row>
    <row r="238" spans="1:20">
      <c r="G238" s="344"/>
    </row>
  </sheetData>
  <mergeCells count="8">
    <mergeCell ref="P2:S2"/>
    <mergeCell ref="T2:T3"/>
    <mergeCell ref="A2:A3"/>
    <mergeCell ref="B2:B3"/>
    <mergeCell ref="D2:G2"/>
    <mergeCell ref="H2:K2"/>
    <mergeCell ref="L2:O2"/>
    <mergeCell ref="C2:C3"/>
  </mergeCells>
  <printOptions horizontalCentered="1"/>
  <pageMargins left="0.25" right="0.25" top="0.75" bottom="0.75" header="0.3" footer="0.3"/>
  <pageSetup scale="14" orientation="landscape" r:id="rId1"/>
  <headerFooter alignWithMargins="0"/>
  <rowBreaks count="1" manualBreakCount="1">
    <brk id="224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D678-7AFE-41C7-895A-A79E31A9668A}">
  <sheetPr>
    <tabColor theme="8"/>
    <pageSetUpPr fitToPage="1"/>
  </sheetPr>
  <dimension ref="A1:AG153"/>
  <sheetViews>
    <sheetView showOutlineSymbols="0" showWhiteSpace="0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90" sqref="E90"/>
    </sheetView>
  </sheetViews>
  <sheetFormatPr defaultColWidth="8.71875" defaultRowHeight="14.4" outlineLevelRow="1" outlineLevelCol="1"/>
  <cols>
    <col min="1" max="1" width="61.1640625" style="157" customWidth="1"/>
    <col min="2" max="2" width="13" style="157" customWidth="1"/>
    <col min="3" max="3" width="25.1640625" style="157" customWidth="1"/>
    <col min="4" max="4" width="15.1640625" style="158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158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158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158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330" customWidth="1"/>
    <col min="21" max="21" width="9" style="157" customWidth="1"/>
    <col min="22" max="22" width="8.83203125" style="157" customWidth="1"/>
    <col min="23" max="23" width="10.83203125" style="157" customWidth="1"/>
    <col min="24" max="24" width="8.83203125" style="157" customWidth="1"/>
    <col min="25" max="25" width="10.83203125" style="157" customWidth="1"/>
    <col min="26" max="26" width="4.83203125" style="157" customWidth="1"/>
    <col min="27" max="27" width="4.83203125" style="157" hidden="1" customWidth="1"/>
    <col min="28" max="28" width="7" style="162" hidden="1" customWidth="1"/>
    <col min="29" max="29" width="19.1640625" style="157" hidden="1" customWidth="1"/>
    <col min="30" max="30" width="34" style="157" hidden="1" customWidth="1"/>
    <col min="31" max="31" width="9.83203125" style="157" hidden="1" customWidth="1"/>
    <col min="32" max="32" width="9.83203125" style="157" customWidth="1"/>
    <col min="33" max="33" width="14.1640625" style="157" customWidth="1"/>
    <col min="34" max="261" width="8.83203125" style="157"/>
    <col min="262" max="262" width="38.1640625" style="157" customWidth="1"/>
    <col min="263" max="263" width="23.44140625" style="157" bestFit="1" customWidth="1"/>
    <col min="264" max="265" width="9.1640625" style="157" customWidth="1"/>
    <col min="266" max="266" width="11.1640625" style="157" bestFit="1" customWidth="1"/>
    <col min="267" max="267" width="14.44140625" style="157" bestFit="1" customWidth="1"/>
    <col min="268" max="268" width="8.1640625" style="157" customWidth="1"/>
    <col min="269" max="269" width="10.83203125" style="157" bestFit="1" customWidth="1"/>
    <col min="270" max="270" width="12.1640625" style="157" bestFit="1" customWidth="1"/>
    <col min="271" max="271" width="9.1640625" style="157" customWidth="1"/>
    <col min="272" max="272" width="10.83203125" style="157" bestFit="1" customWidth="1"/>
    <col min="273" max="273" width="12.1640625" style="157" bestFit="1" customWidth="1"/>
    <col min="274" max="274" width="8" style="157" customWidth="1"/>
    <col min="275" max="275" width="10.83203125" style="157" bestFit="1" customWidth="1"/>
    <col min="276" max="276" width="12.1640625" style="157" bestFit="1" customWidth="1"/>
    <col min="277" max="277" width="8.1640625" style="157" bestFit="1" customWidth="1"/>
    <col min="278" max="278" width="10.83203125" style="157" bestFit="1" customWidth="1"/>
    <col min="279" max="279" width="12.1640625" style="157" bestFit="1" customWidth="1"/>
    <col min="280" max="280" width="18.1640625" style="157" bestFit="1" customWidth="1"/>
    <col min="281" max="281" width="10.83203125" style="157" bestFit="1" customWidth="1"/>
    <col min="282" max="517" width="8.83203125" style="157"/>
    <col min="518" max="518" width="38.1640625" style="157" customWidth="1"/>
    <col min="519" max="519" width="23.44140625" style="157" bestFit="1" customWidth="1"/>
    <col min="520" max="521" width="9.1640625" style="157" customWidth="1"/>
    <col min="522" max="522" width="11.1640625" style="157" bestFit="1" customWidth="1"/>
    <col min="523" max="523" width="14.44140625" style="157" bestFit="1" customWidth="1"/>
    <col min="524" max="524" width="8.1640625" style="157" customWidth="1"/>
    <col min="525" max="525" width="10.83203125" style="157" bestFit="1" customWidth="1"/>
    <col min="526" max="526" width="12.1640625" style="157" bestFit="1" customWidth="1"/>
    <col min="527" max="527" width="9.1640625" style="157" customWidth="1"/>
    <col min="528" max="528" width="10.83203125" style="157" bestFit="1" customWidth="1"/>
    <col min="529" max="529" width="12.1640625" style="157" bestFit="1" customWidth="1"/>
    <col min="530" max="530" width="8" style="157" customWidth="1"/>
    <col min="531" max="531" width="10.83203125" style="157" bestFit="1" customWidth="1"/>
    <col min="532" max="532" width="12.1640625" style="157" bestFit="1" customWidth="1"/>
    <col min="533" max="533" width="8.1640625" style="157" bestFit="1" customWidth="1"/>
    <col min="534" max="534" width="10.83203125" style="157" bestFit="1" customWidth="1"/>
    <col min="535" max="535" width="12.1640625" style="157" bestFit="1" customWidth="1"/>
    <col min="536" max="536" width="18.1640625" style="157" bestFit="1" customWidth="1"/>
    <col min="537" max="537" width="10.83203125" style="157" bestFit="1" customWidth="1"/>
    <col min="538" max="773" width="8.83203125" style="157"/>
    <col min="774" max="774" width="38.1640625" style="157" customWidth="1"/>
    <col min="775" max="775" width="23.44140625" style="157" bestFit="1" customWidth="1"/>
    <col min="776" max="777" width="9.1640625" style="157" customWidth="1"/>
    <col min="778" max="778" width="11.1640625" style="157" bestFit="1" customWidth="1"/>
    <col min="779" max="779" width="14.44140625" style="157" bestFit="1" customWidth="1"/>
    <col min="780" max="780" width="8.1640625" style="157" customWidth="1"/>
    <col min="781" max="781" width="10.83203125" style="157" bestFit="1" customWidth="1"/>
    <col min="782" max="782" width="12.1640625" style="157" bestFit="1" customWidth="1"/>
    <col min="783" max="783" width="9.1640625" style="157" customWidth="1"/>
    <col min="784" max="784" width="10.83203125" style="157" bestFit="1" customWidth="1"/>
    <col min="785" max="785" width="12.1640625" style="157" bestFit="1" customWidth="1"/>
    <col min="786" max="786" width="8" style="157" customWidth="1"/>
    <col min="787" max="787" width="10.83203125" style="157" bestFit="1" customWidth="1"/>
    <col min="788" max="788" width="12.1640625" style="157" bestFit="1" customWidth="1"/>
    <col min="789" max="789" width="8.1640625" style="157" bestFit="1" customWidth="1"/>
    <col min="790" max="790" width="10.83203125" style="157" bestFit="1" customWidth="1"/>
    <col min="791" max="791" width="12.1640625" style="157" bestFit="1" customWidth="1"/>
    <col min="792" max="792" width="18.1640625" style="157" bestFit="1" customWidth="1"/>
    <col min="793" max="793" width="10.83203125" style="157" bestFit="1" customWidth="1"/>
    <col min="794" max="1029" width="8.83203125" style="157"/>
    <col min="1030" max="1030" width="38.1640625" style="157" customWidth="1"/>
    <col min="1031" max="1031" width="23.44140625" style="157" bestFit="1" customWidth="1"/>
    <col min="1032" max="1033" width="9.1640625" style="157" customWidth="1"/>
    <col min="1034" max="1034" width="11.1640625" style="157" bestFit="1" customWidth="1"/>
    <col min="1035" max="1035" width="14.44140625" style="157" bestFit="1" customWidth="1"/>
    <col min="1036" max="1036" width="8.1640625" style="157" customWidth="1"/>
    <col min="1037" max="1037" width="10.83203125" style="157" bestFit="1" customWidth="1"/>
    <col min="1038" max="1038" width="12.1640625" style="157" bestFit="1" customWidth="1"/>
    <col min="1039" max="1039" width="9.1640625" style="157" customWidth="1"/>
    <col min="1040" max="1040" width="10.83203125" style="157" bestFit="1" customWidth="1"/>
    <col min="1041" max="1041" width="12.1640625" style="157" bestFit="1" customWidth="1"/>
    <col min="1042" max="1042" width="8" style="157" customWidth="1"/>
    <col min="1043" max="1043" width="10.83203125" style="157" bestFit="1" customWidth="1"/>
    <col min="1044" max="1044" width="12.1640625" style="157" bestFit="1" customWidth="1"/>
    <col min="1045" max="1045" width="8.1640625" style="157" bestFit="1" customWidth="1"/>
    <col min="1046" max="1046" width="10.83203125" style="157" bestFit="1" customWidth="1"/>
    <col min="1047" max="1047" width="12.1640625" style="157" bestFit="1" customWidth="1"/>
    <col min="1048" max="1048" width="18.1640625" style="157" bestFit="1" customWidth="1"/>
    <col min="1049" max="1049" width="10.83203125" style="157" bestFit="1" customWidth="1"/>
    <col min="1050" max="1285" width="8.83203125" style="157"/>
    <col min="1286" max="1286" width="38.1640625" style="157" customWidth="1"/>
    <col min="1287" max="1287" width="23.44140625" style="157" bestFit="1" customWidth="1"/>
    <col min="1288" max="1289" width="9.1640625" style="157" customWidth="1"/>
    <col min="1290" max="1290" width="11.1640625" style="157" bestFit="1" customWidth="1"/>
    <col min="1291" max="1291" width="14.44140625" style="157" bestFit="1" customWidth="1"/>
    <col min="1292" max="1292" width="8.1640625" style="157" customWidth="1"/>
    <col min="1293" max="1293" width="10.83203125" style="157" bestFit="1" customWidth="1"/>
    <col min="1294" max="1294" width="12.1640625" style="157" bestFit="1" customWidth="1"/>
    <col min="1295" max="1295" width="9.1640625" style="157" customWidth="1"/>
    <col min="1296" max="1296" width="10.83203125" style="157" bestFit="1" customWidth="1"/>
    <col min="1297" max="1297" width="12.1640625" style="157" bestFit="1" customWidth="1"/>
    <col min="1298" max="1298" width="8" style="157" customWidth="1"/>
    <col min="1299" max="1299" width="10.83203125" style="157" bestFit="1" customWidth="1"/>
    <col min="1300" max="1300" width="12.1640625" style="157" bestFit="1" customWidth="1"/>
    <col min="1301" max="1301" width="8.1640625" style="157" bestFit="1" customWidth="1"/>
    <col min="1302" max="1302" width="10.83203125" style="157" bestFit="1" customWidth="1"/>
    <col min="1303" max="1303" width="12.1640625" style="157" bestFit="1" customWidth="1"/>
    <col min="1304" max="1304" width="18.1640625" style="157" bestFit="1" customWidth="1"/>
    <col min="1305" max="1305" width="10.83203125" style="157" bestFit="1" customWidth="1"/>
    <col min="1306" max="1541" width="8.83203125" style="157"/>
    <col min="1542" max="1542" width="38.1640625" style="157" customWidth="1"/>
    <col min="1543" max="1543" width="23.44140625" style="157" bestFit="1" customWidth="1"/>
    <col min="1544" max="1545" width="9.1640625" style="157" customWidth="1"/>
    <col min="1546" max="1546" width="11.1640625" style="157" bestFit="1" customWidth="1"/>
    <col min="1547" max="1547" width="14.44140625" style="157" bestFit="1" customWidth="1"/>
    <col min="1548" max="1548" width="8.1640625" style="157" customWidth="1"/>
    <col min="1549" max="1549" width="10.83203125" style="157" bestFit="1" customWidth="1"/>
    <col min="1550" max="1550" width="12.1640625" style="157" bestFit="1" customWidth="1"/>
    <col min="1551" max="1551" width="9.1640625" style="157" customWidth="1"/>
    <col min="1552" max="1552" width="10.83203125" style="157" bestFit="1" customWidth="1"/>
    <col min="1553" max="1553" width="12.1640625" style="157" bestFit="1" customWidth="1"/>
    <col min="1554" max="1554" width="8" style="157" customWidth="1"/>
    <col min="1555" max="1555" width="10.83203125" style="157" bestFit="1" customWidth="1"/>
    <col min="1556" max="1556" width="12.1640625" style="157" bestFit="1" customWidth="1"/>
    <col min="1557" max="1557" width="8.1640625" style="157" bestFit="1" customWidth="1"/>
    <col min="1558" max="1558" width="10.83203125" style="157" bestFit="1" customWidth="1"/>
    <col min="1559" max="1559" width="12.1640625" style="157" bestFit="1" customWidth="1"/>
    <col min="1560" max="1560" width="18.1640625" style="157" bestFit="1" customWidth="1"/>
    <col min="1561" max="1561" width="10.83203125" style="157" bestFit="1" customWidth="1"/>
    <col min="1562" max="1797" width="8.83203125" style="157"/>
    <col min="1798" max="1798" width="38.1640625" style="157" customWidth="1"/>
    <col min="1799" max="1799" width="23.44140625" style="157" bestFit="1" customWidth="1"/>
    <col min="1800" max="1801" width="9.1640625" style="157" customWidth="1"/>
    <col min="1802" max="1802" width="11.1640625" style="157" bestFit="1" customWidth="1"/>
    <col min="1803" max="1803" width="14.44140625" style="157" bestFit="1" customWidth="1"/>
    <col min="1804" max="1804" width="8.1640625" style="157" customWidth="1"/>
    <col min="1805" max="1805" width="10.83203125" style="157" bestFit="1" customWidth="1"/>
    <col min="1806" max="1806" width="12.1640625" style="157" bestFit="1" customWidth="1"/>
    <col min="1807" max="1807" width="9.1640625" style="157" customWidth="1"/>
    <col min="1808" max="1808" width="10.83203125" style="157" bestFit="1" customWidth="1"/>
    <col min="1809" max="1809" width="12.1640625" style="157" bestFit="1" customWidth="1"/>
    <col min="1810" max="1810" width="8" style="157" customWidth="1"/>
    <col min="1811" max="1811" width="10.83203125" style="157" bestFit="1" customWidth="1"/>
    <col min="1812" max="1812" width="12.1640625" style="157" bestFit="1" customWidth="1"/>
    <col min="1813" max="1813" width="8.1640625" style="157" bestFit="1" customWidth="1"/>
    <col min="1814" max="1814" width="10.83203125" style="157" bestFit="1" customWidth="1"/>
    <col min="1815" max="1815" width="12.1640625" style="157" bestFit="1" customWidth="1"/>
    <col min="1816" max="1816" width="18.1640625" style="157" bestFit="1" customWidth="1"/>
    <col min="1817" max="1817" width="10.83203125" style="157" bestFit="1" customWidth="1"/>
    <col min="1818" max="2053" width="8.83203125" style="157"/>
    <col min="2054" max="2054" width="38.1640625" style="157" customWidth="1"/>
    <col min="2055" max="2055" width="23.44140625" style="157" bestFit="1" customWidth="1"/>
    <col min="2056" max="2057" width="9.1640625" style="157" customWidth="1"/>
    <col min="2058" max="2058" width="11.1640625" style="157" bestFit="1" customWidth="1"/>
    <col min="2059" max="2059" width="14.44140625" style="157" bestFit="1" customWidth="1"/>
    <col min="2060" max="2060" width="8.1640625" style="157" customWidth="1"/>
    <col min="2061" max="2061" width="10.83203125" style="157" bestFit="1" customWidth="1"/>
    <col min="2062" max="2062" width="12.1640625" style="157" bestFit="1" customWidth="1"/>
    <col min="2063" max="2063" width="9.1640625" style="157" customWidth="1"/>
    <col min="2064" max="2064" width="10.83203125" style="157" bestFit="1" customWidth="1"/>
    <col min="2065" max="2065" width="12.1640625" style="157" bestFit="1" customWidth="1"/>
    <col min="2066" max="2066" width="8" style="157" customWidth="1"/>
    <col min="2067" max="2067" width="10.83203125" style="157" bestFit="1" customWidth="1"/>
    <col min="2068" max="2068" width="12.1640625" style="157" bestFit="1" customWidth="1"/>
    <col min="2069" max="2069" width="8.1640625" style="157" bestFit="1" customWidth="1"/>
    <col min="2070" max="2070" width="10.83203125" style="157" bestFit="1" customWidth="1"/>
    <col min="2071" max="2071" width="12.1640625" style="157" bestFit="1" customWidth="1"/>
    <col min="2072" max="2072" width="18.1640625" style="157" bestFit="1" customWidth="1"/>
    <col min="2073" max="2073" width="10.83203125" style="157" bestFit="1" customWidth="1"/>
    <col min="2074" max="2309" width="8.83203125" style="157"/>
    <col min="2310" max="2310" width="38.1640625" style="157" customWidth="1"/>
    <col min="2311" max="2311" width="23.44140625" style="157" bestFit="1" customWidth="1"/>
    <col min="2312" max="2313" width="9.1640625" style="157" customWidth="1"/>
    <col min="2314" max="2314" width="11.1640625" style="157" bestFit="1" customWidth="1"/>
    <col min="2315" max="2315" width="14.44140625" style="157" bestFit="1" customWidth="1"/>
    <col min="2316" max="2316" width="8.1640625" style="157" customWidth="1"/>
    <col min="2317" max="2317" width="10.83203125" style="157" bestFit="1" customWidth="1"/>
    <col min="2318" max="2318" width="12.1640625" style="157" bestFit="1" customWidth="1"/>
    <col min="2319" max="2319" width="9.1640625" style="157" customWidth="1"/>
    <col min="2320" max="2320" width="10.83203125" style="157" bestFit="1" customWidth="1"/>
    <col min="2321" max="2321" width="12.1640625" style="157" bestFit="1" customWidth="1"/>
    <col min="2322" max="2322" width="8" style="157" customWidth="1"/>
    <col min="2323" max="2323" width="10.83203125" style="157" bestFit="1" customWidth="1"/>
    <col min="2324" max="2324" width="12.1640625" style="157" bestFit="1" customWidth="1"/>
    <col min="2325" max="2325" width="8.1640625" style="157" bestFit="1" customWidth="1"/>
    <col min="2326" max="2326" width="10.83203125" style="157" bestFit="1" customWidth="1"/>
    <col min="2327" max="2327" width="12.1640625" style="157" bestFit="1" customWidth="1"/>
    <col min="2328" max="2328" width="18.1640625" style="157" bestFit="1" customWidth="1"/>
    <col min="2329" max="2329" width="10.83203125" style="157" bestFit="1" customWidth="1"/>
    <col min="2330" max="2565" width="8.83203125" style="157"/>
    <col min="2566" max="2566" width="38.1640625" style="157" customWidth="1"/>
    <col min="2567" max="2567" width="23.44140625" style="157" bestFit="1" customWidth="1"/>
    <col min="2568" max="2569" width="9.1640625" style="157" customWidth="1"/>
    <col min="2570" max="2570" width="11.1640625" style="157" bestFit="1" customWidth="1"/>
    <col min="2571" max="2571" width="14.44140625" style="157" bestFit="1" customWidth="1"/>
    <col min="2572" max="2572" width="8.1640625" style="157" customWidth="1"/>
    <col min="2573" max="2573" width="10.83203125" style="157" bestFit="1" customWidth="1"/>
    <col min="2574" max="2574" width="12.1640625" style="157" bestFit="1" customWidth="1"/>
    <col min="2575" max="2575" width="9.1640625" style="157" customWidth="1"/>
    <col min="2576" max="2576" width="10.83203125" style="157" bestFit="1" customWidth="1"/>
    <col min="2577" max="2577" width="12.1640625" style="157" bestFit="1" customWidth="1"/>
    <col min="2578" max="2578" width="8" style="157" customWidth="1"/>
    <col min="2579" max="2579" width="10.83203125" style="157" bestFit="1" customWidth="1"/>
    <col min="2580" max="2580" width="12.1640625" style="157" bestFit="1" customWidth="1"/>
    <col min="2581" max="2581" width="8.1640625" style="157" bestFit="1" customWidth="1"/>
    <col min="2582" max="2582" width="10.83203125" style="157" bestFit="1" customWidth="1"/>
    <col min="2583" max="2583" width="12.1640625" style="157" bestFit="1" customWidth="1"/>
    <col min="2584" max="2584" width="18.1640625" style="157" bestFit="1" customWidth="1"/>
    <col min="2585" max="2585" width="10.83203125" style="157" bestFit="1" customWidth="1"/>
    <col min="2586" max="2821" width="8.83203125" style="157"/>
    <col min="2822" max="2822" width="38.1640625" style="157" customWidth="1"/>
    <col min="2823" max="2823" width="23.44140625" style="157" bestFit="1" customWidth="1"/>
    <col min="2824" max="2825" width="9.1640625" style="157" customWidth="1"/>
    <col min="2826" max="2826" width="11.1640625" style="157" bestFit="1" customWidth="1"/>
    <col min="2827" max="2827" width="14.44140625" style="157" bestFit="1" customWidth="1"/>
    <col min="2828" max="2828" width="8.1640625" style="157" customWidth="1"/>
    <col min="2829" max="2829" width="10.83203125" style="157" bestFit="1" customWidth="1"/>
    <col min="2830" max="2830" width="12.1640625" style="157" bestFit="1" customWidth="1"/>
    <col min="2831" max="2831" width="9.1640625" style="157" customWidth="1"/>
    <col min="2832" max="2832" width="10.83203125" style="157" bestFit="1" customWidth="1"/>
    <col min="2833" max="2833" width="12.1640625" style="157" bestFit="1" customWidth="1"/>
    <col min="2834" max="2834" width="8" style="157" customWidth="1"/>
    <col min="2835" max="2835" width="10.83203125" style="157" bestFit="1" customWidth="1"/>
    <col min="2836" max="2836" width="12.1640625" style="157" bestFit="1" customWidth="1"/>
    <col min="2837" max="2837" width="8.1640625" style="157" bestFit="1" customWidth="1"/>
    <col min="2838" max="2838" width="10.83203125" style="157" bestFit="1" customWidth="1"/>
    <col min="2839" max="2839" width="12.1640625" style="157" bestFit="1" customWidth="1"/>
    <col min="2840" max="2840" width="18.1640625" style="157" bestFit="1" customWidth="1"/>
    <col min="2841" max="2841" width="10.83203125" style="157" bestFit="1" customWidth="1"/>
    <col min="2842" max="3077" width="8.83203125" style="157"/>
    <col min="3078" max="3078" width="38.1640625" style="157" customWidth="1"/>
    <col min="3079" max="3079" width="23.44140625" style="157" bestFit="1" customWidth="1"/>
    <col min="3080" max="3081" width="9.1640625" style="157" customWidth="1"/>
    <col min="3082" max="3082" width="11.1640625" style="157" bestFit="1" customWidth="1"/>
    <col min="3083" max="3083" width="14.44140625" style="157" bestFit="1" customWidth="1"/>
    <col min="3084" max="3084" width="8.1640625" style="157" customWidth="1"/>
    <col min="3085" max="3085" width="10.83203125" style="157" bestFit="1" customWidth="1"/>
    <col min="3086" max="3086" width="12.1640625" style="157" bestFit="1" customWidth="1"/>
    <col min="3087" max="3087" width="9.1640625" style="157" customWidth="1"/>
    <col min="3088" max="3088" width="10.83203125" style="157" bestFit="1" customWidth="1"/>
    <col min="3089" max="3089" width="12.1640625" style="157" bestFit="1" customWidth="1"/>
    <col min="3090" max="3090" width="8" style="157" customWidth="1"/>
    <col min="3091" max="3091" width="10.83203125" style="157" bestFit="1" customWidth="1"/>
    <col min="3092" max="3092" width="12.1640625" style="157" bestFit="1" customWidth="1"/>
    <col min="3093" max="3093" width="8.1640625" style="157" bestFit="1" customWidth="1"/>
    <col min="3094" max="3094" width="10.83203125" style="157" bestFit="1" customWidth="1"/>
    <col min="3095" max="3095" width="12.1640625" style="157" bestFit="1" customWidth="1"/>
    <col min="3096" max="3096" width="18.1640625" style="157" bestFit="1" customWidth="1"/>
    <col min="3097" max="3097" width="10.83203125" style="157" bestFit="1" customWidth="1"/>
    <col min="3098" max="3333" width="8.83203125" style="157"/>
    <col min="3334" max="3334" width="38.1640625" style="157" customWidth="1"/>
    <col min="3335" max="3335" width="23.44140625" style="157" bestFit="1" customWidth="1"/>
    <col min="3336" max="3337" width="9.1640625" style="157" customWidth="1"/>
    <col min="3338" max="3338" width="11.1640625" style="157" bestFit="1" customWidth="1"/>
    <col min="3339" max="3339" width="14.44140625" style="157" bestFit="1" customWidth="1"/>
    <col min="3340" max="3340" width="8.1640625" style="157" customWidth="1"/>
    <col min="3341" max="3341" width="10.83203125" style="157" bestFit="1" customWidth="1"/>
    <col min="3342" max="3342" width="12.1640625" style="157" bestFit="1" customWidth="1"/>
    <col min="3343" max="3343" width="9.1640625" style="157" customWidth="1"/>
    <col min="3344" max="3344" width="10.83203125" style="157" bestFit="1" customWidth="1"/>
    <col min="3345" max="3345" width="12.1640625" style="157" bestFit="1" customWidth="1"/>
    <col min="3346" max="3346" width="8" style="157" customWidth="1"/>
    <col min="3347" max="3347" width="10.83203125" style="157" bestFit="1" customWidth="1"/>
    <col min="3348" max="3348" width="12.1640625" style="157" bestFit="1" customWidth="1"/>
    <col min="3349" max="3349" width="8.1640625" style="157" bestFit="1" customWidth="1"/>
    <col min="3350" max="3350" width="10.83203125" style="157" bestFit="1" customWidth="1"/>
    <col min="3351" max="3351" width="12.1640625" style="157" bestFit="1" customWidth="1"/>
    <col min="3352" max="3352" width="18.1640625" style="157" bestFit="1" customWidth="1"/>
    <col min="3353" max="3353" width="10.83203125" style="157" bestFit="1" customWidth="1"/>
    <col min="3354" max="3589" width="8.83203125" style="157"/>
    <col min="3590" max="3590" width="38.1640625" style="157" customWidth="1"/>
    <col min="3591" max="3591" width="23.44140625" style="157" bestFit="1" customWidth="1"/>
    <col min="3592" max="3593" width="9.1640625" style="157" customWidth="1"/>
    <col min="3594" max="3594" width="11.1640625" style="157" bestFit="1" customWidth="1"/>
    <col min="3595" max="3595" width="14.44140625" style="157" bestFit="1" customWidth="1"/>
    <col min="3596" max="3596" width="8.1640625" style="157" customWidth="1"/>
    <col min="3597" max="3597" width="10.83203125" style="157" bestFit="1" customWidth="1"/>
    <col min="3598" max="3598" width="12.1640625" style="157" bestFit="1" customWidth="1"/>
    <col min="3599" max="3599" width="9.1640625" style="157" customWidth="1"/>
    <col min="3600" max="3600" width="10.83203125" style="157" bestFit="1" customWidth="1"/>
    <col min="3601" max="3601" width="12.1640625" style="157" bestFit="1" customWidth="1"/>
    <col min="3602" max="3602" width="8" style="157" customWidth="1"/>
    <col min="3603" max="3603" width="10.83203125" style="157" bestFit="1" customWidth="1"/>
    <col min="3604" max="3604" width="12.1640625" style="157" bestFit="1" customWidth="1"/>
    <col min="3605" max="3605" width="8.1640625" style="157" bestFit="1" customWidth="1"/>
    <col min="3606" max="3606" width="10.83203125" style="157" bestFit="1" customWidth="1"/>
    <col min="3607" max="3607" width="12.1640625" style="157" bestFit="1" customWidth="1"/>
    <col min="3608" max="3608" width="18.1640625" style="157" bestFit="1" customWidth="1"/>
    <col min="3609" max="3609" width="10.83203125" style="157" bestFit="1" customWidth="1"/>
    <col min="3610" max="3845" width="8.83203125" style="157"/>
    <col min="3846" max="3846" width="38.1640625" style="157" customWidth="1"/>
    <col min="3847" max="3847" width="23.44140625" style="157" bestFit="1" customWidth="1"/>
    <col min="3848" max="3849" width="9.1640625" style="157" customWidth="1"/>
    <col min="3850" max="3850" width="11.1640625" style="157" bestFit="1" customWidth="1"/>
    <col min="3851" max="3851" width="14.44140625" style="157" bestFit="1" customWidth="1"/>
    <col min="3852" max="3852" width="8.1640625" style="157" customWidth="1"/>
    <col min="3853" max="3853" width="10.83203125" style="157" bestFit="1" customWidth="1"/>
    <col min="3854" max="3854" width="12.1640625" style="157" bestFit="1" customWidth="1"/>
    <col min="3855" max="3855" width="9.1640625" style="157" customWidth="1"/>
    <col min="3856" max="3856" width="10.83203125" style="157" bestFit="1" customWidth="1"/>
    <col min="3857" max="3857" width="12.1640625" style="157" bestFit="1" customWidth="1"/>
    <col min="3858" max="3858" width="8" style="157" customWidth="1"/>
    <col min="3859" max="3859" width="10.83203125" style="157" bestFit="1" customWidth="1"/>
    <col min="3860" max="3860" width="12.1640625" style="157" bestFit="1" customWidth="1"/>
    <col min="3861" max="3861" width="8.1640625" style="157" bestFit="1" customWidth="1"/>
    <col min="3862" max="3862" width="10.83203125" style="157" bestFit="1" customWidth="1"/>
    <col min="3863" max="3863" width="12.1640625" style="157" bestFit="1" customWidth="1"/>
    <col min="3864" max="3864" width="18.1640625" style="157" bestFit="1" customWidth="1"/>
    <col min="3865" max="3865" width="10.83203125" style="157" bestFit="1" customWidth="1"/>
    <col min="3866" max="4101" width="8.83203125" style="157"/>
    <col min="4102" max="4102" width="38.1640625" style="157" customWidth="1"/>
    <col min="4103" max="4103" width="23.44140625" style="157" bestFit="1" customWidth="1"/>
    <col min="4104" max="4105" width="9.1640625" style="157" customWidth="1"/>
    <col min="4106" max="4106" width="11.1640625" style="157" bestFit="1" customWidth="1"/>
    <col min="4107" max="4107" width="14.44140625" style="157" bestFit="1" customWidth="1"/>
    <col min="4108" max="4108" width="8.1640625" style="157" customWidth="1"/>
    <col min="4109" max="4109" width="10.83203125" style="157" bestFit="1" customWidth="1"/>
    <col min="4110" max="4110" width="12.1640625" style="157" bestFit="1" customWidth="1"/>
    <col min="4111" max="4111" width="9.1640625" style="157" customWidth="1"/>
    <col min="4112" max="4112" width="10.83203125" style="157" bestFit="1" customWidth="1"/>
    <col min="4113" max="4113" width="12.1640625" style="157" bestFit="1" customWidth="1"/>
    <col min="4114" max="4114" width="8" style="157" customWidth="1"/>
    <col min="4115" max="4115" width="10.83203125" style="157" bestFit="1" customWidth="1"/>
    <col min="4116" max="4116" width="12.1640625" style="157" bestFit="1" customWidth="1"/>
    <col min="4117" max="4117" width="8.1640625" style="157" bestFit="1" customWidth="1"/>
    <col min="4118" max="4118" width="10.83203125" style="157" bestFit="1" customWidth="1"/>
    <col min="4119" max="4119" width="12.1640625" style="157" bestFit="1" customWidth="1"/>
    <col min="4120" max="4120" width="18.1640625" style="157" bestFit="1" customWidth="1"/>
    <col min="4121" max="4121" width="10.83203125" style="157" bestFit="1" customWidth="1"/>
    <col min="4122" max="4357" width="8.83203125" style="157"/>
    <col min="4358" max="4358" width="38.1640625" style="157" customWidth="1"/>
    <col min="4359" max="4359" width="23.44140625" style="157" bestFit="1" customWidth="1"/>
    <col min="4360" max="4361" width="9.1640625" style="157" customWidth="1"/>
    <col min="4362" max="4362" width="11.1640625" style="157" bestFit="1" customWidth="1"/>
    <col min="4363" max="4363" width="14.44140625" style="157" bestFit="1" customWidth="1"/>
    <col min="4364" max="4364" width="8.1640625" style="157" customWidth="1"/>
    <col min="4365" max="4365" width="10.83203125" style="157" bestFit="1" customWidth="1"/>
    <col min="4366" max="4366" width="12.1640625" style="157" bestFit="1" customWidth="1"/>
    <col min="4367" max="4367" width="9.1640625" style="157" customWidth="1"/>
    <col min="4368" max="4368" width="10.83203125" style="157" bestFit="1" customWidth="1"/>
    <col min="4369" max="4369" width="12.1640625" style="157" bestFit="1" customWidth="1"/>
    <col min="4370" max="4370" width="8" style="157" customWidth="1"/>
    <col min="4371" max="4371" width="10.83203125" style="157" bestFit="1" customWidth="1"/>
    <col min="4372" max="4372" width="12.1640625" style="157" bestFit="1" customWidth="1"/>
    <col min="4373" max="4373" width="8.1640625" style="157" bestFit="1" customWidth="1"/>
    <col min="4374" max="4374" width="10.83203125" style="157" bestFit="1" customWidth="1"/>
    <col min="4375" max="4375" width="12.1640625" style="157" bestFit="1" customWidth="1"/>
    <col min="4376" max="4376" width="18.1640625" style="157" bestFit="1" customWidth="1"/>
    <col min="4377" max="4377" width="10.83203125" style="157" bestFit="1" customWidth="1"/>
    <col min="4378" max="4613" width="8.83203125" style="157"/>
    <col min="4614" max="4614" width="38.1640625" style="157" customWidth="1"/>
    <col min="4615" max="4615" width="23.44140625" style="157" bestFit="1" customWidth="1"/>
    <col min="4616" max="4617" width="9.1640625" style="157" customWidth="1"/>
    <col min="4618" max="4618" width="11.1640625" style="157" bestFit="1" customWidth="1"/>
    <col min="4619" max="4619" width="14.44140625" style="157" bestFit="1" customWidth="1"/>
    <col min="4620" max="4620" width="8.1640625" style="157" customWidth="1"/>
    <col min="4621" max="4621" width="10.83203125" style="157" bestFit="1" customWidth="1"/>
    <col min="4622" max="4622" width="12.1640625" style="157" bestFit="1" customWidth="1"/>
    <col min="4623" max="4623" width="9.1640625" style="157" customWidth="1"/>
    <col min="4624" max="4624" width="10.83203125" style="157" bestFit="1" customWidth="1"/>
    <col min="4625" max="4625" width="12.1640625" style="157" bestFit="1" customWidth="1"/>
    <col min="4626" max="4626" width="8" style="157" customWidth="1"/>
    <col min="4627" max="4627" width="10.83203125" style="157" bestFit="1" customWidth="1"/>
    <col min="4628" max="4628" width="12.1640625" style="157" bestFit="1" customWidth="1"/>
    <col min="4629" max="4629" width="8.1640625" style="157" bestFit="1" customWidth="1"/>
    <col min="4630" max="4630" width="10.83203125" style="157" bestFit="1" customWidth="1"/>
    <col min="4631" max="4631" width="12.1640625" style="157" bestFit="1" customWidth="1"/>
    <col min="4632" max="4632" width="18.1640625" style="157" bestFit="1" customWidth="1"/>
    <col min="4633" max="4633" width="10.83203125" style="157" bestFit="1" customWidth="1"/>
    <col min="4634" max="4869" width="8.83203125" style="157"/>
    <col min="4870" max="4870" width="38.1640625" style="157" customWidth="1"/>
    <col min="4871" max="4871" width="23.44140625" style="157" bestFit="1" customWidth="1"/>
    <col min="4872" max="4873" width="9.1640625" style="157" customWidth="1"/>
    <col min="4874" max="4874" width="11.1640625" style="157" bestFit="1" customWidth="1"/>
    <col min="4875" max="4875" width="14.44140625" style="157" bestFit="1" customWidth="1"/>
    <col min="4876" max="4876" width="8.1640625" style="157" customWidth="1"/>
    <col min="4877" max="4877" width="10.83203125" style="157" bestFit="1" customWidth="1"/>
    <col min="4878" max="4878" width="12.1640625" style="157" bestFit="1" customWidth="1"/>
    <col min="4879" max="4879" width="9.1640625" style="157" customWidth="1"/>
    <col min="4880" max="4880" width="10.83203125" style="157" bestFit="1" customWidth="1"/>
    <col min="4881" max="4881" width="12.1640625" style="157" bestFit="1" customWidth="1"/>
    <col min="4882" max="4882" width="8" style="157" customWidth="1"/>
    <col min="4883" max="4883" width="10.83203125" style="157" bestFit="1" customWidth="1"/>
    <col min="4884" max="4884" width="12.1640625" style="157" bestFit="1" customWidth="1"/>
    <col min="4885" max="4885" width="8.1640625" style="157" bestFit="1" customWidth="1"/>
    <col min="4886" max="4886" width="10.83203125" style="157" bestFit="1" customWidth="1"/>
    <col min="4887" max="4887" width="12.1640625" style="157" bestFit="1" customWidth="1"/>
    <col min="4888" max="4888" width="18.1640625" style="157" bestFit="1" customWidth="1"/>
    <col min="4889" max="4889" width="10.83203125" style="157" bestFit="1" customWidth="1"/>
    <col min="4890" max="5125" width="8.83203125" style="157"/>
    <col min="5126" max="5126" width="38.1640625" style="157" customWidth="1"/>
    <col min="5127" max="5127" width="23.44140625" style="157" bestFit="1" customWidth="1"/>
    <col min="5128" max="5129" width="9.1640625" style="157" customWidth="1"/>
    <col min="5130" max="5130" width="11.1640625" style="157" bestFit="1" customWidth="1"/>
    <col min="5131" max="5131" width="14.44140625" style="157" bestFit="1" customWidth="1"/>
    <col min="5132" max="5132" width="8.1640625" style="157" customWidth="1"/>
    <col min="5133" max="5133" width="10.83203125" style="157" bestFit="1" customWidth="1"/>
    <col min="5134" max="5134" width="12.1640625" style="157" bestFit="1" customWidth="1"/>
    <col min="5135" max="5135" width="9.1640625" style="157" customWidth="1"/>
    <col min="5136" max="5136" width="10.83203125" style="157" bestFit="1" customWidth="1"/>
    <col min="5137" max="5137" width="12.1640625" style="157" bestFit="1" customWidth="1"/>
    <col min="5138" max="5138" width="8" style="157" customWidth="1"/>
    <col min="5139" max="5139" width="10.83203125" style="157" bestFit="1" customWidth="1"/>
    <col min="5140" max="5140" width="12.1640625" style="157" bestFit="1" customWidth="1"/>
    <col min="5141" max="5141" width="8.1640625" style="157" bestFit="1" customWidth="1"/>
    <col min="5142" max="5142" width="10.83203125" style="157" bestFit="1" customWidth="1"/>
    <col min="5143" max="5143" width="12.1640625" style="157" bestFit="1" customWidth="1"/>
    <col min="5144" max="5144" width="18.1640625" style="157" bestFit="1" customWidth="1"/>
    <col min="5145" max="5145" width="10.83203125" style="157" bestFit="1" customWidth="1"/>
    <col min="5146" max="5381" width="8.83203125" style="157"/>
    <col min="5382" max="5382" width="38.1640625" style="157" customWidth="1"/>
    <col min="5383" max="5383" width="23.44140625" style="157" bestFit="1" customWidth="1"/>
    <col min="5384" max="5385" width="9.1640625" style="157" customWidth="1"/>
    <col min="5386" max="5386" width="11.1640625" style="157" bestFit="1" customWidth="1"/>
    <col min="5387" max="5387" width="14.44140625" style="157" bestFit="1" customWidth="1"/>
    <col min="5388" max="5388" width="8.1640625" style="157" customWidth="1"/>
    <col min="5389" max="5389" width="10.83203125" style="157" bestFit="1" customWidth="1"/>
    <col min="5390" max="5390" width="12.1640625" style="157" bestFit="1" customWidth="1"/>
    <col min="5391" max="5391" width="9.1640625" style="157" customWidth="1"/>
    <col min="5392" max="5392" width="10.83203125" style="157" bestFit="1" customWidth="1"/>
    <col min="5393" max="5393" width="12.1640625" style="157" bestFit="1" customWidth="1"/>
    <col min="5394" max="5394" width="8" style="157" customWidth="1"/>
    <col min="5395" max="5395" width="10.83203125" style="157" bestFit="1" customWidth="1"/>
    <col min="5396" max="5396" width="12.1640625" style="157" bestFit="1" customWidth="1"/>
    <col min="5397" max="5397" width="8.1640625" style="157" bestFit="1" customWidth="1"/>
    <col min="5398" max="5398" width="10.83203125" style="157" bestFit="1" customWidth="1"/>
    <col min="5399" max="5399" width="12.1640625" style="157" bestFit="1" customWidth="1"/>
    <col min="5400" max="5400" width="18.1640625" style="157" bestFit="1" customWidth="1"/>
    <col min="5401" max="5401" width="10.83203125" style="157" bestFit="1" customWidth="1"/>
    <col min="5402" max="5637" width="8.83203125" style="157"/>
    <col min="5638" max="5638" width="38.1640625" style="157" customWidth="1"/>
    <col min="5639" max="5639" width="23.44140625" style="157" bestFit="1" customWidth="1"/>
    <col min="5640" max="5641" width="9.1640625" style="157" customWidth="1"/>
    <col min="5642" max="5642" width="11.1640625" style="157" bestFit="1" customWidth="1"/>
    <col min="5643" max="5643" width="14.44140625" style="157" bestFit="1" customWidth="1"/>
    <col min="5644" max="5644" width="8.1640625" style="157" customWidth="1"/>
    <col min="5645" max="5645" width="10.83203125" style="157" bestFit="1" customWidth="1"/>
    <col min="5646" max="5646" width="12.1640625" style="157" bestFit="1" customWidth="1"/>
    <col min="5647" max="5647" width="9.1640625" style="157" customWidth="1"/>
    <col min="5648" max="5648" width="10.83203125" style="157" bestFit="1" customWidth="1"/>
    <col min="5649" max="5649" width="12.1640625" style="157" bestFit="1" customWidth="1"/>
    <col min="5650" max="5650" width="8" style="157" customWidth="1"/>
    <col min="5651" max="5651" width="10.83203125" style="157" bestFit="1" customWidth="1"/>
    <col min="5652" max="5652" width="12.1640625" style="157" bestFit="1" customWidth="1"/>
    <col min="5653" max="5653" width="8.1640625" style="157" bestFit="1" customWidth="1"/>
    <col min="5654" max="5654" width="10.83203125" style="157" bestFit="1" customWidth="1"/>
    <col min="5655" max="5655" width="12.1640625" style="157" bestFit="1" customWidth="1"/>
    <col min="5656" max="5656" width="18.1640625" style="157" bestFit="1" customWidth="1"/>
    <col min="5657" max="5657" width="10.83203125" style="157" bestFit="1" customWidth="1"/>
    <col min="5658" max="5893" width="8.83203125" style="157"/>
    <col min="5894" max="5894" width="38.1640625" style="157" customWidth="1"/>
    <col min="5895" max="5895" width="23.44140625" style="157" bestFit="1" customWidth="1"/>
    <col min="5896" max="5897" width="9.1640625" style="157" customWidth="1"/>
    <col min="5898" max="5898" width="11.1640625" style="157" bestFit="1" customWidth="1"/>
    <col min="5899" max="5899" width="14.44140625" style="157" bestFit="1" customWidth="1"/>
    <col min="5900" max="5900" width="8.1640625" style="157" customWidth="1"/>
    <col min="5901" max="5901" width="10.83203125" style="157" bestFit="1" customWidth="1"/>
    <col min="5902" max="5902" width="12.1640625" style="157" bestFit="1" customWidth="1"/>
    <col min="5903" max="5903" width="9.1640625" style="157" customWidth="1"/>
    <col min="5904" max="5904" width="10.83203125" style="157" bestFit="1" customWidth="1"/>
    <col min="5905" max="5905" width="12.1640625" style="157" bestFit="1" customWidth="1"/>
    <col min="5906" max="5906" width="8" style="157" customWidth="1"/>
    <col min="5907" max="5907" width="10.83203125" style="157" bestFit="1" customWidth="1"/>
    <col min="5908" max="5908" width="12.1640625" style="157" bestFit="1" customWidth="1"/>
    <col min="5909" max="5909" width="8.1640625" style="157" bestFit="1" customWidth="1"/>
    <col min="5910" max="5910" width="10.83203125" style="157" bestFit="1" customWidth="1"/>
    <col min="5911" max="5911" width="12.1640625" style="157" bestFit="1" customWidth="1"/>
    <col min="5912" max="5912" width="18.1640625" style="157" bestFit="1" customWidth="1"/>
    <col min="5913" max="5913" width="10.83203125" style="157" bestFit="1" customWidth="1"/>
    <col min="5914" max="6149" width="8.83203125" style="157"/>
    <col min="6150" max="6150" width="38.1640625" style="157" customWidth="1"/>
    <col min="6151" max="6151" width="23.44140625" style="157" bestFit="1" customWidth="1"/>
    <col min="6152" max="6153" width="9.1640625" style="157" customWidth="1"/>
    <col min="6154" max="6154" width="11.1640625" style="157" bestFit="1" customWidth="1"/>
    <col min="6155" max="6155" width="14.44140625" style="157" bestFit="1" customWidth="1"/>
    <col min="6156" max="6156" width="8.1640625" style="157" customWidth="1"/>
    <col min="6157" max="6157" width="10.83203125" style="157" bestFit="1" customWidth="1"/>
    <col min="6158" max="6158" width="12.1640625" style="157" bestFit="1" customWidth="1"/>
    <col min="6159" max="6159" width="9.1640625" style="157" customWidth="1"/>
    <col min="6160" max="6160" width="10.83203125" style="157" bestFit="1" customWidth="1"/>
    <col min="6161" max="6161" width="12.1640625" style="157" bestFit="1" customWidth="1"/>
    <col min="6162" max="6162" width="8" style="157" customWidth="1"/>
    <col min="6163" max="6163" width="10.83203125" style="157" bestFit="1" customWidth="1"/>
    <col min="6164" max="6164" width="12.1640625" style="157" bestFit="1" customWidth="1"/>
    <col min="6165" max="6165" width="8.1640625" style="157" bestFit="1" customWidth="1"/>
    <col min="6166" max="6166" width="10.83203125" style="157" bestFit="1" customWidth="1"/>
    <col min="6167" max="6167" width="12.1640625" style="157" bestFit="1" customWidth="1"/>
    <col min="6168" max="6168" width="18.1640625" style="157" bestFit="1" customWidth="1"/>
    <col min="6169" max="6169" width="10.83203125" style="157" bestFit="1" customWidth="1"/>
    <col min="6170" max="6405" width="8.83203125" style="157"/>
    <col min="6406" max="6406" width="38.1640625" style="157" customWidth="1"/>
    <col min="6407" max="6407" width="23.44140625" style="157" bestFit="1" customWidth="1"/>
    <col min="6408" max="6409" width="9.1640625" style="157" customWidth="1"/>
    <col min="6410" max="6410" width="11.1640625" style="157" bestFit="1" customWidth="1"/>
    <col min="6411" max="6411" width="14.44140625" style="157" bestFit="1" customWidth="1"/>
    <col min="6412" max="6412" width="8.1640625" style="157" customWidth="1"/>
    <col min="6413" max="6413" width="10.83203125" style="157" bestFit="1" customWidth="1"/>
    <col min="6414" max="6414" width="12.1640625" style="157" bestFit="1" customWidth="1"/>
    <col min="6415" max="6415" width="9.1640625" style="157" customWidth="1"/>
    <col min="6416" max="6416" width="10.83203125" style="157" bestFit="1" customWidth="1"/>
    <col min="6417" max="6417" width="12.1640625" style="157" bestFit="1" customWidth="1"/>
    <col min="6418" max="6418" width="8" style="157" customWidth="1"/>
    <col min="6419" max="6419" width="10.83203125" style="157" bestFit="1" customWidth="1"/>
    <col min="6420" max="6420" width="12.1640625" style="157" bestFit="1" customWidth="1"/>
    <col min="6421" max="6421" width="8.1640625" style="157" bestFit="1" customWidth="1"/>
    <col min="6422" max="6422" width="10.83203125" style="157" bestFit="1" customWidth="1"/>
    <col min="6423" max="6423" width="12.1640625" style="157" bestFit="1" customWidth="1"/>
    <col min="6424" max="6424" width="18.1640625" style="157" bestFit="1" customWidth="1"/>
    <col min="6425" max="6425" width="10.83203125" style="157" bestFit="1" customWidth="1"/>
    <col min="6426" max="6661" width="8.83203125" style="157"/>
    <col min="6662" max="6662" width="38.1640625" style="157" customWidth="1"/>
    <col min="6663" max="6663" width="23.44140625" style="157" bestFit="1" customWidth="1"/>
    <col min="6664" max="6665" width="9.1640625" style="157" customWidth="1"/>
    <col min="6666" max="6666" width="11.1640625" style="157" bestFit="1" customWidth="1"/>
    <col min="6667" max="6667" width="14.44140625" style="157" bestFit="1" customWidth="1"/>
    <col min="6668" max="6668" width="8.1640625" style="157" customWidth="1"/>
    <col min="6669" max="6669" width="10.83203125" style="157" bestFit="1" customWidth="1"/>
    <col min="6670" max="6670" width="12.1640625" style="157" bestFit="1" customWidth="1"/>
    <col min="6671" max="6671" width="9.1640625" style="157" customWidth="1"/>
    <col min="6672" max="6672" width="10.83203125" style="157" bestFit="1" customWidth="1"/>
    <col min="6673" max="6673" width="12.1640625" style="157" bestFit="1" customWidth="1"/>
    <col min="6674" max="6674" width="8" style="157" customWidth="1"/>
    <col min="6675" max="6675" width="10.83203125" style="157" bestFit="1" customWidth="1"/>
    <col min="6676" max="6676" width="12.1640625" style="157" bestFit="1" customWidth="1"/>
    <col min="6677" max="6677" width="8.1640625" style="157" bestFit="1" customWidth="1"/>
    <col min="6678" max="6678" width="10.83203125" style="157" bestFit="1" customWidth="1"/>
    <col min="6679" max="6679" width="12.1640625" style="157" bestFit="1" customWidth="1"/>
    <col min="6680" max="6680" width="18.1640625" style="157" bestFit="1" customWidth="1"/>
    <col min="6681" max="6681" width="10.83203125" style="157" bestFit="1" customWidth="1"/>
    <col min="6682" max="6917" width="8.83203125" style="157"/>
    <col min="6918" max="6918" width="38.1640625" style="157" customWidth="1"/>
    <col min="6919" max="6919" width="23.44140625" style="157" bestFit="1" customWidth="1"/>
    <col min="6920" max="6921" width="9.1640625" style="157" customWidth="1"/>
    <col min="6922" max="6922" width="11.1640625" style="157" bestFit="1" customWidth="1"/>
    <col min="6923" max="6923" width="14.44140625" style="157" bestFit="1" customWidth="1"/>
    <col min="6924" max="6924" width="8.1640625" style="157" customWidth="1"/>
    <col min="6925" max="6925" width="10.83203125" style="157" bestFit="1" customWidth="1"/>
    <col min="6926" max="6926" width="12.1640625" style="157" bestFit="1" customWidth="1"/>
    <col min="6927" max="6927" width="9.1640625" style="157" customWidth="1"/>
    <col min="6928" max="6928" width="10.83203125" style="157" bestFit="1" customWidth="1"/>
    <col min="6929" max="6929" width="12.1640625" style="157" bestFit="1" customWidth="1"/>
    <col min="6930" max="6930" width="8" style="157" customWidth="1"/>
    <col min="6931" max="6931" width="10.83203125" style="157" bestFit="1" customWidth="1"/>
    <col min="6932" max="6932" width="12.1640625" style="157" bestFit="1" customWidth="1"/>
    <col min="6933" max="6933" width="8.1640625" style="157" bestFit="1" customWidth="1"/>
    <col min="6934" max="6934" width="10.83203125" style="157" bestFit="1" customWidth="1"/>
    <col min="6935" max="6935" width="12.1640625" style="157" bestFit="1" customWidth="1"/>
    <col min="6936" max="6936" width="18.1640625" style="157" bestFit="1" customWidth="1"/>
    <col min="6937" max="6937" width="10.83203125" style="157" bestFit="1" customWidth="1"/>
    <col min="6938" max="7173" width="8.83203125" style="157"/>
    <col min="7174" max="7174" width="38.1640625" style="157" customWidth="1"/>
    <col min="7175" max="7175" width="23.44140625" style="157" bestFit="1" customWidth="1"/>
    <col min="7176" max="7177" width="9.1640625" style="157" customWidth="1"/>
    <col min="7178" max="7178" width="11.1640625" style="157" bestFit="1" customWidth="1"/>
    <col min="7179" max="7179" width="14.44140625" style="157" bestFit="1" customWidth="1"/>
    <col min="7180" max="7180" width="8.1640625" style="157" customWidth="1"/>
    <col min="7181" max="7181" width="10.83203125" style="157" bestFit="1" customWidth="1"/>
    <col min="7182" max="7182" width="12.1640625" style="157" bestFit="1" customWidth="1"/>
    <col min="7183" max="7183" width="9.1640625" style="157" customWidth="1"/>
    <col min="7184" max="7184" width="10.83203125" style="157" bestFit="1" customWidth="1"/>
    <col min="7185" max="7185" width="12.1640625" style="157" bestFit="1" customWidth="1"/>
    <col min="7186" max="7186" width="8" style="157" customWidth="1"/>
    <col min="7187" max="7187" width="10.83203125" style="157" bestFit="1" customWidth="1"/>
    <col min="7188" max="7188" width="12.1640625" style="157" bestFit="1" customWidth="1"/>
    <col min="7189" max="7189" width="8.1640625" style="157" bestFit="1" customWidth="1"/>
    <col min="7190" max="7190" width="10.83203125" style="157" bestFit="1" customWidth="1"/>
    <col min="7191" max="7191" width="12.1640625" style="157" bestFit="1" customWidth="1"/>
    <col min="7192" max="7192" width="18.1640625" style="157" bestFit="1" customWidth="1"/>
    <col min="7193" max="7193" width="10.83203125" style="157" bestFit="1" customWidth="1"/>
    <col min="7194" max="7429" width="8.83203125" style="157"/>
    <col min="7430" max="7430" width="38.1640625" style="157" customWidth="1"/>
    <col min="7431" max="7431" width="23.44140625" style="157" bestFit="1" customWidth="1"/>
    <col min="7432" max="7433" width="9.1640625" style="157" customWidth="1"/>
    <col min="7434" max="7434" width="11.1640625" style="157" bestFit="1" customWidth="1"/>
    <col min="7435" max="7435" width="14.44140625" style="157" bestFit="1" customWidth="1"/>
    <col min="7436" max="7436" width="8.1640625" style="157" customWidth="1"/>
    <col min="7437" max="7437" width="10.83203125" style="157" bestFit="1" customWidth="1"/>
    <col min="7438" max="7438" width="12.1640625" style="157" bestFit="1" customWidth="1"/>
    <col min="7439" max="7439" width="9.1640625" style="157" customWidth="1"/>
    <col min="7440" max="7440" width="10.83203125" style="157" bestFit="1" customWidth="1"/>
    <col min="7441" max="7441" width="12.1640625" style="157" bestFit="1" customWidth="1"/>
    <col min="7442" max="7442" width="8" style="157" customWidth="1"/>
    <col min="7443" max="7443" width="10.83203125" style="157" bestFit="1" customWidth="1"/>
    <col min="7444" max="7444" width="12.1640625" style="157" bestFit="1" customWidth="1"/>
    <col min="7445" max="7445" width="8.1640625" style="157" bestFit="1" customWidth="1"/>
    <col min="7446" max="7446" width="10.83203125" style="157" bestFit="1" customWidth="1"/>
    <col min="7447" max="7447" width="12.1640625" style="157" bestFit="1" customWidth="1"/>
    <col min="7448" max="7448" width="18.1640625" style="157" bestFit="1" customWidth="1"/>
    <col min="7449" max="7449" width="10.83203125" style="157" bestFit="1" customWidth="1"/>
    <col min="7450" max="7685" width="8.83203125" style="157"/>
    <col min="7686" max="7686" width="38.1640625" style="157" customWidth="1"/>
    <col min="7687" max="7687" width="23.44140625" style="157" bestFit="1" customWidth="1"/>
    <col min="7688" max="7689" width="9.1640625" style="157" customWidth="1"/>
    <col min="7690" max="7690" width="11.1640625" style="157" bestFit="1" customWidth="1"/>
    <col min="7691" max="7691" width="14.44140625" style="157" bestFit="1" customWidth="1"/>
    <col min="7692" max="7692" width="8.1640625" style="157" customWidth="1"/>
    <col min="7693" max="7693" width="10.83203125" style="157" bestFit="1" customWidth="1"/>
    <col min="7694" max="7694" width="12.1640625" style="157" bestFit="1" customWidth="1"/>
    <col min="7695" max="7695" width="9.1640625" style="157" customWidth="1"/>
    <col min="7696" max="7696" width="10.83203125" style="157" bestFit="1" customWidth="1"/>
    <col min="7697" max="7697" width="12.1640625" style="157" bestFit="1" customWidth="1"/>
    <col min="7698" max="7698" width="8" style="157" customWidth="1"/>
    <col min="7699" max="7699" width="10.83203125" style="157" bestFit="1" customWidth="1"/>
    <col min="7700" max="7700" width="12.1640625" style="157" bestFit="1" customWidth="1"/>
    <col min="7701" max="7701" width="8.1640625" style="157" bestFit="1" customWidth="1"/>
    <col min="7702" max="7702" width="10.83203125" style="157" bestFit="1" customWidth="1"/>
    <col min="7703" max="7703" width="12.1640625" style="157" bestFit="1" customWidth="1"/>
    <col min="7704" max="7704" width="18.1640625" style="157" bestFit="1" customWidth="1"/>
    <col min="7705" max="7705" width="10.83203125" style="157" bestFit="1" customWidth="1"/>
    <col min="7706" max="7941" width="8.83203125" style="157"/>
    <col min="7942" max="7942" width="38.1640625" style="157" customWidth="1"/>
    <col min="7943" max="7943" width="23.44140625" style="157" bestFit="1" customWidth="1"/>
    <col min="7944" max="7945" width="9.1640625" style="157" customWidth="1"/>
    <col min="7946" max="7946" width="11.1640625" style="157" bestFit="1" customWidth="1"/>
    <col min="7947" max="7947" width="14.44140625" style="157" bestFit="1" customWidth="1"/>
    <col min="7948" max="7948" width="8.1640625" style="157" customWidth="1"/>
    <col min="7949" max="7949" width="10.83203125" style="157" bestFit="1" customWidth="1"/>
    <col min="7950" max="7950" width="12.1640625" style="157" bestFit="1" customWidth="1"/>
    <col min="7951" max="7951" width="9.1640625" style="157" customWidth="1"/>
    <col min="7952" max="7952" width="10.83203125" style="157" bestFit="1" customWidth="1"/>
    <col min="7953" max="7953" width="12.1640625" style="157" bestFit="1" customWidth="1"/>
    <col min="7954" max="7954" width="8" style="157" customWidth="1"/>
    <col min="7955" max="7955" width="10.83203125" style="157" bestFit="1" customWidth="1"/>
    <col min="7956" max="7956" width="12.1640625" style="157" bestFit="1" customWidth="1"/>
    <col min="7957" max="7957" width="8.1640625" style="157" bestFit="1" customWidth="1"/>
    <col min="7958" max="7958" width="10.83203125" style="157" bestFit="1" customWidth="1"/>
    <col min="7959" max="7959" width="12.1640625" style="157" bestFit="1" customWidth="1"/>
    <col min="7960" max="7960" width="18.1640625" style="157" bestFit="1" customWidth="1"/>
    <col min="7961" max="7961" width="10.83203125" style="157" bestFit="1" customWidth="1"/>
    <col min="7962" max="8197" width="8.83203125" style="157"/>
    <col min="8198" max="8198" width="38.1640625" style="157" customWidth="1"/>
    <col min="8199" max="8199" width="23.44140625" style="157" bestFit="1" customWidth="1"/>
    <col min="8200" max="8201" width="9.1640625" style="157" customWidth="1"/>
    <col min="8202" max="8202" width="11.1640625" style="157" bestFit="1" customWidth="1"/>
    <col min="8203" max="8203" width="14.44140625" style="157" bestFit="1" customWidth="1"/>
    <col min="8204" max="8204" width="8.1640625" style="157" customWidth="1"/>
    <col min="8205" max="8205" width="10.83203125" style="157" bestFit="1" customWidth="1"/>
    <col min="8206" max="8206" width="12.1640625" style="157" bestFit="1" customWidth="1"/>
    <col min="8207" max="8207" width="9.1640625" style="157" customWidth="1"/>
    <col min="8208" max="8208" width="10.83203125" style="157" bestFit="1" customWidth="1"/>
    <col min="8209" max="8209" width="12.1640625" style="157" bestFit="1" customWidth="1"/>
    <col min="8210" max="8210" width="8" style="157" customWidth="1"/>
    <col min="8211" max="8211" width="10.83203125" style="157" bestFit="1" customWidth="1"/>
    <col min="8212" max="8212" width="12.1640625" style="157" bestFit="1" customWidth="1"/>
    <col min="8213" max="8213" width="8.1640625" style="157" bestFit="1" customWidth="1"/>
    <col min="8214" max="8214" width="10.83203125" style="157" bestFit="1" customWidth="1"/>
    <col min="8215" max="8215" width="12.1640625" style="157" bestFit="1" customWidth="1"/>
    <col min="8216" max="8216" width="18.1640625" style="157" bestFit="1" customWidth="1"/>
    <col min="8217" max="8217" width="10.83203125" style="157" bestFit="1" customWidth="1"/>
    <col min="8218" max="8453" width="8.83203125" style="157"/>
    <col min="8454" max="8454" width="38.1640625" style="157" customWidth="1"/>
    <col min="8455" max="8455" width="23.44140625" style="157" bestFit="1" customWidth="1"/>
    <col min="8456" max="8457" width="9.1640625" style="157" customWidth="1"/>
    <col min="8458" max="8458" width="11.1640625" style="157" bestFit="1" customWidth="1"/>
    <col min="8459" max="8459" width="14.44140625" style="157" bestFit="1" customWidth="1"/>
    <col min="8460" max="8460" width="8.1640625" style="157" customWidth="1"/>
    <col min="8461" max="8461" width="10.83203125" style="157" bestFit="1" customWidth="1"/>
    <col min="8462" max="8462" width="12.1640625" style="157" bestFit="1" customWidth="1"/>
    <col min="8463" max="8463" width="9.1640625" style="157" customWidth="1"/>
    <col min="8464" max="8464" width="10.83203125" style="157" bestFit="1" customWidth="1"/>
    <col min="8465" max="8465" width="12.1640625" style="157" bestFit="1" customWidth="1"/>
    <col min="8466" max="8466" width="8" style="157" customWidth="1"/>
    <col min="8467" max="8467" width="10.83203125" style="157" bestFit="1" customWidth="1"/>
    <col min="8468" max="8468" width="12.1640625" style="157" bestFit="1" customWidth="1"/>
    <col min="8469" max="8469" width="8.1640625" style="157" bestFit="1" customWidth="1"/>
    <col min="8470" max="8470" width="10.83203125" style="157" bestFit="1" customWidth="1"/>
    <col min="8471" max="8471" width="12.1640625" style="157" bestFit="1" customWidth="1"/>
    <col min="8472" max="8472" width="18.1640625" style="157" bestFit="1" customWidth="1"/>
    <col min="8473" max="8473" width="10.83203125" style="157" bestFit="1" customWidth="1"/>
    <col min="8474" max="8709" width="8.83203125" style="157"/>
    <col min="8710" max="8710" width="38.1640625" style="157" customWidth="1"/>
    <col min="8711" max="8711" width="23.44140625" style="157" bestFit="1" customWidth="1"/>
    <col min="8712" max="8713" width="9.1640625" style="157" customWidth="1"/>
    <col min="8714" max="8714" width="11.1640625" style="157" bestFit="1" customWidth="1"/>
    <col min="8715" max="8715" width="14.44140625" style="157" bestFit="1" customWidth="1"/>
    <col min="8716" max="8716" width="8.1640625" style="157" customWidth="1"/>
    <col min="8717" max="8717" width="10.83203125" style="157" bestFit="1" customWidth="1"/>
    <col min="8718" max="8718" width="12.1640625" style="157" bestFit="1" customWidth="1"/>
    <col min="8719" max="8719" width="9.1640625" style="157" customWidth="1"/>
    <col min="8720" max="8720" width="10.83203125" style="157" bestFit="1" customWidth="1"/>
    <col min="8721" max="8721" width="12.1640625" style="157" bestFit="1" customWidth="1"/>
    <col min="8722" max="8722" width="8" style="157" customWidth="1"/>
    <col min="8723" max="8723" width="10.83203125" style="157" bestFit="1" customWidth="1"/>
    <col min="8724" max="8724" width="12.1640625" style="157" bestFit="1" customWidth="1"/>
    <col min="8725" max="8725" width="8.1640625" style="157" bestFit="1" customWidth="1"/>
    <col min="8726" max="8726" width="10.83203125" style="157" bestFit="1" customWidth="1"/>
    <col min="8727" max="8727" width="12.1640625" style="157" bestFit="1" customWidth="1"/>
    <col min="8728" max="8728" width="18.1640625" style="157" bestFit="1" customWidth="1"/>
    <col min="8729" max="8729" width="10.83203125" style="157" bestFit="1" customWidth="1"/>
    <col min="8730" max="8965" width="8.83203125" style="157"/>
    <col min="8966" max="8966" width="38.1640625" style="157" customWidth="1"/>
    <col min="8967" max="8967" width="23.44140625" style="157" bestFit="1" customWidth="1"/>
    <col min="8968" max="8969" width="9.1640625" style="157" customWidth="1"/>
    <col min="8970" max="8970" width="11.1640625" style="157" bestFit="1" customWidth="1"/>
    <col min="8971" max="8971" width="14.44140625" style="157" bestFit="1" customWidth="1"/>
    <col min="8972" max="8972" width="8.1640625" style="157" customWidth="1"/>
    <col min="8973" max="8973" width="10.83203125" style="157" bestFit="1" customWidth="1"/>
    <col min="8974" max="8974" width="12.1640625" style="157" bestFit="1" customWidth="1"/>
    <col min="8975" max="8975" width="9.1640625" style="157" customWidth="1"/>
    <col min="8976" max="8976" width="10.83203125" style="157" bestFit="1" customWidth="1"/>
    <col min="8977" max="8977" width="12.1640625" style="157" bestFit="1" customWidth="1"/>
    <col min="8978" max="8978" width="8" style="157" customWidth="1"/>
    <col min="8979" max="8979" width="10.83203125" style="157" bestFit="1" customWidth="1"/>
    <col min="8980" max="8980" width="12.1640625" style="157" bestFit="1" customWidth="1"/>
    <col min="8981" max="8981" width="8.1640625" style="157" bestFit="1" customWidth="1"/>
    <col min="8982" max="8982" width="10.83203125" style="157" bestFit="1" customWidth="1"/>
    <col min="8983" max="8983" width="12.1640625" style="157" bestFit="1" customWidth="1"/>
    <col min="8984" max="8984" width="18.1640625" style="157" bestFit="1" customWidth="1"/>
    <col min="8985" max="8985" width="10.83203125" style="157" bestFit="1" customWidth="1"/>
    <col min="8986" max="9221" width="8.83203125" style="157"/>
    <col min="9222" max="9222" width="38.1640625" style="157" customWidth="1"/>
    <col min="9223" max="9223" width="23.44140625" style="157" bestFit="1" customWidth="1"/>
    <col min="9224" max="9225" width="9.1640625" style="157" customWidth="1"/>
    <col min="9226" max="9226" width="11.1640625" style="157" bestFit="1" customWidth="1"/>
    <col min="9227" max="9227" width="14.44140625" style="157" bestFit="1" customWidth="1"/>
    <col min="9228" max="9228" width="8.1640625" style="157" customWidth="1"/>
    <col min="9229" max="9229" width="10.83203125" style="157" bestFit="1" customWidth="1"/>
    <col min="9230" max="9230" width="12.1640625" style="157" bestFit="1" customWidth="1"/>
    <col min="9231" max="9231" width="9.1640625" style="157" customWidth="1"/>
    <col min="9232" max="9232" width="10.83203125" style="157" bestFit="1" customWidth="1"/>
    <col min="9233" max="9233" width="12.1640625" style="157" bestFit="1" customWidth="1"/>
    <col min="9234" max="9234" width="8" style="157" customWidth="1"/>
    <col min="9235" max="9235" width="10.83203125" style="157" bestFit="1" customWidth="1"/>
    <col min="9236" max="9236" width="12.1640625" style="157" bestFit="1" customWidth="1"/>
    <col min="9237" max="9237" width="8.1640625" style="157" bestFit="1" customWidth="1"/>
    <col min="9238" max="9238" width="10.83203125" style="157" bestFit="1" customWidth="1"/>
    <col min="9239" max="9239" width="12.1640625" style="157" bestFit="1" customWidth="1"/>
    <col min="9240" max="9240" width="18.1640625" style="157" bestFit="1" customWidth="1"/>
    <col min="9241" max="9241" width="10.83203125" style="157" bestFit="1" customWidth="1"/>
    <col min="9242" max="9477" width="8.83203125" style="157"/>
    <col min="9478" max="9478" width="38.1640625" style="157" customWidth="1"/>
    <col min="9479" max="9479" width="23.44140625" style="157" bestFit="1" customWidth="1"/>
    <col min="9480" max="9481" width="9.1640625" style="157" customWidth="1"/>
    <col min="9482" max="9482" width="11.1640625" style="157" bestFit="1" customWidth="1"/>
    <col min="9483" max="9483" width="14.44140625" style="157" bestFit="1" customWidth="1"/>
    <col min="9484" max="9484" width="8.1640625" style="157" customWidth="1"/>
    <col min="9485" max="9485" width="10.83203125" style="157" bestFit="1" customWidth="1"/>
    <col min="9486" max="9486" width="12.1640625" style="157" bestFit="1" customWidth="1"/>
    <col min="9487" max="9487" width="9.1640625" style="157" customWidth="1"/>
    <col min="9488" max="9488" width="10.83203125" style="157" bestFit="1" customWidth="1"/>
    <col min="9489" max="9489" width="12.1640625" style="157" bestFit="1" customWidth="1"/>
    <col min="9490" max="9490" width="8" style="157" customWidth="1"/>
    <col min="9491" max="9491" width="10.83203125" style="157" bestFit="1" customWidth="1"/>
    <col min="9492" max="9492" width="12.1640625" style="157" bestFit="1" customWidth="1"/>
    <col min="9493" max="9493" width="8.1640625" style="157" bestFit="1" customWidth="1"/>
    <col min="9494" max="9494" width="10.83203125" style="157" bestFit="1" customWidth="1"/>
    <col min="9495" max="9495" width="12.1640625" style="157" bestFit="1" customWidth="1"/>
    <col min="9496" max="9496" width="18.1640625" style="157" bestFit="1" customWidth="1"/>
    <col min="9497" max="9497" width="10.83203125" style="157" bestFit="1" customWidth="1"/>
    <col min="9498" max="9733" width="8.83203125" style="157"/>
    <col min="9734" max="9734" width="38.1640625" style="157" customWidth="1"/>
    <col min="9735" max="9735" width="23.44140625" style="157" bestFit="1" customWidth="1"/>
    <col min="9736" max="9737" width="9.1640625" style="157" customWidth="1"/>
    <col min="9738" max="9738" width="11.1640625" style="157" bestFit="1" customWidth="1"/>
    <col min="9739" max="9739" width="14.44140625" style="157" bestFit="1" customWidth="1"/>
    <col min="9740" max="9740" width="8.1640625" style="157" customWidth="1"/>
    <col min="9741" max="9741" width="10.83203125" style="157" bestFit="1" customWidth="1"/>
    <col min="9742" max="9742" width="12.1640625" style="157" bestFit="1" customWidth="1"/>
    <col min="9743" max="9743" width="9.1640625" style="157" customWidth="1"/>
    <col min="9744" max="9744" width="10.83203125" style="157" bestFit="1" customWidth="1"/>
    <col min="9745" max="9745" width="12.1640625" style="157" bestFit="1" customWidth="1"/>
    <col min="9746" max="9746" width="8" style="157" customWidth="1"/>
    <col min="9747" max="9747" width="10.83203125" style="157" bestFit="1" customWidth="1"/>
    <col min="9748" max="9748" width="12.1640625" style="157" bestFit="1" customWidth="1"/>
    <col min="9749" max="9749" width="8.1640625" style="157" bestFit="1" customWidth="1"/>
    <col min="9750" max="9750" width="10.83203125" style="157" bestFit="1" customWidth="1"/>
    <col min="9751" max="9751" width="12.1640625" style="157" bestFit="1" customWidth="1"/>
    <col min="9752" max="9752" width="18.1640625" style="157" bestFit="1" customWidth="1"/>
    <col min="9753" max="9753" width="10.83203125" style="157" bestFit="1" customWidth="1"/>
    <col min="9754" max="9989" width="8.83203125" style="157"/>
    <col min="9990" max="9990" width="38.1640625" style="157" customWidth="1"/>
    <col min="9991" max="9991" width="23.44140625" style="157" bestFit="1" customWidth="1"/>
    <col min="9992" max="9993" width="9.1640625" style="157" customWidth="1"/>
    <col min="9994" max="9994" width="11.1640625" style="157" bestFit="1" customWidth="1"/>
    <col min="9995" max="9995" width="14.44140625" style="157" bestFit="1" customWidth="1"/>
    <col min="9996" max="9996" width="8.1640625" style="157" customWidth="1"/>
    <col min="9997" max="9997" width="10.83203125" style="157" bestFit="1" customWidth="1"/>
    <col min="9998" max="9998" width="12.1640625" style="157" bestFit="1" customWidth="1"/>
    <col min="9999" max="9999" width="9.1640625" style="157" customWidth="1"/>
    <col min="10000" max="10000" width="10.83203125" style="157" bestFit="1" customWidth="1"/>
    <col min="10001" max="10001" width="12.1640625" style="157" bestFit="1" customWidth="1"/>
    <col min="10002" max="10002" width="8" style="157" customWidth="1"/>
    <col min="10003" max="10003" width="10.83203125" style="157" bestFit="1" customWidth="1"/>
    <col min="10004" max="10004" width="12.1640625" style="157" bestFit="1" customWidth="1"/>
    <col min="10005" max="10005" width="8.1640625" style="157" bestFit="1" customWidth="1"/>
    <col min="10006" max="10006" width="10.83203125" style="157" bestFit="1" customWidth="1"/>
    <col min="10007" max="10007" width="12.1640625" style="157" bestFit="1" customWidth="1"/>
    <col min="10008" max="10008" width="18.1640625" style="157" bestFit="1" customWidth="1"/>
    <col min="10009" max="10009" width="10.83203125" style="157" bestFit="1" customWidth="1"/>
    <col min="10010" max="10245" width="8.83203125" style="157"/>
    <col min="10246" max="10246" width="38.1640625" style="157" customWidth="1"/>
    <col min="10247" max="10247" width="23.44140625" style="157" bestFit="1" customWidth="1"/>
    <col min="10248" max="10249" width="9.1640625" style="157" customWidth="1"/>
    <col min="10250" max="10250" width="11.1640625" style="157" bestFit="1" customWidth="1"/>
    <col min="10251" max="10251" width="14.44140625" style="157" bestFit="1" customWidth="1"/>
    <col min="10252" max="10252" width="8.1640625" style="157" customWidth="1"/>
    <col min="10253" max="10253" width="10.83203125" style="157" bestFit="1" customWidth="1"/>
    <col min="10254" max="10254" width="12.1640625" style="157" bestFit="1" customWidth="1"/>
    <col min="10255" max="10255" width="9.1640625" style="157" customWidth="1"/>
    <col min="10256" max="10256" width="10.83203125" style="157" bestFit="1" customWidth="1"/>
    <col min="10257" max="10257" width="12.1640625" style="157" bestFit="1" customWidth="1"/>
    <col min="10258" max="10258" width="8" style="157" customWidth="1"/>
    <col min="10259" max="10259" width="10.83203125" style="157" bestFit="1" customWidth="1"/>
    <col min="10260" max="10260" width="12.1640625" style="157" bestFit="1" customWidth="1"/>
    <col min="10261" max="10261" width="8.1640625" style="157" bestFit="1" customWidth="1"/>
    <col min="10262" max="10262" width="10.83203125" style="157" bestFit="1" customWidth="1"/>
    <col min="10263" max="10263" width="12.1640625" style="157" bestFit="1" customWidth="1"/>
    <col min="10264" max="10264" width="18.1640625" style="157" bestFit="1" customWidth="1"/>
    <col min="10265" max="10265" width="10.83203125" style="157" bestFit="1" customWidth="1"/>
    <col min="10266" max="10501" width="8.83203125" style="157"/>
    <col min="10502" max="10502" width="38.1640625" style="157" customWidth="1"/>
    <col min="10503" max="10503" width="23.44140625" style="157" bestFit="1" customWidth="1"/>
    <col min="10504" max="10505" width="9.1640625" style="157" customWidth="1"/>
    <col min="10506" max="10506" width="11.1640625" style="157" bestFit="1" customWidth="1"/>
    <col min="10507" max="10507" width="14.44140625" style="157" bestFit="1" customWidth="1"/>
    <col min="10508" max="10508" width="8.1640625" style="157" customWidth="1"/>
    <col min="10509" max="10509" width="10.83203125" style="157" bestFit="1" customWidth="1"/>
    <col min="10510" max="10510" width="12.1640625" style="157" bestFit="1" customWidth="1"/>
    <col min="10511" max="10511" width="9.1640625" style="157" customWidth="1"/>
    <col min="10512" max="10512" width="10.83203125" style="157" bestFit="1" customWidth="1"/>
    <col min="10513" max="10513" width="12.1640625" style="157" bestFit="1" customWidth="1"/>
    <col min="10514" max="10514" width="8" style="157" customWidth="1"/>
    <col min="10515" max="10515" width="10.83203125" style="157" bestFit="1" customWidth="1"/>
    <col min="10516" max="10516" width="12.1640625" style="157" bestFit="1" customWidth="1"/>
    <col min="10517" max="10517" width="8.1640625" style="157" bestFit="1" customWidth="1"/>
    <col min="10518" max="10518" width="10.83203125" style="157" bestFit="1" customWidth="1"/>
    <col min="10519" max="10519" width="12.1640625" style="157" bestFit="1" customWidth="1"/>
    <col min="10520" max="10520" width="18.1640625" style="157" bestFit="1" customWidth="1"/>
    <col min="10521" max="10521" width="10.83203125" style="157" bestFit="1" customWidth="1"/>
    <col min="10522" max="10757" width="8.83203125" style="157"/>
    <col min="10758" max="10758" width="38.1640625" style="157" customWidth="1"/>
    <col min="10759" max="10759" width="23.44140625" style="157" bestFit="1" customWidth="1"/>
    <col min="10760" max="10761" width="9.1640625" style="157" customWidth="1"/>
    <col min="10762" max="10762" width="11.1640625" style="157" bestFit="1" customWidth="1"/>
    <col min="10763" max="10763" width="14.44140625" style="157" bestFit="1" customWidth="1"/>
    <col min="10764" max="10764" width="8.1640625" style="157" customWidth="1"/>
    <col min="10765" max="10765" width="10.83203125" style="157" bestFit="1" customWidth="1"/>
    <col min="10766" max="10766" width="12.1640625" style="157" bestFit="1" customWidth="1"/>
    <col min="10767" max="10767" width="9.1640625" style="157" customWidth="1"/>
    <col min="10768" max="10768" width="10.83203125" style="157" bestFit="1" customWidth="1"/>
    <col min="10769" max="10769" width="12.1640625" style="157" bestFit="1" customWidth="1"/>
    <col min="10770" max="10770" width="8" style="157" customWidth="1"/>
    <col min="10771" max="10771" width="10.83203125" style="157" bestFit="1" customWidth="1"/>
    <col min="10772" max="10772" width="12.1640625" style="157" bestFit="1" customWidth="1"/>
    <col min="10773" max="10773" width="8.1640625" style="157" bestFit="1" customWidth="1"/>
    <col min="10774" max="10774" width="10.83203125" style="157" bestFit="1" customWidth="1"/>
    <col min="10775" max="10775" width="12.1640625" style="157" bestFit="1" customWidth="1"/>
    <col min="10776" max="10776" width="18.1640625" style="157" bestFit="1" customWidth="1"/>
    <col min="10777" max="10777" width="10.83203125" style="157" bestFit="1" customWidth="1"/>
    <col min="10778" max="11013" width="8.83203125" style="157"/>
    <col min="11014" max="11014" width="38.1640625" style="157" customWidth="1"/>
    <col min="11015" max="11015" width="23.44140625" style="157" bestFit="1" customWidth="1"/>
    <col min="11016" max="11017" width="9.1640625" style="157" customWidth="1"/>
    <col min="11018" max="11018" width="11.1640625" style="157" bestFit="1" customWidth="1"/>
    <col min="11019" max="11019" width="14.44140625" style="157" bestFit="1" customWidth="1"/>
    <col min="11020" max="11020" width="8.1640625" style="157" customWidth="1"/>
    <col min="11021" max="11021" width="10.83203125" style="157" bestFit="1" customWidth="1"/>
    <col min="11022" max="11022" width="12.1640625" style="157" bestFit="1" customWidth="1"/>
    <col min="11023" max="11023" width="9.1640625" style="157" customWidth="1"/>
    <col min="11024" max="11024" width="10.83203125" style="157" bestFit="1" customWidth="1"/>
    <col min="11025" max="11025" width="12.1640625" style="157" bestFit="1" customWidth="1"/>
    <col min="11026" max="11026" width="8" style="157" customWidth="1"/>
    <col min="11027" max="11027" width="10.83203125" style="157" bestFit="1" customWidth="1"/>
    <col min="11028" max="11028" width="12.1640625" style="157" bestFit="1" customWidth="1"/>
    <col min="11029" max="11029" width="8.1640625" style="157" bestFit="1" customWidth="1"/>
    <col min="11030" max="11030" width="10.83203125" style="157" bestFit="1" customWidth="1"/>
    <col min="11031" max="11031" width="12.1640625" style="157" bestFit="1" customWidth="1"/>
    <col min="11032" max="11032" width="18.1640625" style="157" bestFit="1" customWidth="1"/>
    <col min="11033" max="11033" width="10.83203125" style="157" bestFit="1" customWidth="1"/>
    <col min="11034" max="11269" width="8.83203125" style="157"/>
    <col min="11270" max="11270" width="38.1640625" style="157" customWidth="1"/>
    <col min="11271" max="11271" width="23.44140625" style="157" bestFit="1" customWidth="1"/>
    <col min="11272" max="11273" width="9.1640625" style="157" customWidth="1"/>
    <col min="11274" max="11274" width="11.1640625" style="157" bestFit="1" customWidth="1"/>
    <col min="11275" max="11275" width="14.44140625" style="157" bestFit="1" customWidth="1"/>
    <col min="11276" max="11276" width="8.1640625" style="157" customWidth="1"/>
    <col min="11277" max="11277" width="10.83203125" style="157" bestFit="1" customWidth="1"/>
    <col min="11278" max="11278" width="12.1640625" style="157" bestFit="1" customWidth="1"/>
    <col min="11279" max="11279" width="9.1640625" style="157" customWidth="1"/>
    <col min="11280" max="11280" width="10.83203125" style="157" bestFit="1" customWidth="1"/>
    <col min="11281" max="11281" width="12.1640625" style="157" bestFit="1" customWidth="1"/>
    <col min="11282" max="11282" width="8" style="157" customWidth="1"/>
    <col min="11283" max="11283" width="10.83203125" style="157" bestFit="1" customWidth="1"/>
    <col min="11284" max="11284" width="12.1640625" style="157" bestFit="1" customWidth="1"/>
    <col min="11285" max="11285" width="8.1640625" style="157" bestFit="1" customWidth="1"/>
    <col min="11286" max="11286" width="10.83203125" style="157" bestFit="1" customWidth="1"/>
    <col min="11287" max="11287" width="12.1640625" style="157" bestFit="1" customWidth="1"/>
    <col min="11288" max="11288" width="18.1640625" style="157" bestFit="1" customWidth="1"/>
    <col min="11289" max="11289" width="10.83203125" style="157" bestFit="1" customWidth="1"/>
    <col min="11290" max="11525" width="8.83203125" style="157"/>
    <col min="11526" max="11526" width="38.1640625" style="157" customWidth="1"/>
    <col min="11527" max="11527" width="23.44140625" style="157" bestFit="1" customWidth="1"/>
    <col min="11528" max="11529" width="9.1640625" style="157" customWidth="1"/>
    <col min="11530" max="11530" width="11.1640625" style="157" bestFit="1" customWidth="1"/>
    <col min="11531" max="11531" width="14.44140625" style="157" bestFit="1" customWidth="1"/>
    <col min="11532" max="11532" width="8.1640625" style="157" customWidth="1"/>
    <col min="11533" max="11533" width="10.83203125" style="157" bestFit="1" customWidth="1"/>
    <col min="11534" max="11534" width="12.1640625" style="157" bestFit="1" customWidth="1"/>
    <col min="11535" max="11535" width="9.1640625" style="157" customWidth="1"/>
    <col min="11536" max="11536" width="10.83203125" style="157" bestFit="1" customWidth="1"/>
    <col min="11537" max="11537" width="12.1640625" style="157" bestFit="1" customWidth="1"/>
    <col min="11538" max="11538" width="8" style="157" customWidth="1"/>
    <col min="11539" max="11539" width="10.83203125" style="157" bestFit="1" customWidth="1"/>
    <col min="11540" max="11540" width="12.1640625" style="157" bestFit="1" customWidth="1"/>
    <col min="11541" max="11541" width="8.1640625" style="157" bestFit="1" customWidth="1"/>
    <col min="11542" max="11542" width="10.83203125" style="157" bestFit="1" customWidth="1"/>
    <col min="11543" max="11543" width="12.1640625" style="157" bestFit="1" customWidth="1"/>
    <col min="11544" max="11544" width="18.1640625" style="157" bestFit="1" customWidth="1"/>
    <col min="11545" max="11545" width="10.83203125" style="157" bestFit="1" customWidth="1"/>
    <col min="11546" max="11781" width="8.83203125" style="157"/>
    <col min="11782" max="11782" width="38.1640625" style="157" customWidth="1"/>
    <col min="11783" max="11783" width="23.44140625" style="157" bestFit="1" customWidth="1"/>
    <col min="11784" max="11785" width="9.1640625" style="157" customWidth="1"/>
    <col min="11786" max="11786" width="11.1640625" style="157" bestFit="1" customWidth="1"/>
    <col min="11787" max="11787" width="14.44140625" style="157" bestFit="1" customWidth="1"/>
    <col min="11788" max="11788" width="8.1640625" style="157" customWidth="1"/>
    <col min="11789" max="11789" width="10.83203125" style="157" bestFit="1" customWidth="1"/>
    <col min="11790" max="11790" width="12.1640625" style="157" bestFit="1" customWidth="1"/>
    <col min="11791" max="11791" width="9.1640625" style="157" customWidth="1"/>
    <col min="11792" max="11792" width="10.83203125" style="157" bestFit="1" customWidth="1"/>
    <col min="11793" max="11793" width="12.1640625" style="157" bestFit="1" customWidth="1"/>
    <col min="11794" max="11794" width="8" style="157" customWidth="1"/>
    <col min="11795" max="11795" width="10.83203125" style="157" bestFit="1" customWidth="1"/>
    <col min="11796" max="11796" width="12.1640625" style="157" bestFit="1" customWidth="1"/>
    <col min="11797" max="11797" width="8.1640625" style="157" bestFit="1" customWidth="1"/>
    <col min="11798" max="11798" width="10.83203125" style="157" bestFit="1" customWidth="1"/>
    <col min="11799" max="11799" width="12.1640625" style="157" bestFit="1" customWidth="1"/>
    <col min="11800" max="11800" width="18.1640625" style="157" bestFit="1" customWidth="1"/>
    <col min="11801" max="11801" width="10.83203125" style="157" bestFit="1" customWidth="1"/>
    <col min="11802" max="12037" width="8.83203125" style="157"/>
    <col min="12038" max="12038" width="38.1640625" style="157" customWidth="1"/>
    <col min="12039" max="12039" width="23.44140625" style="157" bestFit="1" customWidth="1"/>
    <col min="12040" max="12041" width="9.1640625" style="157" customWidth="1"/>
    <col min="12042" max="12042" width="11.1640625" style="157" bestFit="1" customWidth="1"/>
    <col min="12043" max="12043" width="14.44140625" style="157" bestFit="1" customWidth="1"/>
    <col min="12044" max="12044" width="8.1640625" style="157" customWidth="1"/>
    <col min="12045" max="12045" width="10.83203125" style="157" bestFit="1" customWidth="1"/>
    <col min="12046" max="12046" width="12.1640625" style="157" bestFit="1" customWidth="1"/>
    <col min="12047" max="12047" width="9.1640625" style="157" customWidth="1"/>
    <col min="12048" max="12048" width="10.83203125" style="157" bestFit="1" customWidth="1"/>
    <col min="12049" max="12049" width="12.1640625" style="157" bestFit="1" customWidth="1"/>
    <col min="12050" max="12050" width="8" style="157" customWidth="1"/>
    <col min="12051" max="12051" width="10.83203125" style="157" bestFit="1" customWidth="1"/>
    <col min="12052" max="12052" width="12.1640625" style="157" bestFit="1" customWidth="1"/>
    <col min="12053" max="12053" width="8.1640625" style="157" bestFit="1" customWidth="1"/>
    <col min="12054" max="12054" width="10.83203125" style="157" bestFit="1" customWidth="1"/>
    <col min="12055" max="12055" width="12.1640625" style="157" bestFit="1" customWidth="1"/>
    <col min="12056" max="12056" width="18.1640625" style="157" bestFit="1" customWidth="1"/>
    <col min="12057" max="12057" width="10.83203125" style="157" bestFit="1" customWidth="1"/>
    <col min="12058" max="12293" width="8.83203125" style="157"/>
    <col min="12294" max="12294" width="38.1640625" style="157" customWidth="1"/>
    <col min="12295" max="12295" width="23.44140625" style="157" bestFit="1" customWidth="1"/>
    <col min="12296" max="12297" width="9.1640625" style="157" customWidth="1"/>
    <col min="12298" max="12298" width="11.1640625" style="157" bestFit="1" customWidth="1"/>
    <col min="12299" max="12299" width="14.44140625" style="157" bestFit="1" customWidth="1"/>
    <col min="12300" max="12300" width="8.1640625" style="157" customWidth="1"/>
    <col min="12301" max="12301" width="10.83203125" style="157" bestFit="1" customWidth="1"/>
    <col min="12302" max="12302" width="12.1640625" style="157" bestFit="1" customWidth="1"/>
    <col min="12303" max="12303" width="9.1640625" style="157" customWidth="1"/>
    <col min="12304" max="12304" width="10.83203125" style="157" bestFit="1" customWidth="1"/>
    <col min="12305" max="12305" width="12.1640625" style="157" bestFit="1" customWidth="1"/>
    <col min="12306" max="12306" width="8" style="157" customWidth="1"/>
    <col min="12307" max="12307" width="10.83203125" style="157" bestFit="1" customWidth="1"/>
    <col min="12308" max="12308" width="12.1640625" style="157" bestFit="1" customWidth="1"/>
    <col min="12309" max="12309" width="8.1640625" style="157" bestFit="1" customWidth="1"/>
    <col min="12310" max="12310" width="10.83203125" style="157" bestFit="1" customWidth="1"/>
    <col min="12311" max="12311" width="12.1640625" style="157" bestFit="1" customWidth="1"/>
    <col min="12312" max="12312" width="18.1640625" style="157" bestFit="1" customWidth="1"/>
    <col min="12313" max="12313" width="10.83203125" style="157" bestFit="1" customWidth="1"/>
    <col min="12314" max="12549" width="8.83203125" style="157"/>
    <col min="12550" max="12550" width="38.1640625" style="157" customWidth="1"/>
    <col min="12551" max="12551" width="23.44140625" style="157" bestFit="1" customWidth="1"/>
    <col min="12552" max="12553" width="9.1640625" style="157" customWidth="1"/>
    <col min="12554" max="12554" width="11.1640625" style="157" bestFit="1" customWidth="1"/>
    <col min="12555" max="12555" width="14.44140625" style="157" bestFit="1" customWidth="1"/>
    <col min="12556" max="12556" width="8.1640625" style="157" customWidth="1"/>
    <col min="12557" max="12557" width="10.83203125" style="157" bestFit="1" customWidth="1"/>
    <col min="12558" max="12558" width="12.1640625" style="157" bestFit="1" customWidth="1"/>
    <col min="12559" max="12559" width="9.1640625" style="157" customWidth="1"/>
    <col min="12560" max="12560" width="10.83203125" style="157" bestFit="1" customWidth="1"/>
    <col min="12561" max="12561" width="12.1640625" style="157" bestFit="1" customWidth="1"/>
    <col min="12562" max="12562" width="8" style="157" customWidth="1"/>
    <col min="12563" max="12563" width="10.83203125" style="157" bestFit="1" customWidth="1"/>
    <col min="12564" max="12564" width="12.1640625" style="157" bestFit="1" customWidth="1"/>
    <col min="12565" max="12565" width="8.1640625" style="157" bestFit="1" customWidth="1"/>
    <col min="12566" max="12566" width="10.83203125" style="157" bestFit="1" customWidth="1"/>
    <col min="12567" max="12567" width="12.1640625" style="157" bestFit="1" customWidth="1"/>
    <col min="12568" max="12568" width="18.1640625" style="157" bestFit="1" customWidth="1"/>
    <col min="12569" max="12569" width="10.83203125" style="157" bestFit="1" customWidth="1"/>
    <col min="12570" max="12805" width="8.83203125" style="157"/>
    <col min="12806" max="12806" width="38.1640625" style="157" customWidth="1"/>
    <col min="12807" max="12807" width="23.44140625" style="157" bestFit="1" customWidth="1"/>
    <col min="12808" max="12809" width="9.1640625" style="157" customWidth="1"/>
    <col min="12810" max="12810" width="11.1640625" style="157" bestFit="1" customWidth="1"/>
    <col min="12811" max="12811" width="14.44140625" style="157" bestFit="1" customWidth="1"/>
    <col min="12812" max="12812" width="8.1640625" style="157" customWidth="1"/>
    <col min="12813" max="12813" width="10.83203125" style="157" bestFit="1" customWidth="1"/>
    <col min="12814" max="12814" width="12.1640625" style="157" bestFit="1" customWidth="1"/>
    <col min="12815" max="12815" width="9.1640625" style="157" customWidth="1"/>
    <col min="12816" max="12816" width="10.83203125" style="157" bestFit="1" customWidth="1"/>
    <col min="12817" max="12817" width="12.1640625" style="157" bestFit="1" customWidth="1"/>
    <col min="12818" max="12818" width="8" style="157" customWidth="1"/>
    <col min="12819" max="12819" width="10.83203125" style="157" bestFit="1" customWidth="1"/>
    <col min="12820" max="12820" width="12.1640625" style="157" bestFit="1" customWidth="1"/>
    <col min="12821" max="12821" width="8.1640625" style="157" bestFit="1" customWidth="1"/>
    <col min="12822" max="12822" width="10.83203125" style="157" bestFit="1" customWidth="1"/>
    <col min="12823" max="12823" width="12.1640625" style="157" bestFit="1" customWidth="1"/>
    <col min="12824" max="12824" width="18.1640625" style="157" bestFit="1" customWidth="1"/>
    <col min="12825" max="12825" width="10.83203125" style="157" bestFit="1" customWidth="1"/>
    <col min="12826" max="13061" width="8.83203125" style="157"/>
    <col min="13062" max="13062" width="38.1640625" style="157" customWidth="1"/>
    <col min="13063" max="13063" width="23.44140625" style="157" bestFit="1" customWidth="1"/>
    <col min="13064" max="13065" width="9.1640625" style="157" customWidth="1"/>
    <col min="13066" max="13066" width="11.1640625" style="157" bestFit="1" customWidth="1"/>
    <col min="13067" max="13067" width="14.44140625" style="157" bestFit="1" customWidth="1"/>
    <col min="13068" max="13068" width="8.1640625" style="157" customWidth="1"/>
    <col min="13069" max="13069" width="10.83203125" style="157" bestFit="1" customWidth="1"/>
    <col min="13070" max="13070" width="12.1640625" style="157" bestFit="1" customWidth="1"/>
    <col min="13071" max="13071" width="9.1640625" style="157" customWidth="1"/>
    <col min="13072" max="13072" width="10.83203125" style="157" bestFit="1" customWidth="1"/>
    <col min="13073" max="13073" width="12.1640625" style="157" bestFit="1" customWidth="1"/>
    <col min="13074" max="13074" width="8" style="157" customWidth="1"/>
    <col min="13075" max="13075" width="10.83203125" style="157" bestFit="1" customWidth="1"/>
    <col min="13076" max="13076" width="12.1640625" style="157" bestFit="1" customWidth="1"/>
    <col min="13077" max="13077" width="8.1640625" style="157" bestFit="1" customWidth="1"/>
    <col min="13078" max="13078" width="10.83203125" style="157" bestFit="1" customWidth="1"/>
    <col min="13079" max="13079" width="12.1640625" style="157" bestFit="1" customWidth="1"/>
    <col min="13080" max="13080" width="18.1640625" style="157" bestFit="1" customWidth="1"/>
    <col min="13081" max="13081" width="10.83203125" style="157" bestFit="1" customWidth="1"/>
    <col min="13082" max="13317" width="8.83203125" style="157"/>
    <col min="13318" max="13318" width="38.1640625" style="157" customWidth="1"/>
    <col min="13319" max="13319" width="23.44140625" style="157" bestFit="1" customWidth="1"/>
    <col min="13320" max="13321" width="9.1640625" style="157" customWidth="1"/>
    <col min="13322" max="13322" width="11.1640625" style="157" bestFit="1" customWidth="1"/>
    <col min="13323" max="13323" width="14.44140625" style="157" bestFit="1" customWidth="1"/>
    <col min="13324" max="13324" width="8.1640625" style="157" customWidth="1"/>
    <col min="13325" max="13325" width="10.83203125" style="157" bestFit="1" customWidth="1"/>
    <col min="13326" max="13326" width="12.1640625" style="157" bestFit="1" customWidth="1"/>
    <col min="13327" max="13327" width="9.1640625" style="157" customWidth="1"/>
    <col min="13328" max="13328" width="10.83203125" style="157" bestFit="1" customWidth="1"/>
    <col min="13329" max="13329" width="12.1640625" style="157" bestFit="1" customWidth="1"/>
    <col min="13330" max="13330" width="8" style="157" customWidth="1"/>
    <col min="13331" max="13331" width="10.83203125" style="157" bestFit="1" customWidth="1"/>
    <col min="13332" max="13332" width="12.1640625" style="157" bestFit="1" customWidth="1"/>
    <col min="13333" max="13333" width="8.1640625" style="157" bestFit="1" customWidth="1"/>
    <col min="13334" max="13334" width="10.83203125" style="157" bestFit="1" customWidth="1"/>
    <col min="13335" max="13335" width="12.1640625" style="157" bestFit="1" customWidth="1"/>
    <col min="13336" max="13336" width="18.1640625" style="157" bestFit="1" customWidth="1"/>
    <col min="13337" max="13337" width="10.83203125" style="157" bestFit="1" customWidth="1"/>
    <col min="13338" max="13573" width="8.83203125" style="157"/>
    <col min="13574" max="13574" width="38.1640625" style="157" customWidth="1"/>
    <col min="13575" max="13575" width="23.44140625" style="157" bestFit="1" customWidth="1"/>
    <col min="13576" max="13577" width="9.1640625" style="157" customWidth="1"/>
    <col min="13578" max="13578" width="11.1640625" style="157" bestFit="1" customWidth="1"/>
    <col min="13579" max="13579" width="14.44140625" style="157" bestFit="1" customWidth="1"/>
    <col min="13580" max="13580" width="8.1640625" style="157" customWidth="1"/>
    <col min="13581" max="13581" width="10.83203125" style="157" bestFit="1" customWidth="1"/>
    <col min="13582" max="13582" width="12.1640625" style="157" bestFit="1" customWidth="1"/>
    <col min="13583" max="13583" width="9.1640625" style="157" customWidth="1"/>
    <col min="13584" max="13584" width="10.83203125" style="157" bestFit="1" customWidth="1"/>
    <col min="13585" max="13585" width="12.1640625" style="157" bestFit="1" customWidth="1"/>
    <col min="13586" max="13586" width="8" style="157" customWidth="1"/>
    <col min="13587" max="13587" width="10.83203125" style="157" bestFit="1" customWidth="1"/>
    <col min="13588" max="13588" width="12.1640625" style="157" bestFit="1" customWidth="1"/>
    <col min="13589" max="13589" width="8.1640625" style="157" bestFit="1" customWidth="1"/>
    <col min="13590" max="13590" width="10.83203125" style="157" bestFit="1" customWidth="1"/>
    <col min="13591" max="13591" width="12.1640625" style="157" bestFit="1" customWidth="1"/>
    <col min="13592" max="13592" width="18.1640625" style="157" bestFit="1" customWidth="1"/>
    <col min="13593" max="13593" width="10.83203125" style="157" bestFit="1" customWidth="1"/>
    <col min="13594" max="13829" width="8.83203125" style="157"/>
    <col min="13830" max="13830" width="38.1640625" style="157" customWidth="1"/>
    <col min="13831" max="13831" width="23.44140625" style="157" bestFit="1" customWidth="1"/>
    <col min="13832" max="13833" width="9.1640625" style="157" customWidth="1"/>
    <col min="13834" max="13834" width="11.1640625" style="157" bestFit="1" customWidth="1"/>
    <col min="13835" max="13835" width="14.44140625" style="157" bestFit="1" customWidth="1"/>
    <col min="13836" max="13836" width="8.1640625" style="157" customWidth="1"/>
    <col min="13837" max="13837" width="10.83203125" style="157" bestFit="1" customWidth="1"/>
    <col min="13838" max="13838" width="12.1640625" style="157" bestFit="1" customWidth="1"/>
    <col min="13839" max="13839" width="9.1640625" style="157" customWidth="1"/>
    <col min="13840" max="13840" width="10.83203125" style="157" bestFit="1" customWidth="1"/>
    <col min="13841" max="13841" width="12.1640625" style="157" bestFit="1" customWidth="1"/>
    <col min="13842" max="13842" width="8" style="157" customWidth="1"/>
    <col min="13843" max="13843" width="10.83203125" style="157" bestFit="1" customWidth="1"/>
    <col min="13844" max="13844" width="12.1640625" style="157" bestFit="1" customWidth="1"/>
    <col min="13845" max="13845" width="8.1640625" style="157" bestFit="1" customWidth="1"/>
    <col min="13846" max="13846" width="10.83203125" style="157" bestFit="1" customWidth="1"/>
    <col min="13847" max="13847" width="12.1640625" style="157" bestFit="1" customWidth="1"/>
    <col min="13848" max="13848" width="18.1640625" style="157" bestFit="1" customWidth="1"/>
    <col min="13849" max="13849" width="10.83203125" style="157" bestFit="1" customWidth="1"/>
    <col min="13850" max="14085" width="8.83203125" style="157"/>
    <col min="14086" max="14086" width="38.1640625" style="157" customWidth="1"/>
    <col min="14087" max="14087" width="23.44140625" style="157" bestFit="1" customWidth="1"/>
    <col min="14088" max="14089" width="9.1640625" style="157" customWidth="1"/>
    <col min="14090" max="14090" width="11.1640625" style="157" bestFit="1" customWidth="1"/>
    <col min="14091" max="14091" width="14.44140625" style="157" bestFit="1" customWidth="1"/>
    <col min="14092" max="14092" width="8.1640625" style="157" customWidth="1"/>
    <col min="14093" max="14093" width="10.83203125" style="157" bestFit="1" customWidth="1"/>
    <col min="14094" max="14094" width="12.1640625" style="157" bestFit="1" customWidth="1"/>
    <col min="14095" max="14095" width="9.1640625" style="157" customWidth="1"/>
    <col min="14096" max="14096" width="10.83203125" style="157" bestFit="1" customWidth="1"/>
    <col min="14097" max="14097" width="12.1640625" style="157" bestFit="1" customWidth="1"/>
    <col min="14098" max="14098" width="8" style="157" customWidth="1"/>
    <col min="14099" max="14099" width="10.83203125" style="157" bestFit="1" customWidth="1"/>
    <col min="14100" max="14100" width="12.1640625" style="157" bestFit="1" customWidth="1"/>
    <col min="14101" max="14101" width="8.1640625" style="157" bestFit="1" customWidth="1"/>
    <col min="14102" max="14102" width="10.83203125" style="157" bestFit="1" customWidth="1"/>
    <col min="14103" max="14103" width="12.1640625" style="157" bestFit="1" customWidth="1"/>
    <col min="14104" max="14104" width="18.1640625" style="157" bestFit="1" customWidth="1"/>
    <col min="14105" max="14105" width="10.83203125" style="157" bestFit="1" customWidth="1"/>
    <col min="14106" max="14341" width="8.83203125" style="157"/>
    <col min="14342" max="14342" width="38.1640625" style="157" customWidth="1"/>
    <col min="14343" max="14343" width="23.44140625" style="157" bestFit="1" customWidth="1"/>
    <col min="14344" max="14345" width="9.1640625" style="157" customWidth="1"/>
    <col min="14346" max="14346" width="11.1640625" style="157" bestFit="1" customWidth="1"/>
    <col min="14347" max="14347" width="14.44140625" style="157" bestFit="1" customWidth="1"/>
    <col min="14348" max="14348" width="8.1640625" style="157" customWidth="1"/>
    <col min="14349" max="14349" width="10.83203125" style="157" bestFit="1" customWidth="1"/>
    <col min="14350" max="14350" width="12.1640625" style="157" bestFit="1" customWidth="1"/>
    <col min="14351" max="14351" width="9.1640625" style="157" customWidth="1"/>
    <col min="14352" max="14352" width="10.83203125" style="157" bestFit="1" customWidth="1"/>
    <col min="14353" max="14353" width="12.1640625" style="157" bestFit="1" customWidth="1"/>
    <col min="14354" max="14354" width="8" style="157" customWidth="1"/>
    <col min="14355" max="14355" width="10.83203125" style="157" bestFit="1" customWidth="1"/>
    <col min="14356" max="14356" width="12.1640625" style="157" bestFit="1" customWidth="1"/>
    <col min="14357" max="14357" width="8.1640625" style="157" bestFit="1" customWidth="1"/>
    <col min="14358" max="14358" width="10.83203125" style="157" bestFit="1" customWidth="1"/>
    <col min="14359" max="14359" width="12.1640625" style="157" bestFit="1" customWidth="1"/>
    <col min="14360" max="14360" width="18.1640625" style="157" bestFit="1" customWidth="1"/>
    <col min="14361" max="14361" width="10.83203125" style="157" bestFit="1" customWidth="1"/>
    <col min="14362" max="14597" width="8.83203125" style="157"/>
    <col min="14598" max="14598" width="38.1640625" style="157" customWidth="1"/>
    <col min="14599" max="14599" width="23.44140625" style="157" bestFit="1" customWidth="1"/>
    <col min="14600" max="14601" width="9.1640625" style="157" customWidth="1"/>
    <col min="14602" max="14602" width="11.1640625" style="157" bestFit="1" customWidth="1"/>
    <col min="14603" max="14603" width="14.44140625" style="157" bestFit="1" customWidth="1"/>
    <col min="14604" max="14604" width="8.1640625" style="157" customWidth="1"/>
    <col min="14605" max="14605" width="10.83203125" style="157" bestFit="1" customWidth="1"/>
    <col min="14606" max="14606" width="12.1640625" style="157" bestFit="1" customWidth="1"/>
    <col min="14607" max="14607" width="9.1640625" style="157" customWidth="1"/>
    <col min="14608" max="14608" width="10.83203125" style="157" bestFit="1" customWidth="1"/>
    <col min="14609" max="14609" width="12.1640625" style="157" bestFit="1" customWidth="1"/>
    <col min="14610" max="14610" width="8" style="157" customWidth="1"/>
    <col min="14611" max="14611" width="10.83203125" style="157" bestFit="1" customWidth="1"/>
    <col min="14612" max="14612" width="12.1640625" style="157" bestFit="1" customWidth="1"/>
    <col min="14613" max="14613" width="8.1640625" style="157" bestFit="1" customWidth="1"/>
    <col min="14614" max="14614" width="10.83203125" style="157" bestFit="1" customWidth="1"/>
    <col min="14615" max="14615" width="12.1640625" style="157" bestFit="1" customWidth="1"/>
    <col min="14616" max="14616" width="18.1640625" style="157" bestFit="1" customWidth="1"/>
    <col min="14617" max="14617" width="10.83203125" style="157" bestFit="1" customWidth="1"/>
    <col min="14618" max="14853" width="8.83203125" style="157"/>
    <col min="14854" max="14854" width="38.1640625" style="157" customWidth="1"/>
    <col min="14855" max="14855" width="23.44140625" style="157" bestFit="1" customWidth="1"/>
    <col min="14856" max="14857" width="9.1640625" style="157" customWidth="1"/>
    <col min="14858" max="14858" width="11.1640625" style="157" bestFit="1" customWidth="1"/>
    <col min="14859" max="14859" width="14.44140625" style="157" bestFit="1" customWidth="1"/>
    <col min="14860" max="14860" width="8.1640625" style="157" customWidth="1"/>
    <col min="14861" max="14861" width="10.83203125" style="157" bestFit="1" customWidth="1"/>
    <col min="14862" max="14862" width="12.1640625" style="157" bestFit="1" customWidth="1"/>
    <col min="14863" max="14863" width="9.1640625" style="157" customWidth="1"/>
    <col min="14864" max="14864" width="10.83203125" style="157" bestFit="1" customWidth="1"/>
    <col min="14865" max="14865" width="12.1640625" style="157" bestFit="1" customWidth="1"/>
    <col min="14866" max="14866" width="8" style="157" customWidth="1"/>
    <col min="14867" max="14867" width="10.83203125" style="157" bestFit="1" customWidth="1"/>
    <col min="14868" max="14868" width="12.1640625" style="157" bestFit="1" customWidth="1"/>
    <col min="14869" max="14869" width="8.1640625" style="157" bestFit="1" customWidth="1"/>
    <col min="14870" max="14870" width="10.83203125" style="157" bestFit="1" customWidth="1"/>
    <col min="14871" max="14871" width="12.1640625" style="157" bestFit="1" customWidth="1"/>
    <col min="14872" max="14872" width="18.1640625" style="157" bestFit="1" customWidth="1"/>
    <col min="14873" max="14873" width="10.83203125" style="157" bestFit="1" customWidth="1"/>
    <col min="14874" max="15109" width="8.83203125" style="157"/>
    <col min="15110" max="15110" width="38.1640625" style="157" customWidth="1"/>
    <col min="15111" max="15111" width="23.44140625" style="157" bestFit="1" customWidth="1"/>
    <col min="15112" max="15113" width="9.1640625" style="157" customWidth="1"/>
    <col min="15114" max="15114" width="11.1640625" style="157" bestFit="1" customWidth="1"/>
    <col min="15115" max="15115" width="14.44140625" style="157" bestFit="1" customWidth="1"/>
    <col min="15116" max="15116" width="8.1640625" style="157" customWidth="1"/>
    <col min="15117" max="15117" width="10.83203125" style="157" bestFit="1" customWidth="1"/>
    <col min="15118" max="15118" width="12.1640625" style="157" bestFit="1" customWidth="1"/>
    <col min="15119" max="15119" width="9.1640625" style="157" customWidth="1"/>
    <col min="15120" max="15120" width="10.83203125" style="157" bestFit="1" customWidth="1"/>
    <col min="15121" max="15121" width="12.1640625" style="157" bestFit="1" customWidth="1"/>
    <col min="15122" max="15122" width="8" style="157" customWidth="1"/>
    <col min="15123" max="15123" width="10.83203125" style="157" bestFit="1" customWidth="1"/>
    <col min="15124" max="15124" width="12.1640625" style="157" bestFit="1" customWidth="1"/>
    <col min="15125" max="15125" width="8.1640625" style="157" bestFit="1" customWidth="1"/>
    <col min="15126" max="15126" width="10.83203125" style="157" bestFit="1" customWidth="1"/>
    <col min="15127" max="15127" width="12.1640625" style="157" bestFit="1" customWidth="1"/>
    <col min="15128" max="15128" width="18.1640625" style="157" bestFit="1" customWidth="1"/>
    <col min="15129" max="15129" width="10.83203125" style="157" bestFit="1" customWidth="1"/>
    <col min="15130" max="15365" width="8.83203125" style="157"/>
    <col min="15366" max="15366" width="38.1640625" style="157" customWidth="1"/>
    <col min="15367" max="15367" width="23.44140625" style="157" bestFit="1" customWidth="1"/>
    <col min="15368" max="15369" width="9.1640625" style="157" customWidth="1"/>
    <col min="15370" max="15370" width="11.1640625" style="157" bestFit="1" customWidth="1"/>
    <col min="15371" max="15371" width="14.44140625" style="157" bestFit="1" customWidth="1"/>
    <col min="15372" max="15372" width="8.1640625" style="157" customWidth="1"/>
    <col min="15373" max="15373" width="10.83203125" style="157" bestFit="1" customWidth="1"/>
    <col min="15374" max="15374" width="12.1640625" style="157" bestFit="1" customWidth="1"/>
    <col min="15375" max="15375" width="9.1640625" style="157" customWidth="1"/>
    <col min="15376" max="15376" width="10.83203125" style="157" bestFit="1" customWidth="1"/>
    <col min="15377" max="15377" width="12.1640625" style="157" bestFit="1" customWidth="1"/>
    <col min="15378" max="15378" width="8" style="157" customWidth="1"/>
    <col min="15379" max="15379" width="10.83203125" style="157" bestFit="1" customWidth="1"/>
    <col min="15380" max="15380" width="12.1640625" style="157" bestFit="1" customWidth="1"/>
    <col min="15381" max="15381" width="8.1640625" style="157" bestFit="1" customWidth="1"/>
    <col min="15382" max="15382" width="10.83203125" style="157" bestFit="1" customWidth="1"/>
    <col min="15383" max="15383" width="12.1640625" style="157" bestFit="1" customWidth="1"/>
    <col min="15384" max="15384" width="18.1640625" style="157" bestFit="1" customWidth="1"/>
    <col min="15385" max="15385" width="10.83203125" style="157" bestFit="1" customWidth="1"/>
    <col min="15386" max="15621" width="8.83203125" style="157"/>
    <col min="15622" max="15622" width="38.1640625" style="157" customWidth="1"/>
    <col min="15623" max="15623" width="23.44140625" style="157" bestFit="1" customWidth="1"/>
    <col min="15624" max="15625" width="9.1640625" style="157" customWidth="1"/>
    <col min="15626" max="15626" width="11.1640625" style="157" bestFit="1" customWidth="1"/>
    <col min="15627" max="15627" width="14.44140625" style="157" bestFit="1" customWidth="1"/>
    <col min="15628" max="15628" width="8.1640625" style="157" customWidth="1"/>
    <col min="15629" max="15629" width="10.83203125" style="157" bestFit="1" customWidth="1"/>
    <col min="15630" max="15630" width="12.1640625" style="157" bestFit="1" customWidth="1"/>
    <col min="15631" max="15631" width="9.1640625" style="157" customWidth="1"/>
    <col min="15632" max="15632" width="10.83203125" style="157" bestFit="1" customWidth="1"/>
    <col min="15633" max="15633" width="12.1640625" style="157" bestFit="1" customWidth="1"/>
    <col min="15634" max="15634" width="8" style="157" customWidth="1"/>
    <col min="15635" max="15635" width="10.83203125" style="157" bestFit="1" customWidth="1"/>
    <col min="15636" max="15636" width="12.1640625" style="157" bestFit="1" customWidth="1"/>
    <col min="15637" max="15637" width="8.1640625" style="157" bestFit="1" customWidth="1"/>
    <col min="15638" max="15638" width="10.83203125" style="157" bestFit="1" customWidth="1"/>
    <col min="15639" max="15639" width="12.1640625" style="157" bestFit="1" customWidth="1"/>
    <col min="15640" max="15640" width="18.1640625" style="157" bestFit="1" customWidth="1"/>
    <col min="15641" max="15641" width="10.83203125" style="157" bestFit="1" customWidth="1"/>
    <col min="15642" max="15877" width="8.83203125" style="157"/>
    <col min="15878" max="15878" width="38.1640625" style="157" customWidth="1"/>
    <col min="15879" max="15879" width="23.44140625" style="157" bestFit="1" customWidth="1"/>
    <col min="15880" max="15881" width="9.1640625" style="157" customWidth="1"/>
    <col min="15882" max="15882" width="11.1640625" style="157" bestFit="1" customWidth="1"/>
    <col min="15883" max="15883" width="14.44140625" style="157" bestFit="1" customWidth="1"/>
    <col min="15884" max="15884" width="8.1640625" style="157" customWidth="1"/>
    <col min="15885" max="15885" width="10.83203125" style="157" bestFit="1" customWidth="1"/>
    <col min="15886" max="15886" width="12.1640625" style="157" bestFit="1" customWidth="1"/>
    <col min="15887" max="15887" width="9.1640625" style="157" customWidth="1"/>
    <col min="15888" max="15888" width="10.83203125" style="157" bestFit="1" customWidth="1"/>
    <col min="15889" max="15889" width="12.1640625" style="157" bestFit="1" customWidth="1"/>
    <col min="15890" max="15890" width="8" style="157" customWidth="1"/>
    <col min="15891" max="15891" width="10.83203125" style="157" bestFit="1" customWidth="1"/>
    <col min="15892" max="15892" width="12.1640625" style="157" bestFit="1" customWidth="1"/>
    <col min="15893" max="15893" width="8.1640625" style="157" bestFit="1" customWidth="1"/>
    <col min="15894" max="15894" width="10.83203125" style="157" bestFit="1" customWidth="1"/>
    <col min="15895" max="15895" width="12.1640625" style="157" bestFit="1" customWidth="1"/>
    <col min="15896" max="15896" width="18.1640625" style="157" bestFit="1" customWidth="1"/>
    <col min="15897" max="15897" width="10.83203125" style="157" bestFit="1" customWidth="1"/>
    <col min="15898" max="16133" width="8.83203125" style="157"/>
    <col min="16134" max="16134" width="38.1640625" style="157" customWidth="1"/>
    <col min="16135" max="16135" width="23.44140625" style="157" bestFit="1" customWidth="1"/>
    <col min="16136" max="16137" width="9.1640625" style="157" customWidth="1"/>
    <col min="16138" max="16138" width="11.1640625" style="157" bestFit="1" customWidth="1"/>
    <col min="16139" max="16139" width="14.44140625" style="157" bestFit="1" customWidth="1"/>
    <col min="16140" max="16140" width="8.1640625" style="157" customWidth="1"/>
    <col min="16141" max="16141" width="10.83203125" style="157" bestFit="1" customWidth="1"/>
    <col min="16142" max="16142" width="12.1640625" style="157" bestFit="1" customWidth="1"/>
    <col min="16143" max="16143" width="9.1640625" style="157" customWidth="1"/>
    <col min="16144" max="16144" width="10.83203125" style="157" bestFit="1" customWidth="1"/>
    <col min="16145" max="16145" width="12.1640625" style="157" bestFit="1" customWidth="1"/>
    <col min="16146" max="16146" width="8" style="157" customWidth="1"/>
    <col min="16147" max="16147" width="10.83203125" style="157" bestFit="1" customWidth="1"/>
    <col min="16148" max="16148" width="12.1640625" style="157" bestFit="1" customWidth="1"/>
    <col min="16149" max="16149" width="8.1640625" style="157" bestFit="1" customWidth="1"/>
    <col min="16150" max="16150" width="10.83203125" style="157" bestFit="1" customWidth="1"/>
    <col min="16151" max="16151" width="12.1640625" style="157" bestFit="1" customWidth="1"/>
    <col min="16152" max="16152" width="18.1640625" style="157" bestFit="1" customWidth="1"/>
    <col min="16153" max="16153" width="10.83203125" style="157" bestFit="1" customWidth="1"/>
    <col min="16154" max="16384" width="8.83203125" style="157"/>
  </cols>
  <sheetData>
    <row r="1" spans="1:33" ht="14.7" thickBot="1"/>
    <row r="2" spans="1:33" ht="23.5" customHeight="1">
      <c r="A2" s="658" t="s">
        <v>499</v>
      </c>
      <c r="B2" s="652" t="s">
        <v>500</v>
      </c>
      <c r="C2" s="654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56" t="s">
        <v>502</v>
      </c>
      <c r="AB2" s="163"/>
    </row>
    <row r="3" spans="1:33" ht="40.799999999999997">
      <c r="A3" s="659"/>
      <c r="B3" s="653"/>
      <c r="C3" s="655"/>
      <c r="D3" s="164" t="s">
        <v>503</v>
      </c>
      <c r="E3" s="165" t="s">
        <v>504</v>
      </c>
      <c r="F3" s="167" t="s">
        <v>505</v>
      </c>
      <c r="G3" s="168" t="s">
        <v>502</v>
      </c>
      <c r="H3" s="164" t="s">
        <v>503</v>
      </c>
      <c r="I3" s="165" t="s">
        <v>504</v>
      </c>
      <c r="J3" s="166" t="s">
        <v>505</v>
      </c>
      <c r="K3" s="168" t="s">
        <v>502</v>
      </c>
      <c r="L3" s="164" t="s">
        <v>503</v>
      </c>
      <c r="M3" s="165" t="s">
        <v>504</v>
      </c>
      <c r="N3" s="167" t="s">
        <v>505</v>
      </c>
      <c r="O3" s="168" t="s">
        <v>502</v>
      </c>
      <c r="P3" s="164" t="s">
        <v>503</v>
      </c>
      <c r="Q3" s="165" t="s">
        <v>504</v>
      </c>
      <c r="R3" s="167" t="s">
        <v>505</v>
      </c>
      <c r="S3" s="168" t="s">
        <v>502</v>
      </c>
      <c r="T3" s="657"/>
      <c r="AB3" s="163"/>
      <c r="AC3" s="157" t="s">
        <v>543</v>
      </c>
    </row>
    <row r="4" spans="1:33" ht="20.399999999999999">
      <c r="A4" s="324" t="s">
        <v>506</v>
      </c>
      <c r="B4" s="169"/>
      <c r="C4" s="173"/>
      <c r="D4" s="170"/>
      <c r="E4" s="171"/>
      <c r="F4" s="174"/>
      <c r="G4" s="175"/>
      <c r="H4" s="170"/>
      <c r="I4" s="171"/>
      <c r="J4" s="172"/>
      <c r="K4" s="175"/>
      <c r="L4" s="176"/>
      <c r="M4" s="171"/>
      <c r="N4" s="174"/>
      <c r="O4" s="175"/>
      <c r="P4" s="176"/>
      <c r="Q4" s="171"/>
      <c r="R4" s="174"/>
      <c r="S4" s="177"/>
      <c r="T4" s="331"/>
      <c r="AB4" s="178" t="s">
        <v>544</v>
      </c>
      <c r="AC4" s="178" t="s">
        <v>545</v>
      </c>
      <c r="AD4" s="178" t="s">
        <v>546</v>
      </c>
    </row>
    <row r="5" spans="1:33" s="189" customFormat="1" ht="16.5" customHeight="1" outlineLevel="1">
      <c r="A5" s="179" t="s">
        <v>53</v>
      </c>
      <c r="B5" s="180"/>
      <c r="C5" s="184"/>
      <c r="D5" s="181"/>
      <c r="E5" s="182"/>
      <c r="F5" s="185"/>
      <c r="G5" s="186"/>
      <c r="H5" s="181"/>
      <c r="I5" s="182"/>
      <c r="J5" s="183"/>
      <c r="K5" s="186"/>
      <c r="L5" s="181"/>
      <c r="M5" s="182"/>
      <c r="N5" s="185"/>
      <c r="O5" s="186"/>
      <c r="P5" s="181"/>
      <c r="Q5" s="182"/>
      <c r="R5" s="185"/>
      <c r="S5" s="186"/>
      <c r="T5" s="332"/>
      <c r="U5" s="188"/>
      <c r="V5" s="157"/>
      <c r="W5" s="157"/>
      <c r="X5" s="157"/>
      <c r="Y5" s="157"/>
      <c r="Z5" s="157"/>
      <c r="AA5" s="157"/>
      <c r="AB5" s="163"/>
    </row>
    <row r="6" spans="1:33" s="189" customFormat="1" ht="15.6" outlineLevel="1">
      <c r="A6" s="190" t="s">
        <v>507</v>
      </c>
      <c r="B6" s="191"/>
      <c r="C6" s="184"/>
      <c r="D6" s="181"/>
      <c r="E6" s="182"/>
      <c r="F6" s="185"/>
      <c r="G6" s="186"/>
      <c r="H6" s="181"/>
      <c r="I6" s="182"/>
      <c r="J6" s="183"/>
      <c r="K6" s="186"/>
      <c r="L6" s="181"/>
      <c r="M6" s="182"/>
      <c r="N6" s="185"/>
      <c r="O6" s="186"/>
      <c r="P6" s="181"/>
      <c r="Q6" s="182"/>
      <c r="R6" s="185"/>
      <c r="S6" s="186"/>
      <c r="T6" s="332"/>
      <c r="U6" s="192"/>
      <c r="V6" s="157"/>
      <c r="W6" s="157"/>
      <c r="X6" s="157"/>
      <c r="Y6" s="157"/>
      <c r="Z6" s="157"/>
      <c r="AA6" s="157"/>
      <c r="AB6" s="163"/>
    </row>
    <row r="7" spans="1:33" ht="15" customHeight="1" outlineLevel="1">
      <c r="A7" s="193" t="str">
        <f>'Program Budget'!D13</f>
        <v>Key Personnel: Chief of Party</v>
      </c>
      <c r="B7" s="194" t="str">
        <f>'Program Budget'!F13</f>
        <v>Month</v>
      </c>
      <c r="C7" s="198">
        <f>'Program Budget'!E13</f>
        <v>225257</v>
      </c>
      <c r="D7" s="195">
        <f>'Program Budget'!G13</f>
        <v>14250</v>
      </c>
      <c r="E7" s="196">
        <f>'Program Budget'!I13</f>
        <v>12</v>
      </c>
      <c r="F7" s="199">
        <f>'Program Budget'!H13</f>
        <v>0.1</v>
      </c>
      <c r="G7" s="198">
        <f>D7*E7*F7</f>
        <v>17100</v>
      </c>
      <c r="H7" s="195">
        <f>D7*1.05</f>
        <v>14962.5</v>
      </c>
      <c r="I7" s="196">
        <f>'Program Budget'!L13</f>
        <v>12</v>
      </c>
      <c r="J7" s="199">
        <f>'Program Budget'!K13</f>
        <v>0.05</v>
      </c>
      <c r="K7" s="198">
        <f>H7*I7*J7</f>
        <v>8977.5</v>
      </c>
      <c r="L7" s="195">
        <f>H7*1.05</f>
        <v>15710.625</v>
      </c>
      <c r="M7" s="196">
        <f>'Program Budget'!O13</f>
        <v>12</v>
      </c>
      <c r="N7" s="199">
        <f>'Program Budget'!N13</f>
        <v>0.05</v>
      </c>
      <c r="O7" s="198">
        <f>L7*M7*N7</f>
        <v>9426.375</v>
      </c>
      <c r="P7" s="195">
        <f>L7*1.05</f>
        <v>16496.15625</v>
      </c>
      <c r="Q7" s="196">
        <f>'Program Budget'!R13</f>
        <v>0</v>
      </c>
      <c r="R7" s="199">
        <f>'Program Budget'!Q13</f>
        <v>0.05</v>
      </c>
      <c r="S7" s="198">
        <f>P7*Q7*R7</f>
        <v>0</v>
      </c>
      <c r="T7" s="335">
        <f>C7+G7+K7+O7+S7</f>
        <v>260760.875</v>
      </c>
      <c r="U7" s="201"/>
      <c r="V7" s="188"/>
      <c r="W7" s="202"/>
      <c r="X7" s="202"/>
      <c r="AB7" s="163">
        <v>180</v>
      </c>
      <c r="AC7" s="203" t="s">
        <v>547</v>
      </c>
      <c r="AD7" s="203" t="s">
        <v>548</v>
      </c>
      <c r="AE7" s="204"/>
      <c r="AG7" s="205"/>
    </row>
    <row r="8" spans="1:33" ht="15" customHeight="1" outlineLevel="1">
      <c r="A8" s="208" t="s">
        <v>508</v>
      </c>
      <c r="B8" s="209"/>
      <c r="C8" s="213">
        <f>SUM(C7:C7)</f>
        <v>225257</v>
      </c>
      <c r="D8" s="210"/>
      <c r="E8" s="211"/>
      <c r="F8" s="214"/>
      <c r="G8" s="213">
        <f>SUM(G7:G7)</f>
        <v>17100</v>
      </c>
      <c r="H8" s="210"/>
      <c r="I8" s="211"/>
      <c r="J8" s="212"/>
      <c r="K8" s="213">
        <f>SUM(K7:K7)</f>
        <v>8977.5</v>
      </c>
      <c r="L8" s="210"/>
      <c r="M8" s="211"/>
      <c r="N8" s="214"/>
      <c r="O8" s="213">
        <f>SUM(O7:O7)</f>
        <v>9426.375</v>
      </c>
      <c r="P8" s="210"/>
      <c r="Q8" s="211"/>
      <c r="R8" s="214"/>
      <c r="S8" s="213">
        <f>SUM(S7:S7)</f>
        <v>0</v>
      </c>
      <c r="T8" s="334">
        <f>+C8+G8+K8+O8+S8</f>
        <v>260760.875</v>
      </c>
      <c r="AB8" s="163"/>
      <c r="AC8" s="203"/>
      <c r="AD8" s="203" t="s">
        <v>549</v>
      </c>
    </row>
    <row r="9" spans="1:33" s="189" customFormat="1" ht="15" customHeight="1" outlineLevel="1">
      <c r="A9" s="190" t="s">
        <v>509</v>
      </c>
      <c r="B9" s="216"/>
      <c r="C9" s="198"/>
      <c r="D9" s="217"/>
      <c r="E9" s="218"/>
      <c r="F9" s="220"/>
      <c r="G9" s="200"/>
      <c r="H9" s="217"/>
      <c r="I9" s="218"/>
      <c r="J9" s="219"/>
      <c r="K9" s="200"/>
      <c r="L9" s="217"/>
      <c r="M9" s="218"/>
      <c r="N9" s="220"/>
      <c r="O9" s="200"/>
      <c r="P9" s="217"/>
      <c r="Q9" s="218"/>
      <c r="R9" s="220"/>
      <c r="S9" s="200"/>
      <c r="T9" s="333"/>
      <c r="U9" s="157"/>
      <c r="V9" s="157"/>
      <c r="W9" s="157"/>
      <c r="X9" s="157"/>
      <c r="Y9" s="157"/>
      <c r="Z9" s="157"/>
      <c r="AA9" s="157"/>
      <c r="AB9" s="163"/>
      <c r="AC9" s="203"/>
      <c r="AD9" s="203" t="s">
        <v>549</v>
      </c>
      <c r="AE9" s="223"/>
      <c r="AF9" s="224"/>
      <c r="AG9" s="157"/>
    </row>
    <row r="10" spans="1:33" ht="15" customHeight="1" outlineLevel="1">
      <c r="A10" s="581" t="str">
        <f>'Program Budget'!D14</f>
        <v>Deputy Chief of Party / Value Chain Strengthening Director</v>
      </c>
      <c r="B10" s="194" t="str">
        <f>'Program Budget'!F14</f>
        <v>Month</v>
      </c>
      <c r="C10" s="198">
        <f>'Program Budget'!E14</f>
        <v>0</v>
      </c>
      <c r="D10" s="195">
        <f>'Program Budget'!G14</f>
        <v>5000</v>
      </c>
      <c r="E10" s="196">
        <f>'Program Budget'!I14</f>
        <v>12</v>
      </c>
      <c r="F10" s="199">
        <f>'Program Budget'!H14</f>
        <v>0.1</v>
      </c>
      <c r="G10" s="198">
        <f>D10*E10*F10</f>
        <v>6000</v>
      </c>
      <c r="H10" s="195">
        <f>D10*1.05</f>
        <v>5250</v>
      </c>
      <c r="I10" s="196">
        <f>'Program Budget'!L14</f>
        <v>12</v>
      </c>
      <c r="J10" s="199">
        <f>'Program Budget'!K14</f>
        <v>0.25</v>
      </c>
      <c r="K10" s="198">
        <f>H10*I10*J10</f>
        <v>15750</v>
      </c>
      <c r="L10" s="195">
        <f>H10*1.05</f>
        <v>5512.5</v>
      </c>
      <c r="M10" s="196">
        <v>12</v>
      </c>
      <c r="N10" s="199">
        <f>'Program Budget'!N14</f>
        <v>0.25</v>
      </c>
      <c r="O10" s="198">
        <f>L10*M10*N10</f>
        <v>16537.5</v>
      </c>
      <c r="P10" s="195">
        <f>L10*1.05</f>
        <v>5788.125</v>
      </c>
      <c r="Q10" s="196">
        <f>'Program Budget'!R14</f>
        <v>6</v>
      </c>
      <c r="R10" s="199">
        <f>'Program Budget'!Q14</f>
        <v>0.25</v>
      </c>
      <c r="S10" s="198">
        <f>P10*Q10*R10</f>
        <v>8682.1875</v>
      </c>
      <c r="T10" s="333">
        <f>C10+G10+K10+O10+S10</f>
        <v>46969.6875</v>
      </c>
      <c r="U10" s="201"/>
      <c r="V10" s="188"/>
      <c r="W10" s="202"/>
      <c r="X10" s="202"/>
      <c r="AB10" s="163">
        <v>180</v>
      </c>
      <c r="AC10" s="203" t="s">
        <v>547</v>
      </c>
      <c r="AD10" s="203" t="s">
        <v>548</v>
      </c>
      <c r="AE10" s="204"/>
      <c r="AG10" s="205"/>
    </row>
    <row r="11" spans="1:33" ht="15" customHeight="1" outlineLevel="1">
      <c r="A11" s="193" t="str">
        <f>'Program Budget'!D15</f>
        <v>Key Personnel: Technical Director</v>
      </c>
      <c r="B11" s="194" t="str">
        <f>'Program Budget'!F15</f>
        <v>Month</v>
      </c>
      <c r="C11" s="198">
        <f>'Program Budget'!E15</f>
        <v>0</v>
      </c>
      <c r="D11" s="195">
        <f>'Program Budget'!G15</f>
        <v>4583.333333333333</v>
      </c>
      <c r="E11" s="196">
        <f>'Program Budget'!I15</f>
        <v>12</v>
      </c>
      <c r="F11" s="199">
        <f>'Program Budget'!H15</f>
        <v>0.05</v>
      </c>
      <c r="G11" s="198">
        <f t="shared" ref="G11:G38" si="0">D11*E11*F11</f>
        <v>2750</v>
      </c>
      <c r="H11" s="195">
        <f t="shared" ref="H11:H38" si="1">D11*1.05</f>
        <v>4812.5</v>
      </c>
      <c r="I11" s="196">
        <f>'Program Budget'!L15</f>
        <v>12</v>
      </c>
      <c r="J11" s="199">
        <f>'Program Budget'!K15</f>
        <v>0.05</v>
      </c>
      <c r="K11" s="198">
        <f t="shared" ref="K11:K38" si="2">H11*I11*J11</f>
        <v>2887.5</v>
      </c>
      <c r="L11" s="195">
        <f t="shared" ref="L11:L38" si="3">H11*1.05</f>
        <v>5053.125</v>
      </c>
      <c r="M11" s="196">
        <f>'Program Budget'!O14</f>
        <v>12</v>
      </c>
      <c r="N11" s="199">
        <f>'Program Budget'!N15</f>
        <v>0.05</v>
      </c>
      <c r="O11" s="198">
        <f t="shared" ref="O11:O38" si="4">L11*M11*N11</f>
        <v>3031.875</v>
      </c>
      <c r="P11" s="195">
        <f t="shared" ref="P11:P38" si="5">L11*1.05</f>
        <v>5305.78125</v>
      </c>
      <c r="Q11" s="196">
        <f>'Program Budget'!R15</f>
        <v>5</v>
      </c>
      <c r="R11" s="199">
        <f>'Program Budget'!Q15</f>
        <v>0.05</v>
      </c>
      <c r="S11" s="198">
        <f t="shared" ref="S11:S38" si="6">P11*Q11*R11</f>
        <v>1326.4453125</v>
      </c>
      <c r="T11" s="333">
        <f t="shared" ref="T11:T38" si="7">C11+G11+K11+O11+S11</f>
        <v>9995.8203125</v>
      </c>
      <c r="U11" s="201"/>
      <c r="V11" s="188"/>
      <c r="W11" s="202"/>
      <c r="X11" s="202"/>
      <c r="AB11" s="163"/>
      <c r="AC11" s="203"/>
      <c r="AD11" s="203"/>
      <c r="AE11" s="204"/>
      <c r="AG11" s="205"/>
    </row>
    <row r="12" spans="1:33" ht="15" customHeight="1" outlineLevel="1">
      <c r="A12" s="193" t="str">
        <f>'Program Budget'!D16</f>
        <v>Activity Lead Agribusiness Senior Specialist (Cacao)</v>
      </c>
      <c r="B12" s="194" t="str">
        <f>'Program Budget'!F16</f>
        <v>Month</v>
      </c>
      <c r="C12" s="198">
        <f>'Program Budget'!E16</f>
        <v>0</v>
      </c>
      <c r="D12" s="195">
        <f>'Program Budget'!G16</f>
        <v>2833.3333333333335</v>
      </c>
      <c r="E12" s="196">
        <f>'Program Budget'!I16</f>
        <v>12</v>
      </c>
      <c r="F12" s="199">
        <f>'Program Budget'!H16</f>
        <v>0.1</v>
      </c>
      <c r="G12" s="198">
        <f t="shared" si="0"/>
        <v>3400</v>
      </c>
      <c r="H12" s="195">
        <f t="shared" si="1"/>
        <v>2975.0000000000005</v>
      </c>
      <c r="I12" s="196">
        <f>'Program Budget'!L16</f>
        <v>12</v>
      </c>
      <c r="J12" s="199">
        <f>'Program Budget'!K16</f>
        <v>0</v>
      </c>
      <c r="K12" s="198">
        <f t="shared" si="2"/>
        <v>0</v>
      </c>
      <c r="L12" s="195">
        <f t="shared" si="3"/>
        <v>3123.7500000000005</v>
      </c>
      <c r="M12" s="196">
        <f>'Program Budget'!O15</f>
        <v>12</v>
      </c>
      <c r="N12" s="199">
        <f>'Program Budget'!N16</f>
        <v>0</v>
      </c>
      <c r="O12" s="198">
        <f t="shared" si="4"/>
        <v>0</v>
      </c>
      <c r="P12" s="195">
        <f t="shared" si="5"/>
        <v>3279.9375000000005</v>
      </c>
      <c r="Q12" s="196">
        <f>'Program Budget'!R16</f>
        <v>2</v>
      </c>
      <c r="R12" s="199">
        <f>'Program Budget'!Q16</f>
        <v>0</v>
      </c>
      <c r="S12" s="198">
        <f t="shared" si="6"/>
        <v>0</v>
      </c>
      <c r="T12" s="333">
        <f t="shared" si="7"/>
        <v>3400</v>
      </c>
      <c r="U12" s="201"/>
      <c r="V12" s="188"/>
      <c r="W12" s="202"/>
      <c r="X12" s="202"/>
      <c r="AB12" s="163"/>
      <c r="AC12" s="203"/>
      <c r="AD12" s="203"/>
      <c r="AE12" s="204"/>
      <c r="AG12" s="205"/>
    </row>
    <row r="13" spans="1:33" ht="15" customHeight="1" outlineLevel="1">
      <c r="A13" s="193" t="str">
        <f>'Program Budget'!D17</f>
        <v>Cacao Field Officer</v>
      </c>
      <c r="B13" s="194" t="str">
        <f>'Program Budget'!F17</f>
        <v>Month</v>
      </c>
      <c r="C13" s="198">
        <f>'Program Budget'!E17</f>
        <v>0</v>
      </c>
      <c r="D13" s="195">
        <f>'Program Budget'!G17</f>
        <v>1333.3333333333333</v>
      </c>
      <c r="E13" s="196">
        <f>'Program Budget'!I17</f>
        <v>12</v>
      </c>
      <c r="F13" s="199">
        <f>'Program Budget'!H17</f>
        <v>0</v>
      </c>
      <c r="G13" s="198">
        <f t="shared" si="0"/>
        <v>0</v>
      </c>
      <c r="H13" s="195">
        <f t="shared" si="1"/>
        <v>1400</v>
      </c>
      <c r="I13" s="196">
        <f>'Program Budget'!L17</f>
        <v>12</v>
      </c>
      <c r="J13" s="199">
        <f>'Program Budget'!K17</f>
        <v>0</v>
      </c>
      <c r="K13" s="198">
        <f t="shared" si="2"/>
        <v>0</v>
      </c>
      <c r="L13" s="195">
        <f t="shared" si="3"/>
        <v>1470</v>
      </c>
      <c r="M13" s="196">
        <f>'Program Budget'!O16</f>
        <v>12</v>
      </c>
      <c r="N13" s="199">
        <f>'Program Budget'!N17</f>
        <v>0</v>
      </c>
      <c r="O13" s="198">
        <f t="shared" si="4"/>
        <v>0</v>
      </c>
      <c r="P13" s="195">
        <f t="shared" si="5"/>
        <v>1543.5</v>
      </c>
      <c r="Q13" s="196">
        <f>'Program Budget'!R17</f>
        <v>0</v>
      </c>
      <c r="R13" s="199">
        <f>'Program Budget'!Q17</f>
        <v>0</v>
      </c>
      <c r="S13" s="198">
        <f t="shared" si="6"/>
        <v>0</v>
      </c>
      <c r="T13" s="333">
        <f t="shared" si="7"/>
        <v>0</v>
      </c>
      <c r="U13" s="201"/>
      <c r="V13" s="188"/>
      <c r="W13" s="202"/>
      <c r="X13" s="202"/>
      <c r="AB13" s="163"/>
      <c r="AC13" s="203"/>
      <c r="AD13" s="203"/>
      <c r="AE13" s="204"/>
      <c r="AG13" s="205"/>
    </row>
    <row r="14" spans="1:33" ht="15" customHeight="1" outlineLevel="1">
      <c r="A14" s="193" t="str">
        <f>'Program Budget'!D18</f>
        <v>Cacao &amp; Complementary Crop Technical Field Leader (2)</v>
      </c>
      <c r="B14" s="194" t="str">
        <f>'Program Budget'!F18</f>
        <v>Month</v>
      </c>
      <c r="C14" s="198">
        <f>'Program Budget'!E18</f>
        <v>0</v>
      </c>
      <c r="D14" s="195">
        <f>'Program Budget'!G18</f>
        <v>3500</v>
      </c>
      <c r="E14" s="196">
        <f>'Program Budget'!I18</f>
        <v>6</v>
      </c>
      <c r="F14" s="199">
        <f>'Program Budget'!H18</f>
        <v>0</v>
      </c>
      <c r="G14" s="198">
        <f t="shared" si="0"/>
        <v>0</v>
      </c>
      <c r="H14" s="195">
        <f t="shared" si="1"/>
        <v>3675</v>
      </c>
      <c r="I14" s="196">
        <f>'Program Budget'!L18</f>
        <v>12</v>
      </c>
      <c r="J14" s="199">
        <f>'Program Budget'!K18</f>
        <v>0</v>
      </c>
      <c r="K14" s="198">
        <f t="shared" si="2"/>
        <v>0</v>
      </c>
      <c r="L14" s="195">
        <f t="shared" si="3"/>
        <v>3858.75</v>
      </c>
      <c r="M14" s="196">
        <f>'Program Budget'!O17</f>
        <v>12</v>
      </c>
      <c r="N14" s="199">
        <f>'Program Budget'!N18</f>
        <v>0</v>
      </c>
      <c r="O14" s="198">
        <f t="shared" si="4"/>
        <v>0</v>
      </c>
      <c r="P14" s="195">
        <f t="shared" si="5"/>
        <v>4051.6875</v>
      </c>
      <c r="Q14" s="196">
        <f>'Program Budget'!R18</f>
        <v>0</v>
      </c>
      <c r="R14" s="199">
        <f>'Program Budget'!Q18</f>
        <v>0</v>
      </c>
      <c r="S14" s="198">
        <f t="shared" si="6"/>
        <v>0</v>
      </c>
      <c r="T14" s="333">
        <f t="shared" si="7"/>
        <v>0</v>
      </c>
      <c r="U14" s="201"/>
      <c r="V14" s="188"/>
      <c r="W14" s="202"/>
      <c r="X14" s="202"/>
      <c r="AB14" s="163"/>
      <c r="AC14" s="203"/>
      <c r="AD14" s="203"/>
      <c r="AE14" s="204"/>
      <c r="AG14" s="205"/>
    </row>
    <row r="15" spans="1:33" ht="15" customHeight="1" outlineLevel="1">
      <c r="A15" s="193" t="str">
        <f>'Program Budget'!D19</f>
        <v>Extension Agents (45 in Y5 and 25 in Y6)</v>
      </c>
      <c r="B15" s="194" t="str">
        <f>'Program Budget'!F19</f>
        <v>Month</v>
      </c>
      <c r="C15" s="198">
        <f>'Program Budget'!E19</f>
        <v>0</v>
      </c>
      <c r="D15" s="195">
        <f>'Program Budget'!G19</f>
        <v>1000</v>
      </c>
      <c r="E15" s="196">
        <f>'Program Budget'!I19</f>
        <v>12</v>
      </c>
      <c r="F15" s="199">
        <f>'Program Budget'!H19</f>
        <v>0</v>
      </c>
      <c r="G15" s="198">
        <f t="shared" si="0"/>
        <v>0</v>
      </c>
      <c r="H15" s="195">
        <f t="shared" si="1"/>
        <v>1050</v>
      </c>
      <c r="I15" s="196">
        <f>'Program Budget'!L19</f>
        <v>12</v>
      </c>
      <c r="J15" s="199">
        <f>'Program Budget'!K19</f>
        <v>0</v>
      </c>
      <c r="K15" s="198">
        <f t="shared" si="2"/>
        <v>0</v>
      </c>
      <c r="L15" s="195">
        <f t="shared" si="3"/>
        <v>1102.5</v>
      </c>
      <c r="M15" s="196">
        <f>'Program Budget'!O18</f>
        <v>12</v>
      </c>
      <c r="N15" s="199">
        <f>'Program Budget'!N19</f>
        <v>0</v>
      </c>
      <c r="O15" s="198">
        <f t="shared" si="4"/>
        <v>0</v>
      </c>
      <c r="P15" s="195">
        <f t="shared" si="5"/>
        <v>1157.625</v>
      </c>
      <c r="Q15" s="196">
        <f>'Program Budget'!R19</f>
        <v>0</v>
      </c>
      <c r="R15" s="199">
        <f>'Program Budget'!Q19</f>
        <v>0</v>
      </c>
      <c r="S15" s="198">
        <f t="shared" si="6"/>
        <v>0</v>
      </c>
      <c r="T15" s="333">
        <f t="shared" si="7"/>
        <v>0</v>
      </c>
      <c r="U15" s="201"/>
      <c r="V15" s="188"/>
      <c r="W15" s="202"/>
      <c r="X15" s="202"/>
      <c r="AB15" s="163"/>
      <c r="AC15" s="203"/>
      <c r="AD15" s="203"/>
      <c r="AE15" s="204"/>
      <c r="AG15" s="205"/>
    </row>
    <row r="16" spans="1:33" ht="15" customHeight="1" outlineLevel="1">
      <c r="A16" s="193" t="str">
        <f>'Program Budget'!D20</f>
        <v>Activity Lead Agribusiness Senior Specialist (Complementary Crop)</v>
      </c>
      <c r="B16" s="194" t="str">
        <f>'Program Budget'!F20</f>
        <v>Month</v>
      </c>
      <c r="C16" s="198">
        <f>'Program Budget'!E20</f>
        <v>0</v>
      </c>
      <c r="D16" s="195">
        <f>'Program Budget'!G20</f>
        <v>2833.3333333333335</v>
      </c>
      <c r="E16" s="196">
        <f>'Program Budget'!I20</f>
        <v>12</v>
      </c>
      <c r="F16" s="199">
        <f>'Program Budget'!H20</f>
        <v>0</v>
      </c>
      <c r="G16" s="198">
        <f t="shared" si="0"/>
        <v>0</v>
      </c>
      <c r="H16" s="195">
        <f t="shared" si="1"/>
        <v>2975.0000000000005</v>
      </c>
      <c r="I16" s="196">
        <f>'Program Budget'!L20</f>
        <v>12</v>
      </c>
      <c r="J16" s="199">
        <f>'Program Budget'!K20</f>
        <v>0</v>
      </c>
      <c r="K16" s="198">
        <f t="shared" si="2"/>
        <v>0</v>
      </c>
      <c r="L16" s="195">
        <f t="shared" si="3"/>
        <v>3123.7500000000005</v>
      </c>
      <c r="M16" s="196">
        <f>'Program Budget'!O19</f>
        <v>0</v>
      </c>
      <c r="N16" s="199">
        <f>'Program Budget'!N20</f>
        <v>0</v>
      </c>
      <c r="O16" s="198">
        <f t="shared" si="4"/>
        <v>0</v>
      </c>
      <c r="P16" s="195">
        <f t="shared" si="5"/>
        <v>3279.9375000000005</v>
      </c>
      <c r="Q16" s="196">
        <f>'Program Budget'!R20</f>
        <v>0</v>
      </c>
      <c r="R16" s="199">
        <f>'Program Budget'!Q20</f>
        <v>0</v>
      </c>
      <c r="S16" s="198">
        <f t="shared" si="6"/>
        <v>0</v>
      </c>
      <c r="T16" s="333">
        <f t="shared" si="7"/>
        <v>0</v>
      </c>
      <c r="U16" s="201"/>
      <c r="V16" s="188"/>
      <c r="W16" s="202"/>
      <c r="X16" s="202"/>
      <c r="AB16" s="163"/>
      <c r="AC16" s="203"/>
      <c r="AD16" s="203"/>
      <c r="AE16" s="204"/>
      <c r="AG16" s="205"/>
    </row>
    <row r="17" spans="1:33" ht="15" customHeight="1" outlineLevel="1">
      <c r="A17" s="193" t="str">
        <f>'Program Budget'!D21</f>
        <v>Complementary Crops Field Officer</v>
      </c>
      <c r="B17" s="194" t="str">
        <f>'Program Budget'!F21</f>
        <v>Month</v>
      </c>
      <c r="C17" s="198">
        <f>'Program Budget'!E21</f>
        <v>0</v>
      </c>
      <c r="D17" s="195">
        <f>'Program Budget'!G21</f>
        <v>0</v>
      </c>
      <c r="E17" s="196">
        <f>'Program Budget'!I21</f>
        <v>0</v>
      </c>
      <c r="F17" s="199">
        <f>'Program Budget'!H21</f>
        <v>0</v>
      </c>
      <c r="G17" s="198">
        <f t="shared" si="0"/>
        <v>0</v>
      </c>
      <c r="H17" s="195">
        <f t="shared" si="1"/>
        <v>0</v>
      </c>
      <c r="I17" s="196">
        <f>'Program Budget'!L21</f>
        <v>12</v>
      </c>
      <c r="J17" s="199">
        <f>'Program Budget'!K21</f>
        <v>0</v>
      </c>
      <c r="K17" s="198">
        <f t="shared" si="2"/>
        <v>0</v>
      </c>
      <c r="L17" s="195">
        <f t="shared" si="3"/>
        <v>0</v>
      </c>
      <c r="M17" s="196">
        <f>'Program Budget'!O20</f>
        <v>12</v>
      </c>
      <c r="N17" s="199">
        <f>'Program Budget'!N21</f>
        <v>0</v>
      </c>
      <c r="O17" s="198">
        <f t="shared" si="4"/>
        <v>0</v>
      </c>
      <c r="P17" s="195">
        <f t="shared" si="5"/>
        <v>0</v>
      </c>
      <c r="Q17" s="196">
        <f>'Program Budget'!R21</f>
        <v>0</v>
      </c>
      <c r="R17" s="199">
        <f>'Program Budget'!Q21</f>
        <v>0</v>
      </c>
      <c r="S17" s="198">
        <f t="shared" si="6"/>
        <v>0</v>
      </c>
      <c r="T17" s="333">
        <f t="shared" si="7"/>
        <v>0</v>
      </c>
      <c r="U17" s="201"/>
      <c r="V17" s="188"/>
      <c r="W17" s="202"/>
      <c r="X17" s="202"/>
      <c r="AB17" s="163"/>
      <c r="AC17" s="203"/>
      <c r="AD17" s="203"/>
      <c r="AE17" s="204"/>
      <c r="AG17" s="205"/>
    </row>
    <row r="18" spans="1:33" ht="15" customHeight="1" outlineLevel="1">
      <c r="A18" s="193" t="str">
        <f>'Program Budget'!D22</f>
        <v>EPSEAS Specialist</v>
      </c>
      <c r="B18" s="194" t="str">
        <f>'Program Budget'!F22</f>
        <v>Month</v>
      </c>
      <c r="C18" s="198">
        <f>'Program Budget'!E22</f>
        <v>0</v>
      </c>
      <c r="D18" s="195">
        <f>'Program Budget'!G22</f>
        <v>0</v>
      </c>
      <c r="E18" s="196">
        <f>'Program Budget'!I22</f>
        <v>0</v>
      </c>
      <c r="F18" s="199">
        <f>'Program Budget'!H22</f>
        <v>0</v>
      </c>
      <c r="G18" s="198">
        <f t="shared" si="0"/>
        <v>0</v>
      </c>
      <c r="H18" s="195">
        <f t="shared" si="1"/>
        <v>0</v>
      </c>
      <c r="I18" s="196">
        <f>'Program Budget'!L22</f>
        <v>12</v>
      </c>
      <c r="J18" s="199">
        <f>'Program Budget'!K22</f>
        <v>0</v>
      </c>
      <c r="K18" s="198">
        <f t="shared" si="2"/>
        <v>0</v>
      </c>
      <c r="L18" s="195">
        <f t="shared" si="3"/>
        <v>0</v>
      </c>
      <c r="M18" s="196">
        <f>'Program Budget'!O21</f>
        <v>12</v>
      </c>
      <c r="N18" s="199">
        <f>'Program Budget'!N22</f>
        <v>0</v>
      </c>
      <c r="O18" s="198">
        <f t="shared" si="4"/>
        <v>0</v>
      </c>
      <c r="P18" s="195">
        <f t="shared" si="5"/>
        <v>0</v>
      </c>
      <c r="Q18" s="196">
        <f>'Program Budget'!R22</f>
        <v>0</v>
      </c>
      <c r="R18" s="199">
        <f>'Program Budget'!Q22</f>
        <v>0</v>
      </c>
      <c r="S18" s="198">
        <f t="shared" si="6"/>
        <v>0</v>
      </c>
      <c r="T18" s="333">
        <f t="shared" si="7"/>
        <v>0</v>
      </c>
      <c r="U18" s="201"/>
      <c r="V18" s="188"/>
      <c r="W18" s="202"/>
      <c r="X18" s="202"/>
      <c r="AB18" s="163"/>
      <c r="AC18" s="203"/>
      <c r="AD18" s="203"/>
      <c r="AE18" s="204"/>
      <c r="AG18" s="205"/>
    </row>
    <row r="19" spans="1:33" ht="15" customHeight="1" outlineLevel="1">
      <c r="A19" s="193" t="str">
        <f>'Program Budget'!D23</f>
        <v>Extension Agents for EPSEAS (20 in Y6 and 25 in Y7)</v>
      </c>
      <c r="B19" s="194" t="str">
        <f>'Program Budget'!F23</f>
        <v>Month</v>
      </c>
      <c r="C19" s="198">
        <f>'Program Budget'!E23</f>
        <v>0</v>
      </c>
      <c r="D19" s="195">
        <f>'Program Budget'!G23</f>
        <v>1000</v>
      </c>
      <c r="E19" s="196">
        <f>'Program Budget'!I23</f>
        <v>0</v>
      </c>
      <c r="F19" s="199">
        <f>'Program Budget'!H23</f>
        <v>0</v>
      </c>
      <c r="G19" s="198">
        <f t="shared" si="0"/>
        <v>0</v>
      </c>
      <c r="H19" s="195">
        <f t="shared" si="1"/>
        <v>1050</v>
      </c>
      <c r="I19" s="196">
        <f>'Program Budget'!L23</f>
        <v>12</v>
      </c>
      <c r="J19" s="199">
        <f>'Program Budget'!K23</f>
        <v>0</v>
      </c>
      <c r="K19" s="198">
        <f t="shared" si="2"/>
        <v>0</v>
      </c>
      <c r="L19" s="195">
        <f t="shared" si="3"/>
        <v>1102.5</v>
      </c>
      <c r="M19" s="196">
        <f>'Program Budget'!O22</f>
        <v>12</v>
      </c>
      <c r="N19" s="199">
        <f>'Program Budget'!N23</f>
        <v>0</v>
      </c>
      <c r="O19" s="198">
        <f t="shared" si="4"/>
        <v>0</v>
      </c>
      <c r="P19" s="195">
        <f t="shared" si="5"/>
        <v>1157.625</v>
      </c>
      <c r="Q19" s="196">
        <f>'Program Budget'!R23</f>
        <v>0</v>
      </c>
      <c r="R19" s="199">
        <f>'Program Budget'!Q23</f>
        <v>0</v>
      </c>
      <c r="S19" s="198">
        <f t="shared" si="6"/>
        <v>0</v>
      </c>
      <c r="T19" s="333">
        <f t="shared" si="7"/>
        <v>0</v>
      </c>
      <c r="U19" s="201"/>
      <c r="V19" s="188"/>
      <c r="W19" s="202"/>
      <c r="X19" s="202"/>
      <c r="AB19" s="163"/>
      <c r="AC19" s="203"/>
      <c r="AD19" s="203"/>
      <c r="AE19" s="204"/>
      <c r="AG19" s="205"/>
    </row>
    <row r="20" spans="1:33" ht="15" customHeight="1" outlineLevel="1">
      <c r="A20" s="193" t="str">
        <f>'Program Budget'!D24</f>
        <v xml:space="preserve">Senior M&amp;E Director </v>
      </c>
      <c r="B20" s="194" t="str">
        <f>'Program Budget'!F24</f>
        <v>Month</v>
      </c>
      <c r="C20" s="198">
        <f>'Program Budget'!E24</f>
        <v>28275.7</v>
      </c>
      <c r="D20" s="195">
        <f>'Program Budget'!G24</f>
        <v>6250</v>
      </c>
      <c r="E20" s="196">
        <f>'Program Budget'!I24</f>
        <v>12</v>
      </c>
      <c r="F20" s="199">
        <f>'Program Budget'!H24</f>
        <v>0.1</v>
      </c>
      <c r="G20" s="198">
        <f t="shared" si="0"/>
        <v>7500</v>
      </c>
      <c r="H20" s="195">
        <f t="shared" si="1"/>
        <v>6562.5</v>
      </c>
      <c r="I20" s="196">
        <f>'Program Budget'!L24</f>
        <v>12</v>
      </c>
      <c r="J20" s="199">
        <f>'Program Budget'!K24</f>
        <v>0.05</v>
      </c>
      <c r="K20" s="198">
        <f t="shared" si="2"/>
        <v>3937.5</v>
      </c>
      <c r="L20" s="195">
        <f t="shared" si="3"/>
        <v>6890.625</v>
      </c>
      <c r="M20" s="196">
        <f>'Program Budget'!O23</f>
        <v>12</v>
      </c>
      <c r="N20" s="199">
        <f>'Program Budget'!N24</f>
        <v>0.05</v>
      </c>
      <c r="O20" s="198">
        <f t="shared" si="4"/>
        <v>4134.375</v>
      </c>
      <c r="P20" s="195">
        <f t="shared" si="5"/>
        <v>7235.15625</v>
      </c>
      <c r="Q20" s="196">
        <f>'Program Budget'!R24</f>
        <v>6</v>
      </c>
      <c r="R20" s="199">
        <f>'Program Budget'!Q24</f>
        <v>0.05</v>
      </c>
      <c r="S20" s="198">
        <f t="shared" si="6"/>
        <v>2170.546875</v>
      </c>
      <c r="T20" s="333">
        <f t="shared" si="7"/>
        <v>46018.121874999997</v>
      </c>
      <c r="U20" s="201"/>
      <c r="V20" s="188"/>
      <c r="W20" s="202"/>
      <c r="X20" s="202"/>
      <c r="AB20" s="163"/>
      <c r="AC20" s="203"/>
      <c r="AD20" s="203"/>
      <c r="AE20" s="204"/>
      <c r="AG20" s="205"/>
    </row>
    <row r="21" spans="1:33" ht="15" customHeight="1" outlineLevel="1">
      <c r="A21" s="193" t="str">
        <f>'Program Budget'!D25</f>
        <v>Senior M&amp;E Specialist</v>
      </c>
      <c r="B21" s="194" t="str">
        <f>'Program Budget'!F25</f>
        <v>Month</v>
      </c>
      <c r="C21" s="198">
        <f>'Program Budget'!E25</f>
        <v>24675.7</v>
      </c>
      <c r="D21" s="195">
        <f>'Program Budget'!G25</f>
        <v>2833.3333333333335</v>
      </c>
      <c r="E21" s="196">
        <f>'Program Budget'!I25</f>
        <v>12</v>
      </c>
      <c r="F21" s="199">
        <f>'Program Budget'!H25</f>
        <v>0.1</v>
      </c>
      <c r="G21" s="198">
        <f t="shared" si="0"/>
        <v>3400</v>
      </c>
      <c r="H21" s="195">
        <f t="shared" si="1"/>
        <v>2975.0000000000005</v>
      </c>
      <c r="I21" s="196">
        <f>'Program Budget'!L25</f>
        <v>12</v>
      </c>
      <c r="J21" s="199">
        <f>'Program Budget'!K25</f>
        <v>0.05</v>
      </c>
      <c r="K21" s="198">
        <f t="shared" si="2"/>
        <v>1785.0000000000005</v>
      </c>
      <c r="L21" s="195">
        <f t="shared" si="3"/>
        <v>3123.7500000000005</v>
      </c>
      <c r="M21" s="196">
        <f>'Program Budget'!O24</f>
        <v>12</v>
      </c>
      <c r="N21" s="199">
        <f>'Program Budget'!N25</f>
        <v>0.05</v>
      </c>
      <c r="O21" s="198">
        <f t="shared" si="4"/>
        <v>1874.2500000000005</v>
      </c>
      <c r="P21" s="195">
        <f t="shared" si="5"/>
        <v>3279.9375000000005</v>
      </c>
      <c r="Q21" s="196">
        <f>'Program Budget'!R25</f>
        <v>6</v>
      </c>
      <c r="R21" s="199">
        <f>'Program Budget'!Q25</f>
        <v>0.05</v>
      </c>
      <c r="S21" s="198">
        <f t="shared" si="6"/>
        <v>983.98125000000027</v>
      </c>
      <c r="T21" s="333">
        <f t="shared" si="7"/>
        <v>32718.931250000001</v>
      </c>
      <c r="U21" s="201"/>
      <c r="V21" s="188"/>
      <c r="W21" s="202"/>
      <c r="X21" s="202"/>
      <c r="AB21" s="163"/>
      <c r="AC21" s="203"/>
      <c r="AD21" s="203"/>
      <c r="AE21" s="204"/>
      <c r="AG21" s="205"/>
    </row>
    <row r="22" spans="1:33" ht="15" customHeight="1" outlineLevel="1">
      <c r="A22" s="193" t="str">
        <f>'Program Budget'!D26</f>
        <v>M&amp;E Specialist</v>
      </c>
      <c r="B22" s="194" t="str">
        <f>'Program Budget'!F26</f>
        <v>Month</v>
      </c>
      <c r="C22" s="198">
        <f>'Program Budget'!E26</f>
        <v>22491.26</v>
      </c>
      <c r="D22" s="195">
        <f>'Program Budget'!G26</f>
        <v>2500</v>
      </c>
      <c r="E22" s="196">
        <f>'Program Budget'!I26</f>
        <v>12</v>
      </c>
      <c r="F22" s="199">
        <f>'Program Budget'!H26</f>
        <v>0.1</v>
      </c>
      <c r="G22" s="198">
        <f t="shared" si="0"/>
        <v>3000</v>
      </c>
      <c r="H22" s="195">
        <f t="shared" si="1"/>
        <v>2625</v>
      </c>
      <c r="I22" s="196">
        <f>'Program Budget'!L26</f>
        <v>12</v>
      </c>
      <c r="J22" s="199">
        <f>'Program Budget'!K26</f>
        <v>0.05</v>
      </c>
      <c r="K22" s="198">
        <f t="shared" si="2"/>
        <v>1575</v>
      </c>
      <c r="L22" s="195">
        <f t="shared" si="3"/>
        <v>2756.25</v>
      </c>
      <c r="M22" s="196">
        <f>'Program Budget'!O25</f>
        <v>12</v>
      </c>
      <c r="N22" s="199">
        <f>'Program Budget'!N26</f>
        <v>0.05</v>
      </c>
      <c r="O22" s="198">
        <f t="shared" si="4"/>
        <v>1653.75</v>
      </c>
      <c r="P22" s="195">
        <f t="shared" si="5"/>
        <v>2894.0625</v>
      </c>
      <c r="Q22" s="196">
        <f>'Program Budget'!R26</f>
        <v>3</v>
      </c>
      <c r="R22" s="199">
        <f>'Program Budget'!Q26</f>
        <v>0.05</v>
      </c>
      <c r="S22" s="198">
        <f t="shared" si="6"/>
        <v>434.109375</v>
      </c>
      <c r="T22" s="333">
        <f t="shared" si="7"/>
        <v>29154.119374999998</v>
      </c>
      <c r="U22" s="201"/>
      <c r="V22" s="188"/>
      <c r="W22" s="202"/>
      <c r="X22" s="202"/>
      <c r="AB22" s="163"/>
      <c r="AC22" s="203"/>
      <c r="AD22" s="203"/>
      <c r="AE22" s="204"/>
      <c r="AG22" s="205"/>
    </row>
    <row r="23" spans="1:33" ht="15" customHeight="1" outlineLevel="1">
      <c r="A23" s="193" t="str">
        <f>'Program Budget'!D27</f>
        <v>M&amp;E Officer</v>
      </c>
      <c r="B23" s="194" t="str">
        <f>'Program Budget'!F27</f>
        <v>Month</v>
      </c>
      <c r="C23" s="198">
        <f>'Program Budget'!E27</f>
        <v>30491.26</v>
      </c>
      <c r="D23" s="195">
        <f>'Program Budget'!G27</f>
        <v>1000</v>
      </c>
      <c r="E23" s="196">
        <f>'Program Budget'!I27</f>
        <v>12</v>
      </c>
      <c r="F23" s="199">
        <f>'Program Budget'!H27</f>
        <v>0.1</v>
      </c>
      <c r="G23" s="198">
        <f t="shared" si="0"/>
        <v>1200</v>
      </c>
      <c r="H23" s="195">
        <f t="shared" si="1"/>
        <v>1050</v>
      </c>
      <c r="I23" s="196">
        <f>'Program Budget'!L27</f>
        <v>12</v>
      </c>
      <c r="J23" s="199">
        <f>'Program Budget'!K27</f>
        <v>0.05</v>
      </c>
      <c r="K23" s="198">
        <f t="shared" si="2"/>
        <v>630</v>
      </c>
      <c r="L23" s="195">
        <f t="shared" si="3"/>
        <v>1102.5</v>
      </c>
      <c r="M23" s="196">
        <f>'Program Budget'!O26</f>
        <v>12</v>
      </c>
      <c r="N23" s="199">
        <f>'Program Budget'!N27</f>
        <v>0.05</v>
      </c>
      <c r="O23" s="198">
        <f t="shared" si="4"/>
        <v>661.5</v>
      </c>
      <c r="P23" s="195">
        <f t="shared" si="5"/>
        <v>1157.625</v>
      </c>
      <c r="Q23" s="196">
        <f>'Program Budget'!R27</f>
        <v>3</v>
      </c>
      <c r="R23" s="199">
        <f>'Program Budget'!Q27</f>
        <v>0.05</v>
      </c>
      <c r="S23" s="198">
        <f t="shared" si="6"/>
        <v>173.64375000000001</v>
      </c>
      <c r="T23" s="333">
        <f t="shared" si="7"/>
        <v>33156.403749999998</v>
      </c>
      <c r="U23" s="201"/>
      <c r="V23" s="188"/>
      <c r="W23" s="202"/>
      <c r="X23" s="202"/>
      <c r="AB23" s="163"/>
      <c r="AC23" s="203"/>
      <c r="AD23" s="203"/>
      <c r="AE23" s="204"/>
      <c r="AG23" s="205"/>
    </row>
    <row r="24" spans="1:33" ht="15" customHeight="1" outlineLevel="1">
      <c r="A24" s="193" t="str">
        <f>'Program Budget'!D28</f>
        <v>Partnerships and Investment Director</v>
      </c>
      <c r="B24" s="194" t="str">
        <f>'Program Budget'!F28</f>
        <v>Month</v>
      </c>
      <c r="C24" s="198">
        <f>'Program Budget'!E28</f>
        <v>36550</v>
      </c>
      <c r="D24" s="195">
        <f>'Program Budget'!G28</f>
        <v>4583.333333333333</v>
      </c>
      <c r="E24" s="196">
        <f>'Program Budget'!I28</f>
        <v>12</v>
      </c>
      <c r="F24" s="199">
        <f>'Program Budget'!H28</f>
        <v>0.1</v>
      </c>
      <c r="G24" s="198">
        <f t="shared" si="0"/>
        <v>5500</v>
      </c>
      <c r="H24" s="195">
        <f t="shared" si="1"/>
        <v>4812.5</v>
      </c>
      <c r="I24" s="196">
        <f>'Program Budget'!L28</f>
        <v>12</v>
      </c>
      <c r="J24" s="199">
        <f>'Program Budget'!K28</f>
        <v>0.05</v>
      </c>
      <c r="K24" s="198">
        <f t="shared" si="2"/>
        <v>2887.5</v>
      </c>
      <c r="L24" s="195">
        <f t="shared" si="3"/>
        <v>5053.125</v>
      </c>
      <c r="M24" s="196">
        <f>'Program Budget'!O27</f>
        <v>12</v>
      </c>
      <c r="N24" s="199">
        <f>'Program Budget'!N28</f>
        <v>0.05</v>
      </c>
      <c r="O24" s="198">
        <f t="shared" si="4"/>
        <v>3031.875</v>
      </c>
      <c r="P24" s="195">
        <f t="shared" si="5"/>
        <v>5305.78125</v>
      </c>
      <c r="Q24" s="196">
        <f>'Program Budget'!R28</f>
        <v>0</v>
      </c>
      <c r="R24" s="199">
        <f>'Program Budget'!Q28</f>
        <v>0.05</v>
      </c>
      <c r="S24" s="198">
        <f t="shared" si="6"/>
        <v>0</v>
      </c>
      <c r="T24" s="333">
        <f t="shared" si="7"/>
        <v>47969.375</v>
      </c>
      <c r="U24" s="201"/>
      <c r="V24" s="188"/>
      <c r="W24" s="202"/>
      <c r="X24" s="202"/>
      <c r="AB24" s="163"/>
      <c r="AC24" s="203"/>
      <c r="AD24" s="203"/>
      <c r="AE24" s="204"/>
      <c r="AG24" s="205"/>
    </row>
    <row r="25" spans="1:33" ht="15" customHeight="1" outlineLevel="1">
      <c r="A25" s="193" t="str">
        <f>'Program Budget'!D29</f>
        <v>Partnerships and Investment Specialist</v>
      </c>
      <c r="B25" s="194" t="str">
        <f>'Program Budget'!F29</f>
        <v>Month</v>
      </c>
      <c r="C25" s="198">
        <f>'Program Budget'!E29</f>
        <v>0</v>
      </c>
      <c r="D25" s="195">
        <f>'Program Budget'!G29</f>
        <v>1750</v>
      </c>
      <c r="E25" s="196">
        <f>'Program Budget'!I29</f>
        <v>12</v>
      </c>
      <c r="F25" s="199">
        <f>'Program Budget'!H29</f>
        <v>0.1</v>
      </c>
      <c r="G25" s="198">
        <f t="shared" si="0"/>
        <v>2100</v>
      </c>
      <c r="H25" s="195">
        <f t="shared" si="1"/>
        <v>1837.5</v>
      </c>
      <c r="I25" s="196">
        <f>'Program Budget'!L29</f>
        <v>12</v>
      </c>
      <c r="J25" s="199">
        <f>'Program Budget'!K29</f>
        <v>0</v>
      </c>
      <c r="K25" s="198">
        <f t="shared" si="2"/>
        <v>0</v>
      </c>
      <c r="L25" s="195">
        <f t="shared" si="3"/>
        <v>1929.375</v>
      </c>
      <c r="M25" s="196">
        <f>'Program Budget'!O28</f>
        <v>12</v>
      </c>
      <c r="N25" s="199">
        <f>'Program Budget'!N29</f>
        <v>0</v>
      </c>
      <c r="O25" s="198">
        <f t="shared" si="4"/>
        <v>0</v>
      </c>
      <c r="P25" s="195">
        <f t="shared" si="5"/>
        <v>2025.84375</v>
      </c>
      <c r="Q25" s="196">
        <f>'Program Budget'!R29</f>
        <v>0</v>
      </c>
      <c r="R25" s="199">
        <f>'Program Budget'!Q29</f>
        <v>0</v>
      </c>
      <c r="S25" s="198">
        <f t="shared" si="6"/>
        <v>0</v>
      </c>
      <c r="T25" s="333">
        <f t="shared" si="7"/>
        <v>2100</v>
      </c>
      <c r="U25" s="201"/>
      <c r="V25" s="188"/>
      <c r="W25" s="202"/>
      <c r="X25" s="202"/>
      <c r="AB25" s="163"/>
      <c r="AC25" s="203"/>
      <c r="AD25" s="203"/>
      <c r="AE25" s="204"/>
      <c r="AG25" s="205"/>
    </row>
    <row r="26" spans="1:33" ht="15" customHeight="1" outlineLevel="1">
      <c r="A26" s="193" t="str">
        <f>'Program Budget'!D30</f>
        <v>Organizational Strengthening Specialist</v>
      </c>
      <c r="B26" s="194" t="str">
        <f>'Program Budget'!F30</f>
        <v>Month</v>
      </c>
      <c r="C26" s="198">
        <f>'Program Budget'!E30</f>
        <v>0</v>
      </c>
      <c r="D26" s="195">
        <f>'Program Budget'!G30</f>
        <v>1750</v>
      </c>
      <c r="E26" s="196">
        <f>'Program Budget'!I30</f>
        <v>12</v>
      </c>
      <c r="F26" s="199">
        <f>'Program Budget'!H30</f>
        <v>0.1</v>
      </c>
      <c r="G26" s="198">
        <f t="shared" si="0"/>
        <v>2100</v>
      </c>
      <c r="H26" s="195">
        <f t="shared" si="1"/>
        <v>1837.5</v>
      </c>
      <c r="I26" s="196">
        <f>'Program Budget'!L30</f>
        <v>12</v>
      </c>
      <c r="J26" s="199">
        <f>'Program Budget'!K30</f>
        <v>0</v>
      </c>
      <c r="K26" s="198">
        <f t="shared" si="2"/>
        <v>0</v>
      </c>
      <c r="L26" s="195">
        <f t="shared" si="3"/>
        <v>1929.375</v>
      </c>
      <c r="M26" s="196">
        <f>'Program Budget'!O29</f>
        <v>12</v>
      </c>
      <c r="N26" s="199">
        <f>'Program Budget'!N30</f>
        <v>0</v>
      </c>
      <c r="O26" s="198">
        <f t="shared" si="4"/>
        <v>0</v>
      </c>
      <c r="P26" s="195">
        <f t="shared" si="5"/>
        <v>2025.84375</v>
      </c>
      <c r="Q26" s="196">
        <f>'Program Budget'!R30</f>
        <v>0</v>
      </c>
      <c r="R26" s="199">
        <f>'Program Budget'!Q30</f>
        <v>0</v>
      </c>
      <c r="S26" s="198">
        <f t="shared" si="6"/>
        <v>0</v>
      </c>
      <c r="T26" s="333">
        <f t="shared" si="7"/>
        <v>2100</v>
      </c>
      <c r="U26" s="201"/>
      <c r="V26" s="188"/>
      <c r="W26" s="202"/>
      <c r="X26" s="202"/>
      <c r="AB26" s="163"/>
      <c r="AC26" s="203"/>
      <c r="AD26" s="203"/>
      <c r="AE26" s="204"/>
      <c r="AG26" s="205"/>
    </row>
    <row r="27" spans="1:33" ht="15" customHeight="1" outlineLevel="1">
      <c r="A27" s="193" t="str">
        <f>'Program Budget'!D31</f>
        <v>Value Chain Strengthening Director</v>
      </c>
      <c r="B27" s="194" t="str">
        <f>'Program Budget'!F31</f>
        <v>Month</v>
      </c>
      <c r="C27" s="198">
        <f>'Program Budget'!E31</f>
        <v>0</v>
      </c>
      <c r="D27" s="195">
        <f>'Program Budget'!G31</f>
        <v>0</v>
      </c>
      <c r="E27" s="196">
        <f>'Program Budget'!I31</f>
        <v>12</v>
      </c>
      <c r="F27" s="199">
        <f>'Program Budget'!H31</f>
        <v>0.1</v>
      </c>
      <c r="G27" s="198">
        <f t="shared" si="0"/>
        <v>0</v>
      </c>
      <c r="H27" s="195">
        <f t="shared" si="1"/>
        <v>0</v>
      </c>
      <c r="I27" s="196">
        <f>'Program Budget'!L31</f>
        <v>12</v>
      </c>
      <c r="J27" s="199">
        <f>'Program Budget'!K31</f>
        <v>0.05</v>
      </c>
      <c r="K27" s="198">
        <f t="shared" si="2"/>
        <v>0</v>
      </c>
      <c r="L27" s="195">
        <f t="shared" si="3"/>
        <v>0</v>
      </c>
      <c r="M27" s="196">
        <f>'Program Budget'!O30</f>
        <v>12</v>
      </c>
      <c r="N27" s="199">
        <f>'Program Budget'!N31</f>
        <v>0.05</v>
      </c>
      <c r="O27" s="198">
        <f t="shared" si="4"/>
        <v>0</v>
      </c>
      <c r="P27" s="195">
        <f t="shared" si="5"/>
        <v>0</v>
      </c>
      <c r="Q27" s="196">
        <f>'Program Budget'!R31</f>
        <v>4</v>
      </c>
      <c r="R27" s="199">
        <f>'Program Budget'!Q31</f>
        <v>0.05</v>
      </c>
      <c r="S27" s="198">
        <f t="shared" si="6"/>
        <v>0</v>
      </c>
      <c r="T27" s="333">
        <f t="shared" si="7"/>
        <v>0</v>
      </c>
      <c r="U27" s="201"/>
      <c r="V27" s="188"/>
      <c r="W27" s="202"/>
      <c r="X27" s="202"/>
      <c r="AB27" s="163"/>
      <c r="AC27" s="203"/>
      <c r="AD27" s="203"/>
      <c r="AE27" s="204"/>
      <c r="AG27" s="205"/>
    </row>
    <row r="28" spans="1:33" ht="15" customHeight="1" outlineLevel="1">
      <c r="A28" s="193" t="str">
        <f>'Program Budget'!D32</f>
        <v>Communications Specialist</v>
      </c>
      <c r="B28" s="194" t="str">
        <f>'Program Budget'!F32</f>
        <v>Month</v>
      </c>
      <c r="C28" s="198">
        <f>'Program Budget'!E32</f>
        <v>0</v>
      </c>
      <c r="D28" s="195">
        <f>'Program Budget'!G32</f>
        <v>1750</v>
      </c>
      <c r="E28" s="196">
        <f>'Program Budget'!I32</f>
        <v>12</v>
      </c>
      <c r="F28" s="199">
        <f>'Program Budget'!H32</f>
        <v>0.1</v>
      </c>
      <c r="G28" s="198">
        <f t="shared" si="0"/>
        <v>2100</v>
      </c>
      <c r="H28" s="195">
        <f t="shared" si="1"/>
        <v>1837.5</v>
      </c>
      <c r="I28" s="196">
        <f>'Program Budget'!L32</f>
        <v>12</v>
      </c>
      <c r="J28" s="199">
        <f>'Program Budget'!K32</f>
        <v>0.1</v>
      </c>
      <c r="K28" s="198">
        <f t="shared" si="2"/>
        <v>2205</v>
      </c>
      <c r="L28" s="195">
        <f t="shared" si="3"/>
        <v>1929.375</v>
      </c>
      <c r="M28" s="196">
        <f>'Program Budget'!O31</f>
        <v>12</v>
      </c>
      <c r="N28" s="199">
        <f>'Program Budget'!N32</f>
        <v>0.1</v>
      </c>
      <c r="O28" s="198">
        <f t="shared" si="4"/>
        <v>2315.25</v>
      </c>
      <c r="P28" s="195">
        <f t="shared" si="5"/>
        <v>2025.84375</v>
      </c>
      <c r="Q28" s="196">
        <f>'Program Budget'!R32</f>
        <v>0</v>
      </c>
      <c r="R28" s="199">
        <f>'Program Budget'!Q32</f>
        <v>0.1</v>
      </c>
      <c r="S28" s="198">
        <f t="shared" si="6"/>
        <v>0</v>
      </c>
      <c r="T28" s="333">
        <f t="shared" si="7"/>
        <v>6620.25</v>
      </c>
      <c r="U28" s="201"/>
      <c r="V28" s="188"/>
      <c r="W28" s="202"/>
      <c r="X28" s="202"/>
      <c r="AB28" s="163"/>
      <c r="AC28" s="203"/>
      <c r="AD28" s="203"/>
      <c r="AE28" s="204"/>
      <c r="AG28" s="205"/>
    </row>
    <row r="29" spans="1:33" ht="15" customHeight="1" outlineLevel="1">
      <c r="A29" s="193" t="str">
        <f>'Program Budget'!D33</f>
        <v>Value Chain Specialist</v>
      </c>
      <c r="B29" s="194" t="str">
        <f>'Program Budget'!F33</f>
        <v>Month</v>
      </c>
      <c r="C29" s="198">
        <f>'Program Budget'!E33</f>
        <v>0</v>
      </c>
      <c r="D29" s="195">
        <f>'Program Budget'!G33</f>
        <v>2500</v>
      </c>
      <c r="E29" s="196">
        <f>'Program Budget'!I33</f>
        <v>12</v>
      </c>
      <c r="F29" s="199">
        <f>'Program Budget'!H33</f>
        <v>0.1</v>
      </c>
      <c r="G29" s="198">
        <f t="shared" si="0"/>
        <v>3000</v>
      </c>
      <c r="H29" s="195">
        <f t="shared" si="1"/>
        <v>2625</v>
      </c>
      <c r="I29" s="196">
        <f>'Program Budget'!L33</f>
        <v>12</v>
      </c>
      <c r="J29" s="199">
        <f>'Program Budget'!K33</f>
        <v>0</v>
      </c>
      <c r="K29" s="198">
        <f t="shared" si="2"/>
        <v>0</v>
      </c>
      <c r="L29" s="195">
        <f t="shared" si="3"/>
        <v>2756.25</v>
      </c>
      <c r="M29" s="196">
        <f>'Program Budget'!O32</f>
        <v>12</v>
      </c>
      <c r="N29" s="199">
        <f>'Program Budget'!N33</f>
        <v>0</v>
      </c>
      <c r="O29" s="198">
        <f t="shared" si="4"/>
        <v>0</v>
      </c>
      <c r="P29" s="195">
        <f t="shared" si="5"/>
        <v>2894.0625</v>
      </c>
      <c r="Q29" s="196">
        <f>'Program Budget'!R33</f>
        <v>0</v>
      </c>
      <c r="R29" s="199">
        <f>'Program Budget'!Q33</f>
        <v>0</v>
      </c>
      <c r="S29" s="198">
        <f t="shared" si="6"/>
        <v>0</v>
      </c>
      <c r="T29" s="333">
        <f t="shared" si="7"/>
        <v>3000</v>
      </c>
      <c r="U29" s="201"/>
      <c r="V29" s="188"/>
      <c r="W29" s="202"/>
      <c r="X29" s="202"/>
      <c r="AB29" s="163"/>
      <c r="AC29" s="203"/>
      <c r="AD29" s="203"/>
      <c r="AE29" s="204"/>
      <c r="AG29" s="205"/>
    </row>
    <row r="30" spans="1:33" ht="15" customHeight="1" outlineLevel="1">
      <c r="A30" s="193" t="str">
        <f>'Program Budget'!D34</f>
        <v>Contracts &amp; Compliance Director</v>
      </c>
      <c r="B30" s="194" t="str">
        <f>'Program Budget'!F34</f>
        <v>Month</v>
      </c>
      <c r="C30" s="198">
        <f>'Program Budget'!E34</f>
        <v>29123.27</v>
      </c>
      <c r="D30" s="195">
        <f>'Program Budget'!G34</f>
        <v>4583.333333333333</v>
      </c>
      <c r="E30" s="196">
        <f>'Program Budget'!I34</f>
        <v>12</v>
      </c>
      <c r="F30" s="199">
        <f>'Program Budget'!H34</f>
        <v>0.1</v>
      </c>
      <c r="G30" s="198">
        <f t="shared" si="0"/>
        <v>5500</v>
      </c>
      <c r="H30" s="195">
        <f t="shared" si="1"/>
        <v>4812.5</v>
      </c>
      <c r="I30" s="196">
        <f>'Program Budget'!L34</f>
        <v>12</v>
      </c>
      <c r="J30" s="199">
        <f>'Program Budget'!K34</f>
        <v>0.1</v>
      </c>
      <c r="K30" s="198">
        <f t="shared" si="2"/>
        <v>5775</v>
      </c>
      <c r="L30" s="195">
        <f t="shared" si="3"/>
        <v>5053.125</v>
      </c>
      <c r="M30" s="196">
        <f>'Program Budget'!O33</f>
        <v>12</v>
      </c>
      <c r="N30" s="199">
        <f>'Program Budget'!N34</f>
        <v>0.1</v>
      </c>
      <c r="O30" s="198">
        <f t="shared" si="4"/>
        <v>6063.75</v>
      </c>
      <c r="P30" s="195">
        <f t="shared" si="5"/>
        <v>5305.78125</v>
      </c>
      <c r="Q30" s="196">
        <f>'Program Budget'!R34</f>
        <v>3</v>
      </c>
      <c r="R30" s="199">
        <f>'Program Budget'!Q34</f>
        <v>0.1</v>
      </c>
      <c r="S30" s="198">
        <f t="shared" si="6"/>
        <v>1591.734375</v>
      </c>
      <c r="T30" s="333">
        <f t="shared" si="7"/>
        <v>48053.754375000004</v>
      </c>
      <c r="U30" s="201"/>
      <c r="V30" s="188"/>
      <c r="W30" s="202"/>
      <c r="X30" s="202"/>
      <c r="AB30" s="163">
        <v>180</v>
      </c>
      <c r="AC30" s="203" t="s">
        <v>547</v>
      </c>
      <c r="AD30" s="203" t="s">
        <v>548</v>
      </c>
      <c r="AE30" s="204"/>
      <c r="AG30" s="205"/>
    </row>
    <row r="31" spans="1:33" ht="15" customHeight="1" outlineLevel="1">
      <c r="A31" s="193" t="str">
        <f>'Program Budget'!D35</f>
        <v>Grants &amp; Procurement Specialist (2)</v>
      </c>
      <c r="B31" s="194" t="str">
        <f>'Program Budget'!F35</f>
        <v>Month</v>
      </c>
      <c r="C31" s="198">
        <f>'Program Budget'!E35</f>
        <v>0</v>
      </c>
      <c r="D31" s="195">
        <f>'Program Budget'!G35</f>
        <v>3500</v>
      </c>
      <c r="E31" s="196">
        <f>'Program Budget'!I35</f>
        <v>12</v>
      </c>
      <c r="F31" s="199">
        <f>'Program Budget'!H35</f>
        <v>0.05</v>
      </c>
      <c r="G31" s="198">
        <f t="shared" si="0"/>
        <v>2100</v>
      </c>
      <c r="H31" s="195">
        <f t="shared" si="1"/>
        <v>3675</v>
      </c>
      <c r="I31" s="196">
        <f>'Program Budget'!L35</f>
        <v>12</v>
      </c>
      <c r="J31" s="199">
        <f>'Program Budget'!K35</f>
        <v>0.1</v>
      </c>
      <c r="K31" s="198">
        <f t="shared" si="2"/>
        <v>4410</v>
      </c>
      <c r="L31" s="195">
        <f t="shared" si="3"/>
        <v>3858.75</v>
      </c>
      <c r="M31" s="196">
        <f>'Program Budget'!O34</f>
        <v>12</v>
      </c>
      <c r="N31" s="199">
        <f>'Program Budget'!N35</f>
        <v>0.1</v>
      </c>
      <c r="O31" s="198">
        <f t="shared" si="4"/>
        <v>4630.5</v>
      </c>
      <c r="P31" s="195">
        <f t="shared" si="5"/>
        <v>4051.6875</v>
      </c>
      <c r="Q31" s="196">
        <f>'Program Budget'!R35</f>
        <v>0</v>
      </c>
      <c r="R31" s="199">
        <f>'Program Budget'!Q35</f>
        <v>0.1</v>
      </c>
      <c r="S31" s="198">
        <f t="shared" si="6"/>
        <v>0</v>
      </c>
      <c r="T31" s="333">
        <f t="shared" si="7"/>
        <v>11140.5</v>
      </c>
      <c r="U31" s="201"/>
      <c r="V31" s="188"/>
      <c r="W31" s="202"/>
      <c r="X31" s="202"/>
      <c r="AB31" s="163">
        <v>180</v>
      </c>
      <c r="AC31" s="203" t="s">
        <v>547</v>
      </c>
      <c r="AD31" s="203" t="s">
        <v>548</v>
      </c>
      <c r="AE31" s="204"/>
      <c r="AG31" s="205"/>
    </row>
    <row r="32" spans="1:33" ht="15" customHeight="1" outlineLevel="1">
      <c r="A32" s="193" t="str">
        <f>'Program Budget'!D36</f>
        <v xml:space="preserve">F&amp;A Director </v>
      </c>
      <c r="B32" s="194" t="str">
        <f>'Program Budget'!F36</f>
        <v>Month</v>
      </c>
      <c r="C32" s="198">
        <f>'Program Budget'!E36</f>
        <v>170750.48</v>
      </c>
      <c r="D32" s="195">
        <f>'Program Budget'!G36</f>
        <v>5279.4</v>
      </c>
      <c r="E32" s="196">
        <f>'Program Budget'!I36</f>
        <v>12</v>
      </c>
      <c r="F32" s="199">
        <f>'Program Budget'!H36</f>
        <v>0.15</v>
      </c>
      <c r="G32" s="198">
        <f t="shared" si="0"/>
        <v>9502.9199999999983</v>
      </c>
      <c r="H32" s="195">
        <f t="shared" si="1"/>
        <v>5543.37</v>
      </c>
      <c r="I32" s="196">
        <f>'Program Budget'!L36</f>
        <v>12</v>
      </c>
      <c r="J32" s="199">
        <f>'Program Budget'!K36</f>
        <v>0.15</v>
      </c>
      <c r="K32" s="198">
        <f t="shared" si="2"/>
        <v>9978.0660000000007</v>
      </c>
      <c r="L32" s="195">
        <f t="shared" si="3"/>
        <v>5820.5385000000006</v>
      </c>
      <c r="M32" s="196">
        <f>'Program Budget'!O35</f>
        <v>12</v>
      </c>
      <c r="N32" s="199">
        <f>'Program Budget'!N36</f>
        <v>0.15</v>
      </c>
      <c r="O32" s="198">
        <f t="shared" si="4"/>
        <v>10476.969299999999</v>
      </c>
      <c r="P32" s="195">
        <f t="shared" si="5"/>
        <v>6111.5654250000007</v>
      </c>
      <c r="Q32" s="196">
        <f>'Program Budget'!R36</f>
        <v>6</v>
      </c>
      <c r="R32" s="199">
        <f>'Program Budget'!Q36</f>
        <v>0.15</v>
      </c>
      <c r="S32" s="198">
        <f t="shared" si="6"/>
        <v>5500.4088825000008</v>
      </c>
      <c r="T32" s="333">
        <f t="shared" si="7"/>
        <v>206208.8441825</v>
      </c>
      <c r="U32" s="201"/>
      <c r="V32" s="188"/>
      <c r="W32" s="202"/>
      <c r="X32" s="202"/>
      <c r="AB32" s="163">
        <v>180</v>
      </c>
      <c r="AC32" s="203" t="s">
        <v>547</v>
      </c>
      <c r="AD32" s="203" t="s">
        <v>548</v>
      </c>
      <c r="AE32" s="204"/>
      <c r="AG32" s="205"/>
    </row>
    <row r="33" spans="1:33" ht="15" customHeight="1" outlineLevel="1">
      <c r="A33" s="193" t="str">
        <f>'Program Budget'!D37</f>
        <v>Accounting &amp; Finance Specialist</v>
      </c>
      <c r="B33" s="194" t="str">
        <f>'Program Budget'!F37</f>
        <v>Month</v>
      </c>
      <c r="C33" s="198">
        <f>'Program Budget'!E37</f>
        <v>0</v>
      </c>
      <c r="D33" s="195">
        <f>'Program Budget'!G37</f>
        <v>1750</v>
      </c>
      <c r="E33" s="196">
        <f>'Program Budget'!I37</f>
        <v>12</v>
      </c>
      <c r="F33" s="199">
        <f>'Program Budget'!H37</f>
        <v>0.1</v>
      </c>
      <c r="G33" s="198">
        <f t="shared" si="0"/>
        <v>2100</v>
      </c>
      <c r="H33" s="195">
        <f t="shared" si="1"/>
        <v>1837.5</v>
      </c>
      <c r="I33" s="196">
        <f>'Program Budget'!L37</f>
        <v>12</v>
      </c>
      <c r="J33" s="199">
        <f>'Program Budget'!K37</f>
        <v>0.2</v>
      </c>
      <c r="K33" s="198">
        <f t="shared" si="2"/>
        <v>4410</v>
      </c>
      <c r="L33" s="195">
        <f t="shared" si="3"/>
        <v>1929.375</v>
      </c>
      <c r="M33" s="196">
        <f>'Program Budget'!O36</f>
        <v>12</v>
      </c>
      <c r="N33" s="199">
        <f>'Program Budget'!N37</f>
        <v>0.2</v>
      </c>
      <c r="O33" s="198">
        <f t="shared" si="4"/>
        <v>4630.5</v>
      </c>
      <c r="P33" s="195">
        <f t="shared" si="5"/>
        <v>2025.84375</v>
      </c>
      <c r="Q33" s="196">
        <f>'Program Budget'!R37</f>
        <v>3</v>
      </c>
      <c r="R33" s="199">
        <f>'Program Budget'!Q37</f>
        <v>0.2</v>
      </c>
      <c r="S33" s="198">
        <f t="shared" si="6"/>
        <v>1215.5062500000001</v>
      </c>
      <c r="T33" s="333">
        <f t="shared" si="7"/>
        <v>12356.00625</v>
      </c>
      <c r="U33" s="201"/>
      <c r="V33" s="188"/>
      <c r="W33" s="202"/>
      <c r="X33" s="202"/>
      <c r="AB33" s="163">
        <v>180</v>
      </c>
      <c r="AC33" s="203" t="s">
        <v>547</v>
      </c>
      <c r="AD33" s="203" t="s">
        <v>548</v>
      </c>
      <c r="AE33" s="204"/>
      <c r="AG33" s="205"/>
    </row>
    <row r="34" spans="1:33" ht="15" customHeight="1" outlineLevel="1">
      <c r="A34" s="193" t="str">
        <f>'Program Budget'!D38</f>
        <v xml:space="preserve">Accountant </v>
      </c>
      <c r="B34" s="194" t="str">
        <f>'Program Budget'!F38</f>
        <v>Month</v>
      </c>
      <c r="C34" s="198">
        <f>'Program Budget'!E38</f>
        <v>57428.39</v>
      </c>
      <c r="D34" s="195">
        <f>'Program Budget'!G38</f>
        <v>1750</v>
      </c>
      <c r="E34" s="196">
        <f>'Program Budget'!I38</f>
        <v>12</v>
      </c>
      <c r="F34" s="199">
        <f>'Program Budget'!H38</f>
        <v>0.1</v>
      </c>
      <c r="G34" s="198">
        <f t="shared" si="0"/>
        <v>2100</v>
      </c>
      <c r="H34" s="195">
        <f t="shared" si="1"/>
        <v>1837.5</v>
      </c>
      <c r="I34" s="196">
        <f>'Program Budget'!L38</f>
        <v>12</v>
      </c>
      <c r="J34" s="199">
        <f>'Program Budget'!K38</f>
        <v>0.2</v>
      </c>
      <c r="K34" s="198">
        <f t="shared" si="2"/>
        <v>4410</v>
      </c>
      <c r="L34" s="195">
        <f t="shared" si="3"/>
        <v>1929.375</v>
      </c>
      <c r="M34" s="196">
        <f>'Program Budget'!O37</f>
        <v>12</v>
      </c>
      <c r="N34" s="199">
        <f>'Program Budget'!N38</f>
        <v>0.2</v>
      </c>
      <c r="O34" s="198">
        <f t="shared" si="4"/>
        <v>4630.5</v>
      </c>
      <c r="P34" s="195">
        <f t="shared" si="5"/>
        <v>2025.84375</v>
      </c>
      <c r="Q34" s="196">
        <f>'Program Budget'!R38</f>
        <v>5</v>
      </c>
      <c r="R34" s="199">
        <f>'Program Budget'!Q38</f>
        <v>0.2</v>
      </c>
      <c r="S34" s="198">
        <f t="shared" si="6"/>
        <v>2025.84375</v>
      </c>
      <c r="T34" s="333">
        <f t="shared" si="7"/>
        <v>70594.733749999999</v>
      </c>
      <c r="U34" s="201"/>
      <c r="V34" s="188"/>
      <c r="W34" s="202"/>
      <c r="X34" s="202"/>
      <c r="AB34" s="163"/>
      <c r="AC34" s="203"/>
      <c r="AD34" s="203"/>
      <c r="AE34" s="204"/>
      <c r="AG34" s="205"/>
    </row>
    <row r="35" spans="1:33" ht="15" customHeight="1" outlineLevel="1">
      <c r="A35" s="193" t="str">
        <f>'Program Budget'!D39</f>
        <v>Finance &amp; Admin Coordinator - 50% LOE</v>
      </c>
      <c r="B35" s="194" t="str">
        <f>'Program Budget'!F39</f>
        <v>Month</v>
      </c>
      <c r="C35" s="198">
        <f>'Program Budget'!E39</f>
        <v>0</v>
      </c>
      <c r="D35" s="195">
        <f>'Program Budget'!G39</f>
        <v>2583.3333333333335</v>
      </c>
      <c r="E35" s="196">
        <f>'Program Budget'!I39</f>
        <v>12</v>
      </c>
      <c r="F35" s="199">
        <f>'Program Budget'!H39</f>
        <v>0.1</v>
      </c>
      <c r="G35" s="198">
        <f t="shared" si="0"/>
        <v>3100</v>
      </c>
      <c r="H35" s="195">
        <f t="shared" si="1"/>
        <v>2712.5000000000005</v>
      </c>
      <c r="I35" s="196">
        <f>'Program Budget'!L39</f>
        <v>12</v>
      </c>
      <c r="J35" s="199">
        <f>'Program Budget'!K39</f>
        <v>0.1</v>
      </c>
      <c r="K35" s="198">
        <f t="shared" si="2"/>
        <v>3255.0000000000009</v>
      </c>
      <c r="L35" s="195">
        <f t="shared" si="3"/>
        <v>2848.1250000000005</v>
      </c>
      <c r="M35" s="196">
        <f>'Program Budget'!O38</f>
        <v>12</v>
      </c>
      <c r="N35" s="199">
        <f>'Program Budget'!N39</f>
        <v>0.1</v>
      </c>
      <c r="O35" s="198">
        <f t="shared" si="4"/>
        <v>3417.7500000000009</v>
      </c>
      <c r="P35" s="195">
        <f t="shared" si="5"/>
        <v>2990.5312500000005</v>
      </c>
      <c r="Q35" s="196">
        <f>'Program Budget'!R39</f>
        <v>6</v>
      </c>
      <c r="R35" s="199">
        <f>'Program Budget'!Q39</f>
        <v>0.1</v>
      </c>
      <c r="S35" s="198">
        <f t="shared" si="6"/>
        <v>1794.3187500000004</v>
      </c>
      <c r="T35" s="333">
        <f t="shared" si="7"/>
        <v>11567.068750000002</v>
      </c>
      <c r="U35" s="201"/>
      <c r="V35" s="188"/>
      <c r="W35" s="202"/>
      <c r="X35" s="202"/>
      <c r="AB35" s="163"/>
      <c r="AC35" s="203"/>
      <c r="AD35" s="203"/>
      <c r="AE35" s="204"/>
      <c r="AG35" s="205"/>
    </row>
    <row r="36" spans="1:33" ht="15" customHeight="1" outlineLevel="1">
      <c r="A36" s="193" t="str">
        <f>'Program Budget'!D40</f>
        <v xml:space="preserve">Administrative Officer </v>
      </c>
      <c r="B36" s="194" t="str">
        <f>'Program Budget'!F40</f>
        <v>Month</v>
      </c>
      <c r="C36" s="198">
        <f>'Program Budget'!E40</f>
        <v>31713.93</v>
      </c>
      <c r="D36" s="195">
        <f>'Program Budget'!G40</f>
        <v>1000</v>
      </c>
      <c r="E36" s="196">
        <f>'Program Budget'!I40</f>
        <v>12</v>
      </c>
      <c r="F36" s="199">
        <f>'Program Budget'!H40</f>
        <v>0.1</v>
      </c>
      <c r="G36" s="198">
        <f t="shared" si="0"/>
        <v>1200</v>
      </c>
      <c r="H36" s="195">
        <f t="shared" si="1"/>
        <v>1050</v>
      </c>
      <c r="I36" s="196">
        <f>'Program Budget'!L40</f>
        <v>12</v>
      </c>
      <c r="J36" s="199">
        <f>'Program Budget'!K40</f>
        <v>0.3</v>
      </c>
      <c r="K36" s="198">
        <f t="shared" si="2"/>
        <v>3780</v>
      </c>
      <c r="L36" s="195">
        <f t="shared" si="3"/>
        <v>1102.5</v>
      </c>
      <c r="M36" s="196">
        <f>'Program Budget'!O39</f>
        <v>12</v>
      </c>
      <c r="N36" s="199">
        <f>'Program Budget'!N40</f>
        <v>0.3</v>
      </c>
      <c r="O36" s="198">
        <f t="shared" si="4"/>
        <v>3969</v>
      </c>
      <c r="P36" s="195">
        <f t="shared" si="5"/>
        <v>1157.625</v>
      </c>
      <c r="Q36" s="196">
        <f>'Program Budget'!R40</f>
        <v>3</v>
      </c>
      <c r="R36" s="199">
        <f>'Program Budget'!Q40</f>
        <v>0.3</v>
      </c>
      <c r="S36" s="198">
        <f t="shared" si="6"/>
        <v>1041.8625</v>
      </c>
      <c r="T36" s="333">
        <f t="shared" si="7"/>
        <v>41704.792500000003</v>
      </c>
      <c r="U36" s="201"/>
      <c r="V36" s="188"/>
      <c r="W36" s="202"/>
      <c r="X36" s="202"/>
      <c r="AB36" s="163"/>
      <c r="AC36" s="203"/>
      <c r="AD36" s="203"/>
      <c r="AE36" s="204"/>
      <c r="AG36" s="205"/>
    </row>
    <row r="37" spans="1:33" ht="15" customHeight="1" outlineLevel="1">
      <c r="A37" s="193" t="str">
        <f>'Program Budget'!D41</f>
        <v>Human Resource Manager</v>
      </c>
      <c r="B37" s="194" t="str">
        <f>'Program Budget'!F41</f>
        <v>Month</v>
      </c>
      <c r="C37" s="198">
        <f>'Program Budget'!E41</f>
        <v>0</v>
      </c>
      <c r="D37" s="195">
        <f>'Program Budget'!G41</f>
        <v>1954.1666666666667</v>
      </c>
      <c r="E37" s="196">
        <f>'Program Budget'!I41</f>
        <v>12</v>
      </c>
      <c r="F37" s="199">
        <f>'Program Budget'!H41</f>
        <v>0.1</v>
      </c>
      <c r="G37" s="198">
        <f t="shared" si="0"/>
        <v>2345</v>
      </c>
      <c r="H37" s="195">
        <f t="shared" si="1"/>
        <v>2051.875</v>
      </c>
      <c r="I37" s="196">
        <f>'Program Budget'!L41</f>
        <v>12</v>
      </c>
      <c r="J37" s="199">
        <f>'Program Budget'!K41</f>
        <v>0.3</v>
      </c>
      <c r="K37" s="198">
        <f t="shared" si="2"/>
        <v>7386.75</v>
      </c>
      <c r="L37" s="195">
        <f t="shared" si="3"/>
        <v>2154.46875</v>
      </c>
      <c r="M37" s="196">
        <f>'Program Budget'!O40</f>
        <v>12</v>
      </c>
      <c r="N37" s="199">
        <f>'Program Budget'!N41</f>
        <v>0.3</v>
      </c>
      <c r="O37" s="198">
        <f t="shared" si="4"/>
        <v>7756.0874999999996</v>
      </c>
      <c r="P37" s="195">
        <f t="shared" si="5"/>
        <v>2262.1921875000003</v>
      </c>
      <c r="Q37" s="196">
        <f>'Program Budget'!R41</f>
        <v>6</v>
      </c>
      <c r="R37" s="199">
        <f>'Program Budget'!Q41</f>
        <v>0.3</v>
      </c>
      <c r="S37" s="198">
        <f t="shared" si="6"/>
        <v>4071.9459375000001</v>
      </c>
      <c r="T37" s="333">
        <f t="shared" si="7"/>
        <v>21559.783437500002</v>
      </c>
      <c r="U37" s="201"/>
      <c r="V37" s="188"/>
      <c r="W37" s="202"/>
      <c r="X37" s="202"/>
      <c r="AB37" s="163">
        <v>180</v>
      </c>
      <c r="AC37" s="203" t="s">
        <v>547</v>
      </c>
      <c r="AD37" s="203" t="s">
        <v>548</v>
      </c>
      <c r="AE37" s="204"/>
      <c r="AG37" s="205"/>
    </row>
    <row r="38" spans="1:33" ht="15" customHeight="1" outlineLevel="1">
      <c r="A38" s="193" t="str">
        <f>'Program Budget'!D42</f>
        <v>Human Resource Specialist</v>
      </c>
      <c r="B38" s="194" t="str">
        <f>'Program Budget'!F42</f>
        <v>Month</v>
      </c>
      <c r="C38" s="198">
        <f>'Program Budget'!E42</f>
        <v>0</v>
      </c>
      <c r="D38" s="195">
        <f>'Program Budget'!G42</f>
        <v>1750</v>
      </c>
      <c r="E38" s="196">
        <f>'Program Budget'!I42</f>
        <v>12</v>
      </c>
      <c r="F38" s="199">
        <f>'Program Budget'!H42</f>
        <v>0.1</v>
      </c>
      <c r="G38" s="198">
        <f t="shared" si="0"/>
        <v>2100</v>
      </c>
      <c r="H38" s="195">
        <f t="shared" si="1"/>
        <v>1837.5</v>
      </c>
      <c r="I38" s="196">
        <f>'Program Budget'!L42</f>
        <v>12</v>
      </c>
      <c r="J38" s="199">
        <f>'Program Budget'!K42</f>
        <v>0.3</v>
      </c>
      <c r="K38" s="198">
        <f t="shared" si="2"/>
        <v>6615</v>
      </c>
      <c r="L38" s="195">
        <f t="shared" si="3"/>
        <v>1929.375</v>
      </c>
      <c r="M38" s="196">
        <f>'Program Budget'!O41</f>
        <v>12</v>
      </c>
      <c r="N38" s="199">
        <f>'Program Budget'!N42</f>
        <v>0.3</v>
      </c>
      <c r="O38" s="198">
        <f t="shared" si="4"/>
        <v>6945.75</v>
      </c>
      <c r="P38" s="195">
        <f t="shared" si="5"/>
        <v>2025.84375</v>
      </c>
      <c r="Q38" s="196">
        <f>'Program Budget'!R42</f>
        <v>3</v>
      </c>
      <c r="R38" s="199">
        <f>'Program Budget'!Q42</f>
        <v>0.3</v>
      </c>
      <c r="S38" s="198">
        <f t="shared" si="6"/>
        <v>1823.2593749999999</v>
      </c>
      <c r="T38" s="335">
        <f t="shared" si="7"/>
        <v>17484.009375000001</v>
      </c>
      <c r="U38" s="201"/>
      <c r="V38" s="188"/>
      <c r="W38" s="202"/>
      <c r="X38" s="202"/>
      <c r="AB38" s="163">
        <v>180</v>
      </c>
      <c r="AC38" s="203" t="s">
        <v>547</v>
      </c>
      <c r="AD38" s="203" t="s">
        <v>548</v>
      </c>
      <c r="AE38" s="204"/>
      <c r="AG38" s="205"/>
    </row>
    <row r="39" spans="1:33" ht="15" customHeight="1" outlineLevel="1">
      <c r="A39" s="208" t="s">
        <v>510</v>
      </c>
      <c r="B39" s="209"/>
      <c r="C39" s="222">
        <f>SUM(C10:C38)</f>
        <v>431499.99</v>
      </c>
      <c r="D39" s="210"/>
      <c r="E39" s="211"/>
      <c r="F39" s="214"/>
      <c r="G39" s="222">
        <f>SUM(G10:G38)</f>
        <v>72097.919999999998</v>
      </c>
      <c r="H39" s="210"/>
      <c r="I39" s="211"/>
      <c r="J39" s="212"/>
      <c r="K39" s="222">
        <f>SUM(K10:K38)</f>
        <v>81677.315999999992</v>
      </c>
      <c r="L39" s="210"/>
      <c r="M39" s="211"/>
      <c r="N39" s="214"/>
      <c r="O39" s="222">
        <f>SUM(O10:O38)</f>
        <v>85761.181799999991</v>
      </c>
      <c r="P39" s="210"/>
      <c r="Q39" s="211"/>
      <c r="R39" s="214"/>
      <c r="S39" s="222">
        <f>SUM(S10:S38)</f>
        <v>32835.793882499995</v>
      </c>
      <c r="T39" s="334">
        <f>C39+G39+K39+O39+S39</f>
        <v>703872.20168250008</v>
      </c>
      <c r="AB39" s="163"/>
      <c r="AC39" s="203"/>
      <c r="AD39" s="203"/>
    </row>
    <row r="40" spans="1:33" s="189" customFormat="1" ht="15.6" outlineLevel="1">
      <c r="A40" s="190" t="s">
        <v>511</v>
      </c>
      <c r="B40" s="191"/>
      <c r="C40" s="184"/>
      <c r="D40" s="181"/>
      <c r="E40" s="182"/>
      <c r="F40" s="185"/>
      <c r="G40" s="186"/>
      <c r="H40" s="181"/>
      <c r="I40" s="182"/>
      <c r="J40" s="183"/>
      <c r="K40" s="186"/>
      <c r="L40" s="181"/>
      <c r="M40" s="182"/>
      <c r="N40" s="185"/>
      <c r="O40" s="186"/>
      <c r="P40" s="181"/>
      <c r="Q40" s="182"/>
      <c r="R40" s="185"/>
      <c r="S40" s="186"/>
      <c r="T40" s="332"/>
      <c r="U40" s="192"/>
      <c r="V40" s="157"/>
      <c r="W40" s="157"/>
      <c r="X40" s="157"/>
      <c r="Y40" s="157"/>
      <c r="Z40" s="157"/>
      <c r="AA40" s="157"/>
      <c r="AB40" s="163"/>
    </row>
    <row r="41" spans="1:33" ht="15" customHeight="1" outlineLevel="1">
      <c r="A41" s="193" t="str">
        <f>'Program Budget'!D44</f>
        <v xml:space="preserve">Senior Program Director </v>
      </c>
      <c r="B41" s="194" t="str">
        <f>'Program Budget'!F44</f>
        <v>Month</v>
      </c>
      <c r="C41" s="198">
        <f>'Program Budget'!E44</f>
        <v>105808.88</v>
      </c>
      <c r="D41" s="195">
        <f>'Program Budget'!G44</f>
        <v>12500</v>
      </c>
      <c r="E41" s="196">
        <f>'Program Budget'!I44</f>
        <v>12</v>
      </c>
      <c r="F41" s="199">
        <f>'Program Budget'!H44</f>
        <v>0.25</v>
      </c>
      <c r="G41" s="198">
        <f>D41*E41*F41</f>
        <v>37500</v>
      </c>
      <c r="H41" s="195">
        <f>D41*1.05</f>
        <v>13125</v>
      </c>
      <c r="I41" s="196">
        <f>'Program Budget'!L44</f>
        <v>12</v>
      </c>
      <c r="J41" s="199">
        <f>'Program Budget'!K44</f>
        <v>0.25</v>
      </c>
      <c r="K41" s="198">
        <f>H41*I41*J41</f>
        <v>39375</v>
      </c>
      <c r="L41" s="195">
        <f>H41*1.05</f>
        <v>13781.25</v>
      </c>
      <c r="M41" s="196">
        <f>'Program Budget'!O44</f>
        <v>12</v>
      </c>
      <c r="N41" s="199">
        <f>'Program Budget'!N44</f>
        <v>0.25</v>
      </c>
      <c r="O41" s="198">
        <f>L41*M41*N41</f>
        <v>41343.75</v>
      </c>
      <c r="P41" s="195">
        <f>L41*1.05</f>
        <v>14470.3125</v>
      </c>
      <c r="Q41" s="196">
        <f>'Program Budget'!R44</f>
        <v>6</v>
      </c>
      <c r="R41" s="199">
        <f>'Program Budget'!Q44</f>
        <v>0.25</v>
      </c>
      <c r="S41" s="198">
        <f>P41*Q41*R41</f>
        <v>21705.46875</v>
      </c>
      <c r="T41" s="333">
        <f>C41+G41+K41+O41+S41</f>
        <v>245733.09875</v>
      </c>
      <c r="U41" s="201"/>
      <c r="V41" s="188"/>
      <c r="W41" s="202"/>
      <c r="X41" s="202"/>
      <c r="AB41" s="163">
        <v>180</v>
      </c>
      <c r="AC41" s="203" t="s">
        <v>547</v>
      </c>
      <c r="AD41" s="203" t="s">
        <v>548</v>
      </c>
      <c r="AE41" s="204"/>
      <c r="AG41" s="205"/>
    </row>
    <row r="42" spans="1:33" ht="15" customHeight="1" outlineLevel="1">
      <c r="A42" s="193" t="str">
        <f>'Program Budget'!D45</f>
        <v>Associate Director</v>
      </c>
      <c r="B42" s="194" t="str">
        <f>'Program Budget'!F45</f>
        <v>Month</v>
      </c>
      <c r="C42" s="198">
        <f>'Program Budget'!E45</f>
        <v>170702.65000000002</v>
      </c>
      <c r="D42" s="195">
        <f>'Program Budget'!G45</f>
        <v>8333.3333333333339</v>
      </c>
      <c r="E42" s="196">
        <f>'Program Budget'!I45</f>
        <v>12</v>
      </c>
      <c r="F42" s="199">
        <f>'Program Budget'!H45</f>
        <v>0.65</v>
      </c>
      <c r="G42" s="198">
        <f t="shared" ref="G42:G43" si="8">D42*E42*F42</f>
        <v>65000</v>
      </c>
      <c r="H42" s="195">
        <f t="shared" ref="H42:H43" si="9">D42*1.05</f>
        <v>8750.0000000000018</v>
      </c>
      <c r="I42" s="196">
        <f>'Program Budget'!L45</f>
        <v>12</v>
      </c>
      <c r="J42" s="199">
        <f>'Program Budget'!K45</f>
        <v>0.65</v>
      </c>
      <c r="K42" s="198">
        <f t="shared" ref="K42:K43" si="10">H42*I42*J42</f>
        <v>68250.000000000015</v>
      </c>
      <c r="L42" s="195">
        <f t="shared" ref="L42:L43" si="11">H42*1.05</f>
        <v>9187.5000000000018</v>
      </c>
      <c r="M42" s="196">
        <f>'Program Budget'!O45</f>
        <v>12</v>
      </c>
      <c r="N42" s="199">
        <f>'Program Budget'!N45</f>
        <v>0.65</v>
      </c>
      <c r="O42" s="198">
        <f t="shared" ref="O42:O43" si="12">L42*M42*N42</f>
        <v>71662.500000000015</v>
      </c>
      <c r="P42" s="195">
        <f t="shared" ref="P42:P43" si="13">L42*1.05</f>
        <v>9646.8750000000018</v>
      </c>
      <c r="Q42" s="196">
        <f>'Program Budget'!R45</f>
        <v>6</v>
      </c>
      <c r="R42" s="199">
        <f>'Program Budget'!Q45</f>
        <v>0.65</v>
      </c>
      <c r="S42" s="198">
        <f t="shared" ref="S42:S43" si="14">P42*Q42*R42</f>
        <v>37622.812500000007</v>
      </c>
      <c r="T42" s="333">
        <f t="shared" ref="T42:T43" si="15">C42+G42+K42+O42+S42</f>
        <v>413237.96250000002</v>
      </c>
      <c r="U42" s="201"/>
      <c r="V42" s="188"/>
      <c r="W42" s="202"/>
      <c r="X42" s="202"/>
      <c r="AB42" s="163"/>
      <c r="AC42" s="203"/>
      <c r="AD42" s="203"/>
      <c r="AE42" s="204"/>
      <c r="AG42" s="205"/>
    </row>
    <row r="43" spans="1:33" ht="15" customHeight="1" outlineLevel="1">
      <c r="A43" s="193" t="str">
        <f>'Program Budget'!D46</f>
        <v xml:space="preserve">Senior Program Officer </v>
      </c>
      <c r="B43" s="194" t="str">
        <f>'Program Budget'!F46</f>
        <v>Month</v>
      </c>
      <c r="C43" s="198">
        <f>'Program Budget'!E46</f>
        <v>0</v>
      </c>
      <c r="D43" s="195">
        <f>'Program Budget'!G46</f>
        <v>5833.333333333333</v>
      </c>
      <c r="E43" s="196">
        <f>'Program Budget'!I46</f>
        <v>12</v>
      </c>
      <c r="F43" s="199">
        <f>'Program Budget'!H46</f>
        <v>0.61</v>
      </c>
      <c r="G43" s="198">
        <f t="shared" si="8"/>
        <v>42700</v>
      </c>
      <c r="H43" s="195">
        <f t="shared" si="9"/>
        <v>6125</v>
      </c>
      <c r="I43" s="196">
        <f>'Program Budget'!L46</f>
        <v>12</v>
      </c>
      <c r="J43" s="199">
        <f>'Program Budget'!K46</f>
        <v>0.61</v>
      </c>
      <c r="K43" s="198">
        <f t="shared" si="10"/>
        <v>44835</v>
      </c>
      <c r="L43" s="195">
        <f t="shared" si="11"/>
        <v>6431.25</v>
      </c>
      <c r="M43" s="196">
        <f>'Program Budget'!O46</f>
        <v>12</v>
      </c>
      <c r="N43" s="199">
        <f>'Program Budget'!N46</f>
        <v>0.61</v>
      </c>
      <c r="O43" s="198">
        <f t="shared" si="12"/>
        <v>47076.75</v>
      </c>
      <c r="P43" s="195">
        <f t="shared" si="13"/>
        <v>6752.8125</v>
      </c>
      <c r="Q43" s="196">
        <f>'Program Budget'!R46</f>
        <v>6</v>
      </c>
      <c r="R43" s="199">
        <f>'Program Budget'!Q46</f>
        <v>0.61</v>
      </c>
      <c r="S43" s="198">
        <f t="shared" si="14"/>
        <v>24715.293750000001</v>
      </c>
      <c r="T43" s="333">
        <f t="shared" si="15"/>
        <v>159327.04375000001</v>
      </c>
      <c r="U43" s="201"/>
      <c r="V43" s="188"/>
      <c r="W43" s="202"/>
      <c r="X43" s="202"/>
      <c r="AB43" s="163">
        <v>180</v>
      </c>
      <c r="AC43" s="203" t="s">
        <v>547</v>
      </c>
      <c r="AD43" s="203" t="s">
        <v>548</v>
      </c>
      <c r="AE43" s="204"/>
      <c r="AG43" s="205"/>
    </row>
    <row r="44" spans="1:33" ht="15" customHeight="1" outlineLevel="1">
      <c r="A44" s="208" t="s">
        <v>512</v>
      </c>
      <c r="B44" s="209"/>
      <c r="C44" s="213">
        <f>SUM(C41:C43)</f>
        <v>276511.53000000003</v>
      </c>
      <c r="D44" s="210"/>
      <c r="E44" s="211"/>
      <c r="F44" s="214"/>
      <c r="G44" s="213">
        <f>SUM(G41:G43)</f>
        <v>145200</v>
      </c>
      <c r="H44" s="210"/>
      <c r="I44" s="211"/>
      <c r="J44" s="212"/>
      <c r="K44" s="213">
        <f>SUM(K41:K43)</f>
        <v>152460</v>
      </c>
      <c r="L44" s="210"/>
      <c r="M44" s="211"/>
      <c r="N44" s="214"/>
      <c r="O44" s="213">
        <f>SUM(O41:O43)</f>
        <v>160083</v>
      </c>
      <c r="P44" s="210"/>
      <c r="Q44" s="211"/>
      <c r="R44" s="214"/>
      <c r="S44" s="213">
        <f>SUM(S41:S43)</f>
        <v>84043.575000000012</v>
      </c>
      <c r="T44" s="334">
        <f>+C44+G44+K44+O44+S44</f>
        <v>818298.10499999998</v>
      </c>
      <c r="AB44" s="163"/>
      <c r="AC44" s="203"/>
      <c r="AD44" s="203" t="s">
        <v>549</v>
      </c>
    </row>
    <row r="45" spans="1:33" s="189" customFormat="1" ht="15" customHeight="1" outlineLevel="1">
      <c r="A45" s="225"/>
      <c r="B45" s="216"/>
      <c r="C45" s="198"/>
      <c r="D45" s="217"/>
      <c r="E45" s="218"/>
      <c r="F45" s="160"/>
      <c r="G45" s="198"/>
      <c r="H45" s="217"/>
      <c r="I45" s="218"/>
      <c r="J45" s="160"/>
      <c r="K45" s="198"/>
      <c r="L45" s="217"/>
      <c r="M45" s="218"/>
      <c r="N45" s="160"/>
      <c r="O45" s="198"/>
      <c r="P45" s="217"/>
      <c r="Q45" s="218"/>
      <c r="R45" s="160"/>
      <c r="S45" s="198"/>
      <c r="T45" s="335"/>
      <c r="U45" s="157"/>
      <c r="V45" s="157"/>
      <c r="W45" s="157"/>
      <c r="X45" s="157"/>
      <c r="Y45" s="157"/>
      <c r="Z45" s="157"/>
      <c r="AA45" s="157"/>
      <c r="AB45" s="163"/>
      <c r="AC45" s="203"/>
      <c r="AD45" s="203"/>
      <c r="AE45" s="223"/>
      <c r="AF45" s="224"/>
      <c r="AG45" s="157"/>
    </row>
    <row r="46" spans="1:33" s="236" customFormat="1" ht="15" customHeight="1">
      <c r="A46" s="226" t="s">
        <v>513</v>
      </c>
      <c r="B46" s="227"/>
      <c r="C46" s="231">
        <f>C44+C39+C8</f>
        <v>933268.52</v>
      </c>
      <c r="D46" s="228"/>
      <c r="E46" s="229"/>
      <c r="F46" s="232"/>
      <c r="G46" s="231">
        <f>G44+G39+G8</f>
        <v>234397.91999999998</v>
      </c>
      <c r="H46" s="228"/>
      <c r="I46" s="229"/>
      <c r="J46" s="230"/>
      <c r="K46" s="231">
        <f>K44+K39+K8</f>
        <v>243114.81599999999</v>
      </c>
      <c r="L46" s="228"/>
      <c r="M46" s="229"/>
      <c r="N46" s="232"/>
      <c r="O46" s="231">
        <f>O44+O39+O8</f>
        <v>255270.55679999999</v>
      </c>
      <c r="P46" s="228"/>
      <c r="Q46" s="229"/>
      <c r="R46" s="232"/>
      <c r="S46" s="231">
        <f>S44+S39+S8</f>
        <v>116879.36888250001</v>
      </c>
      <c r="T46" s="336">
        <f>+C46+G46+K46+O46+S46</f>
        <v>1782931.1816825001</v>
      </c>
      <c r="U46" s="234"/>
      <c r="V46" s="434"/>
      <c r="W46" s="234"/>
      <c r="X46" s="234"/>
      <c r="Y46" s="234"/>
      <c r="Z46" s="235"/>
      <c r="AA46" s="235"/>
      <c r="AB46" s="234"/>
      <c r="AD46" s="236" t="s">
        <v>549</v>
      </c>
      <c r="AG46" s="235"/>
    </row>
    <row r="47" spans="1:33" s="189" customFormat="1" ht="15" customHeight="1" outlineLevel="1">
      <c r="A47" s="190" t="s">
        <v>514</v>
      </c>
      <c r="B47" s="191"/>
      <c r="C47" s="184"/>
      <c r="D47" s="181"/>
      <c r="E47" s="182"/>
      <c r="F47" s="185"/>
      <c r="G47" s="186"/>
      <c r="H47" s="181"/>
      <c r="I47" s="182"/>
      <c r="J47" s="183"/>
      <c r="K47" s="186"/>
      <c r="L47" s="181"/>
      <c r="M47" s="182"/>
      <c r="N47" s="185"/>
      <c r="O47" s="186"/>
      <c r="P47" s="181"/>
      <c r="Q47" s="182"/>
      <c r="R47" s="185"/>
      <c r="S47" s="186"/>
      <c r="T47" s="332"/>
      <c r="U47" s="157"/>
      <c r="V47" s="157"/>
      <c r="W47" s="157"/>
      <c r="X47" s="157"/>
      <c r="Y47" s="157"/>
      <c r="Z47" s="157"/>
      <c r="AA47" s="157"/>
      <c r="AB47" s="163"/>
      <c r="AG47" s="157"/>
    </row>
    <row r="48" spans="1:33" s="189" customFormat="1" ht="15" customHeight="1" outlineLevel="1">
      <c r="A48" s="237" t="s">
        <v>507</v>
      </c>
      <c r="B48" s="216" t="str">
        <f>'Program Budget'!F51</f>
        <v>%</v>
      </c>
      <c r="C48" s="198">
        <f>'Program Budget'!E55</f>
        <v>64022.09</v>
      </c>
      <c r="D48" s="195">
        <f>G8</f>
        <v>17100</v>
      </c>
      <c r="E48" s="218">
        <v>1</v>
      </c>
      <c r="F48" s="160">
        <f>'Program Budget'!G55</f>
        <v>0.56469999999999998</v>
      </c>
      <c r="G48" s="198">
        <f>D48*E48*F48</f>
        <v>9656.369999999999</v>
      </c>
      <c r="H48" s="195">
        <f>K8</f>
        <v>8977.5</v>
      </c>
      <c r="I48" s="218">
        <v>1</v>
      </c>
      <c r="J48" s="160">
        <f>F48</f>
        <v>0.56469999999999998</v>
      </c>
      <c r="K48" s="198">
        <f t="shared" ref="K48:K51" si="16">H48*I48*J48</f>
        <v>5069.5942500000001</v>
      </c>
      <c r="L48" s="195">
        <f>O8</f>
        <v>9426.375</v>
      </c>
      <c r="M48" s="218">
        <v>1</v>
      </c>
      <c r="N48" s="160">
        <f>J48</f>
        <v>0.56469999999999998</v>
      </c>
      <c r="O48" s="198">
        <f t="shared" ref="O48:O51" si="17">L48*M48*N48</f>
        <v>5323.0739624999997</v>
      </c>
      <c r="P48" s="195">
        <f>S8</f>
        <v>0</v>
      </c>
      <c r="Q48" s="218">
        <v>1</v>
      </c>
      <c r="R48" s="160">
        <f>N48</f>
        <v>0.56469999999999998</v>
      </c>
      <c r="S48" s="198">
        <f t="shared" ref="S48:S51" si="18">P48*Q48*R48</f>
        <v>0</v>
      </c>
      <c r="T48" s="333">
        <f t="shared" ref="T48:T51" si="19">C48+G48+K48+O48+S48</f>
        <v>84071.128212499985</v>
      </c>
      <c r="U48" s="157"/>
      <c r="V48" s="157"/>
      <c r="W48" s="157"/>
      <c r="X48" s="157"/>
      <c r="Y48" s="157"/>
      <c r="Z48" s="157"/>
      <c r="AA48" s="157"/>
      <c r="AB48" s="163">
        <v>194</v>
      </c>
      <c r="AC48" s="203" t="s">
        <v>550</v>
      </c>
      <c r="AD48" s="203" t="s">
        <v>551</v>
      </c>
      <c r="AG48" s="157"/>
    </row>
    <row r="49" spans="1:33" s="189" customFormat="1" ht="15" customHeight="1" outlineLevel="1">
      <c r="A49" s="237" t="s">
        <v>515</v>
      </c>
      <c r="B49" s="216" t="str">
        <f>'Program Budget'!F52</f>
        <v>%</v>
      </c>
      <c r="C49" s="198">
        <f>'Program Budget'!E51</f>
        <v>38320.449999999997</v>
      </c>
      <c r="D49" s="351">
        <f>G10+G11+G20+G24+G27+G30+G32</f>
        <v>36752.92</v>
      </c>
      <c r="E49" s="218">
        <v>1</v>
      </c>
      <c r="F49" s="160">
        <f>'Program Budget'!G51</f>
        <v>0.53864000000000001</v>
      </c>
      <c r="G49" s="198">
        <f t="shared" ref="G49:G51" si="20">D49*E49*F49</f>
        <v>19796.5928288</v>
      </c>
      <c r="H49" s="195">
        <f>K10+K11+K20+K24+K27+K30+K32</f>
        <v>41215.565999999999</v>
      </c>
      <c r="I49" s="218">
        <v>1</v>
      </c>
      <c r="J49" s="160">
        <f t="shared" ref="J49:J51" si="21">F49</f>
        <v>0.53864000000000001</v>
      </c>
      <c r="K49" s="198">
        <f t="shared" si="16"/>
        <v>22200.352470239999</v>
      </c>
      <c r="L49" s="195">
        <f>O10+O11+O20+O24+O27+O30+O32</f>
        <v>43276.344299999997</v>
      </c>
      <c r="M49" s="218">
        <v>1</v>
      </c>
      <c r="N49" s="160">
        <f t="shared" ref="N49:N51" si="22">J49</f>
        <v>0.53864000000000001</v>
      </c>
      <c r="O49" s="198">
        <f t="shared" si="17"/>
        <v>23310.370093751997</v>
      </c>
      <c r="P49" s="195">
        <f>S10+S11+S20+S24+S27+S30+S32</f>
        <v>19271.322945</v>
      </c>
      <c r="Q49" s="218">
        <v>1</v>
      </c>
      <c r="R49" s="160">
        <f t="shared" ref="R49:R51" si="23">N49</f>
        <v>0.53864000000000001</v>
      </c>
      <c r="S49" s="198">
        <f t="shared" si="18"/>
        <v>10380.3053910948</v>
      </c>
      <c r="T49" s="333">
        <f t="shared" si="19"/>
        <v>114008.0707838868</v>
      </c>
      <c r="U49" s="157"/>
      <c r="V49" s="157"/>
      <c r="W49" s="157"/>
      <c r="X49" s="157"/>
      <c r="Y49" s="157"/>
      <c r="Z49" s="157"/>
      <c r="AA49" s="157"/>
      <c r="AB49" s="238">
        <v>197</v>
      </c>
      <c r="AC49" s="239" t="s">
        <v>552</v>
      </c>
      <c r="AD49" s="239" t="s">
        <v>553</v>
      </c>
      <c r="AG49" s="157"/>
    </row>
    <row r="50" spans="1:33" s="189" customFormat="1" ht="15" customHeight="1" outlineLevel="1">
      <c r="A50" s="237" t="s">
        <v>516</v>
      </c>
      <c r="B50" s="216" t="str">
        <f>'Program Budget'!F53</f>
        <v>%</v>
      </c>
      <c r="C50" s="198">
        <f>'Program Budget'!E52</f>
        <v>221449.96</v>
      </c>
      <c r="D50" s="195">
        <f>G39-D49</f>
        <v>35345</v>
      </c>
      <c r="E50" s="218">
        <v>1</v>
      </c>
      <c r="F50" s="160">
        <f>'Program Budget'!G52</f>
        <v>0.44863999999999998</v>
      </c>
      <c r="G50" s="198">
        <f t="shared" ref="G50" si="24">D50*E50*F50</f>
        <v>15857.1808</v>
      </c>
      <c r="H50" s="195">
        <f>K39-H49</f>
        <v>40461.749999999993</v>
      </c>
      <c r="I50" s="218">
        <v>1</v>
      </c>
      <c r="J50" s="160">
        <f t="shared" ref="J50" si="25">F50</f>
        <v>0.44863999999999998</v>
      </c>
      <c r="K50" s="198">
        <f t="shared" ref="K50" si="26">H50*I50*J50</f>
        <v>18152.759519999996</v>
      </c>
      <c r="L50" s="195">
        <f>O39-L49</f>
        <v>42484.837499999994</v>
      </c>
      <c r="M50" s="218">
        <v>1</v>
      </c>
      <c r="N50" s="160">
        <f t="shared" ref="N50" si="27">J50</f>
        <v>0.44863999999999998</v>
      </c>
      <c r="O50" s="198">
        <f t="shared" ref="O50" si="28">L50*M50*N50</f>
        <v>19060.397495999998</v>
      </c>
      <c r="P50" s="195">
        <f>S39-P49</f>
        <v>13564.470937499995</v>
      </c>
      <c r="Q50" s="218">
        <v>1</v>
      </c>
      <c r="R50" s="160">
        <f t="shared" ref="R50" si="29">N50</f>
        <v>0.44863999999999998</v>
      </c>
      <c r="S50" s="198">
        <f t="shared" ref="S50" si="30">P50*Q50*R50</f>
        <v>6085.5642413999976</v>
      </c>
      <c r="T50" s="333">
        <f t="shared" ref="T50" si="31">C50+G50+K50+O50+S50</f>
        <v>280605.86205739999</v>
      </c>
      <c r="U50" s="157"/>
      <c r="V50" s="157"/>
      <c r="W50" s="157"/>
      <c r="X50" s="157"/>
      <c r="Y50" s="157"/>
      <c r="Z50" s="157"/>
      <c r="AA50" s="157"/>
      <c r="AB50" s="238"/>
      <c r="AC50" s="239"/>
      <c r="AD50" s="239"/>
      <c r="AG50" s="157"/>
    </row>
    <row r="51" spans="1:33" s="189" customFormat="1" ht="15" customHeight="1" outlineLevel="1">
      <c r="A51" s="240" t="s">
        <v>517</v>
      </c>
      <c r="B51" s="216" t="str">
        <f>'Program Budget'!F53</f>
        <v>%</v>
      </c>
      <c r="C51" s="245">
        <f>'Program Budget'!E53</f>
        <v>99333.38</v>
      </c>
      <c r="D51" s="195">
        <f>G44</f>
        <v>145200</v>
      </c>
      <c r="E51" s="243">
        <v>1</v>
      </c>
      <c r="F51" s="160">
        <f>'Program Budget'!G53</f>
        <v>0.23469999999999999</v>
      </c>
      <c r="G51" s="245">
        <f t="shared" si="20"/>
        <v>34078.44</v>
      </c>
      <c r="H51" s="195">
        <f>K44</f>
        <v>152460</v>
      </c>
      <c r="I51" s="243">
        <v>1</v>
      </c>
      <c r="J51" s="160">
        <f t="shared" si="21"/>
        <v>0.23469999999999999</v>
      </c>
      <c r="K51" s="245">
        <f t="shared" si="16"/>
        <v>35782.362000000001</v>
      </c>
      <c r="L51" s="195">
        <f>O44</f>
        <v>160083</v>
      </c>
      <c r="M51" s="243">
        <v>1</v>
      </c>
      <c r="N51" s="160">
        <f t="shared" si="22"/>
        <v>0.23469999999999999</v>
      </c>
      <c r="O51" s="245">
        <f t="shared" si="17"/>
        <v>37571.480100000001</v>
      </c>
      <c r="P51" s="195">
        <f>S44</f>
        <v>84043.575000000012</v>
      </c>
      <c r="Q51" s="243">
        <v>1</v>
      </c>
      <c r="R51" s="160">
        <f t="shared" si="23"/>
        <v>0.23469999999999999</v>
      </c>
      <c r="S51" s="245">
        <f t="shared" si="18"/>
        <v>19725.027052500001</v>
      </c>
      <c r="T51" s="337">
        <f t="shared" si="19"/>
        <v>226490.68915250001</v>
      </c>
      <c r="U51" s="157"/>
      <c r="V51" s="157"/>
      <c r="W51" s="157"/>
      <c r="X51" s="157"/>
      <c r="Y51" s="157"/>
      <c r="Z51" s="157"/>
      <c r="AA51" s="157"/>
      <c r="AB51" s="163">
        <v>193</v>
      </c>
      <c r="AC51" s="203" t="s">
        <v>554</v>
      </c>
      <c r="AD51" s="203" t="s">
        <v>555</v>
      </c>
      <c r="AG51" s="157"/>
    </row>
    <row r="52" spans="1:33" ht="15" customHeight="1" outlineLevel="1">
      <c r="A52" s="208" t="s">
        <v>518</v>
      </c>
      <c r="B52" s="209"/>
      <c r="C52" s="213">
        <f>+SUM(C48:C51)</f>
        <v>423125.88</v>
      </c>
      <c r="D52" s="210"/>
      <c r="E52" s="211"/>
      <c r="F52" s="214"/>
      <c r="G52" s="213">
        <f>+SUM(G48:G51)</f>
        <v>79388.583628799999</v>
      </c>
      <c r="H52" s="210"/>
      <c r="I52" s="211"/>
      <c r="J52" s="212"/>
      <c r="K52" s="213">
        <f>+SUM(K48:K51)</f>
        <v>81205.068240239983</v>
      </c>
      <c r="L52" s="210"/>
      <c r="M52" s="211"/>
      <c r="N52" s="214"/>
      <c r="O52" s="213">
        <f>+SUM(O48:O51)</f>
        <v>85265.321652251994</v>
      </c>
      <c r="P52" s="210"/>
      <c r="Q52" s="211"/>
      <c r="R52" s="214"/>
      <c r="S52" s="213">
        <f>+SUM(S48:S51)</f>
        <v>36190.896684994797</v>
      </c>
      <c r="T52" s="334">
        <f>+C52+G52+K52+O52+S52</f>
        <v>705175.75020628679</v>
      </c>
      <c r="AB52" s="163"/>
      <c r="AC52" s="203"/>
      <c r="AD52" s="203"/>
    </row>
    <row r="53" spans="1:33" s="189" customFormat="1" ht="15" customHeight="1" outlineLevel="1">
      <c r="A53" s="190" t="s">
        <v>519</v>
      </c>
      <c r="B53" s="247"/>
      <c r="C53" s="248"/>
      <c r="D53" s="217"/>
      <c r="E53" s="218"/>
      <c r="F53" s="161"/>
      <c r="G53" s="221"/>
      <c r="H53" s="217"/>
      <c r="I53" s="218"/>
      <c r="J53" s="160"/>
      <c r="K53" s="221"/>
      <c r="L53" s="217"/>
      <c r="M53" s="218"/>
      <c r="N53" s="161"/>
      <c r="O53" s="221"/>
      <c r="P53" s="217"/>
      <c r="Q53" s="218"/>
      <c r="R53" s="161"/>
      <c r="S53" s="221"/>
      <c r="T53" s="333"/>
      <c r="U53" s="157"/>
      <c r="V53" s="157"/>
      <c r="W53" s="157"/>
      <c r="X53" s="157"/>
      <c r="Y53" s="157"/>
      <c r="Z53" s="157"/>
      <c r="AA53" s="157"/>
      <c r="AB53" s="163"/>
      <c r="AC53" s="203"/>
      <c r="AD53" s="203" t="s">
        <v>549</v>
      </c>
      <c r="AG53" s="157"/>
    </row>
    <row r="54" spans="1:33" s="189" customFormat="1" ht="15" customHeight="1" outlineLevel="1">
      <c r="A54" s="237" t="s">
        <v>507</v>
      </c>
      <c r="B54" s="216"/>
      <c r="C54" s="198"/>
      <c r="D54" s="158"/>
      <c r="E54" s="159"/>
      <c r="F54" s="161"/>
      <c r="G54" s="198"/>
      <c r="H54" s="158"/>
      <c r="I54" s="159"/>
      <c r="J54" s="160"/>
      <c r="K54" s="198"/>
      <c r="L54" s="158"/>
      <c r="M54" s="159"/>
      <c r="N54" s="161"/>
      <c r="O54" s="198"/>
      <c r="P54" s="158"/>
      <c r="Q54" s="159"/>
      <c r="R54" s="161"/>
      <c r="S54" s="198"/>
      <c r="T54" s="333"/>
      <c r="U54" s="157"/>
      <c r="V54" s="157"/>
      <c r="W54" s="157"/>
      <c r="X54" s="157"/>
      <c r="Y54" s="157"/>
      <c r="Z54" s="157"/>
      <c r="AA54" s="157"/>
      <c r="AB54" s="163">
        <v>202</v>
      </c>
      <c r="AC54" s="203" t="s">
        <v>556</v>
      </c>
      <c r="AD54" s="203" t="s">
        <v>557</v>
      </c>
      <c r="AG54" s="157"/>
    </row>
    <row r="55" spans="1:33" s="189" customFormat="1" ht="15" customHeight="1" outlineLevel="1">
      <c r="A55" s="193" t="str">
        <f>'Program Budget'!D54</f>
        <v>Post (Hardship) Differential for Chief of Party</v>
      </c>
      <c r="B55" s="216" t="str">
        <f>'Program Budget'!F54</f>
        <v>%</v>
      </c>
      <c r="C55" s="198">
        <f>'Program Budget'!E54</f>
        <v>59486.729999999996</v>
      </c>
      <c r="D55" s="195">
        <f>G8</f>
        <v>17100</v>
      </c>
      <c r="E55" s="159">
        <v>1</v>
      </c>
      <c r="F55" s="161">
        <f>'Program Budget'!G54</f>
        <v>0.15</v>
      </c>
      <c r="G55" s="198">
        <f>D55*E55*F55</f>
        <v>2565</v>
      </c>
      <c r="H55" s="195">
        <f>K8</f>
        <v>8977.5</v>
      </c>
      <c r="I55" s="159">
        <v>1</v>
      </c>
      <c r="J55" s="160">
        <f>F55</f>
        <v>0.15</v>
      </c>
      <c r="K55" s="198">
        <f>H55*I55*J55</f>
        <v>1346.625</v>
      </c>
      <c r="L55" s="195">
        <f>O8</f>
        <v>9426.375</v>
      </c>
      <c r="M55" s="159">
        <v>1</v>
      </c>
      <c r="N55" s="161">
        <f>J55</f>
        <v>0.15</v>
      </c>
      <c r="O55" s="198">
        <f>L55*M55*N55</f>
        <v>1413.95625</v>
      </c>
      <c r="P55" s="195">
        <f>S8</f>
        <v>0</v>
      </c>
      <c r="Q55" s="159">
        <v>1</v>
      </c>
      <c r="R55" s="161">
        <f>N55</f>
        <v>0.15</v>
      </c>
      <c r="S55" s="198">
        <f>P55*Q55*R55</f>
        <v>0</v>
      </c>
      <c r="T55" s="333">
        <f t="shared" ref="T55" si="32">C55+G55+K55+O55+S55</f>
        <v>64812.311249999999</v>
      </c>
      <c r="U55" s="157"/>
      <c r="V55" s="157"/>
      <c r="W55" s="157"/>
      <c r="X55" s="157"/>
      <c r="Y55" s="157"/>
      <c r="Z55" s="157"/>
      <c r="AA55" s="157"/>
      <c r="AB55" s="163"/>
      <c r="AC55" s="207"/>
      <c r="AD55" s="207"/>
      <c r="AG55" s="157"/>
    </row>
    <row r="56" spans="1:33" s="189" customFormat="1" ht="15" customHeight="1" outlineLevel="1">
      <c r="A56" s="193" t="str">
        <f>'Program Budget'!D56</f>
        <v>Housing Allowance for Chief of Party</v>
      </c>
      <c r="B56" s="216" t="str">
        <f>'Program Budget'!F56</f>
        <v>Month</v>
      </c>
      <c r="C56" s="198">
        <f>'Program Budget'!E56</f>
        <v>68428.33</v>
      </c>
      <c r="D56" s="195">
        <f>'Program Budget'!G56</f>
        <v>3000</v>
      </c>
      <c r="E56" s="159">
        <f>'Program Budget'!I56</f>
        <v>12</v>
      </c>
      <c r="F56" s="161">
        <v>1</v>
      </c>
      <c r="G56" s="198">
        <f t="shared" ref="G56:G57" si="33">D56*E56*F56</f>
        <v>36000</v>
      </c>
      <c r="H56" s="195">
        <f>D56*1.04</f>
        <v>3120</v>
      </c>
      <c r="I56" s="159">
        <f>'Program Budget'!L56</f>
        <v>12</v>
      </c>
      <c r="J56" s="160">
        <f t="shared" ref="J56:J58" si="34">F56</f>
        <v>1</v>
      </c>
      <c r="K56" s="198">
        <f t="shared" ref="K56:K57" si="35">H56*I56*J56</f>
        <v>37440</v>
      </c>
      <c r="L56" s="195">
        <f>H56*1.04</f>
        <v>3244.8</v>
      </c>
      <c r="M56" s="159">
        <f>'Program Budget'!O56</f>
        <v>12</v>
      </c>
      <c r="N56" s="161">
        <f t="shared" ref="N56:N58" si="36">J56</f>
        <v>1</v>
      </c>
      <c r="O56" s="198">
        <f t="shared" ref="O56:O57" si="37">L56*M56*N56</f>
        <v>38937.600000000006</v>
      </c>
      <c r="P56" s="195">
        <f>L56*1.04</f>
        <v>3374.5920000000001</v>
      </c>
      <c r="Q56" s="159">
        <f>'Program Budget'!R56</f>
        <v>0</v>
      </c>
      <c r="R56" s="161">
        <f t="shared" ref="R56" si="38">N56</f>
        <v>1</v>
      </c>
      <c r="S56" s="198">
        <f>P56*Q56*R56</f>
        <v>0</v>
      </c>
      <c r="T56" s="333">
        <f t="shared" ref="T56:T57" si="39">C56+G56+K56+O56+S56</f>
        <v>180805.93000000002</v>
      </c>
      <c r="U56" s="157"/>
      <c r="V56" s="157"/>
      <c r="W56" s="157"/>
      <c r="X56" s="157"/>
      <c r="Y56" s="157"/>
      <c r="Z56" s="157"/>
      <c r="AA56" s="157"/>
      <c r="AB56" s="163"/>
      <c r="AC56" s="207"/>
      <c r="AD56" s="207"/>
      <c r="AG56" s="157"/>
    </row>
    <row r="57" spans="1:33" s="189" customFormat="1" ht="15" customHeight="1" outlineLevel="1">
      <c r="A57" s="193" t="str">
        <f>'Program Budget'!D57</f>
        <v>Reallocation &amp; Demobilization Allowance for Chief of Party</v>
      </c>
      <c r="B57" s="216" t="str">
        <f>'Program Budget'!F57</f>
        <v>Year</v>
      </c>
      <c r="C57" s="198">
        <f>'Program Budget'!E57</f>
        <v>1565.26</v>
      </c>
      <c r="D57" s="195">
        <f>'Program Budget'!G57</f>
        <v>2583.9299999999998</v>
      </c>
      <c r="E57" s="159">
        <f>'Program Budget'!I57</f>
        <v>0</v>
      </c>
      <c r="F57" s="161">
        <v>0</v>
      </c>
      <c r="G57" s="198">
        <f t="shared" si="33"/>
        <v>0</v>
      </c>
      <c r="H57" s="195">
        <f t="shared" ref="H57" si="40">D57*1.04</f>
        <v>2687.2871999999998</v>
      </c>
      <c r="I57" s="159">
        <f>'Program Budget'!L57</f>
        <v>0</v>
      </c>
      <c r="J57" s="160">
        <v>0</v>
      </c>
      <c r="K57" s="198">
        <f t="shared" si="35"/>
        <v>0</v>
      </c>
      <c r="L57" s="195">
        <f t="shared" ref="L57" si="41">H57*1.04</f>
        <v>2794.7786879999999</v>
      </c>
      <c r="M57" s="159">
        <f>'Program Budget'!O57</f>
        <v>1</v>
      </c>
      <c r="N57" s="161">
        <v>1</v>
      </c>
      <c r="O57" s="198">
        <f t="shared" si="37"/>
        <v>2794.7786879999999</v>
      </c>
      <c r="P57" s="195">
        <f>L57*1.04</f>
        <v>2906.5698355199997</v>
      </c>
      <c r="Q57" s="159">
        <f>'Program Budget'!R57</f>
        <v>0</v>
      </c>
      <c r="R57" s="161">
        <v>0</v>
      </c>
      <c r="S57" s="198">
        <f t="shared" ref="S57" si="42">P57*Q57*R57</f>
        <v>0</v>
      </c>
      <c r="T57" s="333">
        <f t="shared" si="39"/>
        <v>4360.0386879999996</v>
      </c>
      <c r="U57" s="157"/>
      <c r="V57" s="157"/>
      <c r="W57" s="157"/>
      <c r="X57" s="157"/>
      <c r="Y57" s="157"/>
      <c r="Z57" s="157"/>
      <c r="AA57" s="157"/>
      <c r="AB57" s="163"/>
      <c r="AC57" s="207"/>
      <c r="AD57" s="207"/>
      <c r="AG57" s="157"/>
    </row>
    <row r="58" spans="1:33" s="189" customFormat="1" ht="15" customHeight="1" outlineLevel="1">
      <c r="A58" s="193" t="str">
        <f>'Program Budget'!D58</f>
        <v>Annual Home of Record for Chief of Party</v>
      </c>
      <c r="B58" s="216" t="str">
        <f>'Program Budget'!F58</f>
        <v>Year</v>
      </c>
      <c r="C58" s="198">
        <f>'Program Budget'!E58</f>
        <v>1357.75</v>
      </c>
      <c r="D58" s="195">
        <f>'Program Budget'!G58</f>
        <v>1100</v>
      </c>
      <c r="E58" s="159">
        <f>'Program Budget'!I58</f>
        <v>1</v>
      </c>
      <c r="F58" s="161">
        <v>1</v>
      </c>
      <c r="G58" s="198">
        <f t="shared" ref="G58" si="43">D58*E58*F58</f>
        <v>1100</v>
      </c>
      <c r="H58" s="195">
        <f t="shared" ref="H58" si="44">D58*1.04</f>
        <v>1144</v>
      </c>
      <c r="I58" s="159">
        <f>'Program Budget'!L58</f>
        <v>1</v>
      </c>
      <c r="J58" s="160">
        <f t="shared" si="34"/>
        <v>1</v>
      </c>
      <c r="K58" s="198">
        <f t="shared" ref="K58" si="45">H58*I58*J58</f>
        <v>1144</v>
      </c>
      <c r="L58" s="195">
        <f t="shared" ref="L58" si="46">H58*1.04</f>
        <v>1189.76</v>
      </c>
      <c r="M58" s="159">
        <f>'Program Budget'!O58</f>
        <v>1</v>
      </c>
      <c r="N58" s="161">
        <f t="shared" si="36"/>
        <v>1</v>
      </c>
      <c r="O58" s="198">
        <f t="shared" ref="O58" si="47">L58*M58*N58</f>
        <v>1189.76</v>
      </c>
      <c r="P58" s="195">
        <f t="shared" ref="P58" si="48">L58*1.04</f>
        <v>1237.3504</v>
      </c>
      <c r="Q58" s="159">
        <f>'Program Budget'!R58</f>
        <v>1</v>
      </c>
      <c r="R58" s="161">
        <v>1</v>
      </c>
      <c r="S58" s="198">
        <f t="shared" ref="S58" si="49">P58*Q58*R58</f>
        <v>1237.3504</v>
      </c>
      <c r="T58" s="335">
        <f t="shared" ref="T58" si="50">C58+G58+K58+O58+S58</f>
        <v>6028.8604000000005</v>
      </c>
      <c r="U58" s="157"/>
      <c r="V58" s="157"/>
      <c r="W58" s="157"/>
      <c r="X58" s="157"/>
      <c r="Y58" s="157"/>
      <c r="Z58" s="157"/>
      <c r="AA58" s="157"/>
      <c r="AB58" s="163"/>
      <c r="AC58" s="207"/>
      <c r="AD58" s="207"/>
      <c r="AG58" s="157"/>
    </row>
    <row r="59" spans="1:33" ht="15" customHeight="1" outlineLevel="1">
      <c r="A59" s="208" t="s">
        <v>520</v>
      </c>
      <c r="B59" s="209"/>
      <c r="C59" s="213">
        <f>SUM(C54:C58)</f>
        <v>130838.06999999999</v>
      </c>
      <c r="D59" s="210"/>
      <c r="E59" s="211"/>
      <c r="F59" s="214"/>
      <c r="G59" s="213">
        <f>SUM(G54:G58)</f>
        <v>39665</v>
      </c>
      <c r="H59" s="210"/>
      <c r="I59" s="211"/>
      <c r="J59" s="212"/>
      <c r="K59" s="213">
        <f>SUM(K54:K58)</f>
        <v>39930.625</v>
      </c>
      <c r="L59" s="210"/>
      <c r="M59" s="211"/>
      <c r="N59" s="214"/>
      <c r="O59" s="213">
        <f>SUM(O54:O58)</f>
        <v>44336.094938000009</v>
      </c>
      <c r="P59" s="210"/>
      <c r="Q59" s="211"/>
      <c r="R59" s="214"/>
      <c r="S59" s="213">
        <f>SUM(S54:S58)</f>
        <v>1237.3504</v>
      </c>
      <c r="T59" s="334">
        <f>C59+G59+K59+O59+S59</f>
        <v>256007.14033800003</v>
      </c>
      <c r="AB59" s="163"/>
      <c r="AC59" s="203"/>
      <c r="AD59" s="203"/>
    </row>
    <row r="60" spans="1:33" ht="15" customHeight="1" outlineLevel="1">
      <c r="A60" s="345"/>
      <c r="B60" s="241"/>
      <c r="C60" s="348"/>
      <c r="D60" s="346"/>
      <c r="E60" s="347"/>
      <c r="F60" s="315"/>
      <c r="G60" s="348"/>
      <c r="H60" s="346"/>
      <c r="I60" s="347"/>
      <c r="J60" s="244"/>
      <c r="K60" s="348"/>
      <c r="L60" s="346"/>
      <c r="M60" s="347"/>
      <c r="N60" s="315"/>
      <c r="O60" s="348"/>
      <c r="P60" s="346"/>
      <c r="Q60" s="347"/>
      <c r="R60" s="315"/>
      <c r="S60" s="348"/>
      <c r="T60" s="334"/>
      <c r="AB60" s="163"/>
      <c r="AC60" s="203"/>
      <c r="AD60" s="203"/>
    </row>
    <row r="61" spans="1:33" s="258" customFormat="1" ht="18.3" outlineLevel="1">
      <c r="A61" s="249" t="s">
        <v>521</v>
      </c>
      <c r="B61" s="250"/>
      <c r="C61" s="254">
        <f>C59+C52</f>
        <v>553963.94999999995</v>
      </c>
      <c r="D61" s="251"/>
      <c r="E61" s="252"/>
      <c r="F61" s="255"/>
      <c r="G61" s="254">
        <f>G59+G52</f>
        <v>119053.5836288</v>
      </c>
      <c r="H61" s="251"/>
      <c r="I61" s="252"/>
      <c r="J61" s="253"/>
      <c r="K61" s="254">
        <f>K59+K52</f>
        <v>121135.69324023998</v>
      </c>
      <c r="L61" s="251"/>
      <c r="M61" s="252"/>
      <c r="N61" s="255"/>
      <c r="O61" s="254">
        <f>O59+O52</f>
        <v>129601.416590252</v>
      </c>
      <c r="P61" s="251"/>
      <c r="Q61" s="252"/>
      <c r="R61" s="255"/>
      <c r="S61" s="254">
        <f>S59+S52</f>
        <v>37428.2470849948</v>
      </c>
      <c r="T61" s="336">
        <f>+C61+G61+K61+O61+S61</f>
        <v>961182.8905442867</v>
      </c>
      <c r="U61" s="235"/>
      <c r="V61" s="235"/>
      <c r="W61" s="235"/>
      <c r="X61" s="235"/>
      <c r="Y61" s="235"/>
      <c r="Z61" s="235"/>
      <c r="AA61" s="235"/>
      <c r="AB61" s="234">
        <v>287</v>
      </c>
      <c r="AC61" s="256" t="s">
        <v>558</v>
      </c>
      <c r="AD61" s="256" t="s">
        <v>559</v>
      </c>
      <c r="AE61" s="257"/>
      <c r="AG61" s="235"/>
    </row>
    <row r="62" spans="1:33" s="260" customFormat="1" ht="15.6" outlineLevel="1">
      <c r="A62" s="190" t="s">
        <v>522</v>
      </c>
      <c r="B62" s="191"/>
      <c r="C62" s="198"/>
      <c r="D62" s="158"/>
      <c r="E62" s="159"/>
      <c r="F62" s="185"/>
      <c r="G62" s="198"/>
      <c r="H62" s="158"/>
      <c r="I62" s="159"/>
      <c r="J62" s="183"/>
      <c r="K62" s="198"/>
      <c r="L62" s="158"/>
      <c r="M62" s="159"/>
      <c r="N62" s="185"/>
      <c r="O62" s="198"/>
      <c r="P62" s="158"/>
      <c r="Q62" s="159"/>
      <c r="R62" s="185"/>
      <c r="S62" s="198"/>
      <c r="T62" s="333"/>
      <c r="U62" s="157"/>
      <c r="V62" s="157"/>
      <c r="W62" s="157"/>
      <c r="X62" s="157"/>
      <c r="Y62" s="157"/>
      <c r="Z62" s="157"/>
      <c r="AA62" s="157"/>
      <c r="AB62" s="163"/>
      <c r="AC62" s="203"/>
      <c r="AD62" s="203" t="s">
        <v>549</v>
      </c>
      <c r="AE62" s="259"/>
      <c r="AG62" s="157"/>
    </row>
    <row r="63" spans="1:33" ht="15" customHeight="1" outlineLevel="1">
      <c r="A63" s="193" t="str">
        <f>'Program Budget'!D64</f>
        <v>Airfare - DC-Colombia - HQ Project Management Trip</v>
      </c>
      <c r="B63" s="194" t="str">
        <f>'Program Budget'!F64</f>
        <v>Trip</v>
      </c>
      <c r="C63" s="195">
        <f>'Program Budget'!E64</f>
        <v>12141.749999999998</v>
      </c>
      <c r="D63" s="195">
        <f>'Program Budget'!G64</f>
        <v>800</v>
      </c>
      <c r="E63" s="196">
        <f>'Program Budget'!I64</f>
        <v>4</v>
      </c>
      <c r="F63" s="197">
        <v>1</v>
      </c>
      <c r="G63" s="198">
        <f>D63*E63*F63</f>
        <v>3200</v>
      </c>
      <c r="H63" s="195">
        <f>D63*1.04</f>
        <v>832</v>
      </c>
      <c r="I63" s="196">
        <f>'Program Budget'!L64</f>
        <v>4</v>
      </c>
      <c r="J63" s="197">
        <v>1</v>
      </c>
      <c r="K63" s="198">
        <f>H63*I63*J63</f>
        <v>3328</v>
      </c>
      <c r="L63" s="195">
        <f>H63*1.04</f>
        <v>865.28</v>
      </c>
      <c r="M63" s="196">
        <f>'Program Budget'!O64</f>
        <v>4</v>
      </c>
      <c r="N63" s="197">
        <v>1</v>
      </c>
      <c r="O63" s="198">
        <f>L63*M63*N63</f>
        <v>3461.12</v>
      </c>
      <c r="P63" s="195">
        <f>L63*1.04</f>
        <v>899.89120000000003</v>
      </c>
      <c r="Q63" s="196">
        <f>'Program Budget'!R64</f>
        <v>4</v>
      </c>
      <c r="R63" s="197">
        <v>1</v>
      </c>
      <c r="S63" s="198">
        <f>P63*Q63*R63</f>
        <v>3599.5648000000001</v>
      </c>
      <c r="T63" s="333">
        <f>C63+G63+K63+O63+S63</f>
        <v>25730.434799999999</v>
      </c>
      <c r="U63" s="201"/>
      <c r="V63" s="188"/>
      <c r="W63" s="202"/>
      <c r="X63" s="202"/>
      <c r="AB63" s="163">
        <v>180</v>
      </c>
      <c r="AC63" s="203" t="s">
        <v>547</v>
      </c>
      <c r="AD63" s="203" t="s">
        <v>548</v>
      </c>
      <c r="AE63" s="204"/>
      <c r="AG63" s="205"/>
    </row>
    <row r="64" spans="1:33" ht="15" customHeight="1" outlineLevel="1">
      <c r="A64" s="193" t="str">
        <f>'Program Budget'!D69</f>
        <v>Airfare - Roundtrip - Colombia to USA</v>
      </c>
      <c r="B64" s="194" t="str">
        <f>'Program Budget'!F69</f>
        <v>Trip</v>
      </c>
      <c r="C64" s="195">
        <f>'Program Budget'!E69</f>
        <v>8640.5600000000013</v>
      </c>
      <c r="D64" s="195">
        <f>'Program Budget'!G69</f>
        <v>800</v>
      </c>
      <c r="E64" s="196">
        <f>'Program Budget'!I69</f>
        <v>4</v>
      </c>
      <c r="F64" s="197">
        <v>1</v>
      </c>
      <c r="G64" s="198">
        <f>D64*E64*F64</f>
        <v>3200</v>
      </c>
      <c r="H64" s="195">
        <f>D64*1.03</f>
        <v>824</v>
      </c>
      <c r="I64" s="196">
        <f>'Program Budget'!L69</f>
        <v>4</v>
      </c>
      <c r="J64" s="197">
        <v>1</v>
      </c>
      <c r="K64" s="198">
        <f>H64*I64*J64</f>
        <v>3296</v>
      </c>
      <c r="L64" s="195">
        <f>H64*1.03</f>
        <v>848.72</v>
      </c>
      <c r="M64" s="196">
        <f>'Program Budget'!O69</f>
        <v>4</v>
      </c>
      <c r="N64" s="197">
        <v>1</v>
      </c>
      <c r="O64" s="198">
        <f>L64*M64*N64</f>
        <v>3394.88</v>
      </c>
      <c r="P64" s="195">
        <f>L64*1.03</f>
        <v>874.1816</v>
      </c>
      <c r="Q64" s="196">
        <f>'Program Budget'!R69</f>
        <v>4</v>
      </c>
      <c r="R64" s="197">
        <v>1</v>
      </c>
      <c r="S64" s="198">
        <f>P64*Q64*R64</f>
        <v>3496.7264</v>
      </c>
      <c r="T64" s="333">
        <f>C64+G64+K64+O64+S64</f>
        <v>22028.166400000002</v>
      </c>
      <c r="U64" s="201"/>
      <c r="V64" s="188"/>
      <c r="W64" s="202"/>
      <c r="X64" s="202"/>
      <c r="AB64" s="163">
        <v>180</v>
      </c>
      <c r="AC64" s="203" t="s">
        <v>547</v>
      </c>
      <c r="AD64" s="203" t="s">
        <v>548</v>
      </c>
      <c r="AE64" s="204"/>
      <c r="AG64" s="205"/>
    </row>
    <row r="65" spans="1:33" s="260" customFormat="1" ht="15.6" outlineLevel="1">
      <c r="A65" s="190" t="s">
        <v>523</v>
      </c>
      <c r="B65" s="191"/>
      <c r="C65" s="195"/>
      <c r="D65" s="195"/>
      <c r="E65" s="159"/>
      <c r="F65" s="185"/>
      <c r="G65" s="198"/>
      <c r="H65" s="195"/>
      <c r="I65" s="159"/>
      <c r="J65" s="183"/>
      <c r="K65" s="198"/>
      <c r="L65" s="195"/>
      <c r="M65" s="159"/>
      <c r="N65" s="185"/>
      <c r="O65" s="198"/>
      <c r="P65" s="195"/>
      <c r="Q65" s="159"/>
      <c r="R65" s="185"/>
      <c r="S65" s="198"/>
      <c r="T65" s="333"/>
      <c r="U65" s="157"/>
      <c r="V65" s="157"/>
      <c r="W65" s="157"/>
      <c r="X65" s="157"/>
      <c r="Y65" s="157"/>
      <c r="Z65" s="157"/>
      <c r="AA65" s="157"/>
      <c r="AB65" s="163"/>
      <c r="AC65" s="203"/>
      <c r="AD65" s="203"/>
      <c r="AE65" s="259"/>
      <c r="AG65" s="157"/>
    </row>
    <row r="66" spans="1:33" ht="15" customHeight="1" outlineLevel="1">
      <c r="A66" s="193" t="str">
        <f>'Program Budget'!D66</f>
        <v>Local Transportation – HQ Project Management Trip</v>
      </c>
      <c r="B66" s="194" t="str">
        <f>'Program Budget'!F66</f>
        <v>Trip</v>
      </c>
      <c r="C66" s="195">
        <f>'Program Budget'!E66</f>
        <v>1104.45</v>
      </c>
      <c r="D66" s="195">
        <f>'Program Budget'!G66</f>
        <v>100</v>
      </c>
      <c r="E66" s="196">
        <f>'Program Budget'!I66</f>
        <v>4</v>
      </c>
      <c r="F66" s="197">
        <v>1</v>
      </c>
      <c r="G66" s="198">
        <f>D66*E66*F66</f>
        <v>400</v>
      </c>
      <c r="H66" s="195">
        <f t="shared" ref="H66:H76" si="51">D66*1.04</f>
        <v>104</v>
      </c>
      <c r="I66" s="196">
        <f>'Program Budget'!L66</f>
        <v>4</v>
      </c>
      <c r="J66" s="197">
        <v>1</v>
      </c>
      <c r="K66" s="198">
        <f>H66*I66*J66</f>
        <v>416</v>
      </c>
      <c r="L66" s="195">
        <f t="shared" ref="L66:L76" si="52">H66*1.04</f>
        <v>108.16</v>
      </c>
      <c r="M66" s="196">
        <f>'Program Budget'!O66</f>
        <v>4</v>
      </c>
      <c r="N66" s="197">
        <v>1</v>
      </c>
      <c r="O66" s="198">
        <f>L66*M66*N66</f>
        <v>432.64</v>
      </c>
      <c r="P66" s="195">
        <f t="shared" ref="P66:P76" si="53">L66*1.04</f>
        <v>112.4864</v>
      </c>
      <c r="Q66" s="196">
        <f>'Program Budget'!R66</f>
        <v>4</v>
      </c>
      <c r="R66" s="197">
        <v>1</v>
      </c>
      <c r="S66" s="198">
        <f>P66*Q66*R66</f>
        <v>449.94560000000001</v>
      </c>
      <c r="T66" s="333">
        <f>C66+G66+K66+O66+S66</f>
        <v>2803.0356000000002</v>
      </c>
      <c r="U66" s="201"/>
      <c r="V66" s="188"/>
      <c r="W66" s="202"/>
      <c r="X66" s="202"/>
      <c r="AB66" s="163">
        <v>180</v>
      </c>
      <c r="AC66" s="203" t="s">
        <v>547</v>
      </c>
      <c r="AD66" s="203" t="s">
        <v>548</v>
      </c>
      <c r="AE66" s="204"/>
      <c r="AG66" s="205"/>
    </row>
    <row r="67" spans="1:33" ht="15" customHeight="1" outlineLevel="1">
      <c r="A67" s="193" t="str">
        <f>'Program Budget'!D71</f>
        <v>Local Transportation for Colombia Staff Travel</v>
      </c>
      <c r="B67" s="194" t="str">
        <f>'Program Budget'!F75</f>
        <v>Trip</v>
      </c>
      <c r="C67" s="195">
        <f>'Program Budget'!E71</f>
        <v>895.05</v>
      </c>
      <c r="D67" s="195">
        <f>'Program Budget'!G71</f>
        <v>100</v>
      </c>
      <c r="E67" s="196">
        <f>'Program Budget'!I71</f>
        <v>4</v>
      </c>
      <c r="F67" s="197">
        <v>1</v>
      </c>
      <c r="G67" s="198">
        <f>D67*E67*F67</f>
        <v>400</v>
      </c>
      <c r="H67" s="195">
        <f>D67*1.03</f>
        <v>103</v>
      </c>
      <c r="I67" s="196">
        <f>'Program Budget'!L71</f>
        <v>4</v>
      </c>
      <c r="J67" s="197">
        <v>1</v>
      </c>
      <c r="K67" s="198">
        <f>H67*I67*J67</f>
        <v>412</v>
      </c>
      <c r="L67" s="195">
        <f>H67*1.03</f>
        <v>106.09</v>
      </c>
      <c r="M67" s="196">
        <f>'Program Budget'!O71</f>
        <v>4</v>
      </c>
      <c r="N67" s="197">
        <v>1</v>
      </c>
      <c r="O67" s="198">
        <f>L67*M67*N67</f>
        <v>424.36</v>
      </c>
      <c r="P67" s="195">
        <f>L67*1.03</f>
        <v>109.2727</v>
      </c>
      <c r="Q67" s="196">
        <f>'Program Budget'!R71</f>
        <v>4</v>
      </c>
      <c r="R67" s="197">
        <v>1</v>
      </c>
      <c r="S67" s="198">
        <f>P67*Q67*R67</f>
        <v>437.0908</v>
      </c>
      <c r="T67" s="333">
        <f>C67+G67+K67+O67+S67</f>
        <v>2568.5007999999998</v>
      </c>
      <c r="U67" s="201"/>
      <c r="V67" s="188"/>
      <c r="W67" s="202"/>
      <c r="X67" s="202"/>
      <c r="AB67" s="163">
        <v>180</v>
      </c>
      <c r="AC67" s="203" t="s">
        <v>547</v>
      </c>
      <c r="AD67" s="203" t="s">
        <v>548</v>
      </c>
      <c r="AE67" s="204"/>
      <c r="AG67" s="205"/>
    </row>
    <row r="68" spans="1:33" ht="15" customHeight="1" outlineLevel="1">
      <c r="A68" s="193" t="str">
        <f>'Program Budget'!D75</f>
        <v>Local Transportation – Training, M&amp;E, &amp; Data Collection</v>
      </c>
      <c r="B68" s="194" t="str">
        <f>'Program Budget'!F75</f>
        <v>Trip</v>
      </c>
      <c r="C68" s="195">
        <f>'Program Budget'!E75</f>
        <v>32433.77</v>
      </c>
      <c r="D68" s="195">
        <f>'Program Budget'!G75</f>
        <v>100</v>
      </c>
      <c r="E68" s="196">
        <f>'Program Budget'!I75</f>
        <v>36</v>
      </c>
      <c r="F68" s="197">
        <v>1</v>
      </c>
      <c r="G68" s="198">
        <f>D68*E68*F68</f>
        <v>3600</v>
      </c>
      <c r="H68" s="195">
        <f t="shared" si="51"/>
        <v>104</v>
      </c>
      <c r="I68" s="196">
        <f>'Program Budget'!L75</f>
        <v>36</v>
      </c>
      <c r="J68" s="197">
        <v>1</v>
      </c>
      <c r="K68" s="198">
        <f>H68*I68*J68</f>
        <v>3744</v>
      </c>
      <c r="L68" s="195">
        <f t="shared" si="52"/>
        <v>108.16</v>
      </c>
      <c r="M68" s="196">
        <f>'Program Budget'!O75</f>
        <v>36</v>
      </c>
      <c r="N68" s="197">
        <v>1</v>
      </c>
      <c r="O68" s="198">
        <f>L68*M68*N68</f>
        <v>3893.7599999999998</v>
      </c>
      <c r="P68" s="195">
        <f t="shared" si="53"/>
        <v>112.4864</v>
      </c>
      <c r="Q68" s="196">
        <f>'Program Budget'!R75</f>
        <v>9</v>
      </c>
      <c r="R68" s="197">
        <v>1</v>
      </c>
      <c r="S68" s="198">
        <f>P68*Q68*R68</f>
        <v>1012.3776</v>
      </c>
      <c r="T68" s="333">
        <f>C68+G68+K68+O68+S68</f>
        <v>44683.907600000006</v>
      </c>
      <c r="U68" s="201"/>
      <c r="V68" s="188"/>
      <c r="W68" s="202"/>
      <c r="X68" s="202"/>
      <c r="AB68" s="163">
        <v>180</v>
      </c>
      <c r="AC68" s="203" t="s">
        <v>547</v>
      </c>
      <c r="AD68" s="203" t="s">
        <v>548</v>
      </c>
      <c r="AE68" s="204"/>
      <c r="AG68" s="205"/>
    </row>
    <row r="69" spans="1:33" s="260" customFormat="1" ht="15.6" outlineLevel="1">
      <c r="A69" s="190" t="s">
        <v>524</v>
      </c>
      <c r="B69" s="216"/>
      <c r="C69" s="195"/>
      <c r="D69" s="195"/>
      <c r="E69" s="159"/>
      <c r="F69" s="161"/>
      <c r="G69" s="198"/>
      <c r="H69" s="195"/>
      <c r="I69" s="159"/>
      <c r="J69" s="160"/>
      <c r="K69" s="198"/>
      <c r="L69" s="195"/>
      <c r="M69" s="159"/>
      <c r="N69" s="161"/>
      <c r="O69" s="198"/>
      <c r="P69" s="195"/>
      <c r="Q69" s="159"/>
      <c r="R69" s="161"/>
      <c r="S69" s="198"/>
      <c r="T69" s="333"/>
      <c r="U69" s="157"/>
      <c r="V69" s="157"/>
      <c r="W69" s="157"/>
      <c r="X69" s="157"/>
      <c r="Y69" s="157"/>
      <c r="Z69" s="157"/>
      <c r="AA69" s="157"/>
      <c r="AB69" s="163"/>
      <c r="AC69" s="203"/>
      <c r="AD69" s="203"/>
      <c r="AE69" s="259"/>
      <c r="AG69" s="157"/>
    </row>
    <row r="70" spans="1:33" ht="15" customHeight="1" outlineLevel="1">
      <c r="A70" s="193" t="str">
        <f>'Program Budget'!D74</f>
        <v>Vehicle/Motorcycle Fuel Expense</v>
      </c>
      <c r="B70" s="194" t="str">
        <f>'Program Budget'!F74</f>
        <v>Month</v>
      </c>
      <c r="C70" s="195">
        <f>'Program Budget'!E74</f>
        <v>9640.86</v>
      </c>
      <c r="D70" s="195">
        <f>'Program Budget'!G74</f>
        <v>200</v>
      </c>
      <c r="E70" s="196">
        <f>'Program Budget'!I74</f>
        <v>12</v>
      </c>
      <c r="F70" s="197">
        <v>1</v>
      </c>
      <c r="G70" s="198">
        <f>D70*E70*F70</f>
        <v>2400</v>
      </c>
      <c r="H70" s="195">
        <f t="shared" si="51"/>
        <v>208</v>
      </c>
      <c r="I70" s="196">
        <f>'Program Budget'!L74</f>
        <v>12</v>
      </c>
      <c r="J70" s="197">
        <v>1</v>
      </c>
      <c r="K70" s="198">
        <f>H70*I70*J70</f>
        <v>2496</v>
      </c>
      <c r="L70" s="195">
        <f t="shared" si="52"/>
        <v>216.32</v>
      </c>
      <c r="M70" s="196">
        <f>'Program Budget'!O74</f>
        <v>12</v>
      </c>
      <c r="N70" s="197">
        <v>1</v>
      </c>
      <c r="O70" s="198">
        <f>L70*M70*N70</f>
        <v>2595.84</v>
      </c>
      <c r="P70" s="195">
        <f t="shared" si="53"/>
        <v>224.97280000000001</v>
      </c>
      <c r="Q70" s="196">
        <f>'Program Budget'!R74</f>
        <v>3</v>
      </c>
      <c r="R70" s="197">
        <v>1</v>
      </c>
      <c r="S70" s="198">
        <f>P70*Q70*R70</f>
        <v>674.91840000000002</v>
      </c>
      <c r="T70" s="333">
        <f>C70+G70+K70+O70+S70</f>
        <v>17807.618399999999</v>
      </c>
      <c r="U70" s="201"/>
      <c r="V70" s="188"/>
      <c r="W70" s="202"/>
      <c r="X70" s="202"/>
      <c r="AB70" s="163">
        <v>180</v>
      </c>
      <c r="AC70" s="203" t="s">
        <v>547</v>
      </c>
      <c r="AD70" s="203" t="s">
        <v>548</v>
      </c>
      <c r="AE70" s="204"/>
      <c r="AG70" s="205"/>
    </row>
    <row r="71" spans="1:33" s="260" customFormat="1" ht="15.6" outlineLevel="1">
      <c r="A71" s="190" t="s">
        <v>525</v>
      </c>
      <c r="B71" s="216"/>
      <c r="C71" s="195"/>
      <c r="D71" s="195"/>
      <c r="E71" s="159"/>
      <c r="F71" s="161"/>
      <c r="G71" s="198"/>
      <c r="H71" s="195"/>
      <c r="I71" s="159"/>
      <c r="J71" s="160"/>
      <c r="K71" s="198"/>
      <c r="L71" s="195"/>
      <c r="M71" s="159"/>
      <c r="N71" s="161"/>
      <c r="O71" s="198"/>
      <c r="P71" s="195"/>
      <c r="Q71" s="159"/>
      <c r="R71" s="161"/>
      <c r="S71" s="198"/>
      <c r="T71" s="333"/>
      <c r="U71" s="157"/>
      <c r="V71" s="157"/>
      <c r="W71" s="157"/>
      <c r="X71" s="157"/>
      <c r="Y71" s="157"/>
      <c r="Z71" s="157"/>
      <c r="AA71" s="157"/>
      <c r="AB71" s="163"/>
      <c r="AC71" s="203"/>
      <c r="AD71" s="203"/>
      <c r="AE71" s="259"/>
      <c r="AG71" s="157"/>
    </row>
    <row r="72" spans="1:33" ht="15" customHeight="1" outlineLevel="1">
      <c r="A72" s="193" t="str">
        <f>'Program Budget'!D65</f>
        <v>Lodging and M&amp;IE - HQ Project Management Trip</v>
      </c>
      <c r="B72" s="194" t="str">
        <f>'Program Budget'!F65</f>
        <v>Day</v>
      </c>
      <c r="C72" s="195">
        <f>'Program Budget'!E65</f>
        <v>13828.71</v>
      </c>
      <c r="D72" s="195">
        <f>'Program Budget'!G65</f>
        <v>286</v>
      </c>
      <c r="E72" s="196">
        <f>'Program Budget'!I65</f>
        <v>20</v>
      </c>
      <c r="F72" s="197">
        <v>1</v>
      </c>
      <c r="G72" s="198">
        <f>D72*E72*F72</f>
        <v>5720</v>
      </c>
      <c r="H72" s="195">
        <f t="shared" si="51"/>
        <v>297.44</v>
      </c>
      <c r="I72" s="196">
        <f>'Program Budget'!L65</f>
        <v>20</v>
      </c>
      <c r="J72" s="197">
        <v>1</v>
      </c>
      <c r="K72" s="198">
        <f>H72*I72*J72</f>
        <v>5948.8</v>
      </c>
      <c r="L72" s="195">
        <f t="shared" si="52"/>
        <v>309.33760000000001</v>
      </c>
      <c r="M72" s="196">
        <f>'Program Budget'!O65</f>
        <v>20</v>
      </c>
      <c r="N72" s="197">
        <v>1</v>
      </c>
      <c r="O72" s="198">
        <f>L72*M72*N72</f>
        <v>6186.7520000000004</v>
      </c>
      <c r="P72" s="195">
        <f t="shared" si="53"/>
        <v>321.71110400000003</v>
      </c>
      <c r="Q72" s="196">
        <f>'Program Budget'!R65</f>
        <v>20</v>
      </c>
      <c r="R72" s="197">
        <v>1</v>
      </c>
      <c r="S72" s="198">
        <f>P72*Q72*R72</f>
        <v>6434.2220800000005</v>
      </c>
      <c r="T72" s="333">
        <f>C72+G72+K72+O72+S72</f>
        <v>38118.484080000002</v>
      </c>
      <c r="U72" s="201"/>
      <c r="V72" s="188"/>
      <c r="W72" s="202"/>
      <c r="X72" s="202"/>
      <c r="AB72" s="163">
        <v>180</v>
      </c>
      <c r="AC72" s="203" t="s">
        <v>547</v>
      </c>
      <c r="AD72" s="203" t="s">
        <v>548</v>
      </c>
      <c r="AE72" s="204"/>
      <c r="AG72" s="205"/>
    </row>
    <row r="73" spans="1:33" ht="15" customHeight="1" outlineLevel="1">
      <c r="A73" s="193" t="str">
        <f>'Program Budget'!D67</f>
        <v>Other Travel Related Expenses – HQ Project Management Trip</v>
      </c>
      <c r="B73" s="194" t="str">
        <f>'Program Budget'!F67</f>
        <v>Trip</v>
      </c>
      <c r="C73" s="195">
        <f>'Program Budget'!E67</f>
        <v>118.18</v>
      </c>
      <c r="D73" s="195">
        <f>'Program Budget'!G67</f>
        <v>25</v>
      </c>
      <c r="E73" s="196">
        <f>'Program Budget'!I67</f>
        <v>4</v>
      </c>
      <c r="F73" s="197">
        <v>1</v>
      </c>
      <c r="G73" s="198">
        <f>D73*E73*F73</f>
        <v>100</v>
      </c>
      <c r="H73" s="195">
        <f t="shared" si="51"/>
        <v>26</v>
      </c>
      <c r="I73" s="196">
        <f>'Program Budget'!L67</f>
        <v>4</v>
      </c>
      <c r="J73" s="197">
        <v>1</v>
      </c>
      <c r="K73" s="198">
        <f>H73*I73*J73</f>
        <v>104</v>
      </c>
      <c r="L73" s="195">
        <f t="shared" si="52"/>
        <v>27.04</v>
      </c>
      <c r="M73" s="196">
        <f>'Program Budget'!O67</f>
        <v>4</v>
      </c>
      <c r="N73" s="197">
        <v>1</v>
      </c>
      <c r="O73" s="198">
        <f>L73*M73*N73</f>
        <v>108.16</v>
      </c>
      <c r="P73" s="195">
        <f t="shared" si="53"/>
        <v>28.121600000000001</v>
      </c>
      <c r="Q73" s="196">
        <f>'Program Budget'!R67</f>
        <v>4</v>
      </c>
      <c r="R73" s="197">
        <v>1</v>
      </c>
      <c r="S73" s="198">
        <f>P73*Q73*R73</f>
        <v>112.4864</v>
      </c>
      <c r="T73" s="333">
        <f>C73+G73+K73+O73+S73</f>
        <v>542.82640000000004</v>
      </c>
      <c r="U73" s="201"/>
      <c r="V73" s="188"/>
      <c r="W73" s="202"/>
      <c r="X73" s="202"/>
      <c r="AB73" s="163">
        <v>180</v>
      </c>
      <c r="AC73" s="203" t="s">
        <v>547</v>
      </c>
      <c r="AD73" s="203" t="s">
        <v>548</v>
      </c>
      <c r="AE73" s="204"/>
      <c r="AG73" s="205"/>
    </row>
    <row r="74" spans="1:33" ht="15" customHeight="1" outlineLevel="1">
      <c r="A74" s="193" t="str">
        <f>'Program Budget'!D70</f>
        <v>Lodging and M&amp;IE for Colombia Staff Travel</v>
      </c>
      <c r="B74" s="194" t="str">
        <f>'Program Budget'!F70</f>
        <v>Day</v>
      </c>
      <c r="C74" s="195">
        <f>'Program Budget'!E70</f>
        <v>8160.39</v>
      </c>
      <c r="D74" s="195">
        <f>'Program Budget'!G70</f>
        <v>260</v>
      </c>
      <c r="E74" s="196">
        <f>'Program Budget'!I70</f>
        <v>40</v>
      </c>
      <c r="F74" s="197">
        <v>1</v>
      </c>
      <c r="G74" s="198">
        <f>D74*E74*F74</f>
        <v>10400</v>
      </c>
      <c r="H74" s="195">
        <f>D74*1.03</f>
        <v>267.8</v>
      </c>
      <c r="I74" s="196">
        <f>'Program Budget'!L70</f>
        <v>40</v>
      </c>
      <c r="J74" s="197">
        <v>1</v>
      </c>
      <c r="K74" s="198">
        <f>H74*I74*J74</f>
        <v>10712</v>
      </c>
      <c r="L74" s="195">
        <f>H74*1.03</f>
        <v>275.834</v>
      </c>
      <c r="M74" s="196">
        <f>'Program Budget'!O70</f>
        <v>40</v>
      </c>
      <c r="N74" s="197">
        <v>1</v>
      </c>
      <c r="O74" s="198">
        <f>L74*M74*N74</f>
        <v>11033.36</v>
      </c>
      <c r="P74" s="195">
        <f>L74*1.03</f>
        <v>284.10901999999999</v>
      </c>
      <c r="Q74" s="196">
        <f>'Program Budget'!R70</f>
        <v>40</v>
      </c>
      <c r="R74" s="197">
        <v>1</v>
      </c>
      <c r="S74" s="198">
        <f>P74*Q74*R74</f>
        <v>11364.360799999999</v>
      </c>
      <c r="T74" s="333">
        <f>C74+G74+K74+O74+S74</f>
        <v>51670.110799999995</v>
      </c>
      <c r="U74" s="201"/>
      <c r="V74" s="188"/>
      <c r="W74" s="202"/>
      <c r="X74" s="202"/>
      <c r="AB74" s="163">
        <v>180</v>
      </c>
      <c r="AC74" s="203" t="s">
        <v>547</v>
      </c>
      <c r="AD74" s="203" t="s">
        <v>548</v>
      </c>
      <c r="AE74" s="204"/>
      <c r="AG74" s="205"/>
    </row>
    <row r="75" spans="1:33" ht="15" customHeight="1" outlineLevel="1">
      <c r="A75" s="193" t="str">
        <f>'Program Budget'!D72</f>
        <v>Other Travel Related Expenses for Colombia Staff Travel</v>
      </c>
      <c r="B75" s="194" t="str">
        <f>'Program Budget'!F72</f>
        <v>Trip</v>
      </c>
      <c r="C75" s="195">
        <f>'Program Budget'!E72</f>
        <v>374.49</v>
      </c>
      <c r="D75" s="195">
        <f>'Program Budget'!G72</f>
        <v>25</v>
      </c>
      <c r="E75" s="196">
        <f>'Program Budget'!I72</f>
        <v>4</v>
      </c>
      <c r="F75" s="197">
        <v>1</v>
      </c>
      <c r="G75" s="198">
        <f>D75*E75*F75</f>
        <v>100</v>
      </c>
      <c r="H75" s="195">
        <f>D75*1.03</f>
        <v>25.75</v>
      </c>
      <c r="I75" s="196">
        <f>'Program Budget'!L72</f>
        <v>4</v>
      </c>
      <c r="J75" s="197">
        <v>1</v>
      </c>
      <c r="K75" s="198">
        <f>H75*I75*J75</f>
        <v>103</v>
      </c>
      <c r="L75" s="195">
        <f>H75*1.03</f>
        <v>26.522500000000001</v>
      </c>
      <c r="M75" s="196">
        <f>'Program Budget'!O72</f>
        <v>4</v>
      </c>
      <c r="N75" s="197">
        <v>1</v>
      </c>
      <c r="O75" s="198">
        <f>L75*M75*N75</f>
        <v>106.09</v>
      </c>
      <c r="P75" s="195">
        <f>L75*1.03</f>
        <v>27.318175</v>
      </c>
      <c r="Q75" s="196">
        <f>'Program Budget'!R72</f>
        <v>4</v>
      </c>
      <c r="R75" s="197">
        <v>1</v>
      </c>
      <c r="S75" s="198">
        <f>P75*Q75*R75</f>
        <v>109.2727</v>
      </c>
      <c r="T75" s="333">
        <f>C75+G75+K75+O75+S75</f>
        <v>792.85270000000003</v>
      </c>
      <c r="U75" s="201"/>
      <c r="V75" s="188"/>
      <c r="W75" s="202"/>
      <c r="X75" s="202"/>
      <c r="AB75" s="163">
        <v>180</v>
      </c>
      <c r="AC75" s="203" t="s">
        <v>547</v>
      </c>
      <c r="AD75" s="203" t="s">
        <v>548</v>
      </c>
      <c r="AE75" s="204"/>
      <c r="AG75" s="205"/>
    </row>
    <row r="76" spans="1:33" ht="15" customHeight="1" outlineLevel="1">
      <c r="A76" s="193" t="str">
        <f>'Program Budget'!D76</f>
        <v>Lodging and M&amp;IE - Training, M&amp;E, &amp; Data Collection</v>
      </c>
      <c r="B76" s="194" t="str">
        <f>'Program Budget'!F76</f>
        <v>Day</v>
      </c>
      <c r="C76" s="195">
        <f>'Program Budget'!E76</f>
        <v>14326.42</v>
      </c>
      <c r="D76" s="195">
        <f>'Program Budget'!G76</f>
        <v>157</v>
      </c>
      <c r="E76" s="196">
        <f>'Program Budget'!I76</f>
        <v>144</v>
      </c>
      <c r="F76" s="197">
        <v>1</v>
      </c>
      <c r="G76" s="198">
        <f>D76*E76*F76</f>
        <v>22608</v>
      </c>
      <c r="H76" s="195">
        <f t="shared" si="51"/>
        <v>163.28</v>
      </c>
      <c r="I76" s="196">
        <f>'Program Budget'!L76</f>
        <v>144</v>
      </c>
      <c r="J76" s="197">
        <v>1</v>
      </c>
      <c r="K76" s="198">
        <f>H76*I76*J76</f>
        <v>23512.32</v>
      </c>
      <c r="L76" s="195">
        <f t="shared" si="52"/>
        <v>169.81120000000001</v>
      </c>
      <c r="M76" s="196">
        <f>'Program Budget'!O76</f>
        <v>144</v>
      </c>
      <c r="N76" s="197">
        <v>1</v>
      </c>
      <c r="O76" s="198">
        <f>L76*M76*N76</f>
        <v>24452.812800000003</v>
      </c>
      <c r="P76" s="195">
        <f t="shared" si="53"/>
        <v>176.60364800000002</v>
      </c>
      <c r="Q76" s="196">
        <f>'Program Budget'!R76</f>
        <v>36</v>
      </c>
      <c r="R76" s="197">
        <v>1</v>
      </c>
      <c r="S76" s="198">
        <f>P76*Q76*R76</f>
        <v>6357.7313280000008</v>
      </c>
      <c r="T76" s="333">
        <f>C76+G76+K76+O76+S76</f>
        <v>91257.284127999999</v>
      </c>
      <c r="U76" s="201"/>
      <c r="V76" s="188"/>
      <c r="W76" s="202"/>
      <c r="X76" s="202"/>
      <c r="AB76" s="163">
        <v>180</v>
      </c>
      <c r="AC76" s="203" t="s">
        <v>547</v>
      </c>
      <c r="AD76" s="203" t="s">
        <v>548</v>
      </c>
      <c r="AE76" s="204"/>
      <c r="AG76" s="205"/>
    </row>
    <row r="77" spans="1:33" outlineLevel="1">
      <c r="A77" s="325"/>
      <c r="B77" s="216"/>
      <c r="C77" s="198"/>
      <c r="G77" s="198"/>
      <c r="K77" s="198"/>
      <c r="O77" s="198"/>
      <c r="S77" s="198"/>
      <c r="T77" s="333"/>
      <c r="AB77" s="163"/>
      <c r="AC77" s="203"/>
      <c r="AD77" s="203"/>
    </row>
    <row r="78" spans="1:33" ht="18.3">
      <c r="A78" s="261" t="s">
        <v>526</v>
      </c>
      <c r="B78" s="227"/>
      <c r="C78" s="231">
        <f>SUM(C62:C77)</f>
        <v>101664.62999999999</v>
      </c>
      <c r="D78" s="228"/>
      <c r="E78" s="262"/>
      <c r="F78" s="232"/>
      <c r="G78" s="231">
        <f>SUM(G62:G77)</f>
        <v>52128</v>
      </c>
      <c r="H78" s="228"/>
      <c r="I78" s="262"/>
      <c r="J78" s="263"/>
      <c r="K78" s="231">
        <f>SUM(K62:K77)</f>
        <v>54072.119999999995</v>
      </c>
      <c r="L78" s="228"/>
      <c r="M78" s="262"/>
      <c r="N78" s="232"/>
      <c r="O78" s="231">
        <f>SUM(O62:O77)</f>
        <v>56089.774799999999</v>
      </c>
      <c r="P78" s="228"/>
      <c r="Q78" s="262"/>
      <c r="R78" s="232"/>
      <c r="S78" s="231">
        <f>SUM(S62:S77)</f>
        <v>34048.696908000005</v>
      </c>
      <c r="T78" s="336">
        <f>+C78+G78+K78+O78+S78</f>
        <v>298003.221708</v>
      </c>
      <c r="U78" s="163"/>
      <c r="V78" s="163"/>
      <c r="W78" s="163"/>
      <c r="X78" s="163"/>
      <c r="Y78" s="163"/>
      <c r="AB78" s="163"/>
      <c r="AC78" s="189"/>
      <c r="AD78" s="189" t="s">
        <v>549</v>
      </c>
      <c r="AE78" s="189"/>
    </row>
    <row r="79" spans="1:33" ht="15.6" outlineLevel="1">
      <c r="A79" s="190" t="s">
        <v>55</v>
      </c>
      <c r="B79" s="264"/>
      <c r="C79" s="248"/>
      <c r="E79" s="265"/>
      <c r="F79" s="267"/>
      <c r="G79" s="195"/>
      <c r="I79" s="265"/>
      <c r="J79" s="266"/>
      <c r="K79" s="221"/>
      <c r="M79" s="265"/>
      <c r="N79" s="267"/>
      <c r="O79" s="221"/>
      <c r="Q79" s="265"/>
      <c r="R79" s="267"/>
      <c r="S79" s="221"/>
      <c r="T79" s="333"/>
      <c r="AB79" s="163"/>
      <c r="AC79" s="203"/>
      <c r="AD79" s="268"/>
    </row>
    <row r="80" spans="1:33" ht="15.6" outlineLevel="1">
      <c r="A80" s="269" t="str">
        <f>'Program Budget'!D80</f>
        <v>Payroll, Accounting and Audit Costs - (Auditoria Fiscal &amp; Program Specific Audits)</v>
      </c>
      <c r="B80" s="194" t="str">
        <f>'Program Budget'!F80</f>
        <v>Year</v>
      </c>
      <c r="C80" s="195">
        <f>'Program Budget'!E80</f>
        <v>26306.36</v>
      </c>
      <c r="D80" s="195">
        <f>'Program Budget'!G80</f>
        <v>13000</v>
      </c>
      <c r="E80" s="196">
        <f>'Program Budget'!I80</f>
        <v>1</v>
      </c>
      <c r="F80" s="197">
        <v>1</v>
      </c>
      <c r="G80" s="195">
        <f>D80*E80*F80</f>
        <v>13000</v>
      </c>
      <c r="H80" s="195">
        <f>D80</f>
        <v>13000</v>
      </c>
      <c r="I80" s="196">
        <f>'Program Budget'!L80</f>
        <v>1</v>
      </c>
      <c r="J80" s="197">
        <v>1</v>
      </c>
      <c r="K80" s="198">
        <f>H80*I80*J80</f>
        <v>13000</v>
      </c>
      <c r="L80" s="195">
        <f>H80</f>
        <v>13000</v>
      </c>
      <c r="M80" s="196">
        <f>'Program Budget'!O80</f>
        <v>1</v>
      </c>
      <c r="N80" s="197">
        <v>1</v>
      </c>
      <c r="O80" s="198">
        <f>L80*M80*N80</f>
        <v>13000</v>
      </c>
      <c r="P80" s="195">
        <f>L80</f>
        <v>13000</v>
      </c>
      <c r="Q80" s="196">
        <f>'Program Budget'!R80</f>
        <v>0.5</v>
      </c>
      <c r="R80" s="197">
        <v>1</v>
      </c>
      <c r="S80" s="198">
        <f>P80*Q80*R80</f>
        <v>6500</v>
      </c>
      <c r="T80" s="333">
        <f>C80+G80+K80+O80+S80</f>
        <v>71806.36</v>
      </c>
      <c r="AB80" s="163"/>
      <c r="AC80" s="203"/>
      <c r="AD80" s="268"/>
    </row>
    <row r="81" spans="1:30" ht="15.6" outlineLevel="1">
      <c r="A81" s="269" t="str">
        <f>'Program Budget'!D81</f>
        <v>Legal Fees</v>
      </c>
      <c r="B81" s="194" t="str">
        <f>'Program Budget'!F81</f>
        <v>Year</v>
      </c>
      <c r="C81" s="195">
        <f>'Program Budget'!E81</f>
        <v>22150.080000000002</v>
      </c>
      <c r="D81" s="195">
        <f>'Program Budget'!G81</f>
        <v>4425</v>
      </c>
      <c r="E81" s="196">
        <f>'Program Budget'!I81</f>
        <v>1</v>
      </c>
      <c r="F81" s="197">
        <v>1</v>
      </c>
      <c r="G81" s="195">
        <f t="shared" ref="G81" si="54">D81*E81*F81</f>
        <v>4425</v>
      </c>
      <c r="H81" s="195">
        <f t="shared" ref="H81:H85" si="55">D81</f>
        <v>4425</v>
      </c>
      <c r="I81" s="196">
        <f>'Program Budget'!L81</f>
        <v>1</v>
      </c>
      <c r="J81" s="197">
        <v>1</v>
      </c>
      <c r="K81" s="198">
        <f t="shared" ref="K81" si="56">H81*I81*J81</f>
        <v>4425</v>
      </c>
      <c r="L81" s="195">
        <f t="shared" ref="L81:L85" si="57">H81</f>
        <v>4425</v>
      </c>
      <c r="M81" s="196">
        <f>'Program Budget'!O81</f>
        <v>1</v>
      </c>
      <c r="N81" s="197">
        <v>1</v>
      </c>
      <c r="O81" s="198">
        <f t="shared" ref="O81" si="58">L81*M81*N81</f>
        <v>4425</v>
      </c>
      <c r="P81" s="195">
        <f t="shared" ref="P81:P85" si="59">L81</f>
        <v>4425</v>
      </c>
      <c r="Q81" s="196">
        <f>'Program Budget'!R81</f>
        <v>1</v>
      </c>
      <c r="R81" s="197">
        <v>1</v>
      </c>
      <c r="S81" s="198">
        <f t="shared" ref="S81" si="60">P81*Q81*R81</f>
        <v>4425</v>
      </c>
      <c r="T81" s="333">
        <f t="shared" ref="T81" si="61">C81+G81+K81+O81+S81</f>
        <v>39850.080000000002</v>
      </c>
      <c r="AB81" s="163"/>
      <c r="AC81" s="203"/>
      <c r="AD81" s="268"/>
    </row>
    <row r="82" spans="1:30" ht="15.6" outlineLevel="1">
      <c r="A82" s="269" t="str">
        <f>'Program Budget'!D82</f>
        <v>Monetization Agent Fee</v>
      </c>
      <c r="B82" s="194" t="str">
        <f>'Program Budget'!F82</f>
        <v>%</v>
      </c>
      <c r="C82" s="195">
        <f>'Program Budget'!E82</f>
        <v>512975</v>
      </c>
      <c r="D82" s="195">
        <v>9000000</v>
      </c>
      <c r="E82" s="196">
        <f>'Program Budget'!I82</f>
        <v>1</v>
      </c>
      <c r="F82" s="197">
        <v>2.5000000000000001E-2</v>
      </c>
      <c r="G82" s="195">
        <f>D82*E82*F82</f>
        <v>225000</v>
      </c>
      <c r="H82" s="195">
        <v>0</v>
      </c>
      <c r="I82" s="196">
        <f>'Program Budget'!L82</f>
        <v>0</v>
      </c>
      <c r="J82" s="197">
        <v>0</v>
      </c>
      <c r="K82" s="198">
        <f>H82*I82*J82</f>
        <v>0</v>
      </c>
      <c r="L82" s="195">
        <f t="shared" si="57"/>
        <v>0</v>
      </c>
      <c r="M82" s="196">
        <f>'Program Budget'!O82</f>
        <v>0</v>
      </c>
      <c r="N82" s="197">
        <v>0</v>
      </c>
      <c r="O82" s="198">
        <f>L82*M82*N82</f>
        <v>0</v>
      </c>
      <c r="P82" s="195">
        <f t="shared" si="59"/>
        <v>0</v>
      </c>
      <c r="Q82" s="196">
        <f>'Program Budget'!R82</f>
        <v>0</v>
      </c>
      <c r="R82" s="197">
        <v>0</v>
      </c>
      <c r="S82" s="198">
        <f>P82*Q82*R82</f>
        <v>0</v>
      </c>
      <c r="T82" s="333">
        <f>C82+G82+K82+O82+S82</f>
        <v>737975</v>
      </c>
      <c r="AB82" s="163"/>
      <c r="AC82" s="203"/>
      <c r="AD82" s="268"/>
    </row>
    <row r="83" spans="1:30" ht="15.6" outlineLevel="1">
      <c r="A83" s="269" t="str">
        <f>'Program Budget'!D83</f>
        <v>Post Monetization Assessment</v>
      </c>
      <c r="B83" s="194" t="str">
        <f>'Program Budget'!F83</f>
        <v>Unit</v>
      </c>
      <c r="C83" s="195">
        <f>'Program Budget'!E83</f>
        <v>47918.55</v>
      </c>
      <c r="D83" s="195">
        <f>'Program Budget'!G83</f>
        <v>47918.55</v>
      </c>
      <c r="E83" s="196">
        <f>'Program Budget'!I83</f>
        <v>0</v>
      </c>
      <c r="F83" s="197">
        <v>0</v>
      </c>
      <c r="G83" s="195">
        <f t="shared" ref="G83:G89" si="62">D83*E83*F83</f>
        <v>0</v>
      </c>
      <c r="H83" s="195">
        <f t="shared" si="55"/>
        <v>47918.55</v>
      </c>
      <c r="I83" s="196">
        <f>'Program Budget'!L83</f>
        <v>0</v>
      </c>
      <c r="J83" s="197">
        <v>0</v>
      </c>
      <c r="K83" s="198">
        <f t="shared" ref="K83:K85" si="63">H83*I83*J83</f>
        <v>0</v>
      </c>
      <c r="L83" s="195">
        <f t="shared" si="57"/>
        <v>47918.55</v>
      </c>
      <c r="M83" s="196">
        <f>'Program Budget'!O83</f>
        <v>0</v>
      </c>
      <c r="N83" s="197">
        <v>0</v>
      </c>
      <c r="O83" s="198">
        <f t="shared" ref="O83:O85" si="64">L83*M83*N83</f>
        <v>0</v>
      </c>
      <c r="P83" s="195">
        <f t="shared" si="59"/>
        <v>47918.55</v>
      </c>
      <c r="Q83" s="196">
        <f>'Program Budget'!R83</f>
        <v>0</v>
      </c>
      <c r="R83" s="197">
        <v>0</v>
      </c>
      <c r="S83" s="198">
        <f t="shared" ref="S83:S85" si="65">P83*Q83*R83</f>
        <v>0</v>
      </c>
      <c r="T83" s="333">
        <f t="shared" ref="T83:T85" si="66">C83+G83+K83+O83+S83</f>
        <v>47918.55</v>
      </c>
      <c r="AB83" s="163"/>
      <c r="AC83" s="203"/>
      <c r="AD83" s="268"/>
    </row>
    <row r="84" spans="1:30" ht="15.6" outlineLevel="1">
      <c r="A84" s="269" t="str">
        <f>'Program Budget'!D84</f>
        <v>Security Plan and Advisors</v>
      </c>
      <c r="B84" s="194" t="str">
        <f>'Program Budget'!F84</f>
        <v>Year</v>
      </c>
      <c r="C84" s="195">
        <f>'Program Budget'!E84</f>
        <v>0</v>
      </c>
      <c r="D84" s="195">
        <f>'Program Budget'!G84</f>
        <v>25000</v>
      </c>
      <c r="E84" s="196">
        <f>'Program Budget'!I84</f>
        <v>1</v>
      </c>
      <c r="F84" s="197">
        <v>1</v>
      </c>
      <c r="G84" s="195">
        <f t="shared" si="62"/>
        <v>25000</v>
      </c>
      <c r="H84" s="195">
        <f t="shared" si="55"/>
        <v>25000</v>
      </c>
      <c r="I84" s="196">
        <f>'Program Budget'!L84</f>
        <v>1</v>
      </c>
      <c r="J84" s="197">
        <v>1</v>
      </c>
      <c r="K84" s="198">
        <f t="shared" si="63"/>
        <v>25000</v>
      </c>
      <c r="L84" s="195">
        <f t="shared" si="57"/>
        <v>25000</v>
      </c>
      <c r="M84" s="196">
        <f>'Program Budget'!O84</f>
        <v>1</v>
      </c>
      <c r="N84" s="197">
        <v>1</v>
      </c>
      <c r="O84" s="198">
        <f t="shared" si="64"/>
        <v>25000</v>
      </c>
      <c r="P84" s="195">
        <f t="shared" si="59"/>
        <v>25000</v>
      </c>
      <c r="Q84" s="196">
        <f>'Program Budget'!R84</f>
        <v>0.5</v>
      </c>
      <c r="R84" s="197">
        <v>1</v>
      </c>
      <c r="S84" s="198">
        <f>P84*Q84*R84</f>
        <v>12500</v>
      </c>
      <c r="T84" s="333">
        <f t="shared" si="66"/>
        <v>87500</v>
      </c>
      <c r="AB84" s="163"/>
      <c r="AC84" s="203"/>
      <c r="AD84" s="268"/>
    </row>
    <row r="85" spans="1:30" ht="15.6" outlineLevel="1">
      <c r="A85" s="269" t="str">
        <f>'Program Budget'!D85</f>
        <v>HQ Consultants &amp; Advisory Support Services</v>
      </c>
      <c r="B85" s="194" t="str">
        <f>'Program Budget'!F85</f>
        <v>Month</v>
      </c>
      <c r="C85" s="195">
        <f>'Program Budget'!E85</f>
        <v>68599.100000000006</v>
      </c>
      <c r="D85" s="195">
        <f>'Program Budget'!G85</f>
        <v>1125</v>
      </c>
      <c r="E85" s="196">
        <f>'Program Budget'!I85</f>
        <v>12</v>
      </c>
      <c r="F85" s="197">
        <v>1</v>
      </c>
      <c r="G85" s="195">
        <f t="shared" si="62"/>
        <v>13500</v>
      </c>
      <c r="H85" s="195">
        <f t="shared" si="55"/>
        <v>1125</v>
      </c>
      <c r="I85" s="196">
        <f>'Program Budget'!L85</f>
        <v>12</v>
      </c>
      <c r="J85" s="197">
        <v>1</v>
      </c>
      <c r="K85" s="198">
        <f t="shared" si="63"/>
        <v>13500</v>
      </c>
      <c r="L85" s="195">
        <f t="shared" si="57"/>
        <v>1125</v>
      </c>
      <c r="M85" s="196">
        <f>'Program Budget'!O85</f>
        <v>12</v>
      </c>
      <c r="N85" s="197">
        <v>1</v>
      </c>
      <c r="O85" s="198">
        <f t="shared" si="64"/>
        <v>13500</v>
      </c>
      <c r="P85" s="195">
        <f t="shared" si="59"/>
        <v>1125</v>
      </c>
      <c r="Q85" s="196">
        <f>'Program Budget'!R85</f>
        <v>6</v>
      </c>
      <c r="R85" s="197">
        <v>1</v>
      </c>
      <c r="S85" s="198">
        <f t="shared" si="65"/>
        <v>6750</v>
      </c>
      <c r="T85" s="333">
        <f t="shared" si="66"/>
        <v>115849.1</v>
      </c>
      <c r="AB85" s="163">
        <v>670</v>
      </c>
      <c r="AC85" s="203" t="s">
        <v>560</v>
      </c>
      <c r="AD85" s="268" t="s">
        <v>561</v>
      </c>
    </row>
    <row r="86" spans="1:30" ht="15.6" outlineLevel="1">
      <c r="A86" s="190" t="s">
        <v>167</v>
      </c>
      <c r="B86" s="194"/>
      <c r="C86" s="195"/>
      <c r="D86" s="195"/>
      <c r="E86" s="196"/>
      <c r="F86" s="197"/>
      <c r="G86" s="195"/>
      <c r="H86" s="195"/>
      <c r="I86" s="196"/>
      <c r="J86" s="197"/>
      <c r="K86" s="198"/>
      <c r="L86" s="195"/>
      <c r="M86" s="196"/>
      <c r="N86" s="197"/>
      <c r="O86" s="198"/>
      <c r="P86" s="195"/>
      <c r="Q86" s="196"/>
      <c r="R86" s="197"/>
      <c r="S86" s="198"/>
      <c r="T86" s="333"/>
      <c r="AB86" s="163"/>
      <c r="AC86" s="203"/>
      <c r="AD86" s="268"/>
    </row>
    <row r="87" spans="1:30" ht="15.6" outlineLevel="1">
      <c r="A87" s="269" t="str">
        <f>'Program Budget'!D88</f>
        <v>Baseline Evaluation</v>
      </c>
      <c r="B87" s="194" t="str">
        <f>'Program Budget'!F88</f>
        <v>Unit</v>
      </c>
      <c r="C87" s="195">
        <f>'Program Budget'!E88</f>
        <v>151977.65</v>
      </c>
      <c r="D87" s="195">
        <f>'Program Budget'!G88</f>
        <v>151977.65</v>
      </c>
      <c r="E87" s="196">
        <f>'Program Budget'!I88</f>
        <v>0</v>
      </c>
      <c r="F87" s="197">
        <v>0</v>
      </c>
      <c r="G87" s="195">
        <f t="shared" si="62"/>
        <v>0</v>
      </c>
      <c r="H87" s="195">
        <f>D87</f>
        <v>151977.65</v>
      </c>
      <c r="I87" s="196">
        <f>'Program Budget'!L88</f>
        <v>0</v>
      </c>
      <c r="J87" s="197">
        <v>0</v>
      </c>
      <c r="K87" s="479">
        <f>H87*I87*J87</f>
        <v>0</v>
      </c>
      <c r="L87" s="195">
        <f>H87</f>
        <v>151977.65</v>
      </c>
      <c r="M87" s="196">
        <f>'Program Budget'!O88</f>
        <v>0</v>
      </c>
      <c r="N87" s="197">
        <v>0</v>
      </c>
      <c r="O87" s="198">
        <f t="shared" ref="O87" si="67">L87*M87*N87</f>
        <v>0</v>
      </c>
      <c r="P87" s="195">
        <f t="shared" ref="P87" si="68">L87</f>
        <v>151977.65</v>
      </c>
      <c r="Q87" s="196">
        <f>'Program Budget'!R88</f>
        <v>0</v>
      </c>
      <c r="R87" s="197">
        <v>0</v>
      </c>
      <c r="S87" s="198">
        <f t="shared" ref="S87" si="69">P87*Q87*R87</f>
        <v>0</v>
      </c>
      <c r="T87" s="333">
        <f>C87+G87+K87+O87+S87</f>
        <v>151977.65</v>
      </c>
      <c r="AB87" s="163"/>
      <c r="AC87" s="203"/>
      <c r="AD87" s="268"/>
    </row>
    <row r="88" spans="1:30" ht="15.6" outlineLevel="1">
      <c r="A88" s="269" t="str">
        <f>'Program Budget'!D89</f>
        <v>Midterm Evaluation</v>
      </c>
      <c r="B88" s="194" t="str">
        <f>'Program Budget'!F89</f>
        <v>Unit</v>
      </c>
      <c r="C88" s="195">
        <f>'Program Budget'!E89</f>
        <v>18463</v>
      </c>
      <c r="D88" s="195">
        <f>'Program Budget'!G89</f>
        <v>166537</v>
      </c>
      <c r="E88" s="196">
        <f>'Program Budget'!I89</f>
        <v>1</v>
      </c>
      <c r="F88" s="197">
        <v>1</v>
      </c>
      <c r="G88" s="195">
        <f t="shared" si="62"/>
        <v>166537</v>
      </c>
      <c r="H88" s="195">
        <f t="shared" ref="H88:H89" si="70">D88</f>
        <v>166537</v>
      </c>
      <c r="I88" s="196">
        <f>'Program Budget'!L89</f>
        <v>0</v>
      </c>
      <c r="J88" s="197">
        <v>0</v>
      </c>
      <c r="K88" s="198">
        <f>H88*I88*J88</f>
        <v>0</v>
      </c>
      <c r="L88" s="195">
        <f>H88</f>
        <v>166537</v>
      </c>
      <c r="M88" s="196">
        <f>'Program Budget'!O89</f>
        <v>0</v>
      </c>
      <c r="N88" s="197">
        <v>0</v>
      </c>
      <c r="O88" s="198">
        <f>L88*M88*N88</f>
        <v>0</v>
      </c>
      <c r="P88" s="195">
        <f>L88</f>
        <v>166537</v>
      </c>
      <c r="Q88" s="196">
        <f>'Program Budget'!R89</f>
        <v>0</v>
      </c>
      <c r="R88" s="197">
        <v>0</v>
      </c>
      <c r="S88" s="198">
        <f>P88*Q88*R88</f>
        <v>0</v>
      </c>
      <c r="T88" s="333">
        <f>C88+G88+K88+O88+S88</f>
        <v>185000</v>
      </c>
      <c r="AB88" s="163"/>
      <c r="AC88" s="203"/>
      <c r="AD88" s="268"/>
    </row>
    <row r="89" spans="1:30" ht="15.6" outlineLevel="1">
      <c r="A89" s="269" t="str">
        <f>'Program Budget'!D90</f>
        <v>Final Evaluation</v>
      </c>
      <c r="B89" s="194" t="str">
        <f>'Program Budget'!F90</f>
        <v>Unit</v>
      </c>
      <c r="C89" s="195">
        <f>'Program Budget'!E90</f>
        <v>0</v>
      </c>
      <c r="D89" s="195">
        <f>'Program Budget'!G90</f>
        <v>225000</v>
      </c>
      <c r="E89" s="196">
        <f>'Program Budget'!I90</f>
        <v>0</v>
      </c>
      <c r="F89" s="197">
        <v>0</v>
      </c>
      <c r="G89" s="195">
        <f t="shared" si="62"/>
        <v>0</v>
      </c>
      <c r="H89" s="195">
        <f t="shared" si="70"/>
        <v>225000</v>
      </c>
      <c r="I89" s="196">
        <f>'Program Budget'!L90</f>
        <v>0</v>
      </c>
      <c r="J89" s="197">
        <v>0</v>
      </c>
      <c r="K89" s="198">
        <f t="shared" ref="K89" si="71">H89*I89*J89</f>
        <v>0</v>
      </c>
      <c r="L89" s="195">
        <f t="shared" ref="L89" si="72">H89</f>
        <v>225000</v>
      </c>
      <c r="M89" s="196">
        <f>'Program Budget'!O90</f>
        <v>0</v>
      </c>
      <c r="N89" s="197">
        <v>0</v>
      </c>
      <c r="O89" s="198">
        <f t="shared" ref="O89" si="73">L89*M89*N89</f>
        <v>0</v>
      </c>
      <c r="P89" s="195">
        <f t="shared" ref="P89" si="74">L89</f>
        <v>225000</v>
      </c>
      <c r="Q89" s="196">
        <f>'Program Budget'!R90</f>
        <v>1</v>
      </c>
      <c r="R89" s="197">
        <v>1</v>
      </c>
      <c r="S89" s="198">
        <f t="shared" ref="S89" si="75">P89*Q89*R89</f>
        <v>225000</v>
      </c>
      <c r="T89" s="333">
        <f t="shared" ref="T89" si="76">C89+G89+K89+O89+S89</f>
        <v>225000</v>
      </c>
      <c r="AB89" s="163"/>
      <c r="AC89" s="203"/>
      <c r="AD89" s="268"/>
    </row>
    <row r="90" spans="1:30" ht="15.6" outlineLevel="1">
      <c r="A90" s="269" t="str">
        <f>'Program Budget'!D91</f>
        <v xml:space="preserve">Value Chain Analysis, Carbon Assessment, and Living Incomes </v>
      </c>
      <c r="B90" s="194" t="str">
        <f>'Program Budget'!F91</f>
        <v>Subrecipient</v>
      </c>
      <c r="C90" s="195">
        <f>'Program Budget'!E91</f>
        <v>542898.59</v>
      </c>
      <c r="D90" s="195">
        <f>'Program Budget'!J91</f>
        <v>31587</v>
      </c>
      <c r="E90" s="196">
        <f>'Program Budget'!I91</f>
        <v>1</v>
      </c>
      <c r="F90" s="197">
        <v>1</v>
      </c>
      <c r="G90" s="195">
        <v>31587</v>
      </c>
      <c r="H90" s="195">
        <f>'Program Budget'!M91</f>
        <v>0</v>
      </c>
      <c r="I90" s="196">
        <f>'Program Budget'!L91</f>
        <v>0</v>
      </c>
      <c r="J90" s="197">
        <v>0</v>
      </c>
      <c r="K90" s="198">
        <f>H90*I90*J90</f>
        <v>0</v>
      </c>
      <c r="L90" s="195">
        <f>'Program Budget'!P91</f>
        <v>43803.95</v>
      </c>
      <c r="M90" s="196">
        <f>'Program Budget'!O91</f>
        <v>1</v>
      </c>
      <c r="N90" s="197">
        <v>1</v>
      </c>
      <c r="O90" s="198">
        <v>44000</v>
      </c>
      <c r="P90" s="195">
        <f>'Program Budget'!S91</f>
        <v>0</v>
      </c>
      <c r="Q90" s="196">
        <f>'Program Budget'!R91</f>
        <v>0</v>
      </c>
      <c r="R90" s="197">
        <v>0</v>
      </c>
      <c r="S90" s="198">
        <f>P90*Q90*R90</f>
        <v>0</v>
      </c>
      <c r="T90" s="333">
        <f>C90+G90+K90+O90+S90</f>
        <v>618485.59</v>
      </c>
      <c r="AB90" s="163"/>
      <c r="AC90" s="203"/>
      <c r="AD90" s="268"/>
    </row>
    <row r="91" spans="1:30" ht="15.6" outlineLevel="1">
      <c r="A91" s="190" t="s">
        <v>173</v>
      </c>
      <c r="B91" s="194"/>
      <c r="C91" s="195"/>
      <c r="D91" s="195"/>
      <c r="E91" s="196"/>
      <c r="F91" s="197"/>
      <c r="G91" s="195"/>
      <c r="H91" s="195"/>
      <c r="I91" s="196"/>
      <c r="J91" s="197"/>
      <c r="K91" s="198"/>
      <c r="L91" s="195"/>
      <c r="M91" s="196"/>
      <c r="N91" s="197"/>
      <c r="O91" s="198"/>
      <c r="P91" s="195"/>
      <c r="Q91" s="196"/>
      <c r="R91" s="197"/>
      <c r="S91" s="198"/>
      <c r="T91" s="333"/>
      <c r="AB91" s="163"/>
      <c r="AC91" s="203"/>
      <c r="AD91" s="268"/>
    </row>
    <row r="92" spans="1:30" ht="15.6" outlineLevel="1">
      <c r="A92" s="269" t="str">
        <f>'Program Budget'!D93</f>
        <v>Monitoring Guidelines Creation, Translation &amp; Printing</v>
      </c>
      <c r="B92" s="194" t="str">
        <f>'Program Budget'!F93</f>
        <v>Document</v>
      </c>
      <c r="C92" s="195">
        <f>'Program Budget'!E93</f>
        <v>0</v>
      </c>
      <c r="D92" s="195">
        <f>'Program Budget'!G93</f>
        <v>6000</v>
      </c>
      <c r="E92" s="196">
        <f>'Program Budget'!I93</f>
        <v>1</v>
      </c>
      <c r="F92" s="197">
        <v>1</v>
      </c>
      <c r="G92" s="195">
        <f t="shared" ref="G92" si="77">D92*E92*F92</f>
        <v>6000</v>
      </c>
      <c r="H92" s="195">
        <f t="shared" ref="H92" si="78">D92</f>
        <v>6000</v>
      </c>
      <c r="I92" s="196">
        <f>'Program Budget'!L93</f>
        <v>0</v>
      </c>
      <c r="J92" s="197">
        <v>0</v>
      </c>
      <c r="K92" s="198">
        <f t="shared" ref="K92" si="79">H92*I92*J92</f>
        <v>0</v>
      </c>
      <c r="L92" s="195">
        <f t="shared" ref="L92" si="80">H92</f>
        <v>6000</v>
      </c>
      <c r="M92" s="196">
        <f>'Program Budget'!O93</f>
        <v>0</v>
      </c>
      <c r="N92" s="197">
        <v>0</v>
      </c>
      <c r="O92" s="198">
        <f t="shared" ref="O92" si="81">L92*M92*N92</f>
        <v>0</v>
      </c>
      <c r="P92" s="195">
        <f t="shared" ref="P92" si="82">L92</f>
        <v>6000</v>
      </c>
      <c r="Q92" s="196">
        <f>'Program Budget'!R93</f>
        <v>0</v>
      </c>
      <c r="R92" s="197">
        <v>0</v>
      </c>
      <c r="S92" s="198">
        <f t="shared" ref="S92" si="83">P92*Q92*R92</f>
        <v>0</v>
      </c>
      <c r="T92" s="333">
        <f t="shared" ref="T92" si="84">C92+G92+K92+O92+S92</f>
        <v>6000</v>
      </c>
      <c r="AB92" s="163"/>
      <c r="AC92" s="203"/>
      <c r="AD92" s="268"/>
    </row>
    <row r="93" spans="1:30" ht="15.6" outlineLevel="1">
      <c r="A93" s="269" t="str">
        <f>'Program Budget'!D94</f>
        <v xml:space="preserve">Monitoring Guidelines Staff Training Workshop </v>
      </c>
      <c r="B93" s="194" t="str">
        <f>'Program Budget'!F94</f>
        <v xml:space="preserve">Workshop </v>
      </c>
      <c r="C93" s="195">
        <f>'Program Budget'!E94</f>
        <v>63.84</v>
      </c>
      <c r="D93" s="195">
        <f>'Program Budget'!G94</f>
        <v>6800</v>
      </c>
      <c r="E93" s="196">
        <f>'Program Budget'!I94</f>
        <v>1</v>
      </c>
      <c r="F93" s="197">
        <v>1</v>
      </c>
      <c r="G93" s="195">
        <f>D93*E93*F93</f>
        <v>6800</v>
      </c>
      <c r="H93" s="195">
        <f>D93</f>
        <v>6800</v>
      </c>
      <c r="I93" s="196">
        <f>'Program Budget'!L94</f>
        <v>1</v>
      </c>
      <c r="J93" s="197">
        <v>1</v>
      </c>
      <c r="K93" s="198">
        <f>H93*I93*J93</f>
        <v>6800</v>
      </c>
      <c r="L93" s="195">
        <f>H93</f>
        <v>6800</v>
      </c>
      <c r="M93" s="196">
        <f>'Program Budget'!O94</f>
        <v>1</v>
      </c>
      <c r="N93" s="197">
        <v>1</v>
      </c>
      <c r="O93" s="198">
        <f>L93*M93*N93</f>
        <v>6800</v>
      </c>
      <c r="P93" s="195">
        <f>L93</f>
        <v>6800</v>
      </c>
      <c r="Q93" s="196">
        <f>'Program Budget'!R94</f>
        <v>0</v>
      </c>
      <c r="R93" s="197">
        <v>0</v>
      </c>
      <c r="S93" s="198">
        <f>P93*Q93*R93</f>
        <v>0</v>
      </c>
      <c r="T93" s="333">
        <f>C93+G93+K93+O93+S93</f>
        <v>20463.84</v>
      </c>
      <c r="AB93" s="163"/>
      <c r="AC93" s="203"/>
      <c r="AD93" s="268"/>
    </row>
    <row r="94" spans="1:30" ht="15.6" outlineLevel="1">
      <c r="A94" s="190" t="s">
        <v>178</v>
      </c>
      <c r="B94" s="194"/>
      <c r="C94" s="195"/>
      <c r="D94" s="195"/>
      <c r="E94" s="196"/>
      <c r="F94" s="197"/>
      <c r="G94" s="195"/>
      <c r="H94" s="195"/>
      <c r="I94" s="196"/>
      <c r="J94" s="197"/>
      <c r="K94" s="198"/>
      <c r="L94" s="195"/>
      <c r="M94" s="196"/>
      <c r="N94" s="197"/>
      <c r="O94" s="198"/>
      <c r="P94" s="195"/>
      <c r="Q94" s="196"/>
      <c r="R94" s="197"/>
      <c r="S94" s="198"/>
      <c r="T94" s="333"/>
      <c r="AB94" s="163"/>
      <c r="AC94" s="203"/>
      <c r="AD94" s="268"/>
    </row>
    <row r="95" spans="1:30" ht="15.6" outlineLevel="1">
      <c r="A95" s="269" t="str">
        <f>'Program Budget'!D96</f>
        <v>M&amp;E Software Setup</v>
      </c>
      <c r="B95" s="194" t="str">
        <f>'Program Budget'!F96</f>
        <v>Year</v>
      </c>
      <c r="C95" s="195">
        <f>'Program Budget'!E96</f>
        <v>33269.83</v>
      </c>
      <c r="D95" s="195">
        <f>'Program Budget'!G96</f>
        <v>33269.83</v>
      </c>
      <c r="E95" s="196">
        <f>'Program Budget'!I96</f>
        <v>0</v>
      </c>
      <c r="F95" s="197">
        <v>0</v>
      </c>
      <c r="G95" s="195">
        <f t="shared" ref="G95" si="85">D95*E95*F95</f>
        <v>0</v>
      </c>
      <c r="H95" s="195">
        <f t="shared" ref="H95" si="86">D95</f>
        <v>33269.83</v>
      </c>
      <c r="I95" s="196">
        <f>'Program Budget'!L96</f>
        <v>0</v>
      </c>
      <c r="J95" s="197">
        <v>0</v>
      </c>
      <c r="K95" s="198">
        <f t="shared" ref="K95" si="87">H95*I95*J95</f>
        <v>0</v>
      </c>
      <c r="L95" s="195">
        <f t="shared" ref="L95" si="88">H95</f>
        <v>33269.83</v>
      </c>
      <c r="M95" s="196">
        <f>'Program Budget'!O96</f>
        <v>0</v>
      </c>
      <c r="N95" s="197">
        <v>0</v>
      </c>
      <c r="O95" s="198">
        <f t="shared" ref="O95" si="89">L95*M95*N95</f>
        <v>0</v>
      </c>
      <c r="P95" s="195">
        <f t="shared" ref="P95" si="90">L95</f>
        <v>33269.83</v>
      </c>
      <c r="Q95" s="196">
        <f>'Program Budget'!R96</f>
        <v>0</v>
      </c>
      <c r="R95" s="197">
        <v>0</v>
      </c>
      <c r="S95" s="198">
        <f t="shared" ref="S95" si="91">P95*Q95*R95</f>
        <v>0</v>
      </c>
      <c r="T95" s="333">
        <f t="shared" ref="T95" si="92">C95+G95+K95+O95+S95</f>
        <v>33269.83</v>
      </c>
      <c r="AB95" s="163"/>
      <c r="AC95" s="203"/>
      <c r="AD95" s="268"/>
    </row>
    <row r="96" spans="1:30" ht="15.6" outlineLevel="1">
      <c r="A96" s="269" t="str">
        <f>'Program Budget'!D97</f>
        <v>M&amp;E Software Fee (Annual)</v>
      </c>
      <c r="B96" s="194" t="str">
        <f>'Program Budget'!F97</f>
        <v>Year</v>
      </c>
      <c r="C96" s="195">
        <f>'Program Budget'!E97</f>
        <v>44624.18</v>
      </c>
      <c r="D96" s="195">
        <f>'Program Budget'!G97</f>
        <v>10000</v>
      </c>
      <c r="E96" s="196">
        <f>'Program Budget'!I97</f>
        <v>1</v>
      </c>
      <c r="F96" s="197">
        <v>1</v>
      </c>
      <c r="G96" s="195">
        <f t="shared" ref="G96" si="93">D96*E96*F96</f>
        <v>10000</v>
      </c>
      <c r="H96" s="195">
        <f t="shared" ref="H96" si="94">D96</f>
        <v>10000</v>
      </c>
      <c r="I96" s="196">
        <f>'Program Budget'!L97</f>
        <v>1</v>
      </c>
      <c r="J96" s="197">
        <v>1</v>
      </c>
      <c r="K96" s="198">
        <f t="shared" ref="K96" si="95">H96*I96*J96</f>
        <v>10000</v>
      </c>
      <c r="L96" s="195">
        <f t="shared" ref="L96" si="96">H96</f>
        <v>10000</v>
      </c>
      <c r="M96" s="196">
        <f>'Program Budget'!O97</f>
        <v>1</v>
      </c>
      <c r="N96" s="197">
        <v>1</v>
      </c>
      <c r="O96" s="198">
        <f t="shared" ref="O96" si="97">L96*M96*N96</f>
        <v>10000</v>
      </c>
      <c r="P96" s="195">
        <f t="shared" ref="P96" si="98">L96</f>
        <v>10000</v>
      </c>
      <c r="Q96" s="196">
        <f>'Program Budget'!R97</f>
        <v>1</v>
      </c>
      <c r="R96" s="197">
        <v>1</v>
      </c>
      <c r="S96" s="198">
        <f t="shared" ref="S96" si="99">P96*Q96*R96</f>
        <v>10000</v>
      </c>
      <c r="T96" s="333">
        <f t="shared" ref="T96" si="100">C96+G96+K96+O96+S96</f>
        <v>84624.18</v>
      </c>
      <c r="AB96" s="163"/>
      <c r="AC96" s="203"/>
      <c r="AD96" s="268"/>
    </row>
    <row r="97" spans="1:30" ht="15.6" outlineLevel="1">
      <c r="A97" s="269" t="str">
        <f>'Program Budget'!D98</f>
        <v>M&amp;E Software Training</v>
      </c>
      <c r="B97" s="194" t="str">
        <f>'Program Budget'!F98</f>
        <v>Year</v>
      </c>
      <c r="C97" s="195">
        <f>'Program Budget'!E98</f>
        <v>0</v>
      </c>
      <c r="D97" s="195">
        <f>'Program Budget'!G98</f>
        <v>0</v>
      </c>
      <c r="E97" s="196">
        <f>'Program Budget'!I98</f>
        <v>1</v>
      </c>
      <c r="F97" s="197">
        <v>1</v>
      </c>
      <c r="G97" s="195">
        <f t="shared" ref="G97" si="101">D97*E97*F97</f>
        <v>0</v>
      </c>
      <c r="H97" s="195">
        <f t="shared" ref="H97" si="102">D97</f>
        <v>0</v>
      </c>
      <c r="I97" s="196">
        <f>'Program Budget'!L98</f>
        <v>0</v>
      </c>
      <c r="J97" s="197">
        <v>0</v>
      </c>
      <c r="K97" s="198">
        <f t="shared" ref="K97" si="103">H97*I97*J97</f>
        <v>0</v>
      </c>
      <c r="L97" s="195">
        <f t="shared" ref="L97" si="104">H97</f>
        <v>0</v>
      </c>
      <c r="M97" s="196">
        <f>'Program Budget'!O98</f>
        <v>0</v>
      </c>
      <c r="N97" s="197">
        <v>0</v>
      </c>
      <c r="O97" s="198">
        <f t="shared" ref="O97" si="105">L97*M97*N97</f>
        <v>0</v>
      </c>
      <c r="P97" s="195">
        <f t="shared" ref="P97" si="106">L97</f>
        <v>0</v>
      </c>
      <c r="Q97" s="196">
        <f>'Program Budget'!R98</f>
        <v>0</v>
      </c>
      <c r="R97" s="197">
        <v>0</v>
      </c>
      <c r="S97" s="198">
        <f t="shared" ref="S97" si="107">P97*Q97*R97</f>
        <v>0</v>
      </c>
      <c r="T97" s="333">
        <f t="shared" ref="T97" si="108">C97+G97+K97+O97+S97</f>
        <v>0</v>
      </c>
      <c r="AB97" s="163"/>
      <c r="AC97" s="203"/>
      <c r="AD97" s="268"/>
    </row>
    <row r="98" spans="1:30" outlineLevel="1">
      <c r="A98" s="326"/>
      <c r="B98" s="216"/>
      <c r="C98" s="198"/>
      <c r="D98" s="270"/>
      <c r="E98" s="271"/>
      <c r="F98" s="160"/>
      <c r="G98" s="198"/>
      <c r="H98" s="270"/>
      <c r="I98" s="271"/>
      <c r="K98" s="198"/>
      <c r="L98" s="270"/>
      <c r="M98" s="271"/>
      <c r="N98" s="160"/>
      <c r="O98" s="198"/>
      <c r="P98" s="270"/>
      <c r="Q98" s="271"/>
      <c r="R98" s="160"/>
      <c r="S98" s="198"/>
      <c r="T98" s="338"/>
      <c r="AB98" s="163">
        <v>319</v>
      </c>
      <c r="AC98" s="203" t="s">
        <v>562</v>
      </c>
      <c r="AD98" s="268" t="s">
        <v>563</v>
      </c>
    </row>
    <row r="99" spans="1:30" ht="18.3" outlineLevel="1">
      <c r="A99" s="261" t="s">
        <v>527</v>
      </c>
      <c r="B99" s="227"/>
      <c r="C99" s="231">
        <f>SUM(C80:C98)</f>
        <v>1469246.1800000002</v>
      </c>
      <c r="D99" s="228"/>
      <c r="E99" s="262"/>
      <c r="F99" s="232"/>
      <c r="G99" s="231">
        <f>SUM(G80:G98)</f>
        <v>501849</v>
      </c>
      <c r="H99" s="228"/>
      <c r="I99" s="262"/>
      <c r="J99" s="263"/>
      <c r="K99" s="231">
        <f>SUM(K80:K98)</f>
        <v>72725</v>
      </c>
      <c r="L99" s="228"/>
      <c r="M99" s="262"/>
      <c r="N99" s="232"/>
      <c r="O99" s="231">
        <f>SUM(O80:O98)</f>
        <v>116725</v>
      </c>
      <c r="P99" s="228"/>
      <c r="Q99" s="262"/>
      <c r="R99" s="232"/>
      <c r="S99" s="231">
        <f>SUM(S80:S98)</f>
        <v>265175</v>
      </c>
      <c r="T99" s="336">
        <f>+C99+G99+K99+O99+S99</f>
        <v>2425720.1800000002</v>
      </c>
      <c r="AB99" s="163"/>
      <c r="AC99" s="203"/>
      <c r="AD99" s="268"/>
    </row>
    <row r="100" spans="1:30" ht="15.6" outlineLevel="1">
      <c r="A100" s="190" t="s">
        <v>528</v>
      </c>
      <c r="B100" s="273"/>
      <c r="C100" s="198"/>
      <c r="E100" s="265"/>
      <c r="G100" s="200"/>
      <c r="I100" s="265"/>
      <c r="K100" s="200"/>
      <c r="M100" s="265"/>
      <c r="O100" s="200"/>
      <c r="Q100" s="265"/>
      <c r="S100" s="200"/>
      <c r="T100" s="333"/>
      <c r="AB100" s="163"/>
    </row>
    <row r="101" spans="1:30" ht="15.6" outlineLevel="1">
      <c r="A101" s="269" t="str">
        <f>'Program Budget'!D104</f>
        <v>Vehicles for Field Office</v>
      </c>
      <c r="B101" s="194" t="str">
        <f>'Program Budget'!F104</f>
        <v>Unit</v>
      </c>
      <c r="C101" s="198">
        <f>'Program Budget'!E104</f>
        <v>72554.429999999993</v>
      </c>
      <c r="D101" s="195">
        <f>'Program Budget'!G104</f>
        <v>72554.429999999993</v>
      </c>
      <c r="E101" s="196">
        <f>'Program Budget'!I104</f>
        <v>0</v>
      </c>
      <c r="F101" s="197">
        <v>0</v>
      </c>
      <c r="G101" s="198">
        <f t="shared" ref="G101" si="109">D101*E101*F101</f>
        <v>0</v>
      </c>
      <c r="H101" s="195">
        <f t="shared" ref="H101" si="110">D101</f>
        <v>72554.429999999993</v>
      </c>
      <c r="I101" s="196">
        <f>'Program Budget'!L104</f>
        <v>0</v>
      </c>
      <c r="J101" s="197">
        <v>0</v>
      </c>
      <c r="K101" s="198">
        <f t="shared" ref="K101" si="111">H101*I101*J101</f>
        <v>0</v>
      </c>
      <c r="L101" s="195">
        <f t="shared" ref="L101" si="112">H101</f>
        <v>72554.429999999993</v>
      </c>
      <c r="M101" s="196">
        <f>'Program Budget'!O104</f>
        <v>0</v>
      </c>
      <c r="N101" s="197">
        <v>0</v>
      </c>
      <c r="O101" s="198">
        <f t="shared" ref="O101" si="113">L101*M101*N101</f>
        <v>0</v>
      </c>
      <c r="P101" s="195">
        <f>L101</f>
        <v>72554.429999999993</v>
      </c>
      <c r="Q101" s="196">
        <f>'Program Budget'!R104</f>
        <v>0</v>
      </c>
      <c r="R101" s="197">
        <v>0</v>
      </c>
      <c r="S101" s="198">
        <f t="shared" ref="S101" si="114">P101*Q101*R101</f>
        <v>0</v>
      </c>
      <c r="T101" s="333">
        <f t="shared" ref="T101" si="115">C101+G101+K101+O101+S101</f>
        <v>72554.429999999993</v>
      </c>
      <c r="AB101" s="163"/>
      <c r="AC101" s="203"/>
      <c r="AD101" s="268"/>
    </row>
    <row r="102" spans="1:30" outlineLevel="1">
      <c r="A102" s="325"/>
      <c r="B102" s="216"/>
      <c r="C102" s="198"/>
      <c r="E102" s="265"/>
      <c r="F102" s="160"/>
      <c r="G102" s="198"/>
      <c r="I102" s="265"/>
      <c r="K102" s="198"/>
      <c r="M102" s="265"/>
      <c r="N102" s="160"/>
      <c r="O102" s="198"/>
      <c r="Q102" s="265"/>
      <c r="R102" s="160"/>
      <c r="S102" s="198"/>
      <c r="T102" s="333"/>
      <c r="AB102" s="163">
        <v>297</v>
      </c>
      <c r="AC102" s="203" t="s">
        <v>564</v>
      </c>
      <c r="AD102" s="203" t="s">
        <v>565</v>
      </c>
    </row>
    <row r="103" spans="1:30" ht="18.3" outlineLevel="1">
      <c r="A103" s="261" t="s">
        <v>529</v>
      </c>
      <c r="B103" s="227"/>
      <c r="C103" s="231">
        <f>SUM(C101:C102)</f>
        <v>72554.429999999993</v>
      </c>
      <c r="D103" s="228"/>
      <c r="E103" s="262"/>
      <c r="F103" s="232"/>
      <c r="G103" s="231">
        <f>SUM(G101:G102)</f>
        <v>0</v>
      </c>
      <c r="H103" s="228"/>
      <c r="I103" s="262"/>
      <c r="J103" s="263"/>
      <c r="K103" s="231">
        <f>SUM(K101:K102)</f>
        <v>0</v>
      </c>
      <c r="L103" s="228"/>
      <c r="M103" s="262"/>
      <c r="N103" s="232"/>
      <c r="O103" s="231">
        <f>SUM(O101:O102)</f>
        <v>0</v>
      </c>
      <c r="P103" s="228"/>
      <c r="Q103" s="262"/>
      <c r="R103" s="232"/>
      <c r="S103" s="231">
        <f>SUM(S101:S102)</f>
        <v>0</v>
      </c>
      <c r="T103" s="336">
        <f>+C103+G103+K103+O103+S103</f>
        <v>72554.429999999993</v>
      </c>
      <c r="AB103" s="163"/>
      <c r="AC103" s="203"/>
      <c r="AD103" s="268"/>
    </row>
    <row r="104" spans="1:30" ht="15.6" outlineLevel="1">
      <c r="A104" s="190" t="s">
        <v>33</v>
      </c>
      <c r="B104" s="216"/>
      <c r="C104" s="198"/>
      <c r="E104" s="265"/>
      <c r="F104" s="160"/>
      <c r="G104" s="198"/>
      <c r="I104" s="265"/>
      <c r="K104" s="198"/>
      <c r="M104" s="265"/>
      <c r="N104" s="160"/>
      <c r="O104" s="198"/>
      <c r="Q104" s="265"/>
      <c r="R104" s="160"/>
      <c r="S104" s="198"/>
      <c r="T104" s="333"/>
      <c r="AB104" s="163"/>
      <c r="AC104" s="203"/>
      <c r="AD104" s="203"/>
    </row>
    <row r="105" spans="1:30" ht="15.6" outlineLevel="1">
      <c r="A105" s="269" t="str">
        <f>'Program Budget'!D110</f>
        <v>Courier fees/services/Postage</v>
      </c>
      <c r="B105" s="194" t="str">
        <f>'Program Budget'!F110</f>
        <v>Month</v>
      </c>
      <c r="C105" s="198">
        <f>'Program Budget'!E110</f>
        <v>1093.45</v>
      </c>
      <c r="D105" s="195">
        <f>'Program Budget'!G110</f>
        <v>30</v>
      </c>
      <c r="E105" s="196">
        <f>'Program Budget'!I110</f>
        <v>12</v>
      </c>
      <c r="F105" s="197">
        <v>1</v>
      </c>
      <c r="G105" s="198">
        <f>D105*E105*F105</f>
        <v>360</v>
      </c>
      <c r="H105" s="195">
        <f>D105*1.04</f>
        <v>31.200000000000003</v>
      </c>
      <c r="I105" s="196">
        <f>'Program Budget'!L110</f>
        <v>12</v>
      </c>
      <c r="J105" s="197">
        <v>1</v>
      </c>
      <c r="K105" s="198">
        <f>H105*I105*J105</f>
        <v>374.40000000000003</v>
      </c>
      <c r="L105" s="195">
        <f>H105*1.04</f>
        <v>32.448000000000008</v>
      </c>
      <c r="M105" s="196">
        <f>'Program Budget'!O110</f>
        <v>12</v>
      </c>
      <c r="N105" s="197">
        <v>1</v>
      </c>
      <c r="O105" s="198">
        <f>L105*M105*N105</f>
        <v>389.37600000000009</v>
      </c>
      <c r="P105" s="195">
        <f>L105*1.04</f>
        <v>33.745920000000012</v>
      </c>
      <c r="Q105" s="196">
        <f>'Program Budget'!R110</f>
        <v>6</v>
      </c>
      <c r="R105" s="197">
        <v>1</v>
      </c>
      <c r="S105" s="198">
        <f>P105*Q105*R105</f>
        <v>202.47552000000007</v>
      </c>
      <c r="T105" s="333">
        <f>C105+G105+K105+O105+S105</f>
        <v>2419.7015200000001</v>
      </c>
      <c r="AB105" s="163"/>
      <c r="AC105" s="203"/>
      <c r="AD105" s="268"/>
    </row>
    <row r="106" spans="1:30" ht="15.6" outlineLevel="1">
      <c r="A106" s="269" t="str">
        <f>'Program Budget'!D111</f>
        <v xml:space="preserve">Email/Internet </v>
      </c>
      <c r="B106" s="194" t="str">
        <f>'Program Budget'!F111</f>
        <v>Month</v>
      </c>
      <c r="C106" s="198">
        <f>'Program Budget'!E111</f>
        <v>17482.46</v>
      </c>
      <c r="D106" s="195">
        <f>'Program Budget'!G111</f>
        <v>375</v>
      </c>
      <c r="E106" s="196">
        <f>'Program Budget'!I111</f>
        <v>12</v>
      </c>
      <c r="F106" s="197">
        <v>1</v>
      </c>
      <c r="G106" s="198">
        <f t="shared" ref="G106:G107" si="116">D106*E106*F106</f>
        <v>4500</v>
      </c>
      <c r="H106" s="195">
        <f t="shared" ref="H106:H111" si="117">D106*1.04</f>
        <v>390</v>
      </c>
      <c r="I106" s="196">
        <f>'Program Budget'!L111</f>
        <v>12</v>
      </c>
      <c r="J106" s="197">
        <v>1</v>
      </c>
      <c r="K106" s="198">
        <f t="shared" ref="K106:K107" si="118">H106*I106*J106</f>
        <v>4680</v>
      </c>
      <c r="L106" s="195">
        <f t="shared" ref="L106:L111" si="119">H106*1.04</f>
        <v>405.6</v>
      </c>
      <c r="M106" s="196">
        <f>'Program Budget'!O111</f>
        <v>12</v>
      </c>
      <c r="N106" s="197">
        <v>1</v>
      </c>
      <c r="O106" s="198">
        <f t="shared" ref="O106:O107" si="120">L106*M106*N106</f>
        <v>4867.2000000000007</v>
      </c>
      <c r="P106" s="195">
        <f t="shared" ref="P106:P111" si="121">L106*1.04</f>
        <v>421.82400000000001</v>
      </c>
      <c r="Q106" s="196">
        <f>'Program Budget'!R111</f>
        <v>6</v>
      </c>
      <c r="R106" s="197">
        <v>1</v>
      </c>
      <c r="S106" s="198">
        <f t="shared" ref="S106:S107" si="122">P106*Q106*R106</f>
        <v>2530.944</v>
      </c>
      <c r="T106" s="333">
        <f t="shared" ref="T106:T107" si="123">C106+G106+K106+O106+S106</f>
        <v>34060.603999999999</v>
      </c>
      <c r="AB106" s="163"/>
      <c r="AC106" s="203"/>
      <c r="AD106" s="268"/>
    </row>
    <row r="107" spans="1:30" ht="15.6" outlineLevel="1">
      <c r="A107" s="269" t="str">
        <f>'Program Budget'!D112</f>
        <v xml:space="preserve">Recruitment/Procurement Advertising </v>
      </c>
      <c r="B107" s="194" t="str">
        <f>'Program Budget'!F112</f>
        <v>Year</v>
      </c>
      <c r="C107" s="198">
        <f>'Program Budget'!E112</f>
        <v>15559.669999999998</v>
      </c>
      <c r="D107" s="195">
        <f>'Program Budget'!G112</f>
        <v>3500</v>
      </c>
      <c r="E107" s="196">
        <f>'Program Budget'!I112</f>
        <v>1</v>
      </c>
      <c r="F107" s="197">
        <v>1</v>
      </c>
      <c r="G107" s="198">
        <f t="shared" si="116"/>
        <v>3500</v>
      </c>
      <c r="H107" s="195">
        <f t="shared" si="117"/>
        <v>3640</v>
      </c>
      <c r="I107" s="196">
        <f>'Program Budget'!L112</f>
        <v>1</v>
      </c>
      <c r="J107" s="197">
        <v>1</v>
      </c>
      <c r="K107" s="198">
        <f t="shared" si="118"/>
        <v>3640</v>
      </c>
      <c r="L107" s="195">
        <f t="shared" si="119"/>
        <v>3785.6</v>
      </c>
      <c r="M107" s="196">
        <f>'Program Budget'!O112</f>
        <v>1</v>
      </c>
      <c r="N107" s="197">
        <v>1</v>
      </c>
      <c r="O107" s="198">
        <f t="shared" si="120"/>
        <v>3785.6</v>
      </c>
      <c r="P107" s="195">
        <f t="shared" si="121"/>
        <v>3937.0239999999999</v>
      </c>
      <c r="Q107" s="196">
        <f>'Program Budget'!R112</f>
        <v>0.5</v>
      </c>
      <c r="R107" s="197">
        <v>1</v>
      </c>
      <c r="S107" s="198">
        <f t="shared" si="122"/>
        <v>1968.5119999999999</v>
      </c>
      <c r="T107" s="333">
        <f t="shared" si="123"/>
        <v>28453.781999999996</v>
      </c>
      <c r="AB107" s="163"/>
      <c r="AC107" s="203"/>
      <c r="AD107" s="268"/>
    </row>
    <row r="108" spans="1:30" ht="15.6" outlineLevel="1">
      <c r="A108" s="269" t="str">
        <f>'Program Budget'!D113</f>
        <v>Office Rent, Utilities &amp; Security (Bogota)</v>
      </c>
      <c r="B108" s="194" t="str">
        <f>'Program Budget'!F113</f>
        <v>Month</v>
      </c>
      <c r="C108" s="198">
        <f>'Program Budget'!E113</f>
        <v>114429.83</v>
      </c>
      <c r="D108" s="195">
        <f>'Program Budget'!G113</f>
        <v>4000</v>
      </c>
      <c r="E108" s="196">
        <f>'Program Budget'!I113</f>
        <v>12</v>
      </c>
      <c r="F108" s="197">
        <v>1</v>
      </c>
      <c r="G108" s="198">
        <f>D108*E108*F108</f>
        <v>48000</v>
      </c>
      <c r="H108" s="195">
        <f t="shared" si="117"/>
        <v>4160</v>
      </c>
      <c r="I108" s="196">
        <f>'Program Budget'!L113</f>
        <v>12</v>
      </c>
      <c r="J108" s="197">
        <v>1</v>
      </c>
      <c r="K108" s="198">
        <f>H108*I108*J108</f>
        <v>49920</v>
      </c>
      <c r="L108" s="195">
        <f t="shared" si="119"/>
        <v>4326.4000000000005</v>
      </c>
      <c r="M108" s="196">
        <f>'Program Budget'!O113</f>
        <v>12</v>
      </c>
      <c r="N108" s="197">
        <v>1</v>
      </c>
      <c r="O108" s="198">
        <f>L108*M108*N108</f>
        <v>51916.800000000003</v>
      </c>
      <c r="P108" s="195">
        <f t="shared" si="121"/>
        <v>4499.456000000001</v>
      </c>
      <c r="Q108" s="196">
        <f>'Program Budget'!R113</f>
        <v>6</v>
      </c>
      <c r="R108" s="197">
        <v>1</v>
      </c>
      <c r="S108" s="198">
        <f>P108*Q108*R108</f>
        <v>26996.736000000004</v>
      </c>
      <c r="T108" s="333">
        <f>C108+G108+K108+O108+S108</f>
        <v>291263.36600000004</v>
      </c>
      <c r="AB108" s="163"/>
      <c r="AC108" s="203"/>
      <c r="AD108" s="268"/>
    </row>
    <row r="109" spans="1:30" ht="15.6" outlineLevel="1">
      <c r="A109" s="269" t="str">
        <f>'Program Budget'!D114</f>
        <v>Banking and Cash Handling Fees</v>
      </c>
      <c r="B109" s="194" t="str">
        <f>'Program Budget'!F114</f>
        <v>Month</v>
      </c>
      <c r="C109" s="198">
        <f>'Program Budget'!E114</f>
        <v>6601.99</v>
      </c>
      <c r="D109" s="195">
        <f>'Program Budget'!G114</f>
        <v>200</v>
      </c>
      <c r="E109" s="196">
        <f>'Program Budget'!I114</f>
        <v>12</v>
      </c>
      <c r="F109" s="197">
        <v>1</v>
      </c>
      <c r="G109" s="198">
        <f t="shared" ref="G109:G111" si="124">D109*E109*F109</f>
        <v>2400</v>
      </c>
      <c r="H109" s="195">
        <f t="shared" si="117"/>
        <v>208</v>
      </c>
      <c r="I109" s="196">
        <f>'Program Budget'!L114</f>
        <v>12</v>
      </c>
      <c r="J109" s="197">
        <v>1</v>
      </c>
      <c r="K109" s="198">
        <f t="shared" ref="K109:K111" si="125">H109*I109*J109</f>
        <v>2496</v>
      </c>
      <c r="L109" s="195">
        <f t="shared" si="119"/>
        <v>216.32</v>
      </c>
      <c r="M109" s="196">
        <f>'Program Budget'!O114</f>
        <v>12</v>
      </c>
      <c r="N109" s="197">
        <v>1</v>
      </c>
      <c r="O109" s="198">
        <f t="shared" ref="O109:O111" si="126">L109*M109*N109</f>
        <v>2595.84</v>
      </c>
      <c r="P109" s="195">
        <f t="shared" si="121"/>
        <v>224.97280000000001</v>
      </c>
      <c r="Q109" s="196">
        <f>'Program Budget'!R114</f>
        <v>6</v>
      </c>
      <c r="R109" s="197">
        <v>1</v>
      </c>
      <c r="S109" s="198">
        <f t="shared" ref="S109:S111" si="127">P109*Q109*R109</f>
        <v>1349.8368</v>
      </c>
      <c r="T109" s="333">
        <f t="shared" ref="T109:T111" si="128">C109+G109+K109+O109+S109</f>
        <v>15443.666799999999</v>
      </c>
      <c r="AB109" s="163"/>
      <c r="AC109" s="203"/>
      <c r="AD109" s="268"/>
    </row>
    <row r="110" spans="1:30" ht="15.6" outlineLevel="1">
      <c r="A110" s="269" t="str">
        <f>'Program Budget'!D115</f>
        <v>Office Meeting Expenses and IT/Communications</v>
      </c>
      <c r="B110" s="194" t="str">
        <f>'Program Budget'!F115</f>
        <v>Month</v>
      </c>
      <c r="C110" s="198">
        <f>'Program Budget'!E115</f>
        <v>23514.01</v>
      </c>
      <c r="D110" s="195">
        <f>'Program Budget'!G115</f>
        <v>600</v>
      </c>
      <c r="E110" s="196">
        <f>'Program Budget'!I115</f>
        <v>12</v>
      </c>
      <c r="F110" s="197">
        <v>1</v>
      </c>
      <c r="G110" s="198">
        <f t="shared" si="124"/>
        <v>7200</v>
      </c>
      <c r="H110" s="195">
        <f t="shared" si="117"/>
        <v>624</v>
      </c>
      <c r="I110" s="196">
        <f>'Program Budget'!L115</f>
        <v>12</v>
      </c>
      <c r="J110" s="197">
        <v>1</v>
      </c>
      <c r="K110" s="198">
        <f t="shared" si="125"/>
        <v>7488</v>
      </c>
      <c r="L110" s="195">
        <f t="shared" si="119"/>
        <v>648.96</v>
      </c>
      <c r="M110" s="196">
        <f>'Program Budget'!O115</f>
        <v>12</v>
      </c>
      <c r="N110" s="197">
        <v>1</v>
      </c>
      <c r="O110" s="198">
        <f t="shared" si="126"/>
        <v>7787.52</v>
      </c>
      <c r="P110" s="195">
        <f t="shared" si="121"/>
        <v>674.91840000000002</v>
      </c>
      <c r="Q110" s="196">
        <f>'Program Budget'!R115</f>
        <v>6</v>
      </c>
      <c r="R110" s="197">
        <v>1</v>
      </c>
      <c r="S110" s="198">
        <f t="shared" si="127"/>
        <v>4049.5104000000001</v>
      </c>
      <c r="T110" s="333">
        <f t="shared" si="128"/>
        <v>50039.040399999998</v>
      </c>
      <c r="AB110" s="163"/>
      <c r="AC110" s="203"/>
      <c r="AD110" s="268"/>
    </row>
    <row r="111" spans="1:30" ht="15.6" outlineLevel="1">
      <c r="A111" s="269" t="str">
        <f>'Program Budget'!D116</f>
        <v>Licenses &amp; Subscriptions</v>
      </c>
      <c r="B111" s="194" t="str">
        <f>'Program Budget'!F116</f>
        <v>Month</v>
      </c>
      <c r="C111" s="198">
        <f>'Program Budget'!E116</f>
        <v>41970.409999999996</v>
      </c>
      <c r="D111" s="195">
        <f>'Program Budget'!G116</f>
        <v>1495.3333333333333</v>
      </c>
      <c r="E111" s="196">
        <f>'Program Budget'!I116</f>
        <v>12</v>
      </c>
      <c r="F111" s="197">
        <v>1</v>
      </c>
      <c r="G111" s="198">
        <f t="shared" si="124"/>
        <v>17944</v>
      </c>
      <c r="H111" s="195">
        <f t="shared" si="117"/>
        <v>1555.1466666666665</v>
      </c>
      <c r="I111" s="196">
        <f>'Program Budget'!L116</f>
        <v>12</v>
      </c>
      <c r="J111" s="197">
        <v>1</v>
      </c>
      <c r="K111" s="198">
        <f t="shared" si="125"/>
        <v>18661.759999999998</v>
      </c>
      <c r="L111" s="195">
        <f t="shared" si="119"/>
        <v>1617.3525333333332</v>
      </c>
      <c r="M111" s="196">
        <f>'Program Budget'!O116</f>
        <v>12</v>
      </c>
      <c r="N111" s="197">
        <v>1</v>
      </c>
      <c r="O111" s="198">
        <f t="shared" si="126"/>
        <v>19408.2304</v>
      </c>
      <c r="P111" s="195">
        <f t="shared" si="121"/>
        <v>1682.0466346666667</v>
      </c>
      <c r="Q111" s="196">
        <f>'Program Budget'!R116</f>
        <v>6</v>
      </c>
      <c r="R111" s="197">
        <v>1</v>
      </c>
      <c r="S111" s="198">
        <f t="shared" si="127"/>
        <v>10092.279807999999</v>
      </c>
      <c r="T111" s="333">
        <f t="shared" si="128"/>
        <v>108076.68020800001</v>
      </c>
      <c r="AB111" s="163"/>
      <c r="AC111" s="203"/>
      <c r="AD111" s="268"/>
    </row>
    <row r="112" spans="1:30" outlineLevel="1">
      <c r="A112" s="325"/>
      <c r="B112" s="216"/>
      <c r="C112" s="198"/>
      <c r="E112" s="265"/>
      <c r="F112" s="160"/>
      <c r="G112" s="198"/>
      <c r="I112" s="265"/>
      <c r="K112" s="198"/>
      <c r="M112" s="265"/>
      <c r="N112" s="160"/>
      <c r="O112" s="198"/>
      <c r="Q112" s="265"/>
      <c r="R112" s="160"/>
      <c r="S112" s="198"/>
      <c r="T112" s="333"/>
      <c r="AB112" s="163"/>
      <c r="AC112" s="203"/>
      <c r="AD112" s="203"/>
    </row>
    <row r="113" spans="1:30" ht="18.3" outlineLevel="1">
      <c r="A113" s="261" t="s">
        <v>530</v>
      </c>
      <c r="B113" s="227"/>
      <c r="C113" s="231">
        <f>SUM(C105:C111)</f>
        <v>220651.82</v>
      </c>
      <c r="D113" s="228"/>
      <c r="E113" s="262"/>
      <c r="F113" s="232"/>
      <c r="G113" s="231">
        <f>SUM(G105:G111)</f>
        <v>83904</v>
      </c>
      <c r="H113" s="228"/>
      <c r="I113" s="262"/>
      <c r="J113" s="263"/>
      <c r="K113" s="231">
        <f>SUM(K105:K111)</f>
        <v>87260.159999999989</v>
      </c>
      <c r="L113" s="228"/>
      <c r="M113" s="262"/>
      <c r="N113" s="232"/>
      <c r="O113" s="231">
        <f>SUM(O105:O111)</f>
        <v>90750.566400000011</v>
      </c>
      <c r="P113" s="228"/>
      <c r="Q113" s="262"/>
      <c r="R113" s="232"/>
      <c r="S113" s="231">
        <f>SUM(S105:S111)</f>
        <v>47190.294527999999</v>
      </c>
      <c r="T113" s="336">
        <f>+C113+G113+K113+O113+S113</f>
        <v>529756.84092799993</v>
      </c>
      <c r="AB113" s="163">
        <v>236</v>
      </c>
      <c r="AC113" s="203" t="s">
        <v>566</v>
      </c>
      <c r="AD113" s="268" t="s">
        <v>567</v>
      </c>
    </row>
    <row r="114" spans="1:30" ht="15.6" outlineLevel="1">
      <c r="A114" s="190" t="s">
        <v>34</v>
      </c>
      <c r="B114" s="264"/>
      <c r="C114" s="248"/>
      <c r="E114" s="265"/>
      <c r="F114" s="267"/>
      <c r="G114" s="221"/>
      <c r="I114" s="265"/>
      <c r="J114" s="266"/>
      <c r="K114" s="221"/>
      <c r="M114" s="265"/>
      <c r="N114" s="267"/>
      <c r="O114" s="221"/>
      <c r="Q114" s="265"/>
      <c r="R114" s="267"/>
      <c r="S114" s="221"/>
      <c r="T114" s="333"/>
      <c r="AB114" s="163">
        <v>236</v>
      </c>
      <c r="AC114" s="203" t="s">
        <v>566</v>
      </c>
      <c r="AD114" s="268" t="s">
        <v>567</v>
      </c>
    </row>
    <row r="115" spans="1:30" ht="15.6" outlineLevel="1">
      <c r="A115" s="269" t="str">
        <f>'Program Budget'!D121</f>
        <v>Motorcycles for Field Office</v>
      </c>
      <c r="B115" s="194" t="str">
        <f>'Program Budget'!F121</f>
        <v>Unit</v>
      </c>
      <c r="C115" s="198">
        <f>'Program Budget'!E121</f>
        <v>0</v>
      </c>
      <c r="D115" s="195">
        <f>'Program Budget'!G121</f>
        <v>1100</v>
      </c>
      <c r="E115" s="196">
        <f>'Program Budget'!I121</f>
        <v>0</v>
      </c>
      <c r="F115" s="197">
        <v>0</v>
      </c>
      <c r="G115" s="198">
        <f t="shared" ref="G115:G117" si="129">D115*E115*F115</f>
        <v>0</v>
      </c>
      <c r="H115" s="195">
        <f>D115</f>
        <v>1100</v>
      </c>
      <c r="I115" s="196">
        <f>'Program Budget'!L121</f>
        <v>0</v>
      </c>
      <c r="J115" s="197">
        <v>0</v>
      </c>
      <c r="K115" s="198">
        <f t="shared" ref="K115:K117" si="130">H115*I115*J115</f>
        <v>0</v>
      </c>
      <c r="L115" s="195">
        <f>H115</f>
        <v>1100</v>
      </c>
      <c r="M115" s="196">
        <f>'Program Budget'!O121</f>
        <v>0</v>
      </c>
      <c r="N115" s="197">
        <v>0</v>
      </c>
      <c r="O115" s="198">
        <f t="shared" ref="O115:O117" si="131">L115*M115*N115</f>
        <v>0</v>
      </c>
      <c r="P115" s="195">
        <f>L115</f>
        <v>1100</v>
      </c>
      <c r="Q115" s="196">
        <f>'Program Budget'!R121</f>
        <v>0</v>
      </c>
      <c r="R115" s="197">
        <v>0</v>
      </c>
      <c r="S115" s="198">
        <f t="shared" ref="S115:S117" si="132">P115*Q115*R115</f>
        <v>0</v>
      </c>
      <c r="T115" s="333">
        <f t="shared" ref="T115:T117" si="133">C115+G115+K115+O115+S115</f>
        <v>0</v>
      </c>
      <c r="AB115" s="163"/>
      <c r="AC115" s="203"/>
      <c r="AD115" s="268"/>
    </row>
    <row r="116" spans="1:30" ht="15.6" outlineLevel="1">
      <c r="A116" s="269" t="str">
        <f>'Program Budget'!D122</f>
        <v xml:space="preserve">Desktop/Laptop Computers </v>
      </c>
      <c r="B116" s="194" t="str">
        <f>'Program Budget'!F122</f>
        <v>Unit</v>
      </c>
      <c r="C116" s="198">
        <f>'Program Budget'!E122</f>
        <v>25417.42</v>
      </c>
      <c r="D116" s="195">
        <f>'Program Budget'!G122</f>
        <v>1250</v>
      </c>
      <c r="E116" s="196">
        <f>'Program Budget'!I122</f>
        <v>2</v>
      </c>
      <c r="F116" s="197">
        <v>1</v>
      </c>
      <c r="G116" s="198">
        <f t="shared" si="129"/>
        <v>2500</v>
      </c>
      <c r="H116" s="195">
        <f t="shared" ref="H116:H120" si="134">D116</f>
        <v>1250</v>
      </c>
      <c r="I116" s="196">
        <f>'Program Budget'!L122</f>
        <v>0</v>
      </c>
      <c r="J116" s="197">
        <v>0</v>
      </c>
      <c r="K116" s="198">
        <f t="shared" si="130"/>
        <v>0</v>
      </c>
      <c r="L116" s="195">
        <f t="shared" ref="L116:L120" si="135">H116</f>
        <v>1250</v>
      </c>
      <c r="M116" s="196">
        <f>'Program Budget'!O122</f>
        <v>0</v>
      </c>
      <c r="N116" s="197">
        <v>0</v>
      </c>
      <c r="O116" s="198">
        <f t="shared" si="131"/>
        <v>0</v>
      </c>
      <c r="P116" s="195">
        <f t="shared" ref="P116:P120" si="136">L116</f>
        <v>1250</v>
      </c>
      <c r="Q116" s="196">
        <f>'Program Budget'!R122</f>
        <v>0</v>
      </c>
      <c r="R116" s="197">
        <v>0</v>
      </c>
      <c r="S116" s="198">
        <f t="shared" si="132"/>
        <v>0</v>
      </c>
      <c r="T116" s="333">
        <f t="shared" si="133"/>
        <v>27917.42</v>
      </c>
      <c r="AB116" s="163"/>
      <c r="AC116" s="203"/>
      <c r="AD116" s="268"/>
    </row>
    <row r="117" spans="1:30" ht="15.6" outlineLevel="1">
      <c r="A117" s="269" t="str">
        <f>'Program Budget'!D123</f>
        <v>Tablets for Rural Data Collection</v>
      </c>
      <c r="B117" s="194" t="str">
        <f>'Program Budget'!F123</f>
        <v>Unit</v>
      </c>
      <c r="C117" s="198">
        <f>'Program Budget'!E123</f>
        <v>10065.73</v>
      </c>
      <c r="D117" s="195">
        <f>'Program Budget'!G123</f>
        <v>850</v>
      </c>
      <c r="E117" s="196">
        <f>'Program Budget'!I123</f>
        <v>0</v>
      </c>
      <c r="F117" s="197">
        <v>0</v>
      </c>
      <c r="G117" s="198">
        <f t="shared" si="129"/>
        <v>0</v>
      </c>
      <c r="H117" s="195">
        <f t="shared" si="134"/>
        <v>850</v>
      </c>
      <c r="I117" s="196">
        <f>'Program Budget'!L123</f>
        <v>2</v>
      </c>
      <c r="J117" s="197">
        <v>1</v>
      </c>
      <c r="K117" s="198">
        <f t="shared" si="130"/>
        <v>1700</v>
      </c>
      <c r="L117" s="195">
        <f t="shared" si="135"/>
        <v>850</v>
      </c>
      <c r="M117" s="196">
        <f>'Program Budget'!O123</f>
        <v>0</v>
      </c>
      <c r="N117" s="197">
        <v>0</v>
      </c>
      <c r="O117" s="198">
        <f t="shared" si="131"/>
        <v>0</v>
      </c>
      <c r="P117" s="195">
        <f t="shared" si="136"/>
        <v>850</v>
      </c>
      <c r="Q117" s="196">
        <f>'Program Budget'!R123</f>
        <v>0</v>
      </c>
      <c r="R117" s="197">
        <v>0</v>
      </c>
      <c r="S117" s="198">
        <f t="shared" si="132"/>
        <v>0</v>
      </c>
      <c r="T117" s="333">
        <f t="shared" si="133"/>
        <v>11765.73</v>
      </c>
      <c r="AB117" s="163"/>
      <c r="AC117" s="203"/>
      <c r="AD117" s="268"/>
    </row>
    <row r="118" spans="1:30" ht="15.6" outlineLevel="1">
      <c r="A118" s="269" t="str">
        <f>'Program Budget'!D124</f>
        <v>All in One: Printer, Photocopier &amp; Scanner</v>
      </c>
      <c r="B118" s="194" t="str">
        <f>'Program Budget'!F124</f>
        <v>Unit</v>
      </c>
      <c r="C118" s="198">
        <f>'Program Budget'!E124</f>
        <v>2255.23</v>
      </c>
      <c r="D118" s="195">
        <f>'Program Budget'!G124</f>
        <v>840</v>
      </c>
      <c r="E118" s="196">
        <f>'Program Budget'!I124</f>
        <v>0</v>
      </c>
      <c r="F118" s="197">
        <v>0</v>
      </c>
      <c r="G118" s="198">
        <f t="shared" ref="G118:G121" si="137">D118*E118*F118</f>
        <v>0</v>
      </c>
      <c r="H118" s="195">
        <f t="shared" si="134"/>
        <v>840</v>
      </c>
      <c r="I118" s="196">
        <f>'Program Budget'!L124</f>
        <v>0</v>
      </c>
      <c r="J118" s="197">
        <v>0</v>
      </c>
      <c r="K118" s="198">
        <f t="shared" ref="K118:K121" si="138">H118*I118*J118</f>
        <v>0</v>
      </c>
      <c r="L118" s="195">
        <f t="shared" si="135"/>
        <v>840</v>
      </c>
      <c r="M118" s="196">
        <f>'Program Budget'!O124</f>
        <v>0</v>
      </c>
      <c r="N118" s="197">
        <v>0</v>
      </c>
      <c r="O118" s="198">
        <f t="shared" ref="O118:O121" si="139">L118*M118*N118</f>
        <v>0</v>
      </c>
      <c r="P118" s="195">
        <f t="shared" si="136"/>
        <v>840</v>
      </c>
      <c r="Q118" s="196">
        <f>'Program Budget'!R124</f>
        <v>0</v>
      </c>
      <c r="R118" s="197">
        <v>0</v>
      </c>
      <c r="S118" s="198">
        <f t="shared" ref="S118:S121" si="140">P118*Q118*R118</f>
        <v>0</v>
      </c>
      <c r="T118" s="333">
        <f t="shared" ref="T118:T121" si="141">C118+G118+K118+O118+S118</f>
        <v>2255.23</v>
      </c>
      <c r="AB118" s="163"/>
      <c r="AC118" s="203"/>
      <c r="AD118" s="268"/>
    </row>
    <row r="119" spans="1:30" ht="15.6" outlineLevel="1">
      <c r="A119" s="269" t="str">
        <f>'Program Budget'!D125</f>
        <v>Projector</v>
      </c>
      <c r="B119" s="194" t="str">
        <f>'Program Budget'!F125</f>
        <v>Unit</v>
      </c>
      <c r="C119" s="198">
        <f>'Program Budget'!E125</f>
        <v>0</v>
      </c>
      <c r="D119" s="195">
        <f>'Program Budget'!G125</f>
        <v>634.5</v>
      </c>
      <c r="E119" s="196">
        <f>'Program Budget'!I125</f>
        <v>0</v>
      </c>
      <c r="F119" s="197">
        <v>0</v>
      </c>
      <c r="G119" s="198">
        <f t="shared" si="137"/>
        <v>0</v>
      </c>
      <c r="H119" s="195">
        <f t="shared" si="134"/>
        <v>634.5</v>
      </c>
      <c r="I119" s="196">
        <f>'Program Budget'!L125</f>
        <v>0</v>
      </c>
      <c r="J119" s="197">
        <v>0</v>
      </c>
      <c r="K119" s="198">
        <f t="shared" si="138"/>
        <v>0</v>
      </c>
      <c r="L119" s="195">
        <f t="shared" si="135"/>
        <v>634.5</v>
      </c>
      <c r="M119" s="196">
        <f>'Program Budget'!O125</f>
        <v>0</v>
      </c>
      <c r="N119" s="197">
        <v>0</v>
      </c>
      <c r="O119" s="198">
        <f t="shared" si="139"/>
        <v>0</v>
      </c>
      <c r="P119" s="195">
        <f t="shared" si="136"/>
        <v>634.5</v>
      </c>
      <c r="Q119" s="196">
        <f>'Program Budget'!R125</f>
        <v>0</v>
      </c>
      <c r="R119" s="197">
        <v>0</v>
      </c>
      <c r="S119" s="198">
        <f t="shared" si="140"/>
        <v>0</v>
      </c>
      <c r="T119" s="333">
        <f t="shared" si="141"/>
        <v>0</v>
      </c>
      <c r="AB119" s="163"/>
      <c r="AC119" s="203"/>
      <c r="AD119" s="268"/>
    </row>
    <row r="120" spans="1:30" ht="15.6" outlineLevel="1">
      <c r="A120" s="269" t="str">
        <f>'Program Budget'!D126</f>
        <v>Office Furniture (Includes Desk, Chairs, Table, Shelves, Filing Cabinet, Safes, &amp; A/C Unit)</v>
      </c>
      <c r="B120" s="194" t="str">
        <f>'Program Budget'!F126</f>
        <v>Unit</v>
      </c>
      <c r="C120" s="198">
        <f>'Program Budget'!E126</f>
        <v>1150.95</v>
      </c>
      <c r="D120" s="195">
        <f>'Program Budget'!G126</f>
        <v>1150.95</v>
      </c>
      <c r="E120" s="196">
        <f>'Program Budget'!I126</f>
        <v>0</v>
      </c>
      <c r="F120" s="197">
        <v>0</v>
      </c>
      <c r="G120" s="198">
        <f t="shared" si="137"/>
        <v>0</v>
      </c>
      <c r="H120" s="195">
        <f t="shared" si="134"/>
        <v>1150.95</v>
      </c>
      <c r="I120" s="196">
        <f>'Program Budget'!L126</f>
        <v>0</v>
      </c>
      <c r="J120" s="197">
        <v>0</v>
      </c>
      <c r="K120" s="198">
        <f t="shared" si="138"/>
        <v>0</v>
      </c>
      <c r="L120" s="195">
        <f t="shared" si="135"/>
        <v>1150.95</v>
      </c>
      <c r="M120" s="196">
        <f>'Program Budget'!O126</f>
        <v>0</v>
      </c>
      <c r="N120" s="197">
        <v>0</v>
      </c>
      <c r="O120" s="198">
        <f t="shared" si="139"/>
        <v>0</v>
      </c>
      <c r="P120" s="195">
        <f t="shared" si="136"/>
        <v>1150.95</v>
      </c>
      <c r="Q120" s="196">
        <f>'Program Budget'!R126</f>
        <v>0</v>
      </c>
      <c r="R120" s="197">
        <v>0</v>
      </c>
      <c r="S120" s="198">
        <f t="shared" si="140"/>
        <v>0</v>
      </c>
      <c r="T120" s="333">
        <f t="shared" si="141"/>
        <v>1150.95</v>
      </c>
      <c r="AB120" s="163"/>
      <c r="AC120" s="203"/>
      <c r="AD120" s="268"/>
    </row>
    <row r="121" spans="1:30" ht="15.6" outlineLevel="1">
      <c r="A121" s="269" t="str">
        <f>'Program Budget'!D127</f>
        <v>Office Supplies &amp; Personal Protective Equipment</v>
      </c>
      <c r="B121" s="194" t="str">
        <f>'Program Budget'!F127</f>
        <v>Month</v>
      </c>
      <c r="C121" s="198">
        <f>'Program Budget'!E127</f>
        <v>69046.780000000013</v>
      </c>
      <c r="D121" s="195">
        <f>'Program Budget'!G127</f>
        <v>2000</v>
      </c>
      <c r="E121" s="196">
        <f>'Program Budget'!I127</f>
        <v>12</v>
      </c>
      <c r="F121" s="197">
        <v>1</v>
      </c>
      <c r="G121" s="198">
        <f t="shared" si="137"/>
        <v>24000</v>
      </c>
      <c r="H121" s="195">
        <f t="shared" ref="H121" si="142">D121*1.04</f>
        <v>2080</v>
      </c>
      <c r="I121" s="196">
        <f>'Program Budget'!L127</f>
        <v>12</v>
      </c>
      <c r="J121" s="197">
        <v>1</v>
      </c>
      <c r="K121" s="198">
        <f t="shared" si="138"/>
        <v>24960</v>
      </c>
      <c r="L121" s="195">
        <f t="shared" ref="L121" si="143">H121*1.04</f>
        <v>2163.2000000000003</v>
      </c>
      <c r="M121" s="196">
        <f>'Program Budget'!O127</f>
        <v>12</v>
      </c>
      <c r="N121" s="197">
        <v>1</v>
      </c>
      <c r="O121" s="198">
        <f t="shared" si="139"/>
        <v>25958.400000000001</v>
      </c>
      <c r="P121" s="195">
        <f t="shared" ref="P121" si="144">L121*1.04</f>
        <v>2249.7280000000005</v>
      </c>
      <c r="Q121" s="196">
        <f>'Program Budget'!R127</f>
        <v>6</v>
      </c>
      <c r="R121" s="197">
        <v>1</v>
      </c>
      <c r="S121" s="198">
        <f t="shared" si="140"/>
        <v>13498.368000000002</v>
      </c>
      <c r="T121" s="333">
        <f t="shared" si="141"/>
        <v>157463.54800000001</v>
      </c>
      <c r="AB121" s="163"/>
      <c r="AC121" s="203"/>
      <c r="AD121" s="268"/>
    </row>
    <row r="122" spans="1:30" ht="15.6" outlineLevel="1">
      <c r="A122" s="269"/>
      <c r="B122" s="216"/>
      <c r="C122" s="198"/>
      <c r="D122" s="270"/>
      <c r="E122" s="271"/>
      <c r="F122" s="160"/>
      <c r="G122" s="198"/>
      <c r="H122" s="270"/>
      <c r="I122" s="271"/>
      <c r="K122" s="198"/>
      <c r="L122" s="270"/>
      <c r="M122" s="271"/>
      <c r="N122" s="160"/>
      <c r="O122" s="198"/>
      <c r="P122" s="270"/>
      <c r="Q122" s="271"/>
      <c r="R122" s="160"/>
      <c r="S122" s="198"/>
      <c r="T122" s="333"/>
      <c r="AB122" s="163"/>
      <c r="AC122" s="203"/>
      <c r="AD122" s="268"/>
    </row>
    <row r="123" spans="1:30" ht="18.3" outlineLevel="1">
      <c r="A123" s="261" t="s">
        <v>531</v>
      </c>
      <c r="B123" s="227"/>
      <c r="C123" s="231">
        <f>SUM(C115:C122)</f>
        <v>107936.11000000002</v>
      </c>
      <c r="D123" s="228"/>
      <c r="E123" s="262"/>
      <c r="F123" s="232"/>
      <c r="G123" s="231">
        <f>SUM(G115:G122)</f>
        <v>26500</v>
      </c>
      <c r="H123" s="228"/>
      <c r="I123" s="262"/>
      <c r="J123" s="263"/>
      <c r="K123" s="231">
        <f>SUM(K115:K122)</f>
        <v>26660</v>
      </c>
      <c r="L123" s="228"/>
      <c r="M123" s="262"/>
      <c r="N123" s="232"/>
      <c r="O123" s="231">
        <f>SUM(O115:O122)</f>
        <v>25958.400000000001</v>
      </c>
      <c r="P123" s="228"/>
      <c r="Q123" s="262"/>
      <c r="R123" s="232"/>
      <c r="S123" s="231">
        <f>SUM(S115:S122)</f>
        <v>13498.368000000002</v>
      </c>
      <c r="T123" s="336">
        <f>+C123+G123+K123+O123+S123</f>
        <v>200552.87800000003</v>
      </c>
      <c r="AB123" s="163"/>
      <c r="AC123" s="203"/>
      <c r="AD123" s="268"/>
    </row>
    <row r="124" spans="1:30" ht="15.6" outlineLevel="1">
      <c r="A124" s="276" t="s">
        <v>532</v>
      </c>
      <c r="B124" s="216"/>
      <c r="C124" s="248"/>
      <c r="D124" s="277"/>
      <c r="E124" s="278"/>
      <c r="G124" s="221"/>
      <c r="H124" s="277"/>
      <c r="I124" s="278"/>
      <c r="K124" s="221"/>
      <c r="L124" s="277"/>
      <c r="M124" s="278"/>
      <c r="O124" s="221"/>
      <c r="P124" s="277"/>
      <c r="Q124" s="278"/>
      <c r="S124" s="221"/>
      <c r="T124" s="333"/>
      <c r="AB124" s="163"/>
      <c r="AC124" s="203"/>
      <c r="AD124" s="268"/>
    </row>
    <row r="125" spans="1:30" ht="15.6" outlineLevel="1">
      <c r="A125" s="190" t="s">
        <v>568</v>
      </c>
      <c r="B125" s="194"/>
      <c r="C125" s="198"/>
      <c r="D125" s="195"/>
      <c r="E125" s="196"/>
      <c r="F125" s="197"/>
      <c r="G125" s="198"/>
      <c r="H125" s="195"/>
      <c r="I125" s="196"/>
      <c r="J125" s="197"/>
      <c r="K125" s="198"/>
      <c r="L125" s="195"/>
      <c r="M125" s="196"/>
      <c r="N125" s="197"/>
      <c r="O125" s="198"/>
      <c r="P125" s="195"/>
      <c r="Q125" s="196"/>
      <c r="R125" s="197"/>
      <c r="S125" s="198"/>
      <c r="T125" s="333"/>
      <c r="AB125" s="163"/>
      <c r="AC125" s="203"/>
      <c r="AD125" s="268"/>
    </row>
    <row r="126" spans="1:30" ht="15.6" outlineLevel="1">
      <c r="A126" s="269" t="str">
        <f>'Program Budget'!D132</f>
        <v xml:space="preserve">Training, Workshops, Conference and Registration Fees </v>
      </c>
      <c r="B126" s="194" t="str">
        <f>'Program Budget'!F132</f>
        <v>Unit</v>
      </c>
      <c r="C126" s="198">
        <f>'Program Budget'!E132</f>
        <v>39594.83</v>
      </c>
      <c r="D126" s="195">
        <f>'Program Budget'!G132</f>
        <v>1500</v>
      </c>
      <c r="E126" s="196">
        <f>'Program Budget'!I132</f>
        <v>3</v>
      </c>
      <c r="F126" s="197">
        <v>1</v>
      </c>
      <c r="G126" s="198">
        <f t="shared" ref="G126:G129" si="145">D126*E126*F126</f>
        <v>4500</v>
      </c>
      <c r="H126" s="195">
        <f>D126*1.04</f>
        <v>1560</v>
      </c>
      <c r="I126" s="196">
        <f>'Program Budget'!L132</f>
        <v>3</v>
      </c>
      <c r="J126" s="197">
        <v>1</v>
      </c>
      <c r="K126" s="198">
        <f t="shared" ref="K126:K129" si="146">H126*I126*J126</f>
        <v>4680</v>
      </c>
      <c r="L126" s="195">
        <f>H126*1.04</f>
        <v>1622.4</v>
      </c>
      <c r="M126" s="196">
        <f>'Program Budget'!O132</f>
        <v>3</v>
      </c>
      <c r="N126" s="197">
        <v>1</v>
      </c>
      <c r="O126" s="198">
        <f t="shared" ref="O126:O129" si="147">L126*M126*N126</f>
        <v>4867.2000000000007</v>
      </c>
      <c r="P126" s="195">
        <f>L126*1.04</f>
        <v>1687.296</v>
      </c>
      <c r="Q126" s="196">
        <f>'Program Budget'!R132</f>
        <v>3</v>
      </c>
      <c r="R126" s="197">
        <v>1</v>
      </c>
      <c r="S126" s="198">
        <f t="shared" ref="S126:S129" si="148">P126*Q126*R126</f>
        <v>5061.8879999999999</v>
      </c>
      <c r="T126" s="333">
        <f t="shared" ref="T126:T129" si="149">C126+G126+K126+O126+S126</f>
        <v>58703.917999999998</v>
      </c>
      <c r="AB126" s="163"/>
      <c r="AC126" s="203"/>
      <c r="AD126" s="268"/>
    </row>
    <row r="127" spans="1:30" ht="15.6" outlineLevel="1">
      <c r="A127" s="190" t="s">
        <v>534</v>
      </c>
      <c r="B127" s="194"/>
      <c r="C127" s="198"/>
      <c r="D127" s="195"/>
      <c r="E127" s="196"/>
      <c r="F127" s="197"/>
      <c r="G127" s="198"/>
      <c r="H127" s="195"/>
      <c r="I127" s="196"/>
      <c r="J127" s="197"/>
      <c r="K127" s="198"/>
      <c r="L127" s="195"/>
      <c r="M127" s="196"/>
      <c r="N127" s="197"/>
      <c r="O127" s="198"/>
      <c r="P127" s="195"/>
      <c r="Q127" s="196"/>
      <c r="R127" s="197"/>
      <c r="S127" s="198"/>
      <c r="T127" s="333"/>
      <c r="AB127" s="163"/>
      <c r="AC127" s="203"/>
      <c r="AD127" s="268"/>
    </row>
    <row r="128" spans="1:30" ht="15.6" outlineLevel="1">
      <c r="A128" s="269" t="str">
        <f>'Program Budget'!D134</f>
        <v>Equipment and Office Repairs and Maintenance</v>
      </c>
      <c r="B128" s="194" t="str">
        <f>'Program Budget'!F134</f>
        <v>Year</v>
      </c>
      <c r="C128" s="198">
        <f>'Program Budget'!E134</f>
        <v>388.89</v>
      </c>
      <c r="D128" s="195">
        <f>'Program Budget'!G134</f>
        <v>500</v>
      </c>
      <c r="E128" s="196">
        <f>'Program Budget'!I134</f>
        <v>1</v>
      </c>
      <c r="F128" s="197">
        <v>1</v>
      </c>
      <c r="G128" s="198">
        <f t="shared" si="145"/>
        <v>500</v>
      </c>
      <c r="H128" s="195">
        <f t="shared" ref="H128:H134" si="150">D128*1.04</f>
        <v>520</v>
      </c>
      <c r="I128" s="196">
        <f>'Program Budget'!L134</f>
        <v>1</v>
      </c>
      <c r="J128" s="197">
        <v>1</v>
      </c>
      <c r="K128" s="198">
        <f t="shared" si="146"/>
        <v>520</v>
      </c>
      <c r="L128" s="195">
        <f t="shared" ref="L128:L129" si="151">H128*1.04</f>
        <v>540.80000000000007</v>
      </c>
      <c r="M128" s="196">
        <f>'Program Budget'!O134</f>
        <v>1</v>
      </c>
      <c r="N128" s="197">
        <v>1</v>
      </c>
      <c r="O128" s="198">
        <f t="shared" si="147"/>
        <v>540.80000000000007</v>
      </c>
      <c r="P128" s="195">
        <f t="shared" ref="P128:P129" si="152">L128*1.04</f>
        <v>562.43200000000013</v>
      </c>
      <c r="Q128" s="196">
        <f>'Program Budget'!R134</f>
        <v>1</v>
      </c>
      <c r="R128" s="197">
        <v>1</v>
      </c>
      <c r="S128" s="198">
        <f t="shared" si="148"/>
        <v>562.43200000000013</v>
      </c>
      <c r="T128" s="333">
        <f t="shared" si="149"/>
        <v>2512.1220000000003</v>
      </c>
      <c r="AB128" s="163"/>
      <c r="AC128" s="203"/>
      <c r="AD128" s="268"/>
    </row>
    <row r="129" spans="1:30" ht="15.6" outlineLevel="1">
      <c r="A129" s="269" t="str">
        <f>'Program Budget'!D135</f>
        <v>Motorcycle Maintenance/repairs/spare parts</v>
      </c>
      <c r="B129" s="194" t="str">
        <f>'Program Budget'!F135</f>
        <v>Month</v>
      </c>
      <c r="C129" s="198">
        <f>'Program Budget'!E135</f>
        <v>0</v>
      </c>
      <c r="D129" s="195">
        <f>'Program Budget'!G135</f>
        <v>375</v>
      </c>
      <c r="E129" s="196">
        <f>'Program Budget'!I135</f>
        <v>0</v>
      </c>
      <c r="F129" s="197">
        <v>0</v>
      </c>
      <c r="G129" s="198">
        <f t="shared" si="145"/>
        <v>0</v>
      </c>
      <c r="H129" s="195">
        <f t="shared" si="150"/>
        <v>390</v>
      </c>
      <c r="I129" s="196">
        <f>'Program Budget'!L135</f>
        <v>0</v>
      </c>
      <c r="J129" s="197">
        <v>0</v>
      </c>
      <c r="K129" s="198">
        <f t="shared" si="146"/>
        <v>0</v>
      </c>
      <c r="L129" s="195">
        <f t="shared" si="151"/>
        <v>405.6</v>
      </c>
      <c r="M129" s="196">
        <f>'Program Budget'!O135</f>
        <v>0</v>
      </c>
      <c r="N129" s="197">
        <v>0</v>
      </c>
      <c r="O129" s="198">
        <f t="shared" si="147"/>
        <v>0</v>
      </c>
      <c r="P129" s="195">
        <f t="shared" si="152"/>
        <v>421.82400000000001</v>
      </c>
      <c r="Q129" s="196">
        <f>'Program Budget'!R135</f>
        <v>0</v>
      </c>
      <c r="R129" s="197">
        <v>0</v>
      </c>
      <c r="S129" s="198">
        <f t="shared" si="148"/>
        <v>0</v>
      </c>
      <c r="T129" s="333">
        <f t="shared" si="149"/>
        <v>0</v>
      </c>
      <c r="AB129" s="163"/>
      <c r="AC129" s="203"/>
      <c r="AD129" s="268"/>
    </row>
    <row r="130" spans="1:30" ht="15.6" outlineLevel="1">
      <c r="A130" s="269" t="str">
        <f>'Program Budget'!D136</f>
        <v>Vehicle Maintenance/repairs/spare parts</v>
      </c>
      <c r="B130" s="194" t="str">
        <f>'Program Budget'!F136</f>
        <v>Month</v>
      </c>
      <c r="C130" s="198">
        <f>'Program Budget'!E136</f>
        <v>2381.52</v>
      </c>
      <c r="D130" s="195">
        <f>'Program Budget'!G136</f>
        <v>100</v>
      </c>
      <c r="E130" s="196">
        <f>'Program Budget'!I136</f>
        <v>12</v>
      </c>
      <c r="F130" s="197">
        <v>1</v>
      </c>
      <c r="G130" s="198">
        <f t="shared" ref="G130:G134" si="153">D130*E130*F130</f>
        <v>1200</v>
      </c>
      <c r="H130" s="195">
        <f t="shared" si="150"/>
        <v>104</v>
      </c>
      <c r="I130" s="196">
        <f>'Program Budget'!L136</f>
        <v>12</v>
      </c>
      <c r="J130" s="197">
        <v>1</v>
      </c>
      <c r="K130" s="198">
        <f t="shared" ref="K130:K134" si="154">H130*I130*J130</f>
        <v>1248</v>
      </c>
      <c r="L130" s="195">
        <f t="shared" ref="L130:L134" si="155">H130*1.04</f>
        <v>108.16</v>
      </c>
      <c r="M130" s="196">
        <f>'Program Budget'!O136</f>
        <v>12</v>
      </c>
      <c r="N130" s="197">
        <v>1</v>
      </c>
      <c r="O130" s="198">
        <f t="shared" ref="O130:O134" si="156">L130*M130*N130</f>
        <v>1297.92</v>
      </c>
      <c r="P130" s="195">
        <f t="shared" ref="P130:P134" si="157">L130*1.04</f>
        <v>112.4864</v>
      </c>
      <c r="Q130" s="196">
        <f>'Program Budget'!R136</f>
        <v>6</v>
      </c>
      <c r="R130" s="197">
        <v>1</v>
      </c>
      <c r="S130" s="198">
        <f t="shared" ref="S130:S134" si="158">P130*Q130*R130</f>
        <v>674.91840000000002</v>
      </c>
      <c r="T130" s="333">
        <f t="shared" ref="T130:T134" si="159">C130+G130+K130+O130+S130</f>
        <v>6802.358400000001</v>
      </c>
      <c r="AB130" s="163"/>
      <c r="AC130" s="203"/>
      <c r="AD130" s="268"/>
    </row>
    <row r="131" spans="1:30" ht="15.6" outlineLevel="1">
      <c r="A131" s="190" t="str">
        <f>'Program Budget'!D137</f>
        <v>Insurances</v>
      </c>
      <c r="B131" s="194"/>
      <c r="C131" s="198"/>
      <c r="D131" s="195"/>
      <c r="E131" s="196"/>
      <c r="F131" s="197"/>
      <c r="G131" s="198"/>
      <c r="H131" s="195"/>
      <c r="I131" s="196"/>
      <c r="J131" s="197"/>
      <c r="K131" s="198"/>
      <c r="L131" s="195"/>
      <c r="M131" s="196"/>
      <c r="N131" s="197"/>
      <c r="O131" s="198"/>
      <c r="P131" s="195"/>
      <c r="Q131" s="196"/>
      <c r="R131" s="197"/>
      <c r="S131" s="198"/>
      <c r="T131" s="333"/>
      <c r="AB131" s="163"/>
      <c r="AC131" s="203"/>
      <c r="AD131" s="268"/>
    </row>
    <row r="132" spans="1:30" ht="15.6" outlineLevel="1">
      <c r="A132" s="269" t="str">
        <f>'Program Budget'!D138</f>
        <v>Property and Liability Insurance</v>
      </c>
      <c r="B132" s="194" t="str">
        <f>'Program Budget'!F138</f>
        <v>Year</v>
      </c>
      <c r="C132" s="198">
        <f>'Program Budget'!E138</f>
        <v>0</v>
      </c>
      <c r="D132" s="195">
        <f>'Program Budget'!G138</f>
        <v>500</v>
      </c>
      <c r="E132" s="196">
        <f>'Program Budget'!I138</f>
        <v>0</v>
      </c>
      <c r="F132" s="197">
        <v>0</v>
      </c>
      <c r="G132" s="198">
        <f t="shared" si="153"/>
        <v>0</v>
      </c>
      <c r="H132" s="195">
        <f t="shared" si="150"/>
        <v>520</v>
      </c>
      <c r="I132" s="196">
        <f>'Program Budget'!L138</f>
        <v>0</v>
      </c>
      <c r="J132" s="197">
        <v>0</v>
      </c>
      <c r="K132" s="198">
        <f t="shared" si="154"/>
        <v>0</v>
      </c>
      <c r="L132" s="195">
        <f t="shared" si="155"/>
        <v>540.80000000000007</v>
      </c>
      <c r="M132" s="196">
        <f>'Program Budget'!O138</f>
        <v>0</v>
      </c>
      <c r="N132" s="197">
        <v>0</v>
      </c>
      <c r="O132" s="198">
        <f t="shared" si="156"/>
        <v>0</v>
      </c>
      <c r="P132" s="195">
        <f t="shared" si="157"/>
        <v>562.43200000000013</v>
      </c>
      <c r="Q132" s="196">
        <f>'Program Budget'!R138</f>
        <v>0</v>
      </c>
      <c r="R132" s="197">
        <v>0</v>
      </c>
      <c r="S132" s="198">
        <f t="shared" si="158"/>
        <v>0</v>
      </c>
      <c r="T132" s="333">
        <f t="shared" si="159"/>
        <v>0</v>
      </c>
      <c r="AB132" s="163"/>
      <c r="AC132" s="203"/>
      <c r="AD132" s="268"/>
    </row>
    <row r="133" spans="1:30" ht="15.6" outlineLevel="1">
      <c r="A133" s="269" t="str">
        <f>'Program Budget'!D139</f>
        <v>Motorcycle Insurance</v>
      </c>
      <c r="B133" s="194" t="str">
        <f>'Program Budget'!F139</f>
        <v>Year</v>
      </c>
      <c r="C133" s="198">
        <f>'Program Budget'!E139</f>
        <v>0</v>
      </c>
      <c r="D133" s="195">
        <f>'Program Budget'!G139</f>
        <v>100</v>
      </c>
      <c r="E133" s="196">
        <f>'Program Budget'!I139</f>
        <v>0</v>
      </c>
      <c r="F133" s="197">
        <v>0</v>
      </c>
      <c r="G133" s="198">
        <f t="shared" si="153"/>
        <v>0</v>
      </c>
      <c r="H133" s="195">
        <f t="shared" si="150"/>
        <v>104</v>
      </c>
      <c r="I133" s="196">
        <f>'Program Budget'!L139</f>
        <v>0</v>
      </c>
      <c r="J133" s="197">
        <v>0</v>
      </c>
      <c r="K133" s="198">
        <f t="shared" si="154"/>
        <v>0</v>
      </c>
      <c r="L133" s="195">
        <f t="shared" si="155"/>
        <v>108.16</v>
      </c>
      <c r="M133" s="196">
        <f>'Program Budget'!O139</f>
        <v>0</v>
      </c>
      <c r="N133" s="197">
        <v>0</v>
      </c>
      <c r="O133" s="198">
        <f t="shared" si="156"/>
        <v>0</v>
      </c>
      <c r="P133" s="195">
        <f t="shared" si="157"/>
        <v>112.4864</v>
      </c>
      <c r="Q133" s="196">
        <f>'Program Budget'!R139</f>
        <v>0</v>
      </c>
      <c r="R133" s="197">
        <v>0</v>
      </c>
      <c r="S133" s="198">
        <f t="shared" si="158"/>
        <v>0</v>
      </c>
      <c r="T133" s="333">
        <f t="shared" si="159"/>
        <v>0</v>
      </c>
      <c r="AB133" s="163"/>
      <c r="AC133" s="203"/>
      <c r="AD133" s="268"/>
    </row>
    <row r="134" spans="1:30" ht="15.6" outlineLevel="1">
      <c r="A134" s="269" t="str">
        <f>'Program Budget'!D140</f>
        <v>Vehicle Insurance</v>
      </c>
      <c r="B134" s="194" t="str">
        <f>'Program Budget'!F140</f>
        <v>Year</v>
      </c>
      <c r="C134" s="198">
        <f>'Program Budget'!E140</f>
        <v>8101.24</v>
      </c>
      <c r="D134" s="195">
        <f>'Program Budget'!G140</f>
        <v>2025</v>
      </c>
      <c r="E134" s="196">
        <f>'Program Budget'!I140</f>
        <v>1</v>
      </c>
      <c r="F134" s="197">
        <v>1</v>
      </c>
      <c r="G134" s="198">
        <f t="shared" si="153"/>
        <v>2025</v>
      </c>
      <c r="H134" s="195">
        <f t="shared" si="150"/>
        <v>2106</v>
      </c>
      <c r="I134" s="196">
        <f>'Program Budget'!L140</f>
        <v>1</v>
      </c>
      <c r="J134" s="197">
        <v>1</v>
      </c>
      <c r="K134" s="198">
        <f t="shared" si="154"/>
        <v>2106</v>
      </c>
      <c r="L134" s="195">
        <f t="shared" si="155"/>
        <v>2190.2400000000002</v>
      </c>
      <c r="M134" s="196">
        <f>'Program Budget'!O140</f>
        <v>1</v>
      </c>
      <c r="N134" s="197">
        <v>1</v>
      </c>
      <c r="O134" s="198">
        <f t="shared" si="156"/>
        <v>2190.2400000000002</v>
      </c>
      <c r="P134" s="195">
        <f t="shared" si="157"/>
        <v>2277.8496000000005</v>
      </c>
      <c r="Q134" s="196">
        <f>'Program Budget'!R140</f>
        <v>1</v>
      </c>
      <c r="R134" s="197">
        <v>1</v>
      </c>
      <c r="S134" s="198">
        <f t="shared" si="158"/>
        <v>2277.8496000000005</v>
      </c>
      <c r="T134" s="333">
        <f t="shared" si="159"/>
        <v>16700.329600000001</v>
      </c>
      <c r="AB134" s="163"/>
      <c r="AC134" s="203"/>
      <c r="AD134" s="268"/>
    </row>
    <row r="135" spans="1:30" outlineLevel="1">
      <c r="A135" s="327"/>
      <c r="B135" s="241"/>
      <c r="C135" s="245"/>
      <c r="D135" s="279"/>
      <c r="E135" s="280"/>
      <c r="F135" s="244"/>
      <c r="G135" s="245"/>
      <c r="H135" s="279"/>
      <c r="I135" s="280"/>
      <c r="J135" s="244"/>
      <c r="K135" s="245"/>
      <c r="L135" s="279"/>
      <c r="M135" s="280"/>
      <c r="N135" s="244"/>
      <c r="O135" s="245"/>
      <c r="P135" s="279"/>
      <c r="Q135" s="280"/>
      <c r="R135" s="244"/>
      <c r="S135" s="245"/>
      <c r="T135" s="333"/>
      <c r="AB135" s="163"/>
      <c r="AC135" s="203"/>
      <c r="AD135" s="268"/>
    </row>
    <row r="136" spans="1:30" ht="18.3" outlineLevel="1">
      <c r="A136" s="282" t="s">
        <v>537</v>
      </c>
      <c r="B136" s="227"/>
      <c r="C136" s="254">
        <f>SUM(C126:C134)</f>
        <v>50466.479999999996</v>
      </c>
      <c r="D136" s="251"/>
      <c r="E136" s="252"/>
      <c r="F136" s="255"/>
      <c r="G136" s="254">
        <f>SUM(G126:G134)</f>
        <v>8225</v>
      </c>
      <c r="H136" s="251"/>
      <c r="I136" s="252"/>
      <c r="J136" s="283"/>
      <c r="K136" s="254">
        <f>SUM(K126:K134)</f>
        <v>8554</v>
      </c>
      <c r="L136" s="251"/>
      <c r="M136" s="252"/>
      <c r="N136" s="255"/>
      <c r="O136" s="254">
        <f>SUM(O126:O134)</f>
        <v>8896.1600000000017</v>
      </c>
      <c r="P136" s="251"/>
      <c r="Q136" s="252"/>
      <c r="R136" s="255"/>
      <c r="S136" s="254">
        <f>SUM(S126:S134)</f>
        <v>8577.0879999999997</v>
      </c>
      <c r="T136" s="336">
        <f>+C136+G136+K136+O136+S136</f>
        <v>84718.728000000003</v>
      </c>
      <c r="AB136" s="163">
        <v>250</v>
      </c>
      <c r="AC136" s="203" t="s">
        <v>569</v>
      </c>
      <c r="AD136" s="268" t="s">
        <v>570</v>
      </c>
    </row>
    <row r="137" spans="1:30" outlineLevel="1">
      <c r="A137" s="328"/>
      <c r="B137" s="239"/>
      <c r="C137" s="198"/>
      <c r="D137" s="277"/>
      <c r="E137" s="278"/>
      <c r="G137" s="200"/>
      <c r="H137" s="277"/>
      <c r="I137" s="278"/>
      <c r="K137" s="200"/>
      <c r="L137" s="277"/>
      <c r="M137" s="278"/>
      <c r="O137" s="200"/>
      <c r="P137" s="277"/>
      <c r="Q137" s="278"/>
      <c r="S137" s="200"/>
      <c r="T137" s="333"/>
      <c r="AB137" s="163">
        <v>317</v>
      </c>
      <c r="AC137" s="203" t="s">
        <v>571</v>
      </c>
      <c r="AD137" s="268" t="s">
        <v>572</v>
      </c>
    </row>
    <row r="138" spans="1:30" ht="18.3" outlineLevel="1">
      <c r="A138" s="285" t="s">
        <v>538</v>
      </c>
      <c r="B138" s="286"/>
      <c r="C138" s="339">
        <f>C136+C123+C113+C103+C99+C78+C61+C46</f>
        <v>3509752.12</v>
      </c>
      <c r="D138" s="287"/>
      <c r="E138" s="288"/>
      <c r="F138" s="291"/>
      <c r="G138" s="339">
        <f>G136+G123+G113+G103+G99+G78+G61+G46</f>
        <v>1026057.5036287999</v>
      </c>
      <c r="H138" s="287"/>
      <c r="I138" s="288"/>
      <c r="J138" s="289"/>
      <c r="K138" s="339">
        <f>K136+K123+K113+K103+K99+K78+K61+K46</f>
        <v>613521.78924023989</v>
      </c>
      <c r="L138" s="287"/>
      <c r="M138" s="288"/>
      <c r="N138" s="291"/>
      <c r="O138" s="339">
        <f>O136+O123+O113+O103+O99+O78+O61+O46</f>
        <v>683291.87459025206</v>
      </c>
      <c r="P138" s="287"/>
      <c r="Q138" s="288"/>
      <c r="R138" s="291"/>
      <c r="S138" s="339">
        <f>S136+S123+S113+S103+S99+S78+S61+S46</f>
        <v>522797.06340349477</v>
      </c>
      <c r="T138" s="339">
        <f>T136+T123+T113+T103+T99+T78+T61+T46</f>
        <v>6355420.3508627871</v>
      </c>
      <c r="AB138" s="163">
        <v>318</v>
      </c>
      <c r="AC138" s="203" t="s">
        <v>573</v>
      </c>
      <c r="AD138" s="268" t="s">
        <v>574</v>
      </c>
    </row>
    <row r="139" spans="1:30">
      <c r="A139" s="329"/>
      <c r="B139" s="239"/>
      <c r="C139" s="198"/>
      <c r="D139" s="277"/>
      <c r="E139" s="278"/>
      <c r="G139" s="200"/>
      <c r="H139" s="277"/>
      <c r="I139" s="278"/>
      <c r="K139" s="200"/>
      <c r="L139" s="277"/>
      <c r="M139" s="278"/>
      <c r="O139" s="200"/>
      <c r="P139" s="277"/>
      <c r="Q139" s="278"/>
      <c r="S139" s="200"/>
      <c r="T139" s="333"/>
    </row>
    <row r="140" spans="1:30" ht="20.399999999999999">
      <c r="A140" s="292" t="s">
        <v>59</v>
      </c>
      <c r="B140" s="293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340"/>
    </row>
    <row r="141" spans="1:30" ht="15" customHeight="1">
      <c r="A141" s="295" t="s">
        <v>60</v>
      </c>
      <c r="B141" s="349" t="s">
        <v>132</v>
      </c>
      <c r="C141" s="198">
        <v>1023613.2522324189</v>
      </c>
      <c r="D141" s="195">
        <f>G138</f>
        <v>1026057.5036287999</v>
      </c>
      <c r="E141" s="196">
        <v>1</v>
      </c>
      <c r="F141" s="197">
        <v>0.2828</v>
      </c>
      <c r="G141" s="198">
        <f>D141*E141*F141</f>
        <v>290169.06202622462</v>
      </c>
      <c r="H141" s="195">
        <f>K138</f>
        <v>613521.78924023989</v>
      </c>
      <c r="I141" s="196">
        <v>1</v>
      </c>
      <c r="J141" s="197">
        <v>0.2828</v>
      </c>
      <c r="K141" s="198">
        <f>H141*I141*J141</f>
        <v>173503.96199713985</v>
      </c>
      <c r="L141" s="195">
        <f>O138</f>
        <v>683291.87459025206</v>
      </c>
      <c r="M141" s="196">
        <v>1</v>
      </c>
      <c r="N141" s="197">
        <v>0.2828</v>
      </c>
      <c r="O141" s="198">
        <f>L141*M141*N141</f>
        <v>193234.94213412327</v>
      </c>
      <c r="P141" s="195">
        <f>S138</f>
        <v>522797.06340349477</v>
      </c>
      <c r="Q141" s="196">
        <v>1</v>
      </c>
      <c r="R141" s="197">
        <v>0.2828</v>
      </c>
      <c r="S141" s="198">
        <f>P141*Q141*R141</f>
        <v>147847.00953050831</v>
      </c>
      <c r="T141" s="333">
        <f>C141+G141+K141+O141+S141</f>
        <v>1828368.2279204149</v>
      </c>
    </row>
    <row r="142" spans="1:30" ht="15" customHeight="1">
      <c r="A142" s="295" t="s">
        <v>61</v>
      </c>
      <c r="B142" s="349" t="s">
        <v>132</v>
      </c>
      <c r="C142" s="198">
        <v>0</v>
      </c>
      <c r="D142" s="195">
        <v>0</v>
      </c>
      <c r="E142" s="196">
        <v>1</v>
      </c>
      <c r="F142" s="197">
        <v>0.2828</v>
      </c>
      <c r="G142" s="198">
        <f>D142*E142*F142</f>
        <v>0</v>
      </c>
      <c r="H142" s="195">
        <v>0</v>
      </c>
      <c r="I142" s="196">
        <v>1</v>
      </c>
      <c r="J142" s="197">
        <v>0.2828</v>
      </c>
      <c r="K142" s="198">
        <f>H142*I142*J142</f>
        <v>0</v>
      </c>
      <c r="L142" s="195">
        <v>0</v>
      </c>
      <c r="M142" s="196">
        <v>1</v>
      </c>
      <c r="N142" s="197">
        <v>0.2828</v>
      </c>
      <c r="O142" s="198">
        <f>L142*M142*N142</f>
        <v>0</v>
      </c>
      <c r="P142" s="195">
        <v>0</v>
      </c>
      <c r="Q142" s="196">
        <v>1</v>
      </c>
      <c r="R142" s="197">
        <v>0.2828</v>
      </c>
      <c r="S142" s="198">
        <f>P142*Q142*R142</f>
        <v>0</v>
      </c>
      <c r="T142" s="333">
        <f>C142+G142+K142+O142+S142</f>
        <v>0</v>
      </c>
    </row>
    <row r="143" spans="1:30">
      <c r="A143" s="297"/>
      <c r="B143" s="239"/>
      <c r="C143" s="198"/>
      <c r="D143" s="270"/>
      <c r="E143" s="298"/>
      <c r="F143" s="199"/>
      <c r="G143" s="198"/>
      <c r="H143" s="270"/>
      <c r="I143" s="298"/>
      <c r="J143" s="299"/>
      <c r="K143" s="198"/>
      <c r="L143" s="270"/>
      <c r="M143" s="298"/>
      <c r="N143" s="199"/>
      <c r="O143" s="198"/>
      <c r="P143" s="270"/>
      <c r="Q143" s="298"/>
      <c r="R143" s="199"/>
      <c r="S143" s="198"/>
      <c r="T143" s="333">
        <f>C143+G143+K143+O143+S143</f>
        <v>0</v>
      </c>
    </row>
    <row r="144" spans="1:30" ht="18.3">
      <c r="A144" s="285" t="s">
        <v>539</v>
      </c>
      <c r="B144" s="286"/>
      <c r="C144" s="339">
        <f>SUM(C141:C143)</f>
        <v>1023613.2522324189</v>
      </c>
      <c r="D144" s="287"/>
      <c r="E144" s="288"/>
      <c r="F144" s="291"/>
      <c r="G144" s="339">
        <f>SUM(G141:G143)</f>
        <v>290169.06202622462</v>
      </c>
      <c r="H144" s="287"/>
      <c r="I144" s="288"/>
      <c r="J144" s="289"/>
      <c r="K144" s="339">
        <f>SUM(K141:K143)</f>
        <v>173503.96199713985</v>
      </c>
      <c r="L144" s="287"/>
      <c r="M144" s="288"/>
      <c r="N144" s="291"/>
      <c r="O144" s="339">
        <f>SUM(O141:O143)</f>
        <v>193234.94213412327</v>
      </c>
      <c r="P144" s="287"/>
      <c r="Q144" s="288"/>
      <c r="R144" s="291"/>
      <c r="S144" s="339">
        <f>SUM(S141:S143)</f>
        <v>147847.00953050831</v>
      </c>
      <c r="T144" s="339">
        <f>SUM(T141:T143)</f>
        <v>1828368.2279204149</v>
      </c>
    </row>
    <row r="145" spans="1:20">
      <c r="A145" s="198"/>
      <c r="B145" s="239"/>
      <c r="C145" s="198"/>
      <c r="D145" s="270"/>
      <c r="E145" s="298"/>
      <c r="F145" s="199"/>
      <c r="G145" s="198"/>
      <c r="H145" s="270"/>
      <c r="I145" s="298"/>
      <c r="J145" s="299"/>
      <c r="K145" s="198"/>
      <c r="L145" s="270"/>
      <c r="M145" s="298"/>
      <c r="N145" s="199"/>
      <c r="O145" s="198"/>
      <c r="P145" s="270"/>
      <c r="Q145" s="298"/>
      <c r="R145" s="199"/>
      <c r="S145" s="198"/>
      <c r="T145" s="333"/>
    </row>
    <row r="146" spans="1:20" ht="18.3">
      <c r="A146" s="304" t="s">
        <v>540</v>
      </c>
      <c r="B146" s="305"/>
      <c r="C146" s="309">
        <f>C138+C144</f>
        <v>4533365.3722324185</v>
      </c>
      <c r="D146" s="306"/>
      <c r="E146" s="307"/>
      <c r="F146" s="310"/>
      <c r="G146" s="309">
        <f>G138+G144</f>
        <v>1316226.5656550245</v>
      </c>
      <c r="H146" s="306"/>
      <c r="I146" s="307"/>
      <c r="J146" s="308"/>
      <c r="K146" s="309">
        <f>K138+K144</f>
        <v>787025.75123737974</v>
      </c>
      <c r="L146" s="306"/>
      <c r="M146" s="307"/>
      <c r="N146" s="310"/>
      <c r="O146" s="309">
        <f>O138+O144</f>
        <v>876526.81672437536</v>
      </c>
      <c r="P146" s="306"/>
      <c r="Q146" s="307"/>
      <c r="R146" s="310"/>
      <c r="S146" s="309">
        <f>S138+S144</f>
        <v>670644.07293400308</v>
      </c>
      <c r="T146" s="341">
        <f>C146+G146+K146+O146+S146</f>
        <v>8183788.5787832011</v>
      </c>
    </row>
    <row r="147" spans="1:20" ht="15.6">
      <c r="A147" s="312" t="s">
        <v>575</v>
      </c>
      <c r="B147" s="313"/>
      <c r="C147" s="245">
        <v>0</v>
      </c>
      <c r="D147" s="242"/>
      <c r="E147" s="314"/>
      <c r="F147" s="315"/>
      <c r="G147" s="245">
        <f t="shared" ref="G147" si="160">D147*E147*F147</f>
        <v>0</v>
      </c>
      <c r="H147" s="242"/>
      <c r="I147" s="314"/>
      <c r="J147" s="244"/>
      <c r="K147" s="245">
        <f t="shared" ref="K147" si="161">H147*I147*J147</f>
        <v>0</v>
      </c>
      <c r="L147" s="242"/>
      <c r="M147" s="314"/>
      <c r="N147" s="315"/>
      <c r="O147" s="245">
        <f t="shared" ref="O147" si="162">L147*M147*N147</f>
        <v>0</v>
      </c>
      <c r="P147" s="242"/>
      <c r="Q147" s="314"/>
      <c r="R147" s="315"/>
      <c r="S147" s="245">
        <f t="shared" ref="S147" si="163">P147*Q147*R147</f>
        <v>0</v>
      </c>
      <c r="T147" s="335">
        <f>C147+G147+K147+O147+S147</f>
        <v>0</v>
      </c>
    </row>
    <row r="148" spans="1:20" ht="18.3">
      <c r="A148" s="304" t="s">
        <v>541</v>
      </c>
      <c r="B148" s="305"/>
      <c r="C148" s="309">
        <f>C146+C147</f>
        <v>4533365.3722324185</v>
      </c>
      <c r="D148" s="306"/>
      <c r="E148" s="307"/>
      <c r="F148" s="310"/>
      <c r="G148" s="309">
        <f>G146+G147</f>
        <v>1316226.5656550245</v>
      </c>
      <c r="H148" s="306"/>
      <c r="I148" s="307"/>
      <c r="J148" s="308"/>
      <c r="K148" s="309">
        <f>K146+K147</f>
        <v>787025.75123737974</v>
      </c>
      <c r="L148" s="306"/>
      <c r="M148" s="307"/>
      <c r="N148" s="310"/>
      <c r="O148" s="309">
        <f>O146+O147</f>
        <v>876526.81672437536</v>
      </c>
      <c r="P148" s="306"/>
      <c r="Q148" s="307"/>
      <c r="R148" s="310"/>
      <c r="S148" s="309">
        <f>S146+S147</f>
        <v>670644.07293400308</v>
      </c>
      <c r="T148" s="341">
        <f>C148+G148+K148+O148+S148</f>
        <v>8183788.5787832011</v>
      </c>
    </row>
    <row r="149" spans="1:20">
      <c r="A149" s="194"/>
      <c r="B149" s="194"/>
      <c r="T149" s="333"/>
    </row>
    <row r="150" spans="1:20" ht="31.2">
      <c r="A150" s="316" t="s">
        <v>542</v>
      </c>
      <c r="B150" s="317"/>
      <c r="C150" s="321"/>
      <c r="D150" s="318"/>
      <c r="E150" s="319"/>
      <c r="F150" s="322"/>
      <c r="G150" s="323"/>
      <c r="H150" s="318"/>
      <c r="I150" s="319"/>
      <c r="J150" s="320"/>
      <c r="K150" s="323"/>
      <c r="L150" s="318"/>
      <c r="M150" s="319"/>
      <c r="N150" s="322"/>
      <c r="O150" s="323"/>
      <c r="P150" s="318"/>
      <c r="Q150" s="319"/>
      <c r="R150" s="322"/>
      <c r="S150" s="323"/>
      <c r="T150" s="342">
        <f>'USDA Budget Summary'!F64</f>
        <v>932916</v>
      </c>
    </row>
    <row r="153" spans="1:20">
      <c r="C153" s="157">
        <f>SUM('Activity 1'!C78,'Activity 2'!C86,'Activity 3'!C105,'Activity 4'!C87,'Activity 5'!C80,'Activity 6'!C87,'Activity 7'!C84,'Activity 8'!C75)</f>
        <v>4631119.7989999996</v>
      </c>
    </row>
  </sheetData>
  <mergeCells count="8">
    <mergeCell ref="P2:S2"/>
    <mergeCell ref="T2:T3"/>
    <mergeCell ref="A2:A3"/>
    <mergeCell ref="B2:B3"/>
    <mergeCell ref="D2:G2"/>
    <mergeCell ref="H2:K2"/>
    <mergeCell ref="L2:O2"/>
    <mergeCell ref="C2:C3"/>
  </mergeCells>
  <printOptions horizontalCentered="1"/>
  <pageMargins left="0.25" right="0.25" top="0.75" bottom="0.75" header="0.3" footer="0.3"/>
  <pageSetup scale="21" orientation="landscape" r:id="rId1"/>
  <headerFooter alignWithMargins="0"/>
  <rowBreaks count="1" manualBreakCount="1">
    <brk id="145" max="1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A8F4-D960-45AF-B176-1D1497DFE578}">
  <sheetPr>
    <tabColor theme="6" tint="0.39997558519241921"/>
    <pageSetUpPr fitToPage="1"/>
  </sheetPr>
  <dimension ref="A1:AG90"/>
  <sheetViews>
    <sheetView showOutlineSymbols="0" showWhiteSpace="0" zoomScale="65" zoomScaleNormal="100" workbookViewId="0">
      <selection activeCell="D29" sqref="D29"/>
    </sheetView>
  </sheetViews>
  <sheetFormatPr defaultColWidth="8.71875" defaultRowHeight="14.4" outlineLevelRow="1" outlineLevelCol="1"/>
  <cols>
    <col min="1" max="1" width="61.1640625" style="157" customWidth="1"/>
    <col min="2" max="2" width="13" style="157" customWidth="1"/>
    <col min="3" max="3" width="15.1640625" style="157" customWidth="1"/>
    <col min="4" max="4" width="15.1640625" style="158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158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158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158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330" customWidth="1"/>
    <col min="21" max="21" width="9" style="157" customWidth="1"/>
    <col min="22" max="22" width="8.83203125" style="157" customWidth="1"/>
    <col min="23" max="23" width="10.83203125" style="157" customWidth="1"/>
    <col min="24" max="24" width="8.83203125" style="157" customWidth="1"/>
    <col min="25" max="25" width="10.83203125" style="157" customWidth="1"/>
    <col min="26" max="26" width="4.83203125" style="157" customWidth="1"/>
    <col min="27" max="27" width="4.83203125" style="157" hidden="1" customWidth="1"/>
    <col min="28" max="28" width="7" style="162" hidden="1" customWidth="1"/>
    <col min="29" max="29" width="19.1640625" style="157" hidden="1" customWidth="1"/>
    <col min="30" max="30" width="34" style="157" hidden="1" customWidth="1"/>
    <col min="31" max="31" width="9.83203125" style="157" hidden="1" customWidth="1"/>
    <col min="32" max="32" width="9.83203125" style="157" customWidth="1"/>
    <col min="33" max="33" width="14.1640625" style="157" customWidth="1"/>
    <col min="34" max="261" width="8.83203125" style="157"/>
    <col min="262" max="262" width="38.1640625" style="157" customWidth="1"/>
    <col min="263" max="263" width="23.44140625" style="157" bestFit="1" customWidth="1"/>
    <col min="264" max="265" width="9.1640625" style="157" customWidth="1"/>
    <col min="266" max="266" width="11.1640625" style="157" bestFit="1" customWidth="1"/>
    <col min="267" max="267" width="14.44140625" style="157" bestFit="1" customWidth="1"/>
    <col min="268" max="268" width="8.1640625" style="157" customWidth="1"/>
    <col min="269" max="269" width="10.83203125" style="157" bestFit="1" customWidth="1"/>
    <col min="270" max="270" width="12.1640625" style="157" bestFit="1" customWidth="1"/>
    <col min="271" max="271" width="9.1640625" style="157" customWidth="1"/>
    <col min="272" max="272" width="10.83203125" style="157" bestFit="1" customWidth="1"/>
    <col min="273" max="273" width="12.1640625" style="157" bestFit="1" customWidth="1"/>
    <col min="274" max="274" width="8" style="157" customWidth="1"/>
    <col min="275" max="275" width="10.83203125" style="157" bestFit="1" customWidth="1"/>
    <col min="276" max="276" width="12.1640625" style="157" bestFit="1" customWidth="1"/>
    <col min="277" max="277" width="8.1640625" style="157" bestFit="1" customWidth="1"/>
    <col min="278" max="278" width="10.83203125" style="157" bestFit="1" customWidth="1"/>
    <col min="279" max="279" width="12.1640625" style="157" bestFit="1" customWidth="1"/>
    <col min="280" max="280" width="18.1640625" style="157" bestFit="1" customWidth="1"/>
    <col min="281" max="281" width="10.83203125" style="157" bestFit="1" customWidth="1"/>
    <col min="282" max="517" width="8.83203125" style="157"/>
    <col min="518" max="518" width="38.1640625" style="157" customWidth="1"/>
    <col min="519" max="519" width="23.44140625" style="157" bestFit="1" customWidth="1"/>
    <col min="520" max="521" width="9.1640625" style="157" customWidth="1"/>
    <col min="522" max="522" width="11.1640625" style="157" bestFit="1" customWidth="1"/>
    <col min="523" max="523" width="14.44140625" style="157" bestFit="1" customWidth="1"/>
    <col min="524" max="524" width="8.1640625" style="157" customWidth="1"/>
    <col min="525" max="525" width="10.83203125" style="157" bestFit="1" customWidth="1"/>
    <col min="526" max="526" width="12.1640625" style="157" bestFit="1" customWidth="1"/>
    <col min="527" max="527" width="9.1640625" style="157" customWidth="1"/>
    <col min="528" max="528" width="10.83203125" style="157" bestFit="1" customWidth="1"/>
    <col min="529" max="529" width="12.1640625" style="157" bestFit="1" customWidth="1"/>
    <col min="530" max="530" width="8" style="157" customWidth="1"/>
    <col min="531" max="531" width="10.83203125" style="157" bestFit="1" customWidth="1"/>
    <col min="532" max="532" width="12.1640625" style="157" bestFit="1" customWidth="1"/>
    <col min="533" max="533" width="8.1640625" style="157" bestFit="1" customWidth="1"/>
    <col min="534" max="534" width="10.83203125" style="157" bestFit="1" customWidth="1"/>
    <col min="535" max="535" width="12.1640625" style="157" bestFit="1" customWidth="1"/>
    <col min="536" max="536" width="18.1640625" style="157" bestFit="1" customWidth="1"/>
    <col min="537" max="537" width="10.83203125" style="157" bestFit="1" customWidth="1"/>
    <col min="538" max="773" width="8.83203125" style="157"/>
    <col min="774" max="774" width="38.1640625" style="157" customWidth="1"/>
    <col min="775" max="775" width="23.44140625" style="157" bestFit="1" customWidth="1"/>
    <col min="776" max="777" width="9.1640625" style="157" customWidth="1"/>
    <col min="778" max="778" width="11.1640625" style="157" bestFit="1" customWidth="1"/>
    <col min="779" max="779" width="14.44140625" style="157" bestFit="1" customWidth="1"/>
    <col min="780" max="780" width="8.1640625" style="157" customWidth="1"/>
    <col min="781" max="781" width="10.83203125" style="157" bestFit="1" customWidth="1"/>
    <col min="782" max="782" width="12.1640625" style="157" bestFit="1" customWidth="1"/>
    <col min="783" max="783" width="9.1640625" style="157" customWidth="1"/>
    <col min="784" max="784" width="10.83203125" style="157" bestFit="1" customWidth="1"/>
    <col min="785" max="785" width="12.1640625" style="157" bestFit="1" customWidth="1"/>
    <col min="786" max="786" width="8" style="157" customWidth="1"/>
    <col min="787" max="787" width="10.83203125" style="157" bestFit="1" customWidth="1"/>
    <col min="788" max="788" width="12.1640625" style="157" bestFit="1" customWidth="1"/>
    <col min="789" max="789" width="8.1640625" style="157" bestFit="1" customWidth="1"/>
    <col min="790" max="790" width="10.83203125" style="157" bestFit="1" customWidth="1"/>
    <col min="791" max="791" width="12.1640625" style="157" bestFit="1" customWidth="1"/>
    <col min="792" max="792" width="18.1640625" style="157" bestFit="1" customWidth="1"/>
    <col min="793" max="793" width="10.83203125" style="157" bestFit="1" customWidth="1"/>
    <col min="794" max="1029" width="8.83203125" style="157"/>
    <col min="1030" max="1030" width="38.1640625" style="157" customWidth="1"/>
    <col min="1031" max="1031" width="23.44140625" style="157" bestFit="1" customWidth="1"/>
    <col min="1032" max="1033" width="9.1640625" style="157" customWidth="1"/>
    <col min="1034" max="1034" width="11.1640625" style="157" bestFit="1" customWidth="1"/>
    <col min="1035" max="1035" width="14.44140625" style="157" bestFit="1" customWidth="1"/>
    <col min="1036" max="1036" width="8.1640625" style="157" customWidth="1"/>
    <col min="1037" max="1037" width="10.83203125" style="157" bestFit="1" customWidth="1"/>
    <col min="1038" max="1038" width="12.1640625" style="157" bestFit="1" customWidth="1"/>
    <col min="1039" max="1039" width="9.1640625" style="157" customWidth="1"/>
    <col min="1040" max="1040" width="10.83203125" style="157" bestFit="1" customWidth="1"/>
    <col min="1041" max="1041" width="12.1640625" style="157" bestFit="1" customWidth="1"/>
    <col min="1042" max="1042" width="8" style="157" customWidth="1"/>
    <col min="1043" max="1043" width="10.83203125" style="157" bestFit="1" customWidth="1"/>
    <col min="1044" max="1044" width="12.1640625" style="157" bestFit="1" customWidth="1"/>
    <col min="1045" max="1045" width="8.1640625" style="157" bestFit="1" customWidth="1"/>
    <col min="1046" max="1046" width="10.83203125" style="157" bestFit="1" customWidth="1"/>
    <col min="1047" max="1047" width="12.1640625" style="157" bestFit="1" customWidth="1"/>
    <col min="1048" max="1048" width="18.1640625" style="157" bestFit="1" customWidth="1"/>
    <col min="1049" max="1049" width="10.83203125" style="157" bestFit="1" customWidth="1"/>
    <col min="1050" max="1285" width="8.83203125" style="157"/>
    <col min="1286" max="1286" width="38.1640625" style="157" customWidth="1"/>
    <col min="1287" max="1287" width="23.44140625" style="157" bestFit="1" customWidth="1"/>
    <col min="1288" max="1289" width="9.1640625" style="157" customWidth="1"/>
    <col min="1290" max="1290" width="11.1640625" style="157" bestFit="1" customWidth="1"/>
    <col min="1291" max="1291" width="14.44140625" style="157" bestFit="1" customWidth="1"/>
    <col min="1292" max="1292" width="8.1640625" style="157" customWidth="1"/>
    <col min="1293" max="1293" width="10.83203125" style="157" bestFit="1" customWidth="1"/>
    <col min="1294" max="1294" width="12.1640625" style="157" bestFit="1" customWidth="1"/>
    <col min="1295" max="1295" width="9.1640625" style="157" customWidth="1"/>
    <col min="1296" max="1296" width="10.83203125" style="157" bestFit="1" customWidth="1"/>
    <col min="1297" max="1297" width="12.1640625" style="157" bestFit="1" customWidth="1"/>
    <col min="1298" max="1298" width="8" style="157" customWidth="1"/>
    <col min="1299" max="1299" width="10.83203125" style="157" bestFit="1" customWidth="1"/>
    <col min="1300" max="1300" width="12.1640625" style="157" bestFit="1" customWidth="1"/>
    <col min="1301" max="1301" width="8.1640625" style="157" bestFit="1" customWidth="1"/>
    <col min="1302" max="1302" width="10.83203125" style="157" bestFit="1" customWidth="1"/>
    <col min="1303" max="1303" width="12.1640625" style="157" bestFit="1" customWidth="1"/>
    <col min="1304" max="1304" width="18.1640625" style="157" bestFit="1" customWidth="1"/>
    <col min="1305" max="1305" width="10.83203125" style="157" bestFit="1" customWidth="1"/>
    <col min="1306" max="1541" width="8.83203125" style="157"/>
    <col min="1542" max="1542" width="38.1640625" style="157" customWidth="1"/>
    <col min="1543" max="1543" width="23.44140625" style="157" bestFit="1" customWidth="1"/>
    <col min="1544" max="1545" width="9.1640625" style="157" customWidth="1"/>
    <col min="1546" max="1546" width="11.1640625" style="157" bestFit="1" customWidth="1"/>
    <col min="1547" max="1547" width="14.44140625" style="157" bestFit="1" customWidth="1"/>
    <col min="1548" max="1548" width="8.1640625" style="157" customWidth="1"/>
    <col min="1549" max="1549" width="10.83203125" style="157" bestFit="1" customWidth="1"/>
    <col min="1550" max="1550" width="12.1640625" style="157" bestFit="1" customWidth="1"/>
    <col min="1551" max="1551" width="9.1640625" style="157" customWidth="1"/>
    <col min="1552" max="1552" width="10.83203125" style="157" bestFit="1" customWidth="1"/>
    <col min="1553" max="1553" width="12.1640625" style="157" bestFit="1" customWidth="1"/>
    <col min="1554" max="1554" width="8" style="157" customWidth="1"/>
    <col min="1555" max="1555" width="10.83203125" style="157" bestFit="1" customWidth="1"/>
    <col min="1556" max="1556" width="12.1640625" style="157" bestFit="1" customWidth="1"/>
    <col min="1557" max="1557" width="8.1640625" style="157" bestFit="1" customWidth="1"/>
    <col min="1558" max="1558" width="10.83203125" style="157" bestFit="1" customWidth="1"/>
    <col min="1559" max="1559" width="12.1640625" style="157" bestFit="1" customWidth="1"/>
    <col min="1560" max="1560" width="18.1640625" style="157" bestFit="1" customWidth="1"/>
    <col min="1561" max="1561" width="10.83203125" style="157" bestFit="1" customWidth="1"/>
    <col min="1562" max="1797" width="8.83203125" style="157"/>
    <col min="1798" max="1798" width="38.1640625" style="157" customWidth="1"/>
    <col min="1799" max="1799" width="23.44140625" style="157" bestFit="1" customWidth="1"/>
    <col min="1800" max="1801" width="9.1640625" style="157" customWidth="1"/>
    <col min="1802" max="1802" width="11.1640625" style="157" bestFit="1" customWidth="1"/>
    <col min="1803" max="1803" width="14.44140625" style="157" bestFit="1" customWidth="1"/>
    <col min="1804" max="1804" width="8.1640625" style="157" customWidth="1"/>
    <col min="1805" max="1805" width="10.83203125" style="157" bestFit="1" customWidth="1"/>
    <col min="1806" max="1806" width="12.1640625" style="157" bestFit="1" customWidth="1"/>
    <col min="1807" max="1807" width="9.1640625" style="157" customWidth="1"/>
    <col min="1808" max="1808" width="10.83203125" style="157" bestFit="1" customWidth="1"/>
    <col min="1809" max="1809" width="12.1640625" style="157" bestFit="1" customWidth="1"/>
    <col min="1810" max="1810" width="8" style="157" customWidth="1"/>
    <col min="1811" max="1811" width="10.83203125" style="157" bestFit="1" customWidth="1"/>
    <col min="1812" max="1812" width="12.1640625" style="157" bestFit="1" customWidth="1"/>
    <col min="1813" max="1813" width="8.1640625" style="157" bestFit="1" customWidth="1"/>
    <col min="1814" max="1814" width="10.83203125" style="157" bestFit="1" customWidth="1"/>
    <col min="1815" max="1815" width="12.1640625" style="157" bestFit="1" customWidth="1"/>
    <col min="1816" max="1816" width="18.1640625" style="157" bestFit="1" customWidth="1"/>
    <col min="1817" max="1817" width="10.83203125" style="157" bestFit="1" customWidth="1"/>
    <col min="1818" max="2053" width="8.83203125" style="157"/>
    <col min="2054" max="2054" width="38.1640625" style="157" customWidth="1"/>
    <col min="2055" max="2055" width="23.44140625" style="157" bestFit="1" customWidth="1"/>
    <col min="2056" max="2057" width="9.1640625" style="157" customWidth="1"/>
    <col min="2058" max="2058" width="11.1640625" style="157" bestFit="1" customWidth="1"/>
    <col min="2059" max="2059" width="14.44140625" style="157" bestFit="1" customWidth="1"/>
    <col min="2060" max="2060" width="8.1640625" style="157" customWidth="1"/>
    <col min="2061" max="2061" width="10.83203125" style="157" bestFit="1" customWidth="1"/>
    <col min="2062" max="2062" width="12.1640625" style="157" bestFit="1" customWidth="1"/>
    <col min="2063" max="2063" width="9.1640625" style="157" customWidth="1"/>
    <col min="2064" max="2064" width="10.83203125" style="157" bestFit="1" customWidth="1"/>
    <col min="2065" max="2065" width="12.1640625" style="157" bestFit="1" customWidth="1"/>
    <col min="2066" max="2066" width="8" style="157" customWidth="1"/>
    <col min="2067" max="2067" width="10.83203125" style="157" bestFit="1" customWidth="1"/>
    <col min="2068" max="2068" width="12.1640625" style="157" bestFit="1" customWidth="1"/>
    <col min="2069" max="2069" width="8.1640625" style="157" bestFit="1" customWidth="1"/>
    <col min="2070" max="2070" width="10.83203125" style="157" bestFit="1" customWidth="1"/>
    <col min="2071" max="2071" width="12.1640625" style="157" bestFit="1" customWidth="1"/>
    <col min="2072" max="2072" width="18.1640625" style="157" bestFit="1" customWidth="1"/>
    <col min="2073" max="2073" width="10.83203125" style="157" bestFit="1" customWidth="1"/>
    <col min="2074" max="2309" width="8.83203125" style="157"/>
    <col min="2310" max="2310" width="38.1640625" style="157" customWidth="1"/>
    <col min="2311" max="2311" width="23.44140625" style="157" bestFit="1" customWidth="1"/>
    <col min="2312" max="2313" width="9.1640625" style="157" customWidth="1"/>
    <col min="2314" max="2314" width="11.1640625" style="157" bestFit="1" customWidth="1"/>
    <col min="2315" max="2315" width="14.44140625" style="157" bestFit="1" customWidth="1"/>
    <col min="2316" max="2316" width="8.1640625" style="157" customWidth="1"/>
    <col min="2317" max="2317" width="10.83203125" style="157" bestFit="1" customWidth="1"/>
    <col min="2318" max="2318" width="12.1640625" style="157" bestFit="1" customWidth="1"/>
    <col min="2319" max="2319" width="9.1640625" style="157" customWidth="1"/>
    <col min="2320" max="2320" width="10.83203125" style="157" bestFit="1" customWidth="1"/>
    <col min="2321" max="2321" width="12.1640625" style="157" bestFit="1" customWidth="1"/>
    <col min="2322" max="2322" width="8" style="157" customWidth="1"/>
    <col min="2323" max="2323" width="10.83203125" style="157" bestFit="1" customWidth="1"/>
    <col min="2324" max="2324" width="12.1640625" style="157" bestFit="1" customWidth="1"/>
    <col min="2325" max="2325" width="8.1640625" style="157" bestFit="1" customWidth="1"/>
    <col min="2326" max="2326" width="10.83203125" style="157" bestFit="1" customWidth="1"/>
    <col min="2327" max="2327" width="12.1640625" style="157" bestFit="1" customWidth="1"/>
    <col min="2328" max="2328" width="18.1640625" style="157" bestFit="1" customWidth="1"/>
    <col min="2329" max="2329" width="10.83203125" style="157" bestFit="1" customWidth="1"/>
    <col min="2330" max="2565" width="8.83203125" style="157"/>
    <col min="2566" max="2566" width="38.1640625" style="157" customWidth="1"/>
    <col min="2567" max="2567" width="23.44140625" style="157" bestFit="1" customWidth="1"/>
    <col min="2568" max="2569" width="9.1640625" style="157" customWidth="1"/>
    <col min="2570" max="2570" width="11.1640625" style="157" bestFit="1" customWidth="1"/>
    <col min="2571" max="2571" width="14.44140625" style="157" bestFit="1" customWidth="1"/>
    <col min="2572" max="2572" width="8.1640625" style="157" customWidth="1"/>
    <col min="2573" max="2573" width="10.83203125" style="157" bestFit="1" customWidth="1"/>
    <col min="2574" max="2574" width="12.1640625" style="157" bestFit="1" customWidth="1"/>
    <col min="2575" max="2575" width="9.1640625" style="157" customWidth="1"/>
    <col min="2576" max="2576" width="10.83203125" style="157" bestFit="1" customWidth="1"/>
    <col min="2577" max="2577" width="12.1640625" style="157" bestFit="1" customWidth="1"/>
    <col min="2578" max="2578" width="8" style="157" customWidth="1"/>
    <col min="2579" max="2579" width="10.83203125" style="157" bestFit="1" customWidth="1"/>
    <col min="2580" max="2580" width="12.1640625" style="157" bestFit="1" customWidth="1"/>
    <col min="2581" max="2581" width="8.1640625" style="157" bestFit="1" customWidth="1"/>
    <col min="2582" max="2582" width="10.83203125" style="157" bestFit="1" customWidth="1"/>
    <col min="2583" max="2583" width="12.1640625" style="157" bestFit="1" customWidth="1"/>
    <col min="2584" max="2584" width="18.1640625" style="157" bestFit="1" customWidth="1"/>
    <col min="2585" max="2585" width="10.83203125" style="157" bestFit="1" customWidth="1"/>
    <col min="2586" max="2821" width="8.83203125" style="157"/>
    <col min="2822" max="2822" width="38.1640625" style="157" customWidth="1"/>
    <col min="2823" max="2823" width="23.44140625" style="157" bestFit="1" customWidth="1"/>
    <col min="2824" max="2825" width="9.1640625" style="157" customWidth="1"/>
    <col min="2826" max="2826" width="11.1640625" style="157" bestFit="1" customWidth="1"/>
    <col min="2827" max="2827" width="14.44140625" style="157" bestFit="1" customWidth="1"/>
    <col min="2828" max="2828" width="8.1640625" style="157" customWidth="1"/>
    <col min="2829" max="2829" width="10.83203125" style="157" bestFit="1" customWidth="1"/>
    <col min="2830" max="2830" width="12.1640625" style="157" bestFit="1" customWidth="1"/>
    <col min="2831" max="2831" width="9.1640625" style="157" customWidth="1"/>
    <col min="2832" max="2832" width="10.83203125" style="157" bestFit="1" customWidth="1"/>
    <col min="2833" max="2833" width="12.1640625" style="157" bestFit="1" customWidth="1"/>
    <col min="2834" max="2834" width="8" style="157" customWidth="1"/>
    <col min="2835" max="2835" width="10.83203125" style="157" bestFit="1" customWidth="1"/>
    <col min="2836" max="2836" width="12.1640625" style="157" bestFit="1" customWidth="1"/>
    <col min="2837" max="2837" width="8.1640625" style="157" bestFit="1" customWidth="1"/>
    <col min="2838" max="2838" width="10.83203125" style="157" bestFit="1" customWidth="1"/>
    <col min="2839" max="2839" width="12.1640625" style="157" bestFit="1" customWidth="1"/>
    <col min="2840" max="2840" width="18.1640625" style="157" bestFit="1" customWidth="1"/>
    <col min="2841" max="2841" width="10.83203125" style="157" bestFit="1" customWidth="1"/>
    <col min="2842" max="3077" width="8.83203125" style="157"/>
    <col min="3078" max="3078" width="38.1640625" style="157" customWidth="1"/>
    <col min="3079" max="3079" width="23.44140625" style="157" bestFit="1" customWidth="1"/>
    <col min="3080" max="3081" width="9.1640625" style="157" customWidth="1"/>
    <col min="3082" max="3082" width="11.1640625" style="157" bestFit="1" customWidth="1"/>
    <col min="3083" max="3083" width="14.44140625" style="157" bestFit="1" customWidth="1"/>
    <col min="3084" max="3084" width="8.1640625" style="157" customWidth="1"/>
    <col min="3085" max="3085" width="10.83203125" style="157" bestFit="1" customWidth="1"/>
    <col min="3086" max="3086" width="12.1640625" style="157" bestFit="1" customWidth="1"/>
    <col min="3087" max="3087" width="9.1640625" style="157" customWidth="1"/>
    <col min="3088" max="3088" width="10.83203125" style="157" bestFit="1" customWidth="1"/>
    <col min="3089" max="3089" width="12.1640625" style="157" bestFit="1" customWidth="1"/>
    <col min="3090" max="3090" width="8" style="157" customWidth="1"/>
    <col min="3091" max="3091" width="10.83203125" style="157" bestFit="1" customWidth="1"/>
    <col min="3092" max="3092" width="12.1640625" style="157" bestFit="1" customWidth="1"/>
    <col min="3093" max="3093" width="8.1640625" style="157" bestFit="1" customWidth="1"/>
    <col min="3094" max="3094" width="10.83203125" style="157" bestFit="1" customWidth="1"/>
    <col min="3095" max="3095" width="12.1640625" style="157" bestFit="1" customWidth="1"/>
    <col min="3096" max="3096" width="18.1640625" style="157" bestFit="1" customWidth="1"/>
    <col min="3097" max="3097" width="10.83203125" style="157" bestFit="1" customWidth="1"/>
    <col min="3098" max="3333" width="8.83203125" style="157"/>
    <col min="3334" max="3334" width="38.1640625" style="157" customWidth="1"/>
    <col min="3335" max="3335" width="23.44140625" style="157" bestFit="1" customWidth="1"/>
    <col min="3336" max="3337" width="9.1640625" style="157" customWidth="1"/>
    <col min="3338" max="3338" width="11.1640625" style="157" bestFit="1" customWidth="1"/>
    <col min="3339" max="3339" width="14.44140625" style="157" bestFit="1" customWidth="1"/>
    <col min="3340" max="3340" width="8.1640625" style="157" customWidth="1"/>
    <col min="3341" max="3341" width="10.83203125" style="157" bestFit="1" customWidth="1"/>
    <col min="3342" max="3342" width="12.1640625" style="157" bestFit="1" customWidth="1"/>
    <col min="3343" max="3343" width="9.1640625" style="157" customWidth="1"/>
    <col min="3344" max="3344" width="10.83203125" style="157" bestFit="1" customWidth="1"/>
    <col min="3345" max="3345" width="12.1640625" style="157" bestFit="1" customWidth="1"/>
    <col min="3346" max="3346" width="8" style="157" customWidth="1"/>
    <col min="3347" max="3347" width="10.83203125" style="157" bestFit="1" customWidth="1"/>
    <col min="3348" max="3348" width="12.1640625" style="157" bestFit="1" customWidth="1"/>
    <col min="3349" max="3349" width="8.1640625" style="157" bestFit="1" customWidth="1"/>
    <col min="3350" max="3350" width="10.83203125" style="157" bestFit="1" customWidth="1"/>
    <col min="3351" max="3351" width="12.1640625" style="157" bestFit="1" customWidth="1"/>
    <col min="3352" max="3352" width="18.1640625" style="157" bestFit="1" customWidth="1"/>
    <col min="3353" max="3353" width="10.83203125" style="157" bestFit="1" customWidth="1"/>
    <col min="3354" max="3589" width="8.83203125" style="157"/>
    <col min="3590" max="3590" width="38.1640625" style="157" customWidth="1"/>
    <col min="3591" max="3591" width="23.44140625" style="157" bestFit="1" customWidth="1"/>
    <col min="3592" max="3593" width="9.1640625" style="157" customWidth="1"/>
    <col min="3594" max="3594" width="11.1640625" style="157" bestFit="1" customWidth="1"/>
    <col min="3595" max="3595" width="14.44140625" style="157" bestFit="1" customWidth="1"/>
    <col min="3596" max="3596" width="8.1640625" style="157" customWidth="1"/>
    <col min="3597" max="3597" width="10.83203125" style="157" bestFit="1" customWidth="1"/>
    <col min="3598" max="3598" width="12.1640625" style="157" bestFit="1" customWidth="1"/>
    <col min="3599" max="3599" width="9.1640625" style="157" customWidth="1"/>
    <col min="3600" max="3600" width="10.83203125" style="157" bestFit="1" customWidth="1"/>
    <col min="3601" max="3601" width="12.1640625" style="157" bestFit="1" customWidth="1"/>
    <col min="3602" max="3602" width="8" style="157" customWidth="1"/>
    <col min="3603" max="3603" width="10.83203125" style="157" bestFit="1" customWidth="1"/>
    <col min="3604" max="3604" width="12.1640625" style="157" bestFit="1" customWidth="1"/>
    <col min="3605" max="3605" width="8.1640625" style="157" bestFit="1" customWidth="1"/>
    <col min="3606" max="3606" width="10.83203125" style="157" bestFit="1" customWidth="1"/>
    <col min="3607" max="3607" width="12.1640625" style="157" bestFit="1" customWidth="1"/>
    <col min="3608" max="3608" width="18.1640625" style="157" bestFit="1" customWidth="1"/>
    <col min="3609" max="3609" width="10.83203125" style="157" bestFit="1" customWidth="1"/>
    <col min="3610" max="3845" width="8.83203125" style="157"/>
    <col min="3846" max="3846" width="38.1640625" style="157" customWidth="1"/>
    <col min="3847" max="3847" width="23.44140625" style="157" bestFit="1" customWidth="1"/>
    <col min="3848" max="3849" width="9.1640625" style="157" customWidth="1"/>
    <col min="3850" max="3850" width="11.1640625" style="157" bestFit="1" customWidth="1"/>
    <col min="3851" max="3851" width="14.44140625" style="157" bestFit="1" customWidth="1"/>
    <col min="3852" max="3852" width="8.1640625" style="157" customWidth="1"/>
    <col min="3853" max="3853" width="10.83203125" style="157" bestFit="1" customWidth="1"/>
    <col min="3854" max="3854" width="12.1640625" style="157" bestFit="1" customWidth="1"/>
    <col min="3855" max="3855" width="9.1640625" style="157" customWidth="1"/>
    <col min="3856" max="3856" width="10.83203125" style="157" bestFit="1" customWidth="1"/>
    <col min="3857" max="3857" width="12.1640625" style="157" bestFit="1" customWidth="1"/>
    <col min="3858" max="3858" width="8" style="157" customWidth="1"/>
    <col min="3859" max="3859" width="10.83203125" style="157" bestFit="1" customWidth="1"/>
    <col min="3860" max="3860" width="12.1640625" style="157" bestFit="1" customWidth="1"/>
    <col min="3861" max="3861" width="8.1640625" style="157" bestFit="1" customWidth="1"/>
    <col min="3862" max="3862" width="10.83203125" style="157" bestFit="1" customWidth="1"/>
    <col min="3863" max="3863" width="12.1640625" style="157" bestFit="1" customWidth="1"/>
    <col min="3864" max="3864" width="18.1640625" style="157" bestFit="1" customWidth="1"/>
    <col min="3865" max="3865" width="10.83203125" style="157" bestFit="1" customWidth="1"/>
    <col min="3866" max="4101" width="8.83203125" style="157"/>
    <col min="4102" max="4102" width="38.1640625" style="157" customWidth="1"/>
    <col min="4103" max="4103" width="23.44140625" style="157" bestFit="1" customWidth="1"/>
    <col min="4104" max="4105" width="9.1640625" style="157" customWidth="1"/>
    <col min="4106" max="4106" width="11.1640625" style="157" bestFit="1" customWidth="1"/>
    <col min="4107" max="4107" width="14.44140625" style="157" bestFit="1" customWidth="1"/>
    <col min="4108" max="4108" width="8.1640625" style="157" customWidth="1"/>
    <col min="4109" max="4109" width="10.83203125" style="157" bestFit="1" customWidth="1"/>
    <col min="4110" max="4110" width="12.1640625" style="157" bestFit="1" customWidth="1"/>
    <col min="4111" max="4111" width="9.1640625" style="157" customWidth="1"/>
    <col min="4112" max="4112" width="10.83203125" style="157" bestFit="1" customWidth="1"/>
    <col min="4113" max="4113" width="12.1640625" style="157" bestFit="1" customWidth="1"/>
    <col min="4114" max="4114" width="8" style="157" customWidth="1"/>
    <col min="4115" max="4115" width="10.83203125" style="157" bestFit="1" customWidth="1"/>
    <col min="4116" max="4116" width="12.1640625" style="157" bestFit="1" customWidth="1"/>
    <col min="4117" max="4117" width="8.1640625" style="157" bestFit="1" customWidth="1"/>
    <col min="4118" max="4118" width="10.83203125" style="157" bestFit="1" customWidth="1"/>
    <col min="4119" max="4119" width="12.1640625" style="157" bestFit="1" customWidth="1"/>
    <col min="4120" max="4120" width="18.1640625" style="157" bestFit="1" customWidth="1"/>
    <col min="4121" max="4121" width="10.83203125" style="157" bestFit="1" customWidth="1"/>
    <col min="4122" max="4357" width="8.83203125" style="157"/>
    <col min="4358" max="4358" width="38.1640625" style="157" customWidth="1"/>
    <col min="4359" max="4359" width="23.44140625" style="157" bestFit="1" customWidth="1"/>
    <col min="4360" max="4361" width="9.1640625" style="157" customWidth="1"/>
    <col min="4362" max="4362" width="11.1640625" style="157" bestFit="1" customWidth="1"/>
    <col min="4363" max="4363" width="14.44140625" style="157" bestFit="1" customWidth="1"/>
    <col min="4364" max="4364" width="8.1640625" style="157" customWidth="1"/>
    <col min="4365" max="4365" width="10.83203125" style="157" bestFit="1" customWidth="1"/>
    <col min="4366" max="4366" width="12.1640625" style="157" bestFit="1" customWidth="1"/>
    <col min="4367" max="4367" width="9.1640625" style="157" customWidth="1"/>
    <col min="4368" max="4368" width="10.83203125" style="157" bestFit="1" customWidth="1"/>
    <col min="4369" max="4369" width="12.1640625" style="157" bestFit="1" customWidth="1"/>
    <col min="4370" max="4370" width="8" style="157" customWidth="1"/>
    <col min="4371" max="4371" width="10.83203125" style="157" bestFit="1" customWidth="1"/>
    <col min="4372" max="4372" width="12.1640625" style="157" bestFit="1" customWidth="1"/>
    <col min="4373" max="4373" width="8.1640625" style="157" bestFit="1" customWidth="1"/>
    <col min="4374" max="4374" width="10.83203125" style="157" bestFit="1" customWidth="1"/>
    <col min="4375" max="4375" width="12.1640625" style="157" bestFit="1" customWidth="1"/>
    <col min="4376" max="4376" width="18.1640625" style="157" bestFit="1" customWidth="1"/>
    <col min="4377" max="4377" width="10.83203125" style="157" bestFit="1" customWidth="1"/>
    <col min="4378" max="4613" width="8.83203125" style="157"/>
    <col min="4614" max="4614" width="38.1640625" style="157" customWidth="1"/>
    <col min="4615" max="4615" width="23.44140625" style="157" bestFit="1" customWidth="1"/>
    <col min="4616" max="4617" width="9.1640625" style="157" customWidth="1"/>
    <col min="4618" max="4618" width="11.1640625" style="157" bestFit="1" customWidth="1"/>
    <col min="4619" max="4619" width="14.44140625" style="157" bestFit="1" customWidth="1"/>
    <col min="4620" max="4620" width="8.1640625" style="157" customWidth="1"/>
    <col min="4621" max="4621" width="10.83203125" style="157" bestFit="1" customWidth="1"/>
    <col min="4622" max="4622" width="12.1640625" style="157" bestFit="1" customWidth="1"/>
    <col min="4623" max="4623" width="9.1640625" style="157" customWidth="1"/>
    <col min="4624" max="4624" width="10.83203125" style="157" bestFit="1" customWidth="1"/>
    <col min="4625" max="4625" width="12.1640625" style="157" bestFit="1" customWidth="1"/>
    <col min="4626" max="4626" width="8" style="157" customWidth="1"/>
    <col min="4627" max="4627" width="10.83203125" style="157" bestFit="1" customWidth="1"/>
    <col min="4628" max="4628" width="12.1640625" style="157" bestFit="1" customWidth="1"/>
    <col min="4629" max="4629" width="8.1640625" style="157" bestFit="1" customWidth="1"/>
    <col min="4630" max="4630" width="10.83203125" style="157" bestFit="1" customWidth="1"/>
    <col min="4631" max="4631" width="12.1640625" style="157" bestFit="1" customWidth="1"/>
    <col min="4632" max="4632" width="18.1640625" style="157" bestFit="1" customWidth="1"/>
    <col min="4633" max="4633" width="10.83203125" style="157" bestFit="1" customWidth="1"/>
    <col min="4634" max="4869" width="8.83203125" style="157"/>
    <col min="4870" max="4870" width="38.1640625" style="157" customWidth="1"/>
    <col min="4871" max="4871" width="23.44140625" style="157" bestFit="1" customWidth="1"/>
    <col min="4872" max="4873" width="9.1640625" style="157" customWidth="1"/>
    <col min="4874" max="4874" width="11.1640625" style="157" bestFit="1" customWidth="1"/>
    <col min="4875" max="4875" width="14.44140625" style="157" bestFit="1" customWidth="1"/>
    <col min="4876" max="4876" width="8.1640625" style="157" customWidth="1"/>
    <col min="4877" max="4877" width="10.83203125" style="157" bestFit="1" customWidth="1"/>
    <col min="4878" max="4878" width="12.1640625" style="157" bestFit="1" customWidth="1"/>
    <col min="4879" max="4879" width="9.1640625" style="157" customWidth="1"/>
    <col min="4880" max="4880" width="10.83203125" style="157" bestFit="1" customWidth="1"/>
    <col min="4881" max="4881" width="12.1640625" style="157" bestFit="1" customWidth="1"/>
    <col min="4882" max="4882" width="8" style="157" customWidth="1"/>
    <col min="4883" max="4883" width="10.83203125" style="157" bestFit="1" customWidth="1"/>
    <col min="4884" max="4884" width="12.1640625" style="157" bestFit="1" customWidth="1"/>
    <col min="4885" max="4885" width="8.1640625" style="157" bestFit="1" customWidth="1"/>
    <col min="4886" max="4886" width="10.83203125" style="157" bestFit="1" customWidth="1"/>
    <col min="4887" max="4887" width="12.1640625" style="157" bestFit="1" customWidth="1"/>
    <col min="4888" max="4888" width="18.1640625" style="157" bestFit="1" customWidth="1"/>
    <col min="4889" max="4889" width="10.83203125" style="157" bestFit="1" customWidth="1"/>
    <col min="4890" max="5125" width="8.83203125" style="157"/>
    <col min="5126" max="5126" width="38.1640625" style="157" customWidth="1"/>
    <col min="5127" max="5127" width="23.44140625" style="157" bestFit="1" customWidth="1"/>
    <col min="5128" max="5129" width="9.1640625" style="157" customWidth="1"/>
    <col min="5130" max="5130" width="11.1640625" style="157" bestFit="1" customWidth="1"/>
    <col min="5131" max="5131" width="14.44140625" style="157" bestFit="1" customWidth="1"/>
    <col min="5132" max="5132" width="8.1640625" style="157" customWidth="1"/>
    <col min="5133" max="5133" width="10.83203125" style="157" bestFit="1" customWidth="1"/>
    <col min="5134" max="5134" width="12.1640625" style="157" bestFit="1" customWidth="1"/>
    <col min="5135" max="5135" width="9.1640625" style="157" customWidth="1"/>
    <col min="5136" max="5136" width="10.83203125" style="157" bestFit="1" customWidth="1"/>
    <col min="5137" max="5137" width="12.1640625" style="157" bestFit="1" customWidth="1"/>
    <col min="5138" max="5138" width="8" style="157" customWidth="1"/>
    <col min="5139" max="5139" width="10.83203125" style="157" bestFit="1" customWidth="1"/>
    <col min="5140" max="5140" width="12.1640625" style="157" bestFit="1" customWidth="1"/>
    <col min="5141" max="5141" width="8.1640625" style="157" bestFit="1" customWidth="1"/>
    <col min="5142" max="5142" width="10.83203125" style="157" bestFit="1" customWidth="1"/>
    <col min="5143" max="5143" width="12.1640625" style="157" bestFit="1" customWidth="1"/>
    <col min="5144" max="5144" width="18.1640625" style="157" bestFit="1" customWidth="1"/>
    <col min="5145" max="5145" width="10.83203125" style="157" bestFit="1" customWidth="1"/>
    <col min="5146" max="5381" width="8.83203125" style="157"/>
    <col min="5382" max="5382" width="38.1640625" style="157" customWidth="1"/>
    <col min="5383" max="5383" width="23.44140625" style="157" bestFit="1" customWidth="1"/>
    <col min="5384" max="5385" width="9.1640625" style="157" customWidth="1"/>
    <col min="5386" max="5386" width="11.1640625" style="157" bestFit="1" customWidth="1"/>
    <col min="5387" max="5387" width="14.44140625" style="157" bestFit="1" customWidth="1"/>
    <col min="5388" max="5388" width="8.1640625" style="157" customWidth="1"/>
    <col min="5389" max="5389" width="10.83203125" style="157" bestFit="1" customWidth="1"/>
    <col min="5390" max="5390" width="12.1640625" style="157" bestFit="1" customWidth="1"/>
    <col min="5391" max="5391" width="9.1640625" style="157" customWidth="1"/>
    <col min="5392" max="5392" width="10.83203125" style="157" bestFit="1" customWidth="1"/>
    <col min="5393" max="5393" width="12.1640625" style="157" bestFit="1" customWidth="1"/>
    <col min="5394" max="5394" width="8" style="157" customWidth="1"/>
    <col min="5395" max="5395" width="10.83203125" style="157" bestFit="1" customWidth="1"/>
    <col min="5396" max="5396" width="12.1640625" style="157" bestFit="1" customWidth="1"/>
    <col min="5397" max="5397" width="8.1640625" style="157" bestFit="1" customWidth="1"/>
    <col min="5398" max="5398" width="10.83203125" style="157" bestFit="1" customWidth="1"/>
    <col min="5399" max="5399" width="12.1640625" style="157" bestFit="1" customWidth="1"/>
    <col min="5400" max="5400" width="18.1640625" style="157" bestFit="1" customWidth="1"/>
    <col min="5401" max="5401" width="10.83203125" style="157" bestFit="1" customWidth="1"/>
    <col min="5402" max="5637" width="8.83203125" style="157"/>
    <col min="5638" max="5638" width="38.1640625" style="157" customWidth="1"/>
    <col min="5639" max="5639" width="23.44140625" style="157" bestFit="1" customWidth="1"/>
    <col min="5640" max="5641" width="9.1640625" style="157" customWidth="1"/>
    <col min="5642" max="5642" width="11.1640625" style="157" bestFit="1" customWidth="1"/>
    <col min="5643" max="5643" width="14.44140625" style="157" bestFit="1" customWidth="1"/>
    <col min="5644" max="5644" width="8.1640625" style="157" customWidth="1"/>
    <col min="5645" max="5645" width="10.83203125" style="157" bestFit="1" customWidth="1"/>
    <col min="5646" max="5646" width="12.1640625" style="157" bestFit="1" customWidth="1"/>
    <col min="5647" max="5647" width="9.1640625" style="157" customWidth="1"/>
    <col min="5648" max="5648" width="10.83203125" style="157" bestFit="1" customWidth="1"/>
    <col min="5649" max="5649" width="12.1640625" style="157" bestFit="1" customWidth="1"/>
    <col min="5650" max="5650" width="8" style="157" customWidth="1"/>
    <col min="5651" max="5651" width="10.83203125" style="157" bestFit="1" customWidth="1"/>
    <col min="5652" max="5652" width="12.1640625" style="157" bestFit="1" customWidth="1"/>
    <col min="5653" max="5653" width="8.1640625" style="157" bestFit="1" customWidth="1"/>
    <col min="5654" max="5654" width="10.83203125" style="157" bestFit="1" customWidth="1"/>
    <col min="5655" max="5655" width="12.1640625" style="157" bestFit="1" customWidth="1"/>
    <col min="5656" max="5656" width="18.1640625" style="157" bestFit="1" customWidth="1"/>
    <col min="5657" max="5657" width="10.83203125" style="157" bestFit="1" customWidth="1"/>
    <col min="5658" max="5893" width="8.83203125" style="157"/>
    <col min="5894" max="5894" width="38.1640625" style="157" customWidth="1"/>
    <col min="5895" max="5895" width="23.44140625" style="157" bestFit="1" customWidth="1"/>
    <col min="5896" max="5897" width="9.1640625" style="157" customWidth="1"/>
    <col min="5898" max="5898" width="11.1640625" style="157" bestFit="1" customWidth="1"/>
    <col min="5899" max="5899" width="14.44140625" style="157" bestFit="1" customWidth="1"/>
    <col min="5900" max="5900" width="8.1640625" style="157" customWidth="1"/>
    <col min="5901" max="5901" width="10.83203125" style="157" bestFit="1" customWidth="1"/>
    <col min="5902" max="5902" width="12.1640625" style="157" bestFit="1" customWidth="1"/>
    <col min="5903" max="5903" width="9.1640625" style="157" customWidth="1"/>
    <col min="5904" max="5904" width="10.83203125" style="157" bestFit="1" customWidth="1"/>
    <col min="5905" max="5905" width="12.1640625" style="157" bestFit="1" customWidth="1"/>
    <col min="5906" max="5906" width="8" style="157" customWidth="1"/>
    <col min="5907" max="5907" width="10.83203125" style="157" bestFit="1" customWidth="1"/>
    <col min="5908" max="5908" width="12.1640625" style="157" bestFit="1" customWidth="1"/>
    <col min="5909" max="5909" width="8.1640625" style="157" bestFit="1" customWidth="1"/>
    <col min="5910" max="5910" width="10.83203125" style="157" bestFit="1" customWidth="1"/>
    <col min="5911" max="5911" width="12.1640625" style="157" bestFit="1" customWidth="1"/>
    <col min="5912" max="5912" width="18.1640625" style="157" bestFit="1" customWidth="1"/>
    <col min="5913" max="5913" width="10.83203125" style="157" bestFit="1" customWidth="1"/>
    <col min="5914" max="6149" width="8.83203125" style="157"/>
    <col min="6150" max="6150" width="38.1640625" style="157" customWidth="1"/>
    <col min="6151" max="6151" width="23.44140625" style="157" bestFit="1" customWidth="1"/>
    <col min="6152" max="6153" width="9.1640625" style="157" customWidth="1"/>
    <col min="6154" max="6154" width="11.1640625" style="157" bestFit="1" customWidth="1"/>
    <col min="6155" max="6155" width="14.44140625" style="157" bestFit="1" customWidth="1"/>
    <col min="6156" max="6156" width="8.1640625" style="157" customWidth="1"/>
    <col min="6157" max="6157" width="10.83203125" style="157" bestFit="1" customWidth="1"/>
    <col min="6158" max="6158" width="12.1640625" style="157" bestFit="1" customWidth="1"/>
    <col min="6159" max="6159" width="9.1640625" style="157" customWidth="1"/>
    <col min="6160" max="6160" width="10.83203125" style="157" bestFit="1" customWidth="1"/>
    <col min="6161" max="6161" width="12.1640625" style="157" bestFit="1" customWidth="1"/>
    <col min="6162" max="6162" width="8" style="157" customWidth="1"/>
    <col min="6163" max="6163" width="10.83203125" style="157" bestFit="1" customWidth="1"/>
    <col min="6164" max="6164" width="12.1640625" style="157" bestFit="1" customWidth="1"/>
    <col min="6165" max="6165" width="8.1640625" style="157" bestFit="1" customWidth="1"/>
    <col min="6166" max="6166" width="10.83203125" style="157" bestFit="1" customWidth="1"/>
    <col min="6167" max="6167" width="12.1640625" style="157" bestFit="1" customWidth="1"/>
    <col min="6168" max="6168" width="18.1640625" style="157" bestFit="1" customWidth="1"/>
    <col min="6169" max="6169" width="10.83203125" style="157" bestFit="1" customWidth="1"/>
    <col min="6170" max="6405" width="8.83203125" style="157"/>
    <col min="6406" max="6406" width="38.1640625" style="157" customWidth="1"/>
    <col min="6407" max="6407" width="23.44140625" style="157" bestFit="1" customWidth="1"/>
    <col min="6408" max="6409" width="9.1640625" style="157" customWidth="1"/>
    <col min="6410" max="6410" width="11.1640625" style="157" bestFit="1" customWidth="1"/>
    <col min="6411" max="6411" width="14.44140625" style="157" bestFit="1" customWidth="1"/>
    <col min="6412" max="6412" width="8.1640625" style="157" customWidth="1"/>
    <col min="6413" max="6413" width="10.83203125" style="157" bestFit="1" customWidth="1"/>
    <col min="6414" max="6414" width="12.1640625" style="157" bestFit="1" customWidth="1"/>
    <col min="6415" max="6415" width="9.1640625" style="157" customWidth="1"/>
    <col min="6416" max="6416" width="10.83203125" style="157" bestFit="1" customWidth="1"/>
    <col min="6417" max="6417" width="12.1640625" style="157" bestFit="1" customWidth="1"/>
    <col min="6418" max="6418" width="8" style="157" customWidth="1"/>
    <col min="6419" max="6419" width="10.83203125" style="157" bestFit="1" customWidth="1"/>
    <col min="6420" max="6420" width="12.1640625" style="157" bestFit="1" customWidth="1"/>
    <col min="6421" max="6421" width="8.1640625" style="157" bestFit="1" customWidth="1"/>
    <col min="6422" max="6422" width="10.83203125" style="157" bestFit="1" customWidth="1"/>
    <col min="6423" max="6423" width="12.1640625" style="157" bestFit="1" customWidth="1"/>
    <col min="6424" max="6424" width="18.1640625" style="157" bestFit="1" customWidth="1"/>
    <col min="6425" max="6425" width="10.83203125" style="157" bestFit="1" customWidth="1"/>
    <col min="6426" max="6661" width="8.83203125" style="157"/>
    <col min="6662" max="6662" width="38.1640625" style="157" customWidth="1"/>
    <col min="6663" max="6663" width="23.44140625" style="157" bestFit="1" customWidth="1"/>
    <col min="6664" max="6665" width="9.1640625" style="157" customWidth="1"/>
    <col min="6666" max="6666" width="11.1640625" style="157" bestFit="1" customWidth="1"/>
    <col min="6667" max="6667" width="14.44140625" style="157" bestFit="1" customWidth="1"/>
    <col min="6668" max="6668" width="8.1640625" style="157" customWidth="1"/>
    <col min="6669" max="6669" width="10.83203125" style="157" bestFit="1" customWidth="1"/>
    <col min="6670" max="6670" width="12.1640625" style="157" bestFit="1" customWidth="1"/>
    <col min="6671" max="6671" width="9.1640625" style="157" customWidth="1"/>
    <col min="6672" max="6672" width="10.83203125" style="157" bestFit="1" customWidth="1"/>
    <col min="6673" max="6673" width="12.1640625" style="157" bestFit="1" customWidth="1"/>
    <col min="6674" max="6674" width="8" style="157" customWidth="1"/>
    <col min="6675" max="6675" width="10.83203125" style="157" bestFit="1" customWidth="1"/>
    <col min="6676" max="6676" width="12.1640625" style="157" bestFit="1" customWidth="1"/>
    <col min="6677" max="6677" width="8.1640625" style="157" bestFit="1" customWidth="1"/>
    <col min="6678" max="6678" width="10.83203125" style="157" bestFit="1" customWidth="1"/>
    <col min="6679" max="6679" width="12.1640625" style="157" bestFit="1" customWidth="1"/>
    <col min="6680" max="6680" width="18.1640625" style="157" bestFit="1" customWidth="1"/>
    <col min="6681" max="6681" width="10.83203125" style="157" bestFit="1" customWidth="1"/>
    <col min="6682" max="6917" width="8.83203125" style="157"/>
    <col min="6918" max="6918" width="38.1640625" style="157" customWidth="1"/>
    <col min="6919" max="6919" width="23.44140625" style="157" bestFit="1" customWidth="1"/>
    <col min="6920" max="6921" width="9.1640625" style="157" customWidth="1"/>
    <col min="6922" max="6922" width="11.1640625" style="157" bestFit="1" customWidth="1"/>
    <col min="6923" max="6923" width="14.44140625" style="157" bestFit="1" customWidth="1"/>
    <col min="6924" max="6924" width="8.1640625" style="157" customWidth="1"/>
    <col min="6925" max="6925" width="10.83203125" style="157" bestFit="1" customWidth="1"/>
    <col min="6926" max="6926" width="12.1640625" style="157" bestFit="1" customWidth="1"/>
    <col min="6927" max="6927" width="9.1640625" style="157" customWidth="1"/>
    <col min="6928" max="6928" width="10.83203125" style="157" bestFit="1" customWidth="1"/>
    <col min="6929" max="6929" width="12.1640625" style="157" bestFit="1" customWidth="1"/>
    <col min="6930" max="6930" width="8" style="157" customWidth="1"/>
    <col min="6931" max="6931" width="10.83203125" style="157" bestFit="1" customWidth="1"/>
    <col min="6932" max="6932" width="12.1640625" style="157" bestFit="1" customWidth="1"/>
    <col min="6933" max="6933" width="8.1640625" style="157" bestFit="1" customWidth="1"/>
    <col min="6934" max="6934" width="10.83203125" style="157" bestFit="1" customWidth="1"/>
    <col min="6935" max="6935" width="12.1640625" style="157" bestFit="1" customWidth="1"/>
    <col min="6936" max="6936" width="18.1640625" style="157" bestFit="1" customWidth="1"/>
    <col min="6937" max="6937" width="10.83203125" style="157" bestFit="1" customWidth="1"/>
    <col min="6938" max="7173" width="8.83203125" style="157"/>
    <col min="7174" max="7174" width="38.1640625" style="157" customWidth="1"/>
    <col min="7175" max="7175" width="23.44140625" style="157" bestFit="1" customWidth="1"/>
    <col min="7176" max="7177" width="9.1640625" style="157" customWidth="1"/>
    <col min="7178" max="7178" width="11.1640625" style="157" bestFit="1" customWidth="1"/>
    <col min="7179" max="7179" width="14.44140625" style="157" bestFit="1" customWidth="1"/>
    <col min="7180" max="7180" width="8.1640625" style="157" customWidth="1"/>
    <col min="7181" max="7181" width="10.83203125" style="157" bestFit="1" customWidth="1"/>
    <col min="7182" max="7182" width="12.1640625" style="157" bestFit="1" customWidth="1"/>
    <col min="7183" max="7183" width="9.1640625" style="157" customWidth="1"/>
    <col min="7184" max="7184" width="10.83203125" style="157" bestFit="1" customWidth="1"/>
    <col min="7185" max="7185" width="12.1640625" style="157" bestFit="1" customWidth="1"/>
    <col min="7186" max="7186" width="8" style="157" customWidth="1"/>
    <col min="7187" max="7187" width="10.83203125" style="157" bestFit="1" customWidth="1"/>
    <col min="7188" max="7188" width="12.1640625" style="157" bestFit="1" customWidth="1"/>
    <col min="7189" max="7189" width="8.1640625" style="157" bestFit="1" customWidth="1"/>
    <col min="7190" max="7190" width="10.83203125" style="157" bestFit="1" customWidth="1"/>
    <col min="7191" max="7191" width="12.1640625" style="157" bestFit="1" customWidth="1"/>
    <col min="7192" max="7192" width="18.1640625" style="157" bestFit="1" customWidth="1"/>
    <col min="7193" max="7193" width="10.83203125" style="157" bestFit="1" customWidth="1"/>
    <col min="7194" max="7429" width="8.83203125" style="157"/>
    <col min="7430" max="7430" width="38.1640625" style="157" customWidth="1"/>
    <col min="7431" max="7431" width="23.44140625" style="157" bestFit="1" customWidth="1"/>
    <col min="7432" max="7433" width="9.1640625" style="157" customWidth="1"/>
    <col min="7434" max="7434" width="11.1640625" style="157" bestFit="1" customWidth="1"/>
    <col min="7435" max="7435" width="14.44140625" style="157" bestFit="1" customWidth="1"/>
    <col min="7436" max="7436" width="8.1640625" style="157" customWidth="1"/>
    <col min="7437" max="7437" width="10.83203125" style="157" bestFit="1" customWidth="1"/>
    <col min="7438" max="7438" width="12.1640625" style="157" bestFit="1" customWidth="1"/>
    <col min="7439" max="7439" width="9.1640625" style="157" customWidth="1"/>
    <col min="7440" max="7440" width="10.83203125" style="157" bestFit="1" customWidth="1"/>
    <col min="7441" max="7441" width="12.1640625" style="157" bestFit="1" customWidth="1"/>
    <col min="7442" max="7442" width="8" style="157" customWidth="1"/>
    <col min="7443" max="7443" width="10.83203125" style="157" bestFit="1" customWidth="1"/>
    <col min="7444" max="7444" width="12.1640625" style="157" bestFit="1" customWidth="1"/>
    <col min="7445" max="7445" width="8.1640625" style="157" bestFit="1" customWidth="1"/>
    <col min="7446" max="7446" width="10.83203125" style="157" bestFit="1" customWidth="1"/>
    <col min="7447" max="7447" width="12.1640625" style="157" bestFit="1" customWidth="1"/>
    <col min="7448" max="7448" width="18.1640625" style="157" bestFit="1" customWidth="1"/>
    <col min="7449" max="7449" width="10.83203125" style="157" bestFit="1" customWidth="1"/>
    <col min="7450" max="7685" width="8.83203125" style="157"/>
    <col min="7686" max="7686" width="38.1640625" style="157" customWidth="1"/>
    <col min="7687" max="7687" width="23.44140625" style="157" bestFit="1" customWidth="1"/>
    <col min="7688" max="7689" width="9.1640625" style="157" customWidth="1"/>
    <col min="7690" max="7690" width="11.1640625" style="157" bestFit="1" customWidth="1"/>
    <col min="7691" max="7691" width="14.44140625" style="157" bestFit="1" customWidth="1"/>
    <col min="7692" max="7692" width="8.1640625" style="157" customWidth="1"/>
    <col min="7693" max="7693" width="10.83203125" style="157" bestFit="1" customWidth="1"/>
    <col min="7694" max="7694" width="12.1640625" style="157" bestFit="1" customWidth="1"/>
    <col min="7695" max="7695" width="9.1640625" style="157" customWidth="1"/>
    <col min="7696" max="7696" width="10.83203125" style="157" bestFit="1" customWidth="1"/>
    <col min="7697" max="7697" width="12.1640625" style="157" bestFit="1" customWidth="1"/>
    <col min="7698" max="7698" width="8" style="157" customWidth="1"/>
    <col min="7699" max="7699" width="10.83203125" style="157" bestFit="1" customWidth="1"/>
    <col min="7700" max="7700" width="12.1640625" style="157" bestFit="1" customWidth="1"/>
    <col min="7701" max="7701" width="8.1640625" style="157" bestFit="1" customWidth="1"/>
    <col min="7702" max="7702" width="10.83203125" style="157" bestFit="1" customWidth="1"/>
    <col min="7703" max="7703" width="12.1640625" style="157" bestFit="1" customWidth="1"/>
    <col min="7704" max="7704" width="18.1640625" style="157" bestFit="1" customWidth="1"/>
    <col min="7705" max="7705" width="10.83203125" style="157" bestFit="1" customWidth="1"/>
    <col min="7706" max="7941" width="8.83203125" style="157"/>
    <col min="7942" max="7942" width="38.1640625" style="157" customWidth="1"/>
    <col min="7943" max="7943" width="23.44140625" style="157" bestFit="1" customWidth="1"/>
    <col min="7944" max="7945" width="9.1640625" style="157" customWidth="1"/>
    <col min="7946" max="7946" width="11.1640625" style="157" bestFit="1" customWidth="1"/>
    <col min="7947" max="7947" width="14.44140625" style="157" bestFit="1" customWidth="1"/>
    <col min="7948" max="7948" width="8.1640625" style="157" customWidth="1"/>
    <col min="7949" max="7949" width="10.83203125" style="157" bestFit="1" customWidth="1"/>
    <col min="7950" max="7950" width="12.1640625" style="157" bestFit="1" customWidth="1"/>
    <col min="7951" max="7951" width="9.1640625" style="157" customWidth="1"/>
    <col min="7952" max="7952" width="10.83203125" style="157" bestFit="1" customWidth="1"/>
    <col min="7953" max="7953" width="12.1640625" style="157" bestFit="1" customWidth="1"/>
    <col min="7954" max="7954" width="8" style="157" customWidth="1"/>
    <col min="7955" max="7955" width="10.83203125" style="157" bestFit="1" customWidth="1"/>
    <col min="7956" max="7956" width="12.1640625" style="157" bestFit="1" customWidth="1"/>
    <col min="7957" max="7957" width="8.1640625" style="157" bestFit="1" customWidth="1"/>
    <col min="7958" max="7958" width="10.83203125" style="157" bestFit="1" customWidth="1"/>
    <col min="7959" max="7959" width="12.1640625" style="157" bestFit="1" customWidth="1"/>
    <col min="7960" max="7960" width="18.1640625" style="157" bestFit="1" customWidth="1"/>
    <col min="7961" max="7961" width="10.83203125" style="157" bestFit="1" customWidth="1"/>
    <col min="7962" max="8197" width="8.83203125" style="157"/>
    <col min="8198" max="8198" width="38.1640625" style="157" customWidth="1"/>
    <col min="8199" max="8199" width="23.44140625" style="157" bestFit="1" customWidth="1"/>
    <col min="8200" max="8201" width="9.1640625" style="157" customWidth="1"/>
    <col min="8202" max="8202" width="11.1640625" style="157" bestFit="1" customWidth="1"/>
    <col min="8203" max="8203" width="14.44140625" style="157" bestFit="1" customWidth="1"/>
    <col min="8204" max="8204" width="8.1640625" style="157" customWidth="1"/>
    <col min="8205" max="8205" width="10.83203125" style="157" bestFit="1" customWidth="1"/>
    <col min="8206" max="8206" width="12.1640625" style="157" bestFit="1" customWidth="1"/>
    <col min="8207" max="8207" width="9.1640625" style="157" customWidth="1"/>
    <col min="8208" max="8208" width="10.83203125" style="157" bestFit="1" customWidth="1"/>
    <col min="8209" max="8209" width="12.1640625" style="157" bestFit="1" customWidth="1"/>
    <col min="8210" max="8210" width="8" style="157" customWidth="1"/>
    <col min="8211" max="8211" width="10.83203125" style="157" bestFit="1" customWidth="1"/>
    <col min="8212" max="8212" width="12.1640625" style="157" bestFit="1" customWidth="1"/>
    <col min="8213" max="8213" width="8.1640625" style="157" bestFit="1" customWidth="1"/>
    <col min="8214" max="8214" width="10.83203125" style="157" bestFit="1" customWidth="1"/>
    <col min="8215" max="8215" width="12.1640625" style="157" bestFit="1" customWidth="1"/>
    <col min="8216" max="8216" width="18.1640625" style="157" bestFit="1" customWidth="1"/>
    <col min="8217" max="8217" width="10.83203125" style="157" bestFit="1" customWidth="1"/>
    <col min="8218" max="8453" width="8.83203125" style="157"/>
    <col min="8454" max="8454" width="38.1640625" style="157" customWidth="1"/>
    <col min="8455" max="8455" width="23.44140625" style="157" bestFit="1" customWidth="1"/>
    <col min="8456" max="8457" width="9.1640625" style="157" customWidth="1"/>
    <col min="8458" max="8458" width="11.1640625" style="157" bestFit="1" customWidth="1"/>
    <col min="8459" max="8459" width="14.44140625" style="157" bestFit="1" customWidth="1"/>
    <col min="8460" max="8460" width="8.1640625" style="157" customWidth="1"/>
    <col min="8461" max="8461" width="10.83203125" style="157" bestFit="1" customWidth="1"/>
    <col min="8462" max="8462" width="12.1640625" style="157" bestFit="1" customWidth="1"/>
    <col min="8463" max="8463" width="9.1640625" style="157" customWidth="1"/>
    <col min="8464" max="8464" width="10.83203125" style="157" bestFit="1" customWidth="1"/>
    <col min="8465" max="8465" width="12.1640625" style="157" bestFit="1" customWidth="1"/>
    <col min="8466" max="8466" width="8" style="157" customWidth="1"/>
    <col min="8467" max="8467" width="10.83203125" style="157" bestFit="1" customWidth="1"/>
    <col min="8468" max="8468" width="12.1640625" style="157" bestFit="1" customWidth="1"/>
    <col min="8469" max="8469" width="8.1640625" style="157" bestFit="1" customWidth="1"/>
    <col min="8470" max="8470" width="10.83203125" style="157" bestFit="1" customWidth="1"/>
    <col min="8471" max="8471" width="12.1640625" style="157" bestFit="1" customWidth="1"/>
    <col min="8472" max="8472" width="18.1640625" style="157" bestFit="1" customWidth="1"/>
    <col min="8473" max="8473" width="10.83203125" style="157" bestFit="1" customWidth="1"/>
    <col min="8474" max="8709" width="8.83203125" style="157"/>
    <col min="8710" max="8710" width="38.1640625" style="157" customWidth="1"/>
    <col min="8711" max="8711" width="23.44140625" style="157" bestFit="1" customWidth="1"/>
    <col min="8712" max="8713" width="9.1640625" style="157" customWidth="1"/>
    <col min="8714" max="8714" width="11.1640625" style="157" bestFit="1" customWidth="1"/>
    <col min="8715" max="8715" width="14.44140625" style="157" bestFit="1" customWidth="1"/>
    <col min="8716" max="8716" width="8.1640625" style="157" customWidth="1"/>
    <col min="8717" max="8717" width="10.83203125" style="157" bestFit="1" customWidth="1"/>
    <col min="8718" max="8718" width="12.1640625" style="157" bestFit="1" customWidth="1"/>
    <col min="8719" max="8719" width="9.1640625" style="157" customWidth="1"/>
    <col min="8720" max="8720" width="10.83203125" style="157" bestFit="1" customWidth="1"/>
    <col min="8721" max="8721" width="12.1640625" style="157" bestFit="1" customWidth="1"/>
    <col min="8722" max="8722" width="8" style="157" customWidth="1"/>
    <col min="8723" max="8723" width="10.83203125" style="157" bestFit="1" customWidth="1"/>
    <col min="8724" max="8724" width="12.1640625" style="157" bestFit="1" customWidth="1"/>
    <col min="8725" max="8725" width="8.1640625" style="157" bestFit="1" customWidth="1"/>
    <col min="8726" max="8726" width="10.83203125" style="157" bestFit="1" customWidth="1"/>
    <col min="8727" max="8727" width="12.1640625" style="157" bestFit="1" customWidth="1"/>
    <col min="8728" max="8728" width="18.1640625" style="157" bestFit="1" customWidth="1"/>
    <col min="8729" max="8729" width="10.83203125" style="157" bestFit="1" customWidth="1"/>
    <col min="8730" max="8965" width="8.83203125" style="157"/>
    <col min="8966" max="8966" width="38.1640625" style="157" customWidth="1"/>
    <col min="8967" max="8967" width="23.44140625" style="157" bestFit="1" customWidth="1"/>
    <col min="8968" max="8969" width="9.1640625" style="157" customWidth="1"/>
    <col min="8970" max="8970" width="11.1640625" style="157" bestFit="1" customWidth="1"/>
    <col min="8971" max="8971" width="14.44140625" style="157" bestFit="1" customWidth="1"/>
    <col min="8972" max="8972" width="8.1640625" style="157" customWidth="1"/>
    <col min="8973" max="8973" width="10.83203125" style="157" bestFit="1" customWidth="1"/>
    <col min="8974" max="8974" width="12.1640625" style="157" bestFit="1" customWidth="1"/>
    <col min="8975" max="8975" width="9.1640625" style="157" customWidth="1"/>
    <col min="8976" max="8976" width="10.83203125" style="157" bestFit="1" customWidth="1"/>
    <col min="8977" max="8977" width="12.1640625" style="157" bestFit="1" customWidth="1"/>
    <col min="8978" max="8978" width="8" style="157" customWidth="1"/>
    <col min="8979" max="8979" width="10.83203125" style="157" bestFit="1" customWidth="1"/>
    <col min="8980" max="8980" width="12.1640625" style="157" bestFit="1" customWidth="1"/>
    <col min="8981" max="8981" width="8.1640625" style="157" bestFit="1" customWidth="1"/>
    <col min="8982" max="8982" width="10.83203125" style="157" bestFit="1" customWidth="1"/>
    <col min="8983" max="8983" width="12.1640625" style="157" bestFit="1" customWidth="1"/>
    <col min="8984" max="8984" width="18.1640625" style="157" bestFit="1" customWidth="1"/>
    <col min="8985" max="8985" width="10.83203125" style="157" bestFit="1" customWidth="1"/>
    <col min="8986" max="9221" width="8.83203125" style="157"/>
    <col min="9222" max="9222" width="38.1640625" style="157" customWidth="1"/>
    <col min="9223" max="9223" width="23.44140625" style="157" bestFit="1" customWidth="1"/>
    <col min="9224" max="9225" width="9.1640625" style="157" customWidth="1"/>
    <col min="9226" max="9226" width="11.1640625" style="157" bestFit="1" customWidth="1"/>
    <col min="9227" max="9227" width="14.44140625" style="157" bestFit="1" customWidth="1"/>
    <col min="9228" max="9228" width="8.1640625" style="157" customWidth="1"/>
    <col min="9229" max="9229" width="10.83203125" style="157" bestFit="1" customWidth="1"/>
    <col min="9230" max="9230" width="12.1640625" style="157" bestFit="1" customWidth="1"/>
    <col min="9231" max="9231" width="9.1640625" style="157" customWidth="1"/>
    <col min="9232" max="9232" width="10.83203125" style="157" bestFit="1" customWidth="1"/>
    <col min="9233" max="9233" width="12.1640625" style="157" bestFit="1" customWidth="1"/>
    <col min="9234" max="9234" width="8" style="157" customWidth="1"/>
    <col min="9235" max="9235" width="10.83203125" style="157" bestFit="1" customWidth="1"/>
    <col min="9236" max="9236" width="12.1640625" style="157" bestFit="1" customWidth="1"/>
    <col min="9237" max="9237" width="8.1640625" style="157" bestFit="1" customWidth="1"/>
    <col min="9238" max="9238" width="10.83203125" style="157" bestFit="1" customWidth="1"/>
    <col min="9239" max="9239" width="12.1640625" style="157" bestFit="1" customWidth="1"/>
    <col min="9240" max="9240" width="18.1640625" style="157" bestFit="1" customWidth="1"/>
    <col min="9241" max="9241" width="10.83203125" style="157" bestFit="1" customWidth="1"/>
    <col min="9242" max="9477" width="8.83203125" style="157"/>
    <col min="9478" max="9478" width="38.1640625" style="157" customWidth="1"/>
    <col min="9479" max="9479" width="23.44140625" style="157" bestFit="1" customWidth="1"/>
    <col min="9480" max="9481" width="9.1640625" style="157" customWidth="1"/>
    <col min="9482" max="9482" width="11.1640625" style="157" bestFit="1" customWidth="1"/>
    <col min="9483" max="9483" width="14.44140625" style="157" bestFit="1" customWidth="1"/>
    <col min="9484" max="9484" width="8.1640625" style="157" customWidth="1"/>
    <col min="9485" max="9485" width="10.83203125" style="157" bestFit="1" customWidth="1"/>
    <col min="9486" max="9486" width="12.1640625" style="157" bestFit="1" customWidth="1"/>
    <col min="9487" max="9487" width="9.1640625" style="157" customWidth="1"/>
    <col min="9488" max="9488" width="10.83203125" style="157" bestFit="1" customWidth="1"/>
    <col min="9489" max="9489" width="12.1640625" style="157" bestFit="1" customWidth="1"/>
    <col min="9490" max="9490" width="8" style="157" customWidth="1"/>
    <col min="9491" max="9491" width="10.83203125" style="157" bestFit="1" customWidth="1"/>
    <col min="9492" max="9492" width="12.1640625" style="157" bestFit="1" customWidth="1"/>
    <col min="9493" max="9493" width="8.1640625" style="157" bestFit="1" customWidth="1"/>
    <col min="9494" max="9494" width="10.83203125" style="157" bestFit="1" customWidth="1"/>
    <col min="9495" max="9495" width="12.1640625" style="157" bestFit="1" customWidth="1"/>
    <col min="9496" max="9496" width="18.1640625" style="157" bestFit="1" customWidth="1"/>
    <col min="9497" max="9497" width="10.83203125" style="157" bestFit="1" customWidth="1"/>
    <col min="9498" max="9733" width="8.83203125" style="157"/>
    <col min="9734" max="9734" width="38.1640625" style="157" customWidth="1"/>
    <col min="9735" max="9735" width="23.44140625" style="157" bestFit="1" customWidth="1"/>
    <col min="9736" max="9737" width="9.1640625" style="157" customWidth="1"/>
    <col min="9738" max="9738" width="11.1640625" style="157" bestFit="1" customWidth="1"/>
    <col min="9739" max="9739" width="14.44140625" style="157" bestFit="1" customWidth="1"/>
    <col min="9740" max="9740" width="8.1640625" style="157" customWidth="1"/>
    <col min="9741" max="9741" width="10.83203125" style="157" bestFit="1" customWidth="1"/>
    <col min="9742" max="9742" width="12.1640625" style="157" bestFit="1" customWidth="1"/>
    <col min="9743" max="9743" width="9.1640625" style="157" customWidth="1"/>
    <col min="9744" max="9744" width="10.83203125" style="157" bestFit="1" customWidth="1"/>
    <col min="9745" max="9745" width="12.1640625" style="157" bestFit="1" customWidth="1"/>
    <col min="9746" max="9746" width="8" style="157" customWidth="1"/>
    <col min="9747" max="9747" width="10.83203125" style="157" bestFit="1" customWidth="1"/>
    <col min="9748" max="9748" width="12.1640625" style="157" bestFit="1" customWidth="1"/>
    <col min="9749" max="9749" width="8.1640625" style="157" bestFit="1" customWidth="1"/>
    <col min="9750" max="9750" width="10.83203125" style="157" bestFit="1" customWidth="1"/>
    <col min="9751" max="9751" width="12.1640625" style="157" bestFit="1" customWidth="1"/>
    <col min="9752" max="9752" width="18.1640625" style="157" bestFit="1" customWidth="1"/>
    <col min="9753" max="9753" width="10.83203125" style="157" bestFit="1" customWidth="1"/>
    <col min="9754" max="9989" width="8.83203125" style="157"/>
    <col min="9990" max="9990" width="38.1640625" style="157" customWidth="1"/>
    <col min="9991" max="9991" width="23.44140625" style="157" bestFit="1" customWidth="1"/>
    <col min="9992" max="9993" width="9.1640625" style="157" customWidth="1"/>
    <col min="9994" max="9994" width="11.1640625" style="157" bestFit="1" customWidth="1"/>
    <col min="9995" max="9995" width="14.44140625" style="157" bestFit="1" customWidth="1"/>
    <col min="9996" max="9996" width="8.1640625" style="157" customWidth="1"/>
    <col min="9997" max="9997" width="10.83203125" style="157" bestFit="1" customWidth="1"/>
    <col min="9998" max="9998" width="12.1640625" style="157" bestFit="1" customWidth="1"/>
    <col min="9999" max="9999" width="9.1640625" style="157" customWidth="1"/>
    <col min="10000" max="10000" width="10.83203125" style="157" bestFit="1" customWidth="1"/>
    <col min="10001" max="10001" width="12.1640625" style="157" bestFit="1" customWidth="1"/>
    <col min="10002" max="10002" width="8" style="157" customWidth="1"/>
    <col min="10003" max="10003" width="10.83203125" style="157" bestFit="1" customWidth="1"/>
    <col min="10004" max="10004" width="12.1640625" style="157" bestFit="1" customWidth="1"/>
    <col min="10005" max="10005" width="8.1640625" style="157" bestFit="1" customWidth="1"/>
    <col min="10006" max="10006" width="10.83203125" style="157" bestFit="1" customWidth="1"/>
    <col min="10007" max="10007" width="12.1640625" style="157" bestFit="1" customWidth="1"/>
    <col min="10008" max="10008" width="18.1640625" style="157" bestFit="1" customWidth="1"/>
    <col min="10009" max="10009" width="10.83203125" style="157" bestFit="1" customWidth="1"/>
    <col min="10010" max="10245" width="8.83203125" style="157"/>
    <col min="10246" max="10246" width="38.1640625" style="157" customWidth="1"/>
    <col min="10247" max="10247" width="23.44140625" style="157" bestFit="1" customWidth="1"/>
    <col min="10248" max="10249" width="9.1640625" style="157" customWidth="1"/>
    <col min="10250" max="10250" width="11.1640625" style="157" bestFit="1" customWidth="1"/>
    <col min="10251" max="10251" width="14.44140625" style="157" bestFit="1" customWidth="1"/>
    <col min="10252" max="10252" width="8.1640625" style="157" customWidth="1"/>
    <col min="10253" max="10253" width="10.83203125" style="157" bestFit="1" customWidth="1"/>
    <col min="10254" max="10254" width="12.1640625" style="157" bestFit="1" customWidth="1"/>
    <col min="10255" max="10255" width="9.1640625" style="157" customWidth="1"/>
    <col min="10256" max="10256" width="10.83203125" style="157" bestFit="1" customWidth="1"/>
    <col min="10257" max="10257" width="12.1640625" style="157" bestFit="1" customWidth="1"/>
    <col min="10258" max="10258" width="8" style="157" customWidth="1"/>
    <col min="10259" max="10259" width="10.83203125" style="157" bestFit="1" customWidth="1"/>
    <col min="10260" max="10260" width="12.1640625" style="157" bestFit="1" customWidth="1"/>
    <col min="10261" max="10261" width="8.1640625" style="157" bestFit="1" customWidth="1"/>
    <col min="10262" max="10262" width="10.83203125" style="157" bestFit="1" customWidth="1"/>
    <col min="10263" max="10263" width="12.1640625" style="157" bestFit="1" customWidth="1"/>
    <col min="10264" max="10264" width="18.1640625" style="157" bestFit="1" customWidth="1"/>
    <col min="10265" max="10265" width="10.83203125" style="157" bestFit="1" customWidth="1"/>
    <col min="10266" max="10501" width="8.83203125" style="157"/>
    <col min="10502" max="10502" width="38.1640625" style="157" customWidth="1"/>
    <col min="10503" max="10503" width="23.44140625" style="157" bestFit="1" customWidth="1"/>
    <col min="10504" max="10505" width="9.1640625" style="157" customWidth="1"/>
    <col min="10506" max="10506" width="11.1640625" style="157" bestFit="1" customWidth="1"/>
    <col min="10507" max="10507" width="14.44140625" style="157" bestFit="1" customWidth="1"/>
    <col min="10508" max="10508" width="8.1640625" style="157" customWidth="1"/>
    <col min="10509" max="10509" width="10.83203125" style="157" bestFit="1" customWidth="1"/>
    <col min="10510" max="10510" width="12.1640625" style="157" bestFit="1" customWidth="1"/>
    <col min="10511" max="10511" width="9.1640625" style="157" customWidth="1"/>
    <col min="10512" max="10512" width="10.83203125" style="157" bestFit="1" customWidth="1"/>
    <col min="10513" max="10513" width="12.1640625" style="157" bestFit="1" customWidth="1"/>
    <col min="10514" max="10514" width="8" style="157" customWidth="1"/>
    <col min="10515" max="10515" width="10.83203125" style="157" bestFit="1" customWidth="1"/>
    <col min="10516" max="10516" width="12.1640625" style="157" bestFit="1" customWidth="1"/>
    <col min="10517" max="10517" width="8.1640625" style="157" bestFit="1" customWidth="1"/>
    <col min="10518" max="10518" width="10.83203125" style="157" bestFit="1" customWidth="1"/>
    <col min="10519" max="10519" width="12.1640625" style="157" bestFit="1" customWidth="1"/>
    <col min="10520" max="10520" width="18.1640625" style="157" bestFit="1" customWidth="1"/>
    <col min="10521" max="10521" width="10.83203125" style="157" bestFit="1" customWidth="1"/>
    <col min="10522" max="10757" width="8.83203125" style="157"/>
    <col min="10758" max="10758" width="38.1640625" style="157" customWidth="1"/>
    <col min="10759" max="10759" width="23.44140625" style="157" bestFit="1" customWidth="1"/>
    <col min="10760" max="10761" width="9.1640625" style="157" customWidth="1"/>
    <col min="10762" max="10762" width="11.1640625" style="157" bestFit="1" customWidth="1"/>
    <col min="10763" max="10763" width="14.44140625" style="157" bestFit="1" customWidth="1"/>
    <col min="10764" max="10764" width="8.1640625" style="157" customWidth="1"/>
    <col min="10765" max="10765" width="10.83203125" style="157" bestFit="1" customWidth="1"/>
    <col min="10766" max="10766" width="12.1640625" style="157" bestFit="1" customWidth="1"/>
    <col min="10767" max="10767" width="9.1640625" style="157" customWidth="1"/>
    <col min="10768" max="10768" width="10.83203125" style="157" bestFit="1" customWidth="1"/>
    <col min="10769" max="10769" width="12.1640625" style="157" bestFit="1" customWidth="1"/>
    <col min="10770" max="10770" width="8" style="157" customWidth="1"/>
    <col min="10771" max="10771" width="10.83203125" style="157" bestFit="1" customWidth="1"/>
    <col min="10772" max="10772" width="12.1640625" style="157" bestFit="1" customWidth="1"/>
    <col min="10773" max="10773" width="8.1640625" style="157" bestFit="1" customWidth="1"/>
    <col min="10774" max="10774" width="10.83203125" style="157" bestFit="1" customWidth="1"/>
    <col min="10775" max="10775" width="12.1640625" style="157" bestFit="1" customWidth="1"/>
    <col min="10776" max="10776" width="18.1640625" style="157" bestFit="1" customWidth="1"/>
    <col min="10777" max="10777" width="10.83203125" style="157" bestFit="1" customWidth="1"/>
    <col min="10778" max="11013" width="8.83203125" style="157"/>
    <col min="11014" max="11014" width="38.1640625" style="157" customWidth="1"/>
    <col min="11015" max="11015" width="23.44140625" style="157" bestFit="1" customWidth="1"/>
    <col min="11016" max="11017" width="9.1640625" style="157" customWidth="1"/>
    <col min="11018" max="11018" width="11.1640625" style="157" bestFit="1" customWidth="1"/>
    <col min="11019" max="11019" width="14.44140625" style="157" bestFit="1" customWidth="1"/>
    <col min="11020" max="11020" width="8.1640625" style="157" customWidth="1"/>
    <col min="11021" max="11021" width="10.83203125" style="157" bestFit="1" customWidth="1"/>
    <col min="11022" max="11022" width="12.1640625" style="157" bestFit="1" customWidth="1"/>
    <col min="11023" max="11023" width="9.1640625" style="157" customWidth="1"/>
    <col min="11024" max="11024" width="10.83203125" style="157" bestFit="1" customWidth="1"/>
    <col min="11025" max="11025" width="12.1640625" style="157" bestFit="1" customWidth="1"/>
    <col min="11026" max="11026" width="8" style="157" customWidth="1"/>
    <col min="11027" max="11027" width="10.83203125" style="157" bestFit="1" customWidth="1"/>
    <col min="11028" max="11028" width="12.1640625" style="157" bestFit="1" customWidth="1"/>
    <col min="11029" max="11029" width="8.1640625" style="157" bestFit="1" customWidth="1"/>
    <col min="11030" max="11030" width="10.83203125" style="157" bestFit="1" customWidth="1"/>
    <col min="11031" max="11031" width="12.1640625" style="157" bestFit="1" customWidth="1"/>
    <col min="11032" max="11032" width="18.1640625" style="157" bestFit="1" customWidth="1"/>
    <col min="11033" max="11033" width="10.83203125" style="157" bestFit="1" customWidth="1"/>
    <col min="11034" max="11269" width="8.83203125" style="157"/>
    <col min="11270" max="11270" width="38.1640625" style="157" customWidth="1"/>
    <col min="11271" max="11271" width="23.44140625" style="157" bestFit="1" customWidth="1"/>
    <col min="11272" max="11273" width="9.1640625" style="157" customWidth="1"/>
    <col min="11274" max="11274" width="11.1640625" style="157" bestFit="1" customWidth="1"/>
    <col min="11275" max="11275" width="14.44140625" style="157" bestFit="1" customWidth="1"/>
    <col min="11276" max="11276" width="8.1640625" style="157" customWidth="1"/>
    <col min="11277" max="11277" width="10.83203125" style="157" bestFit="1" customWidth="1"/>
    <col min="11278" max="11278" width="12.1640625" style="157" bestFit="1" customWidth="1"/>
    <col min="11279" max="11279" width="9.1640625" style="157" customWidth="1"/>
    <col min="11280" max="11280" width="10.83203125" style="157" bestFit="1" customWidth="1"/>
    <col min="11281" max="11281" width="12.1640625" style="157" bestFit="1" customWidth="1"/>
    <col min="11282" max="11282" width="8" style="157" customWidth="1"/>
    <col min="11283" max="11283" width="10.83203125" style="157" bestFit="1" customWidth="1"/>
    <col min="11284" max="11284" width="12.1640625" style="157" bestFit="1" customWidth="1"/>
    <col min="11285" max="11285" width="8.1640625" style="157" bestFit="1" customWidth="1"/>
    <col min="11286" max="11286" width="10.83203125" style="157" bestFit="1" customWidth="1"/>
    <col min="11287" max="11287" width="12.1640625" style="157" bestFit="1" customWidth="1"/>
    <col min="11288" max="11288" width="18.1640625" style="157" bestFit="1" customWidth="1"/>
    <col min="11289" max="11289" width="10.83203125" style="157" bestFit="1" customWidth="1"/>
    <col min="11290" max="11525" width="8.83203125" style="157"/>
    <col min="11526" max="11526" width="38.1640625" style="157" customWidth="1"/>
    <col min="11527" max="11527" width="23.44140625" style="157" bestFit="1" customWidth="1"/>
    <col min="11528" max="11529" width="9.1640625" style="157" customWidth="1"/>
    <col min="11530" max="11530" width="11.1640625" style="157" bestFit="1" customWidth="1"/>
    <col min="11531" max="11531" width="14.44140625" style="157" bestFit="1" customWidth="1"/>
    <col min="11532" max="11532" width="8.1640625" style="157" customWidth="1"/>
    <col min="11533" max="11533" width="10.83203125" style="157" bestFit="1" customWidth="1"/>
    <col min="11534" max="11534" width="12.1640625" style="157" bestFit="1" customWidth="1"/>
    <col min="11535" max="11535" width="9.1640625" style="157" customWidth="1"/>
    <col min="11536" max="11536" width="10.83203125" style="157" bestFit="1" customWidth="1"/>
    <col min="11537" max="11537" width="12.1640625" style="157" bestFit="1" customWidth="1"/>
    <col min="11538" max="11538" width="8" style="157" customWidth="1"/>
    <col min="11539" max="11539" width="10.83203125" style="157" bestFit="1" customWidth="1"/>
    <col min="11540" max="11540" width="12.1640625" style="157" bestFit="1" customWidth="1"/>
    <col min="11541" max="11541" width="8.1640625" style="157" bestFit="1" customWidth="1"/>
    <col min="11542" max="11542" width="10.83203125" style="157" bestFit="1" customWidth="1"/>
    <col min="11543" max="11543" width="12.1640625" style="157" bestFit="1" customWidth="1"/>
    <col min="11544" max="11544" width="18.1640625" style="157" bestFit="1" customWidth="1"/>
    <col min="11545" max="11545" width="10.83203125" style="157" bestFit="1" customWidth="1"/>
    <col min="11546" max="11781" width="8.83203125" style="157"/>
    <col min="11782" max="11782" width="38.1640625" style="157" customWidth="1"/>
    <col min="11783" max="11783" width="23.44140625" style="157" bestFit="1" customWidth="1"/>
    <col min="11784" max="11785" width="9.1640625" style="157" customWidth="1"/>
    <col min="11786" max="11786" width="11.1640625" style="157" bestFit="1" customWidth="1"/>
    <col min="11787" max="11787" width="14.44140625" style="157" bestFit="1" customWidth="1"/>
    <col min="11788" max="11788" width="8.1640625" style="157" customWidth="1"/>
    <col min="11789" max="11789" width="10.83203125" style="157" bestFit="1" customWidth="1"/>
    <col min="11790" max="11790" width="12.1640625" style="157" bestFit="1" customWidth="1"/>
    <col min="11791" max="11791" width="9.1640625" style="157" customWidth="1"/>
    <col min="11792" max="11792" width="10.83203125" style="157" bestFit="1" customWidth="1"/>
    <col min="11793" max="11793" width="12.1640625" style="157" bestFit="1" customWidth="1"/>
    <col min="11794" max="11794" width="8" style="157" customWidth="1"/>
    <col min="11795" max="11795" width="10.83203125" style="157" bestFit="1" customWidth="1"/>
    <col min="11796" max="11796" width="12.1640625" style="157" bestFit="1" customWidth="1"/>
    <col min="11797" max="11797" width="8.1640625" style="157" bestFit="1" customWidth="1"/>
    <col min="11798" max="11798" width="10.83203125" style="157" bestFit="1" customWidth="1"/>
    <col min="11799" max="11799" width="12.1640625" style="157" bestFit="1" customWidth="1"/>
    <col min="11800" max="11800" width="18.1640625" style="157" bestFit="1" customWidth="1"/>
    <col min="11801" max="11801" width="10.83203125" style="157" bestFit="1" customWidth="1"/>
    <col min="11802" max="12037" width="8.83203125" style="157"/>
    <col min="12038" max="12038" width="38.1640625" style="157" customWidth="1"/>
    <col min="12039" max="12039" width="23.44140625" style="157" bestFit="1" customWidth="1"/>
    <col min="12040" max="12041" width="9.1640625" style="157" customWidth="1"/>
    <col min="12042" max="12042" width="11.1640625" style="157" bestFit="1" customWidth="1"/>
    <col min="12043" max="12043" width="14.44140625" style="157" bestFit="1" customWidth="1"/>
    <col min="12044" max="12044" width="8.1640625" style="157" customWidth="1"/>
    <col min="12045" max="12045" width="10.83203125" style="157" bestFit="1" customWidth="1"/>
    <col min="12046" max="12046" width="12.1640625" style="157" bestFit="1" customWidth="1"/>
    <col min="12047" max="12047" width="9.1640625" style="157" customWidth="1"/>
    <col min="12048" max="12048" width="10.83203125" style="157" bestFit="1" customWidth="1"/>
    <col min="12049" max="12049" width="12.1640625" style="157" bestFit="1" customWidth="1"/>
    <col min="12050" max="12050" width="8" style="157" customWidth="1"/>
    <col min="12051" max="12051" width="10.83203125" style="157" bestFit="1" customWidth="1"/>
    <col min="12052" max="12052" width="12.1640625" style="157" bestFit="1" customWidth="1"/>
    <col min="12053" max="12053" width="8.1640625" style="157" bestFit="1" customWidth="1"/>
    <col min="12054" max="12054" width="10.83203125" style="157" bestFit="1" customWidth="1"/>
    <col min="12055" max="12055" width="12.1640625" style="157" bestFit="1" customWidth="1"/>
    <col min="12056" max="12056" width="18.1640625" style="157" bestFit="1" customWidth="1"/>
    <col min="12057" max="12057" width="10.83203125" style="157" bestFit="1" customWidth="1"/>
    <col min="12058" max="12293" width="8.83203125" style="157"/>
    <col min="12294" max="12294" width="38.1640625" style="157" customWidth="1"/>
    <col min="12295" max="12295" width="23.44140625" style="157" bestFit="1" customWidth="1"/>
    <col min="12296" max="12297" width="9.1640625" style="157" customWidth="1"/>
    <col min="12298" max="12298" width="11.1640625" style="157" bestFit="1" customWidth="1"/>
    <col min="12299" max="12299" width="14.44140625" style="157" bestFit="1" customWidth="1"/>
    <col min="12300" max="12300" width="8.1640625" style="157" customWidth="1"/>
    <col min="12301" max="12301" width="10.83203125" style="157" bestFit="1" customWidth="1"/>
    <col min="12302" max="12302" width="12.1640625" style="157" bestFit="1" customWidth="1"/>
    <col min="12303" max="12303" width="9.1640625" style="157" customWidth="1"/>
    <col min="12304" max="12304" width="10.83203125" style="157" bestFit="1" customWidth="1"/>
    <col min="12305" max="12305" width="12.1640625" style="157" bestFit="1" customWidth="1"/>
    <col min="12306" max="12306" width="8" style="157" customWidth="1"/>
    <col min="12307" max="12307" width="10.83203125" style="157" bestFit="1" customWidth="1"/>
    <col min="12308" max="12308" width="12.1640625" style="157" bestFit="1" customWidth="1"/>
    <col min="12309" max="12309" width="8.1640625" style="157" bestFit="1" customWidth="1"/>
    <col min="12310" max="12310" width="10.83203125" style="157" bestFit="1" customWidth="1"/>
    <col min="12311" max="12311" width="12.1640625" style="157" bestFit="1" customWidth="1"/>
    <col min="12312" max="12312" width="18.1640625" style="157" bestFit="1" customWidth="1"/>
    <col min="12313" max="12313" width="10.83203125" style="157" bestFit="1" customWidth="1"/>
    <col min="12314" max="12549" width="8.83203125" style="157"/>
    <col min="12550" max="12550" width="38.1640625" style="157" customWidth="1"/>
    <col min="12551" max="12551" width="23.44140625" style="157" bestFit="1" customWidth="1"/>
    <col min="12552" max="12553" width="9.1640625" style="157" customWidth="1"/>
    <col min="12554" max="12554" width="11.1640625" style="157" bestFit="1" customWidth="1"/>
    <col min="12555" max="12555" width="14.44140625" style="157" bestFit="1" customWidth="1"/>
    <col min="12556" max="12556" width="8.1640625" style="157" customWidth="1"/>
    <col min="12557" max="12557" width="10.83203125" style="157" bestFit="1" customWidth="1"/>
    <col min="12558" max="12558" width="12.1640625" style="157" bestFit="1" customWidth="1"/>
    <col min="12559" max="12559" width="9.1640625" style="157" customWidth="1"/>
    <col min="12560" max="12560" width="10.83203125" style="157" bestFit="1" customWidth="1"/>
    <col min="12561" max="12561" width="12.1640625" style="157" bestFit="1" customWidth="1"/>
    <col min="12562" max="12562" width="8" style="157" customWidth="1"/>
    <col min="12563" max="12563" width="10.83203125" style="157" bestFit="1" customWidth="1"/>
    <col min="12564" max="12564" width="12.1640625" style="157" bestFit="1" customWidth="1"/>
    <col min="12565" max="12565" width="8.1640625" style="157" bestFit="1" customWidth="1"/>
    <col min="12566" max="12566" width="10.83203125" style="157" bestFit="1" customWidth="1"/>
    <col min="12567" max="12567" width="12.1640625" style="157" bestFit="1" customWidth="1"/>
    <col min="12568" max="12568" width="18.1640625" style="157" bestFit="1" customWidth="1"/>
    <col min="12569" max="12569" width="10.83203125" style="157" bestFit="1" customWidth="1"/>
    <col min="12570" max="12805" width="8.83203125" style="157"/>
    <col min="12806" max="12806" width="38.1640625" style="157" customWidth="1"/>
    <col min="12807" max="12807" width="23.44140625" style="157" bestFit="1" customWidth="1"/>
    <col min="12808" max="12809" width="9.1640625" style="157" customWidth="1"/>
    <col min="12810" max="12810" width="11.1640625" style="157" bestFit="1" customWidth="1"/>
    <col min="12811" max="12811" width="14.44140625" style="157" bestFit="1" customWidth="1"/>
    <col min="12812" max="12812" width="8.1640625" style="157" customWidth="1"/>
    <col min="12813" max="12813" width="10.83203125" style="157" bestFit="1" customWidth="1"/>
    <col min="12814" max="12814" width="12.1640625" style="157" bestFit="1" customWidth="1"/>
    <col min="12815" max="12815" width="9.1640625" style="157" customWidth="1"/>
    <col min="12816" max="12816" width="10.83203125" style="157" bestFit="1" customWidth="1"/>
    <col min="12817" max="12817" width="12.1640625" style="157" bestFit="1" customWidth="1"/>
    <col min="12818" max="12818" width="8" style="157" customWidth="1"/>
    <col min="12819" max="12819" width="10.83203125" style="157" bestFit="1" customWidth="1"/>
    <col min="12820" max="12820" width="12.1640625" style="157" bestFit="1" customWidth="1"/>
    <col min="12821" max="12821" width="8.1640625" style="157" bestFit="1" customWidth="1"/>
    <col min="12822" max="12822" width="10.83203125" style="157" bestFit="1" customWidth="1"/>
    <col min="12823" max="12823" width="12.1640625" style="157" bestFit="1" customWidth="1"/>
    <col min="12824" max="12824" width="18.1640625" style="157" bestFit="1" customWidth="1"/>
    <col min="12825" max="12825" width="10.83203125" style="157" bestFit="1" customWidth="1"/>
    <col min="12826" max="13061" width="8.83203125" style="157"/>
    <col min="13062" max="13062" width="38.1640625" style="157" customWidth="1"/>
    <col min="13063" max="13063" width="23.44140625" style="157" bestFit="1" customWidth="1"/>
    <col min="13064" max="13065" width="9.1640625" style="157" customWidth="1"/>
    <col min="13066" max="13066" width="11.1640625" style="157" bestFit="1" customWidth="1"/>
    <col min="13067" max="13067" width="14.44140625" style="157" bestFit="1" customWidth="1"/>
    <col min="13068" max="13068" width="8.1640625" style="157" customWidth="1"/>
    <col min="13069" max="13069" width="10.83203125" style="157" bestFit="1" customWidth="1"/>
    <col min="13070" max="13070" width="12.1640625" style="157" bestFit="1" customWidth="1"/>
    <col min="13071" max="13071" width="9.1640625" style="157" customWidth="1"/>
    <col min="13072" max="13072" width="10.83203125" style="157" bestFit="1" customWidth="1"/>
    <col min="13073" max="13073" width="12.1640625" style="157" bestFit="1" customWidth="1"/>
    <col min="13074" max="13074" width="8" style="157" customWidth="1"/>
    <col min="13075" max="13075" width="10.83203125" style="157" bestFit="1" customWidth="1"/>
    <col min="13076" max="13076" width="12.1640625" style="157" bestFit="1" customWidth="1"/>
    <col min="13077" max="13077" width="8.1640625" style="157" bestFit="1" customWidth="1"/>
    <col min="13078" max="13078" width="10.83203125" style="157" bestFit="1" customWidth="1"/>
    <col min="13079" max="13079" width="12.1640625" style="157" bestFit="1" customWidth="1"/>
    <col min="13080" max="13080" width="18.1640625" style="157" bestFit="1" customWidth="1"/>
    <col min="13081" max="13081" width="10.83203125" style="157" bestFit="1" customWidth="1"/>
    <col min="13082" max="13317" width="8.83203125" style="157"/>
    <col min="13318" max="13318" width="38.1640625" style="157" customWidth="1"/>
    <col min="13319" max="13319" width="23.44140625" style="157" bestFit="1" customWidth="1"/>
    <col min="13320" max="13321" width="9.1640625" style="157" customWidth="1"/>
    <col min="13322" max="13322" width="11.1640625" style="157" bestFit="1" customWidth="1"/>
    <col min="13323" max="13323" width="14.44140625" style="157" bestFit="1" customWidth="1"/>
    <col min="13324" max="13324" width="8.1640625" style="157" customWidth="1"/>
    <col min="13325" max="13325" width="10.83203125" style="157" bestFit="1" customWidth="1"/>
    <col min="13326" max="13326" width="12.1640625" style="157" bestFit="1" customWidth="1"/>
    <col min="13327" max="13327" width="9.1640625" style="157" customWidth="1"/>
    <col min="13328" max="13328" width="10.83203125" style="157" bestFit="1" customWidth="1"/>
    <col min="13329" max="13329" width="12.1640625" style="157" bestFit="1" customWidth="1"/>
    <col min="13330" max="13330" width="8" style="157" customWidth="1"/>
    <col min="13331" max="13331" width="10.83203125" style="157" bestFit="1" customWidth="1"/>
    <col min="13332" max="13332" width="12.1640625" style="157" bestFit="1" customWidth="1"/>
    <col min="13333" max="13333" width="8.1640625" style="157" bestFit="1" customWidth="1"/>
    <col min="13334" max="13334" width="10.83203125" style="157" bestFit="1" customWidth="1"/>
    <col min="13335" max="13335" width="12.1640625" style="157" bestFit="1" customWidth="1"/>
    <col min="13336" max="13336" width="18.1640625" style="157" bestFit="1" customWidth="1"/>
    <col min="13337" max="13337" width="10.83203125" style="157" bestFit="1" customWidth="1"/>
    <col min="13338" max="13573" width="8.83203125" style="157"/>
    <col min="13574" max="13574" width="38.1640625" style="157" customWidth="1"/>
    <col min="13575" max="13575" width="23.44140625" style="157" bestFit="1" customWidth="1"/>
    <col min="13576" max="13577" width="9.1640625" style="157" customWidth="1"/>
    <col min="13578" max="13578" width="11.1640625" style="157" bestFit="1" customWidth="1"/>
    <col min="13579" max="13579" width="14.44140625" style="157" bestFit="1" customWidth="1"/>
    <col min="13580" max="13580" width="8.1640625" style="157" customWidth="1"/>
    <col min="13581" max="13581" width="10.83203125" style="157" bestFit="1" customWidth="1"/>
    <col min="13582" max="13582" width="12.1640625" style="157" bestFit="1" customWidth="1"/>
    <col min="13583" max="13583" width="9.1640625" style="157" customWidth="1"/>
    <col min="13584" max="13584" width="10.83203125" style="157" bestFit="1" customWidth="1"/>
    <col min="13585" max="13585" width="12.1640625" style="157" bestFit="1" customWidth="1"/>
    <col min="13586" max="13586" width="8" style="157" customWidth="1"/>
    <col min="13587" max="13587" width="10.83203125" style="157" bestFit="1" customWidth="1"/>
    <col min="13588" max="13588" width="12.1640625" style="157" bestFit="1" customWidth="1"/>
    <col min="13589" max="13589" width="8.1640625" style="157" bestFit="1" customWidth="1"/>
    <col min="13590" max="13590" width="10.83203125" style="157" bestFit="1" customWidth="1"/>
    <col min="13591" max="13591" width="12.1640625" style="157" bestFit="1" customWidth="1"/>
    <col min="13592" max="13592" width="18.1640625" style="157" bestFit="1" customWidth="1"/>
    <col min="13593" max="13593" width="10.83203125" style="157" bestFit="1" customWidth="1"/>
    <col min="13594" max="13829" width="8.83203125" style="157"/>
    <col min="13830" max="13830" width="38.1640625" style="157" customWidth="1"/>
    <col min="13831" max="13831" width="23.44140625" style="157" bestFit="1" customWidth="1"/>
    <col min="13832" max="13833" width="9.1640625" style="157" customWidth="1"/>
    <col min="13834" max="13834" width="11.1640625" style="157" bestFit="1" customWidth="1"/>
    <col min="13835" max="13835" width="14.44140625" style="157" bestFit="1" customWidth="1"/>
    <col min="13836" max="13836" width="8.1640625" style="157" customWidth="1"/>
    <col min="13837" max="13837" width="10.83203125" style="157" bestFit="1" customWidth="1"/>
    <col min="13838" max="13838" width="12.1640625" style="157" bestFit="1" customWidth="1"/>
    <col min="13839" max="13839" width="9.1640625" style="157" customWidth="1"/>
    <col min="13840" max="13840" width="10.83203125" style="157" bestFit="1" customWidth="1"/>
    <col min="13841" max="13841" width="12.1640625" style="157" bestFit="1" customWidth="1"/>
    <col min="13842" max="13842" width="8" style="157" customWidth="1"/>
    <col min="13843" max="13843" width="10.83203125" style="157" bestFit="1" customWidth="1"/>
    <col min="13844" max="13844" width="12.1640625" style="157" bestFit="1" customWidth="1"/>
    <col min="13845" max="13845" width="8.1640625" style="157" bestFit="1" customWidth="1"/>
    <col min="13846" max="13846" width="10.83203125" style="157" bestFit="1" customWidth="1"/>
    <col min="13847" max="13847" width="12.1640625" style="157" bestFit="1" customWidth="1"/>
    <col min="13848" max="13848" width="18.1640625" style="157" bestFit="1" customWidth="1"/>
    <col min="13849" max="13849" width="10.83203125" style="157" bestFit="1" customWidth="1"/>
    <col min="13850" max="14085" width="8.83203125" style="157"/>
    <col min="14086" max="14086" width="38.1640625" style="157" customWidth="1"/>
    <col min="14087" max="14087" width="23.44140625" style="157" bestFit="1" customWidth="1"/>
    <col min="14088" max="14089" width="9.1640625" style="157" customWidth="1"/>
    <col min="14090" max="14090" width="11.1640625" style="157" bestFit="1" customWidth="1"/>
    <col min="14091" max="14091" width="14.44140625" style="157" bestFit="1" customWidth="1"/>
    <col min="14092" max="14092" width="8.1640625" style="157" customWidth="1"/>
    <col min="14093" max="14093" width="10.83203125" style="157" bestFit="1" customWidth="1"/>
    <col min="14094" max="14094" width="12.1640625" style="157" bestFit="1" customWidth="1"/>
    <col min="14095" max="14095" width="9.1640625" style="157" customWidth="1"/>
    <col min="14096" max="14096" width="10.83203125" style="157" bestFit="1" customWidth="1"/>
    <col min="14097" max="14097" width="12.1640625" style="157" bestFit="1" customWidth="1"/>
    <col min="14098" max="14098" width="8" style="157" customWidth="1"/>
    <col min="14099" max="14099" width="10.83203125" style="157" bestFit="1" customWidth="1"/>
    <col min="14100" max="14100" width="12.1640625" style="157" bestFit="1" customWidth="1"/>
    <col min="14101" max="14101" width="8.1640625" style="157" bestFit="1" customWidth="1"/>
    <col min="14102" max="14102" width="10.83203125" style="157" bestFit="1" customWidth="1"/>
    <col min="14103" max="14103" width="12.1640625" style="157" bestFit="1" customWidth="1"/>
    <col min="14104" max="14104" width="18.1640625" style="157" bestFit="1" customWidth="1"/>
    <col min="14105" max="14105" width="10.83203125" style="157" bestFit="1" customWidth="1"/>
    <col min="14106" max="14341" width="8.83203125" style="157"/>
    <col min="14342" max="14342" width="38.1640625" style="157" customWidth="1"/>
    <col min="14343" max="14343" width="23.44140625" style="157" bestFit="1" customWidth="1"/>
    <col min="14344" max="14345" width="9.1640625" style="157" customWidth="1"/>
    <col min="14346" max="14346" width="11.1640625" style="157" bestFit="1" customWidth="1"/>
    <col min="14347" max="14347" width="14.44140625" style="157" bestFit="1" customWidth="1"/>
    <col min="14348" max="14348" width="8.1640625" style="157" customWidth="1"/>
    <col min="14349" max="14349" width="10.83203125" style="157" bestFit="1" customWidth="1"/>
    <col min="14350" max="14350" width="12.1640625" style="157" bestFit="1" customWidth="1"/>
    <col min="14351" max="14351" width="9.1640625" style="157" customWidth="1"/>
    <col min="14352" max="14352" width="10.83203125" style="157" bestFit="1" customWidth="1"/>
    <col min="14353" max="14353" width="12.1640625" style="157" bestFit="1" customWidth="1"/>
    <col min="14354" max="14354" width="8" style="157" customWidth="1"/>
    <col min="14355" max="14355" width="10.83203125" style="157" bestFit="1" customWidth="1"/>
    <col min="14356" max="14356" width="12.1640625" style="157" bestFit="1" customWidth="1"/>
    <col min="14357" max="14357" width="8.1640625" style="157" bestFit="1" customWidth="1"/>
    <col min="14358" max="14358" width="10.83203125" style="157" bestFit="1" customWidth="1"/>
    <col min="14359" max="14359" width="12.1640625" style="157" bestFit="1" customWidth="1"/>
    <col min="14360" max="14360" width="18.1640625" style="157" bestFit="1" customWidth="1"/>
    <col min="14361" max="14361" width="10.83203125" style="157" bestFit="1" customWidth="1"/>
    <col min="14362" max="14597" width="8.83203125" style="157"/>
    <col min="14598" max="14598" width="38.1640625" style="157" customWidth="1"/>
    <col min="14599" max="14599" width="23.44140625" style="157" bestFit="1" customWidth="1"/>
    <col min="14600" max="14601" width="9.1640625" style="157" customWidth="1"/>
    <col min="14602" max="14602" width="11.1640625" style="157" bestFit="1" customWidth="1"/>
    <col min="14603" max="14603" width="14.44140625" style="157" bestFit="1" customWidth="1"/>
    <col min="14604" max="14604" width="8.1640625" style="157" customWidth="1"/>
    <col min="14605" max="14605" width="10.83203125" style="157" bestFit="1" customWidth="1"/>
    <col min="14606" max="14606" width="12.1640625" style="157" bestFit="1" customWidth="1"/>
    <col min="14607" max="14607" width="9.1640625" style="157" customWidth="1"/>
    <col min="14608" max="14608" width="10.83203125" style="157" bestFit="1" customWidth="1"/>
    <col min="14609" max="14609" width="12.1640625" style="157" bestFit="1" customWidth="1"/>
    <col min="14610" max="14610" width="8" style="157" customWidth="1"/>
    <col min="14611" max="14611" width="10.83203125" style="157" bestFit="1" customWidth="1"/>
    <col min="14612" max="14612" width="12.1640625" style="157" bestFit="1" customWidth="1"/>
    <col min="14613" max="14613" width="8.1640625" style="157" bestFit="1" customWidth="1"/>
    <col min="14614" max="14614" width="10.83203125" style="157" bestFit="1" customWidth="1"/>
    <col min="14615" max="14615" width="12.1640625" style="157" bestFit="1" customWidth="1"/>
    <col min="14616" max="14616" width="18.1640625" style="157" bestFit="1" customWidth="1"/>
    <col min="14617" max="14617" width="10.83203125" style="157" bestFit="1" customWidth="1"/>
    <col min="14618" max="14853" width="8.83203125" style="157"/>
    <col min="14854" max="14854" width="38.1640625" style="157" customWidth="1"/>
    <col min="14855" max="14855" width="23.44140625" style="157" bestFit="1" customWidth="1"/>
    <col min="14856" max="14857" width="9.1640625" style="157" customWidth="1"/>
    <col min="14858" max="14858" width="11.1640625" style="157" bestFit="1" customWidth="1"/>
    <col min="14859" max="14859" width="14.44140625" style="157" bestFit="1" customWidth="1"/>
    <col min="14860" max="14860" width="8.1640625" style="157" customWidth="1"/>
    <col min="14861" max="14861" width="10.83203125" style="157" bestFit="1" customWidth="1"/>
    <col min="14862" max="14862" width="12.1640625" style="157" bestFit="1" customWidth="1"/>
    <col min="14863" max="14863" width="9.1640625" style="157" customWidth="1"/>
    <col min="14864" max="14864" width="10.83203125" style="157" bestFit="1" customWidth="1"/>
    <col min="14865" max="14865" width="12.1640625" style="157" bestFit="1" customWidth="1"/>
    <col min="14866" max="14866" width="8" style="157" customWidth="1"/>
    <col min="14867" max="14867" width="10.83203125" style="157" bestFit="1" customWidth="1"/>
    <col min="14868" max="14868" width="12.1640625" style="157" bestFit="1" customWidth="1"/>
    <col min="14869" max="14869" width="8.1640625" style="157" bestFit="1" customWidth="1"/>
    <col min="14870" max="14870" width="10.83203125" style="157" bestFit="1" customWidth="1"/>
    <col min="14871" max="14871" width="12.1640625" style="157" bestFit="1" customWidth="1"/>
    <col min="14872" max="14872" width="18.1640625" style="157" bestFit="1" customWidth="1"/>
    <col min="14873" max="14873" width="10.83203125" style="157" bestFit="1" customWidth="1"/>
    <col min="14874" max="15109" width="8.83203125" style="157"/>
    <col min="15110" max="15110" width="38.1640625" style="157" customWidth="1"/>
    <col min="15111" max="15111" width="23.44140625" style="157" bestFit="1" customWidth="1"/>
    <col min="15112" max="15113" width="9.1640625" style="157" customWidth="1"/>
    <col min="15114" max="15114" width="11.1640625" style="157" bestFit="1" customWidth="1"/>
    <col min="15115" max="15115" width="14.44140625" style="157" bestFit="1" customWidth="1"/>
    <col min="15116" max="15116" width="8.1640625" style="157" customWidth="1"/>
    <col min="15117" max="15117" width="10.83203125" style="157" bestFit="1" customWidth="1"/>
    <col min="15118" max="15118" width="12.1640625" style="157" bestFit="1" customWidth="1"/>
    <col min="15119" max="15119" width="9.1640625" style="157" customWidth="1"/>
    <col min="15120" max="15120" width="10.83203125" style="157" bestFit="1" customWidth="1"/>
    <col min="15121" max="15121" width="12.1640625" style="157" bestFit="1" customWidth="1"/>
    <col min="15122" max="15122" width="8" style="157" customWidth="1"/>
    <col min="15123" max="15123" width="10.83203125" style="157" bestFit="1" customWidth="1"/>
    <col min="15124" max="15124" width="12.1640625" style="157" bestFit="1" customWidth="1"/>
    <col min="15125" max="15125" width="8.1640625" style="157" bestFit="1" customWidth="1"/>
    <col min="15126" max="15126" width="10.83203125" style="157" bestFit="1" customWidth="1"/>
    <col min="15127" max="15127" width="12.1640625" style="157" bestFit="1" customWidth="1"/>
    <col min="15128" max="15128" width="18.1640625" style="157" bestFit="1" customWidth="1"/>
    <col min="15129" max="15129" width="10.83203125" style="157" bestFit="1" customWidth="1"/>
    <col min="15130" max="15365" width="8.83203125" style="157"/>
    <col min="15366" max="15366" width="38.1640625" style="157" customWidth="1"/>
    <col min="15367" max="15367" width="23.44140625" style="157" bestFit="1" customWidth="1"/>
    <col min="15368" max="15369" width="9.1640625" style="157" customWidth="1"/>
    <col min="15370" max="15370" width="11.1640625" style="157" bestFit="1" customWidth="1"/>
    <col min="15371" max="15371" width="14.44140625" style="157" bestFit="1" customWidth="1"/>
    <col min="15372" max="15372" width="8.1640625" style="157" customWidth="1"/>
    <col min="15373" max="15373" width="10.83203125" style="157" bestFit="1" customWidth="1"/>
    <col min="15374" max="15374" width="12.1640625" style="157" bestFit="1" customWidth="1"/>
    <col min="15375" max="15375" width="9.1640625" style="157" customWidth="1"/>
    <col min="15376" max="15376" width="10.83203125" style="157" bestFit="1" customWidth="1"/>
    <col min="15377" max="15377" width="12.1640625" style="157" bestFit="1" customWidth="1"/>
    <col min="15378" max="15378" width="8" style="157" customWidth="1"/>
    <col min="15379" max="15379" width="10.83203125" style="157" bestFit="1" customWidth="1"/>
    <col min="15380" max="15380" width="12.1640625" style="157" bestFit="1" customWidth="1"/>
    <col min="15381" max="15381" width="8.1640625" style="157" bestFit="1" customWidth="1"/>
    <col min="15382" max="15382" width="10.83203125" style="157" bestFit="1" customWidth="1"/>
    <col min="15383" max="15383" width="12.1640625" style="157" bestFit="1" customWidth="1"/>
    <col min="15384" max="15384" width="18.1640625" style="157" bestFit="1" customWidth="1"/>
    <col min="15385" max="15385" width="10.83203125" style="157" bestFit="1" customWidth="1"/>
    <col min="15386" max="15621" width="8.83203125" style="157"/>
    <col min="15622" max="15622" width="38.1640625" style="157" customWidth="1"/>
    <col min="15623" max="15623" width="23.44140625" style="157" bestFit="1" customWidth="1"/>
    <col min="15624" max="15625" width="9.1640625" style="157" customWidth="1"/>
    <col min="15626" max="15626" width="11.1640625" style="157" bestFit="1" customWidth="1"/>
    <col min="15627" max="15627" width="14.44140625" style="157" bestFit="1" customWidth="1"/>
    <col min="15628" max="15628" width="8.1640625" style="157" customWidth="1"/>
    <col min="15629" max="15629" width="10.83203125" style="157" bestFit="1" customWidth="1"/>
    <col min="15630" max="15630" width="12.1640625" style="157" bestFit="1" customWidth="1"/>
    <col min="15631" max="15631" width="9.1640625" style="157" customWidth="1"/>
    <col min="15632" max="15632" width="10.83203125" style="157" bestFit="1" customWidth="1"/>
    <col min="15633" max="15633" width="12.1640625" style="157" bestFit="1" customWidth="1"/>
    <col min="15634" max="15634" width="8" style="157" customWidth="1"/>
    <col min="15635" max="15635" width="10.83203125" style="157" bestFit="1" customWidth="1"/>
    <col min="15636" max="15636" width="12.1640625" style="157" bestFit="1" customWidth="1"/>
    <col min="15637" max="15637" width="8.1640625" style="157" bestFit="1" customWidth="1"/>
    <col min="15638" max="15638" width="10.83203125" style="157" bestFit="1" customWidth="1"/>
    <col min="15639" max="15639" width="12.1640625" style="157" bestFit="1" customWidth="1"/>
    <col min="15640" max="15640" width="18.1640625" style="157" bestFit="1" customWidth="1"/>
    <col min="15641" max="15641" width="10.83203125" style="157" bestFit="1" customWidth="1"/>
    <col min="15642" max="15877" width="8.83203125" style="157"/>
    <col min="15878" max="15878" width="38.1640625" style="157" customWidth="1"/>
    <col min="15879" max="15879" width="23.44140625" style="157" bestFit="1" customWidth="1"/>
    <col min="15880" max="15881" width="9.1640625" style="157" customWidth="1"/>
    <col min="15882" max="15882" width="11.1640625" style="157" bestFit="1" customWidth="1"/>
    <col min="15883" max="15883" width="14.44140625" style="157" bestFit="1" customWidth="1"/>
    <col min="15884" max="15884" width="8.1640625" style="157" customWidth="1"/>
    <col min="15885" max="15885" width="10.83203125" style="157" bestFit="1" customWidth="1"/>
    <col min="15886" max="15886" width="12.1640625" style="157" bestFit="1" customWidth="1"/>
    <col min="15887" max="15887" width="9.1640625" style="157" customWidth="1"/>
    <col min="15888" max="15888" width="10.83203125" style="157" bestFit="1" customWidth="1"/>
    <col min="15889" max="15889" width="12.1640625" style="157" bestFit="1" customWidth="1"/>
    <col min="15890" max="15890" width="8" style="157" customWidth="1"/>
    <col min="15891" max="15891" width="10.83203125" style="157" bestFit="1" customWidth="1"/>
    <col min="15892" max="15892" width="12.1640625" style="157" bestFit="1" customWidth="1"/>
    <col min="15893" max="15893" width="8.1640625" style="157" bestFit="1" customWidth="1"/>
    <col min="15894" max="15894" width="10.83203125" style="157" bestFit="1" customWidth="1"/>
    <col min="15895" max="15895" width="12.1640625" style="157" bestFit="1" customWidth="1"/>
    <col min="15896" max="15896" width="18.1640625" style="157" bestFit="1" customWidth="1"/>
    <col min="15897" max="15897" width="10.83203125" style="157" bestFit="1" customWidth="1"/>
    <col min="15898" max="16133" width="8.83203125" style="157"/>
    <col min="16134" max="16134" width="38.1640625" style="157" customWidth="1"/>
    <col min="16135" max="16135" width="23.44140625" style="157" bestFit="1" customWidth="1"/>
    <col min="16136" max="16137" width="9.1640625" style="157" customWidth="1"/>
    <col min="16138" max="16138" width="11.1640625" style="157" bestFit="1" customWidth="1"/>
    <col min="16139" max="16139" width="14.44140625" style="157" bestFit="1" customWidth="1"/>
    <col min="16140" max="16140" width="8.1640625" style="157" customWidth="1"/>
    <col min="16141" max="16141" width="10.83203125" style="157" bestFit="1" customWidth="1"/>
    <col min="16142" max="16142" width="12.1640625" style="157" bestFit="1" customWidth="1"/>
    <col min="16143" max="16143" width="9.1640625" style="157" customWidth="1"/>
    <col min="16144" max="16144" width="10.83203125" style="157" bestFit="1" customWidth="1"/>
    <col min="16145" max="16145" width="12.1640625" style="157" bestFit="1" customWidth="1"/>
    <col min="16146" max="16146" width="8" style="157" customWidth="1"/>
    <col min="16147" max="16147" width="10.83203125" style="157" bestFit="1" customWidth="1"/>
    <col min="16148" max="16148" width="12.1640625" style="157" bestFit="1" customWidth="1"/>
    <col min="16149" max="16149" width="8.1640625" style="157" bestFit="1" customWidth="1"/>
    <col min="16150" max="16150" width="10.83203125" style="157" bestFit="1" customWidth="1"/>
    <col min="16151" max="16151" width="12.1640625" style="157" bestFit="1" customWidth="1"/>
    <col min="16152" max="16152" width="18.1640625" style="157" bestFit="1" customWidth="1"/>
    <col min="16153" max="16153" width="10.83203125" style="157" bestFit="1" customWidth="1"/>
    <col min="16154" max="16384" width="8.83203125" style="157"/>
  </cols>
  <sheetData>
    <row r="1" spans="1:33" ht="14.7" thickBot="1"/>
    <row r="2" spans="1:33" ht="23.5" customHeight="1">
      <c r="A2" s="658" t="s">
        <v>499</v>
      </c>
      <c r="B2" s="652" t="s">
        <v>500</v>
      </c>
      <c r="C2" s="660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56" t="s">
        <v>502</v>
      </c>
      <c r="AB2" s="163"/>
    </row>
    <row r="3" spans="1:33" ht="47.95" customHeight="1">
      <c r="A3" s="659"/>
      <c r="B3" s="653"/>
      <c r="C3" s="661"/>
      <c r="D3" s="164" t="s">
        <v>503</v>
      </c>
      <c r="E3" s="165" t="s">
        <v>504</v>
      </c>
      <c r="F3" s="167" t="s">
        <v>505</v>
      </c>
      <c r="G3" s="168" t="s">
        <v>502</v>
      </c>
      <c r="H3" s="164" t="s">
        <v>503</v>
      </c>
      <c r="I3" s="165" t="s">
        <v>504</v>
      </c>
      <c r="J3" s="166" t="s">
        <v>505</v>
      </c>
      <c r="K3" s="168" t="s">
        <v>502</v>
      </c>
      <c r="L3" s="164" t="s">
        <v>503</v>
      </c>
      <c r="M3" s="165" t="s">
        <v>504</v>
      </c>
      <c r="N3" s="167" t="s">
        <v>505</v>
      </c>
      <c r="O3" s="168" t="s">
        <v>502</v>
      </c>
      <c r="P3" s="164" t="s">
        <v>503</v>
      </c>
      <c r="Q3" s="165" t="s">
        <v>504</v>
      </c>
      <c r="R3" s="167" t="s">
        <v>505</v>
      </c>
      <c r="S3" s="168" t="s">
        <v>502</v>
      </c>
      <c r="T3" s="657"/>
      <c r="AB3" s="163"/>
      <c r="AC3" s="157" t="s">
        <v>543</v>
      </c>
    </row>
    <row r="4" spans="1:33" ht="20.399999999999999">
      <c r="A4" s="324" t="s">
        <v>506</v>
      </c>
      <c r="B4" s="169"/>
      <c r="C4" s="173"/>
      <c r="D4" s="170"/>
      <c r="E4" s="171"/>
      <c r="F4" s="174"/>
      <c r="G4" s="175"/>
      <c r="H4" s="170"/>
      <c r="I4" s="171"/>
      <c r="J4" s="172"/>
      <c r="K4" s="175"/>
      <c r="L4" s="176"/>
      <c r="M4" s="171"/>
      <c r="N4" s="174"/>
      <c r="O4" s="175"/>
      <c r="P4" s="176"/>
      <c r="Q4" s="171"/>
      <c r="R4" s="174"/>
      <c r="S4" s="177"/>
      <c r="T4" s="331"/>
      <c r="AB4" s="178" t="s">
        <v>544</v>
      </c>
      <c r="AC4" s="178" t="s">
        <v>545</v>
      </c>
      <c r="AD4" s="178" t="s">
        <v>546</v>
      </c>
    </row>
    <row r="5" spans="1:33" s="189" customFormat="1" ht="15" customHeight="1" outlineLevel="1">
      <c r="A5" s="179" t="s">
        <v>53</v>
      </c>
      <c r="B5" s="180"/>
      <c r="C5" s="184"/>
      <c r="D5" s="181"/>
      <c r="E5" s="182"/>
      <c r="F5" s="185"/>
      <c r="G5" s="186"/>
      <c r="H5" s="181"/>
      <c r="I5" s="182"/>
      <c r="J5" s="183"/>
      <c r="K5" s="186"/>
      <c r="L5" s="181"/>
      <c r="M5" s="182"/>
      <c r="N5" s="185"/>
      <c r="O5" s="186"/>
      <c r="P5" s="181"/>
      <c r="Q5" s="182"/>
      <c r="R5" s="185"/>
      <c r="S5" s="186"/>
      <c r="T5" s="332"/>
      <c r="U5" s="188"/>
      <c r="V5" s="157"/>
      <c r="W5" s="157"/>
      <c r="X5" s="157"/>
      <c r="Y5" s="157"/>
      <c r="Z5" s="157"/>
      <c r="AA5" s="157"/>
      <c r="AB5" s="163"/>
    </row>
    <row r="6" spans="1:33" s="189" customFormat="1" ht="15.6" outlineLevel="1">
      <c r="A6" s="190" t="s">
        <v>507</v>
      </c>
      <c r="B6" s="191"/>
      <c r="C6" s="184"/>
      <c r="D6" s="181"/>
      <c r="E6" s="182"/>
      <c r="F6" s="185"/>
      <c r="G6" s="186"/>
      <c r="H6" s="181"/>
      <c r="I6" s="182"/>
      <c r="J6" s="183"/>
      <c r="K6" s="186"/>
      <c r="L6" s="181"/>
      <c r="M6" s="182"/>
      <c r="N6" s="185"/>
      <c r="O6" s="186"/>
      <c r="P6" s="181"/>
      <c r="Q6" s="182"/>
      <c r="R6" s="185"/>
      <c r="S6" s="186"/>
      <c r="T6" s="332"/>
      <c r="U6" s="192"/>
      <c r="V6" s="157"/>
      <c r="W6" s="157"/>
      <c r="X6" s="157"/>
      <c r="Y6" s="157"/>
      <c r="Z6" s="157"/>
      <c r="AA6" s="157"/>
      <c r="AB6" s="163"/>
    </row>
    <row r="7" spans="1:33" ht="15" customHeight="1" outlineLevel="1">
      <c r="A7" s="193" t="str">
        <f>'Program Budget'!D146</f>
        <v>Key Personnel: Chief of Party</v>
      </c>
      <c r="B7" s="194" t="str">
        <f>'Program Budget'!F146</f>
        <v>Month</v>
      </c>
      <c r="C7" s="198">
        <f>'Program Budget'!E146</f>
        <v>106264</v>
      </c>
      <c r="D7" s="195">
        <f>'Program Budget'!G146</f>
        <v>14250</v>
      </c>
      <c r="E7" s="196">
        <f>'Program Budget'!I146</f>
        <v>12</v>
      </c>
      <c r="F7" s="199">
        <f>'Program Budget'!H146</f>
        <v>0</v>
      </c>
      <c r="G7" s="198">
        <f>D7*E7*F7</f>
        <v>0</v>
      </c>
      <c r="H7" s="195">
        <f>D7*1.05</f>
        <v>14962.5</v>
      </c>
      <c r="I7" s="196">
        <f>'Program Budget'!L146</f>
        <v>12</v>
      </c>
      <c r="J7" s="199">
        <f>'Program Budget'!K146</f>
        <v>0</v>
      </c>
      <c r="K7" s="198">
        <f>H7*I7*J7</f>
        <v>0</v>
      </c>
      <c r="L7" s="195">
        <f>H7*1.05</f>
        <v>15710.625</v>
      </c>
      <c r="M7" s="196">
        <f>'Program Budget'!O146</f>
        <v>12</v>
      </c>
      <c r="N7" s="199">
        <f>'Program Budget'!N146</f>
        <v>0</v>
      </c>
      <c r="O7" s="198">
        <f>L7*M7*N7</f>
        <v>0</v>
      </c>
      <c r="P7" s="195">
        <f>L7*1.05</f>
        <v>16496.15625</v>
      </c>
      <c r="Q7" s="196">
        <f>'Program Budget'!R146</f>
        <v>0</v>
      </c>
      <c r="R7" s="199">
        <f>'Program Budget'!Q146</f>
        <v>0</v>
      </c>
      <c r="S7" s="198">
        <f>P7*Q7*R7</f>
        <v>0</v>
      </c>
      <c r="T7" s="335">
        <f>C7+G7+K7+O7+S7</f>
        <v>106264</v>
      </c>
      <c r="U7" s="201"/>
      <c r="V7" s="188"/>
      <c r="W7" s="202"/>
      <c r="X7" s="202"/>
      <c r="AB7" s="163">
        <v>180</v>
      </c>
      <c r="AC7" s="203" t="s">
        <v>547</v>
      </c>
      <c r="AD7" s="203" t="s">
        <v>548</v>
      </c>
      <c r="AE7" s="204"/>
      <c r="AG7" s="205"/>
    </row>
    <row r="8" spans="1:33" ht="15" customHeight="1" outlineLevel="1">
      <c r="A8" s="208" t="s">
        <v>508</v>
      </c>
      <c r="B8" s="209"/>
      <c r="C8" s="213">
        <f>SUM(C7:C7)</f>
        <v>106264</v>
      </c>
      <c r="D8" s="210"/>
      <c r="E8" s="211"/>
      <c r="F8" s="214"/>
      <c r="G8" s="213">
        <f>SUM(G7:G7)</f>
        <v>0</v>
      </c>
      <c r="H8" s="210"/>
      <c r="I8" s="211"/>
      <c r="J8" s="212"/>
      <c r="K8" s="213">
        <f>SUM(K7:K7)</f>
        <v>0</v>
      </c>
      <c r="L8" s="210"/>
      <c r="M8" s="211"/>
      <c r="N8" s="214"/>
      <c r="O8" s="213">
        <f>SUM(O7:O7)</f>
        <v>0</v>
      </c>
      <c r="P8" s="210"/>
      <c r="Q8" s="211"/>
      <c r="R8" s="214"/>
      <c r="S8" s="213">
        <f>SUM(S7:S7)</f>
        <v>0</v>
      </c>
      <c r="T8" s="334">
        <f>+C8+G8+K8+O8+S8</f>
        <v>106264</v>
      </c>
      <c r="AB8" s="163"/>
      <c r="AC8" s="203"/>
      <c r="AD8" s="203" t="s">
        <v>549</v>
      </c>
    </row>
    <row r="9" spans="1:33" ht="15" customHeight="1" outlineLevel="1">
      <c r="A9" s="190" t="s">
        <v>576</v>
      </c>
      <c r="B9" s="216"/>
      <c r="C9" s="198"/>
      <c r="D9" s="217"/>
      <c r="E9" s="218"/>
      <c r="F9" s="220"/>
      <c r="G9" s="200"/>
      <c r="H9" s="217"/>
      <c r="I9" s="218"/>
      <c r="J9" s="219"/>
      <c r="K9" s="200"/>
      <c r="L9" s="217"/>
      <c r="M9" s="218"/>
      <c r="N9" s="220"/>
      <c r="O9" s="200"/>
      <c r="P9" s="217"/>
      <c r="Q9" s="218"/>
      <c r="R9" s="220"/>
      <c r="S9" s="200"/>
      <c r="T9" s="350"/>
      <c r="U9" s="192"/>
      <c r="AB9" s="163"/>
      <c r="AC9" s="203"/>
      <c r="AD9" s="203" t="s">
        <v>549</v>
      </c>
      <c r="AG9" s="205"/>
    </row>
    <row r="10" spans="1:33" ht="15" customHeight="1" outlineLevel="1">
      <c r="A10" s="193" t="str">
        <f>'Program Budget'!D147</f>
        <v>Deputy Chief of Party / Value Chain Strengthening Director</v>
      </c>
      <c r="B10" s="194" t="str">
        <f>'Program Budget'!F146</f>
        <v>Month</v>
      </c>
      <c r="C10" s="198">
        <f>'Program Budget'!E147</f>
        <v>0</v>
      </c>
      <c r="D10" s="195">
        <f>'Program Budget'!G146</f>
        <v>14250</v>
      </c>
      <c r="E10" s="196">
        <f>'Program Budget'!I146</f>
        <v>12</v>
      </c>
      <c r="F10" s="199">
        <f>'Program Budget'!H146</f>
        <v>0</v>
      </c>
      <c r="G10" s="198">
        <f>D10*E10*F10</f>
        <v>0</v>
      </c>
      <c r="H10" s="195">
        <f>D10*1.05</f>
        <v>14962.5</v>
      </c>
      <c r="I10" s="196">
        <f>'Program Budget'!L146</f>
        <v>12</v>
      </c>
      <c r="J10" s="199">
        <f>'Program Budget'!K146</f>
        <v>0</v>
      </c>
      <c r="K10" s="198">
        <f>H10*I10*J10</f>
        <v>0</v>
      </c>
      <c r="L10" s="195">
        <f>H10*1.05</f>
        <v>15710.625</v>
      </c>
      <c r="M10" s="196">
        <f>'Program Budget'!O146</f>
        <v>12</v>
      </c>
      <c r="N10" s="199">
        <f>'Program Budget'!N145</f>
        <v>0</v>
      </c>
      <c r="O10" s="198">
        <f>L10*M10*N10</f>
        <v>0</v>
      </c>
      <c r="P10" s="195">
        <f>L10*1.05</f>
        <v>16496.15625</v>
      </c>
      <c r="Q10" s="196">
        <f>'Program Budget'!R146</f>
        <v>0</v>
      </c>
      <c r="R10" s="199">
        <f>'Program Budget'!Q146</f>
        <v>0</v>
      </c>
      <c r="S10" s="198">
        <f>P10*Q10*R10</f>
        <v>0</v>
      </c>
      <c r="T10" s="333">
        <f>C10+G10+K10+O10+S10</f>
        <v>0</v>
      </c>
      <c r="U10" s="201"/>
      <c r="V10" s="188"/>
      <c r="W10" s="202"/>
      <c r="X10" s="202"/>
      <c r="AB10" s="163">
        <v>180</v>
      </c>
      <c r="AC10" s="203" t="s">
        <v>547</v>
      </c>
      <c r="AD10" s="203" t="s">
        <v>548</v>
      </c>
      <c r="AE10" s="204"/>
      <c r="AG10" s="205"/>
    </row>
    <row r="11" spans="1:33" ht="15" customHeight="1" outlineLevel="1">
      <c r="A11" s="193" t="str">
        <f>'Program Budget'!D148</f>
        <v>Key Personnel: Technical Director</v>
      </c>
      <c r="B11" s="194" t="str">
        <f>'Program Budget'!F147</f>
        <v>Month</v>
      </c>
      <c r="C11" s="198">
        <f>'Program Budget'!E148</f>
        <v>22300.32</v>
      </c>
      <c r="D11" s="195">
        <f>'Program Budget'!G147</f>
        <v>5000</v>
      </c>
      <c r="E11" s="196">
        <f>'Program Budget'!I147</f>
        <v>12</v>
      </c>
      <c r="F11" s="199">
        <f>'Program Budget'!H147</f>
        <v>0</v>
      </c>
      <c r="G11" s="198">
        <f>D11*E11*F11</f>
        <v>0</v>
      </c>
      <c r="H11" s="195">
        <f t="shared" ref="H11:H38" si="0">D11*1.05</f>
        <v>5250</v>
      </c>
      <c r="I11" s="196">
        <f>'Program Budget'!L147</f>
        <v>12</v>
      </c>
      <c r="J11" s="199">
        <f>'Program Budget'!K147</f>
        <v>0</v>
      </c>
      <c r="K11" s="198">
        <f>H11*I11*J11</f>
        <v>0</v>
      </c>
      <c r="L11" s="195">
        <f t="shared" ref="L11:L38" si="1">H11*1.05</f>
        <v>5512.5</v>
      </c>
      <c r="M11" s="196">
        <f>'Program Budget'!O147</f>
        <v>12</v>
      </c>
      <c r="N11" s="199">
        <f>'Program Budget'!N146</f>
        <v>0</v>
      </c>
      <c r="O11" s="198">
        <f t="shared" ref="O11:O38" si="2">L11*M11*N11</f>
        <v>0</v>
      </c>
      <c r="P11" s="195">
        <f t="shared" ref="P11:P38" si="3">L11*1.05</f>
        <v>5788.125</v>
      </c>
      <c r="Q11" s="196">
        <f>'Program Budget'!R147</f>
        <v>6</v>
      </c>
      <c r="R11" s="199">
        <f>'Program Budget'!Q147</f>
        <v>0</v>
      </c>
      <c r="S11" s="198">
        <f t="shared" ref="S11:S38" si="4">P11*Q11*R11</f>
        <v>0</v>
      </c>
      <c r="T11" s="333">
        <f>C11+G11+K11+O11+S11</f>
        <v>22300.32</v>
      </c>
      <c r="U11" s="201"/>
      <c r="V11" s="188"/>
      <c r="W11" s="202"/>
      <c r="X11" s="202"/>
      <c r="AB11" s="163">
        <v>180</v>
      </c>
      <c r="AC11" s="203" t="s">
        <v>547</v>
      </c>
      <c r="AD11" s="203" t="s">
        <v>548</v>
      </c>
      <c r="AE11" s="204"/>
      <c r="AG11" s="205"/>
    </row>
    <row r="12" spans="1:33" ht="15" customHeight="1" outlineLevel="1">
      <c r="A12" s="193" t="str">
        <f>'Program Budget'!D149</f>
        <v>Activity Lead Agribusiness Senior Specialist (Cacao)</v>
      </c>
      <c r="B12" s="194" t="str">
        <f>'Program Budget'!F148</f>
        <v>Month</v>
      </c>
      <c r="C12" s="198">
        <f>'Program Budget'!E149</f>
        <v>3487.19</v>
      </c>
      <c r="D12" s="195">
        <f>'Program Budget'!G148</f>
        <v>4583.333333333333</v>
      </c>
      <c r="E12" s="196">
        <f>'Program Budget'!I148</f>
        <v>12</v>
      </c>
      <c r="F12" s="199">
        <f>'Program Budget'!H148</f>
        <v>0</v>
      </c>
      <c r="G12" s="198">
        <f t="shared" ref="G12:G38" si="5">D12*E12*F12</f>
        <v>0</v>
      </c>
      <c r="H12" s="195">
        <f t="shared" si="0"/>
        <v>4812.5</v>
      </c>
      <c r="I12" s="196">
        <f>'Program Budget'!L148</f>
        <v>12</v>
      </c>
      <c r="J12" s="199">
        <f>'Program Budget'!K148</f>
        <v>0</v>
      </c>
      <c r="K12" s="198">
        <f t="shared" ref="K12:K38" si="6">H12*I12*J12</f>
        <v>0</v>
      </c>
      <c r="L12" s="195">
        <f t="shared" si="1"/>
        <v>5053.125</v>
      </c>
      <c r="M12" s="196">
        <f>'Program Budget'!O148</f>
        <v>12</v>
      </c>
      <c r="N12" s="199">
        <f>'Program Budget'!N147</f>
        <v>0</v>
      </c>
      <c r="O12" s="198">
        <f t="shared" si="2"/>
        <v>0</v>
      </c>
      <c r="P12" s="195">
        <f t="shared" si="3"/>
        <v>5305.78125</v>
      </c>
      <c r="Q12" s="196">
        <f>'Program Budget'!R148</f>
        <v>5</v>
      </c>
      <c r="R12" s="199">
        <f>'Program Budget'!Q148</f>
        <v>0</v>
      </c>
      <c r="S12" s="198">
        <f t="shared" si="4"/>
        <v>0</v>
      </c>
      <c r="T12" s="333">
        <f t="shared" ref="T12:T38" si="7">C12+G12+K12+O12+S12</f>
        <v>3487.19</v>
      </c>
      <c r="U12" s="201"/>
      <c r="V12" s="188"/>
      <c r="W12" s="202"/>
      <c r="X12" s="202"/>
      <c r="AB12" s="163">
        <v>180</v>
      </c>
      <c r="AC12" s="203" t="s">
        <v>547</v>
      </c>
      <c r="AD12" s="203" t="s">
        <v>548</v>
      </c>
      <c r="AE12" s="204"/>
      <c r="AG12" s="205"/>
    </row>
    <row r="13" spans="1:33" ht="15" customHeight="1" outlineLevel="1">
      <c r="A13" s="193" t="str">
        <f>'Program Budget'!D150</f>
        <v>Cacao Field Officer</v>
      </c>
      <c r="B13" s="194" t="str">
        <f>'Program Budget'!F149</f>
        <v>Month</v>
      </c>
      <c r="C13" s="198">
        <f>'Program Budget'!E150</f>
        <v>0</v>
      </c>
      <c r="D13" s="195">
        <f>'Program Budget'!G149</f>
        <v>2833.3333333333335</v>
      </c>
      <c r="E13" s="196">
        <f>'Program Budget'!I149</f>
        <v>12</v>
      </c>
      <c r="F13" s="199">
        <f>'Program Budget'!H149</f>
        <v>0</v>
      </c>
      <c r="G13" s="198">
        <f t="shared" si="5"/>
        <v>0</v>
      </c>
      <c r="H13" s="195">
        <f t="shared" si="0"/>
        <v>2975.0000000000005</v>
      </c>
      <c r="I13" s="196">
        <f>'Program Budget'!L149</f>
        <v>12</v>
      </c>
      <c r="J13" s="199">
        <f>'Program Budget'!K149</f>
        <v>0</v>
      </c>
      <c r="K13" s="198">
        <f t="shared" si="6"/>
        <v>0</v>
      </c>
      <c r="L13" s="195">
        <f t="shared" si="1"/>
        <v>3123.7500000000005</v>
      </c>
      <c r="M13" s="196">
        <f>'Program Budget'!O149</f>
        <v>12</v>
      </c>
      <c r="N13" s="199">
        <f>'Program Budget'!N148</f>
        <v>0</v>
      </c>
      <c r="O13" s="198">
        <f t="shared" si="2"/>
        <v>0</v>
      </c>
      <c r="P13" s="195">
        <f t="shared" si="3"/>
        <v>3279.9375000000005</v>
      </c>
      <c r="Q13" s="196">
        <f>'Program Budget'!R149</f>
        <v>2</v>
      </c>
      <c r="R13" s="199">
        <f>'Program Budget'!Q149</f>
        <v>0</v>
      </c>
      <c r="S13" s="198">
        <f t="shared" si="4"/>
        <v>0</v>
      </c>
      <c r="T13" s="333">
        <f t="shared" si="7"/>
        <v>0</v>
      </c>
      <c r="U13" s="201"/>
      <c r="V13" s="188"/>
      <c r="W13" s="202"/>
      <c r="X13" s="202"/>
      <c r="AB13" s="163">
        <v>180</v>
      </c>
      <c r="AC13" s="203" t="s">
        <v>547</v>
      </c>
      <c r="AD13" s="203" t="s">
        <v>548</v>
      </c>
      <c r="AE13" s="204"/>
      <c r="AG13" s="205"/>
    </row>
    <row r="14" spans="1:33" ht="15" customHeight="1" outlineLevel="1">
      <c r="A14" s="193" t="str">
        <f>'Program Budget'!D151</f>
        <v>Cacao &amp; Complementary Crop Technical Field Leader (2)</v>
      </c>
      <c r="B14" s="194" t="str">
        <f>'Program Budget'!F150</f>
        <v>Month</v>
      </c>
      <c r="C14" s="198">
        <f>'Program Budget'!E151</f>
        <v>0</v>
      </c>
      <c r="D14" s="195">
        <f>'Program Budget'!G150</f>
        <v>1333.3333333333333</v>
      </c>
      <c r="E14" s="196">
        <f>'Program Budget'!I150</f>
        <v>12</v>
      </c>
      <c r="F14" s="199">
        <f>'Program Budget'!H150</f>
        <v>0</v>
      </c>
      <c r="G14" s="198">
        <f t="shared" ref="G14:G34" si="8">D14*E14*F14</f>
        <v>0</v>
      </c>
      <c r="H14" s="195">
        <f t="shared" si="0"/>
        <v>1400</v>
      </c>
      <c r="I14" s="196">
        <f>'Program Budget'!L150</f>
        <v>12</v>
      </c>
      <c r="J14" s="199">
        <f>'Program Budget'!K150</f>
        <v>0</v>
      </c>
      <c r="K14" s="198">
        <f t="shared" ref="K14:K34" si="9">H14*I14*J14</f>
        <v>0</v>
      </c>
      <c r="L14" s="195">
        <f t="shared" si="1"/>
        <v>1470</v>
      </c>
      <c r="M14" s="196">
        <f>'Program Budget'!O150</f>
        <v>12</v>
      </c>
      <c r="N14" s="199">
        <f>'Program Budget'!N149</f>
        <v>0</v>
      </c>
      <c r="O14" s="198">
        <f t="shared" si="2"/>
        <v>0</v>
      </c>
      <c r="P14" s="195">
        <f t="shared" si="3"/>
        <v>1543.5</v>
      </c>
      <c r="Q14" s="196">
        <f>'Program Budget'!R150</f>
        <v>0</v>
      </c>
      <c r="R14" s="199">
        <f>'Program Budget'!Q150</f>
        <v>0</v>
      </c>
      <c r="S14" s="198">
        <f t="shared" si="4"/>
        <v>0</v>
      </c>
      <c r="T14" s="333">
        <f t="shared" ref="T14:T34" si="10">C14+G14+K14+O14+S14</f>
        <v>0</v>
      </c>
      <c r="U14" s="201"/>
      <c r="V14" s="188"/>
      <c r="W14" s="202"/>
      <c r="X14" s="202"/>
      <c r="AB14" s="163"/>
      <c r="AC14" s="203"/>
      <c r="AD14" s="203"/>
      <c r="AE14" s="204"/>
      <c r="AG14" s="205"/>
    </row>
    <row r="15" spans="1:33" ht="15" customHeight="1" outlineLevel="1">
      <c r="A15" s="193" t="str">
        <f>'Program Budget'!D152</f>
        <v>Extension Agents (45 in Y5 and 25 in Y6)</v>
      </c>
      <c r="B15" s="194" t="str">
        <f>'Program Budget'!F151</f>
        <v>Month</v>
      </c>
      <c r="C15" s="198">
        <f>'Program Budget'!E152</f>
        <v>3487.19</v>
      </c>
      <c r="D15" s="195">
        <f>'Program Budget'!G151</f>
        <v>3500</v>
      </c>
      <c r="E15" s="196">
        <f>'Program Budget'!I151</f>
        <v>6</v>
      </c>
      <c r="F15" s="199">
        <f>'Program Budget'!H151</f>
        <v>0</v>
      </c>
      <c r="G15" s="198">
        <f t="shared" si="8"/>
        <v>0</v>
      </c>
      <c r="H15" s="195">
        <f t="shared" si="0"/>
        <v>3675</v>
      </c>
      <c r="I15" s="196">
        <f>'Program Budget'!L151</f>
        <v>12</v>
      </c>
      <c r="J15" s="199">
        <f>'Program Budget'!K151</f>
        <v>0</v>
      </c>
      <c r="K15" s="198">
        <f t="shared" si="9"/>
        <v>0</v>
      </c>
      <c r="L15" s="195">
        <f t="shared" si="1"/>
        <v>3858.75</v>
      </c>
      <c r="M15" s="196">
        <f>'Program Budget'!O151</f>
        <v>12</v>
      </c>
      <c r="N15" s="199">
        <f>'Program Budget'!N150</f>
        <v>0</v>
      </c>
      <c r="O15" s="198">
        <f t="shared" si="2"/>
        <v>0</v>
      </c>
      <c r="P15" s="195">
        <f t="shared" si="3"/>
        <v>4051.6875</v>
      </c>
      <c r="Q15" s="196">
        <f>'Program Budget'!R151</f>
        <v>0</v>
      </c>
      <c r="R15" s="199">
        <f>'Program Budget'!Q151</f>
        <v>0</v>
      </c>
      <c r="S15" s="198">
        <f t="shared" si="4"/>
        <v>0</v>
      </c>
      <c r="T15" s="333">
        <f t="shared" si="10"/>
        <v>3487.19</v>
      </c>
      <c r="U15" s="201"/>
      <c r="V15" s="188"/>
      <c r="W15" s="202"/>
      <c r="X15" s="202"/>
      <c r="AB15" s="163"/>
      <c r="AC15" s="203"/>
      <c r="AD15" s="203"/>
      <c r="AE15" s="204"/>
      <c r="AG15" s="205"/>
    </row>
    <row r="16" spans="1:33" ht="15" customHeight="1" outlineLevel="1">
      <c r="A16" s="193" t="str">
        <f>'Program Budget'!D153</f>
        <v>Activity Lead Agribusiness Senior Specialist (Complementary Crop)</v>
      </c>
      <c r="B16" s="194" t="str">
        <f>'Program Budget'!F152</f>
        <v>Month</v>
      </c>
      <c r="C16" s="198">
        <f>'Program Budget'!E153</f>
        <v>0</v>
      </c>
      <c r="D16" s="195">
        <f>'Program Budget'!G152</f>
        <v>1000</v>
      </c>
      <c r="E16" s="196">
        <f>'Program Budget'!I152</f>
        <v>12</v>
      </c>
      <c r="F16" s="199">
        <f>'Program Budget'!H152</f>
        <v>0</v>
      </c>
      <c r="G16" s="198">
        <f t="shared" si="8"/>
        <v>0</v>
      </c>
      <c r="H16" s="195">
        <f t="shared" si="0"/>
        <v>1050</v>
      </c>
      <c r="I16" s="196">
        <f>'Program Budget'!L152</f>
        <v>12</v>
      </c>
      <c r="J16" s="199">
        <f>'Program Budget'!K152</f>
        <v>0</v>
      </c>
      <c r="K16" s="198">
        <f t="shared" si="9"/>
        <v>0</v>
      </c>
      <c r="L16" s="195">
        <f t="shared" si="1"/>
        <v>1102.5</v>
      </c>
      <c r="M16" s="196">
        <f>'Program Budget'!O152</f>
        <v>0</v>
      </c>
      <c r="N16" s="199">
        <f>'Program Budget'!N151</f>
        <v>0</v>
      </c>
      <c r="O16" s="198">
        <f t="shared" si="2"/>
        <v>0</v>
      </c>
      <c r="P16" s="195">
        <f t="shared" si="3"/>
        <v>1157.625</v>
      </c>
      <c r="Q16" s="196">
        <f>'Program Budget'!R152</f>
        <v>0</v>
      </c>
      <c r="R16" s="199">
        <f>'Program Budget'!Q152</f>
        <v>0</v>
      </c>
      <c r="S16" s="198">
        <f t="shared" si="4"/>
        <v>0</v>
      </c>
      <c r="T16" s="333">
        <f t="shared" si="10"/>
        <v>0</v>
      </c>
      <c r="U16" s="201"/>
      <c r="V16" s="188"/>
      <c r="W16" s="202"/>
      <c r="X16" s="202"/>
      <c r="AB16" s="163"/>
      <c r="AC16" s="203"/>
      <c r="AD16" s="203"/>
      <c r="AE16" s="204"/>
      <c r="AG16" s="205"/>
    </row>
    <row r="17" spans="1:33" ht="15" customHeight="1" outlineLevel="1">
      <c r="A17" s="193" t="str">
        <f>'Program Budget'!D154</f>
        <v>Complementary Crops Field Officer</v>
      </c>
      <c r="B17" s="194" t="str">
        <f>'Program Budget'!F153</f>
        <v>Month</v>
      </c>
      <c r="C17" s="198">
        <f>'Program Budget'!E154</f>
        <v>0</v>
      </c>
      <c r="D17" s="195">
        <f>'Program Budget'!G153</f>
        <v>2833.3333333333335</v>
      </c>
      <c r="E17" s="196">
        <f>'Program Budget'!I153</f>
        <v>12</v>
      </c>
      <c r="F17" s="199">
        <f>'Program Budget'!H153</f>
        <v>0</v>
      </c>
      <c r="G17" s="198">
        <f t="shared" si="8"/>
        <v>0</v>
      </c>
      <c r="H17" s="195">
        <f t="shared" si="0"/>
        <v>2975.0000000000005</v>
      </c>
      <c r="I17" s="196">
        <f>'Program Budget'!L153</f>
        <v>12</v>
      </c>
      <c r="J17" s="199">
        <f>'Program Budget'!K153</f>
        <v>0</v>
      </c>
      <c r="K17" s="198">
        <f t="shared" si="9"/>
        <v>0</v>
      </c>
      <c r="L17" s="195">
        <f t="shared" si="1"/>
        <v>3123.7500000000005</v>
      </c>
      <c r="M17" s="196">
        <f>'Program Budget'!O153</f>
        <v>12</v>
      </c>
      <c r="N17" s="199">
        <f>'Program Budget'!N152</f>
        <v>0</v>
      </c>
      <c r="O17" s="198">
        <f t="shared" si="2"/>
        <v>0</v>
      </c>
      <c r="P17" s="195">
        <f t="shared" si="3"/>
        <v>3279.9375000000005</v>
      </c>
      <c r="Q17" s="196">
        <f>'Program Budget'!R153</f>
        <v>0</v>
      </c>
      <c r="R17" s="199">
        <f>'Program Budget'!Q153</f>
        <v>0</v>
      </c>
      <c r="S17" s="198">
        <f t="shared" si="4"/>
        <v>0</v>
      </c>
      <c r="T17" s="333">
        <f t="shared" si="10"/>
        <v>0</v>
      </c>
      <c r="U17" s="201"/>
      <c r="V17" s="188"/>
      <c r="W17" s="202"/>
      <c r="X17" s="202"/>
      <c r="AB17" s="163">
        <v>180</v>
      </c>
      <c r="AC17" s="203" t="s">
        <v>547</v>
      </c>
      <c r="AD17" s="203" t="s">
        <v>548</v>
      </c>
      <c r="AE17" s="204"/>
      <c r="AG17" s="205"/>
    </row>
    <row r="18" spans="1:33" ht="15" customHeight="1" outlineLevel="1">
      <c r="A18" s="193" t="str">
        <f>'Program Budget'!D155</f>
        <v>EPSEAS Specialist</v>
      </c>
      <c r="B18" s="194" t="str">
        <f>'Program Budget'!F154</f>
        <v>Month</v>
      </c>
      <c r="C18" s="198">
        <f>'Program Budget'!E155</f>
        <v>0</v>
      </c>
      <c r="D18" s="195">
        <f>'Program Budget'!G154</f>
        <v>0</v>
      </c>
      <c r="E18" s="196">
        <f>'Program Budget'!I154</f>
        <v>0</v>
      </c>
      <c r="F18" s="199">
        <f>'Program Budget'!H154</f>
        <v>0</v>
      </c>
      <c r="G18" s="198">
        <f t="shared" ref="G18:G19" si="11">D18*E18*F18</f>
        <v>0</v>
      </c>
      <c r="H18" s="195">
        <f t="shared" si="0"/>
        <v>0</v>
      </c>
      <c r="I18" s="196">
        <f>'Program Budget'!L154</f>
        <v>12</v>
      </c>
      <c r="J18" s="199">
        <f>'Program Budget'!K154</f>
        <v>0</v>
      </c>
      <c r="K18" s="198">
        <f t="shared" ref="K18:K19" si="12">H18*I18*J18</f>
        <v>0</v>
      </c>
      <c r="L18" s="195">
        <f t="shared" si="1"/>
        <v>0</v>
      </c>
      <c r="M18" s="196">
        <f>'Program Budget'!O154</f>
        <v>12</v>
      </c>
      <c r="N18" s="199">
        <f>'Program Budget'!N153</f>
        <v>0</v>
      </c>
      <c r="O18" s="198">
        <f t="shared" si="2"/>
        <v>0</v>
      </c>
      <c r="P18" s="195">
        <f t="shared" si="3"/>
        <v>0</v>
      </c>
      <c r="Q18" s="196">
        <f>'Program Budget'!R154</f>
        <v>0</v>
      </c>
      <c r="R18" s="199">
        <f>'Program Budget'!Q154</f>
        <v>0</v>
      </c>
      <c r="S18" s="198">
        <f t="shared" si="4"/>
        <v>0</v>
      </c>
      <c r="T18" s="333">
        <f t="shared" ref="T18:T19" si="13">C18+G18+K18+O18+S18</f>
        <v>0</v>
      </c>
      <c r="U18" s="201"/>
      <c r="V18" s="188"/>
      <c r="W18" s="202"/>
      <c r="X18" s="202"/>
      <c r="AB18" s="163">
        <v>180</v>
      </c>
      <c r="AC18" s="203" t="s">
        <v>547</v>
      </c>
      <c r="AD18" s="203" t="s">
        <v>548</v>
      </c>
      <c r="AE18" s="204"/>
      <c r="AG18" s="205"/>
    </row>
    <row r="19" spans="1:33" ht="15" customHeight="1" outlineLevel="1">
      <c r="A19" s="193" t="str">
        <f>'Program Budget'!D156</f>
        <v>Extension Agents for EPSEAS (20 in Y6 and 25 in Y7)</v>
      </c>
      <c r="B19" s="194" t="str">
        <f>'Program Budget'!F155</f>
        <v>Month</v>
      </c>
      <c r="C19" s="198">
        <f>'Program Budget'!E156</f>
        <v>0</v>
      </c>
      <c r="D19" s="195">
        <f>'Program Budget'!G155</f>
        <v>0</v>
      </c>
      <c r="E19" s="196">
        <f>'Program Budget'!I155</f>
        <v>0</v>
      </c>
      <c r="F19" s="199">
        <f>'Program Budget'!H155</f>
        <v>0</v>
      </c>
      <c r="G19" s="198">
        <f t="shared" si="11"/>
        <v>0</v>
      </c>
      <c r="H19" s="195">
        <f t="shared" si="0"/>
        <v>0</v>
      </c>
      <c r="I19" s="196">
        <f>'Program Budget'!L155</f>
        <v>12</v>
      </c>
      <c r="J19" s="199">
        <f>'Program Budget'!K155</f>
        <v>0</v>
      </c>
      <c r="K19" s="198">
        <f t="shared" si="12"/>
        <v>0</v>
      </c>
      <c r="L19" s="195">
        <f t="shared" si="1"/>
        <v>0</v>
      </c>
      <c r="M19" s="196">
        <f>'Program Budget'!O155</f>
        <v>12</v>
      </c>
      <c r="N19" s="199">
        <f>'Program Budget'!N154</f>
        <v>0</v>
      </c>
      <c r="O19" s="198">
        <f t="shared" si="2"/>
        <v>0</v>
      </c>
      <c r="P19" s="195">
        <f t="shared" si="3"/>
        <v>0</v>
      </c>
      <c r="Q19" s="196">
        <f>'Program Budget'!R155</f>
        <v>0</v>
      </c>
      <c r="R19" s="199">
        <f>'Program Budget'!Q155</f>
        <v>0</v>
      </c>
      <c r="S19" s="198">
        <f t="shared" si="4"/>
        <v>0</v>
      </c>
      <c r="T19" s="333">
        <f t="shared" si="13"/>
        <v>0</v>
      </c>
      <c r="U19" s="201"/>
      <c r="V19" s="188"/>
      <c r="W19" s="202"/>
      <c r="X19" s="202"/>
      <c r="AB19" s="163"/>
      <c r="AC19" s="203"/>
      <c r="AD19" s="203"/>
      <c r="AE19" s="204"/>
      <c r="AG19" s="205"/>
    </row>
    <row r="20" spans="1:33" ht="15" customHeight="1" outlineLevel="1">
      <c r="A20" s="193" t="str">
        <f>'Program Budget'!D157</f>
        <v xml:space="preserve">Senior M&amp;E Director </v>
      </c>
      <c r="B20" s="194" t="str">
        <f>'Program Budget'!F156</f>
        <v>Month</v>
      </c>
      <c r="C20" s="198">
        <f>'Program Budget'!E157</f>
        <v>0</v>
      </c>
      <c r="D20" s="195">
        <f>'Program Budget'!G156</f>
        <v>1000</v>
      </c>
      <c r="E20" s="196">
        <f>'Program Budget'!I156</f>
        <v>0</v>
      </c>
      <c r="F20" s="199">
        <f>'Program Budget'!H156</f>
        <v>0</v>
      </c>
      <c r="G20" s="198">
        <f t="shared" ref="G20:G21" si="14">D20*E20*F20</f>
        <v>0</v>
      </c>
      <c r="H20" s="195">
        <f t="shared" si="0"/>
        <v>1050</v>
      </c>
      <c r="I20" s="196">
        <f>'Program Budget'!L156</f>
        <v>12</v>
      </c>
      <c r="J20" s="199">
        <f>'Program Budget'!K156</f>
        <v>0</v>
      </c>
      <c r="K20" s="198">
        <f t="shared" ref="K20:K21" si="15">H20*I20*J20</f>
        <v>0</v>
      </c>
      <c r="L20" s="195">
        <f t="shared" si="1"/>
        <v>1102.5</v>
      </c>
      <c r="M20" s="196">
        <f>'Program Budget'!O156</f>
        <v>12</v>
      </c>
      <c r="N20" s="199">
        <f>'Program Budget'!N155</f>
        <v>0</v>
      </c>
      <c r="O20" s="198">
        <f t="shared" si="2"/>
        <v>0</v>
      </c>
      <c r="P20" s="195">
        <f t="shared" si="3"/>
        <v>1157.625</v>
      </c>
      <c r="Q20" s="196">
        <f>'Program Budget'!R156</f>
        <v>0</v>
      </c>
      <c r="R20" s="199">
        <f>'Program Budget'!Q156</f>
        <v>0</v>
      </c>
      <c r="S20" s="198">
        <f t="shared" si="4"/>
        <v>0</v>
      </c>
      <c r="T20" s="333">
        <f t="shared" ref="T20:T21" si="16">C20+G20+K20+O20+S20</f>
        <v>0</v>
      </c>
      <c r="U20" s="201"/>
      <c r="V20" s="188"/>
      <c r="W20" s="202"/>
      <c r="X20" s="202"/>
      <c r="AB20" s="163"/>
      <c r="AC20" s="203"/>
      <c r="AD20" s="203"/>
      <c r="AE20" s="204"/>
      <c r="AG20" s="205"/>
    </row>
    <row r="21" spans="1:33" ht="15" customHeight="1" outlineLevel="1">
      <c r="A21" s="193" t="str">
        <f>'Program Budget'!D158</f>
        <v>Senior M&amp;E Specialist</v>
      </c>
      <c r="B21" s="194" t="str">
        <f>'Program Budget'!F157</f>
        <v>Month</v>
      </c>
      <c r="C21" s="198">
        <f>'Program Budget'!E158</f>
        <v>0</v>
      </c>
      <c r="D21" s="195">
        <f>'Program Budget'!G157</f>
        <v>6250</v>
      </c>
      <c r="E21" s="196">
        <f>'Program Budget'!I157</f>
        <v>12</v>
      </c>
      <c r="F21" s="199">
        <f>'Program Budget'!H157</f>
        <v>0</v>
      </c>
      <c r="G21" s="198">
        <f t="shared" si="14"/>
        <v>0</v>
      </c>
      <c r="H21" s="195">
        <f t="shared" si="0"/>
        <v>6562.5</v>
      </c>
      <c r="I21" s="196">
        <f>'Program Budget'!L157</f>
        <v>12</v>
      </c>
      <c r="J21" s="199">
        <f>'Program Budget'!K157</f>
        <v>0</v>
      </c>
      <c r="K21" s="198">
        <f t="shared" si="15"/>
        <v>0</v>
      </c>
      <c r="L21" s="195">
        <f t="shared" si="1"/>
        <v>6890.625</v>
      </c>
      <c r="M21" s="196">
        <f>'Program Budget'!O157</f>
        <v>12</v>
      </c>
      <c r="N21" s="199">
        <f>'Program Budget'!N156</f>
        <v>0</v>
      </c>
      <c r="O21" s="198">
        <f t="shared" si="2"/>
        <v>0</v>
      </c>
      <c r="P21" s="195">
        <f t="shared" si="3"/>
        <v>7235.15625</v>
      </c>
      <c r="Q21" s="196">
        <f>'Program Budget'!R157</f>
        <v>6</v>
      </c>
      <c r="R21" s="199">
        <f>'Program Budget'!Q157</f>
        <v>0</v>
      </c>
      <c r="S21" s="198">
        <f t="shared" si="4"/>
        <v>0</v>
      </c>
      <c r="T21" s="333">
        <f t="shared" si="16"/>
        <v>0</v>
      </c>
      <c r="U21" s="201"/>
      <c r="V21" s="188"/>
      <c r="W21" s="202"/>
      <c r="X21" s="202"/>
      <c r="AB21" s="163">
        <v>180</v>
      </c>
      <c r="AC21" s="203" t="s">
        <v>547</v>
      </c>
      <c r="AD21" s="203" t="s">
        <v>548</v>
      </c>
      <c r="AE21" s="204"/>
      <c r="AG21" s="205"/>
    </row>
    <row r="22" spans="1:33" ht="15" customHeight="1" outlineLevel="1">
      <c r="A22" s="193" t="str">
        <f>'Program Budget'!D159</f>
        <v>M&amp;E Specialist</v>
      </c>
      <c r="B22" s="194" t="str">
        <f>'Program Budget'!F158</f>
        <v>Month</v>
      </c>
      <c r="C22" s="198">
        <f>'Program Budget'!E159</f>
        <v>6230.78</v>
      </c>
      <c r="D22" s="195">
        <f>'Program Budget'!G158</f>
        <v>2833.3333333333335</v>
      </c>
      <c r="E22" s="196">
        <f>'Program Budget'!I158</f>
        <v>12</v>
      </c>
      <c r="F22" s="199">
        <f>'Program Budget'!H158</f>
        <v>0</v>
      </c>
      <c r="G22" s="198">
        <f t="shared" ref="G22:G29" si="17">D22*E22*F22</f>
        <v>0</v>
      </c>
      <c r="H22" s="195">
        <f t="shared" si="0"/>
        <v>2975.0000000000005</v>
      </c>
      <c r="I22" s="196">
        <f>'Program Budget'!L158</f>
        <v>12</v>
      </c>
      <c r="J22" s="199">
        <f>'Program Budget'!K158</f>
        <v>0</v>
      </c>
      <c r="K22" s="198">
        <f t="shared" ref="K22:K29" si="18">H22*I22*J22</f>
        <v>0</v>
      </c>
      <c r="L22" s="195">
        <f t="shared" si="1"/>
        <v>3123.7500000000005</v>
      </c>
      <c r="M22" s="196">
        <f>'Program Budget'!O158</f>
        <v>12</v>
      </c>
      <c r="N22" s="199">
        <f>'Program Budget'!N157</f>
        <v>0</v>
      </c>
      <c r="O22" s="198">
        <f t="shared" si="2"/>
        <v>0</v>
      </c>
      <c r="P22" s="195">
        <f t="shared" si="3"/>
        <v>3279.9375000000005</v>
      </c>
      <c r="Q22" s="196">
        <f>'Program Budget'!R158</f>
        <v>6</v>
      </c>
      <c r="R22" s="199">
        <f>'Program Budget'!Q158</f>
        <v>0</v>
      </c>
      <c r="S22" s="198">
        <f t="shared" si="4"/>
        <v>0</v>
      </c>
      <c r="T22" s="333">
        <f t="shared" ref="T22:T29" si="19">C22+G22+K22+O22+S22</f>
        <v>6230.78</v>
      </c>
      <c r="U22" s="201"/>
      <c r="V22" s="188"/>
      <c r="W22" s="202"/>
      <c r="X22" s="202"/>
      <c r="AB22" s="163"/>
      <c r="AC22" s="203"/>
      <c r="AD22" s="203"/>
      <c r="AE22" s="204"/>
      <c r="AG22" s="205"/>
    </row>
    <row r="23" spans="1:33" ht="15" customHeight="1" outlineLevel="1">
      <c r="A23" s="193" t="str">
        <f>'Program Budget'!D160</f>
        <v>M&amp;E Officer</v>
      </c>
      <c r="B23" s="194" t="str">
        <f>'Program Budget'!F159</f>
        <v>Month</v>
      </c>
      <c r="C23" s="198">
        <f>'Program Budget'!E160</f>
        <v>4230.7700000000004</v>
      </c>
      <c r="D23" s="195">
        <f>'Program Budget'!G159</f>
        <v>2500</v>
      </c>
      <c r="E23" s="196">
        <f>'Program Budget'!I159</f>
        <v>12</v>
      </c>
      <c r="F23" s="199">
        <f>'Program Budget'!H159</f>
        <v>0</v>
      </c>
      <c r="G23" s="198">
        <f t="shared" si="17"/>
        <v>0</v>
      </c>
      <c r="H23" s="195">
        <f t="shared" si="0"/>
        <v>2625</v>
      </c>
      <c r="I23" s="196">
        <f>'Program Budget'!L159</f>
        <v>12</v>
      </c>
      <c r="J23" s="199">
        <f>'Program Budget'!K159</f>
        <v>0</v>
      </c>
      <c r="K23" s="198">
        <f t="shared" si="18"/>
        <v>0</v>
      </c>
      <c r="L23" s="195">
        <f t="shared" si="1"/>
        <v>2756.25</v>
      </c>
      <c r="M23" s="196">
        <f>'Program Budget'!O159</f>
        <v>12</v>
      </c>
      <c r="N23" s="199">
        <f>'Program Budget'!N158</f>
        <v>0</v>
      </c>
      <c r="O23" s="198">
        <f t="shared" si="2"/>
        <v>0</v>
      </c>
      <c r="P23" s="195">
        <f t="shared" si="3"/>
        <v>2894.0625</v>
      </c>
      <c r="Q23" s="196">
        <f>'Program Budget'!R159</f>
        <v>3</v>
      </c>
      <c r="R23" s="199">
        <f>'Program Budget'!Q159</f>
        <v>0</v>
      </c>
      <c r="S23" s="198">
        <f t="shared" si="4"/>
        <v>0</v>
      </c>
      <c r="T23" s="333">
        <f t="shared" si="19"/>
        <v>4230.7700000000004</v>
      </c>
      <c r="U23" s="201"/>
      <c r="V23" s="188"/>
      <c r="W23" s="202"/>
      <c r="X23" s="202"/>
      <c r="AB23" s="163"/>
      <c r="AC23" s="203"/>
      <c r="AD23" s="203"/>
      <c r="AE23" s="204"/>
      <c r="AG23" s="205"/>
    </row>
    <row r="24" spans="1:33" ht="15" customHeight="1" outlineLevel="1">
      <c r="A24" s="193" t="str">
        <f>'Program Budget'!D161</f>
        <v>Partnerships and Investment Director</v>
      </c>
      <c r="B24" s="194" t="str">
        <f>'Program Budget'!F160</f>
        <v>Month</v>
      </c>
      <c r="C24" s="198">
        <f>'Program Budget'!E161</f>
        <v>17435.93</v>
      </c>
      <c r="D24" s="195">
        <f>'Program Budget'!G160</f>
        <v>1000</v>
      </c>
      <c r="E24" s="196">
        <f>'Program Budget'!I160</f>
        <v>12</v>
      </c>
      <c r="F24" s="199">
        <f>'Program Budget'!H160</f>
        <v>0</v>
      </c>
      <c r="G24" s="198">
        <f t="shared" si="17"/>
        <v>0</v>
      </c>
      <c r="H24" s="195">
        <f t="shared" si="0"/>
        <v>1050</v>
      </c>
      <c r="I24" s="196">
        <f>'Program Budget'!L160</f>
        <v>12</v>
      </c>
      <c r="J24" s="199">
        <f>'Program Budget'!K160</f>
        <v>0</v>
      </c>
      <c r="K24" s="198">
        <f t="shared" si="18"/>
        <v>0</v>
      </c>
      <c r="L24" s="195">
        <f t="shared" si="1"/>
        <v>1102.5</v>
      </c>
      <c r="M24" s="196">
        <f>'Program Budget'!O160</f>
        <v>12</v>
      </c>
      <c r="N24" s="199">
        <f>'Program Budget'!N159</f>
        <v>0</v>
      </c>
      <c r="O24" s="198">
        <f t="shared" si="2"/>
        <v>0</v>
      </c>
      <c r="P24" s="195">
        <f t="shared" si="3"/>
        <v>1157.625</v>
      </c>
      <c r="Q24" s="196">
        <f>'Program Budget'!R160</f>
        <v>3</v>
      </c>
      <c r="R24" s="199">
        <f>'Program Budget'!Q160</f>
        <v>0</v>
      </c>
      <c r="S24" s="198">
        <f t="shared" si="4"/>
        <v>0</v>
      </c>
      <c r="T24" s="333">
        <f t="shared" si="19"/>
        <v>17435.93</v>
      </c>
      <c r="U24" s="201"/>
      <c r="V24" s="188"/>
      <c r="W24" s="202"/>
      <c r="X24" s="202"/>
      <c r="AB24" s="163">
        <v>180</v>
      </c>
      <c r="AC24" s="203" t="s">
        <v>547</v>
      </c>
      <c r="AD24" s="203" t="s">
        <v>548</v>
      </c>
      <c r="AE24" s="204"/>
      <c r="AG24" s="205"/>
    </row>
    <row r="25" spans="1:33" ht="15" customHeight="1" outlineLevel="1">
      <c r="A25" s="193" t="str">
        <f>'Program Budget'!D162</f>
        <v>Partnerships and Investment Specialist</v>
      </c>
      <c r="B25" s="194" t="str">
        <f>'Program Budget'!F161</f>
        <v>Month</v>
      </c>
      <c r="C25" s="198">
        <f>'Program Budget'!E162</f>
        <v>0</v>
      </c>
      <c r="D25" s="195">
        <f>'Program Budget'!G161</f>
        <v>4583.333333333333</v>
      </c>
      <c r="E25" s="196">
        <f>'Program Budget'!I161</f>
        <v>12</v>
      </c>
      <c r="F25" s="199">
        <f>'Program Budget'!H161</f>
        <v>0</v>
      </c>
      <c r="G25" s="198">
        <f t="shared" si="17"/>
        <v>0</v>
      </c>
      <c r="H25" s="195">
        <f t="shared" si="0"/>
        <v>4812.5</v>
      </c>
      <c r="I25" s="196">
        <f>'Program Budget'!L161</f>
        <v>12</v>
      </c>
      <c r="J25" s="199">
        <f>'Program Budget'!K161</f>
        <v>0</v>
      </c>
      <c r="K25" s="198">
        <f t="shared" si="18"/>
        <v>0</v>
      </c>
      <c r="L25" s="195">
        <f t="shared" si="1"/>
        <v>5053.125</v>
      </c>
      <c r="M25" s="196">
        <f>'Program Budget'!O161</f>
        <v>12</v>
      </c>
      <c r="N25" s="199">
        <f>'Program Budget'!N160</f>
        <v>0</v>
      </c>
      <c r="O25" s="198">
        <f t="shared" si="2"/>
        <v>0</v>
      </c>
      <c r="P25" s="195">
        <f t="shared" si="3"/>
        <v>5305.78125</v>
      </c>
      <c r="Q25" s="196">
        <f>'Program Budget'!R161</f>
        <v>0</v>
      </c>
      <c r="R25" s="199">
        <f>'Program Budget'!Q161</f>
        <v>0</v>
      </c>
      <c r="S25" s="198">
        <f t="shared" si="4"/>
        <v>0</v>
      </c>
      <c r="T25" s="333">
        <f t="shared" si="19"/>
        <v>0</v>
      </c>
      <c r="U25" s="201"/>
      <c r="V25" s="188"/>
      <c r="W25" s="202"/>
      <c r="X25" s="202"/>
      <c r="AB25" s="163">
        <v>180</v>
      </c>
      <c r="AC25" s="203" t="s">
        <v>547</v>
      </c>
      <c r="AD25" s="203" t="s">
        <v>548</v>
      </c>
      <c r="AE25" s="204"/>
      <c r="AG25" s="205"/>
    </row>
    <row r="26" spans="1:33" ht="15" customHeight="1" outlineLevel="1">
      <c r="A26" s="193" t="str">
        <f>'Program Budget'!D163</f>
        <v>Organizational Strengthening Specialist</v>
      </c>
      <c r="B26" s="194" t="str">
        <f>'Program Budget'!F162</f>
        <v>Month</v>
      </c>
      <c r="C26" s="198">
        <f>'Program Budget'!E163</f>
        <v>0</v>
      </c>
      <c r="D26" s="195">
        <f>'Program Budget'!G162</f>
        <v>1750</v>
      </c>
      <c r="E26" s="196">
        <f>'Program Budget'!I162</f>
        <v>12</v>
      </c>
      <c r="F26" s="199">
        <f>'Program Budget'!H162</f>
        <v>0</v>
      </c>
      <c r="G26" s="198">
        <f t="shared" si="17"/>
        <v>0</v>
      </c>
      <c r="H26" s="195">
        <f t="shared" si="0"/>
        <v>1837.5</v>
      </c>
      <c r="I26" s="196">
        <f>'Program Budget'!L162</f>
        <v>12</v>
      </c>
      <c r="J26" s="199">
        <f>'Program Budget'!K162</f>
        <v>0</v>
      </c>
      <c r="K26" s="198">
        <f t="shared" si="18"/>
        <v>0</v>
      </c>
      <c r="L26" s="195">
        <f t="shared" si="1"/>
        <v>1929.375</v>
      </c>
      <c r="M26" s="196">
        <f>'Program Budget'!O162</f>
        <v>12</v>
      </c>
      <c r="N26" s="199">
        <f>'Program Budget'!N161</f>
        <v>0</v>
      </c>
      <c r="O26" s="198">
        <f t="shared" si="2"/>
        <v>0</v>
      </c>
      <c r="P26" s="195">
        <f t="shared" si="3"/>
        <v>2025.84375</v>
      </c>
      <c r="Q26" s="196">
        <f>'Program Budget'!R162</f>
        <v>0</v>
      </c>
      <c r="R26" s="199">
        <f>'Program Budget'!Q162</f>
        <v>0</v>
      </c>
      <c r="S26" s="198">
        <f t="shared" si="4"/>
        <v>0</v>
      </c>
      <c r="T26" s="333">
        <f t="shared" si="19"/>
        <v>0</v>
      </c>
      <c r="U26" s="201"/>
      <c r="V26" s="188"/>
      <c r="W26" s="202"/>
      <c r="X26" s="202"/>
      <c r="AB26" s="163"/>
      <c r="AC26" s="203"/>
      <c r="AD26" s="203"/>
      <c r="AE26" s="204"/>
      <c r="AG26" s="205"/>
    </row>
    <row r="27" spans="1:33" ht="15" customHeight="1" outlineLevel="1">
      <c r="A27" s="193" t="str">
        <f>'Program Budget'!D164</f>
        <v>Value Chain Strengthening Director</v>
      </c>
      <c r="B27" s="194" t="str">
        <f>'Program Budget'!F163</f>
        <v>Month</v>
      </c>
      <c r="C27" s="198">
        <f>'Program Budget'!E164</f>
        <v>0</v>
      </c>
      <c r="D27" s="195">
        <f>'Program Budget'!G163</f>
        <v>1750</v>
      </c>
      <c r="E27" s="196">
        <f>'Program Budget'!I163</f>
        <v>12</v>
      </c>
      <c r="F27" s="199">
        <f>'Program Budget'!H163</f>
        <v>0</v>
      </c>
      <c r="G27" s="198">
        <f t="shared" si="17"/>
        <v>0</v>
      </c>
      <c r="H27" s="195">
        <f t="shared" si="0"/>
        <v>1837.5</v>
      </c>
      <c r="I27" s="196">
        <f>'Program Budget'!L163</f>
        <v>12</v>
      </c>
      <c r="J27" s="199">
        <f>'Program Budget'!K163</f>
        <v>0</v>
      </c>
      <c r="K27" s="198">
        <f t="shared" si="18"/>
        <v>0</v>
      </c>
      <c r="L27" s="195">
        <f t="shared" si="1"/>
        <v>1929.375</v>
      </c>
      <c r="M27" s="196">
        <f>'Program Budget'!O163</f>
        <v>12</v>
      </c>
      <c r="N27" s="199">
        <f>'Program Budget'!N162</f>
        <v>0</v>
      </c>
      <c r="O27" s="198">
        <f t="shared" si="2"/>
        <v>0</v>
      </c>
      <c r="P27" s="195">
        <f t="shared" si="3"/>
        <v>2025.84375</v>
      </c>
      <c r="Q27" s="196">
        <f>'Program Budget'!R163</f>
        <v>0</v>
      </c>
      <c r="R27" s="199">
        <f>'Program Budget'!Q163</f>
        <v>0</v>
      </c>
      <c r="S27" s="198">
        <f t="shared" si="4"/>
        <v>0</v>
      </c>
      <c r="T27" s="333">
        <f t="shared" si="19"/>
        <v>0</v>
      </c>
      <c r="U27" s="201"/>
      <c r="V27" s="188"/>
      <c r="W27" s="202"/>
      <c r="X27" s="202"/>
      <c r="AB27" s="163"/>
      <c r="AC27" s="203"/>
      <c r="AD27" s="203"/>
      <c r="AE27" s="204"/>
      <c r="AG27" s="205"/>
    </row>
    <row r="28" spans="1:33" ht="15" customHeight="1" outlineLevel="1">
      <c r="A28" s="193" t="str">
        <f>'Program Budget'!D165</f>
        <v>Communications Specialist</v>
      </c>
      <c r="B28" s="194" t="str">
        <f>'Program Budget'!F164</f>
        <v>Month</v>
      </c>
      <c r="C28" s="198">
        <f>'Program Budget'!E165</f>
        <v>0</v>
      </c>
      <c r="D28" s="195">
        <f>'Program Budget'!G164</f>
        <v>0</v>
      </c>
      <c r="E28" s="196">
        <f>'Program Budget'!I164</f>
        <v>12</v>
      </c>
      <c r="F28" s="199">
        <f>'Program Budget'!H164</f>
        <v>0</v>
      </c>
      <c r="G28" s="198">
        <f t="shared" si="17"/>
        <v>0</v>
      </c>
      <c r="H28" s="195">
        <f t="shared" si="0"/>
        <v>0</v>
      </c>
      <c r="I28" s="196">
        <f>'Program Budget'!L164</f>
        <v>12</v>
      </c>
      <c r="J28" s="199">
        <f>'Program Budget'!K164</f>
        <v>0</v>
      </c>
      <c r="K28" s="198">
        <f t="shared" si="18"/>
        <v>0</v>
      </c>
      <c r="L28" s="195">
        <f t="shared" si="1"/>
        <v>0</v>
      </c>
      <c r="M28" s="196">
        <f>'Program Budget'!O164</f>
        <v>12</v>
      </c>
      <c r="N28" s="199">
        <f>'Program Budget'!N163</f>
        <v>0</v>
      </c>
      <c r="O28" s="198">
        <f t="shared" si="2"/>
        <v>0</v>
      </c>
      <c r="P28" s="195">
        <f t="shared" si="3"/>
        <v>0</v>
      </c>
      <c r="Q28" s="196">
        <f>'Program Budget'!R164</f>
        <v>4</v>
      </c>
      <c r="R28" s="199">
        <f>'Program Budget'!Q164</f>
        <v>0</v>
      </c>
      <c r="S28" s="198">
        <f t="shared" si="4"/>
        <v>0</v>
      </c>
      <c r="T28" s="333">
        <f t="shared" si="19"/>
        <v>0</v>
      </c>
      <c r="U28" s="201"/>
      <c r="V28" s="188"/>
      <c r="W28" s="202"/>
      <c r="X28" s="202"/>
      <c r="AB28" s="163">
        <v>180</v>
      </c>
      <c r="AC28" s="203" t="s">
        <v>547</v>
      </c>
      <c r="AD28" s="203" t="s">
        <v>548</v>
      </c>
      <c r="AE28" s="204"/>
      <c r="AG28" s="205"/>
    </row>
    <row r="29" spans="1:33" ht="15" customHeight="1" outlineLevel="1">
      <c r="A29" s="193" t="str">
        <f>'Program Budget'!D166</f>
        <v>Value Chain Specialist</v>
      </c>
      <c r="B29" s="194" t="str">
        <f>'Program Budget'!F165</f>
        <v>Month</v>
      </c>
      <c r="C29" s="198">
        <f>'Program Budget'!E166</f>
        <v>0</v>
      </c>
      <c r="D29" s="195">
        <f>'Program Budget'!G165</f>
        <v>1750</v>
      </c>
      <c r="E29" s="196">
        <f>'Program Budget'!I165</f>
        <v>12</v>
      </c>
      <c r="F29" s="199">
        <f>'Program Budget'!H165</f>
        <v>0</v>
      </c>
      <c r="G29" s="198">
        <f t="shared" si="17"/>
        <v>0</v>
      </c>
      <c r="H29" s="195">
        <f t="shared" si="0"/>
        <v>1837.5</v>
      </c>
      <c r="I29" s="196">
        <f>'Program Budget'!L165</f>
        <v>12</v>
      </c>
      <c r="J29" s="199">
        <f>'Program Budget'!K165</f>
        <v>0</v>
      </c>
      <c r="K29" s="198">
        <f t="shared" si="18"/>
        <v>0</v>
      </c>
      <c r="L29" s="195">
        <f t="shared" si="1"/>
        <v>1929.375</v>
      </c>
      <c r="M29" s="196">
        <f>'Program Budget'!O165</f>
        <v>12</v>
      </c>
      <c r="N29" s="199">
        <f>'Program Budget'!N164</f>
        <v>0</v>
      </c>
      <c r="O29" s="198">
        <f t="shared" si="2"/>
        <v>0</v>
      </c>
      <c r="P29" s="195">
        <f t="shared" si="3"/>
        <v>2025.84375</v>
      </c>
      <c r="Q29" s="196">
        <f>'Program Budget'!R165</f>
        <v>0</v>
      </c>
      <c r="R29" s="199">
        <f>'Program Budget'!Q165</f>
        <v>0</v>
      </c>
      <c r="S29" s="198">
        <f t="shared" si="4"/>
        <v>0</v>
      </c>
      <c r="T29" s="333">
        <f t="shared" si="19"/>
        <v>0</v>
      </c>
      <c r="U29" s="201"/>
      <c r="V29" s="188"/>
      <c r="W29" s="202"/>
      <c r="X29" s="202"/>
      <c r="AB29" s="163">
        <v>180</v>
      </c>
      <c r="AC29" s="203" t="s">
        <v>547</v>
      </c>
      <c r="AD29" s="203" t="s">
        <v>548</v>
      </c>
      <c r="AE29" s="204"/>
      <c r="AG29" s="205"/>
    </row>
    <row r="30" spans="1:33" ht="15" customHeight="1" outlineLevel="1">
      <c r="A30" s="193" t="str">
        <f>'Program Budget'!D167</f>
        <v>Contracts &amp; Compliance Director</v>
      </c>
      <c r="B30" s="194" t="str">
        <f>'Program Budget'!F166</f>
        <v>Month</v>
      </c>
      <c r="C30" s="198">
        <f>'Program Budget'!E167</f>
        <v>5692.33</v>
      </c>
      <c r="D30" s="195">
        <f>'Program Budget'!G166</f>
        <v>2500</v>
      </c>
      <c r="E30" s="196">
        <f>'Program Budget'!I166</f>
        <v>12</v>
      </c>
      <c r="F30" s="199">
        <f>'Program Budget'!H166</f>
        <v>0</v>
      </c>
      <c r="G30" s="198">
        <f t="shared" si="8"/>
        <v>0</v>
      </c>
      <c r="H30" s="195">
        <f t="shared" si="0"/>
        <v>2625</v>
      </c>
      <c r="I30" s="196">
        <f>'Program Budget'!L166</f>
        <v>12</v>
      </c>
      <c r="J30" s="199">
        <f>'Program Budget'!K166</f>
        <v>0</v>
      </c>
      <c r="K30" s="198">
        <f t="shared" si="9"/>
        <v>0</v>
      </c>
      <c r="L30" s="195">
        <f t="shared" si="1"/>
        <v>2756.25</v>
      </c>
      <c r="M30" s="196">
        <f>'Program Budget'!O166</f>
        <v>12</v>
      </c>
      <c r="N30" s="199">
        <f>'Program Budget'!N165</f>
        <v>0</v>
      </c>
      <c r="O30" s="198">
        <f t="shared" si="2"/>
        <v>0</v>
      </c>
      <c r="P30" s="195">
        <f t="shared" si="3"/>
        <v>2894.0625</v>
      </c>
      <c r="Q30" s="196">
        <f>'Program Budget'!R166</f>
        <v>0</v>
      </c>
      <c r="R30" s="199">
        <f>'Program Budget'!Q166</f>
        <v>0</v>
      </c>
      <c r="S30" s="198">
        <f t="shared" si="4"/>
        <v>0</v>
      </c>
      <c r="T30" s="333">
        <f t="shared" si="10"/>
        <v>5692.33</v>
      </c>
      <c r="U30" s="201"/>
      <c r="V30" s="188"/>
      <c r="W30" s="202"/>
      <c r="X30" s="202"/>
      <c r="AB30" s="163"/>
      <c r="AC30" s="203"/>
      <c r="AD30" s="203"/>
      <c r="AE30" s="204"/>
      <c r="AG30" s="205"/>
    </row>
    <row r="31" spans="1:33" ht="15" customHeight="1" outlineLevel="1">
      <c r="A31" s="193" t="str">
        <f>'Program Budget'!D168</f>
        <v>Grants &amp; Procurement Specialist (2)</v>
      </c>
      <c r="B31" s="194" t="str">
        <f>'Program Budget'!F167</f>
        <v>Month</v>
      </c>
      <c r="C31" s="198">
        <f>'Program Budget'!E168</f>
        <v>0</v>
      </c>
      <c r="D31" s="195">
        <f>'Program Budget'!G167</f>
        <v>4583.333333333333</v>
      </c>
      <c r="E31" s="196">
        <f>'Program Budget'!I167</f>
        <v>12</v>
      </c>
      <c r="F31" s="199">
        <f>'Program Budget'!H167</f>
        <v>0</v>
      </c>
      <c r="G31" s="198">
        <f t="shared" si="8"/>
        <v>0</v>
      </c>
      <c r="H31" s="195">
        <f t="shared" si="0"/>
        <v>4812.5</v>
      </c>
      <c r="I31" s="196">
        <f>'Program Budget'!L167</f>
        <v>12</v>
      </c>
      <c r="J31" s="199">
        <f>'Program Budget'!K167</f>
        <v>0</v>
      </c>
      <c r="K31" s="198">
        <f t="shared" si="9"/>
        <v>0</v>
      </c>
      <c r="L31" s="195">
        <f t="shared" si="1"/>
        <v>5053.125</v>
      </c>
      <c r="M31" s="196">
        <f>'Program Budget'!O167</f>
        <v>12</v>
      </c>
      <c r="N31" s="199">
        <f>'Program Budget'!N166</f>
        <v>0</v>
      </c>
      <c r="O31" s="198">
        <f t="shared" si="2"/>
        <v>0</v>
      </c>
      <c r="P31" s="195">
        <f t="shared" si="3"/>
        <v>5305.78125</v>
      </c>
      <c r="Q31" s="196">
        <f>'Program Budget'!R167</f>
        <v>3</v>
      </c>
      <c r="R31" s="199">
        <f>'Program Budget'!Q167</f>
        <v>0</v>
      </c>
      <c r="S31" s="198">
        <f t="shared" si="4"/>
        <v>0</v>
      </c>
      <c r="T31" s="333">
        <f t="shared" si="10"/>
        <v>0</v>
      </c>
      <c r="U31" s="201"/>
      <c r="V31" s="188"/>
      <c r="W31" s="202"/>
      <c r="X31" s="202"/>
      <c r="AB31" s="163"/>
      <c r="AC31" s="203"/>
      <c r="AD31" s="203"/>
      <c r="AE31" s="204"/>
      <c r="AG31" s="205"/>
    </row>
    <row r="32" spans="1:33" ht="15" customHeight="1" outlineLevel="1">
      <c r="A32" s="193" t="str">
        <f>'Program Budget'!D169</f>
        <v xml:space="preserve">F&amp;A Director </v>
      </c>
      <c r="B32" s="194" t="str">
        <f>'Program Budget'!F168</f>
        <v>Month</v>
      </c>
      <c r="C32" s="198">
        <f>'Program Budget'!E169</f>
        <v>5230.78</v>
      </c>
      <c r="D32" s="195">
        <f>'Program Budget'!G168</f>
        <v>3500</v>
      </c>
      <c r="E32" s="196">
        <f>'Program Budget'!I168</f>
        <v>12</v>
      </c>
      <c r="F32" s="199">
        <f>'Program Budget'!H168</f>
        <v>0</v>
      </c>
      <c r="G32" s="198">
        <f t="shared" si="8"/>
        <v>0</v>
      </c>
      <c r="H32" s="195">
        <f t="shared" si="0"/>
        <v>3675</v>
      </c>
      <c r="I32" s="196">
        <f>'Program Budget'!L168</f>
        <v>12</v>
      </c>
      <c r="J32" s="199">
        <f>'Program Budget'!K168</f>
        <v>0</v>
      </c>
      <c r="K32" s="198">
        <f t="shared" si="9"/>
        <v>0</v>
      </c>
      <c r="L32" s="195">
        <f t="shared" si="1"/>
        <v>3858.75</v>
      </c>
      <c r="M32" s="196">
        <f>'Program Budget'!O168</f>
        <v>12</v>
      </c>
      <c r="N32" s="199">
        <f>'Program Budget'!N167</f>
        <v>0</v>
      </c>
      <c r="O32" s="198">
        <f t="shared" si="2"/>
        <v>0</v>
      </c>
      <c r="P32" s="195">
        <f t="shared" si="3"/>
        <v>4051.6875</v>
      </c>
      <c r="Q32" s="196">
        <f>'Program Budget'!R168</f>
        <v>0</v>
      </c>
      <c r="R32" s="199">
        <f>'Program Budget'!Q168</f>
        <v>0</v>
      </c>
      <c r="S32" s="198">
        <f t="shared" si="4"/>
        <v>0</v>
      </c>
      <c r="T32" s="333">
        <f t="shared" si="10"/>
        <v>5230.78</v>
      </c>
      <c r="U32" s="201"/>
      <c r="V32" s="188"/>
      <c r="W32" s="202"/>
      <c r="X32" s="202"/>
      <c r="AB32" s="163"/>
      <c r="AC32" s="203"/>
      <c r="AD32" s="203"/>
      <c r="AE32" s="204"/>
      <c r="AG32" s="205"/>
    </row>
    <row r="33" spans="1:33" ht="15" customHeight="1" outlineLevel="1">
      <c r="A33" s="193" t="str">
        <f>'Program Budget'!D170</f>
        <v>Accounting &amp; Finance Specialist</v>
      </c>
      <c r="B33" s="194" t="str">
        <f>'Program Budget'!F169</f>
        <v>Month</v>
      </c>
      <c r="C33" s="198">
        <f>'Program Budget'!E170</f>
        <v>0</v>
      </c>
      <c r="D33" s="195">
        <f>'Program Budget'!G169</f>
        <v>5279.4</v>
      </c>
      <c r="E33" s="196">
        <f>'Program Budget'!I169</f>
        <v>12</v>
      </c>
      <c r="F33" s="199">
        <f>'Program Budget'!H169</f>
        <v>0</v>
      </c>
      <c r="G33" s="198">
        <f t="shared" si="8"/>
        <v>0</v>
      </c>
      <c r="H33" s="195">
        <f t="shared" si="0"/>
        <v>5543.37</v>
      </c>
      <c r="I33" s="196">
        <f>'Program Budget'!L169</f>
        <v>12</v>
      </c>
      <c r="J33" s="199">
        <f>'Program Budget'!K169</f>
        <v>0</v>
      </c>
      <c r="K33" s="198">
        <f t="shared" si="9"/>
        <v>0</v>
      </c>
      <c r="L33" s="195">
        <f t="shared" si="1"/>
        <v>5820.5385000000006</v>
      </c>
      <c r="M33" s="196">
        <f>'Program Budget'!O169</f>
        <v>12</v>
      </c>
      <c r="N33" s="199">
        <f>'Program Budget'!N168</f>
        <v>0</v>
      </c>
      <c r="O33" s="198">
        <f t="shared" si="2"/>
        <v>0</v>
      </c>
      <c r="P33" s="195">
        <f t="shared" si="3"/>
        <v>6111.5654250000007</v>
      </c>
      <c r="Q33" s="196">
        <f>'Program Budget'!R169</f>
        <v>6</v>
      </c>
      <c r="R33" s="199">
        <f>'Program Budget'!Q169</f>
        <v>0</v>
      </c>
      <c r="S33" s="198">
        <f t="shared" si="4"/>
        <v>0</v>
      </c>
      <c r="T33" s="333">
        <f t="shared" si="10"/>
        <v>0</v>
      </c>
      <c r="U33" s="201"/>
      <c r="V33" s="188"/>
      <c r="W33" s="202"/>
      <c r="X33" s="202"/>
      <c r="AB33" s="163">
        <v>180</v>
      </c>
      <c r="AC33" s="203" t="s">
        <v>547</v>
      </c>
      <c r="AD33" s="203" t="s">
        <v>548</v>
      </c>
      <c r="AE33" s="204"/>
      <c r="AG33" s="205"/>
    </row>
    <row r="34" spans="1:33" ht="15" customHeight="1" outlineLevel="1">
      <c r="A34" s="193" t="str">
        <f>'Program Budget'!D171</f>
        <v xml:space="preserve">Accountant </v>
      </c>
      <c r="B34" s="194" t="str">
        <f>'Program Budget'!F170</f>
        <v>Month</v>
      </c>
      <c r="C34" s="198">
        <f>'Program Budget'!E171</f>
        <v>0</v>
      </c>
      <c r="D34" s="195">
        <f>'Program Budget'!G170</f>
        <v>1750</v>
      </c>
      <c r="E34" s="196">
        <f>'Program Budget'!I170</f>
        <v>12</v>
      </c>
      <c r="F34" s="199">
        <f>'Program Budget'!H170</f>
        <v>0</v>
      </c>
      <c r="G34" s="198">
        <f t="shared" si="8"/>
        <v>0</v>
      </c>
      <c r="H34" s="195">
        <f t="shared" si="0"/>
        <v>1837.5</v>
      </c>
      <c r="I34" s="196">
        <f>'Program Budget'!L170</f>
        <v>12</v>
      </c>
      <c r="J34" s="199">
        <f>'Program Budget'!K170</f>
        <v>0</v>
      </c>
      <c r="K34" s="198">
        <f t="shared" si="9"/>
        <v>0</v>
      </c>
      <c r="L34" s="195">
        <f t="shared" si="1"/>
        <v>1929.375</v>
      </c>
      <c r="M34" s="196">
        <f>'Program Budget'!O170</f>
        <v>12</v>
      </c>
      <c r="N34" s="199">
        <f>'Program Budget'!N169</f>
        <v>0</v>
      </c>
      <c r="O34" s="198">
        <f t="shared" si="2"/>
        <v>0</v>
      </c>
      <c r="P34" s="195">
        <f t="shared" si="3"/>
        <v>2025.84375</v>
      </c>
      <c r="Q34" s="196">
        <f>'Program Budget'!R170</f>
        <v>3</v>
      </c>
      <c r="R34" s="199">
        <f>'Program Budget'!Q170</f>
        <v>0</v>
      </c>
      <c r="S34" s="198">
        <f t="shared" si="4"/>
        <v>0</v>
      </c>
      <c r="T34" s="333">
        <f t="shared" si="10"/>
        <v>0</v>
      </c>
      <c r="U34" s="201"/>
      <c r="V34" s="188"/>
      <c r="W34" s="202"/>
      <c r="X34" s="202"/>
      <c r="AB34" s="163"/>
      <c r="AC34" s="203"/>
      <c r="AD34" s="203"/>
      <c r="AE34" s="204"/>
      <c r="AG34" s="205"/>
    </row>
    <row r="35" spans="1:33" ht="15" customHeight="1" outlineLevel="1">
      <c r="A35" s="193" t="str">
        <f>'Program Budget'!D172</f>
        <v>Finance &amp; Admin Coordinator - 50% LOE</v>
      </c>
      <c r="B35" s="194" t="str">
        <f>'Program Budget'!F171</f>
        <v>Month</v>
      </c>
      <c r="C35" s="198">
        <f>'Program Budget'!E172</f>
        <v>0</v>
      </c>
      <c r="D35" s="195">
        <f>'Program Budget'!G171</f>
        <v>1750</v>
      </c>
      <c r="E35" s="196">
        <f>'Program Budget'!I171</f>
        <v>12</v>
      </c>
      <c r="F35" s="199">
        <f>'Program Budget'!H171</f>
        <v>0</v>
      </c>
      <c r="G35" s="198">
        <f t="shared" si="5"/>
        <v>0</v>
      </c>
      <c r="H35" s="195">
        <f t="shared" si="0"/>
        <v>1837.5</v>
      </c>
      <c r="I35" s="196">
        <f>'Program Budget'!L171</f>
        <v>12</v>
      </c>
      <c r="J35" s="199">
        <f>'Program Budget'!K171</f>
        <v>0</v>
      </c>
      <c r="K35" s="198">
        <f t="shared" si="6"/>
        <v>0</v>
      </c>
      <c r="L35" s="195">
        <f t="shared" si="1"/>
        <v>1929.375</v>
      </c>
      <c r="M35" s="196">
        <f>'Program Budget'!O171</f>
        <v>12</v>
      </c>
      <c r="N35" s="199">
        <f>'Program Budget'!N170</f>
        <v>0</v>
      </c>
      <c r="O35" s="198">
        <f t="shared" si="2"/>
        <v>0</v>
      </c>
      <c r="P35" s="195">
        <f t="shared" si="3"/>
        <v>2025.84375</v>
      </c>
      <c r="Q35" s="196">
        <f>'Program Budget'!R171</f>
        <v>5</v>
      </c>
      <c r="R35" s="199">
        <f>'Program Budget'!Q171</f>
        <v>0</v>
      </c>
      <c r="S35" s="198">
        <f t="shared" si="4"/>
        <v>0</v>
      </c>
      <c r="T35" s="333">
        <f t="shared" si="7"/>
        <v>0</v>
      </c>
      <c r="U35" s="201"/>
      <c r="V35" s="188"/>
      <c r="W35" s="202"/>
      <c r="X35" s="202"/>
      <c r="AB35" s="163">
        <v>180</v>
      </c>
      <c r="AC35" s="203" t="s">
        <v>547</v>
      </c>
      <c r="AD35" s="203" t="s">
        <v>548</v>
      </c>
      <c r="AE35" s="204"/>
      <c r="AG35" s="205"/>
    </row>
    <row r="36" spans="1:33" ht="15" customHeight="1" outlineLevel="1">
      <c r="A36" s="193" t="str">
        <f>'Program Budget'!D173</f>
        <v xml:space="preserve">Administrative Officer </v>
      </c>
      <c r="B36" s="194" t="str">
        <f>'Program Budget'!F172</f>
        <v>Month</v>
      </c>
      <c r="C36" s="198">
        <f>'Program Budget'!E173</f>
        <v>0</v>
      </c>
      <c r="D36" s="195">
        <f>'Program Budget'!G172</f>
        <v>2583.3333333333335</v>
      </c>
      <c r="E36" s="196">
        <f>'Program Budget'!I172</f>
        <v>12</v>
      </c>
      <c r="F36" s="199">
        <f>'Program Budget'!H172</f>
        <v>0</v>
      </c>
      <c r="G36" s="198">
        <f t="shared" si="5"/>
        <v>0</v>
      </c>
      <c r="H36" s="195">
        <f t="shared" si="0"/>
        <v>2712.5000000000005</v>
      </c>
      <c r="I36" s="196">
        <f>'Program Budget'!L172</f>
        <v>12</v>
      </c>
      <c r="J36" s="199">
        <f>'Program Budget'!K172</f>
        <v>0</v>
      </c>
      <c r="K36" s="198">
        <f t="shared" si="6"/>
        <v>0</v>
      </c>
      <c r="L36" s="195">
        <f t="shared" si="1"/>
        <v>2848.1250000000005</v>
      </c>
      <c r="M36" s="196">
        <f>'Program Budget'!O172</f>
        <v>12</v>
      </c>
      <c r="N36" s="199">
        <f>'Program Budget'!N171</f>
        <v>0</v>
      </c>
      <c r="O36" s="198">
        <f t="shared" si="2"/>
        <v>0</v>
      </c>
      <c r="P36" s="195">
        <f t="shared" si="3"/>
        <v>2990.5312500000005</v>
      </c>
      <c r="Q36" s="196">
        <f>'Program Budget'!R172</f>
        <v>6</v>
      </c>
      <c r="R36" s="199">
        <f>'Program Budget'!Q172</f>
        <v>0</v>
      </c>
      <c r="S36" s="198">
        <f t="shared" si="4"/>
        <v>0</v>
      </c>
      <c r="T36" s="333">
        <f t="shared" si="7"/>
        <v>0</v>
      </c>
      <c r="U36" s="201"/>
      <c r="V36" s="188"/>
      <c r="W36" s="202"/>
      <c r="X36" s="202"/>
      <c r="AB36" s="163">
        <v>180</v>
      </c>
      <c r="AC36" s="203" t="s">
        <v>547</v>
      </c>
      <c r="AD36" s="203" t="s">
        <v>548</v>
      </c>
      <c r="AE36" s="204"/>
      <c r="AG36" s="205"/>
    </row>
    <row r="37" spans="1:33" ht="15" customHeight="1" outlineLevel="1">
      <c r="A37" s="193" t="str">
        <f>'Program Budget'!D174</f>
        <v>Human Resource Manager</v>
      </c>
      <c r="B37" s="194" t="str">
        <f>'Program Budget'!F173</f>
        <v>Month</v>
      </c>
      <c r="C37" s="198">
        <f>'Program Budget'!E174</f>
        <v>0</v>
      </c>
      <c r="D37" s="195">
        <f>'Program Budget'!G173</f>
        <v>1000</v>
      </c>
      <c r="E37" s="196">
        <f>'Program Budget'!I173</f>
        <v>12</v>
      </c>
      <c r="F37" s="199">
        <f>'Program Budget'!H173</f>
        <v>0</v>
      </c>
      <c r="G37" s="198">
        <f t="shared" si="5"/>
        <v>0</v>
      </c>
      <c r="H37" s="195">
        <f t="shared" si="0"/>
        <v>1050</v>
      </c>
      <c r="I37" s="196">
        <f>'Program Budget'!L173</f>
        <v>12</v>
      </c>
      <c r="J37" s="199">
        <f>'Program Budget'!K173</f>
        <v>0</v>
      </c>
      <c r="K37" s="198">
        <f t="shared" si="6"/>
        <v>0</v>
      </c>
      <c r="L37" s="195">
        <f t="shared" si="1"/>
        <v>1102.5</v>
      </c>
      <c r="M37" s="196">
        <f>'Program Budget'!O173</f>
        <v>12</v>
      </c>
      <c r="N37" s="199">
        <f>'Program Budget'!N172</f>
        <v>0</v>
      </c>
      <c r="O37" s="198">
        <f t="shared" si="2"/>
        <v>0</v>
      </c>
      <c r="P37" s="195">
        <f t="shared" si="3"/>
        <v>1157.625</v>
      </c>
      <c r="Q37" s="196">
        <f>'Program Budget'!R173</f>
        <v>3</v>
      </c>
      <c r="R37" s="199">
        <f>'Program Budget'!Q173</f>
        <v>0</v>
      </c>
      <c r="S37" s="198">
        <f t="shared" si="4"/>
        <v>0</v>
      </c>
      <c r="T37" s="333">
        <f t="shared" si="7"/>
        <v>0</v>
      </c>
      <c r="U37" s="201"/>
      <c r="V37" s="188"/>
      <c r="W37" s="202"/>
      <c r="X37" s="202"/>
      <c r="AB37" s="163">
        <v>180</v>
      </c>
      <c r="AC37" s="203" t="s">
        <v>547</v>
      </c>
      <c r="AD37" s="203" t="s">
        <v>548</v>
      </c>
      <c r="AE37" s="204"/>
      <c r="AG37" s="205"/>
    </row>
    <row r="38" spans="1:33" ht="15" customHeight="1" outlineLevel="1">
      <c r="A38" s="193" t="str">
        <f>'Program Budget'!D175</f>
        <v>Human Resource Specialist</v>
      </c>
      <c r="B38" s="194" t="str">
        <f>'Program Budget'!F174</f>
        <v>Month</v>
      </c>
      <c r="C38" s="198">
        <f>'Program Budget'!E175</f>
        <v>0</v>
      </c>
      <c r="D38" s="195">
        <f>'Program Budget'!G174</f>
        <v>1954.1666666666667</v>
      </c>
      <c r="E38" s="196">
        <f>'Program Budget'!I174</f>
        <v>12</v>
      </c>
      <c r="F38" s="199">
        <f>'Program Budget'!H174</f>
        <v>0</v>
      </c>
      <c r="G38" s="198">
        <f t="shared" si="5"/>
        <v>0</v>
      </c>
      <c r="H38" s="195">
        <f t="shared" si="0"/>
        <v>2051.875</v>
      </c>
      <c r="I38" s="196">
        <f>'Program Budget'!L174</f>
        <v>12</v>
      </c>
      <c r="J38" s="199">
        <f>'Program Budget'!K174</f>
        <v>0</v>
      </c>
      <c r="K38" s="198">
        <f t="shared" si="6"/>
        <v>0</v>
      </c>
      <c r="L38" s="195">
        <f t="shared" si="1"/>
        <v>2154.46875</v>
      </c>
      <c r="M38" s="196">
        <f>'Program Budget'!O174</f>
        <v>12</v>
      </c>
      <c r="N38" s="199">
        <f>'Program Budget'!N173</f>
        <v>0</v>
      </c>
      <c r="O38" s="198">
        <f t="shared" si="2"/>
        <v>0</v>
      </c>
      <c r="P38" s="195">
        <f t="shared" si="3"/>
        <v>2262.1921875000003</v>
      </c>
      <c r="Q38" s="196">
        <f>'Program Budget'!R174</f>
        <v>6</v>
      </c>
      <c r="R38" s="199">
        <f>'Program Budget'!Q174</f>
        <v>0</v>
      </c>
      <c r="S38" s="198">
        <f t="shared" si="4"/>
        <v>0</v>
      </c>
      <c r="T38" s="335">
        <f t="shared" si="7"/>
        <v>0</v>
      </c>
      <c r="U38" s="201"/>
      <c r="V38" s="188"/>
      <c r="W38" s="202"/>
      <c r="X38" s="202"/>
      <c r="AB38" s="163">
        <v>180</v>
      </c>
      <c r="AC38" s="203" t="s">
        <v>547</v>
      </c>
      <c r="AD38" s="203" t="s">
        <v>548</v>
      </c>
      <c r="AE38" s="204"/>
      <c r="AG38" s="205"/>
    </row>
    <row r="39" spans="1:33" ht="15" customHeight="1" outlineLevel="1">
      <c r="A39" s="208" t="s">
        <v>510</v>
      </c>
      <c r="B39" s="209"/>
      <c r="C39" s="222">
        <f>SUM(C10:C38)</f>
        <v>68095.290000000008</v>
      </c>
      <c r="D39" s="210"/>
      <c r="E39" s="211"/>
      <c r="F39" s="214"/>
      <c r="G39" s="222">
        <f>SUM(G10:G38)</f>
        <v>0</v>
      </c>
      <c r="H39" s="210"/>
      <c r="I39" s="211"/>
      <c r="J39" s="212"/>
      <c r="K39" s="222">
        <f>SUM(K10:K38)</f>
        <v>0</v>
      </c>
      <c r="L39" s="210"/>
      <c r="M39" s="211"/>
      <c r="N39" s="214"/>
      <c r="O39" s="222">
        <f>SUM(O10:O38)</f>
        <v>0</v>
      </c>
      <c r="P39" s="210"/>
      <c r="Q39" s="211"/>
      <c r="R39" s="214"/>
      <c r="S39" s="222">
        <f>SUM(S10:S38)</f>
        <v>0</v>
      </c>
      <c r="T39" s="334">
        <f>C39+G39+K39+O39+S39</f>
        <v>68095.290000000008</v>
      </c>
      <c r="AB39" s="163"/>
      <c r="AC39" s="203"/>
      <c r="AD39" s="203"/>
    </row>
    <row r="40" spans="1:33" s="189" customFormat="1" ht="15" customHeight="1" outlineLevel="1">
      <c r="A40" s="225"/>
      <c r="B40" s="216"/>
      <c r="C40" s="198"/>
      <c r="D40" s="217"/>
      <c r="E40" s="218"/>
      <c r="F40" s="160"/>
      <c r="G40" s="198"/>
      <c r="H40" s="217"/>
      <c r="I40" s="218"/>
      <c r="J40" s="160"/>
      <c r="K40" s="198"/>
      <c r="L40" s="217"/>
      <c r="M40" s="218"/>
      <c r="N40" s="160"/>
      <c r="O40" s="198"/>
      <c r="P40" s="217"/>
      <c r="Q40" s="218"/>
      <c r="R40" s="160"/>
      <c r="S40" s="198"/>
      <c r="T40" s="335"/>
      <c r="U40" s="157"/>
      <c r="V40" s="157"/>
      <c r="W40" s="157"/>
      <c r="X40" s="157"/>
      <c r="Y40" s="157"/>
      <c r="Z40" s="157"/>
      <c r="AA40" s="157"/>
      <c r="AB40" s="163"/>
      <c r="AC40" s="203"/>
      <c r="AD40" s="203"/>
      <c r="AE40" s="223"/>
      <c r="AF40" s="224"/>
      <c r="AG40" s="157"/>
    </row>
    <row r="41" spans="1:33" s="236" customFormat="1" ht="15" customHeight="1">
      <c r="A41" s="226" t="s">
        <v>513</v>
      </c>
      <c r="B41" s="227"/>
      <c r="C41" s="231">
        <f>C39+C8</f>
        <v>174359.29</v>
      </c>
      <c r="D41" s="228"/>
      <c r="E41" s="229"/>
      <c r="F41" s="232"/>
      <c r="G41" s="231">
        <f>G39+G8</f>
        <v>0</v>
      </c>
      <c r="H41" s="228"/>
      <c r="I41" s="229"/>
      <c r="J41" s="230"/>
      <c r="K41" s="231">
        <f>K39+K8</f>
        <v>0</v>
      </c>
      <c r="L41" s="228"/>
      <c r="M41" s="229"/>
      <c r="N41" s="232"/>
      <c r="O41" s="231">
        <f>O39+O8</f>
        <v>0</v>
      </c>
      <c r="P41" s="228"/>
      <c r="Q41" s="229"/>
      <c r="R41" s="232"/>
      <c r="S41" s="231">
        <f>S39+S8</f>
        <v>0</v>
      </c>
      <c r="T41" s="336">
        <f>+C41+G41+K41+O41+S41</f>
        <v>174359.29</v>
      </c>
      <c r="U41" s="234"/>
      <c r="V41" s="234"/>
      <c r="W41" s="234"/>
      <c r="X41" s="234"/>
      <c r="Y41" s="234"/>
      <c r="Z41" s="235"/>
      <c r="AA41" s="235"/>
      <c r="AB41" s="234"/>
      <c r="AD41" s="236" t="s">
        <v>549</v>
      </c>
      <c r="AG41" s="235"/>
    </row>
    <row r="42" spans="1:33" s="189" customFormat="1" ht="15" customHeight="1" outlineLevel="1">
      <c r="A42" s="190" t="s">
        <v>514</v>
      </c>
      <c r="B42" s="191"/>
      <c r="C42" s="184"/>
      <c r="D42" s="181"/>
      <c r="E42" s="182"/>
      <c r="F42" s="185"/>
      <c r="G42" s="186"/>
      <c r="H42" s="181"/>
      <c r="I42" s="182"/>
      <c r="J42" s="183"/>
      <c r="K42" s="186"/>
      <c r="L42" s="181"/>
      <c r="M42" s="182"/>
      <c r="N42" s="185"/>
      <c r="O42" s="186"/>
      <c r="P42" s="181"/>
      <c r="Q42" s="182"/>
      <c r="R42" s="185"/>
      <c r="S42" s="186"/>
      <c r="T42" s="332"/>
      <c r="U42" s="157"/>
      <c r="V42" s="157"/>
      <c r="W42" s="157"/>
      <c r="X42" s="157"/>
      <c r="Y42" s="157"/>
      <c r="Z42" s="157"/>
      <c r="AA42" s="157"/>
      <c r="AB42" s="163"/>
      <c r="AG42" s="157"/>
    </row>
    <row r="43" spans="1:33" s="189" customFormat="1" ht="15" customHeight="1" outlineLevel="1">
      <c r="A43" s="237" t="s">
        <v>507</v>
      </c>
      <c r="B43" s="216" t="str">
        <f>'Program Budget'!F179</f>
        <v>%</v>
      </c>
      <c r="C43" s="198">
        <f>'Program Budget'!E182</f>
        <v>2950.12</v>
      </c>
      <c r="D43" s="343">
        <f>G8</f>
        <v>0</v>
      </c>
      <c r="E43" s="218">
        <v>1</v>
      </c>
      <c r="F43" s="160">
        <f>'Program Budget'!G182</f>
        <v>0.56469999999999998</v>
      </c>
      <c r="G43" s="198">
        <f t="shared" ref="G43:G45" si="20">D43*E43*F43</f>
        <v>0</v>
      </c>
      <c r="H43" s="343">
        <f>K8</f>
        <v>0</v>
      </c>
      <c r="I43" s="218">
        <v>1</v>
      </c>
      <c r="J43" s="160">
        <f>F43</f>
        <v>0.56469999999999998</v>
      </c>
      <c r="K43" s="198">
        <f t="shared" ref="K43:K45" si="21">H43*I43*J43</f>
        <v>0</v>
      </c>
      <c r="L43" s="343">
        <f>O8</f>
        <v>0</v>
      </c>
      <c r="M43" s="218">
        <v>1</v>
      </c>
      <c r="N43" s="160">
        <f>J43</f>
        <v>0.56469999999999998</v>
      </c>
      <c r="O43" s="198">
        <f t="shared" ref="O43:O45" si="22">L43*M43*N43</f>
        <v>0</v>
      </c>
      <c r="P43" s="343">
        <f>S8</f>
        <v>0</v>
      </c>
      <c r="Q43" s="218">
        <v>1</v>
      </c>
      <c r="R43" s="160">
        <f>N43</f>
        <v>0.56469999999999998</v>
      </c>
      <c r="S43" s="198">
        <f t="shared" ref="S43:S45" si="23">P43*Q43*R43</f>
        <v>0</v>
      </c>
      <c r="T43" s="333">
        <f t="shared" ref="T43:T45" si="24">C43+G43+K43+O43+S43</f>
        <v>2950.12</v>
      </c>
      <c r="U43" s="157"/>
      <c r="V43" s="157"/>
      <c r="W43" s="157"/>
      <c r="X43" s="157"/>
      <c r="Y43" s="157"/>
      <c r="Z43" s="157"/>
      <c r="AA43" s="157"/>
      <c r="AB43" s="163">
        <v>194</v>
      </c>
      <c r="AC43" s="203" t="s">
        <v>550</v>
      </c>
      <c r="AD43" s="203" t="s">
        <v>551</v>
      </c>
      <c r="AG43" s="157"/>
    </row>
    <row r="44" spans="1:33" s="189" customFormat="1" ht="15" customHeight="1" outlineLevel="1">
      <c r="A44" s="237" t="s">
        <v>515</v>
      </c>
      <c r="B44" s="216" t="str">
        <f>'Program Budget'!F179</f>
        <v>%</v>
      </c>
      <c r="C44" s="198">
        <f>'Program Budget'!E179</f>
        <v>7867</v>
      </c>
      <c r="D44" s="343">
        <f>G12+G11+G21+G25+G28+G31+G33</f>
        <v>0</v>
      </c>
      <c r="E44" s="218">
        <v>1</v>
      </c>
      <c r="F44" s="160">
        <f>'Program Budget'!G179</f>
        <v>0.53864000000000001</v>
      </c>
      <c r="G44" s="198">
        <f t="shared" ref="G44" si="25">D44*E44*F44</f>
        <v>0</v>
      </c>
      <c r="H44" s="343">
        <f>K12+K11+K21+K25+K28+K31+K33</f>
        <v>0</v>
      </c>
      <c r="I44" s="218">
        <v>1</v>
      </c>
      <c r="J44" s="160">
        <f t="shared" ref="J44" si="26">F44</f>
        <v>0.53864000000000001</v>
      </c>
      <c r="K44" s="198">
        <f t="shared" ref="K44" si="27">H44*I44*J44</f>
        <v>0</v>
      </c>
      <c r="L44" s="343">
        <f>O12+O11+O21+O25+O28+O31+O33</f>
        <v>0</v>
      </c>
      <c r="M44" s="218">
        <v>1</v>
      </c>
      <c r="N44" s="160">
        <f t="shared" ref="N44" si="28">J44</f>
        <v>0.53864000000000001</v>
      </c>
      <c r="O44" s="198">
        <f t="shared" ref="O44" si="29">L44*M44*N44</f>
        <v>0</v>
      </c>
      <c r="P44" s="343">
        <f>S12+S11+S21+S25+S28+S31+S33</f>
        <v>0</v>
      </c>
      <c r="Q44" s="218">
        <v>1</v>
      </c>
      <c r="R44" s="160">
        <f t="shared" ref="R44" si="30">N44</f>
        <v>0.53864000000000001</v>
      </c>
      <c r="S44" s="198">
        <f t="shared" ref="S44" si="31">P44*Q44*R44</f>
        <v>0</v>
      </c>
      <c r="T44" s="335">
        <f t="shared" ref="T44" si="32">C44+G44+K44+O44+S44</f>
        <v>7867</v>
      </c>
      <c r="U44" s="157"/>
      <c r="V44" s="157"/>
      <c r="W44" s="157"/>
      <c r="X44" s="157"/>
      <c r="Y44" s="157"/>
      <c r="Z44" s="157"/>
      <c r="AA44" s="157"/>
      <c r="AB44" s="238">
        <v>197</v>
      </c>
      <c r="AC44" s="239" t="s">
        <v>552</v>
      </c>
      <c r="AD44" s="239" t="s">
        <v>553</v>
      </c>
      <c r="AG44" s="157"/>
    </row>
    <row r="45" spans="1:33" s="189" customFormat="1" ht="15" customHeight="1" outlineLevel="1">
      <c r="A45" s="237" t="s">
        <v>516</v>
      </c>
      <c r="B45" s="216" t="str">
        <f>'Program Budget'!F180</f>
        <v>%</v>
      </c>
      <c r="C45" s="198">
        <f>'Program Budget'!E180</f>
        <v>78279.3</v>
      </c>
      <c r="D45" s="343">
        <f>G39-D44</f>
        <v>0</v>
      </c>
      <c r="E45" s="218">
        <v>1</v>
      </c>
      <c r="F45" s="160">
        <f>'Program Budget'!G180</f>
        <v>0.44863999999999998</v>
      </c>
      <c r="G45" s="198">
        <f t="shared" si="20"/>
        <v>0</v>
      </c>
      <c r="H45" s="343">
        <f>K39-H44</f>
        <v>0</v>
      </c>
      <c r="I45" s="218">
        <v>1</v>
      </c>
      <c r="J45" s="160">
        <f t="shared" ref="J45" si="33">F45</f>
        <v>0.44863999999999998</v>
      </c>
      <c r="K45" s="198">
        <f t="shared" si="21"/>
        <v>0</v>
      </c>
      <c r="L45" s="343">
        <f>O39-L44</f>
        <v>0</v>
      </c>
      <c r="M45" s="218">
        <v>1</v>
      </c>
      <c r="N45" s="160">
        <f t="shared" ref="N45" si="34">J45</f>
        <v>0.44863999999999998</v>
      </c>
      <c r="O45" s="198">
        <f t="shared" si="22"/>
        <v>0</v>
      </c>
      <c r="P45" s="343">
        <f>S39-P44</f>
        <v>0</v>
      </c>
      <c r="Q45" s="218">
        <v>1</v>
      </c>
      <c r="R45" s="160">
        <f t="shared" ref="R45" si="35">N45</f>
        <v>0.44863999999999998</v>
      </c>
      <c r="S45" s="198">
        <f t="shared" si="23"/>
        <v>0</v>
      </c>
      <c r="T45" s="335">
        <f t="shared" si="24"/>
        <v>78279.3</v>
      </c>
      <c r="U45" s="157"/>
      <c r="V45" s="157"/>
      <c r="W45" s="157"/>
      <c r="X45" s="157"/>
      <c r="Y45" s="157"/>
      <c r="Z45" s="157"/>
      <c r="AA45" s="157"/>
      <c r="AB45" s="238">
        <v>197</v>
      </c>
      <c r="AC45" s="239" t="s">
        <v>552</v>
      </c>
      <c r="AD45" s="239" t="s">
        <v>553</v>
      </c>
      <c r="AG45" s="157"/>
    </row>
    <row r="46" spans="1:33" ht="15" customHeight="1" outlineLevel="1">
      <c r="A46" s="208" t="s">
        <v>518</v>
      </c>
      <c r="B46" s="209"/>
      <c r="C46" s="213">
        <f>+SUM(C43:C45)</f>
        <v>89096.42</v>
      </c>
      <c r="D46" s="210"/>
      <c r="E46" s="211"/>
      <c r="F46" s="214"/>
      <c r="G46" s="213">
        <f>+SUM(G43:G45)</f>
        <v>0</v>
      </c>
      <c r="H46" s="210"/>
      <c r="I46" s="211"/>
      <c r="J46" s="212"/>
      <c r="K46" s="213">
        <f>+SUM(K43:K45)</f>
        <v>0</v>
      </c>
      <c r="L46" s="210"/>
      <c r="M46" s="211"/>
      <c r="N46" s="214"/>
      <c r="O46" s="213">
        <f>+SUM(O43:O45)</f>
        <v>0</v>
      </c>
      <c r="P46" s="210"/>
      <c r="Q46" s="211"/>
      <c r="R46" s="214"/>
      <c r="S46" s="213">
        <f>+SUM(S43:S45)</f>
        <v>0</v>
      </c>
      <c r="T46" s="334">
        <f>+C46+G46+K46+O46+S46</f>
        <v>89096.42</v>
      </c>
      <c r="AB46" s="163"/>
      <c r="AC46" s="203"/>
      <c r="AD46" s="203"/>
    </row>
    <row r="47" spans="1:33" s="189" customFormat="1" ht="15" customHeight="1" outlineLevel="1">
      <c r="A47" s="190" t="s">
        <v>519</v>
      </c>
      <c r="B47" s="247"/>
      <c r="C47" s="248"/>
      <c r="D47" s="217"/>
      <c r="E47" s="218"/>
      <c r="F47" s="161"/>
      <c r="G47" s="221"/>
      <c r="H47" s="217"/>
      <c r="I47" s="218"/>
      <c r="J47" s="160"/>
      <c r="K47" s="221"/>
      <c r="L47" s="217"/>
      <c r="M47" s="218"/>
      <c r="N47" s="161"/>
      <c r="O47" s="221"/>
      <c r="P47" s="217"/>
      <c r="Q47" s="218"/>
      <c r="R47" s="161"/>
      <c r="S47" s="221"/>
      <c r="T47" s="333">
        <f>+C47+G47+K47+O47+S47</f>
        <v>0</v>
      </c>
      <c r="U47" s="157"/>
      <c r="V47" s="157"/>
      <c r="W47" s="157"/>
      <c r="X47" s="157"/>
      <c r="Y47" s="157"/>
      <c r="Z47" s="157"/>
      <c r="AA47" s="157"/>
      <c r="AB47" s="163"/>
      <c r="AC47" s="203"/>
      <c r="AD47" s="203" t="s">
        <v>549</v>
      </c>
      <c r="AG47" s="157"/>
    </row>
    <row r="48" spans="1:33" s="189" customFormat="1" ht="15" customHeight="1" outlineLevel="1">
      <c r="A48" s="193" t="str">
        <f>'Program Budget'!D181</f>
        <v>Post (Hardship) Differential for Chief of Party</v>
      </c>
      <c r="B48" s="216" t="str">
        <f>'Program Budget'!F181</f>
        <v>%</v>
      </c>
      <c r="C48" s="198">
        <f>'Program Budget'!E181</f>
        <v>9241.0400000000009</v>
      </c>
      <c r="D48" s="344">
        <f>G8</f>
        <v>0</v>
      </c>
      <c r="E48" s="159">
        <v>1</v>
      </c>
      <c r="F48" s="161">
        <f>'Program Budget'!G181</f>
        <v>0.15</v>
      </c>
      <c r="G48" s="198">
        <f>D48*E48*F48</f>
        <v>0</v>
      </c>
      <c r="H48" s="344">
        <f>K8</f>
        <v>0</v>
      </c>
      <c r="I48" s="159">
        <v>1</v>
      </c>
      <c r="J48" s="160">
        <f>F48</f>
        <v>0.15</v>
      </c>
      <c r="K48" s="198">
        <f>H48*I48*J48</f>
        <v>0</v>
      </c>
      <c r="L48" s="344">
        <f>O8</f>
        <v>0</v>
      </c>
      <c r="M48" s="159">
        <v>1</v>
      </c>
      <c r="N48" s="161">
        <f>J48</f>
        <v>0.15</v>
      </c>
      <c r="O48" s="198">
        <f>L48*M48*N48</f>
        <v>0</v>
      </c>
      <c r="P48" s="344">
        <f>S8</f>
        <v>0</v>
      </c>
      <c r="Q48" s="159">
        <v>1</v>
      </c>
      <c r="R48" s="161">
        <f>N48</f>
        <v>0.15</v>
      </c>
      <c r="S48" s="198">
        <f>P48*Q48*R48</f>
        <v>0</v>
      </c>
      <c r="T48" s="337">
        <f t="shared" ref="T48" si="36">C48+G48+K48+O48+S48</f>
        <v>9241.0400000000009</v>
      </c>
      <c r="U48" s="157"/>
      <c r="V48" s="157"/>
      <c r="W48" s="157"/>
      <c r="X48" s="157"/>
      <c r="Y48" s="157"/>
      <c r="Z48" s="157"/>
      <c r="AA48" s="157"/>
      <c r="AB48" s="163"/>
      <c r="AC48" s="207"/>
      <c r="AD48" s="207"/>
      <c r="AG48" s="157"/>
    </row>
    <row r="49" spans="1:33" ht="15" customHeight="1" outlineLevel="1">
      <c r="A49" s="208" t="s">
        <v>520</v>
      </c>
      <c r="B49" s="209"/>
      <c r="C49" s="213">
        <f>SUM(C48:C48)</f>
        <v>9241.0400000000009</v>
      </c>
      <c r="D49" s="210"/>
      <c r="E49" s="211"/>
      <c r="F49" s="214"/>
      <c r="G49" s="213">
        <f>SUM(G48:G48)</f>
        <v>0</v>
      </c>
      <c r="H49" s="210"/>
      <c r="I49" s="211"/>
      <c r="J49" s="212"/>
      <c r="K49" s="213">
        <f>SUM(K48:K48)</f>
        <v>0</v>
      </c>
      <c r="L49" s="210"/>
      <c r="M49" s="211"/>
      <c r="N49" s="214"/>
      <c r="O49" s="213">
        <f>SUM(O48:O48)</f>
        <v>0</v>
      </c>
      <c r="P49" s="210"/>
      <c r="Q49" s="211"/>
      <c r="R49" s="214"/>
      <c r="S49" s="213">
        <f>SUM(S48:S48)</f>
        <v>0</v>
      </c>
      <c r="T49" s="334">
        <f>C49+G49+K49+O49+S49</f>
        <v>9241.0400000000009</v>
      </c>
      <c r="AB49" s="163"/>
      <c r="AC49" s="203"/>
      <c r="AD49" s="203"/>
    </row>
    <row r="50" spans="1:33" ht="15" customHeight="1" outlineLevel="1">
      <c r="A50" s="345"/>
      <c r="B50" s="241"/>
      <c r="C50" s="348"/>
      <c r="D50" s="346"/>
      <c r="E50" s="347"/>
      <c r="F50" s="315"/>
      <c r="G50" s="348"/>
      <c r="H50" s="346"/>
      <c r="I50" s="347"/>
      <c r="J50" s="244"/>
      <c r="K50" s="348"/>
      <c r="L50" s="346"/>
      <c r="M50" s="347"/>
      <c r="N50" s="315"/>
      <c r="O50" s="348"/>
      <c r="P50" s="346"/>
      <c r="Q50" s="347"/>
      <c r="R50" s="315"/>
      <c r="S50" s="348"/>
      <c r="T50" s="334"/>
      <c r="AB50" s="163"/>
      <c r="AC50" s="203"/>
      <c r="AD50" s="203"/>
    </row>
    <row r="51" spans="1:33" s="258" customFormat="1" ht="18.3" outlineLevel="1">
      <c r="A51" s="249" t="s">
        <v>521</v>
      </c>
      <c r="B51" s="250"/>
      <c r="C51" s="254">
        <f>C49+C46</f>
        <v>98337.459999999992</v>
      </c>
      <c r="D51" s="251"/>
      <c r="E51" s="252"/>
      <c r="F51" s="255"/>
      <c r="G51" s="254">
        <f>G49+G46</f>
        <v>0</v>
      </c>
      <c r="H51" s="251"/>
      <c r="I51" s="252"/>
      <c r="J51" s="253"/>
      <c r="K51" s="254">
        <f>K49+K46</f>
        <v>0</v>
      </c>
      <c r="L51" s="251"/>
      <c r="M51" s="252"/>
      <c r="N51" s="255"/>
      <c r="O51" s="254">
        <f>O49+O46</f>
        <v>0</v>
      </c>
      <c r="P51" s="251"/>
      <c r="Q51" s="252"/>
      <c r="R51" s="255"/>
      <c r="S51" s="254">
        <f>S49+S46</f>
        <v>0</v>
      </c>
      <c r="T51" s="336">
        <f>+C51+G51+K51+O51+S51</f>
        <v>98337.459999999992</v>
      </c>
      <c r="U51" s="235"/>
      <c r="V51" s="235"/>
      <c r="W51" s="235"/>
      <c r="X51" s="235"/>
      <c r="Y51" s="235"/>
      <c r="Z51" s="235"/>
      <c r="AA51" s="235"/>
      <c r="AB51" s="234">
        <v>287</v>
      </c>
      <c r="AC51" s="256" t="s">
        <v>558</v>
      </c>
      <c r="AD51" s="256" t="s">
        <v>559</v>
      </c>
      <c r="AE51" s="257"/>
      <c r="AG51" s="235"/>
    </row>
    <row r="52" spans="1:33" s="260" customFormat="1" ht="15.6" outlineLevel="1">
      <c r="A52" s="190" t="s">
        <v>523</v>
      </c>
      <c r="B52" s="191"/>
      <c r="C52" s="198"/>
      <c r="D52" s="158"/>
      <c r="E52" s="159"/>
      <c r="F52" s="185"/>
      <c r="G52" s="198"/>
      <c r="H52" s="158"/>
      <c r="I52" s="159"/>
      <c r="J52" s="183"/>
      <c r="K52" s="198"/>
      <c r="L52" s="158"/>
      <c r="M52" s="159"/>
      <c r="N52" s="185"/>
      <c r="O52" s="198"/>
      <c r="P52" s="158"/>
      <c r="Q52" s="159"/>
      <c r="R52" s="185"/>
      <c r="S52" s="198"/>
      <c r="T52" s="333"/>
      <c r="U52" s="157"/>
      <c r="V52" s="157"/>
      <c r="W52" s="157"/>
      <c r="X52" s="157"/>
      <c r="Y52" s="157"/>
      <c r="Z52" s="157"/>
      <c r="AA52" s="157"/>
      <c r="AB52" s="163"/>
      <c r="AC52" s="203"/>
      <c r="AD52" s="203"/>
      <c r="AE52" s="259"/>
      <c r="AG52" s="157"/>
    </row>
    <row r="53" spans="1:33" outlineLevel="1">
      <c r="A53" s="193" t="s">
        <v>458</v>
      </c>
      <c r="B53" s="216"/>
      <c r="C53" s="198">
        <v>0</v>
      </c>
      <c r="E53" s="265"/>
      <c r="F53" s="160"/>
      <c r="G53" s="198">
        <f>D53*E53*F53</f>
        <v>0</v>
      </c>
      <c r="I53" s="265"/>
      <c r="K53" s="198">
        <f>H53*I53*J53</f>
        <v>0</v>
      </c>
      <c r="M53" s="265"/>
      <c r="N53" s="160"/>
      <c r="O53" s="198">
        <f>L53*M53*N53</f>
        <v>0</v>
      </c>
      <c r="Q53" s="265"/>
      <c r="R53" s="160"/>
      <c r="S53" s="198">
        <f>P53*Q53*R53</f>
        <v>0</v>
      </c>
      <c r="T53" s="333">
        <f t="shared" ref="T53" si="37">C53+G53+K53+O53+S53</f>
        <v>0</v>
      </c>
      <c r="AB53" s="163"/>
      <c r="AC53" s="203"/>
      <c r="AD53" s="203"/>
    </row>
    <row r="54" spans="1:33" s="260" customFormat="1" ht="15.6" outlineLevel="1">
      <c r="A54" s="190" t="s">
        <v>525</v>
      </c>
      <c r="B54" s="216"/>
      <c r="C54" s="198"/>
      <c r="D54" s="158"/>
      <c r="E54" s="159"/>
      <c r="F54" s="161"/>
      <c r="G54" s="198"/>
      <c r="H54" s="158"/>
      <c r="I54" s="159"/>
      <c r="J54" s="160"/>
      <c r="K54" s="198"/>
      <c r="L54" s="158"/>
      <c r="M54" s="159"/>
      <c r="N54" s="161"/>
      <c r="O54" s="198"/>
      <c r="P54" s="158"/>
      <c r="Q54" s="159"/>
      <c r="R54" s="161"/>
      <c r="S54" s="198"/>
      <c r="T54" s="333"/>
      <c r="U54" s="157"/>
      <c r="V54" s="157"/>
      <c r="W54" s="157"/>
      <c r="X54" s="157"/>
      <c r="Y54" s="157"/>
      <c r="Z54" s="157"/>
      <c r="AA54" s="157"/>
      <c r="AB54" s="163"/>
      <c r="AC54" s="203"/>
      <c r="AD54" s="203"/>
      <c r="AE54" s="259"/>
      <c r="AG54" s="157"/>
    </row>
    <row r="55" spans="1:33" outlineLevel="1">
      <c r="A55" s="193" t="s">
        <v>458</v>
      </c>
      <c r="B55" s="216"/>
      <c r="C55" s="198">
        <v>0</v>
      </c>
      <c r="E55" s="265"/>
      <c r="F55" s="160"/>
      <c r="G55" s="198">
        <f>D55*E55*F55</f>
        <v>0</v>
      </c>
      <c r="I55" s="265"/>
      <c r="K55" s="198">
        <f>H55*I55*J55</f>
        <v>0</v>
      </c>
      <c r="M55" s="265"/>
      <c r="N55" s="160"/>
      <c r="O55" s="198">
        <f>L55*M55*N55</f>
        <v>0</v>
      </c>
      <c r="Q55" s="265"/>
      <c r="R55" s="160"/>
      <c r="S55" s="198">
        <f>P55*Q55*R55</f>
        <v>0</v>
      </c>
      <c r="T55" s="333">
        <f t="shared" ref="T55" si="38">C55+G55+K55+O55+S55</f>
        <v>0</v>
      </c>
      <c r="AB55" s="163"/>
      <c r="AC55" s="203"/>
      <c r="AD55" s="203"/>
    </row>
    <row r="56" spans="1:33" ht="15" customHeight="1" outlineLevel="1">
      <c r="A56" s="193"/>
      <c r="B56" s="194"/>
      <c r="C56" s="198"/>
      <c r="D56" s="195"/>
      <c r="E56" s="196"/>
      <c r="F56" s="197"/>
      <c r="G56" s="198"/>
      <c r="H56" s="195"/>
      <c r="I56" s="196"/>
      <c r="J56" s="197"/>
      <c r="K56" s="198"/>
      <c r="L56" s="195"/>
      <c r="M56" s="196"/>
      <c r="N56" s="197"/>
      <c r="O56" s="198"/>
      <c r="P56" s="195"/>
      <c r="Q56" s="196"/>
      <c r="R56" s="197"/>
      <c r="S56" s="198"/>
      <c r="T56" s="333"/>
      <c r="U56" s="201"/>
      <c r="V56" s="188"/>
      <c r="W56" s="202"/>
      <c r="X56" s="202"/>
      <c r="AB56" s="163"/>
      <c r="AC56" s="207"/>
      <c r="AD56" s="207"/>
      <c r="AE56" s="204"/>
      <c r="AG56" s="205"/>
    </row>
    <row r="57" spans="1:33" ht="18.3">
      <c r="A57" s="261" t="s">
        <v>526</v>
      </c>
      <c r="B57" s="227"/>
      <c r="C57" s="231">
        <f>SUM(C52:C55)</f>
        <v>0</v>
      </c>
      <c r="D57" s="228"/>
      <c r="E57" s="262"/>
      <c r="F57" s="232"/>
      <c r="G57" s="231">
        <f>SUM(G52:G55)</f>
        <v>0</v>
      </c>
      <c r="H57" s="228"/>
      <c r="I57" s="262"/>
      <c r="J57" s="263"/>
      <c r="K57" s="231">
        <f>SUM(K52:K55)</f>
        <v>0</v>
      </c>
      <c r="L57" s="228"/>
      <c r="M57" s="262"/>
      <c r="N57" s="232"/>
      <c r="O57" s="231">
        <f>SUM(O52:O55)</f>
        <v>0</v>
      </c>
      <c r="P57" s="228"/>
      <c r="Q57" s="262"/>
      <c r="R57" s="232"/>
      <c r="S57" s="231">
        <f>SUM(S52:S55)</f>
        <v>0</v>
      </c>
      <c r="T57" s="336">
        <f>+C57+G57+K57+O57+S57</f>
        <v>0</v>
      </c>
      <c r="U57" s="163"/>
      <c r="V57" s="163"/>
      <c r="W57" s="163"/>
      <c r="X57" s="163"/>
      <c r="Y57" s="163"/>
      <c r="AB57" s="163"/>
      <c r="AC57" s="189"/>
      <c r="AD57" s="189" t="s">
        <v>549</v>
      </c>
      <c r="AE57" s="189"/>
    </row>
    <row r="58" spans="1:33" ht="15.6" outlineLevel="1">
      <c r="A58" s="190" t="s">
        <v>55</v>
      </c>
      <c r="B58" s="264"/>
      <c r="C58" s="248"/>
      <c r="E58" s="265"/>
      <c r="F58" s="267"/>
      <c r="G58" s="221"/>
      <c r="I58" s="265"/>
      <c r="J58" s="266"/>
      <c r="K58" s="221"/>
      <c r="M58" s="265"/>
      <c r="N58" s="267"/>
      <c r="O58" s="221"/>
      <c r="Q58" s="265"/>
      <c r="R58" s="267"/>
      <c r="S58" s="221"/>
      <c r="T58" s="333"/>
      <c r="AB58" s="163"/>
      <c r="AC58" s="203"/>
      <c r="AD58" s="268"/>
    </row>
    <row r="59" spans="1:33" outlineLevel="1">
      <c r="A59" s="193" t="s">
        <v>458</v>
      </c>
      <c r="B59" s="216"/>
      <c r="C59" s="198">
        <v>0</v>
      </c>
      <c r="E59" s="265"/>
      <c r="F59" s="160"/>
      <c r="G59" s="198">
        <f>D59*E59*F59</f>
        <v>0</v>
      </c>
      <c r="I59" s="265"/>
      <c r="K59" s="198">
        <f>H59*I59*J59</f>
        <v>0</v>
      </c>
      <c r="M59" s="265"/>
      <c r="N59" s="160"/>
      <c r="O59" s="198">
        <f>L59*M59*N59</f>
        <v>0</v>
      </c>
      <c r="Q59" s="265"/>
      <c r="R59" s="160"/>
      <c r="S59" s="198">
        <f>P59*Q59*R59</f>
        <v>0</v>
      </c>
      <c r="T59" s="333">
        <f t="shared" ref="T59" si="39">C59+G59+K59+O59+S59</f>
        <v>0</v>
      </c>
      <c r="AB59" s="163"/>
      <c r="AC59" s="203"/>
      <c r="AD59" s="203"/>
    </row>
    <row r="60" spans="1:33" ht="15.6" outlineLevel="1">
      <c r="A60" s="269"/>
      <c r="B60" s="194"/>
      <c r="C60" s="198"/>
      <c r="D60" s="195"/>
      <c r="E60" s="196"/>
      <c r="F60" s="197"/>
      <c r="G60" s="198"/>
      <c r="H60" s="195"/>
      <c r="I60" s="196"/>
      <c r="J60" s="197"/>
      <c r="K60" s="198"/>
      <c r="L60" s="195"/>
      <c r="M60" s="196"/>
      <c r="N60" s="197"/>
      <c r="O60" s="198"/>
      <c r="P60" s="195"/>
      <c r="Q60" s="196"/>
      <c r="R60" s="197"/>
      <c r="S60" s="198"/>
      <c r="T60" s="333"/>
      <c r="AB60" s="163"/>
      <c r="AC60" s="203"/>
      <c r="AD60" s="268"/>
    </row>
    <row r="61" spans="1:33" ht="18.3" outlineLevel="1">
      <c r="A61" s="261" t="s">
        <v>527</v>
      </c>
      <c r="B61" s="227"/>
      <c r="C61" s="231">
        <f>SUM(C59:C59)</f>
        <v>0</v>
      </c>
      <c r="D61" s="228"/>
      <c r="E61" s="262"/>
      <c r="F61" s="232"/>
      <c r="G61" s="231">
        <f>SUM(G59:G59)</f>
        <v>0</v>
      </c>
      <c r="H61" s="228"/>
      <c r="I61" s="262"/>
      <c r="J61" s="263"/>
      <c r="K61" s="231">
        <f>SUM(K59:K59)</f>
        <v>0</v>
      </c>
      <c r="L61" s="228"/>
      <c r="M61" s="262"/>
      <c r="N61" s="232"/>
      <c r="O61" s="231">
        <f>SUM(O59:O59)</f>
        <v>0</v>
      </c>
      <c r="P61" s="228"/>
      <c r="Q61" s="262"/>
      <c r="R61" s="232"/>
      <c r="S61" s="231">
        <f>SUM(S59:S59)</f>
        <v>0</v>
      </c>
      <c r="T61" s="336">
        <f>SUM(T59:T59)</f>
        <v>0</v>
      </c>
      <c r="AB61" s="163"/>
      <c r="AC61" s="203"/>
      <c r="AD61" s="268"/>
    </row>
    <row r="62" spans="1:33" ht="15.6" outlineLevel="1">
      <c r="A62" s="190" t="s">
        <v>528</v>
      </c>
      <c r="B62" s="273"/>
      <c r="C62" s="198"/>
      <c r="E62" s="265"/>
      <c r="G62" s="200"/>
      <c r="I62" s="265"/>
      <c r="K62" s="200"/>
      <c r="M62" s="265"/>
      <c r="O62" s="200"/>
      <c r="Q62" s="265"/>
      <c r="S62" s="200"/>
      <c r="T62" s="333"/>
      <c r="AB62" s="163"/>
    </row>
    <row r="63" spans="1:33" outlineLevel="1">
      <c r="A63" s="193" t="s">
        <v>458</v>
      </c>
      <c r="B63" s="216"/>
      <c r="C63" s="198">
        <v>0</v>
      </c>
      <c r="E63" s="274"/>
      <c r="F63" s="160"/>
      <c r="G63" s="198">
        <f t="shared" ref="G63" si="40">D63*E63*F63</f>
        <v>0</v>
      </c>
      <c r="I63" s="274"/>
      <c r="K63" s="198">
        <f t="shared" ref="K63" si="41">H63*I63*J63</f>
        <v>0</v>
      </c>
      <c r="M63" s="274"/>
      <c r="N63" s="160"/>
      <c r="O63" s="198">
        <f t="shared" ref="O63" si="42">L63*M63*N63</f>
        <v>0</v>
      </c>
      <c r="Q63" s="274"/>
      <c r="R63" s="160"/>
      <c r="S63" s="198">
        <f t="shared" ref="S63" si="43">P63*Q63*R63</f>
        <v>0</v>
      </c>
      <c r="T63" s="333">
        <f t="shared" ref="T63" si="44">C63+G63+K63+O63+S63</f>
        <v>0</v>
      </c>
      <c r="AB63" s="163">
        <v>298</v>
      </c>
      <c r="AC63" s="203" t="s">
        <v>577</v>
      </c>
      <c r="AD63" s="203" t="s">
        <v>578</v>
      </c>
    </row>
    <row r="64" spans="1:33" ht="18.3" outlineLevel="1">
      <c r="A64" s="261" t="s">
        <v>529</v>
      </c>
      <c r="B64" s="227"/>
      <c r="C64" s="231">
        <f>SUM(C63:C63)</f>
        <v>0</v>
      </c>
      <c r="D64" s="228"/>
      <c r="E64" s="262"/>
      <c r="F64" s="232"/>
      <c r="G64" s="231">
        <f>SUM(G63:G63)</f>
        <v>0</v>
      </c>
      <c r="H64" s="228"/>
      <c r="I64" s="262"/>
      <c r="J64" s="263"/>
      <c r="K64" s="231">
        <f>SUM(K63:K63)</f>
        <v>0</v>
      </c>
      <c r="L64" s="228"/>
      <c r="M64" s="262"/>
      <c r="N64" s="232"/>
      <c r="O64" s="231">
        <f>SUM(O63:O63)</f>
        <v>0</v>
      </c>
      <c r="P64" s="228"/>
      <c r="Q64" s="262"/>
      <c r="R64" s="232"/>
      <c r="S64" s="231">
        <f>SUM(S63:S63)</f>
        <v>0</v>
      </c>
      <c r="T64" s="336">
        <f>+C64+G64+K64+O64+S64</f>
        <v>0</v>
      </c>
      <c r="AB64" s="163"/>
      <c r="AC64" s="203"/>
      <c r="AD64" s="268"/>
    </row>
    <row r="65" spans="1:30" ht="15.6" outlineLevel="1">
      <c r="A65" s="190" t="s">
        <v>33</v>
      </c>
      <c r="B65" s="216"/>
      <c r="C65" s="198"/>
      <c r="E65" s="265"/>
      <c r="F65" s="160"/>
      <c r="G65" s="198"/>
      <c r="I65" s="265"/>
      <c r="K65" s="198"/>
      <c r="M65" s="265"/>
      <c r="N65" s="160"/>
      <c r="O65" s="198"/>
      <c r="Q65" s="265"/>
      <c r="R65" s="160"/>
      <c r="S65" s="198"/>
      <c r="T65" s="333"/>
      <c r="AB65" s="163"/>
      <c r="AC65" s="203"/>
      <c r="AD65" s="203"/>
    </row>
    <row r="66" spans="1:30" outlineLevel="1">
      <c r="A66" s="193" t="s">
        <v>458</v>
      </c>
      <c r="B66" s="216"/>
      <c r="C66" s="198">
        <v>0</v>
      </c>
      <c r="E66" s="265"/>
      <c r="F66" s="160"/>
      <c r="G66" s="198">
        <f>D66*E66*F66</f>
        <v>0</v>
      </c>
      <c r="I66" s="265"/>
      <c r="K66" s="198">
        <f>H66*I66*J66</f>
        <v>0</v>
      </c>
      <c r="M66" s="265"/>
      <c r="N66" s="160"/>
      <c r="O66" s="198">
        <f>L66*M66*N66</f>
        <v>0</v>
      </c>
      <c r="Q66" s="265"/>
      <c r="R66" s="160"/>
      <c r="S66" s="198">
        <f>P66*Q66*R66</f>
        <v>0</v>
      </c>
      <c r="T66" s="333">
        <f t="shared" ref="T66" si="45">C66+G66+K66+O66+S66</f>
        <v>0</v>
      </c>
      <c r="AB66" s="163"/>
      <c r="AC66" s="203"/>
      <c r="AD66" s="203"/>
    </row>
    <row r="67" spans="1:30" ht="18.3" outlineLevel="1">
      <c r="A67" s="261" t="s">
        <v>530</v>
      </c>
      <c r="B67" s="227"/>
      <c r="C67" s="231">
        <f>SUM(C63:C63)</f>
        <v>0</v>
      </c>
      <c r="D67" s="228"/>
      <c r="E67" s="262"/>
      <c r="F67" s="232"/>
      <c r="G67" s="231">
        <f>SUM(G63:G63)</f>
        <v>0</v>
      </c>
      <c r="H67" s="228"/>
      <c r="I67" s="262"/>
      <c r="J67" s="263"/>
      <c r="K67" s="231">
        <f>SUM(K63:K63)</f>
        <v>0</v>
      </c>
      <c r="L67" s="228"/>
      <c r="M67" s="262"/>
      <c r="N67" s="232"/>
      <c r="O67" s="231">
        <f>SUM(O63:O63)</f>
        <v>0</v>
      </c>
      <c r="P67" s="228"/>
      <c r="Q67" s="262"/>
      <c r="R67" s="232"/>
      <c r="S67" s="231">
        <f>SUM(S63:S63)</f>
        <v>0</v>
      </c>
      <c r="T67" s="336">
        <f>+C67+G67+K67+O67+S67</f>
        <v>0</v>
      </c>
      <c r="AB67" s="163">
        <v>236</v>
      </c>
      <c r="AC67" s="203" t="s">
        <v>566</v>
      </c>
      <c r="AD67" s="268" t="s">
        <v>567</v>
      </c>
    </row>
    <row r="68" spans="1:30" ht="15.6" outlineLevel="1">
      <c r="A68" s="190" t="s">
        <v>34</v>
      </c>
      <c r="B68" s="264"/>
      <c r="C68" s="248"/>
      <c r="E68" s="265"/>
      <c r="F68" s="267"/>
      <c r="G68" s="221"/>
      <c r="I68" s="265"/>
      <c r="J68" s="266"/>
      <c r="K68" s="221"/>
      <c r="M68" s="265"/>
      <c r="N68" s="267"/>
      <c r="O68" s="221"/>
      <c r="Q68" s="265"/>
      <c r="R68" s="267"/>
      <c r="S68" s="221"/>
      <c r="T68" s="333"/>
      <c r="AB68" s="163">
        <v>236</v>
      </c>
      <c r="AC68" s="203" t="s">
        <v>566</v>
      </c>
      <c r="AD68" s="268" t="s">
        <v>567</v>
      </c>
    </row>
    <row r="69" spans="1:30" outlineLevel="1">
      <c r="A69" s="193" t="s">
        <v>458</v>
      </c>
      <c r="B69" s="216"/>
      <c r="C69" s="198">
        <v>0</v>
      </c>
      <c r="E69" s="265"/>
      <c r="F69" s="160"/>
      <c r="G69" s="198">
        <f>D69*E69*F69</f>
        <v>0</v>
      </c>
      <c r="I69" s="265"/>
      <c r="K69" s="198">
        <f>H69*I69*J69</f>
        <v>0</v>
      </c>
      <c r="M69" s="265"/>
      <c r="N69" s="160"/>
      <c r="O69" s="198">
        <f>L69*M69*N69</f>
        <v>0</v>
      </c>
      <c r="Q69" s="265"/>
      <c r="R69" s="160"/>
      <c r="S69" s="198">
        <f>P69*Q69*R69</f>
        <v>0</v>
      </c>
      <c r="T69" s="333">
        <f t="shared" ref="T69" si="46">C69+G69+K69+O69+S69</f>
        <v>0</v>
      </c>
      <c r="AB69" s="163"/>
      <c r="AC69" s="203"/>
      <c r="AD69" s="203"/>
    </row>
    <row r="70" spans="1:30" outlineLevel="1">
      <c r="A70" s="326"/>
      <c r="B70" s="216"/>
      <c r="C70" s="198"/>
      <c r="D70" s="270"/>
      <c r="E70" s="271"/>
      <c r="F70" s="160"/>
      <c r="G70" s="198"/>
      <c r="H70" s="270"/>
      <c r="I70" s="271"/>
      <c r="K70" s="198"/>
      <c r="L70" s="270"/>
      <c r="M70" s="271"/>
      <c r="N70" s="160"/>
      <c r="O70" s="198"/>
      <c r="P70" s="270"/>
      <c r="Q70" s="271"/>
      <c r="R70" s="160"/>
      <c r="S70" s="198"/>
      <c r="T70" s="333"/>
      <c r="AB70" s="163"/>
      <c r="AC70" s="203"/>
      <c r="AD70" s="268"/>
    </row>
    <row r="71" spans="1:30" ht="18.3" outlineLevel="1">
      <c r="A71" s="261" t="s">
        <v>531</v>
      </c>
      <c r="B71" s="227"/>
      <c r="C71" s="231">
        <f>SUM(C69:C70)</f>
        <v>0</v>
      </c>
      <c r="D71" s="228"/>
      <c r="E71" s="262"/>
      <c r="F71" s="232"/>
      <c r="G71" s="231">
        <f>SUM(G69:G70)</f>
        <v>0</v>
      </c>
      <c r="H71" s="228"/>
      <c r="I71" s="262"/>
      <c r="J71" s="263"/>
      <c r="K71" s="231">
        <f>SUM(K69:K70)</f>
        <v>0</v>
      </c>
      <c r="L71" s="228"/>
      <c r="M71" s="262"/>
      <c r="N71" s="232"/>
      <c r="O71" s="231">
        <f>SUM(O69:O70)</f>
        <v>0</v>
      </c>
      <c r="P71" s="228"/>
      <c r="Q71" s="262"/>
      <c r="R71" s="232"/>
      <c r="S71" s="231">
        <f>SUM(S69:S70)</f>
        <v>0</v>
      </c>
      <c r="T71" s="336">
        <f>+C71+G71+K71+O71+S71</f>
        <v>0</v>
      </c>
      <c r="AB71" s="163"/>
      <c r="AC71" s="203"/>
      <c r="AD71" s="268"/>
    </row>
    <row r="72" spans="1:30" ht="15.6" outlineLevel="1">
      <c r="A72" s="276" t="s">
        <v>532</v>
      </c>
      <c r="B72" s="216"/>
      <c r="C72" s="248"/>
      <c r="D72" s="277"/>
      <c r="E72" s="278"/>
      <c r="G72" s="221"/>
      <c r="H72" s="277"/>
      <c r="I72" s="278"/>
      <c r="K72" s="221"/>
      <c r="L72" s="277"/>
      <c r="M72" s="278"/>
      <c r="O72" s="221"/>
      <c r="P72" s="277"/>
      <c r="Q72" s="278"/>
      <c r="S72" s="221"/>
      <c r="T72" s="333"/>
      <c r="AB72" s="163"/>
      <c r="AC72" s="203"/>
      <c r="AD72" s="268"/>
    </row>
    <row r="73" spans="1:30" ht="15.6" outlineLevel="1">
      <c r="A73" s="190" t="s">
        <v>568</v>
      </c>
      <c r="B73" s="216"/>
      <c r="C73" s="198"/>
      <c r="D73" s="277"/>
      <c r="E73" s="278"/>
      <c r="F73" s="160"/>
      <c r="G73" s="198"/>
      <c r="H73" s="277"/>
      <c r="I73" s="278"/>
      <c r="K73" s="198"/>
      <c r="L73" s="277"/>
      <c r="M73" s="278"/>
      <c r="N73" s="160"/>
      <c r="O73" s="198"/>
      <c r="P73" s="277"/>
      <c r="Q73" s="278"/>
      <c r="R73" s="160"/>
      <c r="S73" s="198"/>
      <c r="T73" s="333"/>
      <c r="AB73" s="163"/>
      <c r="AC73" s="203"/>
      <c r="AD73" s="268"/>
    </row>
    <row r="74" spans="1:30" outlineLevel="1">
      <c r="A74" s="193" t="s">
        <v>458</v>
      </c>
      <c r="B74" s="216"/>
      <c r="C74" s="198">
        <v>0</v>
      </c>
      <c r="E74" s="265"/>
      <c r="F74" s="160"/>
      <c r="G74" s="198">
        <f>D74*E74*F74</f>
        <v>0</v>
      </c>
      <c r="I74" s="265"/>
      <c r="K74" s="198">
        <f>H74*I74*J74</f>
        <v>0</v>
      </c>
      <c r="M74" s="265"/>
      <c r="N74" s="160"/>
      <c r="O74" s="198">
        <f>L74*M74*N74</f>
        <v>0</v>
      </c>
      <c r="Q74" s="265"/>
      <c r="R74" s="160"/>
      <c r="S74" s="198">
        <f>P74*Q74*R74</f>
        <v>0</v>
      </c>
      <c r="T74" s="333">
        <f t="shared" ref="T74" si="47">C74+G74+K74+O74+S74</f>
        <v>0</v>
      </c>
      <c r="AB74" s="163"/>
      <c r="AC74" s="203"/>
      <c r="AD74" s="203"/>
    </row>
    <row r="75" spans="1:30" ht="15.6" outlineLevel="1">
      <c r="A75" s="281"/>
      <c r="B75" s="241"/>
      <c r="C75" s="245"/>
      <c r="D75" s="279"/>
      <c r="E75" s="280"/>
      <c r="F75" s="244"/>
      <c r="G75" s="245"/>
      <c r="H75" s="279"/>
      <c r="I75" s="280"/>
      <c r="J75" s="244"/>
      <c r="K75" s="245"/>
      <c r="L75" s="279"/>
      <c r="M75" s="280"/>
      <c r="N75" s="244"/>
      <c r="O75" s="245"/>
      <c r="P75" s="279"/>
      <c r="Q75" s="280"/>
      <c r="R75" s="244"/>
      <c r="S75" s="245"/>
      <c r="T75" s="333"/>
      <c r="AB75" s="163"/>
      <c r="AC75" s="203"/>
      <c r="AD75" s="268"/>
    </row>
    <row r="76" spans="1:30" ht="18.3" outlineLevel="1">
      <c r="A76" s="282" t="s">
        <v>537</v>
      </c>
      <c r="B76" s="227"/>
      <c r="C76" s="254">
        <f>SUM(C73:C74)</f>
        <v>0</v>
      </c>
      <c r="D76" s="251"/>
      <c r="E76" s="252"/>
      <c r="F76" s="255"/>
      <c r="G76" s="254">
        <f>SUM(G73:G74)</f>
        <v>0</v>
      </c>
      <c r="H76" s="251"/>
      <c r="I76" s="252"/>
      <c r="J76" s="283"/>
      <c r="K76" s="254">
        <f>SUM(K73:K74)</f>
        <v>0</v>
      </c>
      <c r="L76" s="251"/>
      <c r="M76" s="252"/>
      <c r="N76" s="255"/>
      <c r="O76" s="254">
        <f>SUM(O73:O74)</f>
        <v>0</v>
      </c>
      <c r="P76" s="251"/>
      <c r="Q76" s="252"/>
      <c r="R76" s="255"/>
      <c r="S76" s="254">
        <f>SUM(S73:S74)</f>
        <v>0</v>
      </c>
      <c r="T76" s="336">
        <f>+C76+G76+K76+O76+S76</f>
        <v>0</v>
      </c>
      <c r="AB76" s="163">
        <v>250</v>
      </c>
      <c r="AC76" s="203" t="s">
        <v>569</v>
      </c>
      <c r="AD76" s="268" t="s">
        <v>570</v>
      </c>
    </row>
    <row r="77" spans="1:30" ht="15.6" outlineLevel="1">
      <c r="A77" s="284"/>
      <c r="B77" s="239"/>
      <c r="C77" s="198"/>
      <c r="D77" s="277"/>
      <c r="E77" s="278"/>
      <c r="G77" s="200"/>
      <c r="H77" s="277"/>
      <c r="I77" s="278"/>
      <c r="K77" s="200"/>
      <c r="L77" s="277"/>
      <c r="M77" s="278"/>
      <c r="O77" s="200"/>
      <c r="P77" s="277"/>
      <c r="Q77" s="278"/>
      <c r="S77" s="200"/>
      <c r="T77" s="333"/>
      <c r="AB77" s="163">
        <v>317</v>
      </c>
      <c r="AC77" s="203" t="s">
        <v>571</v>
      </c>
      <c r="AD77" s="268" t="s">
        <v>572</v>
      </c>
    </row>
    <row r="78" spans="1:30" ht="18.3" outlineLevel="1">
      <c r="A78" s="285" t="s">
        <v>538</v>
      </c>
      <c r="B78" s="286"/>
      <c r="C78" s="290">
        <f>C41+C51+C57+C67+C71+C61+C76</f>
        <v>272696.75</v>
      </c>
      <c r="D78" s="287"/>
      <c r="E78" s="288"/>
      <c r="F78" s="291"/>
      <c r="G78" s="290">
        <f>G41+G51+G57+G67+G71+G61+G76</f>
        <v>0</v>
      </c>
      <c r="H78" s="287"/>
      <c r="I78" s="288"/>
      <c r="J78" s="289"/>
      <c r="K78" s="290">
        <f>K41+K51+K57+K67+K71+K61+K76</f>
        <v>0</v>
      </c>
      <c r="L78" s="287"/>
      <c r="M78" s="288"/>
      <c r="N78" s="291"/>
      <c r="O78" s="290">
        <f>O41+O51+O57+O67+O71+O61+O76</f>
        <v>0</v>
      </c>
      <c r="P78" s="287"/>
      <c r="Q78" s="288"/>
      <c r="R78" s="291"/>
      <c r="S78" s="290">
        <f>S41+S51+S57+S67+S71+S61+S76</f>
        <v>0</v>
      </c>
      <c r="T78" s="339">
        <f>T41+T51+T57+T67+T71+T61+T76</f>
        <v>272696.75</v>
      </c>
      <c r="AB78" s="163">
        <v>318</v>
      </c>
      <c r="AC78" s="203" t="s">
        <v>573</v>
      </c>
      <c r="AD78" s="268" t="s">
        <v>574</v>
      </c>
    </row>
    <row r="79" spans="1:30">
      <c r="A79" s="329"/>
      <c r="B79" s="239"/>
      <c r="C79" s="198"/>
      <c r="D79" s="277"/>
      <c r="E79" s="278"/>
      <c r="G79" s="200"/>
      <c r="H79" s="277"/>
      <c r="I79" s="278"/>
      <c r="K79" s="200"/>
      <c r="L79" s="277"/>
      <c r="M79" s="278"/>
      <c r="O79" s="200"/>
      <c r="P79" s="277"/>
      <c r="Q79" s="278"/>
      <c r="S79" s="200"/>
      <c r="T79" s="333"/>
    </row>
    <row r="80" spans="1:30" ht="20.399999999999999">
      <c r="A80" s="292" t="s">
        <v>59</v>
      </c>
      <c r="B80" s="293"/>
      <c r="C80" s="294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340"/>
    </row>
    <row r="81" spans="1:20" ht="15" customHeight="1">
      <c r="A81" s="295" t="s">
        <v>60</v>
      </c>
      <c r="B81" s="349" t="s">
        <v>132</v>
      </c>
      <c r="C81" s="198">
        <v>0</v>
      </c>
      <c r="D81" s="195">
        <v>0</v>
      </c>
      <c r="E81" s="196">
        <v>0</v>
      </c>
      <c r="F81" s="197">
        <v>0.2828</v>
      </c>
      <c r="G81" s="198">
        <f>D81*E81*F81</f>
        <v>0</v>
      </c>
      <c r="H81" s="195">
        <v>0</v>
      </c>
      <c r="I81" s="196">
        <v>0</v>
      </c>
      <c r="J81" s="197">
        <v>0.2828</v>
      </c>
      <c r="K81" s="198">
        <f>H81*I81*J81</f>
        <v>0</v>
      </c>
      <c r="L81" s="195">
        <v>0</v>
      </c>
      <c r="M81" s="196">
        <v>0</v>
      </c>
      <c r="N81" s="197">
        <v>0.2828</v>
      </c>
      <c r="O81" s="198">
        <f>L81*M81*N81</f>
        <v>0</v>
      </c>
      <c r="P81" s="195">
        <v>0</v>
      </c>
      <c r="Q81" s="196">
        <v>0</v>
      </c>
      <c r="R81" s="197">
        <v>0.2828</v>
      </c>
      <c r="S81" s="198">
        <f>P81*Q81*R81</f>
        <v>0</v>
      </c>
      <c r="T81" s="333">
        <f>C81+G81+K81+O81+S81</f>
        <v>0</v>
      </c>
    </row>
    <row r="82" spans="1:20" ht="15" customHeight="1">
      <c r="A82" s="295" t="s">
        <v>61</v>
      </c>
      <c r="B82" s="349" t="s">
        <v>132</v>
      </c>
      <c r="C82" s="198">
        <v>79531.544790818167</v>
      </c>
      <c r="D82" s="195">
        <f>G78</f>
        <v>0</v>
      </c>
      <c r="E82" s="196">
        <v>0</v>
      </c>
      <c r="F82" s="197">
        <v>0.2828</v>
      </c>
      <c r="G82" s="198">
        <f>D82*E82*F82</f>
        <v>0</v>
      </c>
      <c r="H82" s="195">
        <f>K78</f>
        <v>0</v>
      </c>
      <c r="I82" s="196">
        <v>0</v>
      </c>
      <c r="J82" s="197">
        <v>0.2828</v>
      </c>
      <c r="K82" s="198">
        <f>H82*I82*J82</f>
        <v>0</v>
      </c>
      <c r="L82" s="195">
        <f>O78</f>
        <v>0</v>
      </c>
      <c r="M82" s="196">
        <v>0</v>
      </c>
      <c r="N82" s="197">
        <v>0.2828</v>
      </c>
      <c r="O82" s="198">
        <f>L82*M82*N82</f>
        <v>0</v>
      </c>
      <c r="P82" s="195">
        <f>S78</f>
        <v>0</v>
      </c>
      <c r="Q82" s="196">
        <v>0</v>
      </c>
      <c r="R82" s="197">
        <v>0.2828</v>
      </c>
      <c r="S82" s="198">
        <f>P82*Q82*R82</f>
        <v>0</v>
      </c>
      <c r="T82" s="333">
        <f>C82+G82+K82+O82+S82</f>
        <v>79531.544790818167</v>
      </c>
    </row>
    <row r="83" spans="1:20">
      <c r="A83" s="297"/>
      <c r="B83" s="239"/>
      <c r="C83" s="198"/>
      <c r="D83" s="270"/>
      <c r="E83" s="298"/>
      <c r="F83" s="199"/>
      <c r="G83" s="198"/>
      <c r="H83" s="270"/>
      <c r="I83" s="298"/>
      <c r="J83" s="299"/>
      <c r="K83" s="198"/>
      <c r="L83" s="270"/>
      <c r="M83" s="298"/>
      <c r="N83" s="199"/>
      <c r="O83" s="198"/>
      <c r="P83" s="270"/>
      <c r="Q83" s="298"/>
      <c r="R83" s="199"/>
      <c r="S83" s="198"/>
      <c r="T83" s="333"/>
    </row>
    <row r="84" spans="1:20" ht="18.3">
      <c r="A84" s="285" t="s">
        <v>539</v>
      </c>
      <c r="B84" s="286"/>
      <c r="C84" s="290">
        <f>SUM(C81:C83)</f>
        <v>79531.544790818167</v>
      </c>
      <c r="D84" s="287"/>
      <c r="E84" s="288"/>
      <c r="F84" s="291"/>
      <c r="G84" s="290">
        <f>SUM(G81:G83)</f>
        <v>0</v>
      </c>
      <c r="H84" s="287"/>
      <c r="I84" s="288"/>
      <c r="J84" s="289"/>
      <c r="K84" s="290">
        <f>SUM(K81:K83)</f>
        <v>0</v>
      </c>
      <c r="L84" s="287"/>
      <c r="M84" s="288"/>
      <c r="N84" s="291"/>
      <c r="O84" s="290">
        <f>SUM(O81:O83)</f>
        <v>0</v>
      </c>
      <c r="P84" s="287"/>
      <c r="Q84" s="288"/>
      <c r="R84" s="291"/>
      <c r="S84" s="290">
        <f>SUM(S81:S83)</f>
        <v>0</v>
      </c>
      <c r="T84" s="339">
        <f>SUM(T81:T83)</f>
        <v>79531.544790818167</v>
      </c>
    </row>
    <row r="85" spans="1:20">
      <c r="A85" s="198"/>
      <c r="B85" s="239"/>
      <c r="C85" s="198"/>
      <c r="D85" s="270"/>
      <c r="E85" s="298"/>
      <c r="F85" s="199"/>
      <c r="G85" s="198"/>
      <c r="H85" s="270"/>
      <c r="I85" s="298"/>
      <c r="J85" s="299"/>
      <c r="K85" s="198"/>
      <c r="L85" s="270"/>
      <c r="M85" s="298"/>
      <c r="N85" s="199"/>
      <c r="O85" s="198"/>
      <c r="P85" s="270"/>
      <c r="Q85" s="298"/>
      <c r="R85" s="199"/>
      <c r="S85" s="198"/>
      <c r="T85" s="333"/>
    </row>
    <row r="86" spans="1:20" ht="18.3">
      <c r="A86" s="304" t="s">
        <v>540</v>
      </c>
      <c r="B86" s="305"/>
      <c r="C86" s="309">
        <f>C78+C84</f>
        <v>352228.29479081818</v>
      </c>
      <c r="D86" s="306"/>
      <c r="E86" s="307"/>
      <c r="F86" s="310"/>
      <c r="G86" s="309">
        <f>G78+G84</f>
        <v>0</v>
      </c>
      <c r="H86" s="306"/>
      <c r="I86" s="307"/>
      <c r="J86" s="308"/>
      <c r="K86" s="309">
        <f>K78+K84</f>
        <v>0</v>
      </c>
      <c r="L86" s="306"/>
      <c r="M86" s="307"/>
      <c r="N86" s="310"/>
      <c r="O86" s="309">
        <f>O78+O84</f>
        <v>0</v>
      </c>
      <c r="P86" s="306"/>
      <c r="Q86" s="307"/>
      <c r="R86" s="310"/>
      <c r="S86" s="309">
        <f>S78+S84</f>
        <v>0</v>
      </c>
      <c r="T86" s="341">
        <f>C86+G86+K86+O86+S86</f>
        <v>352228.29479081818</v>
      </c>
    </row>
    <row r="87" spans="1:20" ht="15.6">
      <c r="A87" s="312" t="s">
        <v>575</v>
      </c>
      <c r="B87" s="313"/>
      <c r="C87" s="245">
        <f>'Program Budget'!U195</f>
        <v>0</v>
      </c>
      <c r="D87" s="242"/>
      <c r="E87" s="314"/>
      <c r="F87" s="315"/>
      <c r="G87" s="245">
        <f t="shared" ref="G87" si="48">D87*E87*F87</f>
        <v>0</v>
      </c>
      <c r="H87" s="242"/>
      <c r="I87" s="314"/>
      <c r="J87" s="244"/>
      <c r="K87" s="245">
        <f t="shared" ref="K87" si="49">H87*I87*J87</f>
        <v>0</v>
      </c>
      <c r="L87" s="242"/>
      <c r="M87" s="314"/>
      <c r="N87" s="315"/>
      <c r="O87" s="245">
        <f t="shared" ref="O87" si="50">L87*M87*N87</f>
        <v>0</v>
      </c>
      <c r="P87" s="242"/>
      <c r="Q87" s="314"/>
      <c r="R87" s="315"/>
      <c r="S87" s="245">
        <f t="shared" ref="S87" si="51">P87*Q87*R87</f>
        <v>0</v>
      </c>
      <c r="T87" s="335">
        <f>C87+G87+K87+O87+S87</f>
        <v>0</v>
      </c>
    </row>
    <row r="88" spans="1:20" ht="18.3">
      <c r="A88" s="304" t="s">
        <v>541</v>
      </c>
      <c r="B88" s="305"/>
      <c r="C88" s="309">
        <f>C86+C87</f>
        <v>352228.29479081818</v>
      </c>
      <c r="D88" s="306"/>
      <c r="E88" s="307"/>
      <c r="F88" s="310"/>
      <c r="G88" s="309">
        <f>G86+G87</f>
        <v>0</v>
      </c>
      <c r="H88" s="306"/>
      <c r="I88" s="307"/>
      <c r="J88" s="308"/>
      <c r="K88" s="309">
        <f>K86+K87</f>
        <v>0</v>
      </c>
      <c r="L88" s="306"/>
      <c r="M88" s="307"/>
      <c r="N88" s="310"/>
      <c r="O88" s="309">
        <f>O86+O87</f>
        <v>0</v>
      </c>
      <c r="P88" s="306"/>
      <c r="Q88" s="307"/>
      <c r="R88" s="310"/>
      <c r="S88" s="309">
        <f>S86+S87</f>
        <v>0</v>
      </c>
      <c r="T88" s="341">
        <f>C88+G88+K88+O88+S88</f>
        <v>352228.29479081818</v>
      </c>
    </row>
    <row r="89" spans="1:20">
      <c r="A89" s="194"/>
      <c r="B89" s="194"/>
      <c r="T89" s="333"/>
    </row>
    <row r="90" spans="1:20" ht="31.2">
      <c r="A90" s="316" t="s">
        <v>542</v>
      </c>
      <c r="B90" s="317"/>
      <c r="C90" s="321"/>
      <c r="D90" s="318"/>
      <c r="E90" s="319"/>
      <c r="F90" s="322"/>
      <c r="G90" s="323"/>
      <c r="H90" s="318"/>
      <c r="I90" s="319"/>
      <c r="J90" s="320"/>
      <c r="K90" s="323"/>
      <c r="L90" s="318"/>
      <c r="M90" s="319"/>
      <c r="N90" s="322"/>
      <c r="O90" s="323"/>
      <c r="P90" s="318"/>
      <c r="Q90" s="319"/>
      <c r="R90" s="322"/>
      <c r="S90" s="323"/>
      <c r="T90" s="342"/>
    </row>
  </sheetData>
  <mergeCells count="8">
    <mergeCell ref="P2:S2"/>
    <mergeCell ref="T2:T3"/>
    <mergeCell ref="A2:A3"/>
    <mergeCell ref="B2:B3"/>
    <mergeCell ref="D2:G2"/>
    <mergeCell ref="H2:K2"/>
    <mergeCell ref="L2:O2"/>
    <mergeCell ref="C2:C3"/>
  </mergeCells>
  <printOptions horizontalCentered="1"/>
  <pageMargins left="0.25" right="0.25" top="0.75" bottom="0.75" header="0.3" footer="0.3"/>
  <pageSetup scale="35" orientation="landscape" r:id="rId1"/>
  <headerFooter alignWithMargins="0"/>
  <rowBreaks count="1" manualBreakCount="1">
    <brk id="85" max="1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1038-78E6-4C88-B8D5-81AB78946C2D}">
  <sheetPr>
    <tabColor theme="6" tint="0.39997558519241921"/>
    <pageSetUpPr fitToPage="1"/>
  </sheetPr>
  <dimension ref="A1:AG99"/>
  <sheetViews>
    <sheetView showOutlineSymbols="0" showWhiteSpace="0" zoomScale="70" zoomScaleNormal="70" workbookViewId="0">
      <pane xSplit="2" ySplit="3" topLeftCell="C68" activePane="bottomRight" state="frozen"/>
      <selection pane="topRight" activeCell="C84" sqref="C84"/>
      <selection pane="bottomLeft" activeCell="C84" sqref="C84"/>
      <selection pane="bottomRight" activeCell="T95" sqref="T95:T96"/>
    </sheetView>
  </sheetViews>
  <sheetFormatPr defaultColWidth="8.71875" defaultRowHeight="14.4" outlineLevelRow="1" outlineLevelCol="1"/>
  <cols>
    <col min="1" max="1" width="58.83203125" style="157" customWidth="1"/>
    <col min="2" max="2" width="13" style="157" customWidth="1"/>
    <col min="3" max="3" width="15.1640625" style="157" customWidth="1"/>
    <col min="4" max="4" width="15.1640625" style="158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158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158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158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158" customWidth="1"/>
    <col min="21" max="21" width="11.44140625" style="157" bestFit="1" customWidth="1"/>
    <col min="22" max="22" width="8.83203125" style="157" customWidth="1"/>
    <col min="23" max="23" width="10.83203125" style="157" customWidth="1"/>
    <col min="24" max="24" width="8.83203125" style="157" customWidth="1"/>
    <col min="25" max="25" width="10.83203125" style="157" customWidth="1"/>
    <col min="26" max="26" width="4.83203125" style="157" customWidth="1"/>
    <col min="27" max="27" width="4.83203125" style="157" hidden="1" customWidth="1"/>
    <col min="28" max="28" width="7" style="162" hidden="1" customWidth="1"/>
    <col min="29" max="29" width="19.1640625" style="157" hidden="1" customWidth="1"/>
    <col min="30" max="30" width="34" style="157" hidden="1" customWidth="1"/>
    <col min="31" max="31" width="9.83203125" style="157" hidden="1" customWidth="1"/>
    <col min="32" max="32" width="9.83203125" style="157" customWidth="1"/>
    <col min="33" max="33" width="14.1640625" style="157" customWidth="1"/>
    <col min="34" max="261" width="8.83203125" style="157"/>
    <col min="262" max="262" width="38.1640625" style="157" customWidth="1"/>
    <col min="263" max="263" width="23.44140625" style="157" bestFit="1" customWidth="1"/>
    <col min="264" max="265" width="9.1640625" style="157" customWidth="1"/>
    <col min="266" max="266" width="11.1640625" style="157" bestFit="1" customWidth="1"/>
    <col min="267" max="267" width="14.44140625" style="157" bestFit="1" customWidth="1"/>
    <col min="268" max="268" width="8.1640625" style="157" customWidth="1"/>
    <col min="269" max="269" width="10.83203125" style="157" bestFit="1" customWidth="1"/>
    <col min="270" max="270" width="12.1640625" style="157" bestFit="1" customWidth="1"/>
    <col min="271" max="271" width="9.1640625" style="157" customWidth="1"/>
    <col min="272" max="272" width="10.83203125" style="157" bestFit="1" customWidth="1"/>
    <col min="273" max="273" width="12.1640625" style="157" bestFit="1" customWidth="1"/>
    <col min="274" max="274" width="8" style="157" customWidth="1"/>
    <col min="275" max="275" width="10.83203125" style="157" bestFit="1" customWidth="1"/>
    <col min="276" max="276" width="12.1640625" style="157" bestFit="1" customWidth="1"/>
    <col min="277" max="277" width="8.1640625" style="157" bestFit="1" customWidth="1"/>
    <col min="278" max="278" width="10.83203125" style="157" bestFit="1" customWidth="1"/>
    <col min="279" max="279" width="12.1640625" style="157" bestFit="1" customWidth="1"/>
    <col min="280" max="280" width="18.1640625" style="157" bestFit="1" customWidth="1"/>
    <col min="281" max="281" width="10.83203125" style="157" bestFit="1" customWidth="1"/>
    <col min="282" max="517" width="8.83203125" style="157"/>
    <col min="518" max="518" width="38.1640625" style="157" customWidth="1"/>
    <col min="519" max="519" width="23.44140625" style="157" bestFit="1" customWidth="1"/>
    <col min="520" max="521" width="9.1640625" style="157" customWidth="1"/>
    <col min="522" max="522" width="11.1640625" style="157" bestFit="1" customWidth="1"/>
    <col min="523" max="523" width="14.44140625" style="157" bestFit="1" customWidth="1"/>
    <col min="524" max="524" width="8.1640625" style="157" customWidth="1"/>
    <col min="525" max="525" width="10.83203125" style="157" bestFit="1" customWidth="1"/>
    <col min="526" max="526" width="12.1640625" style="157" bestFit="1" customWidth="1"/>
    <col min="527" max="527" width="9.1640625" style="157" customWidth="1"/>
    <col min="528" max="528" width="10.83203125" style="157" bestFit="1" customWidth="1"/>
    <col min="529" max="529" width="12.1640625" style="157" bestFit="1" customWidth="1"/>
    <col min="530" max="530" width="8" style="157" customWidth="1"/>
    <col min="531" max="531" width="10.83203125" style="157" bestFit="1" customWidth="1"/>
    <col min="532" max="532" width="12.1640625" style="157" bestFit="1" customWidth="1"/>
    <col min="533" max="533" width="8.1640625" style="157" bestFit="1" customWidth="1"/>
    <col min="534" max="534" width="10.83203125" style="157" bestFit="1" customWidth="1"/>
    <col min="535" max="535" width="12.1640625" style="157" bestFit="1" customWidth="1"/>
    <col min="536" max="536" width="18.1640625" style="157" bestFit="1" customWidth="1"/>
    <col min="537" max="537" width="10.83203125" style="157" bestFit="1" customWidth="1"/>
    <col min="538" max="773" width="8.83203125" style="157"/>
    <col min="774" max="774" width="38.1640625" style="157" customWidth="1"/>
    <col min="775" max="775" width="23.44140625" style="157" bestFit="1" customWidth="1"/>
    <col min="776" max="777" width="9.1640625" style="157" customWidth="1"/>
    <col min="778" max="778" width="11.1640625" style="157" bestFit="1" customWidth="1"/>
    <col min="779" max="779" width="14.44140625" style="157" bestFit="1" customWidth="1"/>
    <col min="780" max="780" width="8.1640625" style="157" customWidth="1"/>
    <col min="781" max="781" width="10.83203125" style="157" bestFit="1" customWidth="1"/>
    <col min="782" max="782" width="12.1640625" style="157" bestFit="1" customWidth="1"/>
    <col min="783" max="783" width="9.1640625" style="157" customWidth="1"/>
    <col min="784" max="784" width="10.83203125" style="157" bestFit="1" customWidth="1"/>
    <col min="785" max="785" width="12.1640625" style="157" bestFit="1" customWidth="1"/>
    <col min="786" max="786" width="8" style="157" customWidth="1"/>
    <col min="787" max="787" width="10.83203125" style="157" bestFit="1" customWidth="1"/>
    <col min="788" max="788" width="12.1640625" style="157" bestFit="1" customWidth="1"/>
    <col min="789" max="789" width="8.1640625" style="157" bestFit="1" customWidth="1"/>
    <col min="790" max="790" width="10.83203125" style="157" bestFit="1" customWidth="1"/>
    <col min="791" max="791" width="12.1640625" style="157" bestFit="1" customWidth="1"/>
    <col min="792" max="792" width="18.1640625" style="157" bestFit="1" customWidth="1"/>
    <col min="793" max="793" width="10.83203125" style="157" bestFit="1" customWidth="1"/>
    <col min="794" max="1029" width="8.83203125" style="157"/>
    <col min="1030" max="1030" width="38.1640625" style="157" customWidth="1"/>
    <col min="1031" max="1031" width="23.44140625" style="157" bestFit="1" customWidth="1"/>
    <col min="1032" max="1033" width="9.1640625" style="157" customWidth="1"/>
    <col min="1034" max="1034" width="11.1640625" style="157" bestFit="1" customWidth="1"/>
    <col min="1035" max="1035" width="14.44140625" style="157" bestFit="1" customWidth="1"/>
    <col min="1036" max="1036" width="8.1640625" style="157" customWidth="1"/>
    <col min="1037" max="1037" width="10.83203125" style="157" bestFit="1" customWidth="1"/>
    <col min="1038" max="1038" width="12.1640625" style="157" bestFit="1" customWidth="1"/>
    <col min="1039" max="1039" width="9.1640625" style="157" customWidth="1"/>
    <col min="1040" max="1040" width="10.83203125" style="157" bestFit="1" customWidth="1"/>
    <col min="1041" max="1041" width="12.1640625" style="157" bestFit="1" customWidth="1"/>
    <col min="1042" max="1042" width="8" style="157" customWidth="1"/>
    <col min="1043" max="1043" width="10.83203125" style="157" bestFit="1" customWidth="1"/>
    <col min="1044" max="1044" width="12.1640625" style="157" bestFit="1" customWidth="1"/>
    <col min="1045" max="1045" width="8.1640625" style="157" bestFit="1" customWidth="1"/>
    <col min="1046" max="1046" width="10.83203125" style="157" bestFit="1" customWidth="1"/>
    <col min="1047" max="1047" width="12.1640625" style="157" bestFit="1" customWidth="1"/>
    <col min="1048" max="1048" width="18.1640625" style="157" bestFit="1" customWidth="1"/>
    <col min="1049" max="1049" width="10.83203125" style="157" bestFit="1" customWidth="1"/>
    <col min="1050" max="1285" width="8.83203125" style="157"/>
    <col min="1286" max="1286" width="38.1640625" style="157" customWidth="1"/>
    <col min="1287" max="1287" width="23.44140625" style="157" bestFit="1" customWidth="1"/>
    <col min="1288" max="1289" width="9.1640625" style="157" customWidth="1"/>
    <col min="1290" max="1290" width="11.1640625" style="157" bestFit="1" customWidth="1"/>
    <col min="1291" max="1291" width="14.44140625" style="157" bestFit="1" customWidth="1"/>
    <col min="1292" max="1292" width="8.1640625" style="157" customWidth="1"/>
    <col min="1293" max="1293" width="10.83203125" style="157" bestFit="1" customWidth="1"/>
    <col min="1294" max="1294" width="12.1640625" style="157" bestFit="1" customWidth="1"/>
    <col min="1295" max="1295" width="9.1640625" style="157" customWidth="1"/>
    <col min="1296" max="1296" width="10.83203125" style="157" bestFit="1" customWidth="1"/>
    <col min="1297" max="1297" width="12.1640625" style="157" bestFit="1" customWidth="1"/>
    <col min="1298" max="1298" width="8" style="157" customWidth="1"/>
    <col min="1299" max="1299" width="10.83203125" style="157" bestFit="1" customWidth="1"/>
    <col min="1300" max="1300" width="12.1640625" style="157" bestFit="1" customWidth="1"/>
    <col min="1301" max="1301" width="8.1640625" style="157" bestFit="1" customWidth="1"/>
    <col min="1302" max="1302" width="10.83203125" style="157" bestFit="1" customWidth="1"/>
    <col min="1303" max="1303" width="12.1640625" style="157" bestFit="1" customWidth="1"/>
    <col min="1304" max="1304" width="18.1640625" style="157" bestFit="1" customWidth="1"/>
    <col min="1305" max="1305" width="10.83203125" style="157" bestFit="1" customWidth="1"/>
    <col min="1306" max="1541" width="8.83203125" style="157"/>
    <col min="1542" max="1542" width="38.1640625" style="157" customWidth="1"/>
    <col min="1543" max="1543" width="23.44140625" style="157" bestFit="1" customWidth="1"/>
    <col min="1544" max="1545" width="9.1640625" style="157" customWidth="1"/>
    <col min="1546" max="1546" width="11.1640625" style="157" bestFit="1" customWidth="1"/>
    <col min="1547" max="1547" width="14.44140625" style="157" bestFit="1" customWidth="1"/>
    <col min="1548" max="1548" width="8.1640625" style="157" customWidth="1"/>
    <col min="1549" max="1549" width="10.83203125" style="157" bestFit="1" customWidth="1"/>
    <col min="1550" max="1550" width="12.1640625" style="157" bestFit="1" customWidth="1"/>
    <col min="1551" max="1551" width="9.1640625" style="157" customWidth="1"/>
    <col min="1552" max="1552" width="10.83203125" style="157" bestFit="1" customWidth="1"/>
    <col min="1553" max="1553" width="12.1640625" style="157" bestFit="1" customWidth="1"/>
    <col min="1554" max="1554" width="8" style="157" customWidth="1"/>
    <col min="1555" max="1555" width="10.83203125" style="157" bestFit="1" customWidth="1"/>
    <col min="1556" max="1556" width="12.1640625" style="157" bestFit="1" customWidth="1"/>
    <col min="1557" max="1557" width="8.1640625" style="157" bestFit="1" customWidth="1"/>
    <col min="1558" max="1558" width="10.83203125" style="157" bestFit="1" customWidth="1"/>
    <col min="1559" max="1559" width="12.1640625" style="157" bestFit="1" customWidth="1"/>
    <col min="1560" max="1560" width="18.1640625" style="157" bestFit="1" customWidth="1"/>
    <col min="1561" max="1561" width="10.83203125" style="157" bestFit="1" customWidth="1"/>
    <col min="1562" max="1797" width="8.83203125" style="157"/>
    <col min="1798" max="1798" width="38.1640625" style="157" customWidth="1"/>
    <col min="1799" max="1799" width="23.44140625" style="157" bestFit="1" customWidth="1"/>
    <col min="1800" max="1801" width="9.1640625" style="157" customWidth="1"/>
    <col min="1802" max="1802" width="11.1640625" style="157" bestFit="1" customWidth="1"/>
    <col min="1803" max="1803" width="14.44140625" style="157" bestFit="1" customWidth="1"/>
    <col min="1804" max="1804" width="8.1640625" style="157" customWidth="1"/>
    <col min="1805" max="1805" width="10.83203125" style="157" bestFit="1" customWidth="1"/>
    <col min="1806" max="1806" width="12.1640625" style="157" bestFit="1" customWidth="1"/>
    <col min="1807" max="1807" width="9.1640625" style="157" customWidth="1"/>
    <col min="1808" max="1808" width="10.83203125" style="157" bestFit="1" customWidth="1"/>
    <col min="1809" max="1809" width="12.1640625" style="157" bestFit="1" customWidth="1"/>
    <col min="1810" max="1810" width="8" style="157" customWidth="1"/>
    <col min="1811" max="1811" width="10.83203125" style="157" bestFit="1" customWidth="1"/>
    <col min="1812" max="1812" width="12.1640625" style="157" bestFit="1" customWidth="1"/>
    <col min="1813" max="1813" width="8.1640625" style="157" bestFit="1" customWidth="1"/>
    <col min="1814" max="1814" width="10.83203125" style="157" bestFit="1" customWidth="1"/>
    <col min="1815" max="1815" width="12.1640625" style="157" bestFit="1" customWidth="1"/>
    <col min="1816" max="1816" width="18.1640625" style="157" bestFit="1" customWidth="1"/>
    <col min="1817" max="1817" width="10.83203125" style="157" bestFit="1" customWidth="1"/>
    <col min="1818" max="2053" width="8.83203125" style="157"/>
    <col min="2054" max="2054" width="38.1640625" style="157" customWidth="1"/>
    <col min="2055" max="2055" width="23.44140625" style="157" bestFit="1" customWidth="1"/>
    <col min="2056" max="2057" width="9.1640625" style="157" customWidth="1"/>
    <col min="2058" max="2058" width="11.1640625" style="157" bestFit="1" customWidth="1"/>
    <col min="2059" max="2059" width="14.44140625" style="157" bestFit="1" customWidth="1"/>
    <col min="2060" max="2060" width="8.1640625" style="157" customWidth="1"/>
    <col min="2061" max="2061" width="10.83203125" style="157" bestFit="1" customWidth="1"/>
    <col min="2062" max="2062" width="12.1640625" style="157" bestFit="1" customWidth="1"/>
    <col min="2063" max="2063" width="9.1640625" style="157" customWidth="1"/>
    <col min="2064" max="2064" width="10.83203125" style="157" bestFit="1" customWidth="1"/>
    <col min="2065" max="2065" width="12.1640625" style="157" bestFit="1" customWidth="1"/>
    <col min="2066" max="2066" width="8" style="157" customWidth="1"/>
    <col min="2067" max="2067" width="10.83203125" style="157" bestFit="1" customWidth="1"/>
    <col min="2068" max="2068" width="12.1640625" style="157" bestFit="1" customWidth="1"/>
    <col min="2069" max="2069" width="8.1640625" style="157" bestFit="1" customWidth="1"/>
    <col min="2070" max="2070" width="10.83203125" style="157" bestFit="1" customWidth="1"/>
    <col min="2071" max="2071" width="12.1640625" style="157" bestFit="1" customWidth="1"/>
    <col min="2072" max="2072" width="18.1640625" style="157" bestFit="1" customWidth="1"/>
    <col min="2073" max="2073" width="10.83203125" style="157" bestFit="1" customWidth="1"/>
    <col min="2074" max="2309" width="8.83203125" style="157"/>
    <col min="2310" max="2310" width="38.1640625" style="157" customWidth="1"/>
    <col min="2311" max="2311" width="23.44140625" style="157" bestFit="1" customWidth="1"/>
    <col min="2312" max="2313" width="9.1640625" style="157" customWidth="1"/>
    <col min="2314" max="2314" width="11.1640625" style="157" bestFit="1" customWidth="1"/>
    <col min="2315" max="2315" width="14.44140625" style="157" bestFit="1" customWidth="1"/>
    <col min="2316" max="2316" width="8.1640625" style="157" customWidth="1"/>
    <col min="2317" max="2317" width="10.83203125" style="157" bestFit="1" customWidth="1"/>
    <col min="2318" max="2318" width="12.1640625" style="157" bestFit="1" customWidth="1"/>
    <col min="2319" max="2319" width="9.1640625" style="157" customWidth="1"/>
    <col min="2320" max="2320" width="10.83203125" style="157" bestFit="1" customWidth="1"/>
    <col min="2321" max="2321" width="12.1640625" style="157" bestFit="1" customWidth="1"/>
    <col min="2322" max="2322" width="8" style="157" customWidth="1"/>
    <col min="2323" max="2323" width="10.83203125" style="157" bestFit="1" customWidth="1"/>
    <col min="2324" max="2324" width="12.1640625" style="157" bestFit="1" customWidth="1"/>
    <col min="2325" max="2325" width="8.1640625" style="157" bestFit="1" customWidth="1"/>
    <col min="2326" max="2326" width="10.83203125" style="157" bestFit="1" customWidth="1"/>
    <col min="2327" max="2327" width="12.1640625" style="157" bestFit="1" customWidth="1"/>
    <col min="2328" max="2328" width="18.1640625" style="157" bestFit="1" customWidth="1"/>
    <col min="2329" max="2329" width="10.83203125" style="157" bestFit="1" customWidth="1"/>
    <col min="2330" max="2565" width="8.83203125" style="157"/>
    <col min="2566" max="2566" width="38.1640625" style="157" customWidth="1"/>
    <col min="2567" max="2567" width="23.44140625" style="157" bestFit="1" customWidth="1"/>
    <col min="2568" max="2569" width="9.1640625" style="157" customWidth="1"/>
    <col min="2570" max="2570" width="11.1640625" style="157" bestFit="1" customWidth="1"/>
    <col min="2571" max="2571" width="14.44140625" style="157" bestFit="1" customWidth="1"/>
    <col min="2572" max="2572" width="8.1640625" style="157" customWidth="1"/>
    <col min="2573" max="2573" width="10.83203125" style="157" bestFit="1" customWidth="1"/>
    <col min="2574" max="2574" width="12.1640625" style="157" bestFit="1" customWidth="1"/>
    <col min="2575" max="2575" width="9.1640625" style="157" customWidth="1"/>
    <col min="2576" max="2576" width="10.83203125" style="157" bestFit="1" customWidth="1"/>
    <col min="2577" max="2577" width="12.1640625" style="157" bestFit="1" customWidth="1"/>
    <col min="2578" max="2578" width="8" style="157" customWidth="1"/>
    <col min="2579" max="2579" width="10.83203125" style="157" bestFit="1" customWidth="1"/>
    <col min="2580" max="2580" width="12.1640625" style="157" bestFit="1" customWidth="1"/>
    <col min="2581" max="2581" width="8.1640625" style="157" bestFit="1" customWidth="1"/>
    <col min="2582" max="2582" width="10.83203125" style="157" bestFit="1" customWidth="1"/>
    <col min="2583" max="2583" width="12.1640625" style="157" bestFit="1" customWidth="1"/>
    <col min="2584" max="2584" width="18.1640625" style="157" bestFit="1" customWidth="1"/>
    <col min="2585" max="2585" width="10.83203125" style="157" bestFit="1" customWidth="1"/>
    <col min="2586" max="2821" width="8.83203125" style="157"/>
    <col min="2822" max="2822" width="38.1640625" style="157" customWidth="1"/>
    <col min="2823" max="2823" width="23.44140625" style="157" bestFit="1" customWidth="1"/>
    <col min="2824" max="2825" width="9.1640625" style="157" customWidth="1"/>
    <col min="2826" max="2826" width="11.1640625" style="157" bestFit="1" customWidth="1"/>
    <col min="2827" max="2827" width="14.44140625" style="157" bestFit="1" customWidth="1"/>
    <col min="2828" max="2828" width="8.1640625" style="157" customWidth="1"/>
    <col min="2829" max="2829" width="10.83203125" style="157" bestFit="1" customWidth="1"/>
    <col min="2830" max="2830" width="12.1640625" style="157" bestFit="1" customWidth="1"/>
    <col min="2831" max="2831" width="9.1640625" style="157" customWidth="1"/>
    <col min="2832" max="2832" width="10.83203125" style="157" bestFit="1" customWidth="1"/>
    <col min="2833" max="2833" width="12.1640625" style="157" bestFit="1" customWidth="1"/>
    <col min="2834" max="2834" width="8" style="157" customWidth="1"/>
    <col min="2835" max="2835" width="10.83203125" style="157" bestFit="1" customWidth="1"/>
    <col min="2836" max="2836" width="12.1640625" style="157" bestFit="1" customWidth="1"/>
    <col min="2837" max="2837" width="8.1640625" style="157" bestFit="1" customWidth="1"/>
    <col min="2838" max="2838" width="10.83203125" style="157" bestFit="1" customWidth="1"/>
    <col min="2839" max="2839" width="12.1640625" style="157" bestFit="1" customWidth="1"/>
    <col min="2840" max="2840" width="18.1640625" style="157" bestFit="1" customWidth="1"/>
    <col min="2841" max="2841" width="10.83203125" style="157" bestFit="1" customWidth="1"/>
    <col min="2842" max="3077" width="8.83203125" style="157"/>
    <col min="3078" max="3078" width="38.1640625" style="157" customWidth="1"/>
    <col min="3079" max="3079" width="23.44140625" style="157" bestFit="1" customWidth="1"/>
    <col min="3080" max="3081" width="9.1640625" style="157" customWidth="1"/>
    <col min="3082" max="3082" width="11.1640625" style="157" bestFit="1" customWidth="1"/>
    <col min="3083" max="3083" width="14.44140625" style="157" bestFit="1" customWidth="1"/>
    <col min="3084" max="3084" width="8.1640625" style="157" customWidth="1"/>
    <col min="3085" max="3085" width="10.83203125" style="157" bestFit="1" customWidth="1"/>
    <col min="3086" max="3086" width="12.1640625" style="157" bestFit="1" customWidth="1"/>
    <col min="3087" max="3087" width="9.1640625" style="157" customWidth="1"/>
    <col min="3088" max="3088" width="10.83203125" style="157" bestFit="1" customWidth="1"/>
    <col min="3089" max="3089" width="12.1640625" style="157" bestFit="1" customWidth="1"/>
    <col min="3090" max="3090" width="8" style="157" customWidth="1"/>
    <col min="3091" max="3091" width="10.83203125" style="157" bestFit="1" customWidth="1"/>
    <col min="3092" max="3092" width="12.1640625" style="157" bestFit="1" customWidth="1"/>
    <col min="3093" max="3093" width="8.1640625" style="157" bestFit="1" customWidth="1"/>
    <col min="3094" max="3094" width="10.83203125" style="157" bestFit="1" customWidth="1"/>
    <col min="3095" max="3095" width="12.1640625" style="157" bestFit="1" customWidth="1"/>
    <col min="3096" max="3096" width="18.1640625" style="157" bestFit="1" customWidth="1"/>
    <col min="3097" max="3097" width="10.83203125" style="157" bestFit="1" customWidth="1"/>
    <col min="3098" max="3333" width="8.83203125" style="157"/>
    <col min="3334" max="3334" width="38.1640625" style="157" customWidth="1"/>
    <col min="3335" max="3335" width="23.44140625" style="157" bestFit="1" customWidth="1"/>
    <col min="3336" max="3337" width="9.1640625" style="157" customWidth="1"/>
    <col min="3338" max="3338" width="11.1640625" style="157" bestFit="1" customWidth="1"/>
    <col min="3339" max="3339" width="14.44140625" style="157" bestFit="1" customWidth="1"/>
    <col min="3340" max="3340" width="8.1640625" style="157" customWidth="1"/>
    <col min="3341" max="3341" width="10.83203125" style="157" bestFit="1" customWidth="1"/>
    <col min="3342" max="3342" width="12.1640625" style="157" bestFit="1" customWidth="1"/>
    <col min="3343" max="3343" width="9.1640625" style="157" customWidth="1"/>
    <col min="3344" max="3344" width="10.83203125" style="157" bestFit="1" customWidth="1"/>
    <col min="3345" max="3345" width="12.1640625" style="157" bestFit="1" customWidth="1"/>
    <col min="3346" max="3346" width="8" style="157" customWidth="1"/>
    <col min="3347" max="3347" width="10.83203125" style="157" bestFit="1" customWidth="1"/>
    <col min="3348" max="3348" width="12.1640625" style="157" bestFit="1" customWidth="1"/>
    <col min="3349" max="3349" width="8.1640625" style="157" bestFit="1" customWidth="1"/>
    <col min="3350" max="3350" width="10.83203125" style="157" bestFit="1" customWidth="1"/>
    <col min="3351" max="3351" width="12.1640625" style="157" bestFit="1" customWidth="1"/>
    <col min="3352" max="3352" width="18.1640625" style="157" bestFit="1" customWidth="1"/>
    <col min="3353" max="3353" width="10.83203125" style="157" bestFit="1" customWidth="1"/>
    <col min="3354" max="3589" width="8.83203125" style="157"/>
    <col min="3590" max="3590" width="38.1640625" style="157" customWidth="1"/>
    <col min="3591" max="3591" width="23.44140625" style="157" bestFit="1" customWidth="1"/>
    <col min="3592" max="3593" width="9.1640625" style="157" customWidth="1"/>
    <col min="3594" max="3594" width="11.1640625" style="157" bestFit="1" customWidth="1"/>
    <col min="3595" max="3595" width="14.44140625" style="157" bestFit="1" customWidth="1"/>
    <col min="3596" max="3596" width="8.1640625" style="157" customWidth="1"/>
    <col min="3597" max="3597" width="10.83203125" style="157" bestFit="1" customWidth="1"/>
    <col min="3598" max="3598" width="12.1640625" style="157" bestFit="1" customWidth="1"/>
    <col min="3599" max="3599" width="9.1640625" style="157" customWidth="1"/>
    <col min="3600" max="3600" width="10.83203125" style="157" bestFit="1" customWidth="1"/>
    <col min="3601" max="3601" width="12.1640625" style="157" bestFit="1" customWidth="1"/>
    <col min="3602" max="3602" width="8" style="157" customWidth="1"/>
    <col min="3603" max="3603" width="10.83203125" style="157" bestFit="1" customWidth="1"/>
    <col min="3604" max="3604" width="12.1640625" style="157" bestFit="1" customWidth="1"/>
    <col min="3605" max="3605" width="8.1640625" style="157" bestFit="1" customWidth="1"/>
    <col min="3606" max="3606" width="10.83203125" style="157" bestFit="1" customWidth="1"/>
    <col min="3607" max="3607" width="12.1640625" style="157" bestFit="1" customWidth="1"/>
    <col min="3608" max="3608" width="18.1640625" style="157" bestFit="1" customWidth="1"/>
    <col min="3609" max="3609" width="10.83203125" style="157" bestFit="1" customWidth="1"/>
    <col min="3610" max="3845" width="8.83203125" style="157"/>
    <col min="3846" max="3846" width="38.1640625" style="157" customWidth="1"/>
    <col min="3847" max="3847" width="23.44140625" style="157" bestFit="1" customWidth="1"/>
    <col min="3848" max="3849" width="9.1640625" style="157" customWidth="1"/>
    <col min="3850" max="3850" width="11.1640625" style="157" bestFit="1" customWidth="1"/>
    <col min="3851" max="3851" width="14.44140625" style="157" bestFit="1" customWidth="1"/>
    <col min="3852" max="3852" width="8.1640625" style="157" customWidth="1"/>
    <col min="3853" max="3853" width="10.83203125" style="157" bestFit="1" customWidth="1"/>
    <col min="3854" max="3854" width="12.1640625" style="157" bestFit="1" customWidth="1"/>
    <col min="3855" max="3855" width="9.1640625" style="157" customWidth="1"/>
    <col min="3856" max="3856" width="10.83203125" style="157" bestFit="1" customWidth="1"/>
    <col min="3857" max="3857" width="12.1640625" style="157" bestFit="1" customWidth="1"/>
    <col min="3858" max="3858" width="8" style="157" customWidth="1"/>
    <col min="3859" max="3859" width="10.83203125" style="157" bestFit="1" customWidth="1"/>
    <col min="3860" max="3860" width="12.1640625" style="157" bestFit="1" customWidth="1"/>
    <col min="3861" max="3861" width="8.1640625" style="157" bestFit="1" customWidth="1"/>
    <col min="3862" max="3862" width="10.83203125" style="157" bestFit="1" customWidth="1"/>
    <col min="3863" max="3863" width="12.1640625" style="157" bestFit="1" customWidth="1"/>
    <col min="3864" max="3864" width="18.1640625" style="157" bestFit="1" customWidth="1"/>
    <col min="3865" max="3865" width="10.83203125" style="157" bestFit="1" customWidth="1"/>
    <col min="3866" max="4101" width="8.83203125" style="157"/>
    <col min="4102" max="4102" width="38.1640625" style="157" customWidth="1"/>
    <col min="4103" max="4103" width="23.44140625" style="157" bestFit="1" customWidth="1"/>
    <col min="4104" max="4105" width="9.1640625" style="157" customWidth="1"/>
    <col min="4106" max="4106" width="11.1640625" style="157" bestFit="1" customWidth="1"/>
    <col min="4107" max="4107" width="14.44140625" style="157" bestFit="1" customWidth="1"/>
    <col min="4108" max="4108" width="8.1640625" style="157" customWidth="1"/>
    <col min="4109" max="4109" width="10.83203125" style="157" bestFit="1" customWidth="1"/>
    <col min="4110" max="4110" width="12.1640625" style="157" bestFit="1" customWidth="1"/>
    <col min="4111" max="4111" width="9.1640625" style="157" customWidth="1"/>
    <col min="4112" max="4112" width="10.83203125" style="157" bestFit="1" customWidth="1"/>
    <col min="4113" max="4113" width="12.1640625" style="157" bestFit="1" customWidth="1"/>
    <col min="4114" max="4114" width="8" style="157" customWidth="1"/>
    <col min="4115" max="4115" width="10.83203125" style="157" bestFit="1" customWidth="1"/>
    <col min="4116" max="4116" width="12.1640625" style="157" bestFit="1" customWidth="1"/>
    <col min="4117" max="4117" width="8.1640625" style="157" bestFit="1" customWidth="1"/>
    <col min="4118" max="4118" width="10.83203125" style="157" bestFit="1" customWidth="1"/>
    <col min="4119" max="4119" width="12.1640625" style="157" bestFit="1" customWidth="1"/>
    <col min="4120" max="4120" width="18.1640625" style="157" bestFit="1" customWidth="1"/>
    <col min="4121" max="4121" width="10.83203125" style="157" bestFit="1" customWidth="1"/>
    <col min="4122" max="4357" width="8.83203125" style="157"/>
    <col min="4358" max="4358" width="38.1640625" style="157" customWidth="1"/>
    <col min="4359" max="4359" width="23.44140625" style="157" bestFit="1" customWidth="1"/>
    <col min="4360" max="4361" width="9.1640625" style="157" customWidth="1"/>
    <col min="4362" max="4362" width="11.1640625" style="157" bestFit="1" customWidth="1"/>
    <col min="4363" max="4363" width="14.44140625" style="157" bestFit="1" customWidth="1"/>
    <col min="4364" max="4364" width="8.1640625" style="157" customWidth="1"/>
    <col min="4365" max="4365" width="10.83203125" style="157" bestFit="1" customWidth="1"/>
    <col min="4366" max="4366" width="12.1640625" style="157" bestFit="1" customWidth="1"/>
    <col min="4367" max="4367" width="9.1640625" style="157" customWidth="1"/>
    <col min="4368" max="4368" width="10.83203125" style="157" bestFit="1" customWidth="1"/>
    <col min="4369" max="4369" width="12.1640625" style="157" bestFit="1" customWidth="1"/>
    <col min="4370" max="4370" width="8" style="157" customWidth="1"/>
    <col min="4371" max="4371" width="10.83203125" style="157" bestFit="1" customWidth="1"/>
    <col min="4372" max="4372" width="12.1640625" style="157" bestFit="1" customWidth="1"/>
    <col min="4373" max="4373" width="8.1640625" style="157" bestFit="1" customWidth="1"/>
    <col min="4374" max="4374" width="10.83203125" style="157" bestFit="1" customWidth="1"/>
    <col min="4375" max="4375" width="12.1640625" style="157" bestFit="1" customWidth="1"/>
    <col min="4376" max="4376" width="18.1640625" style="157" bestFit="1" customWidth="1"/>
    <col min="4377" max="4377" width="10.83203125" style="157" bestFit="1" customWidth="1"/>
    <col min="4378" max="4613" width="8.83203125" style="157"/>
    <col min="4614" max="4614" width="38.1640625" style="157" customWidth="1"/>
    <col min="4615" max="4615" width="23.44140625" style="157" bestFit="1" customWidth="1"/>
    <col min="4616" max="4617" width="9.1640625" style="157" customWidth="1"/>
    <col min="4618" max="4618" width="11.1640625" style="157" bestFit="1" customWidth="1"/>
    <col min="4619" max="4619" width="14.44140625" style="157" bestFit="1" customWidth="1"/>
    <col min="4620" max="4620" width="8.1640625" style="157" customWidth="1"/>
    <col min="4621" max="4621" width="10.83203125" style="157" bestFit="1" customWidth="1"/>
    <col min="4622" max="4622" width="12.1640625" style="157" bestFit="1" customWidth="1"/>
    <col min="4623" max="4623" width="9.1640625" style="157" customWidth="1"/>
    <col min="4624" max="4624" width="10.83203125" style="157" bestFit="1" customWidth="1"/>
    <col min="4625" max="4625" width="12.1640625" style="157" bestFit="1" customWidth="1"/>
    <col min="4626" max="4626" width="8" style="157" customWidth="1"/>
    <col min="4627" max="4627" width="10.83203125" style="157" bestFit="1" customWidth="1"/>
    <col min="4628" max="4628" width="12.1640625" style="157" bestFit="1" customWidth="1"/>
    <col min="4629" max="4629" width="8.1640625" style="157" bestFit="1" customWidth="1"/>
    <col min="4630" max="4630" width="10.83203125" style="157" bestFit="1" customWidth="1"/>
    <col min="4631" max="4631" width="12.1640625" style="157" bestFit="1" customWidth="1"/>
    <col min="4632" max="4632" width="18.1640625" style="157" bestFit="1" customWidth="1"/>
    <col min="4633" max="4633" width="10.83203125" style="157" bestFit="1" customWidth="1"/>
    <col min="4634" max="4869" width="8.83203125" style="157"/>
    <col min="4870" max="4870" width="38.1640625" style="157" customWidth="1"/>
    <col min="4871" max="4871" width="23.44140625" style="157" bestFit="1" customWidth="1"/>
    <col min="4872" max="4873" width="9.1640625" style="157" customWidth="1"/>
    <col min="4874" max="4874" width="11.1640625" style="157" bestFit="1" customWidth="1"/>
    <col min="4875" max="4875" width="14.44140625" style="157" bestFit="1" customWidth="1"/>
    <col min="4876" max="4876" width="8.1640625" style="157" customWidth="1"/>
    <col min="4877" max="4877" width="10.83203125" style="157" bestFit="1" customWidth="1"/>
    <col min="4878" max="4878" width="12.1640625" style="157" bestFit="1" customWidth="1"/>
    <col min="4879" max="4879" width="9.1640625" style="157" customWidth="1"/>
    <col min="4880" max="4880" width="10.83203125" style="157" bestFit="1" customWidth="1"/>
    <col min="4881" max="4881" width="12.1640625" style="157" bestFit="1" customWidth="1"/>
    <col min="4882" max="4882" width="8" style="157" customWidth="1"/>
    <col min="4883" max="4883" width="10.83203125" style="157" bestFit="1" customWidth="1"/>
    <col min="4884" max="4884" width="12.1640625" style="157" bestFit="1" customWidth="1"/>
    <col min="4885" max="4885" width="8.1640625" style="157" bestFit="1" customWidth="1"/>
    <col min="4886" max="4886" width="10.83203125" style="157" bestFit="1" customWidth="1"/>
    <col min="4887" max="4887" width="12.1640625" style="157" bestFit="1" customWidth="1"/>
    <col min="4888" max="4888" width="18.1640625" style="157" bestFit="1" customWidth="1"/>
    <col min="4889" max="4889" width="10.83203125" style="157" bestFit="1" customWidth="1"/>
    <col min="4890" max="5125" width="8.83203125" style="157"/>
    <col min="5126" max="5126" width="38.1640625" style="157" customWidth="1"/>
    <col min="5127" max="5127" width="23.44140625" style="157" bestFit="1" customWidth="1"/>
    <col min="5128" max="5129" width="9.1640625" style="157" customWidth="1"/>
    <col min="5130" max="5130" width="11.1640625" style="157" bestFit="1" customWidth="1"/>
    <col min="5131" max="5131" width="14.44140625" style="157" bestFit="1" customWidth="1"/>
    <col min="5132" max="5132" width="8.1640625" style="157" customWidth="1"/>
    <col min="5133" max="5133" width="10.83203125" style="157" bestFit="1" customWidth="1"/>
    <col min="5134" max="5134" width="12.1640625" style="157" bestFit="1" customWidth="1"/>
    <col min="5135" max="5135" width="9.1640625" style="157" customWidth="1"/>
    <col min="5136" max="5136" width="10.83203125" style="157" bestFit="1" customWidth="1"/>
    <col min="5137" max="5137" width="12.1640625" style="157" bestFit="1" customWidth="1"/>
    <col min="5138" max="5138" width="8" style="157" customWidth="1"/>
    <col min="5139" max="5139" width="10.83203125" style="157" bestFit="1" customWidth="1"/>
    <col min="5140" max="5140" width="12.1640625" style="157" bestFit="1" customWidth="1"/>
    <col min="5141" max="5141" width="8.1640625" style="157" bestFit="1" customWidth="1"/>
    <col min="5142" max="5142" width="10.83203125" style="157" bestFit="1" customWidth="1"/>
    <col min="5143" max="5143" width="12.1640625" style="157" bestFit="1" customWidth="1"/>
    <col min="5144" max="5144" width="18.1640625" style="157" bestFit="1" customWidth="1"/>
    <col min="5145" max="5145" width="10.83203125" style="157" bestFit="1" customWidth="1"/>
    <col min="5146" max="5381" width="8.83203125" style="157"/>
    <col min="5382" max="5382" width="38.1640625" style="157" customWidth="1"/>
    <col min="5383" max="5383" width="23.44140625" style="157" bestFit="1" customWidth="1"/>
    <col min="5384" max="5385" width="9.1640625" style="157" customWidth="1"/>
    <col min="5386" max="5386" width="11.1640625" style="157" bestFit="1" customWidth="1"/>
    <col min="5387" max="5387" width="14.44140625" style="157" bestFit="1" customWidth="1"/>
    <col min="5388" max="5388" width="8.1640625" style="157" customWidth="1"/>
    <col min="5389" max="5389" width="10.83203125" style="157" bestFit="1" customWidth="1"/>
    <col min="5390" max="5390" width="12.1640625" style="157" bestFit="1" customWidth="1"/>
    <col min="5391" max="5391" width="9.1640625" style="157" customWidth="1"/>
    <col min="5392" max="5392" width="10.83203125" style="157" bestFit="1" customWidth="1"/>
    <col min="5393" max="5393" width="12.1640625" style="157" bestFit="1" customWidth="1"/>
    <col min="5394" max="5394" width="8" style="157" customWidth="1"/>
    <col min="5395" max="5395" width="10.83203125" style="157" bestFit="1" customWidth="1"/>
    <col min="5396" max="5396" width="12.1640625" style="157" bestFit="1" customWidth="1"/>
    <col min="5397" max="5397" width="8.1640625" style="157" bestFit="1" customWidth="1"/>
    <col min="5398" max="5398" width="10.83203125" style="157" bestFit="1" customWidth="1"/>
    <col min="5399" max="5399" width="12.1640625" style="157" bestFit="1" customWidth="1"/>
    <col min="5400" max="5400" width="18.1640625" style="157" bestFit="1" customWidth="1"/>
    <col min="5401" max="5401" width="10.83203125" style="157" bestFit="1" customWidth="1"/>
    <col min="5402" max="5637" width="8.83203125" style="157"/>
    <col min="5638" max="5638" width="38.1640625" style="157" customWidth="1"/>
    <col min="5639" max="5639" width="23.44140625" style="157" bestFit="1" customWidth="1"/>
    <col min="5640" max="5641" width="9.1640625" style="157" customWidth="1"/>
    <col min="5642" max="5642" width="11.1640625" style="157" bestFit="1" customWidth="1"/>
    <col min="5643" max="5643" width="14.44140625" style="157" bestFit="1" customWidth="1"/>
    <col min="5644" max="5644" width="8.1640625" style="157" customWidth="1"/>
    <col min="5645" max="5645" width="10.83203125" style="157" bestFit="1" customWidth="1"/>
    <col min="5646" max="5646" width="12.1640625" style="157" bestFit="1" customWidth="1"/>
    <col min="5647" max="5647" width="9.1640625" style="157" customWidth="1"/>
    <col min="5648" max="5648" width="10.83203125" style="157" bestFit="1" customWidth="1"/>
    <col min="5649" max="5649" width="12.1640625" style="157" bestFit="1" customWidth="1"/>
    <col min="5650" max="5650" width="8" style="157" customWidth="1"/>
    <col min="5651" max="5651" width="10.83203125" style="157" bestFit="1" customWidth="1"/>
    <col min="5652" max="5652" width="12.1640625" style="157" bestFit="1" customWidth="1"/>
    <col min="5653" max="5653" width="8.1640625" style="157" bestFit="1" customWidth="1"/>
    <col min="5654" max="5654" width="10.83203125" style="157" bestFit="1" customWidth="1"/>
    <col min="5655" max="5655" width="12.1640625" style="157" bestFit="1" customWidth="1"/>
    <col min="5656" max="5656" width="18.1640625" style="157" bestFit="1" customWidth="1"/>
    <col min="5657" max="5657" width="10.83203125" style="157" bestFit="1" customWidth="1"/>
    <col min="5658" max="5893" width="8.83203125" style="157"/>
    <col min="5894" max="5894" width="38.1640625" style="157" customWidth="1"/>
    <col min="5895" max="5895" width="23.44140625" style="157" bestFit="1" customWidth="1"/>
    <col min="5896" max="5897" width="9.1640625" style="157" customWidth="1"/>
    <col min="5898" max="5898" width="11.1640625" style="157" bestFit="1" customWidth="1"/>
    <col min="5899" max="5899" width="14.44140625" style="157" bestFit="1" customWidth="1"/>
    <col min="5900" max="5900" width="8.1640625" style="157" customWidth="1"/>
    <col min="5901" max="5901" width="10.83203125" style="157" bestFit="1" customWidth="1"/>
    <col min="5902" max="5902" width="12.1640625" style="157" bestFit="1" customWidth="1"/>
    <col min="5903" max="5903" width="9.1640625" style="157" customWidth="1"/>
    <col min="5904" max="5904" width="10.83203125" style="157" bestFit="1" customWidth="1"/>
    <col min="5905" max="5905" width="12.1640625" style="157" bestFit="1" customWidth="1"/>
    <col min="5906" max="5906" width="8" style="157" customWidth="1"/>
    <col min="5907" max="5907" width="10.83203125" style="157" bestFit="1" customWidth="1"/>
    <col min="5908" max="5908" width="12.1640625" style="157" bestFit="1" customWidth="1"/>
    <col min="5909" max="5909" width="8.1640625" style="157" bestFit="1" customWidth="1"/>
    <col min="5910" max="5910" width="10.83203125" style="157" bestFit="1" customWidth="1"/>
    <col min="5911" max="5911" width="12.1640625" style="157" bestFit="1" customWidth="1"/>
    <col min="5912" max="5912" width="18.1640625" style="157" bestFit="1" customWidth="1"/>
    <col min="5913" max="5913" width="10.83203125" style="157" bestFit="1" customWidth="1"/>
    <col min="5914" max="6149" width="8.83203125" style="157"/>
    <col min="6150" max="6150" width="38.1640625" style="157" customWidth="1"/>
    <col min="6151" max="6151" width="23.44140625" style="157" bestFit="1" customWidth="1"/>
    <col min="6152" max="6153" width="9.1640625" style="157" customWidth="1"/>
    <col min="6154" max="6154" width="11.1640625" style="157" bestFit="1" customWidth="1"/>
    <col min="6155" max="6155" width="14.44140625" style="157" bestFit="1" customWidth="1"/>
    <col min="6156" max="6156" width="8.1640625" style="157" customWidth="1"/>
    <col min="6157" max="6157" width="10.83203125" style="157" bestFit="1" customWidth="1"/>
    <col min="6158" max="6158" width="12.1640625" style="157" bestFit="1" customWidth="1"/>
    <col min="6159" max="6159" width="9.1640625" style="157" customWidth="1"/>
    <col min="6160" max="6160" width="10.83203125" style="157" bestFit="1" customWidth="1"/>
    <col min="6161" max="6161" width="12.1640625" style="157" bestFit="1" customWidth="1"/>
    <col min="6162" max="6162" width="8" style="157" customWidth="1"/>
    <col min="6163" max="6163" width="10.83203125" style="157" bestFit="1" customWidth="1"/>
    <col min="6164" max="6164" width="12.1640625" style="157" bestFit="1" customWidth="1"/>
    <col min="6165" max="6165" width="8.1640625" style="157" bestFit="1" customWidth="1"/>
    <col min="6166" max="6166" width="10.83203125" style="157" bestFit="1" customWidth="1"/>
    <col min="6167" max="6167" width="12.1640625" style="157" bestFit="1" customWidth="1"/>
    <col min="6168" max="6168" width="18.1640625" style="157" bestFit="1" customWidth="1"/>
    <col min="6169" max="6169" width="10.83203125" style="157" bestFit="1" customWidth="1"/>
    <col min="6170" max="6405" width="8.83203125" style="157"/>
    <col min="6406" max="6406" width="38.1640625" style="157" customWidth="1"/>
    <col min="6407" max="6407" width="23.44140625" style="157" bestFit="1" customWidth="1"/>
    <col min="6408" max="6409" width="9.1640625" style="157" customWidth="1"/>
    <col min="6410" max="6410" width="11.1640625" style="157" bestFit="1" customWidth="1"/>
    <col min="6411" max="6411" width="14.44140625" style="157" bestFit="1" customWidth="1"/>
    <col min="6412" max="6412" width="8.1640625" style="157" customWidth="1"/>
    <col min="6413" max="6413" width="10.83203125" style="157" bestFit="1" customWidth="1"/>
    <col min="6414" max="6414" width="12.1640625" style="157" bestFit="1" customWidth="1"/>
    <col min="6415" max="6415" width="9.1640625" style="157" customWidth="1"/>
    <col min="6416" max="6416" width="10.83203125" style="157" bestFit="1" customWidth="1"/>
    <col min="6417" max="6417" width="12.1640625" style="157" bestFit="1" customWidth="1"/>
    <col min="6418" max="6418" width="8" style="157" customWidth="1"/>
    <col min="6419" max="6419" width="10.83203125" style="157" bestFit="1" customWidth="1"/>
    <col min="6420" max="6420" width="12.1640625" style="157" bestFit="1" customWidth="1"/>
    <col min="6421" max="6421" width="8.1640625" style="157" bestFit="1" customWidth="1"/>
    <col min="6422" max="6422" width="10.83203125" style="157" bestFit="1" customWidth="1"/>
    <col min="6423" max="6423" width="12.1640625" style="157" bestFit="1" customWidth="1"/>
    <col min="6424" max="6424" width="18.1640625" style="157" bestFit="1" customWidth="1"/>
    <col min="6425" max="6425" width="10.83203125" style="157" bestFit="1" customWidth="1"/>
    <col min="6426" max="6661" width="8.83203125" style="157"/>
    <col min="6662" max="6662" width="38.1640625" style="157" customWidth="1"/>
    <col min="6663" max="6663" width="23.44140625" style="157" bestFit="1" customWidth="1"/>
    <col min="6664" max="6665" width="9.1640625" style="157" customWidth="1"/>
    <col min="6666" max="6666" width="11.1640625" style="157" bestFit="1" customWidth="1"/>
    <col min="6667" max="6667" width="14.44140625" style="157" bestFit="1" customWidth="1"/>
    <col min="6668" max="6668" width="8.1640625" style="157" customWidth="1"/>
    <col min="6669" max="6669" width="10.83203125" style="157" bestFit="1" customWidth="1"/>
    <col min="6670" max="6670" width="12.1640625" style="157" bestFit="1" customWidth="1"/>
    <col min="6671" max="6671" width="9.1640625" style="157" customWidth="1"/>
    <col min="6672" max="6672" width="10.83203125" style="157" bestFit="1" customWidth="1"/>
    <col min="6673" max="6673" width="12.1640625" style="157" bestFit="1" customWidth="1"/>
    <col min="6674" max="6674" width="8" style="157" customWidth="1"/>
    <col min="6675" max="6675" width="10.83203125" style="157" bestFit="1" customWidth="1"/>
    <col min="6676" max="6676" width="12.1640625" style="157" bestFit="1" customWidth="1"/>
    <col min="6677" max="6677" width="8.1640625" style="157" bestFit="1" customWidth="1"/>
    <col min="6678" max="6678" width="10.83203125" style="157" bestFit="1" customWidth="1"/>
    <col min="6679" max="6679" width="12.1640625" style="157" bestFit="1" customWidth="1"/>
    <col min="6680" max="6680" width="18.1640625" style="157" bestFit="1" customWidth="1"/>
    <col min="6681" max="6681" width="10.83203125" style="157" bestFit="1" customWidth="1"/>
    <col min="6682" max="6917" width="8.83203125" style="157"/>
    <col min="6918" max="6918" width="38.1640625" style="157" customWidth="1"/>
    <col min="6919" max="6919" width="23.44140625" style="157" bestFit="1" customWidth="1"/>
    <col min="6920" max="6921" width="9.1640625" style="157" customWidth="1"/>
    <col min="6922" max="6922" width="11.1640625" style="157" bestFit="1" customWidth="1"/>
    <col min="6923" max="6923" width="14.44140625" style="157" bestFit="1" customWidth="1"/>
    <col min="6924" max="6924" width="8.1640625" style="157" customWidth="1"/>
    <col min="6925" max="6925" width="10.83203125" style="157" bestFit="1" customWidth="1"/>
    <col min="6926" max="6926" width="12.1640625" style="157" bestFit="1" customWidth="1"/>
    <col min="6927" max="6927" width="9.1640625" style="157" customWidth="1"/>
    <col min="6928" max="6928" width="10.83203125" style="157" bestFit="1" customWidth="1"/>
    <col min="6929" max="6929" width="12.1640625" style="157" bestFit="1" customWidth="1"/>
    <col min="6930" max="6930" width="8" style="157" customWidth="1"/>
    <col min="6931" max="6931" width="10.83203125" style="157" bestFit="1" customWidth="1"/>
    <col min="6932" max="6932" width="12.1640625" style="157" bestFit="1" customWidth="1"/>
    <col min="6933" max="6933" width="8.1640625" style="157" bestFit="1" customWidth="1"/>
    <col min="6934" max="6934" width="10.83203125" style="157" bestFit="1" customWidth="1"/>
    <col min="6935" max="6935" width="12.1640625" style="157" bestFit="1" customWidth="1"/>
    <col min="6936" max="6936" width="18.1640625" style="157" bestFit="1" customWidth="1"/>
    <col min="6937" max="6937" width="10.83203125" style="157" bestFit="1" customWidth="1"/>
    <col min="6938" max="7173" width="8.83203125" style="157"/>
    <col min="7174" max="7174" width="38.1640625" style="157" customWidth="1"/>
    <col min="7175" max="7175" width="23.44140625" style="157" bestFit="1" customWidth="1"/>
    <col min="7176" max="7177" width="9.1640625" style="157" customWidth="1"/>
    <col min="7178" max="7178" width="11.1640625" style="157" bestFit="1" customWidth="1"/>
    <col min="7179" max="7179" width="14.44140625" style="157" bestFit="1" customWidth="1"/>
    <col min="7180" max="7180" width="8.1640625" style="157" customWidth="1"/>
    <col min="7181" max="7181" width="10.83203125" style="157" bestFit="1" customWidth="1"/>
    <col min="7182" max="7182" width="12.1640625" style="157" bestFit="1" customWidth="1"/>
    <col min="7183" max="7183" width="9.1640625" style="157" customWidth="1"/>
    <col min="7184" max="7184" width="10.83203125" style="157" bestFit="1" customWidth="1"/>
    <col min="7185" max="7185" width="12.1640625" style="157" bestFit="1" customWidth="1"/>
    <col min="7186" max="7186" width="8" style="157" customWidth="1"/>
    <col min="7187" max="7187" width="10.83203125" style="157" bestFit="1" customWidth="1"/>
    <col min="7188" max="7188" width="12.1640625" style="157" bestFit="1" customWidth="1"/>
    <col min="7189" max="7189" width="8.1640625" style="157" bestFit="1" customWidth="1"/>
    <col min="7190" max="7190" width="10.83203125" style="157" bestFit="1" customWidth="1"/>
    <col min="7191" max="7191" width="12.1640625" style="157" bestFit="1" customWidth="1"/>
    <col min="7192" max="7192" width="18.1640625" style="157" bestFit="1" customWidth="1"/>
    <col min="7193" max="7193" width="10.83203125" style="157" bestFit="1" customWidth="1"/>
    <col min="7194" max="7429" width="8.83203125" style="157"/>
    <col min="7430" max="7430" width="38.1640625" style="157" customWidth="1"/>
    <col min="7431" max="7431" width="23.44140625" style="157" bestFit="1" customWidth="1"/>
    <col min="7432" max="7433" width="9.1640625" style="157" customWidth="1"/>
    <col min="7434" max="7434" width="11.1640625" style="157" bestFit="1" customWidth="1"/>
    <col min="7435" max="7435" width="14.44140625" style="157" bestFit="1" customWidth="1"/>
    <col min="7436" max="7436" width="8.1640625" style="157" customWidth="1"/>
    <col min="7437" max="7437" width="10.83203125" style="157" bestFit="1" customWidth="1"/>
    <col min="7438" max="7438" width="12.1640625" style="157" bestFit="1" customWidth="1"/>
    <col min="7439" max="7439" width="9.1640625" style="157" customWidth="1"/>
    <col min="7440" max="7440" width="10.83203125" style="157" bestFit="1" customWidth="1"/>
    <col min="7441" max="7441" width="12.1640625" style="157" bestFit="1" customWidth="1"/>
    <col min="7442" max="7442" width="8" style="157" customWidth="1"/>
    <col min="7443" max="7443" width="10.83203125" style="157" bestFit="1" customWidth="1"/>
    <col min="7444" max="7444" width="12.1640625" style="157" bestFit="1" customWidth="1"/>
    <col min="7445" max="7445" width="8.1640625" style="157" bestFit="1" customWidth="1"/>
    <col min="7446" max="7446" width="10.83203125" style="157" bestFit="1" customWidth="1"/>
    <col min="7447" max="7447" width="12.1640625" style="157" bestFit="1" customWidth="1"/>
    <col min="7448" max="7448" width="18.1640625" style="157" bestFit="1" customWidth="1"/>
    <col min="7449" max="7449" width="10.83203125" style="157" bestFit="1" customWidth="1"/>
    <col min="7450" max="7685" width="8.83203125" style="157"/>
    <col min="7686" max="7686" width="38.1640625" style="157" customWidth="1"/>
    <col min="7687" max="7687" width="23.44140625" style="157" bestFit="1" customWidth="1"/>
    <col min="7688" max="7689" width="9.1640625" style="157" customWidth="1"/>
    <col min="7690" max="7690" width="11.1640625" style="157" bestFit="1" customWidth="1"/>
    <col min="7691" max="7691" width="14.44140625" style="157" bestFit="1" customWidth="1"/>
    <col min="7692" max="7692" width="8.1640625" style="157" customWidth="1"/>
    <col min="7693" max="7693" width="10.83203125" style="157" bestFit="1" customWidth="1"/>
    <col min="7694" max="7694" width="12.1640625" style="157" bestFit="1" customWidth="1"/>
    <col min="7695" max="7695" width="9.1640625" style="157" customWidth="1"/>
    <col min="7696" max="7696" width="10.83203125" style="157" bestFit="1" customWidth="1"/>
    <col min="7697" max="7697" width="12.1640625" style="157" bestFit="1" customWidth="1"/>
    <col min="7698" max="7698" width="8" style="157" customWidth="1"/>
    <col min="7699" max="7699" width="10.83203125" style="157" bestFit="1" customWidth="1"/>
    <col min="7700" max="7700" width="12.1640625" style="157" bestFit="1" customWidth="1"/>
    <col min="7701" max="7701" width="8.1640625" style="157" bestFit="1" customWidth="1"/>
    <col min="7702" max="7702" width="10.83203125" style="157" bestFit="1" customWidth="1"/>
    <col min="7703" max="7703" width="12.1640625" style="157" bestFit="1" customWidth="1"/>
    <col min="7704" max="7704" width="18.1640625" style="157" bestFit="1" customWidth="1"/>
    <col min="7705" max="7705" width="10.83203125" style="157" bestFit="1" customWidth="1"/>
    <col min="7706" max="7941" width="8.83203125" style="157"/>
    <col min="7942" max="7942" width="38.1640625" style="157" customWidth="1"/>
    <col min="7943" max="7943" width="23.44140625" style="157" bestFit="1" customWidth="1"/>
    <col min="7944" max="7945" width="9.1640625" style="157" customWidth="1"/>
    <col min="7946" max="7946" width="11.1640625" style="157" bestFit="1" customWidth="1"/>
    <col min="7947" max="7947" width="14.44140625" style="157" bestFit="1" customWidth="1"/>
    <col min="7948" max="7948" width="8.1640625" style="157" customWidth="1"/>
    <col min="7949" max="7949" width="10.83203125" style="157" bestFit="1" customWidth="1"/>
    <col min="7950" max="7950" width="12.1640625" style="157" bestFit="1" customWidth="1"/>
    <col min="7951" max="7951" width="9.1640625" style="157" customWidth="1"/>
    <col min="7952" max="7952" width="10.83203125" style="157" bestFit="1" customWidth="1"/>
    <col min="7953" max="7953" width="12.1640625" style="157" bestFit="1" customWidth="1"/>
    <col min="7954" max="7954" width="8" style="157" customWidth="1"/>
    <col min="7955" max="7955" width="10.83203125" style="157" bestFit="1" customWidth="1"/>
    <col min="7956" max="7956" width="12.1640625" style="157" bestFit="1" customWidth="1"/>
    <col min="7957" max="7957" width="8.1640625" style="157" bestFit="1" customWidth="1"/>
    <col min="7958" max="7958" width="10.83203125" style="157" bestFit="1" customWidth="1"/>
    <col min="7959" max="7959" width="12.1640625" style="157" bestFit="1" customWidth="1"/>
    <col min="7960" max="7960" width="18.1640625" style="157" bestFit="1" customWidth="1"/>
    <col min="7961" max="7961" width="10.83203125" style="157" bestFit="1" customWidth="1"/>
    <col min="7962" max="8197" width="8.83203125" style="157"/>
    <col min="8198" max="8198" width="38.1640625" style="157" customWidth="1"/>
    <col min="8199" max="8199" width="23.44140625" style="157" bestFit="1" customWidth="1"/>
    <col min="8200" max="8201" width="9.1640625" style="157" customWidth="1"/>
    <col min="8202" max="8202" width="11.1640625" style="157" bestFit="1" customWidth="1"/>
    <col min="8203" max="8203" width="14.44140625" style="157" bestFit="1" customWidth="1"/>
    <col min="8204" max="8204" width="8.1640625" style="157" customWidth="1"/>
    <col min="8205" max="8205" width="10.83203125" style="157" bestFit="1" customWidth="1"/>
    <col min="8206" max="8206" width="12.1640625" style="157" bestFit="1" customWidth="1"/>
    <col min="8207" max="8207" width="9.1640625" style="157" customWidth="1"/>
    <col min="8208" max="8208" width="10.83203125" style="157" bestFit="1" customWidth="1"/>
    <col min="8209" max="8209" width="12.1640625" style="157" bestFit="1" customWidth="1"/>
    <col min="8210" max="8210" width="8" style="157" customWidth="1"/>
    <col min="8211" max="8211" width="10.83203125" style="157" bestFit="1" customWidth="1"/>
    <col min="8212" max="8212" width="12.1640625" style="157" bestFit="1" customWidth="1"/>
    <col min="8213" max="8213" width="8.1640625" style="157" bestFit="1" customWidth="1"/>
    <col min="8214" max="8214" width="10.83203125" style="157" bestFit="1" customWidth="1"/>
    <col min="8215" max="8215" width="12.1640625" style="157" bestFit="1" customWidth="1"/>
    <col min="8216" max="8216" width="18.1640625" style="157" bestFit="1" customWidth="1"/>
    <col min="8217" max="8217" width="10.83203125" style="157" bestFit="1" customWidth="1"/>
    <col min="8218" max="8453" width="8.83203125" style="157"/>
    <col min="8454" max="8454" width="38.1640625" style="157" customWidth="1"/>
    <col min="8455" max="8455" width="23.44140625" style="157" bestFit="1" customWidth="1"/>
    <col min="8456" max="8457" width="9.1640625" style="157" customWidth="1"/>
    <col min="8458" max="8458" width="11.1640625" style="157" bestFit="1" customWidth="1"/>
    <col min="8459" max="8459" width="14.44140625" style="157" bestFit="1" customWidth="1"/>
    <col min="8460" max="8460" width="8.1640625" style="157" customWidth="1"/>
    <col min="8461" max="8461" width="10.83203125" style="157" bestFit="1" customWidth="1"/>
    <col min="8462" max="8462" width="12.1640625" style="157" bestFit="1" customWidth="1"/>
    <col min="8463" max="8463" width="9.1640625" style="157" customWidth="1"/>
    <col min="8464" max="8464" width="10.83203125" style="157" bestFit="1" customWidth="1"/>
    <col min="8465" max="8465" width="12.1640625" style="157" bestFit="1" customWidth="1"/>
    <col min="8466" max="8466" width="8" style="157" customWidth="1"/>
    <col min="8467" max="8467" width="10.83203125" style="157" bestFit="1" customWidth="1"/>
    <col min="8468" max="8468" width="12.1640625" style="157" bestFit="1" customWidth="1"/>
    <col min="8469" max="8469" width="8.1640625" style="157" bestFit="1" customWidth="1"/>
    <col min="8470" max="8470" width="10.83203125" style="157" bestFit="1" customWidth="1"/>
    <col min="8471" max="8471" width="12.1640625" style="157" bestFit="1" customWidth="1"/>
    <col min="8472" max="8472" width="18.1640625" style="157" bestFit="1" customWidth="1"/>
    <col min="8473" max="8473" width="10.83203125" style="157" bestFit="1" customWidth="1"/>
    <col min="8474" max="8709" width="8.83203125" style="157"/>
    <col min="8710" max="8710" width="38.1640625" style="157" customWidth="1"/>
    <col min="8711" max="8711" width="23.44140625" style="157" bestFit="1" customWidth="1"/>
    <col min="8712" max="8713" width="9.1640625" style="157" customWidth="1"/>
    <col min="8714" max="8714" width="11.1640625" style="157" bestFit="1" customWidth="1"/>
    <col min="8715" max="8715" width="14.44140625" style="157" bestFit="1" customWidth="1"/>
    <col min="8716" max="8716" width="8.1640625" style="157" customWidth="1"/>
    <col min="8717" max="8717" width="10.83203125" style="157" bestFit="1" customWidth="1"/>
    <col min="8718" max="8718" width="12.1640625" style="157" bestFit="1" customWidth="1"/>
    <col min="8719" max="8719" width="9.1640625" style="157" customWidth="1"/>
    <col min="8720" max="8720" width="10.83203125" style="157" bestFit="1" customWidth="1"/>
    <col min="8721" max="8721" width="12.1640625" style="157" bestFit="1" customWidth="1"/>
    <col min="8722" max="8722" width="8" style="157" customWidth="1"/>
    <col min="8723" max="8723" width="10.83203125" style="157" bestFit="1" customWidth="1"/>
    <col min="8724" max="8724" width="12.1640625" style="157" bestFit="1" customWidth="1"/>
    <col min="8725" max="8725" width="8.1640625" style="157" bestFit="1" customWidth="1"/>
    <col min="8726" max="8726" width="10.83203125" style="157" bestFit="1" customWidth="1"/>
    <col min="8727" max="8727" width="12.1640625" style="157" bestFit="1" customWidth="1"/>
    <col min="8728" max="8728" width="18.1640625" style="157" bestFit="1" customWidth="1"/>
    <col min="8729" max="8729" width="10.83203125" style="157" bestFit="1" customWidth="1"/>
    <col min="8730" max="8965" width="8.83203125" style="157"/>
    <col min="8966" max="8966" width="38.1640625" style="157" customWidth="1"/>
    <col min="8967" max="8967" width="23.44140625" style="157" bestFit="1" customWidth="1"/>
    <col min="8968" max="8969" width="9.1640625" style="157" customWidth="1"/>
    <col min="8970" max="8970" width="11.1640625" style="157" bestFit="1" customWidth="1"/>
    <col min="8971" max="8971" width="14.44140625" style="157" bestFit="1" customWidth="1"/>
    <col min="8972" max="8972" width="8.1640625" style="157" customWidth="1"/>
    <col min="8973" max="8973" width="10.83203125" style="157" bestFit="1" customWidth="1"/>
    <col min="8974" max="8974" width="12.1640625" style="157" bestFit="1" customWidth="1"/>
    <col min="8975" max="8975" width="9.1640625" style="157" customWidth="1"/>
    <col min="8976" max="8976" width="10.83203125" style="157" bestFit="1" customWidth="1"/>
    <col min="8977" max="8977" width="12.1640625" style="157" bestFit="1" customWidth="1"/>
    <col min="8978" max="8978" width="8" style="157" customWidth="1"/>
    <col min="8979" max="8979" width="10.83203125" style="157" bestFit="1" customWidth="1"/>
    <col min="8980" max="8980" width="12.1640625" style="157" bestFit="1" customWidth="1"/>
    <col min="8981" max="8981" width="8.1640625" style="157" bestFit="1" customWidth="1"/>
    <col min="8982" max="8982" width="10.83203125" style="157" bestFit="1" customWidth="1"/>
    <col min="8983" max="8983" width="12.1640625" style="157" bestFit="1" customWidth="1"/>
    <col min="8984" max="8984" width="18.1640625" style="157" bestFit="1" customWidth="1"/>
    <col min="8985" max="8985" width="10.83203125" style="157" bestFit="1" customWidth="1"/>
    <col min="8986" max="9221" width="8.83203125" style="157"/>
    <col min="9222" max="9222" width="38.1640625" style="157" customWidth="1"/>
    <col min="9223" max="9223" width="23.44140625" style="157" bestFit="1" customWidth="1"/>
    <col min="9224" max="9225" width="9.1640625" style="157" customWidth="1"/>
    <col min="9226" max="9226" width="11.1640625" style="157" bestFit="1" customWidth="1"/>
    <col min="9227" max="9227" width="14.44140625" style="157" bestFit="1" customWidth="1"/>
    <col min="9228" max="9228" width="8.1640625" style="157" customWidth="1"/>
    <col min="9229" max="9229" width="10.83203125" style="157" bestFit="1" customWidth="1"/>
    <col min="9230" max="9230" width="12.1640625" style="157" bestFit="1" customWidth="1"/>
    <col min="9231" max="9231" width="9.1640625" style="157" customWidth="1"/>
    <col min="9232" max="9232" width="10.83203125" style="157" bestFit="1" customWidth="1"/>
    <col min="9233" max="9233" width="12.1640625" style="157" bestFit="1" customWidth="1"/>
    <col min="9234" max="9234" width="8" style="157" customWidth="1"/>
    <col min="9235" max="9235" width="10.83203125" style="157" bestFit="1" customWidth="1"/>
    <col min="9236" max="9236" width="12.1640625" style="157" bestFit="1" customWidth="1"/>
    <col min="9237" max="9237" width="8.1640625" style="157" bestFit="1" customWidth="1"/>
    <col min="9238" max="9238" width="10.83203125" style="157" bestFit="1" customWidth="1"/>
    <col min="9239" max="9239" width="12.1640625" style="157" bestFit="1" customWidth="1"/>
    <col min="9240" max="9240" width="18.1640625" style="157" bestFit="1" customWidth="1"/>
    <col min="9241" max="9241" width="10.83203125" style="157" bestFit="1" customWidth="1"/>
    <col min="9242" max="9477" width="8.83203125" style="157"/>
    <col min="9478" max="9478" width="38.1640625" style="157" customWidth="1"/>
    <col min="9479" max="9479" width="23.44140625" style="157" bestFit="1" customWidth="1"/>
    <col min="9480" max="9481" width="9.1640625" style="157" customWidth="1"/>
    <col min="9482" max="9482" width="11.1640625" style="157" bestFit="1" customWidth="1"/>
    <col min="9483" max="9483" width="14.44140625" style="157" bestFit="1" customWidth="1"/>
    <col min="9484" max="9484" width="8.1640625" style="157" customWidth="1"/>
    <col min="9485" max="9485" width="10.83203125" style="157" bestFit="1" customWidth="1"/>
    <col min="9486" max="9486" width="12.1640625" style="157" bestFit="1" customWidth="1"/>
    <col min="9487" max="9487" width="9.1640625" style="157" customWidth="1"/>
    <col min="9488" max="9488" width="10.83203125" style="157" bestFit="1" customWidth="1"/>
    <col min="9489" max="9489" width="12.1640625" style="157" bestFit="1" customWidth="1"/>
    <col min="9490" max="9490" width="8" style="157" customWidth="1"/>
    <col min="9491" max="9491" width="10.83203125" style="157" bestFit="1" customWidth="1"/>
    <col min="9492" max="9492" width="12.1640625" style="157" bestFit="1" customWidth="1"/>
    <col min="9493" max="9493" width="8.1640625" style="157" bestFit="1" customWidth="1"/>
    <col min="9494" max="9494" width="10.83203125" style="157" bestFit="1" customWidth="1"/>
    <col min="9495" max="9495" width="12.1640625" style="157" bestFit="1" customWidth="1"/>
    <col min="9496" max="9496" width="18.1640625" style="157" bestFit="1" customWidth="1"/>
    <col min="9497" max="9497" width="10.83203125" style="157" bestFit="1" customWidth="1"/>
    <col min="9498" max="9733" width="8.83203125" style="157"/>
    <col min="9734" max="9734" width="38.1640625" style="157" customWidth="1"/>
    <col min="9735" max="9735" width="23.44140625" style="157" bestFit="1" customWidth="1"/>
    <col min="9736" max="9737" width="9.1640625" style="157" customWidth="1"/>
    <col min="9738" max="9738" width="11.1640625" style="157" bestFit="1" customWidth="1"/>
    <col min="9739" max="9739" width="14.44140625" style="157" bestFit="1" customWidth="1"/>
    <col min="9740" max="9740" width="8.1640625" style="157" customWidth="1"/>
    <col min="9741" max="9741" width="10.83203125" style="157" bestFit="1" customWidth="1"/>
    <col min="9742" max="9742" width="12.1640625" style="157" bestFit="1" customWidth="1"/>
    <col min="9743" max="9743" width="9.1640625" style="157" customWidth="1"/>
    <col min="9744" max="9744" width="10.83203125" style="157" bestFit="1" customWidth="1"/>
    <col min="9745" max="9745" width="12.1640625" style="157" bestFit="1" customWidth="1"/>
    <col min="9746" max="9746" width="8" style="157" customWidth="1"/>
    <col min="9747" max="9747" width="10.83203125" style="157" bestFit="1" customWidth="1"/>
    <col min="9748" max="9748" width="12.1640625" style="157" bestFit="1" customWidth="1"/>
    <col min="9749" max="9749" width="8.1640625" style="157" bestFit="1" customWidth="1"/>
    <col min="9750" max="9750" width="10.83203125" style="157" bestFit="1" customWidth="1"/>
    <col min="9751" max="9751" width="12.1640625" style="157" bestFit="1" customWidth="1"/>
    <col min="9752" max="9752" width="18.1640625" style="157" bestFit="1" customWidth="1"/>
    <col min="9753" max="9753" width="10.83203125" style="157" bestFit="1" customWidth="1"/>
    <col min="9754" max="9989" width="8.83203125" style="157"/>
    <col min="9990" max="9990" width="38.1640625" style="157" customWidth="1"/>
    <col min="9991" max="9991" width="23.44140625" style="157" bestFit="1" customWidth="1"/>
    <col min="9992" max="9993" width="9.1640625" style="157" customWidth="1"/>
    <col min="9994" max="9994" width="11.1640625" style="157" bestFit="1" customWidth="1"/>
    <col min="9995" max="9995" width="14.44140625" style="157" bestFit="1" customWidth="1"/>
    <col min="9996" max="9996" width="8.1640625" style="157" customWidth="1"/>
    <col min="9997" max="9997" width="10.83203125" style="157" bestFit="1" customWidth="1"/>
    <col min="9998" max="9998" width="12.1640625" style="157" bestFit="1" customWidth="1"/>
    <col min="9999" max="9999" width="9.1640625" style="157" customWidth="1"/>
    <col min="10000" max="10000" width="10.83203125" style="157" bestFit="1" customWidth="1"/>
    <col min="10001" max="10001" width="12.1640625" style="157" bestFit="1" customWidth="1"/>
    <col min="10002" max="10002" width="8" style="157" customWidth="1"/>
    <col min="10003" max="10003" width="10.83203125" style="157" bestFit="1" customWidth="1"/>
    <col min="10004" max="10004" width="12.1640625" style="157" bestFit="1" customWidth="1"/>
    <col min="10005" max="10005" width="8.1640625" style="157" bestFit="1" customWidth="1"/>
    <col min="10006" max="10006" width="10.83203125" style="157" bestFit="1" customWidth="1"/>
    <col min="10007" max="10007" width="12.1640625" style="157" bestFit="1" customWidth="1"/>
    <col min="10008" max="10008" width="18.1640625" style="157" bestFit="1" customWidth="1"/>
    <col min="10009" max="10009" width="10.83203125" style="157" bestFit="1" customWidth="1"/>
    <col min="10010" max="10245" width="8.83203125" style="157"/>
    <col min="10246" max="10246" width="38.1640625" style="157" customWidth="1"/>
    <col min="10247" max="10247" width="23.44140625" style="157" bestFit="1" customWidth="1"/>
    <col min="10248" max="10249" width="9.1640625" style="157" customWidth="1"/>
    <col min="10250" max="10250" width="11.1640625" style="157" bestFit="1" customWidth="1"/>
    <col min="10251" max="10251" width="14.44140625" style="157" bestFit="1" customWidth="1"/>
    <col min="10252" max="10252" width="8.1640625" style="157" customWidth="1"/>
    <col min="10253" max="10253" width="10.83203125" style="157" bestFit="1" customWidth="1"/>
    <col min="10254" max="10254" width="12.1640625" style="157" bestFit="1" customWidth="1"/>
    <col min="10255" max="10255" width="9.1640625" style="157" customWidth="1"/>
    <col min="10256" max="10256" width="10.83203125" style="157" bestFit="1" customWidth="1"/>
    <col min="10257" max="10257" width="12.1640625" style="157" bestFit="1" customWidth="1"/>
    <col min="10258" max="10258" width="8" style="157" customWidth="1"/>
    <col min="10259" max="10259" width="10.83203125" style="157" bestFit="1" customWidth="1"/>
    <col min="10260" max="10260" width="12.1640625" style="157" bestFit="1" customWidth="1"/>
    <col min="10261" max="10261" width="8.1640625" style="157" bestFit="1" customWidth="1"/>
    <col min="10262" max="10262" width="10.83203125" style="157" bestFit="1" customWidth="1"/>
    <col min="10263" max="10263" width="12.1640625" style="157" bestFit="1" customWidth="1"/>
    <col min="10264" max="10264" width="18.1640625" style="157" bestFit="1" customWidth="1"/>
    <col min="10265" max="10265" width="10.83203125" style="157" bestFit="1" customWidth="1"/>
    <col min="10266" max="10501" width="8.83203125" style="157"/>
    <col min="10502" max="10502" width="38.1640625" style="157" customWidth="1"/>
    <col min="10503" max="10503" width="23.44140625" style="157" bestFit="1" customWidth="1"/>
    <col min="10504" max="10505" width="9.1640625" style="157" customWidth="1"/>
    <col min="10506" max="10506" width="11.1640625" style="157" bestFit="1" customWidth="1"/>
    <col min="10507" max="10507" width="14.44140625" style="157" bestFit="1" customWidth="1"/>
    <col min="10508" max="10508" width="8.1640625" style="157" customWidth="1"/>
    <col min="10509" max="10509" width="10.83203125" style="157" bestFit="1" customWidth="1"/>
    <col min="10510" max="10510" width="12.1640625" style="157" bestFit="1" customWidth="1"/>
    <col min="10511" max="10511" width="9.1640625" style="157" customWidth="1"/>
    <col min="10512" max="10512" width="10.83203125" style="157" bestFit="1" customWidth="1"/>
    <col min="10513" max="10513" width="12.1640625" style="157" bestFit="1" customWidth="1"/>
    <col min="10514" max="10514" width="8" style="157" customWidth="1"/>
    <col min="10515" max="10515" width="10.83203125" style="157" bestFit="1" customWidth="1"/>
    <col min="10516" max="10516" width="12.1640625" style="157" bestFit="1" customWidth="1"/>
    <col min="10517" max="10517" width="8.1640625" style="157" bestFit="1" customWidth="1"/>
    <col min="10518" max="10518" width="10.83203125" style="157" bestFit="1" customWidth="1"/>
    <col min="10519" max="10519" width="12.1640625" style="157" bestFit="1" customWidth="1"/>
    <col min="10520" max="10520" width="18.1640625" style="157" bestFit="1" customWidth="1"/>
    <col min="10521" max="10521" width="10.83203125" style="157" bestFit="1" customWidth="1"/>
    <col min="10522" max="10757" width="8.83203125" style="157"/>
    <col min="10758" max="10758" width="38.1640625" style="157" customWidth="1"/>
    <col min="10759" max="10759" width="23.44140625" style="157" bestFit="1" customWidth="1"/>
    <col min="10760" max="10761" width="9.1640625" style="157" customWidth="1"/>
    <col min="10762" max="10762" width="11.1640625" style="157" bestFit="1" customWidth="1"/>
    <col min="10763" max="10763" width="14.44140625" style="157" bestFit="1" customWidth="1"/>
    <col min="10764" max="10764" width="8.1640625" style="157" customWidth="1"/>
    <col min="10765" max="10765" width="10.83203125" style="157" bestFit="1" customWidth="1"/>
    <col min="10766" max="10766" width="12.1640625" style="157" bestFit="1" customWidth="1"/>
    <col min="10767" max="10767" width="9.1640625" style="157" customWidth="1"/>
    <col min="10768" max="10768" width="10.83203125" style="157" bestFit="1" customWidth="1"/>
    <col min="10769" max="10769" width="12.1640625" style="157" bestFit="1" customWidth="1"/>
    <col min="10770" max="10770" width="8" style="157" customWidth="1"/>
    <col min="10771" max="10771" width="10.83203125" style="157" bestFit="1" customWidth="1"/>
    <col min="10772" max="10772" width="12.1640625" style="157" bestFit="1" customWidth="1"/>
    <col min="10773" max="10773" width="8.1640625" style="157" bestFit="1" customWidth="1"/>
    <col min="10774" max="10774" width="10.83203125" style="157" bestFit="1" customWidth="1"/>
    <col min="10775" max="10775" width="12.1640625" style="157" bestFit="1" customWidth="1"/>
    <col min="10776" max="10776" width="18.1640625" style="157" bestFit="1" customWidth="1"/>
    <col min="10777" max="10777" width="10.83203125" style="157" bestFit="1" customWidth="1"/>
    <col min="10778" max="11013" width="8.83203125" style="157"/>
    <col min="11014" max="11014" width="38.1640625" style="157" customWidth="1"/>
    <col min="11015" max="11015" width="23.44140625" style="157" bestFit="1" customWidth="1"/>
    <col min="11016" max="11017" width="9.1640625" style="157" customWidth="1"/>
    <col min="11018" max="11018" width="11.1640625" style="157" bestFit="1" customWidth="1"/>
    <col min="11019" max="11019" width="14.44140625" style="157" bestFit="1" customWidth="1"/>
    <col min="11020" max="11020" width="8.1640625" style="157" customWidth="1"/>
    <col min="11021" max="11021" width="10.83203125" style="157" bestFit="1" customWidth="1"/>
    <col min="11022" max="11022" width="12.1640625" style="157" bestFit="1" customWidth="1"/>
    <col min="11023" max="11023" width="9.1640625" style="157" customWidth="1"/>
    <col min="11024" max="11024" width="10.83203125" style="157" bestFit="1" customWidth="1"/>
    <col min="11025" max="11025" width="12.1640625" style="157" bestFit="1" customWidth="1"/>
    <col min="11026" max="11026" width="8" style="157" customWidth="1"/>
    <col min="11027" max="11027" width="10.83203125" style="157" bestFit="1" customWidth="1"/>
    <col min="11028" max="11028" width="12.1640625" style="157" bestFit="1" customWidth="1"/>
    <col min="11029" max="11029" width="8.1640625" style="157" bestFit="1" customWidth="1"/>
    <col min="11030" max="11030" width="10.83203125" style="157" bestFit="1" customWidth="1"/>
    <col min="11031" max="11031" width="12.1640625" style="157" bestFit="1" customWidth="1"/>
    <col min="11032" max="11032" width="18.1640625" style="157" bestFit="1" customWidth="1"/>
    <col min="11033" max="11033" width="10.83203125" style="157" bestFit="1" customWidth="1"/>
    <col min="11034" max="11269" width="8.83203125" style="157"/>
    <col min="11270" max="11270" width="38.1640625" style="157" customWidth="1"/>
    <col min="11271" max="11271" width="23.44140625" style="157" bestFit="1" customWidth="1"/>
    <col min="11272" max="11273" width="9.1640625" style="157" customWidth="1"/>
    <col min="11274" max="11274" width="11.1640625" style="157" bestFit="1" customWidth="1"/>
    <col min="11275" max="11275" width="14.44140625" style="157" bestFit="1" customWidth="1"/>
    <col min="11276" max="11276" width="8.1640625" style="157" customWidth="1"/>
    <col min="11277" max="11277" width="10.83203125" style="157" bestFit="1" customWidth="1"/>
    <col min="11278" max="11278" width="12.1640625" style="157" bestFit="1" customWidth="1"/>
    <col min="11279" max="11279" width="9.1640625" style="157" customWidth="1"/>
    <col min="11280" max="11280" width="10.83203125" style="157" bestFit="1" customWidth="1"/>
    <col min="11281" max="11281" width="12.1640625" style="157" bestFit="1" customWidth="1"/>
    <col min="11282" max="11282" width="8" style="157" customWidth="1"/>
    <col min="11283" max="11283" width="10.83203125" style="157" bestFit="1" customWidth="1"/>
    <col min="11284" max="11284" width="12.1640625" style="157" bestFit="1" customWidth="1"/>
    <col min="11285" max="11285" width="8.1640625" style="157" bestFit="1" customWidth="1"/>
    <col min="11286" max="11286" width="10.83203125" style="157" bestFit="1" customWidth="1"/>
    <col min="11287" max="11287" width="12.1640625" style="157" bestFit="1" customWidth="1"/>
    <col min="11288" max="11288" width="18.1640625" style="157" bestFit="1" customWidth="1"/>
    <col min="11289" max="11289" width="10.83203125" style="157" bestFit="1" customWidth="1"/>
    <col min="11290" max="11525" width="8.83203125" style="157"/>
    <col min="11526" max="11526" width="38.1640625" style="157" customWidth="1"/>
    <col min="11527" max="11527" width="23.44140625" style="157" bestFit="1" customWidth="1"/>
    <col min="11528" max="11529" width="9.1640625" style="157" customWidth="1"/>
    <col min="11530" max="11530" width="11.1640625" style="157" bestFit="1" customWidth="1"/>
    <col min="11531" max="11531" width="14.44140625" style="157" bestFit="1" customWidth="1"/>
    <col min="11532" max="11532" width="8.1640625" style="157" customWidth="1"/>
    <col min="11533" max="11533" width="10.83203125" style="157" bestFit="1" customWidth="1"/>
    <col min="11534" max="11534" width="12.1640625" style="157" bestFit="1" customWidth="1"/>
    <col min="11535" max="11535" width="9.1640625" style="157" customWidth="1"/>
    <col min="11536" max="11536" width="10.83203125" style="157" bestFit="1" customWidth="1"/>
    <col min="11537" max="11537" width="12.1640625" style="157" bestFit="1" customWidth="1"/>
    <col min="11538" max="11538" width="8" style="157" customWidth="1"/>
    <col min="11539" max="11539" width="10.83203125" style="157" bestFit="1" customWidth="1"/>
    <col min="11540" max="11540" width="12.1640625" style="157" bestFit="1" customWidth="1"/>
    <col min="11541" max="11541" width="8.1640625" style="157" bestFit="1" customWidth="1"/>
    <col min="11542" max="11542" width="10.83203125" style="157" bestFit="1" customWidth="1"/>
    <col min="11543" max="11543" width="12.1640625" style="157" bestFit="1" customWidth="1"/>
    <col min="11544" max="11544" width="18.1640625" style="157" bestFit="1" customWidth="1"/>
    <col min="11545" max="11545" width="10.83203125" style="157" bestFit="1" customWidth="1"/>
    <col min="11546" max="11781" width="8.83203125" style="157"/>
    <col min="11782" max="11782" width="38.1640625" style="157" customWidth="1"/>
    <col min="11783" max="11783" width="23.44140625" style="157" bestFit="1" customWidth="1"/>
    <col min="11784" max="11785" width="9.1640625" style="157" customWidth="1"/>
    <col min="11786" max="11786" width="11.1640625" style="157" bestFit="1" customWidth="1"/>
    <col min="11787" max="11787" width="14.44140625" style="157" bestFit="1" customWidth="1"/>
    <col min="11788" max="11788" width="8.1640625" style="157" customWidth="1"/>
    <col min="11789" max="11789" width="10.83203125" style="157" bestFit="1" customWidth="1"/>
    <col min="11790" max="11790" width="12.1640625" style="157" bestFit="1" customWidth="1"/>
    <col min="11791" max="11791" width="9.1640625" style="157" customWidth="1"/>
    <col min="11792" max="11792" width="10.83203125" style="157" bestFit="1" customWidth="1"/>
    <col min="11793" max="11793" width="12.1640625" style="157" bestFit="1" customWidth="1"/>
    <col min="11794" max="11794" width="8" style="157" customWidth="1"/>
    <col min="11795" max="11795" width="10.83203125" style="157" bestFit="1" customWidth="1"/>
    <col min="11796" max="11796" width="12.1640625" style="157" bestFit="1" customWidth="1"/>
    <col min="11797" max="11797" width="8.1640625" style="157" bestFit="1" customWidth="1"/>
    <col min="11798" max="11798" width="10.83203125" style="157" bestFit="1" customWidth="1"/>
    <col min="11799" max="11799" width="12.1640625" style="157" bestFit="1" customWidth="1"/>
    <col min="11800" max="11800" width="18.1640625" style="157" bestFit="1" customWidth="1"/>
    <col min="11801" max="11801" width="10.83203125" style="157" bestFit="1" customWidth="1"/>
    <col min="11802" max="12037" width="8.83203125" style="157"/>
    <col min="12038" max="12038" width="38.1640625" style="157" customWidth="1"/>
    <col min="12039" max="12039" width="23.44140625" style="157" bestFit="1" customWidth="1"/>
    <col min="12040" max="12041" width="9.1640625" style="157" customWidth="1"/>
    <col min="12042" max="12042" width="11.1640625" style="157" bestFit="1" customWidth="1"/>
    <col min="12043" max="12043" width="14.44140625" style="157" bestFit="1" customWidth="1"/>
    <col min="12044" max="12044" width="8.1640625" style="157" customWidth="1"/>
    <col min="12045" max="12045" width="10.83203125" style="157" bestFit="1" customWidth="1"/>
    <col min="12046" max="12046" width="12.1640625" style="157" bestFit="1" customWidth="1"/>
    <col min="12047" max="12047" width="9.1640625" style="157" customWidth="1"/>
    <col min="12048" max="12048" width="10.83203125" style="157" bestFit="1" customWidth="1"/>
    <col min="12049" max="12049" width="12.1640625" style="157" bestFit="1" customWidth="1"/>
    <col min="12050" max="12050" width="8" style="157" customWidth="1"/>
    <col min="12051" max="12051" width="10.83203125" style="157" bestFit="1" customWidth="1"/>
    <col min="12052" max="12052" width="12.1640625" style="157" bestFit="1" customWidth="1"/>
    <col min="12053" max="12053" width="8.1640625" style="157" bestFit="1" customWidth="1"/>
    <col min="12054" max="12054" width="10.83203125" style="157" bestFit="1" customWidth="1"/>
    <col min="12055" max="12055" width="12.1640625" style="157" bestFit="1" customWidth="1"/>
    <col min="12056" max="12056" width="18.1640625" style="157" bestFit="1" customWidth="1"/>
    <col min="12057" max="12057" width="10.83203125" style="157" bestFit="1" customWidth="1"/>
    <col min="12058" max="12293" width="8.83203125" style="157"/>
    <col min="12294" max="12294" width="38.1640625" style="157" customWidth="1"/>
    <col min="12295" max="12295" width="23.44140625" style="157" bestFit="1" customWidth="1"/>
    <col min="12296" max="12297" width="9.1640625" style="157" customWidth="1"/>
    <col min="12298" max="12298" width="11.1640625" style="157" bestFit="1" customWidth="1"/>
    <col min="12299" max="12299" width="14.44140625" style="157" bestFit="1" customWidth="1"/>
    <col min="12300" max="12300" width="8.1640625" style="157" customWidth="1"/>
    <col min="12301" max="12301" width="10.83203125" style="157" bestFit="1" customWidth="1"/>
    <col min="12302" max="12302" width="12.1640625" style="157" bestFit="1" customWidth="1"/>
    <col min="12303" max="12303" width="9.1640625" style="157" customWidth="1"/>
    <col min="12304" max="12304" width="10.83203125" style="157" bestFit="1" customWidth="1"/>
    <col min="12305" max="12305" width="12.1640625" style="157" bestFit="1" customWidth="1"/>
    <col min="12306" max="12306" width="8" style="157" customWidth="1"/>
    <col min="12307" max="12307" width="10.83203125" style="157" bestFit="1" customWidth="1"/>
    <col min="12308" max="12308" width="12.1640625" style="157" bestFit="1" customWidth="1"/>
    <col min="12309" max="12309" width="8.1640625" style="157" bestFit="1" customWidth="1"/>
    <col min="12310" max="12310" width="10.83203125" style="157" bestFit="1" customWidth="1"/>
    <col min="12311" max="12311" width="12.1640625" style="157" bestFit="1" customWidth="1"/>
    <col min="12312" max="12312" width="18.1640625" style="157" bestFit="1" customWidth="1"/>
    <col min="12313" max="12313" width="10.83203125" style="157" bestFit="1" customWidth="1"/>
    <col min="12314" max="12549" width="8.83203125" style="157"/>
    <col min="12550" max="12550" width="38.1640625" style="157" customWidth="1"/>
    <col min="12551" max="12551" width="23.44140625" style="157" bestFit="1" customWidth="1"/>
    <col min="12552" max="12553" width="9.1640625" style="157" customWidth="1"/>
    <col min="12554" max="12554" width="11.1640625" style="157" bestFit="1" customWidth="1"/>
    <col min="12555" max="12555" width="14.44140625" style="157" bestFit="1" customWidth="1"/>
    <col min="12556" max="12556" width="8.1640625" style="157" customWidth="1"/>
    <col min="12557" max="12557" width="10.83203125" style="157" bestFit="1" customWidth="1"/>
    <col min="12558" max="12558" width="12.1640625" style="157" bestFit="1" customWidth="1"/>
    <col min="12559" max="12559" width="9.1640625" style="157" customWidth="1"/>
    <col min="12560" max="12560" width="10.83203125" style="157" bestFit="1" customWidth="1"/>
    <col min="12561" max="12561" width="12.1640625" style="157" bestFit="1" customWidth="1"/>
    <col min="12562" max="12562" width="8" style="157" customWidth="1"/>
    <col min="12563" max="12563" width="10.83203125" style="157" bestFit="1" customWidth="1"/>
    <col min="12564" max="12564" width="12.1640625" style="157" bestFit="1" customWidth="1"/>
    <col min="12565" max="12565" width="8.1640625" style="157" bestFit="1" customWidth="1"/>
    <col min="12566" max="12566" width="10.83203125" style="157" bestFit="1" customWidth="1"/>
    <col min="12567" max="12567" width="12.1640625" style="157" bestFit="1" customWidth="1"/>
    <col min="12568" max="12568" width="18.1640625" style="157" bestFit="1" customWidth="1"/>
    <col min="12569" max="12569" width="10.83203125" style="157" bestFit="1" customWidth="1"/>
    <col min="12570" max="12805" width="8.83203125" style="157"/>
    <col min="12806" max="12806" width="38.1640625" style="157" customWidth="1"/>
    <col min="12807" max="12807" width="23.44140625" style="157" bestFit="1" customWidth="1"/>
    <col min="12808" max="12809" width="9.1640625" style="157" customWidth="1"/>
    <col min="12810" max="12810" width="11.1640625" style="157" bestFit="1" customWidth="1"/>
    <col min="12811" max="12811" width="14.44140625" style="157" bestFit="1" customWidth="1"/>
    <col min="12812" max="12812" width="8.1640625" style="157" customWidth="1"/>
    <col min="12813" max="12813" width="10.83203125" style="157" bestFit="1" customWidth="1"/>
    <col min="12814" max="12814" width="12.1640625" style="157" bestFit="1" customWidth="1"/>
    <col min="12815" max="12815" width="9.1640625" style="157" customWidth="1"/>
    <col min="12816" max="12816" width="10.83203125" style="157" bestFit="1" customWidth="1"/>
    <col min="12817" max="12817" width="12.1640625" style="157" bestFit="1" customWidth="1"/>
    <col min="12818" max="12818" width="8" style="157" customWidth="1"/>
    <col min="12819" max="12819" width="10.83203125" style="157" bestFit="1" customWidth="1"/>
    <col min="12820" max="12820" width="12.1640625" style="157" bestFit="1" customWidth="1"/>
    <col min="12821" max="12821" width="8.1640625" style="157" bestFit="1" customWidth="1"/>
    <col min="12822" max="12822" width="10.83203125" style="157" bestFit="1" customWidth="1"/>
    <col min="12823" max="12823" width="12.1640625" style="157" bestFit="1" customWidth="1"/>
    <col min="12824" max="12824" width="18.1640625" style="157" bestFit="1" customWidth="1"/>
    <col min="12825" max="12825" width="10.83203125" style="157" bestFit="1" customWidth="1"/>
    <col min="12826" max="13061" width="8.83203125" style="157"/>
    <col min="13062" max="13062" width="38.1640625" style="157" customWidth="1"/>
    <col min="13063" max="13063" width="23.44140625" style="157" bestFit="1" customWidth="1"/>
    <col min="13064" max="13065" width="9.1640625" style="157" customWidth="1"/>
    <col min="13066" max="13066" width="11.1640625" style="157" bestFit="1" customWidth="1"/>
    <col min="13067" max="13067" width="14.44140625" style="157" bestFit="1" customWidth="1"/>
    <col min="13068" max="13068" width="8.1640625" style="157" customWidth="1"/>
    <col min="13069" max="13069" width="10.83203125" style="157" bestFit="1" customWidth="1"/>
    <col min="13070" max="13070" width="12.1640625" style="157" bestFit="1" customWidth="1"/>
    <col min="13071" max="13071" width="9.1640625" style="157" customWidth="1"/>
    <col min="13072" max="13072" width="10.83203125" style="157" bestFit="1" customWidth="1"/>
    <col min="13073" max="13073" width="12.1640625" style="157" bestFit="1" customWidth="1"/>
    <col min="13074" max="13074" width="8" style="157" customWidth="1"/>
    <col min="13075" max="13075" width="10.83203125" style="157" bestFit="1" customWidth="1"/>
    <col min="13076" max="13076" width="12.1640625" style="157" bestFit="1" customWidth="1"/>
    <col min="13077" max="13077" width="8.1640625" style="157" bestFit="1" customWidth="1"/>
    <col min="13078" max="13078" width="10.83203125" style="157" bestFit="1" customWidth="1"/>
    <col min="13079" max="13079" width="12.1640625" style="157" bestFit="1" customWidth="1"/>
    <col min="13080" max="13080" width="18.1640625" style="157" bestFit="1" customWidth="1"/>
    <col min="13081" max="13081" width="10.83203125" style="157" bestFit="1" customWidth="1"/>
    <col min="13082" max="13317" width="8.83203125" style="157"/>
    <col min="13318" max="13318" width="38.1640625" style="157" customWidth="1"/>
    <col min="13319" max="13319" width="23.44140625" style="157" bestFit="1" customWidth="1"/>
    <col min="13320" max="13321" width="9.1640625" style="157" customWidth="1"/>
    <col min="13322" max="13322" width="11.1640625" style="157" bestFit="1" customWidth="1"/>
    <col min="13323" max="13323" width="14.44140625" style="157" bestFit="1" customWidth="1"/>
    <col min="13324" max="13324" width="8.1640625" style="157" customWidth="1"/>
    <col min="13325" max="13325" width="10.83203125" style="157" bestFit="1" customWidth="1"/>
    <col min="13326" max="13326" width="12.1640625" style="157" bestFit="1" customWidth="1"/>
    <col min="13327" max="13327" width="9.1640625" style="157" customWidth="1"/>
    <col min="13328" max="13328" width="10.83203125" style="157" bestFit="1" customWidth="1"/>
    <col min="13329" max="13329" width="12.1640625" style="157" bestFit="1" customWidth="1"/>
    <col min="13330" max="13330" width="8" style="157" customWidth="1"/>
    <col min="13331" max="13331" width="10.83203125" style="157" bestFit="1" customWidth="1"/>
    <col min="13332" max="13332" width="12.1640625" style="157" bestFit="1" customWidth="1"/>
    <col min="13333" max="13333" width="8.1640625" style="157" bestFit="1" customWidth="1"/>
    <col min="13334" max="13334" width="10.83203125" style="157" bestFit="1" customWidth="1"/>
    <col min="13335" max="13335" width="12.1640625" style="157" bestFit="1" customWidth="1"/>
    <col min="13336" max="13336" width="18.1640625" style="157" bestFit="1" customWidth="1"/>
    <col min="13337" max="13337" width="10.83203125" style="157" bestFit="1" customWidth="1"/>
    <col min="13338" max="13573" width="8.83203125" style="157"/>
    <col min="13574" max="13574" width="38.1640625" style="157" customWidth="1"/>
    <col min="13575" max="13575" width="23.44140625" style="157" bestFit="1" customWidth="1"/>
    <col min="13576" max="13577" width="9.1640625" style="157" customWidth="1"/>
    <col min="13578" max="13578" width="11.1640625" style="157" bestFit="1" customWidth="1"/>
    <col min="13579" max="13579" width="14.44140625" style="157" bestFit="1" customWidth="1"/>
    <col min="13580" max="13580" width="8.1640625" style="157" customWidth="1"/>
    <col min="13581" max="13581" width="10.83203125" style="157" bestFit="1" customWidth="1"/>
    <col min="13582" max="13582" width="12.1640625" style="157" bestFit="1" customWidth="1"/>
    <col min="13583" max="13583" width="9.1640625" style="157" customWidth="1"/>
    <col min="13584" max="13584" width="10.83203125" style="157" bestFit="1" customWidth="1"/>
    <col min="13585" max="13585" width="12.1640625" style="157" bestFit="1" customWidth="1"/>
    <col min="13586" max="13586" width="8" style="157" customWidth="1"/>
    <col min="13587" max="13587" width="10.83203125" style="157" bestFit="1" customWidth="1"/>
    <col min="13588" max="13588" width="12.1640625" style="157" bestFit="1" customWidth="1"/>
    <col min="13589" max="13589" width="8.1640625" style="157" bestFit="1" customWidth="1"/>
    <col min="13590" max="13590" width="10.83203125" style="157" bestFit="1" customWidth="1"/>
    <col min="13591" max="13591" width="12.1640625" style="157" bestFit="1" customWidth="1"/>
    <col min="13592" max="13592" width="18.1640625" style="157" bestFit="1" customWidth="1"/>
    <col min="13593" max="13593" width="10.83203125" style="157" bestFit="1" customWidth="1"/>
    <col min="13594" max="13829" width="8.83203125" style="157"/>
    <col min="13830" max="13830" width="38.1640625" style="157" customWidth="1"/>
    <col min="13831" max="13831" width="23.44140625" style="157" bestFit="1" customWidth="1"/>
    <col min="13832" max="13833" width="9.1640625" style="157" customWidth="1"/>
    <col min="13834" max="13834" width="11.1640625" style="157" bestFit="1" customWidth="1"/>
    <col min="13835" max="13835" width="14.44140625" style="157" bestFit="1" customWidth="1"/>
    <col min="13836" max="13836" width="8.1640625" style="157" customWidth="1"/>
    <col min="13837" max="13837" width="10.83203125" style="157" bestFit="1" customWidth="1"/>
    <col min="13838" max="13838" width="12.1640625" style="157" bestFit="1" customWidth="1"/>
    <col min="13839" max="13839" width="9.1640625" style="157" customWidth="1"/>
    <col min="13840" max="13840" width="10.83203125" style="157" bestFit="1" customWidth="1"/>
    <col min="13841" max="13841" width="12.1640625" style="157" bestFit="1" customWidth="1"/>
    <col min="13842" max="13842" width="8" style="157" customWidth="1"/>
    <col min="13843" max="13843" width="10.83203125" style="157" bestFit="1" customWidth="1"/>
    <col min="13844" max="13844" width="12.1640625" style="157" bestFit="1" customWidth="1"/>
    <col min="13845" max="13845" width="8.1640625" style="157" bestFit="1" customWidth="1"/>
    <col min="13846" max="13846" width="10.83203125" style="157" bestFit="1" customWidth="1"/>
    <col min="13847" max="13847" width="12.1640625" style="157" bestFit="1" customWidth="1"/>
    <col min="13848" max="13848" width="18.1640625" style="157" bestFit="1" customWidth="1"/>
    <col min="13849" max="13849" width="10.83203125" style="157" bestFit="1" customWidth="1"/>
    <col min="13850" max="14085" width="8.83203125" style="157"/>
    <col min="14086" max="14086" width="38.1640625" style="157" customWidth="1"/>
    <col min="14087" max="14087" width="23.44140625" style="157" bestFit="1" customWidth="1"/>
    <col min="14088" max="14089" width="9.1640625" style="157" customWidth="1"/>
    <col min="14090" max="14090" width="11.1640625" style="157" bestFit="1" customWidth="1"/>
    <col min="14091" max="14091" width="14.44140625" style="157" bestFit="1" customWidth="1"/>
    <col min="14092" max="14092" width="8.1640625" style="157" customWidth="1"/>
    <col min="14093" max="14093" width="10.83203125" style="157" bestFit="1" customWidth="1"/>
    <col min="14094" max="14094" width="12.1640625" style="157" bestFit="1" customWidth="1"/>
    <col min="14095" max="14095" width="9.1640625" style="157" customWidth="1"/>
    <col min="14096" max="14096" width="10.83203125" style="157" bestFit="1" customWidth="1"/>
    <col min="14097" max="14097" width="12.1640625" style="157" bestFit="1" customWidth="1"/>
    <col min="14098" max="14098" width="8" style="157" customWidth="1"/>
    <col min="14099" max="14099" width="10.83203125" style="157" bestFit="1" customWidth="1"/>
    <col min="14100" max="14100" width="12.1640625" style="157" bestFit="1" customWidth="1"/>
    <col min="14101" max="14101" width="8.1640625" style="157" bestFit="1" customWidth="1"/>
    <col min="14102" max="14102" width="10.83203125" style="157" bestFit="1" customWidth="1"/>
    <col min="14103" max="14103" width="12.1640625" style="157" bestFit="1" customWidth="1"/>
    <col min="14104" max="14104" width="18.1640625" style="157" bestFit="1" customWidth="1"/>
    <col min="14105" max="14105" width="10.83203125" style="157" bestFit="1" customWidth="1"/>
    <col min="14106" max="14341" width="8.83203125" style="157"/>
    <col min="14342" max="14342" width="38.1640625" style="157" customWidth="1"/>
    <col min="14343" max="14343" width="23.44140625" style="157" bestFit="1" customWidth="1"/>
    <col min="14344" max="14345" width="9.1640625" style="157" customWidth="1"/>
    <col min="14346" max="14346" width="11.1640625" style="157" bestFit="1" customWidth="1"/>
    <col min="14347" max="14347" width="14.44140625" style="157" bestFit="1" customWidth="1"/>
    <col min="14348" max="14348" width="8.1640625" style="157" customWidth="1"/>
    <col min="14349" max="14349" width="10.83203125" style="157" bestFit="1" customWidth="1"/>
    <col min="14350" max="14350" width="12.1640625" style="157" bestFit="1" customWidth="1"/>
    <col min="14351" max="14351" width="9.1640625" style="157" customWidth="1"/>
    <col min="14352" max="14352" width="10.83203125" style="157" bestFit="1" customWidth="1"/>
    <col min="14353" max="14353" width="12.1640625" style="157" bestFit="1" customWidth="1"/>
    <col min="14354" max="14354" width="8" style="157" customWidth="1"/>
    <col min="14355" max="14355" width="10.83203125" style="157" bestFit="1" customWidth="1"/>
    <col min="14356" max="14356" width="12.1640625" style="157" bestFit="1" customWidth="1"/>
    <col min="14357" max="14357" width="8.1640625" style="157" bestFit="1" customWidth="1"/>
    <col min="14358" max="14358" width="10.83203125" style="157" bestFit="1" customWidth="1"/>
    <col min="14359" max="14359" width="12.1640625" style="157" bestFit="1" customWidth="1"/>
    <col min="14360" max="14360" width="18.1640625" style="157" bestFit="1" customWidth="1"/>
    <col min="14361" max="14361" width="10.83203125" style="157" bestFit="1" customWidth="1"/>
    <col min="14362" max="14597" width="8.83203125" style="157"/>
    <col min="14598" max="14598" width="38.1640625" style="157" customWidth="1"/>
    <col min="14599" max="14599" width="23.44140625" style="157" bestFit="1" customWidth="1"/>
    <col min="14600" max="14601" width="9.1640625" style="157" customWidth="1"/>
    <col min="14602" max="14602" width="11.1640625" style="157" bestFit="1" customWidth="1"/>
    <col min="14603" max="14603" width="14.44140625" style="157" bestFit="1" customWidth="1"/>
    <col min="14604" max="14604" width="8.1640625" style="157" customWidth="1"/>
    <col min="14605" max="14605" width="10.83203125" style="157" bestFit="1" customWidth="1"/>
    <col min="14606" max="14606" width="12.1640625" style="157" bestFit="1" customWidth="1"/>
    <col min="14607" max="14607" width="9.1640625" style="157" customWidth="1"/>
    <col min="14608" max="14608" width="10.83203125" style="157" bestFit="1" customWidth="1"/>
    <col min="14609" max="14609" width="12.1640625" style="157" bestFit="1" customWidth="1"/>
    <col min="14610" max="14610" width="8" style="157" customWidth="1"/>
    <col min="14611" max="14611" width="10.83203125" style="157" bestFit="1" customWidth="1"/>
    <col min="14612" max="14612" width="12.1640625" style="157" bestFit="1" customWidth="1"/>
    <col min="14613" max="14613" width="8.1640625" style="157" bestFit="1" customWidth="1"/>
    <col min="14614" max="14614" width="10.83203125" style="157" bestFit="1" customWidth="1"/>
    <col min="14615" max="14615" width="12.1640625" style="157" bestFit="1" customWidth="1"/>
    <col min="14616" max="14616" width="18.1640625" style="157" bestFit="1" customWidth="1"/>
    <col min="14617" max="14617" width="10.83203125" style="157" bestFit="1" customWidth="1"/>
    <col min="14618" max="14853" width="8.83203125" style="157"/>
    <col min="14854" max="14854" width="38.1640625" style="157" customWidth="1"/>
    <col min="14855" max="14855" width="23.44140625" style="157" bestFit="1" customWidth="1"/>
    <col min="14856" max="14857" width="9.1640625" style="157" customWidth="1"/>
    <col min="14858" max="14858" width="11.1640625" style="157" bestFit="1" customWidth="1"/>
    <col min="14859" max="14859" width="14.44140625" style="157" bestFit="1" customWidth="1"/>
    <col min="14860" max="14860" width="8.1640625" style="157" customWidth="1"/>
    <col min="14861" max="14861" width="10.83203125" style="157" bestFit="1" customWidth="1"/>
    <col min="14862" max="14862" width="12.1640625" style="157" bestFit="1" customWidth="1"/>
    <col min="14863" max="14863" width="9.1640625" style="157" customWidth="1"/>
    <col min="14864" max="14864" width="10.83203125" style="157" bestFit="1" customWidth="1"/>
    <col min="14865" max="14865" width="12.1640625" style="157" bestFit="1" customWidth="1"/>
    <col min="14866" max="14866" width="8" style="157" customWidth="1"/>
    <col min="14867" max="14867" width="10.83203125" style="157" bestFit="1" customWidth="1"/>
    <col min="14868" max="14868" width="12.1640625" style="157" bestFit="1" customWidth="1"/>
    <col min="14869" max="14869" width="8.1640625" style="157" bestFit="1" customWidth="1"/>
    <col min="14870" max="14870" width="10.83203125" style="157" bestFit="1" customWidth="1"/>
    <col min="14871" max="14871" width="12.1640625" style="157" bestFit="1" customWidth="1"/>
    <col min="14872" max="14872" width="18.1640625" style="157" bestFit="1" customWidth="1"/>
    <col min="14873" max="14873" width="10.83203125" style="157" bestFit="1" customWidth="1"/>
    <col min="14874" max="15109" width="8.83203125" style="157"/>
    <col min="15110" max="15110" width="38.1640625" style="157" customWidth="1"/>
    <col min="15111" max="15111" width="23.44140625" style="157" bestFit="1" customWidth="1"/>
    <col min="15112" max="15113" width="9.1640625" style="157" customWidth="1"/>
    <col min="15114" max="15114" width="11.1640625" style="157" bestFit="1" customWidth="1"/>
    <col min="15115" max="15115" width="14.44140625" style="157" bestFit="1" customWidth="1"/>
    <col min="15116" max="15116" width="8.1640625" style="157" customWidth="1"/>
    <col min="15117" max="15117" width="10.83203125" style="157" bestFit="1" customWidth="1"/>
    <col min="15118" max="15118" width="12.1640625" style="157" bestFit="1" customWidth="1"/>
    <col min="15119" max="15119" width="9.1640625" style="157" customWidth="1"/>
    <col min="15120" max="15120" width="10.83203125" style="157" bestFit="1" customWidth="1"/>
    <col min="15121" max="15121" width="12.1640625" style="157" bestFit="1" customWidth="1"/>
    <col min="15122" max="15122" width="8" style="157" customWidth="1"/>
    <col min="15123" max="15123" width="10.83203125" style="157" bestFit="1" customWidth="1"/>
    <col min="15124" max="15124" width="12.1640625" style="157" bestFit="1" customWidth="1"/>
    <col min="15125" max="15125" width="8.1640625" style="157" bestFit="1" customWidth="1"/>
    <col min="15126" max="15126" width="10.83203125" style="157" bestFit="1" customWidth="1"/>
    <col min="15127" max="15127" width="12.1640625" style="157" bestFit="1" customWidth="1"/>
    <col min="15128" max="15128" width="18.1640625" style="157" bestFit="1" customWidth="1"/>
    <col min="15129" max="15129" width="10.83203125" style="157" bestFit="1" customWidth="1"/>
    <col min="15130" max="15365" width="8.83203125" style="157"/>
    <col min="15366" max="15366" width="38.1640625" style="157" customWidth="1"/>
    <col min="15367" max="15367" width="23.44140625" style="157" bestFit="1" customWidth="1"/>
    <col min="15368" max="15369" width="9.1640625" style="157" customWidth="1"/>
    <col min="15370" max="15370" width="11.1640625" style="157" bestFit="1" customWidth="1"/>
    <col min="15371" max="15371" width="14.44140625" style="157" bestFit="1" customWidth="1"/>
    <col min="15372" max="15372" width="8.1640625" style="157" customWidth="1"/>
    <col min="15373" max="15373" width="10.83203125" style="157" bestFit="1" customWidth="1"/>
    <col min="15374" max="15374" width="12.1640625" style="157" bestFit="1" customWidth="1"/>
    <col min="15375" max="15375" width="9.1640625" style="157" customWidth="1"/>
    <col min="15376" max="15376" width="10.83203125" style="157" bestFit="1" customWidth="1"/>
    <col min="15377" max="15377" width="12.1640625" style="157" bestFit="1" customWidth="1"/>
    <col min="15378" max="15378" width="8" style="157" customWidth="1"/>
    <col min="15379" max="15379" width="10.83203125" style="157" bestFit="1" customWidth="1"/>
    <col min="15380" max="15380" width="12.1640625" style="157" bestFit="1" customWidth="1"/>
    <col min="15381" max="15381" width="8.1640625" style="157" bestFit="1" customWidth="1"/>
    <col min="15382" max="15382" width="10.83203125" style="157" bestFit="1" customWidth="1"/>
    <col min="15383" max="15383" width="12.1640625" style="157" bestFit="1" customWidth="1"/>
    <col min="15384" max="15384" width="18.1640625" style="157" bestFit="1" customWidth="1"/>
    <col min="15385" max="15385" width="10.83203125" style="157" bestFit="1" customWidth="1"/>
    <col min="15386" max="15621" width="8.83203125" style="157"/>
    <col min="15622" max="15622" width="38.1640625" style="157" customWidth="1"/>
    <col min="15623" max="15623" width="23.44140625" style="157" bestFit="1" customWidth="1"/>
    <col min="15624" max="15625" width="9.1640625" style="157" customWidth="1"/>
    <col min="15626" max="15626" width="11.1640625" style="157" bestFit="1" customWidth="1"/>
    <col min="15627" max="15627" width="14.44140625" style="157" bestFit="1" customWidth="1"/>
    <col min="15628" max="15628" width="8.1640625" style="157" customWidth="1"/>
    <col min="15629" max="15629" width="10.83203125" style="157" bestFit="1" customWidth="1"/>
    <col min="15630" max="15630" width="12.1640625" style="157" bestFit="1" customWidth="1"/>
    <col min="15631" max="15631" width="9.1640625" style="157" customWidth="1"/>
    <col min="15632" max="15632" width="10.83203125" style="157" bestFit="1" customWidth="1"/>
    <col min="15633" max="15633" width="12.1640625" style="157" bestFit="1" customWidth="1"/>
    <col min="15634" max="15634" width="8" style="157" customWidth="1"/>
    <col min="15635" max="15635" width="10.83203125" style="157" bestFit="1" customWidth="1"/>
    <col min="15636" max="15636" width="12.1640625" style="157" bestFit="1" customWidth="1"/>
    <col min="15637" max="15637" width="8.1640625" style="157" bestFit="1" customWidth="1"/>
    <col min="15638" max="15638" width="10.83203125" style="157" bestFit="1" customWidth="1"/>
    <col min="15639" max="15639" width="12.1640625" style="157" bestFit="1" customWidth="1"/>
    <col min="15640" max="15640" width="18.1640625" style="157" bestFit="1" customWidth="1"/>
    <col min="15641" max="15641" width="10.83203125" style="157" bestFit="1" customWidth="1"/>
    <col min="15642" max="15877" width="8.83203125" style="157"/>
    <col min="15878" max="15878" width="38.1640625" style="157" customWidth="1"/>
    <col min="15879" max="15879" width="23.44140625" style="157" bestFit="1" customWidth="1"/>
    <col min="15880" max="15881" width="9.1640625" style="157" customWidth="1"/>
    <col min="15882" max="15882" width="11.1640625" style="157" bestFit="1" customWidth="1"/>
    <col min="15883" max="15883" width="14.44140625" style="157" bestFit="1" customWidth="1"/>
    <col min="15884" max="15884" width="8.1640625" style="157" customWidth="1"/>
    <col min="15885" max="15885" width="10.83203125" style="157" bestFit="1" customWidth="1"/>
    <col min="15886" max="15886" width="12.1640625" style="157" bestFit="1" customWidth="1"/>
    <col min="15887" max="15887" width="9.1640625" style="157" customWidth="1"/>
    <col min="15888" max="15888" width="10.83203125" style="157" bestFit="1" customWidth="1"/>
    <col min="15889" max="15889" width="12.1640625" style="157" bestFit="1" customWidth="1"/>
    <col min="15890" max="15890" width="8" style="157" customWidth="1"/>
    <col min="15891" max="15891" width="10.83203125" style="157" bestFit="1" customWidth="1"/>
    <col min="15892" max="15892" width="12.1640625" style="157" bestFit="1" customWidth="1"/>
    <col min="15893" max="15893" width="8.1640625" style="157" bestFit="1" customWidth="1"/>
    <col min="15894" max="15894" width="10.83203125" style="157" bestFit="1" customWidth="1"/>
    <col min="15895" max="15895" width="12.1640625" style="157" bestFit="1" customWidth="1"/>
    <col min="15896" max="15896" width="18.1640625" style="157" bestFit="1" customWidth="1"/>
    <col min="15897" max="15897" width="10.83203125" style="157" bestFit="1" customWidth="1"/>
    <col min="15898" max="16133" width="8.83203125" style="157"/>
    <col min="16134" max="16134" width="38.1640625" style="157" customWidth="1"/>
    <col min="16135" max="16135" width="23.44140625" style="157" bestFit="1" customWidth="1"/>
    <col min="16136" max="16137" width="9.1640625" style="157" customWidth="1"/>
    <col min="16138" max="16138" width="11.1640625" style="157" bestFit="1" customWidth="1"/>
    <col min="16139" max="16139" width="14.44140625" style="157" bestFit="1" customWidth="1"/>
    <col min="16140" max="16140" width="8.1640625" style="157" customWidth="1"/>
    <col min="16141" max="16141" width="10.83203125" style="157" bestFit="1" customWidth="1"/>
    <col min="16142" max="16142" width="12.1640625" style="157" bestFit="1" customWidth="1"/>
    <col min="16143" max="16143" width="9.1640625" style="157" customWidth="1"/>
    <col min="16144" max="16144" width="10.83203125" style="157" bestFit="1" customWidth="1"/>
    <col min="16145" max="16145" width="12.1640625" style="157" bestFit="1" customWidth="1"/>
    <col min="16146" max="16146" width="8" style="157" customWidth="1"/>
    <col min="16147" max="16147" width="10.83203125" style="157" bestFit="1" customWidth="1"/>
    <col min="16148" max="16148" width="12.1640625" style="157" bestFit="1" customWidth="1"/>
    <col min="16149" max="16149" width="8.1640625" style="157" bestFit="1" customWidth="1"/>
    <col min="16150" max="16150" width="10.83203125" style="157" bestFit="1" customWidth="1"/>
    <col min="16151" max="16151" width="12.1640625" style="157" bestFit="1" customWidth="1"/>
    <col min="16152" max="16152" width="18.1640625" style="157" bestFit="1" customWidth="1"/>
    <col min="16153" max="16153" width="10.83203125" style="157" bestFit="1" customWidth="1"/>
    <col min="16154" max="16384" width="8.83203125" style="157"/>
  </cols>
  <sheetData>
    <row r="1" spans="1:33" ht="14.7" thickBot="1"/>
    <row r="2" spans="1:33" ht="23.5" customHeight="1">
      <c r="A2" s="658" t="s">
        <v>499</v>
      </c>
      <c r="B2" s="652" t="s">
        <v>500</v>
      </c>
      <c r="C2" s="660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48" t="s">
        <v>502</v>
      </c>
      <c r="AB2" s="163"/>
    </row>
    <row r="3" spans="1:33" ht="47.95" customHeight="1">
      <c r="A3" s="659"/>
      <c r="B3" s="653"/>
      <c r="C3" s="662"/>
      <c r="D3" s="164" t="s">
        <v>503</v>
      </c>
      <c r="E3" s="165" t="s">
        <v>504</v>
      </c>
      <c r="F3" s="167" t="s">
        <v>505</v>
      </c>
      <c r="G3" s="168" t="s">
        <v>502</v>
      </c>
      <c r="H3" s="164" t="s">
        <v>503</v>
      </c>
      <c r="I3" s="165" t="s">
        <v>504</v>
      </c>
      <c r="J3" s="166" t="s">
        <v>505</v>
      </c>
      <c r="K3" s="168" t="s">
        <v>502</v>
      </c>
      <c r="L3" s="164" t="s">
        <v>503</v>
      </c>
      <c r="M3" s="165" t="s">
        <v>504</v>
      </c>
      <c r="N3" s="167" t="s">
        <v>505</v>
      </c>
      <c r="O3" s="168" t="s">
        <v>502</v>
      </c>
      <c r="P3" s="164" t="s">
        <v>503</v>
      </c>
      <c r="Q3" s="165" t="s">
        <v>504</v>
      </c>
      <c r="R3" s="167" t="s">
        <v>505</v>
      </c>
      <c r="S3" s="168" t="s">
        <v>502</v>
      </c>
      <c r="T3" s="649"/>
      <c r="AB3" s="163"/>
      <c r="AC3" s="157" t="s">
        <v>543</v>
      </c>
    </row>
    <row r="4" spans="1:33" ht="20.399999999999999">
      <c r="A4" s="324" t="s">
        <v>506</v>
      </c>
      <c r="B4" s="169"/>
      <c r="C4" s="169"/>
      <c r="D4" s="170"/>
      <c r="E4" s="171"/>
      <c r="F4" s="174"/>
      <c r="G4" s="175"/>
      <c r="H4" s="170"/>
      <c r="I4" s="171"/>
      <c r="J4" s="172"/>
      <c r="K4" s="175"/>
      <c r="L4" s="176"/>
      <c r="M4" s="171"/>
      <c r="N4" s="174"/>
      <c r="O4" s="175"/>
      <c r="P4" s="176"/>
      <c r="Q4" s="171"/>
      <c r="R4" s="174"/>
      <c r="S4" s="177"/>
      <c r="T4" s="175"/>
      <c r="AB4" s="178" t="s">
        <v>544</v>
      </c>
      <c r="AC4" s="178" t="s">
        <v>545</v>
      </c>
      <c r="AD4" s="178" t="s">
        <v>546</v>
      </c>
    </row>
    <row r="5" spans="1:33" s="189" customFormat="1" ht="15" customHeight="1" outlineLevel="1">
      <c r="A5" s="179" t="s">
        <v>53</v>
      </c>
      <c r="B5" s="180"/>
      <c r="C5" s="184"/>
      <c r="D5" s="181"/>
      <c r="E5" s="182"/>
      <c r="F5" s="185"/>
      <c r="G5" s="186"/>
      <c r="H5" s="181"/>
      <c r="I5" s="182"/>
      <c r="J5" s="183"/>
      <c r="K5" s="186"/>
      <c r="L5" s="181"/>
      <c r="M5" s="182"/>
      <c r="N5" s="185"/>
      <c r="O5" s="186"/>
      <c r="P5" s="181"/>
      <c r="Q5" s="182"/>
      <c r="R5" s="185"/>
      <c r="S5" s="186"/>
      <c r="T5" s="187"/>
      <c r="U5" s="188"/>
      <c r="V5" s="157"/>
      <c r="W5" s="157"/>
      <c r="X5" s="157"/>
      <c r="Y5" s="157"/>
      <c r="Z5" s="157"/>
      <c r="AA5" s="157"/>
      <c r="AB5" s="163"/>
    </row>
    <row r="6" spans="1:33" s="189" customFormat="1" ht="15.6" outlineLevel="1">
      <c r="A6" s="190" t="s">
        <v>507</v>
      </c>
      <c r="B6" s="191"/>
      <c r="C6" s="184"/>
      <c r="D6" s="181"/>
      <c r="E6" s="182"/>
      <c r="F6" s="185"/>
      <c r="G6" s="186"/>
      <c r="H6" s="181"/>
      <c r="I6" s="182"/>
      <c r="J6" s="183"/>
      <c r="K6" s="186"/>
      <c r="L6" s="181"/>
      <c r="M6" s="182"/>
      <c r="N6" s="185"/>
      <c r="O6" s="186"/>
      <c r="P6" s="181"/>
      <c r="Q6" s="182"/>
      <c r="R6" s="185"/>
      <c r="S6" s="186"/>
      <c r="T6" s="332"/>
      <c r="U6" s="192"/>
      <c r="V6" s="157"/>
      <c r="W6" s="157"/>
      <c r="X6" s="157"/>
      <c r="Y6" s="157"/>
      <c r="Z6" s="157"/>
      <c r="AA6" s="157"/>
      <c r="AB6" s="163"/>
    </row>
    <row r="7" spans="1:33" ht="15" customHeight="1" outlineLevel="1">
      <c r="A7" s="193" t="str">
        <f>'Program Budget'!D200</f>
        <v>Key Personnel: Chief of Party</v>
      </c>
      <c r="B7" s="194" t="str">
        <f>'Program Budget'!F200</f>
        <v>Month</v>
      </c>
      <c r="C7" s="198">
        <f>'Program Budget'!E200</f>
        <v>40245</v>
      </c>
      <c r="D7" s="195">
        <f>'Program Budget'!G200</f>
        <v>14250</v>
      </c>
      <c r="E7" s="196">
        <f>'Program Budget'!I200</f>
        <v>12</v>
      </c>
      <c r="F7" s="199">
        <f>'Program Budget'!H200</f>
        <v>0.15</v>
      </c>
      <c r="G7" s="198">
        <f>D7*E7*F7</f>
        <v>25650</v>
      </c>
      <c r="H7" s="195">
        <f>D7*1.05</f>
        <v>14962.5</v>
      </c>
      <c r="I7" s="196">
        <f>'Program Budget'!L200</f>
        <v>12</v>
      </c>
      <c r="J7" s="199">
        <f>'Program Budget'!K200</f>
        <v>0.19</v>
      </c>
      <c r="K7" s="198">
        <f>H7*I7*J7</f>
        <v>34114.5</v>
      </c>
      <c r="L7" s="195">
        <f>H7*1.05</f>
        <v>15710.625</v>
      </c>
      <c r="M7" s="196">
        <f>'Program Budget'!O200</f>
        <v>12</v>
      </c>
      <c r="N7" s="199">
        <f>'Program Budget'!N200</f>
        <v>0.19</v>
      </c>
      <c r="O7" s="198">
        <f>L7*M7*N7</f>
        <v>35820.224999999999</v>
      </c>
      <c r="P7" s="195">
        <f>L7*1.05</f>
        <v>16496.15625</v>
      </c>
      <c r="Q7" s="196">
        <f>'Program Budget'!R200</f>
        <v>0</v>
      </c>
      <c r="R7" s="199">
        <f>'Program Budget'!Q200</f>
        <v>0.19</v>
      </c>
      <c r="S7" s="198">
        <f>P7*Q7*R7</f>
        <v>0</v>
      </c>
      <c r="T7" s="335">
        <f>C7+G7+K7+O7+S7</f>
        <v>135829.72500000001</v>
      </c>
      <c r="U7" s="201"/>
      <c r="V7" s="188"/>
      <c r="W7" s="202"/>
      <c r="X7" s="202"/>
      <c r="AB7" s="163">
        <v>180</v>
      </c>
      <c r="AC7" s="203" t="s">
        <v>547</v>
      </c>
      <c r="AD7" s="203" t="s">
        <v>548</v>
      </c>
      <c r="AE7" s="204"/>
      <c r="AG7" s="205"/>
    </row>
    <row r="8" spans="1:33" ht="15" customHeight="1" outlineLevel="1">
      <c r="A8" s="208" t="s">
        <v>508</v>
      </c>
      <c r="B8" s="209"/>
      <c r="C8" s="213">
        <f>SUM(C7:C7)</f>
        <v>40245</v>
      </c>
      <c r="D8" s="210"/>
      <c r="E8" s="211"/>
      <c r="F8" s="214"/>
      <c r="G8" s="213">
        <f>SUM(G7:G7)</f>
        <v>25650</v>
      </c>
      <c r="H8" s="210"/>
      <c r="I8" s="211"/>
      <c r="J8" s="212"/>
      <c r="K8" s="213">
        <f>SUM(K7:K7)</f>
        <v>34114.5</v>
      </c>
      <c r="L8" s="210"/>
      <c r="M8" s="211"/>
      <c r="N8" s="214"/>
      <c r="O8" s="213">
        <f>SUM(O7:O7)</f>
        <v>35820.224999999999</v>
      </c>
      <c r="P8" s="210"/>
      <c r="Q8" s="211"/>
      <c r="R8" s="214"/>
      <c r="S8" s="213">
        <f>SUM(S7:S7)</f>
        <v>0</v>
      </c>
      <c r="T8" s="334">
        <f>+C8+G8+K8+O8+S8</f>
        <v>135829.72500000001</v>
      </c>
      <c r="AB8" s="163"/>
      <c r="AC8" s="203"/>
      <c r="AD8" s="203" t="s">
        <v>549</v>
      </c>
    </row>
    <row r="9" spans="1:33" ht="15" customHeight="1" outlineLevel="1">
      <c r="A9" s="190" t="s">
        <v>576</v>
      </c>
      <c r="B9" s="216"/>
      <c r="C9" s="198"/>
      <c r="D9" s="217"/>
      <c r="E9" s="218"/>
      <c r="F9" s="220"/>
      <c r="G9" s="200"/>
      <c r="H9" s="217"/>
      <c r="I9" s="218"/>
      <c r="J9" s="219"/>
      <c r="K9" s="200"/>
      <c r="L9" s="217"/>
      <c r="M9" s="218"/>
      <c r="N9" s="220"/>
      <c r="O9" s="200"/>
      <c r="P9" s="217"/>
      <c r="Q9" s="218"/>
      <c r="R9" s="220"/>
      <c r="S9" s="200"/>
      <c r="T9" s="350"/>
      <c r="U9" s="192"/>
      <c r="AB9" s="163"/>
      <c r="AC9" s="203"/>
      <c r="AD9" s="203" t="s">
        <v>549</v>
      </c>
      <c r="AG9" s="205"/>
    </row>
    <row r="10" spans="1:33" ht="15" customHeight="1" outlineLevel="1">
      <c r="A10" s="193" t="str">
        <f>'Program Budget'!D201</f>
        <v>Deputy Chief of Party / Value Chain Strengthening Director</v>
      </c>
      <c r="B10" s="194" t="str">
        <f>'Program Budget'!F201</f>
        <v>Month</v>
      </c>
      <c r="C10" s="198">
        <f>'Program Budget'!E201</f>
        <v>0</v>
      </c>
      <c r="D10" s="195">
        <f>'Program Budget'!G201</f>
        <v>5000</v>
      </c>
      <c r="E10" s="196">
        <f>'Program Budget'!I201</f>
        <v>12</v>
      </c>
      <c r="F10" s="199">
        <f>'Program Budget'!H201</f>
        <v>0.15</v>
      </c>
      <c r="G10" s="198">
        <f>D10*E10*F10</f>
        <v>9000</v>
      </c>
      <c r="H10" s="195">
        <f>D10*1.05</f>
        <v>5250</v>
      </c>
      <c r="I10" s="196">
        <f>'Program Budget'!L201</f>
        <v>12</v>
      </c>
      <c r="J10" s="199">
        <f>'Program Budget'!K201</f>
        <v>0.15</v>
      </c>
      <c r="K10" s="198">
        <f>H10*I10*J10</f>
        <v>9450</v>
      </c>
      <c r="L10" s="195">
        <f>H10*1.05</f>
        <v>5512.5</v>
      </c>
      <c r="M10" s="196">
        <f>'Program Budget'!O201</f>
        <v>12</v>
      </c>
      <c r="N10" s="199">
        <f>'Program Budget'!N201</f>
        <v>0.15</v>
      </c>
      <c r="O10" s="198">
        <f>L10*M10*N10</f>
        <v>9922.5</v>
      </c>
      <c r="P10" s="195">
        <f>L10*1.05</f>
        <v>5788.125</v>
      </c>
      <c r="Q10" s="196">
        <f>'Program Budget'!R201</f>
        <v>6</v>
      </c>
      <c r="R10" s="199">
        <f>'Program Budget'!Q201</f>
        <v>0.15</v>
      </c>
      <c r="S10" s="198">
        <f>P10*Q10*R10</f>
        <v>5209.3125</v>
      </c>
      <c r="T10" s="333">
        <f>C10+G10+K10+O10+S10</f>
        <v>33581.8125</v>
      </c>
      <c r="U10" s="201"/>
      <c r="V10" s="188"/>
      <c r="W10" s="202"/>
      <c r="X10" s="202"/>
      <c r="AB10" s="163">
        <v>180</v>
      </c>
      <c r="AC10" s="203" t="s">
        <v>547</v>
      </c>
      <c r="AD10" s="203" t="s">
        <v>548</v>
      </c>
      <c r="AE10" s="204"/>
      <c r="AG10" s="205"/>
    </row>
    <row r="11" spans="1:33" ht="15" customHeight="1" outlineLevel="1">
      <c r="A11" s="193" t="str">
        <f>'Program Budget'!D202</f>
        <v>Key Personnel: Technical Director</v>
      </c>
      <c r="B11" s="194" t="str">
        <f>'Program Budget'!F202</f>
        <v>Month</v>
      </c>
      <c r="C11" s="198">
        <f>'Program Budget'!E202</f>
        <v>0</v>
      </c>
      <c r="D11" s="195">
        <f>'Program Budget'!G202</f>
        <v>4583.333333333333</v>
      </c>
      <c r="E11" s="196">
        <f>'Program Budget'!I202</f>
        <v>12</v>
      </c>
      <c r="F11" s="199">
        <f>'Program Budget'!H202</f>
        <v>0.1</v>
      </c>
      <c r="G11" s="198">
        <f t="shared" ref="G11:G37" si="0">D11*E11*F11</f>
        <v>5500</v>
      </c>
      <c r="H11" s="195">
        <f t="shared" ref="H11:H38" si="1">D11*1.05</f>
        <v>4812.5</v>
      </c>
      <c r="I11" s="196">
        <f>'Program Budget'!L202</f>
        <v>12</v>
      </c>
      <c r="J11" s="199">
        <f>'Program Budget'!K202</f>
        <v>0.2</v>
      </c>
      <c r="K11" s="198">
        <f t="shared" ref="K11:K37" si="2">H11*I11*J11</f>
        <v>11550</v>
      </c>
      <c r="L11" s="195">
        <f t="shared" ref="L11:L38" si="3">H11*1.05</f>
        <v>5053.125</v>
      </c>
      <c r="M11" s="196">
        <f>'Program Budget'!O202</f>
        <v>12</v>
      </c>
      <c r="N11" s="199">
        <f>'Program Budget'!N202</f>
        <v>0.2</v>
      </c>
      <c r="O11" s="198">
        <f t="shared" ref="O11:O37" si="4">L11*M11*N11</f>
        <v>12127.5</v>
      </c>
      <c r="P11" s="195">
        <f t="shared" ref="P11:P38" si="5">L11*1.05</f>
        <v>5305.78125</v>
      </c>
      <c r="Q11" s="196">
        <f>'Program Budget'!R202</f>
        <v>5</v>
      </c>
      <c r="R11" s="199">
        <f>'Program Budget'!Q202</f>
        <v>0.2</v>
      </c>
      <c r="S11" s="198">
        <f t="shared" ref="S11:S37" si="6">P11*Q11*R11</f>
        <v>5305.78125</v>
      </c>
      <c r="T11" s="333">
        <f t="shared" ref="T11:T37" si="7">C11+G11+K11+O11+S11</f>
        <v>34483.28125</v>
      </c>
      <c r="U11" s="201"/>
      <c r="V11" s="188"/>
      <c r="W11" s="202"/>
      <c r="X11" s="202"/>
      <c r="AB11" s="163">
        <v>180</v>
      </c>
      <c r="AC11" s="203" t="s">
        <v>547</v>
      </c>
      <c r="AD11" s="203" t="s">
        <v>548</v>
      </c>
      <c r="AE11" s="204"/>
      <c r="AG11" s="205"/>
    </row>
    <row r="12" spans="1:33" ht="15" customHeight="1" outlineLevel="1">
      <c r="A12" s="193" t="str">
        <f>'Program Budget'!D203</f>
        <v>Activity Lead Agribusiness Senior Specialist (Cacao)</v>
      </c>
      <c r="B12" s="194" t="str">
        <f>'Program Budget'!F203</f>
        <v>Month</v>
      </c>
      <c r="C12" s="198">
        <f>'Program Budget'!E203</f>
        <v>0</v>
      </c>
      <c r="D12" s="195">
        <f>'Program Budget'!G203</f>
        <v>2833.3333333333335</v>
      </c>
      <c r="E12" s="196">
        <f>'Program Budget'!I203</f>
        <v>12</v>
      </c>
      <c r="F12" s="199">
        <f>'Program Budget'!H203</f>
        <v>0.15</v>
      </c>
      <c r="G12" s="198">
        <f t="shared" si="0"/>
        <v>5100</v>
      </c>
      <c r="H12" s="195">
        <f t="shared" si="1"/>
        <v>2975.0000000000005</v>
      </c>
      <c r="I12" s="196">
        <f>'Program Budget'!L203</f>
        <v>12</v>
      </c>
      <c r="J12" s="199">
        <f>'Program Budget'!K203</f>
        <v>0.1</v>
      </c>
      <c r="K12" s="198">
        <f t="shared" si="2"/>
        <v>3570.0000000000009</v>
      </c>
      <c r="L12" s="195">
        <f t="shared" si="3"/>
        <v>3123.7500000000005</v>
      </c>
      <c r="M12" s="196">
        <f>'Program Budget'!O203</f>
        <v>12</v>
      </c>
      <c r="N12" s="199">
        <f>'Program Budget'!N203</f>
        <v>0.1</v>
      </c>
      <c r="O12" s="198">
        <f t="shared" si="4"/>
        <v>3748.5000000000009</v>
      </c>
      <c r="P12" s="195">
        <f t="shared" si="5"/>
        <v>3279.9375000000005</v>
      </c>
      <c r="Q12" s="196">
        <f>'Program Budget'!R203</f>
        <v>2</v>
      </c>
      <c r="R12" s="199">
        <f>'Program Budget'!Q203</f>
        <v>0.1</v>
      </c>
      <c r="S12" s="198">
        <f t="shared" si="6"/>
        <v>655.98750000000018</v>
      </c>
      <c r="T12" s="333">
        <f t="shared" si="7"/>
        <v>13074.487499999999</v>
      </c>
      <c r="U12" s="201"/>
      <c r="V12" s="188"/>
      <c r="W12" s="202"/>
      <c r="X12" s="202"/>
      <c r="AB12" s="163">
        <v>180</v>
      </c>
      <c r="AC12" s="203" t="s">
        <v>547</v>
      </c>
      <c r="AD12" s="203" t="s">
        <v>548</v>
      </c>
      <c r="AE12" s="204"/>
      <c r="AG12" s="205"/>
    </row>
    <row r="13" spans="1:33" ht="15" customHeight="1" outlineLevel="1">
      <c r="A13" s="193" t="str">
        <f>'Program Budget'!D204</f>
        <v>Cacao Field Officer</v>
      </c>
      <c r="B13" s="194" t="str">
        <f>'Program Budget'!F204</f>
        <v>Month</v>
      </c>
      <c r="C13" s="198">
        <f>'Program Budget'!E204</f>
        <v>0</v>
      </c>
      <c r="D13" s="195">
        <f>'Program Budget'!G204</f>
        <v>1333.3333333333333</v>
      </c>
      <c r="E13" s="196">
        <f>'Program Budget'!I204</f>
        <v>12</v>
      </c>
      <c r="F13" s="199">
        <f>'Program Budget'!H204</f>
        <v>0</v>
      </c>
      <c r="G13" s="198">
        <f t="shared" ref="G13:G36" si="8">D13*E13*F13</f>
        <v>0</v>
      </c>
      <c r="H13" s="195">
        <f t="shared" si="1"/>
        <v>1400</v>
      </c>
      <c r="I13" s="196">
        <f>'Program Budget'!L204</f>
        <v>12</v>
      </c>
      <c r="J13" s="199">
        <f>'Program Budget'!K204</f>
        <v>0</v>
      </c>
      <c r="K13" s="198">
        <f t="shared" ref="K13:K36" si="9">H13*I13*J13</f>
        <v>0</v>
      </c>
      <c r="L13" s="195">
        <f t="shared" si="3"/>
        <v>1470</v>
      </c>
      <c r="M13" s="196">
        <f>'Program Budget'!O204</f>
        <v>12</v>
      </c>
      <c r="N13" s="199">
        <f>'Program Budget'!N204</f>
        <v>0</v>
      </c>
      <c r="O13" s="198">
        <f t="shared" ref="O13:O36" si="10">L13*M13*N13</f>
        <v>0</v>
      </c>
      <c r="P13" s="195">
        <f t="shared" si="5"/>
        <v>1543.5</v>
      </c>
      <c r="Q13" s="196">
        <f>'Program Budget'!R204</f>
        <v>0</v>
      </c>
      <c r="R13" s="199">
        <f>'Program Budget'!Q204</f>
        <v>0</v>
      </c>
      <c r="S13" s="198">
        <f t="shared" ref="S13:S36" si="11">P13*Q13*R13</f>
        <v>0</v>
      </c>
      <c r="T13" s="333">
        <f t="shared" ref="T13:T36" si="12">C13+G13+K13+O13+S13</f>
        <v>0</v>
      </c>
      <c r="U13" s="201"/>
      <c r="V13" s="188"/>
      <c r="W13" s="202"/>
      <c r="X13" s="202"/>
      <c r="AB13" s="163">
        <v>180</v>
      </c>
      <c r="AC13" s="203" t="s">
        <v>547</v>
      </c>
      <c r="AD13" s="203" t="s">
        <v>548</v>
      </c>
      <c r="AE13" s="204"/>
      <c r="AG13" s="205"/>
    </row>
    <row r="14" spans="1:33" ht="15" customHeight="1" outlineLevel="1">
      <c r="A14" s="193" t="str">
        <f>'Program Budget'!D205</f>
        <v>Cacao &amp; Complementary Crop Technical Field Leader (2)</v>
      </c>
      <c r="B14" s="194" t="str">
        <f>'Program Budget'!F205</f>
        <v>Month</v>
      </c>
      <c r="C14" s="198">
        <f>'Program Budget'!E205</f>
        <v>0</v>
      </c>
      <c r="D14" s="195">
        <f>'Program Budget'!G205</f>
        <v>3500</v>
      </c>
      <c r="E14" s="196">
        <f>'Program Budget'!I205</f>
        <v>6</v>
      </c>
      <c r="F14" s="199">
        <f>'Program Budget'!H205</f>
        <v>0</v>
      </c>
      <c r="G14" s="198">
        <f t="shared" si="8"/>
        <v>0</v>
      </c>
      <c r="H14" s="195">
        <f t="shared" si="1"/>
        <v>3675</v>
      </c>
      <c r="I14" s="196">
        <f>'Program Budget'!L205</f>
        <v>12</v>
      </c>
      <c r="J14" s="199">
        <f>'Program Budget'!K205</f>
        <v>0</v>
      </c>
      <c r="K14" s="198">
        <f t="shared" si="9"/>
        <v>0</v>
      </c>
      <c r="L14" s="195">
        <f t="shared" si="3"/>
        <v>3858.75</v>
      </c>
      <c r="M14" s="196">
        <f>'Program Budget'!O205</f>
        <v>12</v>
      </c>
      <c r="N14" s="199">
        <f>'Program Budget'!N205</f>
        <v>0</v>
      </c>
      <c r="O14" s="198">
        <f t="shared" si="10"/>
        <v>0</v>
      </c>
      <c r="P14" s="195">
        <f t="shared" si="5"/>
        <v>4051.6875</v>
      </c>
      <c r="Q14" s="196">
        <f>'Program Budget'!R205</f>
        <v>0</v>
      </c>
      <c r="R14" s="199">
        <f>'Program Budget'!Q205</f>
        <v>0</v>
      </c>
      <c r="S14" s="198">
        <f t="shared" si="11"/>
        <v>0</v>
      </c>
      <c r="T14" s="333">
        <f t="shared" si="12"/>
        <v>0</v>
      </c>
      <c r="U14" s="201"/>
      <c r="V14" s="188"/>
      <c r="W14" s="202"/>
      <c r="X14" s="202"/>
      <c r="AB14" s="163"/>
      <c r="AC14" s="203"/>
      <c r="AD14" s="203"/>
      <c r="AE14" s="204"/>
      <c r="AG14" s="205"/>
    </row>
    <row r="15" spans="1:33" ht="15" customHeight="1" outlineLevel="1">
      <c r="A15" s="193" t="str">
        <f>'Program Budget'!D206</f>
        <v>Extension Agents (45 in Y5 and 25 in Y6)</v>
      </c>
      <c r="B15" s="194" t="str">
        <f>'Program Budget'!F206</f>
        <v>Month</v>
      </c>
      <c r="C15" s="198">
        <f>'Program Budget'!E206</f>
        <v>0</v>
      </c>
      <c r="D15" s="195">
        <f>'Program Budget'!G206</f>
        <v>1000</v>
      </c>
      <c r="E15" s="196">
        <f>'Program Budget'!I206</f>
        <v>12</v>
      </c>
      <c r="F15" s="199">
        <f>'Program Budget'!H206</f>
        <v>0</v>
      </c>
      <c r="G15" s="198">
        <f t="shared" si="8"/>
        <v>0</v>
      </c>
      <c r="H15" s="195">
        <f t="shared" si="1"/>
        <v>1050</v>
      </c>
      <c r="I15" s="196">
        <f>'Program Budget'!L206</f>
        <v>12</v>
      </c>
      <c r="J15" s="199">
        <f>'Program Budget'!K206</f>
        <v>0</v>
      </c>
      <c r="K15" s="198">
        <f t="shared" si="9"/>
        <v>0</v>
      </c>
      <c r="L15" s="195">
        <f t="shared" si="3"/>
        <v>1102.5</v>
      </c>
      <c r="M15" s="196">
        <f>'Program Budget'!O206</f>
        <v>0</v>
      </c>
      <c r="N15" s="199">
        <f>'Program Budget'!N206</f>
        <v>0</v>
      </c>
      <c r="O15" s="198">
        <f t="shared" si="10"/>
        <v>0</v>
      </c>
      <c r="P15" s="195">
        <f t="shared" si="5"/>
        <v>1157.625</v>
      </c>
      <c r="Q15" s="196">
        <f>'Program Budget'!R206</f>
        <v>0</v>
      </c>
      <c r="R15" s="199">
        <f>'Program Budget'!Q206</f>
        <v>0</v>
      </c>
      <c r="S15" s="198">
        <f t="shared" si="11"/>
        <v>0</v>
      </c>
      <c r="T15" s="333">
        <f t="shared" si="12"/>
        <v>0</v>
      </c>
      <c r="U15" s="201"/>
      <c r="V15" s="188"/>
      <c r="W15" s="202"/>
      <c r="X15" s="202"/>
      <c r="AB15" s="163"/>
      <c r="AC15" s="203"/>
      <c r="AD15" s="203"/>
      <c r="AE15" s="204"/>
      <c r="AG15" s="205"/>
    </row>
    <row r="16" spans="1:33" ht="15" customHeight="1" outlineLevel="1">
      <c r="A16" s="193" t="str">
        <f>'Program Budget'!D207</f>
        <v>Activity Lead Agribusiness Senior Specialist (Complementary Crop)</v>
      </c>
      <c r="B16" s="194" t="str">
        <f>'Program Budget'!F207</f>
        <v>Month</v>
      </c>
      <c r="C16" s="198">
        <f>'Program Budget'!E207</f>
        <v>15350.92</v>
      </c>
      <c r="D16" s="195">
        <f>'Program Budget'!G207</f>
        <v>2833.3333333333335</v>
      </c>
      <c r="E16" s="196">
        <f>'Program Budget'!I207</f>
        <v>12</v>
      </c>
      <c r="F16" s="199">
        <f>'Program Budget'!H207</f>
        <v>0</v>
      </c>
      <c r="G16" s="198">
        <f t="shared" si="8"/>
        <v>0</v>
      </c>
      <c r="H16" s="195">
        <f t="shared" si="1"/>
        <v>2975.0000000000005</v>
      </c>
      <c r="I16" s="196">
        <f>'Program Budget'!L207</f>
        <v>12</v>
      </c>
      <c r="J16" s="199">
        <f>'Program Budget'!K207</f>
        <v>0</v>
      </c>
      <c r="K16" s="198">
        <f t="shared" si="9"/>
        <v>0</v>
      </c>
      <c r="L16" s="195">
        <f t="shared" si="3"/>
        <v>3123.7500000000005</v>
      </c>
      <c r="M16" s="196">
        <f>'Program Budget'!O207</f>
        <v>12</v>
      </c>
      <c r="N16" s="199">
        <f>'Program Budget'!N207</f>
        <v>0</v>
      </c>
      <c r="O16" s="198">
        <f t="shared" si="10"/>
        <v>0</v>
      </c>
      <c r="P16" s="195">
        <f t="shared" si="5"/>
        <v>3279.9375000000005</v>
      </c>
      <c r="Q16" s="196">
        <f>'Program Budget'!R207</f>
        <v>0</v>
      </c>
      <c r="R16" s="199">
        <f>'Program Budget'!Q207</f>
        <v>0</v>
      </c>
      <c r="S16" s="198">
        <f t="shared" si="11"/>
        <v>0</v>
      </c>
      <c r="T16" s="333">
        <f t="shared" si="12"/>
        <v>15350.92</v>
      </c>
      <c r="U16" s="201"/>
      <c r="V16" s="188"/>
      <c r="W16" s="202"/>
      <c r="X16" s="202"/>
      <c r="AB16" s="163"/>
      <c r="AC16" s="203"/>
      <c r="AD16" s="203"/>
      <c r="AE16" s="204"/>
      <c r="AG16" s="205"/>
    </row>
    <row r="17" spans="1:33" ht="15" customHeight="1" outlineLevel="1">
      <c r="A17" s="193" t="str">
        <f>'Program Budget'!D208</f>
        <v>Complementary Crops Field Officer</v>
      </c>
      <c r="B17" s="194" t="str">
        <f>'Program Budget'!F208</f>
        <v>Month</v>
      </c>
      <c r="C17" s="198">
        <f>'Program Budget'!E208</f>
        <v>0</v>
      </c>
      <c r="D17" s="195">
        <f>'Program Budget'!G208</f>
        <v>0</v>
      </c>
      <c r="E17" s="196">
        <f>'Program Budget'!I208</f>
        <v>0</v>
      </c>
      <c r="F17" s="199">
        <f>'Program Budget'!H208</f>
        <v>0</v>
      </c>
      <c r="G17" s="198">
        <f t="shared" si="8"/>
        <v>0</v>
      </c>
      <c r="H17" s="195">
        <f t="shared" si="1"/>
        <v>0</v>
      </c>
      <c r="I17" s="196">
        <f>'Program Budget'!L208</f>
        <v>12</v>
      </c>
      <c r="J17" s="199">
        <f>'Program Budget'!K208</f>
        <v>0</v>
      </c>
      <c r="K17" s="198">
        <f t="shared" si="9"/>
        <v>0</v>
      </c>
      <c r="L17" s="195">
        <f t="shared" si="3"/>
        <v>0</v>
      </c>
      <c r="M17" s="196">
        <f>'Program Budget'!O208</f>
        <v>12</v>
      </c>
      <c r="N17" s="199">
        <f>'Program Budget'!N208</f>
        <v>0</v>
      </c>
      <c r="O17" s="198">
        <f t="shared" si="10"/>
        <v>0</v>
      </c>
      <c r="P17" s="195">
        <f t="shared" si="5"/>
        <v>0</v>
      </c>
      <c r="Q17" s="196">
        <f>'Program Budget'!R208</f>
        <v>0</v>
      </c>
      <c r="R17" s="199">
        <f>'Program Budget'!Q208</f>
        <v>0</v>
      </c>
      <c r="S17" s="198">
        <f t="shared" si="11"/>
        <v>0</v>
      </c>
      <c r="T17" s="333">
        <f t="shared" si="12"/>
        <v>0</v>
      </c>
      <c r="U17" s="201"/>
      <c r="V17" s="188"/>
      <c r="W17" s="202"/>
      <c r="X17" s="202"/>
      <c r="AB17" s="163">
        <v>180</v>
      </c>
      <c r="AC17" s="203" t="s">
        <v>547</v>
      </c>
      <c r="AD17" s="203" t="s">
        <v>548</v>
      </c>
      <c r="AE17" s="204"/>
      <c r="AG17" s="205"/>
    </row>
    <row r="18" spans="1:33" ht="15" customHeight="1" outlineLevel="1">
      <c r="A18" s="193" t="str">
        <f>'Program Budget'!D209</f>
        <v>EPSEAS Specialist</v>
      </c>
      <c r="B18" s="194" t="str">
        <f>'Program Budget'!F209</f>
        <v>Month</v>
      </c>
      <c r="C18" s="198">
        <f>'Program Budget'!E209</f>
        <v>0</v>
      </c>
      <c r="D18" s="195">
        <f>'Program Budget'!G209</f>
        <v>0</v>
      </c>
      <c r="E18" s="196">
        <f>'Program Budget'!I209</f>
        <v>0</v>
      </c>
      <c r="F18" s="199">
        <f>'Program Budget'!H209</f>
        <v>0</v>
      </c>
      <c r="G18" s="198">
        <f t="shared" si="8"/>
        <v>0</v>
      </c>
      <c r="H18" s="195">
        <f t="shared" si="1"/>
        <v>0</v>
      </c>
      <c r="I18" s="196">
        <f>'Program Budget'!L209</f>
        <v>12</v>
      </c>
      <c r="J18" s="199">
        <f>'Program Budget'!K209</f>
        <v>0</v>
      </c>
      <c r="K18" s="198">
        <f t="shared" si="9"/>
        <v>0</v>
      </c>
      <c r="L18" s="195">
        <f t="shared" si="3"/>
        <v>0</v>
      </c>
      <c r="M18" s="196">
        <f>'Program Budget'!O209</f>
        <v>12</v>
      </c>
      <c r="N18" s="199">
        <f>'Program Budget'!N209</f>
        <v>0</v>
      </c>
      <c r="O18" s="198">
        <f t="shared" si="10"/>
        <v>0</v>
      </c>
      <c r="P18" s="195">
        <f t="shared" si="5"/>
        <v>0</v>
      </c>
      <c r="Q18" s="196">
        <f>'Program Budget'!R209</f>
        <v>0</v>
      </c>
      <c r="R18" s="199">
        <f>'Program Budget'!Q209</f>
        <v>0</v>
      </c>
      <c r="S18" s="198">
        <f t="shared" si="11"/>
        <v>0</v>
      </c>
      <c r="T18" s="333">
        <f t="shared" si="12"/>
        <v>0</v>
      </c>
      <c r="U18" s="201"/>
      <c r="V18" s="188"/>
      <c r="W18" s="202"/>
      <c r="X18" s="202"/>
      <c r="AB18" s="163">
        <v>180</v>
      </c>
      <c r="AC18" s="203" t="s">
        <v>547</v>
      </c>
      <c r="AD18" s="203" t="s">
        <v>548</v>
      </c>
      <c r="AE18" s="204"/>
      <c r="AG18" s="205"/>
    </row>
    <row r="19" spans="1:33" ht="15" customHeight="1" outlineLevel="1">
      <c r="A19" s="193" t="str">
        <f>'Program Budget'!D210</f>
        <v>Extension Agents for EPSEAS (20 in Y6 and 25 in Y7)</v>
      </c>
      <c r="B19" s="194" t="str">
        <f>'Program Budget'!F210</f>
        <v>Month</v>
      </c>
      <c r="C19" s="198">
        <f>'Program Budget'!E210</f>
        <v>0</v>
      </c>
      <c r="D19" s="195">
        <f>'Program Budget'!G210</f>
        <v>1000</v>
      </c>
      <c r="E19" s="196">
        <f>'Program Budget'!I210</f>
        <v>0</v>
      </c>
      <c r="F19" s="199">
        <f>'Program Budget'!H210</f>
        <v>0</v>
      </c>
      <c r="G19" s="198">
        <f t="shared" si="8"/>
        <v>0</v>
      </c>
      <c r="H19" s="195">
        <f t="shared" si="1"/>
        <v>1050</v>
      </c>
      <c r="I19" s="196">
        <f>'Program Budget'!L210</f>
        <v>12</v>
      </c>
      <c r="J19" s="199">
        <f>'Program Budget'!K210</f>
        <v>0</v>
      </c>
      <c r="K19" s="198">
        <f t="shared" si="9"/>
        <v>0</v>
      </c>
      <c r="L19" s="195">
        <f t="shared" si="3"/>
        <v>1102.5</v>
      </c>
      <c r="M19" s="196">
        <f>'Program Budget'!O210</f>
        <v>12</v>
      </c>
      <c r="N19" s="199">
        <f>'Program Budget'!N210</f>
        <v>0</v>
      </c>
      <c r="O19" s="198">
        <f t="shared" si="10"/>
        <v>0</v>
      </c>
      <c r="P19" s="195">
        <f t="shared" si="5"/>
        <v>1157.625</v>
      </c>
      <c r="Q19" s="196">
        <f>'Program Budget'!R210</f>
        <v>0</v>
      </c>
      <c r="R19" s="199">
        <f>'Program Budget'!Q210</f>
        <v>0</v>
      </c>
      <c r="S19" s="198">
        <f t="shared" si="11"/>
        <v>0</v>
      </c>
      <c r="T19" s="333">
        <f t="shared" si="12"/>
        <v>0</v>
      </c>
      <c r="U19" s="201"/>
      <c r="V19" s="188"/>
      <c r="W19" s="202"/>
      <c r="X19" s="202"/>
      <c r="AB19" s="163">
        <v>180</v>
      </c>
      <c r="AC19" s="203" t="s">
        <v>547</v>
      </c>
      <c r="AD19" s="203" t="s">
        <v>548</v>
      </c>
      <c r="AE19" s="204"/>
      <c r="AG19" s="205"/>
    </row>
    <row r="20" spans="1:33" ht="15" customHeight="1" outlineLevel="1">
      <c r="A20" s="193" t="str">
        <f>'Program Budget'!D211</f>
        <v xml:space="preserve">Senior M&amp;E Director </v>
      </c>
      <c r="B20" s="194" t="str">
        <f>'Program Budget'!F211</f>
        <v>Month</v>
      </c>
      <c r="C20" s="198">
        <f>'Program Budget'!E211</f>
        <v>8050.18</v>
      </c>
      <c r="D20" s="195">
        <f>'Program Budget'!G211</f>
        <v>6250</v>
      </c>
      <c r="E20" s="196">
        <f>'Program Budget'!I211</f>
        <v>12</v>
      </c>
      <c r="F20" s="199">
        <f>'Program Budget'!H211</f>
        <v>0.15</v>
      </c>
      <c r="G20" s="198">
        <f t="shared" si="8"/>
        <v>11250</v>
      </c>
      <c r="H20" s="195">
        <f t="shared" si="1"/>
        <v>6562.5</v>
      </c>
      <c r="I20" s="196">
        <f>'Program Budget'!L211</f>
        <v>12</v>
      </c>
      <c r="J20" s="199">
        <f>'Program Budget'!K211</f>
        <v>0.19</v>
      </c>
      <c r="K20" s="198">
        <f t="shared" si="9"/>
        <v>14962.5</v>
      </c>
      <c r="L20" s="195">
        <f t="shared" si="3"/>
        <v>6890.625</v>
      </c>
      <c r="M20" s="196">
        <f>'Program Budget'!O211</f>
        <v>12</v>
      </c>
      <c r="N20" s="199">
        <f>'Program Budget'!N211</f>
        <v>0.19</v>
      </c>
      <c r="O20" s="198">
        <f t="shared" si="10"/>
        <v>15710.625</v>
      </c>
      <c r="P20" s="195">
        <f t="shared" si="5"/>
        <v>7235.15625</v>
      </c>
      <c r="Q20" s="196">
        <f>'Program Budget'!R211</f>
        <v>6</v>
      </c>
      <c r="R20" s="199">
        <f>'Program Budget'!Q211</f>
        <v>0.19</v>
      </c>
      <c r="S20" s="198">
        <f t="shared" si="11"/>
        <v>8248.078125</v>
      </c>
      <c r="T20" s="333">
        <f t="shared" si="12"/>
        <v>58221.383125</v>
      </c>
      <c r="U20" s="201"/>
      <c r="V20" s="188"/>
      <c r="W20" s="202"/>
      <c r="X20" s="202"/>
      <c r="AB20" s="163">
        <v>180</v>
      </c>
      <c r="AC20" s="203" t="s">
        <v>547</v>
      </c>
      <c r="AD20" s="203" t="s">
        <v>548</v>
      </c>
      <c r="AE20" s="204"/>
      <c r="AG20" s="205"/>
    </row>
    <row r="21" spans="1:33" ht="15" customHeight="1" outlineLevel="1">
      <c r="A21" s="193" t="str">
        <f>'Program Budget'!D212</f>
        <v>Senior M&amp;E Specialist</v>
      </c>
      <c r="B21" s="194" t="str">
        <f>'Program Budget'!F212</f>
        <v>Month</v>
      </c>
      <c r="C21" s="198">
        <f>'Program Budget'!E212</f>
        <v>7070.18</v>
      </c>
      <c r="D21" s="195">
        <f>'Program Budget'!G212</f>
        <v>2833.3333333333335</v>
      </c>
      <c r="E21" s="196">
        <f>'Program Budget'!I212</f>
        <v>12</v>
      </c>
      <c r="F21" s="199">
        <f>'Program Budget'!H212</f>
        <v>0.15</v>
      </c>
      <c r="G21" s="198">
        <f t="shared" si="8"/>
        <v>5100</v>
      </c>
      <c r="H21" s="195">
        <f t="shared" si="1"/>
        <v>2975.0000000000005</v>
      </c>
      <c r="I21" s="196">
        <f>'Program Budget'!L212</f>
        <v>12</v>
      </c>
      <c r="J21" s="199">
        <f>'Program Budget'!K212</f>
        <v>0.19</v>
      </c>
      <c r="K21" s="198">
        <f t="shared" si="9"/>
        <v>6783.0000000000018</v>
      </c>
      <c r="L21" s="195">
        <f t="shared" si="3"/>
        <v>3123.7500000000005</v>
      </c>
      <c r="M21" s="196">
        <f>'Program Budget'!O212</f>
        <v>12</v>
      </c>
      <c r="N21" s="199">
        <f>'Program Budget'!N212</f>
        <v>0.19</v>
      </c>
      <c r="O21" s="198">
        <f t="shared" si="10"/>
        <v>7122.1500000000015</v>
      </c>
      <c r="P21" s="195">
        <f t="shared" si="5"/>
        <v>3279.9375000000005</v>
      </c>
      <c r="Q21" s="196">
        <f>'Program Budget'!R212</f>
        <v>6</v>
      </c>
      <c r="R21" s="199">
        <f>'Program Budget'!Q212</f>
        <v>0.19</v>
      </c>
      <c r="S21" s="198">
        <f t="shared" si="11"/>
        <v>3739.1287500000008</v>
      </c>
      <c r="T21" s="333">
        <f t="shared" si="12"/>
        <v>29814.458750000002</v>
      </c>
      <c r="U21" s="201"/>
      <c r="V21" s="188"/>
      <c r="W21" s="202"/>
      <c r="X21" s="202"/>
      <c r="AB21" s="163"/>
      <c r="AC21" s="203"/>
      <c r="AD21" s="203"/>
      <c r="AE21" s="204"/>
      <c r="AG21" s="205"/>
    </row>
    <row r="22" spans="1:33" ht="15" customHeight="1" outlineLevel="1">
      <c r="A22" s="193" t="str">
        <f>'Program Budget'!D213</f>
        <v>M&amp;E Specialist</v>
      </c>
      <c r="B22" s="194" t="str">
        <f>'Program Budget'!F213</f>
        <v>Month</v>
      </c>
      <c r="C22" s="198">
        <f>'Program Budget'!E213</f>
        <v>4060.12</v>
      </c>
      <c r="D22" s="195">
        <f>'Program Budget'!G213</f>
        <v>2500</v>
      </c>
      <c r="E22" s="196">
        <f>'Program Budget'!I213</f>
        <v>12</v>
      </c>
      <c r="F22" s="199">
        <f>'Program Budget'!H213</f>
        <v>0.15</v>
      </c>
      <c r="G22" s="198">
        <f t="shared" si="8"/>
        <v>4500</v>
      </c>
      <c r="H22" s="195">
        <f t="shared" si="1"/>
        <v>2625</v>
      </c>
      <c r="I22" s="196">
        <f>'Program Budget'!L213</f>
        <v>12</v>
      </c>
      <c r="J22" s="199">
        <f>'Program Budget'!K213</f>
        <v>0.19</v>
      </c>
      <c r="K22" s="198">
        <f t="shared" si="9"/>
        <v>5985</v>
      </c>
      <c r="L22" s="195">
        <f t="shared" si="3"/>
        <v>2756.25</v>
      </c>
      <c r="M22" s="196">
        <f>'Program Budget'!O213</f>
        <v>12</v>
      </c>
      <c r="N22" s="199">
        <f>'Program Budget'!N213</f>
        <v>0.19</v>
      </c>
      <c r="O22" s="198">
        <f t="shared" si="10"/>
        <v>6284.25</v>
      </c>
      <c r="P22" s="195">
        <f t="shared" si="5"/>
        <v>2894.0625</v>
      </c>
      <c r="Q22" s="196">
        <f>'Program Budget'!R213</f>
        <v>3</v>
      </c>
      <c r="R22" s="199">
        <f>'Program Budget'!Q213</f>
        <v>0.19</v>
      </c>
      <c r="S22" s="198">
        <f t="shared" si="11"/>
        <v>1649.6156249999999</v>
      </c>
      <c r="T22" s="333">
        <f t="shared" si="12"/>
        <v>22478.985624999998</v>
      </c>
      <c r="U22" s="201"/>
      <c r="V22" s="188"/>
      <c r="W22" s="202"/>
      <c r="X22" s="202"/>
      <c r="AB22" s="163">
        <v>180</v>
      </c>
      <c r="AC22" s="203" t="s">
        <v>547</v>
      </c>
      <c r="AD22" s="203" t="s">
        <v>548</v>
      </c>
      <c r="AE22" s="204"/>
      <c r="AG22" s="205"/>
    </row>
    <row r="23" spans="1:33" ht="15" customHeight="1" outlineLevel="1">
      <c r="A23" s="193" t="str">
        <f>'Program Budget'!D214</f>
        <v>M&amp;E Officer</v>
      </c>
      <c r="B23" s="194" t="str">
        <f>'Program Budget'!F214</f>
        <v>Month</v>
      </c>
      <c r="C23" s="198">
        <f>'Program Budget'!E214</f>
        <v>2030.0600000000002</v>
      </c>
      <c r="D23" s="195">
        <f>'Program Budget'!G214</f>
        <v>1000</v>
      </c>
      <c r="E23" s="196">
        <f>'Program Budget'!I214</f>
        <v>12</v>
      </c>
      <c r="F23" s="199">
        <f>'Program Budget'!H214</f>
        <v>0.15</v>
      </c>
      <c r="G23" s="198">
        <f t="shared" si="8"/>
        <v>1800</v>
      </c>
      <c r="H23" s="195">
        <f t="shared" si="1"/>
        <v>1050</v>
      </c>
      <c r="I23" s="196">
        <f>'Program Budget'!L214</f>
        <v>12</v>
      </c>
      <c r="J23" s="199">
        <f>'Program Budget'!K214</f>
        <v>0.4</v>
      </c>
      <c r="K23" s="198">
        <f t="shared" si="9"/>
        <v>5040</v>
      </c>
      <c r="L23" s="195">
        <f t="shared" si="3"/>
        <v>1102.5</v>
      </c>
      <c r="M23" s="196">
        <f>'Program Budget'!O214</f>
        <v>12</v>
      </c>
      <c r="N23" s="199">
        <f>'Program Budget'!N214</f>
        <v>0.4</v>
      </c>
      <c r="O23" s="198">
        <f t="shared" si="10"/>
        <v>5292</v>
      </c>
      <c r="P23" s="195">
        <f t="shared" si="5"/>
        <v>1157.625</v>
      </c>
      <c r="Q23" s="196">
        <f>'Program Budget'!R214</f>
        <v>3</v>
      </c>
      <c r="R23" s="199">
        <f>'Program Budget'!Q214</f>
        <v>0.4</v>
      </c>
      <c r="S23" s="198">
        <f t="shared" si="11"/>
        <v>1389.15</v>
      </c>
      <c r="T23" s="333">
        <f t="shared" si="12"/>
        <v>15551.210000000001</v>
      </c>
      <c r="U23" s="201"/>
      <c r="V23" s="188"/>
      <c r="W23" s="202"/>
      <c r="X23" s="202"/>
      <c r="AB23" s="163">
        <v>180</v>
      </c>
      <c r="AC23" s="203" t="s">
        <v>547</v>
      </c>
      <c r="AD23" s="203" t="s">
        <v>548</v>
      </c>
      <c r="AE23" s="204"/>
      <c r="AG23" s="205"/>
    </row>
    <row r="24" spans="1:33" ht="15" customHeight="1" outlineLevel="1">
      <c r="A24" s="193" t="str">
        <f>'Program Budget'!D215</f>
        <v>Partnerships and Investment Director</v>
      </c>
      <c r="B24" s="194" t="str">
        <f>'Program Budget'!F215</f>
        <v>Month</v>
      </c>
      <c r="C24" s="198">
        <f>'Program Budget'!E215</f>
        <v>41280.740000000005</v>
      </c>
      <c r="D24" s="195">
        <f>'Program Budget'!G215</f>
        <v>4583.333333333333</v>
      </c>
      <c r="E24" s="196">
        <f>'Program Budget'!I215</f>
        <v>12</v>
      </c>
      <c r="F24" s="199">
        <f>'Program Budget'!H215</f>
        <v>0.15</v>
      </c>
      <c r="G24" s="198">
        <f t="shared" si="8"/>
        <v>8250</v>
      </c>
      <c r="H24" s="195">
        <f t="shared" si="1"/>
        <v>4812.5</v>
      </c>
      <c r="I24" s="196">
        <f>'Program Budget'!L215</f>
        <v>12</v>
      </c>
      <c r="J24" s="199">
        <f>'Program Budget'!K215</f>
        <v>0.4</v>
      </c>
      <c r="K24" s="198">
        <f t="shared" si="9"/>
        <v>23100</v>
      </c>
      <c r="L24" s="195">
        <f t="shared" si="3"/>
        <v>5053.125</v>
      </c>
      <c r="M24" s="196">
        <f>'Program Budget'!O215</f>
        <v>12</v>
      </c>
      <c r="N24" s="199">
        <f>'Program Budget'!N215</f>
        <v>0.4</v>
      </c>
      <c r="O24" s="198">
        <f t="shared" si="10"/>
        <v>24255</v>
      </c>
      <c r="P24" s="195">
        <f t="shared" si="5"/>
        <v>5305.78125</v>
      </c>
      <c r="Q24" s="196">
        <f>'Program Budget'!R215</f>
        <v>0</v>
      </c>
      <c r="R24" s="199">
        <f>'Program Budget'!Q215</f>
        <v>0.4</v>
      </c>
      <c r="S24" s="198">
        <f t="shared" si="11"/>
        <v>0</v>
      </c>
      <c r="T24" s="333">
        <f t="shared" si="12"/>
        <v>96885.74</v>
      </c>
      <c r="U24" s="201"/>
      <c r="V24" s="188"/>
      <c r="W24" s="202"/>
      <c r="X24" s="202"/>
      <c r="AB24" s="163">
        <v>180</v>
      </c>
      <c r="AC24" s="203" t="s">
        <v>547</v>
      </c>
      <c r="AD24" s="203" t="s">
        <v>548</v>
      </c>
      <c r="AE24" s="204"/>
      <c r="AG24" s="205"/>
    </row>
    <row r="25" spans="1:33" ht="15" customHeight="1" outlineLevel="1">
      <c r="A25" s="193" t="str">
        <f>'Program Budget'!D216</f>
        <v>Partnerships and Investment Specialist</v>
      </c>
      <c r="B25" s="194" t="str">
        <f>'Program Budget'!F216</f>
        <v>Month</v>
      </c>
      <c r="C25" s="198">
        <f>'Program Budget'!E216</f>
        <v>0</v>
      </c>
      <c r="D25" s="195">
        <f>'Program Budget'!G216</f>
        <v>1750</v>
      </c>
      <c r="E25" s="196">
        <f>'Program Budget'!I216</f>
        <v>12</v>
      </c>
      <c r="F25" s="199">
        <f>'Program Budget'!H216</f>
        <v>0.15</v>
      </c>
      <c r="G25" s="198">
        <f t="shared" si="8"/>
        <v>3150</v>
      </c>
      <c r="H25" s="195">
        <f t="shared" si="1"/>
        <v>1837.5</v>
      </c>
      <c r="I25" s="196">
        <f>'Program Budget'!L216</f>
        <v>12</v>
      </c>
      <c r="J25" s="199">
        <f>'Program Budget'!K216</f>
        <v>0.2</v>
      </c>
      <c r="K25" s="198">
        <f t="shared" si="9"/>
        <v>4410</v>
      </c>
      <c r="L25" s="195">
        <f t="shared" si="3"/>
        <v>1929.375</v>
      </c>
      <c r="M25" s="196">
        <f>'Program Budget'!O216</f>
        <v>12</v>
      </c>
      <c r="N25" s="199">
        <f>'Program Budget'!N216</f>
        <v>0.2</v>
      </c>
      <c r="O25" s="198">
        <f t="shared" si="10"/>
        <v>4630.5</v>
      </c>
      <c r="P25" s="195">
        <f t="shared" si="5"/>
        <v>2025.84375</v>
      </c>
      <c r="Q25" s="196">
        <f>'Program Budget'!R216</f>
        <v>0</v>
      </c>
      <c r="R25" s="199">
        <f>'Program Budget'!Q216</f>
        <v>0.2</v>
      </c>
      <c r="S25" s="198">
        <f t="shared" si="11"/>
        <v>0</v>
      </c>
      <c r="T25" s="333">
        <f t="shared" si="12"/>
        <v>12190.5</v>
      </c>
      <c r="U25" s="201"/>
      <c r="V25" s="188"/>
      <c r="W25" s="202"/>
      <c r="X25" s="202"/>
      <c r="AB25" s="163">
        <v>180</v>
      </c>
      <c r="AC25" s="203" t="s">
        <v>547</v>
      </c>
      <c r="AD25" s="203" t="s">
        <v>548</v>
      </c>
      <c r="AE25" s="204"/>
      <c r="AG25" s="205"/>
    </row>
    <row r="26" spans="1:33" ht="15" customHeight="1" outlineLevel="1">
      <c r="A26" s="193" t="str">
        <f>'Program Budget'!D217</f>
        <v>Organizational Strengthening Specialist</v>
      </c>
      <c r="B26" s="194" t="str">
        <f>'Program Budget'!F217</f>
        <v>Month</v>
      </c>
      <c r="C26" s="198">
        <f>'Program Budget'!E217</f>
        <v>0</v>
      </c>
      <c r="D26" s="195">
        <f>'Program Budget'!G217</f>
        <v>1750</v>
      </c>
      <c r="E26" s="196">
        <f>'Program Budget'!I217</f>
        <v>12</v>
      </c>
      <c r="F26" s="199">
        <f>'Program Budget'!H217</f>
        <v>0.15</v>
      </c>
      <c r="G26" s="198">
        <f t="shared" si="8"/>
        <v>3150</v>
      </c>
      <c r="H26" s="195">
        <f t="shared" si="1"/>
        <v>1837.5</v>
      </c>
      <c r="I26" s="196">
        <f>'Program Budget'!L217</f>
        <v>12</v>
      </c>
      <c r="J26" s="199">
        <f>'Program Budget'!K217</f>
        <v>0.5</v>
      </c>
      <c r="K26" s="198">
        <f t="shared" si="9"/>
        <v>11025</v>
      </c>
      <c r="L26" s="195">
        <f t="shared" si="3"/>
        <v>1929.375</v>
      </c>
      <c r="M26" s="196">
        <f>'Program Budget'!O217</f>
        <v>12</v>
      </c>
      <c r="N26" s="199">
        <f>'Program Budget'!N217</f>
        <v>0.5</v>
      </c>
      <c r="O26" s="198">
        <f t="shared" si="10"/>
        <v>11576.25</v>
      </c>
      <c r="P26" s="195">
        <f t="shared" si="5"/>
        <v>2025.84375</v>
      </c>
      <c r="Q26" s="196">
        <f>'Program Budget'!R217</f>
        <v>0</v>
      </c>
      <c r="R26" s="199">
        <f>'Program Budget'!Q217</f>
        <v>0.5</v>
      </c>
      <c r="S26" s="198">
        <f t="shared" si="11"/>
        <v>0</v>
      </c>
      <c r="T26" s="333">
        <f t="shared" si="12"/>
        <v>25751.25</v>
      </c>
      <c r="U26" s="201"/>
      <c r="V26" s="188"/>
      <c r="W26" s="202"/>
      <c r="X26" s="202"/>
      <c r="AB26" s="163"/>
      <c r="AC26" s="203"/>
      <c r="AD26" s="203"/>
      <c r="AE26" s="204"/>
      <c r="AG26" s="205"/>
    </row>
    <row r="27" spans="1:33" ht="15" customHeight="1" outlineLevel="1">
      <c r="A27" s="193" t="str">
        <f>'Program Budget'!D218</f>
        <v>Value Chain Strengthening Director</v>
      </c>
      <c r="B27" s="194" t="str">
        <f>'Program Budget'!F218</f>
        <v>Month</v>
      </c>
      <c r="C27" s="198">
        <f>'Program Budget'!E218</f>
        <v>0</v>
      </c>
      <c r="D27" s="195">
        <f>'Program Budget'!G218</f>
        <v>0</v>
      </c>
      <c r="E27" s="196">
        <f>'Program Budget'!I218</f>
        <v>12</v>
      </c>
      <c r="F27" s="199">
        <f>'Program Budget'!H218</f>
        <v>0.15</v>
      </c>
      <c r="G27" s="198">
        <f t="shared" si="8"/>
        <v>0</v>
      </c>
      <c r="H27" s="195">
        <f t="shared" si="1"/>
        <v>0</v>
      </c>
      <c r="I27" s="196">
        <f>'Program Budget'!L218</f>
        <v>12</v>
      </c>
      <c r="J27" s="199">
        <f>'Program Budget'!K218</f>
        <v>0.05</v>
      </c>
      <c r="K27" s="198">
        <f t="shared" si="9"/>
        <v>0</v>
      </c>
      <c r="L27" s="195">
        <f t="shared" si="3"/>
        <v>0</v>
      </c>
      <c r="M27" s="196">
        <f>'Program Budget'!O218</f>
        <v>12</v>
      </c>
      <c r="N27" s="199">
        <f>'Program Budget'!N218</f>
        <v>0.05</v>
      </c>
      <c r="O27" s="198">
        <f t="shared" si="10"/>
        <v>0</v>
      </c>
      <c r="P27" s="195">
        <f t="shared" si="5"/>
        <v>0</v>
      </c>
      <c r="Q27" s="196">
        <f>'Program Budget'!R218</f>
        <v>4</v>
      </c>
      <c r="R27" s="199">
        <f>'Program Budget'!Q218</f>
        <v>0.05</v>
      </c>
      <c r="S27" s="198">
        <f t="shared" si="11"/>
        <v>0</v>
      </c>
      <c r="T27" s="333">
        <f t="shared" si="12"/>
        <v>0</v>
      </c>
      <c r="U27" s="201"/>
      <c r="V27" s="188"/>
      <c r="W27" s="202"/>
      <c r="X27" s="202"/>
      <c r="AB27" s="163"/>
      <c r="AC27" s="203"/>
      <c r="AD27" s="203"/>
      <c r="AE27" s="204"/>
      <c r="AG27" s="205"/>
    </row>
    <row r="28" spans="1:33" ht="15" customHeight="1" outlineLevel="1">
      <c r="A28" s="193" t="str">
        <f>'Program Budget'!D219</f>
        <v>Communications Specialist</v>
      </c>
      <c r="B28" s="194" t="str">
        <f>'Program Budget'!F219</f>
        <v>Month</v>
      </c>
      <c r="C28" s="198">
        <f>'Program Budget'!E219</f>
        <v>0</v>
      </c>
      <c r="D28" s="195">
        <f>'Program Budget'!G219</f>
        <v>1750</v>
      </c>
      <c r="E28" s="196">
        <f>'Program Budget'!I219</f>
        <v>12</v>
      </c>
      <c r="F28" s="199">
        <f>'Program Budget'!H219</f>
        <v>0.15</v>
      </c>
      <c r="G28" s="198">
        <f t="shared" si="8"/>
        <v>3150</v>
      </c>
      <c r="H28" s="195">
        <f t="shared" si="1"/>
        <v>1837.5</v>
      </c>
      <c r="I28" s="196">
        <f>'Program Budget'!L219</f>
        <v>12</v>
      </c>
      <c r="J28" s="199">
        <f>'Program Budget'!K219</f>
        <v>0.18</v>
      </c>
      <c r="K28" s="198">
        <f t="shared" si="9"/>
        <v>3969</v>
      </c>
      <c r="L28" s="195">
        <f t="shared" si="3"/>
        <v>1929.375</v>
      </c>
      <c r="M28" s="196">
        <f>'Program Budget'!O219</f>
        <v>12</v>
      </c>
      <c r="N28" s="199">
        <f>'Program Budget'!N219</f>
        <v>0.18</v>
      </c>
      <c r="O28" s="198">
        <f t="shared" si="10"/>
        <v>4167.45</v>
      </c>
      <c r="P28" s="195">
        <f t="shared" si="5"/>
        <v>2025.84375</v>
      </c>
      <c r="Q28" s="196">
        <f>'Program Budget'!R219</f>
        <v>0</v>
      </c>
      <c r="R28" s="199">
        <f>'Program Budget'!Q219</f>
        <v>0.18</v>
      </c>
      <c r="S28" s="198">
        <f t="shared" si="11"/>
        <v>0</v>
      </c>
      <c r="T28" s="333">
        <f t="shared" si="12"/>
        <v>11286.45</v>
      </c>
      <c r="U28" s="201"/>
      <c r="V28" s="188"/>
      <c r="W28" s="202"/>
      <c r="X28" s="202"/>
      <c r="AB28" s="163"/>
      <c r="AC28" s="203"/>
      <c r="AD28" s="203"/>
      <c r="AE28" s="204"/>
      <c r="AG28" s="205"/>
    </row>
    <row r="29" spans="1:33" ht="15" customHeight="1" outlineLevel="1">
      <c r="A29" s="193" t="str">
        <f>'Program Budget'!D220</f>
        <v>Value Chain Specialist</v>
      </c>
      <c r="B29" s="194" t="str">
        <f>'Program Budget'!F220</f>
        <v>Month</v>
      </c>
      <c r="C29" s="198">
        <f>'Program Budget'!E220</f>
        <v>0</v>
      </c>
      <c r="D29" s="195">
        <f>'Program Budget'!G220</f>
        <v>2500</v>
      </c>
      <c r="E29" s="196">
        <f>'Program Budget'!I220</f>
        <v>12</v>
      </c>
      <c r="F29" s="199">
        <f>'Program Budget'!H220</f>
        <v>0.15</v>
      </c>
      <c r="G29" s="198">
        <f t="shared" si="8"/>
        <v>4500</v>
      </c>
      <c r="H29" s="195">
        <f t="shared" si="1"/>
        <v>2625</v>
      </c>
      <c r="I29" s="196">
        <f>'Program Budget'!L220</f>
        <v>12</v>
      </c>
      <c r="J29" s="199">
        <f>'Program Budget'!K220</f>
        <v>0</v>
      </c>
      <c r="K29" s="198">
        <f t="shared" si="9"/>
        <v>0</v>
      </c>
      <c r="L29" s="195">
        <f t="shared" si="3"/>
        <v>2756.25</v>
      </c>
      <c r="M29" s="196">
        <f>'Program Budget'!O220</f>
        <v>12</v>
      </c>
      <c r="N29" s="199">
        <f>'Program Budget'!N220</f>
        <v>0</v>
      </c>
      <c r="O29" s="198">
        <f t="shared" si="10"/>
        <v>0</v>
      </c>
      <c r="P29" s="195">
        <f t="shared" si="5"/>
        <v>2894.0625</v>
      </c>
      <c r="Q29" s="196">
        <f>'Program Budget'!R220</f>
        <v>0</v>
      </c>
      <c r="R29" s="199">
        <f>'Program Budget'!Q220</f>
        <v>0</v>
      </c>
      <c r="S29" s="198">
        <f t="shared" si="11"/>
        <v>0</v>
      </c>
      <c r="T29" s="333">
        <f t="shared" si="12"/>
        <v>4500</v>
      </c>
      <c r="U29" s="201"/>
      <c r="V29" s="188"/>
      <c r="W29" s="202"/>
      <c r="X29" s="202"/>
      <c r="AB29" s="163">
        <v>180</v>
      </c>
      <c r="AC29" s="203" t="s">
        <v>547</v>
      </c>
      <c r="AD29" s="203" t="s">
        <v>548</v>
      </c>
      <c r="AE29" s="204"/>
      <c r="AG29" s="205"/>
    </row>
    <row r="30" spans="1:33" ht="15" customHeight="1" outlineLevel="1">
      <c r="A30" s="193" t="str">
        <f>'Program Budget'!D221</f>
        <v>Contracts &amp; Compliance Director</v>
      </c>
      <c r="B30" s="194" t="str">
        <f>'Program Budget'!F221</f>
        <v>Month</v>
      </c>
      <c r="C30" s="198">
        <f>'Program Budget'!E221</f>
        <v>8484.2199999999993</v>
      </c>
      <c r="D30" s="195">
        <f>'Program Budget'!G221</f>
        <v>4583.333333333333</v>
      </c>
      <c r="E30" s="196">
        <f>'Program Budget'!I221</f>
        <v>12</v>
      </c>
      <c r="F30" s="199">
        <f>'Program Budget'!H221</f>
        <v>0.15</v>
      </c>
      <c r="G30" s="198">
        <f t="shared" si="8"/>
        <v>8250</v>
      </c>
      <c r="H30" s="195">
        <f t="shared" si="1"/>
        <v>4812.5</v>
      </c>
      <c r="I30" s="196">
        <f>'Program Budget'!L221</f>
        <v>12</v>
      </c>
      <c r="J30" s="199">
        <f>'Program Budget'!K221</f>
        <v>0.18</v>
      </c>
      <c r="K30" s="198">
        <f t="shared" si="9"/>
        <v>10395</v>
      </c>
      <c r="L30" s="195">
        <f t="shared" si="3"/>
        <v>5053.125</v>
      </c>
      <c r="M30" s="196">
        <f>'Program Budget'!O221</f>
        <v>12</v>
      </c>
      <c r="N30" s="199">
        <f>'Program Budget'!N221</f>
        <v>0.18</v>
      </c>
      <c r="O30" s="198">
        <f t="shared" si="10"/>
        <v>10914.75</v>
      </c>
      <c r="P30" s="195">
        <f t="shared" si="5"/>
        <v>5305.78125</v>
      </c>
      <c r="Q30" s="196">
        <f>'Program Budget'!R221</f>
        <v>3</v>
      </c>
      <c r="R30" s="199">
        <f>'Program Budget'!Q221</f>
        <v>0.18</v>
      </c>
      <c r="S30" s="198">
        <f t="shared" si="11"/>
        <v>2865.1218749999998</v>
      </c>
      <c r="T30" s="333">
        <f t="shared" si="12"/>
        <v>40909.091874999998</v>
      </c>
      <c r="U30" s="201"/>
      <c r="V30" s="188"/>
      <c r="W30" s="202"/>
      <c r="X30" s="202"/>
      <c r="AB30" s="163">
        <v>180</v>
      </c>
      <c r="AC30" s="203" t="s">
        <v>547</v>
      </c>
      <c r="AD30" s="203" t="s">
        <v>548</v>
      </c>
      <c r="AE30" s="204"/>
      <c r="AG30" s="205"/>
    </row>
    <row r="31" spans="1:33" ht="15" customHeight="1" outlineLevel="1">
      <c r="A31" s="193" t="str">
        <f>'Program Budget'!D222</f>
        <v>Grants &amp; Procurement Specialist (2)</v>
      </c>
      <c r="B31" s="194" t="str">
        <f>'Program Budget'!F222</f>
        <v>Month</v>
      </c>
      <c r="C31" s="198">
        <f>'Program Budget'!E222</f>
        <v>0</v>
      </c>
      <c r="D31" s="195">
        <f>'Program Budget'!G222</f>
        <v>3500</v>
      </c>
      <c r="E31" s="196">
        <f>'Program Budget'!I222</f>
        <v>12</v>
      </c>
      <c r="F31" s="199">
        <f>'Program Budget'!H222</f>
        <v>0.25</v>
      </c>
      <c r="G31" s="198">
        <f t="shared" si="8"/>
        <v>10500</v>
      </c>
      <c r="H31" s="195">
        <f t="shared" si="1"/>
        <v>3675</v>
      </c>
      <c r="I31" s="196">
        <f>'Program Budget'!L222</f>
        <v>12</v>
      </c>
      <c r="J31" s="199">
        <f>'Program Budget'!K222</f>
        <v>0.25</v>
      </c>
      <c r="K31" s="198">
        <f t="shared" si="9"/>
        <v>11025</v>
      </c>
      <c r="L31" s="195">
        <f t="shared" si="3"/>
        <v>3858.75</v>
      </c>
      <c r="M31" s="196">
        <f>'Program Budget'!O222</f>
        <v>12</v>
      </c>
      <c r="N31" s="199">
        <f>'Program Budget'!N222</f>
        <v>0.25</v>
      </c>
      <c r="O31" s="198">
        <f t="shared" si="10"/>
        <v>11576.25</v>
      </c>
      <c r="P31" s="195">
        <f t="shared" si="5"/>
        <v>4051.6875</v>
      </c>
      <c r="Q31" s="196">
        <f>'Program Budget'!R222</f>
        <v>0</v>
      </c>
      <c r="R31" s="199">
        <f>'Program Budget'!Q222</f>
        <v>0.25</v>
      </c>
      <c r="S31" s="198">
        <f t="shared" si="11"/>
        <v>0</v>
      </c>
      <c r="T31" s="333">
        <f t="shared" si="12"/>
        <v>33101.25</v>
      </c>
      <c r="U31" s="201"/>
      <c r="V31" s="188"/>
      <c r="W31" s="202"/>
      <c r="X31" s="202"/>
      <c r="AB31" s="163">
        <v>180</v>
      </c>
      <c r="AC31" s="203" t="s">
        <v>547</v>
      </c>
      <c r="AD31" s="203" t="s">
        <v>548</v>
      </c>
      <c r="AE31" s="204"/>
      <c r="AG31" s="205"/>
    </row>
    <row r="32" spans="1:33" ht="15" customHeight="1" outlineLevel="1">
      <c r="A32" s="193" t="str">
        <f>'Program Budget'!D223</f>
        <v xml:space="preserve">F&amp;A Director </v>
      </c>
      <c r="B32" s="194" t="str">
        <f>'Program Budget'!F223</f>
        <v>Month</v>
      </c>
      <c r="C32" s="198">
        <f>'Program Budget'!E223</f>
        <v>3535.09</v>
      </c>
      <c r="D32" s="195">
        <f>'Program Budget'!G223</f>
        <v>5279.4</v>
      </c>
      <c r="E32" s="196">
        <f>'Program Budget'!I223</f>
        <v>12</v>
      </c>
      <c r="F32" s="199">
        <f>'Program Budget'!H223</f>
        <v>0.1</v>
      </c>
      <c r="G32" s="198">
        <f t="shared" si="8"/>
        <v>6335.28</v>
      </c>
      <c r="H32" s="195">
        <f t="shared" si="1"/>
        <v>5543.37</v>
      </c>
      <c r="I32" s="196">
        <f>'Program Budget'!L223</f>
        <v>12</v>
      </c>
      <c r="J32" s="199">
        <f>'Program Budget'!K223</f>
        <v>0.2</v>
      </c>
      <c r="K32" s="198">
        <f t="shared" si="9"/>
        <v>13304.088000000002</v>
      </c>
      <c r="L32" s="195">
        <f t="shared" si="3"/>
        <v>5820.5385000000006</v>
      </c>
      <c r="M32" s="196">
        <f>'Program Budget'!O223</f>
        <v>12</v>
      </c>
      <c r="N32" s="199">
        <f>'Program Budget'!N223</f>
        <v>0.2</v>
      </c>
      <c r="O32" s="198">
        <f t="shared" si="10"/>
        <v>13969.2924</v>
      </c>
      <c r="P32" s="195">
        <f t="shared" si="5"/>
        <v>6111.5654250000007</v>
      </c>
      <c r="Q32" s="196">
        <f>'Program Budget'!R223</f>
        <v>6</v>
      </c>
      <c r="R32" s="199">
        <f>'Program Budget'!Q223</f>
        <v>0.2</v>
      </c>
      <c r="S32" s="198">
        <f t="shared" si="11"/>
        <v>7333.8785100000014</v>
      </c>
      <c r="T32" s="333">
        <f t="shared" si="12"/>
        <v>44477.628909999999</v>
      </c>
      <c r="U32" s="201"/>
      <c r="V32" s="188"/>
      <c r="W32" s="202"/>
      <c r="X32" s="202"/>
      <c r="AB32" s="163">
        <v>180</v>
      </c>
      <c r="AC32" s="203" t="s">
        <v>547</v>
      </c>
      <c r="AD32" s="203" t="s">
        <v>548</v>
      </c>
      <c r="AE32" s="204"/>
      <c r="AG32" s="205"/>
    </row>
    <row r="33" spans="1:33" ht="15" customHeight="1" outlineLevel="1">
      <c r="A33" s="193" t="str">
        <f>'Program Budget'!D224</f>
        <v>Accounting &amp; Finance Specialist</v>
      </c>
      <c r="B33" s="194" t="str">
        <f>'Program Budget'!F224</f>
        <v>Month</v>
      </c>
      <c r="C33" s="198">
        <f>'Program Budget'!E224</f>
        <v>0</v>
      </c>
      <c r="D33" s="195">
        <f>'Program Budget'!G224</f>
        <v>1750</v>
      </c>
      <c r="E33" s="196">
        <f>'Program Budget'!I224</f>
        <v>12</v>
      </c>
      <c r="F33" s="199">
        <f>'Program Budget'!H224</f>
        <v>0.15</v>
      </c>
      <c r="G33" s="198">
        <f t="shared" si="8"/>
        <v>3150</v>
      </c>
      <c r="H33" s="195">
        <f t="shared" si="1"/>
        <v>1837.5</v>
      </c>
      <c r="I33" s="196">
        <f>'Program Budget'!L224</f>
        <v>12</v>
      </c>
      <c r="J33" s="199">
        <f>'Program Budget'!K224</f>
        <v>0.16</v>
      </c>
      <c r="K33" s="198">
        <f t="shared" si="9"/>
        <v>3528</v>
      </c>
      <c r="L33" s="195">
        <f t="shared" si="3"/>
        <v>1929.375</v>
      </c>
      <c r="M33" s="196">
        <f>'Program Budget'!O224</f>
        <v>12</v>
      </c>
      <c r="N33" s="199">
        <f>'Program Budget'!N224</f>
        <v>0.16</v>
      </c>
      <c r="O33" s="198">
        <f t="shared" si="10"/>
        <v>3704.4</v>
      </c>
      <c r="P33" s="195">
        <f t="shared" si="5"/>
        <v>2025.84375</v>
      </c>
      <c r="Q33" s="196">
        <f>'Program Budget'!R224</f>
        <v>3</v>
      </c>
      <c r="R33" s="199">
        <f>'Program Budget'!Q224</f>
        <v>0.16</v>
      </c>
      <c r="S33" s="198">
        <f t="shared" si="11"/>
        <v>972.40499999999997</v>
      </c>
      <c r="T33" s="333">
        <f t="shared" si="12"/>
        <v>11354.805</v>
      </c>
      <c r="U33" s="201"/>
      <c r="V33" s="188"/>
      <c r="W33" s="202"/>
      <c r="X33" s="202"/>
      <c r="AB33" s="163"/>
      <c r="AC33" s="203"/>
      <c r="AD33" s="203"/>
      <c r="AE33" s="204"/>
      <c r="AG33" s="205"/>
    </row>
    <row r="34" spans="1:33" ht="15" customHeight="1" outlineLevel="1">
      <c r="A34" s="193" t="str">
        <f>'Program Budget'!D225</f>
        <v xml:space="preserve">Accountant </v>
      </c>
      <c r="B34" s="194" t="str">
        <f>'Program Budget'!F225</f>
        <v>Month</v>
      </c>
      <c r="C34" s="198">
        <f>'Program Budget'!E225</f>
        <v>6570.82</v>
      </c>
      <c r="D34" s="195">
        <f>'Program Budget'!G225</f>
        <v>1750</v>
      </c>
      <c r="E34" s="196">
        <f>'Program Budget'!I225</f>
        <v>12</v>
      </c>
      <c r="F34" s="199">
        <f>'Program Budget'!H225</f>
        <v>0.15</v>
      </c>
      <c r="G34" s="198">
        <f t="shared" si="8"/>
        <v>3150</v>
      </c>
      <c r="H34" s="195">
        <f t="shared" si="1"/>
        <v>1837.5</v>
      </c>
      <c r="I34" s="196">
        <f>'Program Budget'!L225</f>
        <v>12</v>
      </c>
      <c r="J34" s="199">
        <f>'Program Budget'!K225</f>
        <v>0.16</v>
      </c>
      <c r="K34" s="198">
        <f t="shared" si="9"/>
        <v>3528</v>
      </c>
      <c r="L34" s="195">
        <f t="shared" si="3"/>
        <v>1929.375</v>
      </c>
      <c r="M34" s="196">
        <f>'Program Budget'!O225</f>
        <v>12</v>
      </c>
      <c r="N34" s="199">
        <f>'Program Budget'!N225</f>
        <v>0.16</v>
      </c>
      <c r="O34" s="198">
        <f t="shared" si="10"/>
        <v>3704.4</v>
      </c>
      <c r="P34" s="195">
        <f t="shared" si="5"/>
        <v>2025.84375</v>
      </c>
      <c r="Q34" s="196">
        <f>'Program Budget'!R225</f>
        <v>5</v>
      </c>
      <c r="R34" s="199">
        <f>'Program Budget'!Q225</f>
        <v>0.16</v>
      </c>
      <c r="S34" s="198">
        <f t="shared" si="11"/>
        <v>1620.675</v>
      </c>
      <c r="T34" s="333">
        <f t="shared" si="12"/>
        <v>18573.895</v>
      </c>
      <c r="U34" s="201"/>
      <c r="V34" s="188"/>
      <c r="W34" s="202"/>
      <c r="X34" s="202"/>
      <c r="AB34" s="163">
        <v>180</v>
      </c>
      <c r="AC34" s="203" t="s">
        <v>547</v>
      </c>
      <c r="AD34" s="203" t="s">
        <v>548</v>
      </c>
      <c r="AE34" s="204"/>
      <c r="AG34" s="205"/>
    </row>
    <row r="35" spans="1:33" ht="15" customHeight="1" outlineLevel="1">
      <c r="A35" s="193" t="str">
        <f>'Program Budget'!D226</f>
        <v>Finance &amp; Admin Coordinator - 50% LOE</v>
      </c>
      <c r="B35" s="194" t="str">
        <f>'Program Budget'!F226</f>
        <v>Month</v>
      </c>
      <c r="C35" s="198">
        <f>'Program Budget'!E226</f>
        <v>0</v>
      </c>
      <c r="D35" s="195">
        <f>'Program Budget'!G226</f>
        <v>2583.3333333333335</v>
      </c>
      <c r="E35" s="196">
        <f>'Program Budget'!I226</f>
        <v>12</v>
      </c>
      <c r="F35" s="199">
        <f>'Program Budget'!H226</f>
        <v>0.05</v>
      </c>
      <c r="G35" s="198">
        <f t="shared" si="8"/>
        <v>1550</v>
      </c>
      <c r="H35" s="195">
        <f t="shared" si="1"/>
        <v>2712.5000000000005</v>
      </c>
      <c r="I35" s="196">
        <f>'Program Budget'!L226</f>
        <v>12</v>
      </c>
      <c r="J35" s="199">
        <f>'Program Budget'!K226</f>
        <v>0.1</v>
      </c>
      <c r="K35" s="198">
        <f t="shared" si="9"/>
        <v>3255.0000000000009</v>
      </c>
      <c r="L35" s="195">
        <f t="shared" si="3"/>
        <v>2848.1250000000005</v>
      </c>
      <c r="M35" s="196">
        <f>'Program Budget'!O226</f>
        <v>12</v>
      </c>
      <c r="N35" s="199">
        <f>'Program Budget'!N226</f>
        <v>0.1</v>
      </c>
      <c r="O35" s="198">
        <f t="shared" si="10"/>
        <v>3417.7500000000009</v>
      </c>
      <c r="P35" s="195">
        <f t="shared" si="5"/>
        <v>2990.5312500000005</v>
      </c>
      <c r="Q35" s="196">
        <f>'Program Budget'!R226</f>
        <v>6</v>
      </c>
      <c r="R35" s="199">
        <f>'Program Budget'!Q226</f>
        <v>0.1</v>
      </c>
      <c r="S35" s="198">
        <f t="shared" si="11"/>
        <v>1794.3187500000004</v>
      </c>
      <c r="T35" s="333">
        <f t="shared" si="12"/>
        <v>10017.068750000002</v>
      </c>
      <c r="U35" s="201"/>
      <c r="V35" s="188"/>
      <c r="W35" s="202"/>
      <c r="X35" s="202"/>
      <c r="AB35" s="163">
        <v>180</v>
      </c>
      <c r="AC35" s="203" t="s">
        <v>547</v>
      </c>
      <c r="AD35" s="203" t="s">
        <v>548</v>
      </c>
      <c r="AE35" s="204"/>
      <c r="AG35" s="205"/>
    </row>
    <row r="36" spans="1:33" ht="15" customHeight="1" outlineLevel="1">
      <c r="A36" s="193" t="str">
        <f>'Program Budget'!D227</f>
        <v xml:space="preserve">Administrative Officer </v>
      </c>
      <c r="B36" s="194" t="str">
        <f>'Program Budget'!F227</f>
        <v>Month</v>
      </c>
      <c r="C36" s="198">
        <f>'Program Budget'!E227</f>
        <v>1191.24</v>
      </c>
      <c r="D36" s="195">
        <f>'Program Budget'!G227</f>
        <v>1000</v>
      </c>
      <c r="E36" s="196">
        <f>'Program Budget'!I227</f>
        <v>12</v>
      </c>
      <c r="F36" s="199">
        <f>'Program Budget'!H227</f>
        <v>0.15</v>
      </c>
      <c r="G36" s="198">
        <f t="shared" si="8"/>
        <v>1800</v>
      </c>
      <c r="H36" s="195">
        <f t="shared" si="1"/>
        <v>1050</v>
      </c>
      <c r="I36" s="196">
        <f>'Program Budget'!L227</f>
        <v>12</v>
      </c>
      <c r="J36" s="199">
        <f>'Program Budget'!K227</f>
        <v>0.1</v>
      </c>
      <c r="K36" s="198">
        <f t="shared" si="9"/>
        <v>1260</v>
      </c>
      <c r="L36" s="195">
        <f t="shared" si="3"/>
        <v>1102.5</v>
      </c>
      <c r="M36" s="196">
        <f>'Program Budget'!O227</f>
        <v>12</v>
      </c>
      <c r="N36" s="199">
        <f>'Program Budget'!N227</f>
        <v>0.1</v>
      </c>
      <c r="O36" s="198">
        <f t="shared" si="10"/>
        <v>1323</v>
      </c>
      <c r="P36" s="195">
        <f t="shared" si="5"/>
        <v>1157.625</v>
      </c>
      <c r="Q36" s="196">
        <f>'Program Budget'!R227</f>
        <v>3</v>
      </c>
      <c r="R36" s="199">
        <f>'Program Budget'!Q227</f>
        <v>0.1</v>
      </c>
      <c r="S36" s="198">
        <f t="shared" si="11"/>
        <v>347.28750000000002</v>
      </c>
      <c r="T36" s="333">
        <f t="shared" si="12"/>
        <v>5921.5275000000001</v>
      </c>
      <c r="U36" s="201"/>
      <c r="V36" s="188"/>
      <c r="W36" s="202"/>
      <c r="X36" s="202"/>
      <c r="AB36" s="163">
        <v>180</v>
      </c>
      <c r="AC36" s="203" t="s">
        <v>547</v>
      </c>
      <c r="AD36" s="203" t="s">
        <v>548</v>
      </c>
      <c r="AE36" s="204"/>
      <c r="AG36" s="205"/>
    </row>
    <row r="37" spans="1:33" ht="15" customHeight="1" outlineLevel="1">
      <c r="A37" s="193" t="str">
        <f>'Program Budget'!D228</f>
        <v>Human Resource Manager</v>
      </c>
      <c r="B37" s="194" t="str">
        <f>'Program Budget'!F228</f>
        <v>Month</v>
      </c>
      <c r="C37" s="198">
        <f>'Program Budget'!E228</f>
        <v>0</v>
      </c>
      <c r="D37" s="195">
        <f>'Program Budget'!G228</f>
        <v>1954.1666666666667</v>
      </c>
      <c r="E37" s="196">
        <f>'Program Budget'!I228</f>
        <v>12</v>
      </c>
      <c r="F37" s="199">
        <f>'Program Budget'!H228</f>
        <v>0.15</v>
      </c>
      <c r="G37" s="198">
        <f t="shared" si="0"/>
        <v>3517.5</v>
      </c>
      <c r="H37" s="195">
        <f t="shared" si="1"/>
        <v>2051.875</v>
      </c>
      <c r="I37" s="196">
        <f>'Program Budget'!L228</f>
        <v>12</v>
      </c>
      <c r="J37" s="199">
        <f>'Program Budget'!K228</f>
        <v>0.1</v>
      </c>
      <c r="K37" s="198">
        <f t="shared" si="2"/>
        <v>2462.25</v>
      </c>
      <c r="L37" s="195">
        <f t="shared" si="3"/>
        <v>2154.46875</v>
      </c>
      <c r="M37" s="196">
        <f>'Program Budget'!O228</f>
        <v>12</v>
      </c>
      <c r="N37" s="199">
        <f>'Program Budget'!N228</f>
        <v>0.1</v>
      </c>
      <c r="O37" s="198">
        <f t="shared" si="4"/>
        <v>2585.3625000000002</v>
      </c>
      <c r="P37" s="195">
        <f t="shared" si="5"/>
        <v>2262.1921875000003</v>
      </c>
      <c r="Q37" s="196">
        <f>'Program Budget'!R228</f>
        <v>6</v>
      </c>
      <c r="R37" s="199">
        <f>'Program Budget'!Q228</f>
        <v>0.1</v>
      </c>
      <c r="S37" s="198">
        <f t="shared" si="6"/>
        <v>1357.3153125000001</v>
      </c>
      <c r="T37" s="333">
        <f t="shared" si="7"/>
        <v>9922.4278125000001</v>
      </c>
      <c r="U37" s="201"/>
      <c r="V37" s="188"/>
      <c r="W37" s="202"/>
      <c r="X37" s="202"/>
      <c r="AB37" s="163">
        <v>180</v>
      </c>
      <c r="AC37" s="203" t="s">
        <v>547</v>
      </c>
      <c r="AD37" s="203" t="s">
        <v>548</v>
      </c>
      <c r="AE37" s="204"/>
      <c r="AG37" s="205"/>
    </row>
    <row r="38" spans="1:33" ht="15" customHeight="1" outlineLevel="1">
      <c r="A38" s="193" t="str">
        <f>'Program Budget'!D229</f>
        <v>Human Resource Specialist</v>
      </c>
      <c r="B38" s="194" t="str">
        <f>'Program Budget'!F229</f>
        <v>Month</v>
      </c>
      <c r="C38" s="198">
        <f>'Program Budget'!E229</f>
        <v>0</v>
      </c>
      <c r="D38" s="195">
        <f>'Program Budget'!G229</f>
        <v>1750</v>
      </c>
      <c r="E38" s="196">
        <f>'Program Budget'!I229</f>
        <v>12</v>
      </c>
      <c r="F38" s="199">
        <f>'Program Budget'!H229</f>
        <v>0.15</v>
      </c>
      <c r="G38" s="198">
        <f t="shared" ref="G38" si="13">D38*E38*F38</f>
        <v>3150</v>
      </c>
      <c r="H38" s="195">
        <f t="shared" si="1"/>
        <v>1837.5</v>
      </c>
      <c r="I38" s="196">
        <f>'Program Budget'!L229</f>
        <v>12</v>
      </c>
      <c r="J38" s="199">
        <f>'Program Budget'!K229</f>
        <v>0.1</v>
      </c>
      <c r="K38" s="198">
        <f t="shared" ref="K38" si="14">H38*I38*J38</f>
        <v>2205</v>
      </c>
      <c r="L38" s="195">
        <f t="shared" si="3"/>
        <v>1929.375</v>
      </c>
      <c r="M38" s="196">
        <f>'Program Budget'!O229</f>
        <v>12</v>
      </c>
      <c r="N38" s="199">
        <f>'Program Budget'!N229</f>
        <v>0.1</v>
      </c>
      <c r="O38" s="198">
        <f t="shared" ref="O38" si="15">L38*M38*N38</f>
        <v>2315.25</v>
      </c>
      <c r="P38" s="195">
        <f t="shared" si="5"/>
        <v>2025.84375</v>
      </c>
      <c r="Q38" s="196">
        <f>'Program Budget'!R229</f>
        <v>3</v>
      </c>
      <c r="R38" s="199">
        <f>'Program Budget'!Q229</f>
        <v>0.1</v>
      </c>
      <c r="S38" s="198">
        <f t="shared" ref="S38" si="16">P38*Q38*R38</f>
        <v>607.75312500000007</v>
      </c>
      <c r="T38" s="335">
        <f t="shared" ref="T38" si="17">C38+G38+K38+O38+S38</f>
        <v>8278.0031249999993</v>
      </c>
      <c r="U38" s="201"/>
      <c r="V38" s="188"/>
      <c r="W38" s="202"/>
      <c r="X38" s="202"/>
      <c r="AB38" s="163"/>
      <c r="AC38" s="203"/>
      <c r="AD38" s="203"/>
      <c r="AE38" s="204"/>
      <c r="AG38" s="205"/>
    </row>
    <row r="39" spans="1:33" ht="15" customHeight="1" outlineLevel="1">
      <c r="A39" s="208" t="s">
        <v>510</v>
      </c>
      <c r="B39" s="209"/>
      <c r="C39" s="222">
        <f>SUM(C10:C38)</f>
        <v>97623.570000000022</v>
      </c>
      <c r="D39" s="210"/>
      <c r="E39" s="211"/>
      <c r="G39" s="222">
        <f>SUM(G10:G38)</f>
        <v>105852.78</v>
      </c>
      <c r="H39" s="210"/>
      <c r="I39" s="211"/>
      <c r="J39" s="212"/>
      <c r="K39" s="222">
        <f>SUM(K10:K38)</f>
        <v>150806.83799999999</v>
      </c>
      <c r="L39" s="210"/>
      <c r="M39" s="211"/>
      <c r="N39" s="214"/>
      <c r="O39" s="222">
        <f>SUM(O10:O38)</f>
        <v>158347.17989999996</v>
      </c>
      <c r="P39" s="210"/>
      <c r="Q39" s="211"/>
      <c r="R39" s="214"/>
      <c r="S39" s="222">
        <f>SUM(S10:S38)</f>
        <v>43095.808822500003</v>
      </c>
      <c r="T39" s="334">
        <f>C39+G39+K39+O39+S39</f>
        <v>555726.17672250001</v>
      </c>
      <c r="AB39" s="163"/>
      <c r="AC39" s="203"/>
      <c r="AD39" s="203"/>
    </row>
    <row r="40" spans="1:33" s="189" customFormat="1" ht="15" customHeight="1" outlineLevel="1">
      <c r="A40" s="225"/>
      <c r="B40" s="216"/>
      <c r="C40" s="198"/>
      <c r="D40" s="217"/>
      <c r="E40" s="218"/>
      <c r="F40" s="214"/>
      <c r="G40" s="198"/>
      <c r="H40" s="217"/>
      <c r="I40" s="218"/>
      <c r="J40" s="160"/>
      <c r="K40" s="198"/>
      <c r="L40" s="217"/>
      <c r="M40" s="218"/>
      <c r="N40" s="160"/>
      <c r="O40" s="198"/>
      <c r="P40" s="217"/>
      <c r="Q40" s="218"/>
      <c r="R40" s="160"/>
      <c r="S40" s="198"/>
      <c r="T40" s="206"/>
      <c r="U40" s="157"/>
      <c r="V40" s="157"/>
      <c r="W40" s="157"/>
      <c r="X40" s="157"/>
      <c r="Y40" s="157"/>
      <c r="Z40" s="157"/>
      <c r="AA40" s="157"/>
      <c r="AB40" s="163"/>
      <c r="AC40" s="203"/>
      <c r="AD40" s="203"/>
      <c r="AE40" s="223"/>
      <c r="AF40" s="224"/>
      <c r="AG40" s="157"/>
    </row>
    <row r="41" spans="1:33" s="236" customFormat="1" ht="15" customHeight="1">
      <c r="A41" s="226" t="s">
        <v>513</v>
      </c>
      <c r="B41" s="227"/>
      <c r="C41" s="231">
        <f>C39+C8</f>
        <v>137868.57</v>
      </c>
      <c r="D41" s="228"/>
      <c r="E41" s="229"/>
      <c r="F41" s="232"/>
      <c r="G41" s="231">
        <f>G39+G8</f>
        <v>131502.78</v>
      </c>
      <c r="H41" s="228"/>
      <c r="I41" s="229"/>
      <c r="J41" s="230"/>
      <c r="K41" s="231">
        <f>K39+K8</f>
        <v>184921.33799999999</v>
      </c>
      <c r="L41" s="228"/>
      <c r="M41" s="229"/>
      <c r="N41" s="232"/>
      <c r="O41" s="231">
        <f>O39+O8</f>
        <v>194167.40489999996</v>
      </c>
      <c r="P41" s="228"/>
      <c r="Q41" s="229"/>
      <c r="R41" s="232"/>
      <c r="S41" s="231">
        <f>S39+S8</f>
        <v>43095.808822500003</v>
      </c>
      <c r="T41" s="233">
        <f>+C41+G41+K41+O41+S41</f>
        <v>691555.90172249998</v>
      </c>
      <c r="U41" s="234"/>
      <c r="V41" s="234"/>
      <c r="W41" s="234"/>
      <c r="X41" s="234"/>
      <c r="Y41" s="234"/>
      <c r="Z41" s="235"/>
      <c r="AA41" s="235"/>
      <c r="AB41" s="234"/>
      <c r="AD41" s="236" t="s">
        <v>549</v>
      </c>
      <c r="AG41" s="235"/>
    </row>
    <row r="42" spans="1:33" s="189" customFormat="1" ht="15" customHeight="1" outlineLevel="1">
      <c r="A42" s="190" t="s">
        <v>514</v>
      </c>
      <c r="B42" s="191"/>
      <c r="C42" s="184"/>
      <c r="D42" s="181"/>
      <c r="E42" s="182"/>
      <c r="F42" s="185"/>
      <c r="G42" s="186"/>
      <c r="H42" s="181"/>
      <c r="I42" s="182"/>
      <c r="J42" s="183"/>
      <c r="K42" s="186"/>
      <c r="L42" s="181"/>
      <c r="M42" s="182"/>
      <c r="N42" s="185"/>
      <c r="O42" s="186"/>
      <c r="P42" s="181"/>
      <c r="Q42" s="182"/>
      <c r="R42" s="185"/>
      <c r="S42" s="186"/>
      <c r="T42" s="187"/>
      <c r="U42" s="157"/>
      <c r="V42" s="157"/>
      <c r="W42" s="157"/>
      <c r="X42" s="157"/>
      <c r="Y42" s="157"/>
      <c r="Z42" s="157"/>
      <c r="AA42" s="157"/>
      <c r="AB42" s="163"/>
      <c r="AG42" s="157"/>
    </row>
    <row r="43" spans="1:33" s="189" customFormat="1" ht="15" customHeight="1" outlineLevel="1">
      <c r="A43" s="237" t="s">
        <v>507</v>
      </c>
      <c r="B43" s="216" t="str">
        <f>'Program Budget'!F179</f>
        <v>%</v>
      </c>
      <c r="C43" s="198">
        <f>'Program Budget'!E236</f>
        <v>1598.05</v>
      </c>
      <c r="D43" s="343">
        <f>G8</f>
        <v>25650</v>
      </c>
      <c r="E43" s="218">
        <v>1</v>
      </c>
      <c r="F43" s="160">
        <f>'Program Budget'!G236</f>
        <v>0.56469999999999998</v>
      </c>
      <c r="G43" s="198">
        <f t="shared" ref="G43" si="18">D43*E43*F43</f>
        <v>14484.555</v>
      </c>
      <c r="H43" s="343">
        <f>K8</f>
        <v>34114.5</v>
      </c>
      <c r="I43" s="218">
        <v>1</v>
      </c>
      <c r="J43" s="160">
        <f>F43</f>
        <v>0.56469999999999998</v>
      </c>
      <c r="K43" s="198">
        <f t="shared" ref="K43:K45" si="19">H43*I43*J43</f>
        <v>19264.458149999999</v>
      </c>
      <c r="L43" s="343">
        <f>O8</f>
        <v>35820.224999999999</v>
      </c>
      <c r="M43" s="218">
        <v>1</v>
      </c>
      <c r="N43" s="160">
        <f>J43</f>
        <v>0.56469999999999998</v>
      </c>
      <c r="O43" s="198">
        <f t="shared" ref="O43:O45" si="20">L43*M43*N43</f>
        <v>20227.681057499998</v>
      </c>
      <c r="P43" s="343">
        <f>S8</f>
        <v>0</v>
      </c>
      <c r="Q43" s="218">
        <v>1</v>
      </c>
      <c r="R43" s="160">
        <f>N43</f>
        <v>0.56469999999999998</v>
      </c>
      <c r="S43" s="198">
        <f t="shared" ref="S43:S45" si="21">P43*Q43*R43</f>
        <v>0</v>
      </c>
      <c r="T43" s="333">
        <f t="shared" ref="T43:T45" si="22">C43+G43+K43+O43+S43</f>
        <v>55574.7442075</v>
      </c>
      <c r="U43" s="157"/>
      <c r="V43" s="157"/>
      <c r="W43" s="157"/>
      <c r="X43" s="157"/>
      <c r="Y43" s="157"/>
      <c r="Z43" s="157"/>
      <c r="AA43" s="157"/>
      <c r="AB43" s="163">
        <v>194</v>
      </c>
      <c r="AC43" s="203" t="s">
        <v>550</v>
      </c>
      <c r="AD43" s="203" t="s">
        <v>551</v>
      </c>
      <c r="AG43" s="157"/>
    </row>
    <row r="44" spans="1:33" s="189" customFormat="1" ht="15" customHeight="1" outlineLevel="1">
      <c r="A44" s="237" t="s">
        <v>515</v>
      </c>
      <c r="B44" s="216" t="str">
        <f>'Program Budget'!F179</f>
        <v>%</v>
      </c>
      <c r="C44" s="198">
        <f>'Program Budget'!E233</f>
        <v>4261.4799999999996</v>
      </c>
      <c r="D44" s="343">
        <f>G10+G11+G20+G24+G27+G30+G32</f>
        <v>48585.279999999999</v>
      </c>
      <c r="E44" s="218">
        <v>1</v>
      </c>
      <c r="F44" s="160">
        <f>'Program Budget'!G233</f>
        <v>0.53864000000000001</v>
      </c>
      <c r="G44" s="198">
        <f>D44*E44*F44</f>
        <v>26169.975219200001</v>
      </c>
      <c r="H44" s="343">
        <f>K10+K11+K20+K24+K27+K30+K32</f>
        <v>82761.588000000003</v>
      </c>
      <c r="I44" s="218">
        <v>1</v>
      </c>
      <c r="J44" s="160">
        <f t="shared" ref="J44" si="23">F44</f>
        <v>0.53864000000000001</v>
      </c>
      <c r="K44" s="198">
        <f t="shared" ref="K44" si="24">H44*I44*J44</f>
        <v>44578.70176032</v>
      </c>
      <c r="L44" s="343">
        <f>O10+O11+O20+O24+O27+O30+O32</f>
        <v>86899.667400000006</v>
      </c>
      <c r="M44" s="218">
        <v>1</v>
      </c>
      <c r="N44" s="160">
        <f t="shared" ref="N44" si="25">J44</f>
        <v>0.53864000000000001</v>
      </c>
      <c r="O44" s="198">
        <f t="shared" ref="O44" si="26">L44*M44*N44</f>
        <v>46807.636848336006</v>
      </c>
      <c r="P44" s="343">
        <f>S10+S11+S20+S24+S27+S30+S32</f>
        <v>28962.172260000003</v>
      </c>
      <c r="Q44" s="218">
        <v>1</v>
      </c>
      <c r="R44" s="160">
        <f t="shared" ref="R44" si="27">N44</f>
        <v>0.53864000000000001</v>
      </c>
      <c r="S44" s="198">
        <f t="shared" ref="S44" si="28">P44*Q44*R44</f>
        <v>15600.184466126402</v>
      </c>
      <c r="T44" s="335">
        <f t="shared" ref="T44" si="29">C44+G44+K44+O44+S44</f>
        <v>137417.97829398242</v>
      </c>
      <c r="U44" s="157"/>
      <c r="V44" s="157"/>
      <c r="W44" s="157"/>
      <c r="X44" s="157"/>
      <c r="Y44" s="157"/>
      <c r="Z44" s="157"/>
      <c r="AA44" s="157"/>
      <c r="AB44" s="238">
        <v>197</v>
      </c>
      <c r="AC44" s="239" t="s">
        <v>552</v>
      </c>
      <c r="AD44" s="239" t="s">
        <v>553</v>
      </c>
      <c r="AG44" s="157"/>
    </row>
    <row r="45" spans="1:33" s="189" customFormat="1" ht="15" customHeight="1" outlineLevel="1">
      <c r="A45" s="237" t="s">
        <v>516</v>
      </c>
      <c r="B45" s="216" t="str">
        <f>'Program Budget'!F180</f>
        <v>%</v>
      </c>
      <c r="C45" s="198">
        <f>'Program Budget'!E234</f>
        <v>46348.46</v>
      </c>
      <c r="D45" s="343">
        <f>G39-D44</f>
        <v>57267.5</v>
      </c>
      <c r="E45" s="218">
        <v>1</v>
      </c>
      <c r="F45" s="160">
        <f>'Program Budget'!G234</f>
        <v>0.44863999999999998</v>
      </c>
      <c r="G45" s="198">
        <f>D45*E45*F45</f>
        <v>25692.4912</v>
      </c>
      <c r="H45" s="343">
        <f>K39-H44</f>
        <v>68045.249999999985</v>
      </c>
      <c r="I45" s="218">
        <v>1</v>
      </c>
      <c r="J45" s="160">
        <f t="shared" ref="J45" si="30">F45</f>
        <v>0.44863999999999998</v>
      </c>
      <c r="K45" s="198">
        <f t="shared" si="19"/>
        <v>30527.820959999994</v>
      </c>
      <c r="L45" s="343">
        <f>O39-L44</f>
        <v>71447.512499999953</v>
      </c>
      <c r="M45" s="218">
        <v>1</v>
      </c>
      <c r="N45" s="160">
        <f t="shared" ref="N45" si="31">J45</f>
        <v>0.44863999999999998</v>
      </c>
      <c r="O45" s="198">
        <f t="shared" si="20"/>
        <v>32054.212007999977</v>
      </c>
      <c r="P45" s="343">
        <f>S39-P44</f>
        <v>14133.6365625</v>
      </c>
      <c r="Q45" s="218">
        <v>1</v>
      </c>
      <c r="R45" s="160">
        <f t="shared" ref="R45" si="32">N45</f>
        <v>0.44863999999999998</v>
      </c>
      <c r="S45" s="198">
        <f t="shared" si="21"/>
        <v>6340.9147073999993</v>
      </c>
      <c r="T45" s="335">
        <f t="shared" si="22"/>
        <v>140963.89887539996</v>
      </c>
      <c r="U45" s="157"/>
      <c r="V45" s="157"/>
      <c r="W45" s="157"/>
      <c r="X45" s="157"/>
      <c r="Y45" s="157"/>
      <c r="Z45" s="157"/>
      <c r="AA45" s="157"/>
      <c r="AB45" s="238">
        <v>197</v>
      </c>
      <c r="AC45" s="239" t="s">
        <v>552</v>
      </c>
      <c r="AD45" s="239" t="s">
        <v>553</v>
      </c>
      <c r="AG45" s="157"/>
    </row>
    <row r="46" spans="1:33" ht="15" customHeight="1" outlineLevel="1">
      <c r="A46" s="208" t="s">
        <v>518</v>
      </c>
      <c r="B46" s="209"/>
      <c r="C46" s="213">
        <f>+SUM(C43:C45)</f>
        <v>52207.99</v>
      </c>
      <c r="D46" s="210"/>
      <c r="E46" s="211"/>
      <c r="F46" s="214"/>
      <c r="G46" s="213">
        <f>+SUM(G43:G45)</f>
        <v>66347.021419199998</v>
      </c>
      <c r="H46" s="210"/>
      <c r="I46" s="211"/>
      <c r="J46" s="212"/>
      <c r="K46" s="213">
        <f>+SUM(K43:K45)</f>
        <v>94370.980870319996</v>
      </c>
      <c r="L46" s="210"/>
      <c r="M46" s="211"/>
      <c r="N46" s="214"/>
      <c r="O46" s="213">
        <f>+SUM(O43:O45)</f>
        <v>99089.529913835984</v>
      </c>
      <c r="P46" s="210"/>
      <c r="Q46" s="211"/>
      <c r="R46" s="214"/>
      <c r="S46" s="213">
        <f>+SUM(S43:S45)</f>
        <v>21941.099173526403</v>
      </c>
      <c r="T46" s="334">
        <f>+C46+G46+K46+O46+S46</f>
        <v>333956.62137688237</v>
      </c>
      <c r="AB46" s="163"/>
      <c r="AC46" s="203"/>
      <c r="AD46" s="203"/>
    </row>
    <row r="47" spans="1:33" s="189" customFormat="1" ht="15" customHeight="1" outlineLevel="1">
      <c r="A47" s="190" t="s">
        <v>519</v>
      </c>
      <c r="B47" s="247"/>
      <c r="C47" s="248"/>
      <c r="D47" s="217"/>
      <c r="E47" s="218"/>
      <c r="F47" s="161"/>
      <c r="G47" s="221"/>
      <c r="H47" s="217"/>
      <c r="I47" s="218"/>
      <c r="J47" s="160"/>
      <c r="K47" s="221"/>
      <c r="L47" s="217"/>
      <c r="M47" s="218"/>
      <c r="N47" s="161"/>
      <c r="O47" s="221"/>
      <c r="P47" s="217"/>
      <c r="Q47" s="218"/>
      <c r="R47" s="161"/>
      <c r="S47" s="221"/>
      <c r="T47" s="333">
        <f>+C47+G47+K47+O47+S47</f>
        <v>0</v>
      </c>
      <c r="U47" s="157"/>
      <c r="V47" s="157"/>
      <c r="W47" s="157"/>
      <c r="X47" s="157"/>
      <c r="Y47" s="157"/>
      <c r="Z47" s="157"/>
      <c r="AA47" s="157"/>
      <c r="AB47" s="163"/>
      <c r="AC47" s="203"/>
      <c r="AD47" s="203" t="s">
        <v>549</v>
      </c>
      <c r="AG47" s="157"/>
    </row>
    <row r="48" spans="1:33" s="189" customFormat="1" ht="15" customHeight="1" outlineLevel="1">
      <c r="A48" s="193" t="str">
        <f>'Program Budget'!D181</f>
        <v>Post (Hardship) Differential for Chief of Party</v>
      </c>
      <c r="B48" s="216" t="str">
        <f>'Program Budget'!F181</f>
        <v>%</v>
      </c>
      <c r="C48" s="198">
        <f>'Program Budget'!E235</f>
        <v>1060.53</v>
      </c>
      <c r="D48" s="344">
        <f>G8</f>
        <v>25650</v>
      </c>
      <c r="E48" s="159">
        <v>1</v>
      </c>
      <c r="F48" s="161">
        <f>'Program Budget'!G235</f>
        <v>0.15</v>
      </c>
      <c r="G48" s="198">
        <f>D48*E48*F48</f>
        <v>3847.5</v>
      </c>
      <c r="H48" s="344">
        <f>K8</f>
        <v>34114.5</v>
      </c>
      <c r="I48" s="159">
        <v>1</v>
      </c>
      <c r="J48" s="160">
        <f>F48</f>
        <v>0.15</v>
      </c>
      <c r="K48" s="198">
        <f>H48*I48*J48</f>
        <v>5117.1750000000002</v>
      </c>
      <c r="L48" s="344">
        <f>O8</f>
        <v>35820.224999999999</v>
      </c>
      <c r="M48" s="159">
        <v>1</v>
      </c>
      <c r="N48" s="161">
        <f>J48</f>
        <v>0.15</v>
      </c>
      <c r="O48" s="198">
        <f>L48*M48*N48</f>
        <v>5373.0337499999996</v>
      </c>
      <c r="P48" s="344">
        <f>S8</f>
        <v>0</v>
      </c>
      <c r="Q48" s="159">
        <v>1</v>
      </c>
      <c r="R48" s="161">
        <f>N48</f>
        <v>0.15</v>
      </c>
      <c r="S48" s="198">
        <f>P48*Q48*R48</f>
        <v>0</v>
      </c>
      <c r="T48" s="337">
        <f t="shared" ref="T48" si="33">C48+G48+K48+O48+S48</f>
        <v>15398.23875</v>
      </c>
      <c r="U48" s="157"/>
      <c r="V48" s="157"/>
      <c r="W48" s="157"/>
      <c r="X48" s="157"/>
      <c r="Y48" s="157"/>
      <c r="Z48" s="157"/>
      <c r="AA48" s="157"/>
      <c r="AB48" s="163"/>
      <c r="AC48" s="207"/>
      <c r="AD48" s="207"/>
      <c r="AG48" s="157"/>
    </row>
    <row r="49" spans="1:33" ht="15" customHeight="1" outlineLevel="1">
      <c r="A49" s="208" t="s">
        <v>520</v>
      </c>
      <c r="B49" s="209"/>
      <c r="C49" s="213">
        <f>SUM(C48:C48)</f>
        <v>1060.53</v>
      </c>
      <c r="D49" s="210"/>
      <c r="E49" s="211"/>
      <c r="F49" s="214"/>
      <c r="G49" s="213">
        <f>SUM(G48:G48)</f>
        <v>3847.5</v>
      </c>
      <c r="H49" s="210"/>
      <c r="I49" s="211"/>
      <c r="J49" s="212"/>
      <c r="K49" s="213">
        <f>SUM(K48:K48)</f>
        <v>5117.1750000000002</v>
      </c>
      <c r="L49" s="210"/>
      <c r="M49" s="211"/>
      <c r="N49" s="214"/>
      <c r="O49" s="213">
        <f>SUM(O48:O48)</f>
        <v>5373.0337499999996</v>
      </c>
      <c r="P49" s="210"/>
      <c r="Q49" s="211"/>
      <c r="R49" s="214"/>
      <c r="S49" s="213">
        <f>SUM(S48:S48)</f>
        <v>0</v>
      </c>
      <c r="T49" s="334">
        <f>C49+G49+K49+O49+S49</f>
        <v>15398.23875</v>
      </c>
      <c r="AB49" s="163"/>
      <c r="AC49" s="203"/>
      <c r="AD49" s="203"/>
    </row>
    <row r="50" spans="1:33" s="258" customFormat="1" ht="18.3" outlineLevel="1">
      <c r="A50" s="249" t="s">
        <v>521</v>
      </c>
      <c r="B50" s="250"/>
      <c r="C50" s="254">
        <f>C49+C46</f>
        <v>53268.52</v>
      </c>
      <c r="D50" s="251"/>
      <c r="E50" s="252"/>
      <c r="F50" s="255"/>
      <c r="G50" s="254">
        <f>G49+G46</f>
        <v>70194.521419199998</v>
      </c>
      <c r="H50" s="251"/>
      <c r="I50" s="252"/>
      <c r="J50" s="253"/>
      <c r="K50" s="254">
        <f>K49+K46</f>
        <v>99488.155870319999</v>
      </c>
      <c r="L50" s="251"/>
      <c r="M50" s="252"/>
      <c r="N50" s="255"/>
      <c r="O50" s="254">
        <f>O49+O46</f>
        <v>104462.56366383599</v>
      </c>
      <c r="P50" s="251"/>
      <c r="Q50" s="252"/>
      <c r="R50" s="255"/>
      <c r="S50" s="254">
        <f>S49+S46</f>
        <v>21941.099173526403</v>
      </c>
      <c r="T50" s="233">
        <f>+C50+G50+K50+O50+S50</f>
        <v>349354.86012688238</v>
      </c>
      <c r="U50" s="235"/>
      <c r="V50" s="235"/>
      <c r="W50" s="235"/>
      <c r="X50" s="235"/>
      <c r="Y50" s="235"/>
      <c r="Z50" s="235"/>
      <c r="AA50" s="235"/>
      <c r="AB50" s="234">
        <v>287</v>
      </c>
      <c r="AC50" s="256" t="s">
        <v>558</v>
      </c>
      <c r="AD50" s="256" t="s">
        <v>559</v>
      </c>
      <c r="AE50" s="257"/>
      <c r="AG50" s="235"/>
    </row>
    <row r="51" spans="1:33" s="260" customFormat="1" ht="15.6" outlineLevel="1">
      <c r="A51" s="190" t="s">
        <v>523</v>
      </c>
      <c r="B51" s="191"/>
      <c r="C51" s="198"/>
      <c r="D51" s="158"/>
      <c r="E51" s="159"/>
      <c r="F51" s="185"/>
      <c r="G51" s="198"/>
      <c r="H51" s="158"/>
      <c r="I51" s="159"/>
      <c r="J51" s="183"/>
      <c r="K51" s="198"/>
      <c r="L51" s="158"/>
      <c r="M51" s="159"/>
      <c r="N51" s="185"/>
      <c r="O51" s="198"/>
      <c r="P51" s="158"/>
      <c r="Q51" s="159"/>
      <c r="R51" s="185"/>
      <c r="S51" s="198"/>
      <c r="T51" s="333"/>
      <c r="U51" s="157"/>
      <c r="V51" s="157"/>
      <c r="W51" s="157"/>
      <c r="X51" s="157"/>
      <c r="Y51" s="157"/>
      <c r="Z51" s="157"/>
      <c r="AA51" s="157"/>
      <c r="AB51" s="163"/>
      <c r="AC51" s="203"/>
      <c r="AD51" s="203"/>
      <c r="AE51" s="259"/>
      <c r="AG51" s="157"/>
    </row>
    <row r="52" spans="1:33" ht="15" customHeight="1" outlineLevel="1">
      <c r="A52" s="193" t="str">
        <f>'Program Budget'!D249</f>
        <v>Local Transportation – Training &amp; Data Collection</v>
      </c>
      <c r="B52" s="194" t="str">
        <f>'Program Budget'!F249</f>
        <v>Trip</v>
      </c>
      <c r="C52" s="198">
        <f>'Program Budget'!E249</f>
        <v>6403.93</v>
      </c>
      <c r="D52" s="195">
        <f>'Program Budget'!G249</f>
        <v>300</v>
      </c>
      <c r="E52" s="196">
        <f>'Program Budget'!I249</f>
        <v>12</v>
      </c>
      <c r="F52" s="197">
        <v>1</v>
      </c>
      <c r="G52" s="198">
        <f>D52*E52*F52</f>
        <v>3600</v>
      </c>
      <c r="H52" s="195">
        <f t="shared" ref="H52" si="34">D52*1.04</f>
        <v>312</v>
      </c>
      <c r="I52" s="196">
        <f>'Program Budget'!L249</f>
        <v>12</v>
      </c>
      <c r="J52" s="197">
        <v>1</v>
      </c>
      <c r="K52" s="198">
        <f>H52*I52*J52</f>
        <v>3744</v>
      </c>
      <c r="L52" s="195">
        <f t="shared" ref="L52" si="35">H52*1.04</f>
        <v>324.48</v>
      </c>
      <c r="M52" s="196">
        <f>'Program Budget'!O249</f>
        <v>12</v>
      </c>
      <c r="N52" s="197">
        <v>1</v>
      </c>
      <c r="O52" s="198">
        <f>L52*M52*N52</f>
        <v>3893.76</v>
      </c>
      <c r="P52" s="195">
        <f t="shared" ref="P52" si="36">L52*1.04</f>
        <v>337.45920000000001</v>
      </c>
      <c r="Q52" s="196">
        <f>'Program Budget'!R249</f>
        <v>3</v>
      </c>
      <c r="R52" s="197">
        <v>1</v>
      </c>
      <c r="S52" s="198">
        <f>P52*Q52*R52</f>
        <v>1012.3776</v>
      </c>
      <c r="T52" s="333">
        <f>C52+G52+K52+O52+S52</f>
        <v>18654.067600000002</v>
      </c>
      <c r="U52" s="201"/>
      <c r="V52" s="188"/>
      <c r="W52" s="202"/>
      <c r="X52" s="202"/>
      <c r="AB52" s="163">
        <v>180</v>
      </c>
      <c r="AC52" s="203" t="s">
        <v>547</v>
      </c>
      <c r="AD52" s="203" t="s">
        <v>548</v>
      </c>
      <c r="AE52" s="204"/>
      <c r="AG52" s="205"/>
    </row>
    <row r="53" spans="1:33" ht="15" customHeight="1" outlineLevel="1">
      <c r="A53" s="193" t="str">
        <f>'Program Budget'!D251</f>
        <v>Transport Stipend for Fedecafe Extension Agents for Boot Camp</v>
      </c>
      <c r="B53" s="194" t="str">
        <f>'Program Budget'!F251</f>
        <v>Participant</v>
      </c>
      <c r="C53" s="198">
        <f>'Program Budget'!E251</f>
        <v>0</v>
      </c>
      <c r="D53" s="195">
        <f>'Program Budget'!G251</f>
        <v>250</v>
      </c>
      <c r="E53" s="196">
        <f>'Program Budget'!I251</f>
        <v>0</v>
      </c>
      <c r="F53" s="197">
        <v>1</v>
      </c>
      <c r="G53" s="198">
        <f t="shared" ref="G53" si="37">D53*E53*F53</f>
        <v>0</v>
      </c>
      <c r="H53" s="195">
        <f t="shared" ref="H53" si="38">D53*1.04</f>
        <v>260</v>
      </c>
      <c r="I53" s="196">
        <f>'Program Budget'!L251</f>
        <v>0</v>
      </c>
      <c r="J53" s="197">
        <v>1</v>
      </c>
      <c r="K53" s="198">
        <f t="shared" ref="K53" si="39">H53*I53*J53</f>
        <v>0</v>
      </c>
      <c r="L53" s="195">
        <f t="shared" ref="L53" si="40">H53*1.04</f>
        <v>270.40000000000003</v>
      </c>
      <c r="M53" s="196">
        <f>'Program Budget'!O251</f>
        <v>0</v>
      </c>
      <c r="N53" s="197">
        <v>1</v>
      </c>
      <c r="O53" s="198">
        <f t="shared" ref="O53" si="41">L53*M53*N53</f>
        <v>0</v>
      </c>
      <c r="P53" s="195">
        <f t="shared" ref="P53" si="42">L53*1.04</f>
        <v>281.21600000000007</v>
      </c>
      <c r="Q53" s="196">
        <f>'Program Budget'!R251</f>
        <v>0</v>
      </c>
      <c r="R53" s="197">
        <v>1</v>
      </c>
      <c r="S53" s="198">
        <f t="shared" ref="S53" si="43">P53*Q53*R53</f>
        <v>0</v>
      </c>
      <c r="T53" s="333">
        <f t="shared" ref="T53" si="44">C53+G53+K53+O53+S53</f>
        <v>0</v>
      </c>
      <c r="U53" s="201"/>
      <c r="V53" s="188"/>
      <c r="W53" s="202"/>
      <c r="X53" s="202"/>
      <c r="AB53" s="163">
        <v>180</v>
      </c>
      <c r="AC53" s="203" t="s">
        <v>547</v>
      </c>
      <c r="AD53" s="203" t="s">
        <v>548</v>
      </c>
      <c r="AE53" s="204"/>
      <c r="AG53" s="205"/>
    </row>
    <row r="54" spans="1:33" s="260" customFormat="1" ht="15.6" outlineLevel="1">
      <c r="A54" s="190" t="s">
        <v>524</v>
      </c>
      <c r="B54" s="216"/>
      <c r="C54" s="198"/>
      <c r="D54" s="158"/>
      <c r="E54" s="159"/>
      <c r="F54" s="161"/>
      <c r="G54" s="198"/>
      <c r="H54" s="158"/>
      <c r="I54" s="159"/>
      <c r="J54" s="160"/>
      <c r="K54" s="198"/>
      <c r="L54" s="158"/>
      <c r="M54" s="159"/>
      <c r="N54" s="161"/>
      <c r="O54" s="198"/>
      <c r="P54" s="158"/>
      <c r="Q54" s="159"/>
      <c r="R54" s="161"/>
      <c r="S54" s="198"/>
      <c r="T54" s="333"/>
      <c r="U54" s="157"/>
      <c r="V54" s="157"/>
      <c r="W54" s="157"/>
      <c r="X54" s="157"/>
      <c r="Y54" s="157"/>
      <c r="Z54" s="157"/>
      <c r="AA54" s="157"/>
      <c r="AB54" s="163"/>
      <c r="AC54" s="203"/>
      <c r="AD54" s="203"/>
      <c r="AE54" s="259"/>
      <c r="AG54" s="157"/>
    </row>
    <row r="55" spans="1:33" outlineLevel="1">
      <c r="A55" s="193" t="s">
        <v>458</v>
      </c>
      <c r="B55" s="216"/>
      <c r="C55" s="198">
        <v>0</v>
      </c>
      <c r="E55" s="274"/>
      <c r="F55" s="160"/>
      <c r="G55" s="198">
        <f t="shared" ref="G55" si="45">D55*E55*F55</f>
        <v>0</v>
      </c>
      <c r="I55" s="274"/>
      <c r="K55" s="198">
        <f t="shared" ref="K55" si="46">H55*I55*J55</f>
        <v>0</v>
      </c>
      <c r="M55" s="274"/>
      <c r="N55" s="160"/>
      <c r="O55" s="198">
        <f t="shared" ref="O55" si="47">L55*M55*N55</f>
        <v>0</v>
      </c>
      <c r="Q55" s="274"/>
      <c r="R55" s="160"/>
      <c r="S55" s="198">
        <f t="shared" ref="S55" si="48">P55*Q55*R55</f>
        <v>0</v>
      </c>
      <c r="T55" s="200">
        <f t="shared" ref="T55" si="49">C55+G55+K55+O55+S55</f>
        <v>0</v>
      </c>
      <c r="AB55" s="163">
        <v>298</v>
      </c>
      <c r="AC55" s="203" t="s">
        <v>577</v>
      </c>
      <c r="AD55" s="203" t="s">
        <v>578</v>
      </c>
    </row>
    <row r="56" spans="1:33" s="260" customFormat="1" ht="15.6" outlineLevel="1">
      <c r="A56" s="190" t="s">
        <v>525</v>
      </c>
      <c r="B56" s="216"/>
      <c r="C56" s="198"/>
      <c r="D56" s="158"/>
      <c r="E56" s="159"/>
      <c r="F56" s="161"/>
      <c r="G56" s="198"/>
      <c r="H56" s="158"/>
      <c r="I56" s="159"/>
      <c r="J56" s="160"/>
      <c r="K56" s="198"/>
      <c r="L56" s="158"/>
      <c r="M56" s="159"/>
      <c r="N56" s="161"/>
      <c r="O56" s="198"/>
      <c r="P56" s="158"/>
      <c r="Q56" s="159"/>
      <c r="R56" s="161"/>
      <c r="S56" s="198"/>
      <c r="T56" s="333"/>
      <c r="U56" s="157"/>
      <c r="V56" s="157"/>
      <c r="W56" s="157"/>
      <c r="X56" s="157"/>
      <c r="Y56" s="157"/>
      <c r="Z56" s="157"/>
      <c r="AA56" s="157"/>
      <c r="AB56" s="163"/>
      <c r="AC56" s="203"/>
      <c r="AD56" s="203"/>
      <c r="AE56" s="259"/>
      <c r="AG56" s="157"/>
    </row>
    <row r="57" spans="1:33" ht="15" customHeight="1" outlineLevel="1">
      <c r="A57" s="193" t="str">
        <f>'Program Budget'!D250</f>
        <v>Lodging and M&amp;IE - Training, &amp; Data Collection</v>
      </c>
      <c r="B57" s="194" t="str">
        <f>'Program Budget'!F250</f>
        <v>Day</v>
      </c>
      <c r="C57" s="198">
        <f>'Program Budget'!E250</f>
        <v>3539.65</v>
      </c>
      <c r="D57" s="195">
        <f>'Program Budget'!G250</f>
        <v>157</v>
      </c>
      <c r="E57" s="196">
        <f>'Program Budget'!I250</f>
        <v>36</v>
      </c>
      <c r="F57" s="197">
        <v>1</v>
      </c>
      <c r="G57" s="198">
        <f>D57*E57*F57</f>
        <v>5652</v>
      </c>
      <c r="H57" s="195">
        <f t="shared" ref="H57" si="50">D57*1.04</f>
        <v>163.28</v>
      </c>
      <c r="I57" s="196">
        <f>'Program Budget'!L250</f>
        <v>36</v>
      </c>
      <c r="J57" s="197">
        <v>1</v>
      </c>
      <c r="K57" s="198">
        <f>H57*I57*J57</f>
        <v>5878.08</v>
      </c>
      <c r="L57" s="195">
        <f t="shared" ref="L57" si="51">H57*1.04</f>
        <v>169.81120000000001</v>
      </c>
      <c r="M57" s="196">
        <f>'Program Budget'!O250</f>
        <v>36</v>
      </c>
      <c r="N57" s="197">
        <v>1</v>
      </c>
      <c r="O57" s="198">
        <f>L57*M57*N57</f>
        <v>6113.2032000000008</v>
      </c>
      <c r="P57" s="195">
        <f t="shared" ref="P57" si="52">L57*1.04</f>
        <v>176.60364800000002</v>
      </c>
      <c r="Q57" s="196">
        <f>'Program Budget'!R250</f>
        <v>9</v>
      </c>
      <c r="R57" s="197">
        <v>1</v>
      </c>
      <c r="S57" s="198">
        <f>P57*Q57*R57</f>
        <v>1589.4328320000002</v>
      </c>
      <c r="T57" s="333">
        <f>C57+G57+K57+O57+S57</f>
        <v>22772.366031999998</v>
      </c>
      <c r="U57" s="201"/>
      <c r="V57" s="188"/>
      <c r="W57" s="202"/>
      <c r="X57" s="202"/>
      <c r="AB57" s="163">
        <v>180</v>
      </c>
      <c r="AC57" s="203" t="s">
        <v>547</v>
      </c>
      <c r="AD57" s="203" t="s">
        <v>548</v>
      </c>
      <c r="AE57" s="204"/>
      <c r="AG57" s="205"/>
    </row>
    <row r="58" spans="1:33" outlineLevel="1">
      <c r="A58" s="325"/>
      <c r="B58" s="216"/>
      <c r="C58" s="198"/>
      <c r="G58" s="198"/>
      <c r="K58" s="198"/>
      <c r="O58" s="198"/>
      <c r="S58" s="198"/>
      <c r="T58" s="200"/>
      <c r="AB58" s="163"/>
      <c r="AC58" s="203"/>
      <c r="AD58" s="203"/>
    </row>
    <row r="59" spans="1:33" ht="18.3">
      <c r="A59" s="261" t="s">
        <v>526</v>
      </c>
      <c r="B59" s="227"/>
      <c r="C59" s="231">
        <f>SUM(C51:C58)</f>
        <v>9943.58</v>
      </c>
      <c r="D59" s="228"/>
      <c r="E59" s="262"/>
      <c r="F59" s="232"/>
      <c r="G59" s="231">
        <f>SUM(G51:G58)</f>
        <v>9252</v>
      </c>
      <c r="H59" s="228"/>
      <c r="I59" s="262"/>
      <c r="J59" s="263"/>
      <c r="K59" s="231">
        <f>SUM(K51:K58)</f>
        <v>9622.08</v>
      </c>
      <c r="L59" s="228"/>
      <c r="M59" s="262"/>
      <c r="N59" s="232"/>
      <c r="O59" s="231">
        <f>SUM(O51:O58)</f>
        <v>10006.963200000002</v>
      </c>
      <c r="P59" s="228"/>
      <c r="Q59" s="262"/>
      <c r="R59" s="232"/>
      <c r="S59" s="231">
        <f>SUM(S51:S58)</f>
        <v>2601.8104320000002</v>
      </c>
      <c r="T59" s="233">
        <f>+C59+G59+K59+O59+S59</f>
        <v>41426.433632</v>
      </c>
      <c r="U59" s="163"/>
      <c r="V59" s="163"/>
      <c r="W59" s="163"/>
      <c r="X59" s="163"/>
      <c r="Y59" s="163"/>
      <c r="AB59" s="163"/>
      <c r="AC59" s="189"/>
      <c r="AD59" s="189" t="s">
        <v>549</v>
      </c>
      <c r="AE59" s="189"/>
    </row>
    <row r="60" spans="1:33" ht="15.6" outlineLevel="1">
      <c r="A60" s="190" t="s">
        <v>55</v>
      </c>
      <c r="B60" s="264"/>
      <c r="C60" s="248"/>
      <c r="E60" s="265"/>
      <c r="F60" s="267"/>
      <c r="G60" s="221"/>
      <c r="I60" s="265"/>
      <c r="J60" s="266"/>
      <c r="K60" s="221"/>
      <c r="M60" s="265"/>
      <c r="N60" s="267"/>
      <c r="O60" s="221"/>
      <c r="Q60" s="265"/>
      <c r="R60" s="267"/>
      <c r="S60" s="221"/>
      <c r="T60" s="200"/>
      <c r="AB60" s="163"/>
      <c r="AC60" s="203"/>
      <c r="AD60" s="268"/>
    </row>
    <row r="61" spans="1:33" ht="15.6" outlineLevel="1">
      <c r="A61" s="269" t="str">
        <f>'Program Budget'!D240</f>
        <v>Subrecipient: Training for Producer Organizations - Fundación Julio y Astrida Carrizosa ONG (IC Fundación)</v>
      </c>
      <c r="B61" s="194" t="str">
        <f>'Program Budget'!F240</f>
        <v>Subrecipient</v>
      </c>
      <c r="C61" s="198">
        <f>'Program Budget'!E240</f>
        <v>358416.28</v>
      </c>
      <c r="D61" s="195">
        <f>'Program Budget'!J240</f>
        <v>440999.99996253912</v>
      </c>
      <c r="E61" s="196">
        <f>'Program Budget'!I240</f>
        <v>1</v>
      </c>
      <c r="F61" s="197">
        <v>1</v>
      </c>
      <c r="G61" s="198">
        <f>D61*E61*F61</f>
        <v>440999.99996253912</v>
      </c>
      <c r="H61" s="195">
        <f>'Sub Budget Fundacion IC'!K111</f>
        <v>203176.62132515997</v>
      </c>
      <c r="I61" s="196">
        <f>'Program Budget'!L240</f>
        <v>1</v>
      </c>
      <c r="J61" s="197">
        <v>1</v>
      </c>
      <c r="K61" s="198">
        <f>H61*I61*J61</f>
        <v>203176.62132515997</v>
      </c>
      <c r="L61" s="195">
        <f>'Sub Budget Fundacion IC'!O111</f>
        <v>0</v>
      </c>
      <c r="M61" s="196">
        <f>'Program Budget'!O240</f>
        <v>1</v>
      </c>
      <c r="N61" s="197">
        <v>1</v>
      </c>
      <c r="O61" s="198">
        <f>L61*M61*N61</f>
        <v>0</v>
      </c>
      <c r="P61" s="195">
        <f>'Sub Budget Fundacion IC'!S111</f>
        <v>0</v>
      </c>
      <c r="Q61" s="196">
        <f>'Program Budget'!R240</f>
        <v>0</v>
      </c>
      <c r="R61" s="197">
        <v>0</v>
      </c>
      <c r="S61" s="198">
        <f>P61*Q61*R61</f>
        <v>0</v>
      </c>
      <c r="T61" s="333">
        <f>C61+G61+K61+O61+S61</f>
        <v>1002592.9012876991</v>
      </c>
      <c r="AB61" s="163"/>
      <c r="AC61" s="203"/>
      <c r="AD61" s="268"/>
    </row>
    <row r="62" spans="1:33" ht="15.6" outlineLevel="1">
      <c r="A62" s="269" t="str">
        <f>'Program Budget'!D241</f>
        <v>Business Plan Advisory Services for Agribusiness Entrepreneurship Grants</v>
      </c>
      <c r="B62" s="194" t="str">
        <f>'Program Budget'!F241</f>
        <v>Contract</v>
      </c>
      <c r="C62" s="198">
        <f>'Program Budget'!E241</f>
        <v>0</v>
      </c>
      <c r="D62" s="195">
        <f>'Program Budget'!G241</f>
        <v>0</v>
      </c>
      <c r="E62" s="196">
        <f>'Program Budget'!I241</f>
        <v>0</v>
      </c>
      <c r="F62" s="197">
        <v>0</v>
      </c>
      <c r="G62" s="198">
        <f t="shared" ref="G62" si="53">D62*E62*F62</f>
        <v>0</v>
      </c>
      <c r="H62" s="195">
        <f t="shared" ref="H62" si="54">D62</f>
        <v>0</v>
      </c>
      <c r="I62" s="196">
        <f>'Program Budget'!L241</f>
        <v>1</v>
      </c>
      <c r="J62" s="197">
        <v>1</v>
      </c>
      <c r="K62" s="198">
        <f t="shared" ref="K62" si="55">H62*I62*J62</f>
        <v>0</v>
      </c>
      <c r="L62" s="195">
        <f t="shared" ref="L62" si="56">H62</f>
        <v>0</v>
      </c>
      <c r="M62" s="196">
        <f>'Program Budget'!O241</f>
        <v>1</v>
      </c>
      <c r="N62" s="197">
        <v>1</v>
      </c>
      <c r="O62" s="198">
        <f t="shared" ref="O62" si="57">L62*M62*N62</f>
        <v>0</v>
      </c>
      <c r="P62" s="195">
        <f t="shared" ref="P62" si="58">L62</f>
        <v>0</v>
      </c>
      <c r="Q62" s="196">
        <f>'Program Budget'!R241</f>
        <v>0</v>
      </c>
      <c r="R62" s="197">
        <v>0</v>
      </c>
      <c r="S62" s="198">
        <f t="shared" ref="S62" si="59">P62*Q62*R62</f>
        <v>0</v>
      </c>
      <c r="T62" s="333">
        <f t="shared" ref="T62" si="60">C62+G62+K62+O62+S62</f>
        <v>0</v>
      </c>
      <c r="AB62" s="163"/>
      <c r="AC62" s="203"/>
      <c r="AD62" s="268"/>
    </row>
    <row r="63" spans="1:33" ht="15.6" outlineLevel="1">
      <c r="A63" s="269"/>
      <c r="B63" s="194"/>
      <c r="C63" s="198"/>
      <c r="D63" s="195"/>
      <c r="E63" s="196"/>
      <c r="F63" s="197"/>
      <c r="G63" s="198"/>
      <c r="H63" s="195"/>
      <c r="I63" s="196"/>
      <c r="J63" s="197"/>
      <c r="K63" s="198"/>
      <c r="L63" s="195"/>
      <c r="M63" s="196"/>
      <c r="N63" s="197"/>
      <c r="O63" s="198"/>
      <c r="P63" s="195"/>
      <c r="Q63" s="196"/>
      <c r="R63" s="197"/>
      <c r="S63" s="198"/>
      <c r="T63" s="333"/>
      <c r="AB63" s="163"/>
      <c r="AC63" s="203"/>
      <c r="AD63" s="268"/>
    </row>
    <row r="64" spans="1:33" ht="18.3" outlineLevel="1">
      <c r="A64" s="261" t="s">
        <v>527</v>
      </c>
      <c r="B64" s="227"/>
      <c r="C64" s="231">
        <f>SUM(C61:C63)</f>
        <v>358416.28</v>
      </c>
      <c r="D64" s="228"/>
      <c r="E64" s="262"/>
      <c r="F64" s="232"/>
      <c r="G64" s="231">
        <f>SUM(G61:G63)</f>
        <v>440999.99996253912</v>
      </c>
      <c r="H64" s="228"/>
      <c r="I64" s="262"/>
      <c r="J64" s="263"/>
      <c r="K64" s="231">
        <f>SUM(K61:K63)</f>
        <v>203176.62132515997</v>
      </c>
      <c r="L64" s="228"/>
      <c r="M64" s="262"/>
      <c r="N64" s="232"/>
      <c r="O64" s="231">
        <f>SUM(O61:O63)</f>
        <v>0</v>
      </c>
      <c r="P64" s="228"/>
      <c r="Q64" s="262"/>
      <c r="R64" s="232"/>
      <c r="S64" s="231">
        <f>SUM(S61:S63)</f>
        <v>0</v>
      </c>
      <c r="T64" s="231">
        <f>SUM(T61:T63)</f>
        <v>1002592.9012876991</v>
      </c>
      <c r="AB64" s="163"/>
      <c r="AC64" s="203"/>
      <c r="AD64" s="268"/>
    </row>
    <row r="65" spans="1:30" ht="15.6" outlineLevel="1">
      <c r="A65" s="190" t="s">
        <v>528</v>
      </c>
      <c r="B65" s="273"/>
      <c r="C65" s="198"/>
      <c r="E65" s="265"/>
      <c r="G65" s="200"/>
      <c r="I65" s="265"/>
      <c r="K65" s="200"/>
      <c r="M65" s="265"/>
      <c r="O65" s="200"/>
      <c r="Q65" s="265"/>
      <c r="S65" s="200"/>
      <c r="T65" s="200"/>
      <c r="AB65" s="163"/>
    </row>
    <row r="66" spans="1:30" outlineLevel="1">
      <c r="A66" s="193" t="s">
        <v>458</v>
      </c>
      <c r="B66" s="216"/>
      <c r="C66" s="198">
        <v>0</v>
      </c>
      <c r="E66" s="274"/>
      <c r="F66" s="160"/>
      <c r="G66" s="198">
        <f t="shared" ref="G66" si="61">D66*E66*F66</f>
        <v>0</v>
      </c>
      <c r="I66" s="274"/>
      <c r="K66" s="198">
        <f t="shared" ref="K66" si="62">H66*I66*J66</f>
        <v>0</v>
      </c>
      <c r="M66" s="274"/>
      <c r="N66" s="160"/>
      <c r="O66" s="198">
        <f t="shared" ref="O66" si="63">L66*M66*N66</f>
        <v>0</v>
      </c>
      <c r="Q66" s="274"/>
      <c r="R66" s="160"/>
      <c r="S66" s="198">
        <f t="shared" ref="S66" si="64">P66*Q66*R66</f>
        <v>0</v>
      </c>
      <c r="T66" s="200">
        <f t="shared" ref="T66" si="65">C66+G66+K66+O66+S66</f>
        <v>0</v>
      </c>
      <c r="AB66" s="163">
        <v>298</v>
      </c>
      <c r="AC66" s="203" t="s">
        <v>577</v>
      </c>
      <c r="AD66" s="203" t="s">
        <v>578</v>
      </c>
    </row>
    <row r="67" spans="1:30" ht="18.3" outlineLevel="1">
      <c r="A67" s="261" t="s">
        <v>529</v>
      </c>
      <c r="B67" s="227"/>
      <c r="C67" s="231">
        <f>SUM(C66:C66)</f>
        <v>0</v>
      </c>
      <c r="D67" s="228"/>
      <c r="E67" s="262"/>
      <c r="F67" s="232"/>
      <c r="G67" s="231">
        <f>SUM(G66:G66)</f>
        <v>0</v>
      </c>
      <c r="H67" s="228"/>
      <c r="I67" s="262"/>
      <c r="J67" s="263"/>
      <c r="K67" s="231">
        <f>SUM(K66:K66)</f>
        <v>0</v>
      </c>
      <c r="L67" s="228"/>
      <c r="M67" s="262"/>
      <c r="N67" s="232"/>
      <c r="O67" s="231">
        <f>SUM(O66:O66)</f>
        <v>0</v>
      </c>
      <c r="P67" s="228"/>
      <c r="Q67" s="262"/>
      <c r="R67" s="232"/>
      <c r="S67" s="231">
        <f>SUM(S66:S66)</f>
        <v>0</v>
      </c>
      <c r="T67" s="233">
        <f>+C67+G67+K67+O67+S67</f>
        <v>0</v>
      </c>
      <c r="AB67" s="163"/>
      <c r="AC67" s="203"/>
      <c r="AD67" s="268"/>
    </row>
    <row r="68" spans="1:30" ht="15.6" outlineLevel="1">
      <c r="A68" s="190" t="s">
        <v>33</v>
      </c>
      <c r="B68" s="216"/>
      <c r="C68" s="198"/>
      <c r="E68" s="265"/>
      <c r="F68" s="160"/>
      <c r="G68" s="198"/>
      <c r="I68" s="265"/>
      <c r="K68" s="198"/>
      <c r="M68" s="265"/>
      <c r="N68" s="160"/>
      <c r="O68" s="198"/>
      <c r="Q68" s="265"/>
      <c r="R68" s="160"/>
      <c r="S68" s="198"/>
      <c r="T68" s="200"/>
      <c r="AB68" s="163"/>
      <c r="AC68" s="203"/>
      <c r="AD68" s="203"/>
    </row>
    <row r="69" spans="1:30" outlineLevel="1">
      <c r="A69" s="193" t="s">
        <v>458</v>
      </c>
      <c r="B69" s="216"/>
      <c r="C69" s="198">
        <v>0</v>
      </c>
      <c r="E69" s="274"/>
      <c r="F69" s="160"/>
      <c r="G69" s="198">
        <f t="shared" ref="G69" si="66">D69*E69*F69</f>
        <v>0</v>
      </c>
      <c r="I69" s="274"/>
      <c r="K69" s="198">
        <f t="shared" ref="K69" si="67">H69*I69*J69</f>
        <v>0</v>
      </c>
      <c r="M69" s="274"/>
      <c r="N69" s="160"/>
      <c r="O69" s="198">
        <f t="shared" ref="O69" si="68">L69*M69*N69</f>
        <v>0</v>
      </c>
      <c r="Q69" s="274"/>
      <c r="R69" s="160"/>
      <c r="S69" s="198">
        <f t="shared" ref="S69" si="69">P69*Q69*R69</f>
        <v>0</v>
      </c>
      <c r="T69" s="275">
        <f>C69+G69+K69+O69+S69</f>
        <v>0</v>
      </c>
      <c r="AB69" s="163">
        <v>298</v>
      </c>
      <c r="AC69" s="203" t="s">
        <v>577</v>
      </c>
      <c r="AD69" s="203" t="s">
        <v>578</v>
      </c>
    </row>
    <row r="70" spans="1:30" ht="18.3" outlineLevel="1">
      <c r="A70" s="261" t="s">
        <v>530</v>
      </c>
      <c r="B70" s="227"/>
      <c r="C70" s="231">
        <f>SUM(C66:C66)</f>
        <v>0</v>
      </c>
      <c r="D70" s="228"/>
      <c r="E70" s="262"/>
      <c r="F70" s="232"/>
      <c r="G70" s="231">
        <f>SUM(G66:G66)</f>
        <v>0</v>
      </c>
      <c r="H70" s="228"/>
      <c r="I70" s="262"/>
      <c r="J70" s="263"/>
      <c r="K70" s="231">
        <f>SUM(K66:K66)</f>
        <v>0</v>
      </c>
      <c r="L70" s="228"/>
      <c r="M70" s="262"/>
      <c r="N70" s="232"/>
      <c r="O70" s="231">
        <f>SUM(O66:O66)</f>
        <v>0</v>
      </c>
      <c r="P70" s="228"/>
      <c r="Q70" s="262"/>
      <c r="R70" s="232"/>
      <c r="S70" s="231">
        <f>SUM(S66:S66)</f>
        <v>0</v>
      </c>
      <c r="T70" s="233">
        <f>+C70+G70+K70+O70+S70</f>
        <v>0</v>
      </c>
      <c r="AB70" s="163">
        <v>236</v>
      </c>
      <c r="AC70" s="203" t="s">
        <v>566</v>
      </c>
      <c r="AD70" s="268" t="s">
        <v>567</v>
      </c>
    </row>
    <row r="71" spans="1:30" ht="15.6" outlineLevel="1">
      <c r="A71" s="190" t="s">
        <v>34</v>
      </c>
      <c r="B71" s="264"/>
      <c r="C71" s="248"/>
      <c r="E71" s="265"/>
      <c r="F71" s="267"/>
      <c r="G71" s="221"/>
      <c r="I71" s="265"/>
      <c r="J71" s="266"/>
      <c r="K71" s="221"/>
      <c r="M71" s="265"/>
      <c r="N71" s="267"/>
      <c r="O71" s="221"/>
      <c r="Q71" s="265"/>
      <c r="R71" s="267"/>
      <c r="S71" s="221"/>
      <c r="T71" s="200"/>
      <c r="AB71" s="163">
        <v>236</v>
      </c>
      <c r="AC71" s="203" t="s">
        <v>566</v>
      </c>
      <c r="AD71" s="268" t="s">
        <v>567</v>
      </c>
    </row>
    <row r="72" spans="1:30" ht="15.6" outlineLevel="1">
      <c r="A72" s="269" t="str">
        <f>'Program Budget'!D245</f>
        <v>Cacao Plants and Seedlings for Producer Organizations</v>
      </c>
      <c r="B72" s="194" t="str">
        <f>'Program Budget'!F245</f>
        <v>Unit</v>
      </c>
      <c r="C72" s="198">
        <f>'Program Budget'!E245</f>
        <v>0</v>
      </c>
      <c r="D72" s="195">
        <f>'Program Budget'!G245</f>
        <v>51250</v>
      </c>
      <c r="E72" s="196">
        <f>'Program Budget'!I245</f>
        <v>0</v>
      </c>
      <c r="F72" s="197">
        <v>0</v>
      </c>
      <c r="G72" s="198">
        <f t="shared" ref="G72" si="70">D72*E72*F72</f>
        <v>0</v>
      </c>
      <c r="H72" s="195">
        <f t="shared" ref="H72" si="71">D72</f>
        <v>51250</v>
      </c>
      <c r="I72" s="196">
        <f>'Program Budget'!L245</f>
        <v>0</v>
      </c>
      <c r="J72" s="197">
        <v>1</v>
      </c>
      <c r="K72" s="198">
        <f t="shared" ref="K72" si="72">H72*I72*J72</f>
        <v>0</v>
      </c>
      <c r="L72" s="195">
        <f t="shared" ref="L72" si="73">H72</f>
        <v>51250</v>
      </c>
      <c r="M72" s="196">
        <f>'Program Budget'!O245</f>
        <v>0</v>
      </c>
      <c r="N72" s="197">
        <v>1</v>
      </c>
      <c r="O72" s="198">
        <f t="shared" ref="O72" si="74">L72*M72*N72</f>
        <v>0</v>
      </c>
      <c r="P72" s="195">
        <f t="shared" ref="P72" si="75">L72</f>
        <v>51250</v>
      </c>
      <c r="Q72" s="196">
        <f>'Program Budget'!R245</f>
        <v>0</v>
      </c>
      <c r="R72" s="197">
        <v>0</v>
      </c>
      <c r="S72" s="198">
        <f>P72*Q72*R72</f>
        <v>0</v>
      </c>
      <c r="T72" s="333">
        <f t="shared" ref="T72" si="76">C72+G72+K72+O72+S72</f>
        <v>0</v>
      </c>
      <c r="AB72" s="163"/>
      <c r="AC72" s="203"/>
      <c r="AD72" s="268"/>
    </row>
    <row r="73" spans="1:30" outlineLevel="1">
      <c r="A73" s="193"/>
      <c r="B73" s="216"/>
      <c r="C73" s="198"/>
      <c r="E73" s="274"/>
      <c r="F73" s="160"/>
      <c r="G73" s="198"/>
      <c r="I73" s="274"/>
      <c r="K73" s="198"/>
      <c r="M73" s="274"/>
      <c r="N73" s="160"/>
      <c r="O73" s="198"/>
      <c r="Q73" s="274"/>
      <c r="R73" s="160"/>
      <c r="S73" s="198"/>
      <c r="T73" s="200"/>
      <c r="AB73" s="163"/>
      <c r="AC73" s="203"/>
      <c r="AD73" s="203"/>
    </row>
    <row r="74" spans="1:30" ht="18.3" outlineLevel="1">
      <c r="A74" s="261" t="s">
        <v>531</v>
      </c>
      <c r="B74" s="227"/>
      <c r="C74" s="231">
        <f>SUM(C72:C73)</f>
        <v>0</v>
      </c>
      <c r="D74" s="228"/>
      <c r="E74" s="262"/>
      <c r="F74" s="232"/>
      <c r="G74" s="231">
        <f>SUM(G72:G73)</f>
        <v>0</v>
      </c>
      <c r="H74" s="228"/>
      <c r="I74" s="262"/>
      <c r="J74" s="263"/>
      <c r="K74" s="231">
        <f>SUM(K72:K73)</f>
        <v>0</v>
      </c>
      <c r="L74" s="228"/>
      <c r="M74" s="262"/>
      <c r="N74" s="232"/>
      <c r="O74" s="231">
        <f>SUM(O72:O73)</f>
        <v>0</v>
      </c>
      <c r="P74" s="228"/>
      <c r="Q74" s="262"/>
      <c r="R74" s="232"/>
      <c r="S74" s="231">
        <f>SUM(S72:S73)</f>
        <v>0</v>
      </c>
      <c r="T74" s="231">
        <f>SUM(T72:T73)</f>
        <v>0</v>
      </c>
      <c r="AB74" s="163"/>
      <c r="AC74" s="203"/>
      <c r="AD74" s="268"/>
    </row>
    <row r="75" spans="1:30" ht="15.6" outlineLevel="1">
      <c r="A75" s="276" t="s">
        <v>532</v>
      </c>
      <c r="B75" s="216"/>
      <c r="C75" s="248"/>
      <c r="D75" s="277"/>
      <c r="E75" s="278"/>
      <c r="G75" s="221"/>
      <c r="H75" s="277"/>
      <c r="I75" s="278"/>
      <c r="K75" s="221"/>
      <c r="L75" s="277"/>
      <c r="M75" s="278"/>
      <c r="O75" s="221"/>
      <c r="P75" s="277"/>
      <c r="Q75" s="278"/>
      <c r="S75" s="221"/>
      <c r="T75" s="200"/>
      <c r="AB75" s="163"/>
      <c r="AC75" s="203"/>
      <c r="AD75" s="268"/>
    </row>
    <row r="76" spans="1:30" ht="15.6" outlineLevel="1">
      <c r="A76" s="190" t="str">
        <f>'Program Budget'!D255</f>
        <v>Small Grants</v>
      </c>
      <c r="B76" s="216"/>
      <c r="C76" s="198"/>
      <c r="D76" s="277"/>
      <c r="E76" s="278"/>
      <c r="F76" s="160"/>
      <c r="G76" s="198"/>
      <c r="H76" s="277"/>
      <c r="I76" s="278"/>
      <c r="K76" s="198"/>
      <c r="L76" s="277"/>
      <c r="M76" s="278"/>
      <c r="N76" s="160"/>
      <c r="O76" s="198"/>
      <c r="P76" s="277"/>
      <c r="Q76" s="278"/>
      <c r="R76" s="160"/>
      <c r="S76" s="198"/>
      <c r="T76" s="200"/>
      <c r="AB76" s="163"/>
      <c r="AC76" s="203"/>
      <c r="AD76" s="268"/>
    </row>
    <row r="77" spans="1:30" ht="15.6" outlineLevel="1">
      <c r="A77" s="269" t="str">
        <f>'Program Budget'!D256</f>
        <v>Grants to Support Producer Organization Business Plans</v>
      </c>
      <c r="B77" s="194" t="str">
        <f>'Program Budget'!F256</f>
        <v>Grant</v>
      </c>
      <c r="C77" s="198">
        <f>'Program Budget'!E256</f>
        <v>0</v>
      </c>
      <c r="D77" s="195">
        <f>'Program Budget'!G256</f>
        <v>25000</v>
      </c>
      <c r="E77" s="196">
        <f>'Program Budget'!I256</f>
        <v>3</v>
      </c>
      <c r="F77" s="197">
        <v>1</v>
      </c>
      <c r="G77" s="198">
        <f t="shared" ref="G77:G79" si="77">D77*E77*F77</f>
        <v>75000</v>
      </c>
      <c r="H77" s="195">
        <f>D77</f>
        <v>25000</v>
      </c>
      <c r="I77" s="196">
        <f>'Program Budget'!L256</f>
        <v>2</v>
      </c>
      <c r="J77" s="197">
        <v>1</v>
      </c>
      <c r="K77" s="198">
        <f t="shared" ref="K77:K79" si="78">H77*I77*J77</f>
        <v>50000</v>
      </c>
      <c r="L77" s="195">
        <f>H77</f>
        <v>25000</v>
      </c>
      <c r="M77" s="196">
        <f>'Program Budget'!O256</f>
        <v>0</v>
      </c>
      <c r="N77" s="197">
        <v>1</v>
      </c>
      <c r="O77" s="198">
        <f t="shared" ref="O77:O79" si="79">L77*M77*N77</f>
        <v>0</v>
      </c>
      <c r="P77" s="195">
        <f>L77</f>
        <v>25000</v>
      </c>
      <c r="Q77" s="196">
        <f>'Program Budget'!R256</f>
        <v>0</v>
      </c>
      <c r="R77" s="197">
        <v>0</v>
      </c>
      <c r="S77" s="198">
        <f t="shared" ref="S77:S79" si="80">P77*Q77*R77</f>
        <v>0</v>
      </c>
      <c r="T77" s="333">
        <f t="shared" ref="T77:T79" si="81">C77+G77+K77+O77+S77</f>
        <v>125000</v>
      </c>
      <c r="AB77" s="163"/>
      <c r="AC77" s="203"/>
      <c r="AD77" s="268"/>
    </row>
    <row r="78" spans="1:30" ht="15.6" outlineLevel="1">
      <c r="A78" s="269" t="str">
        <f>'Program Budget'!D257</f>
        <v>Equipment Upgrades and Modernization of Producer Organizations Grants</v>
      </c>
      <c r="B78" s="194" t="str">
        <f>'Program Budget'!F257</f>
        <v>Grant</v>
      </c>
      <c r="C78" s="198">
        <f>'Program Budget'!E257</f>
        <v>0</v>
      </c>
      <c r="D78" s="195">
        <f>'Program Budget'!G257</f>
        <v>25000</v>
      </c>
      <c r="E78" s="196">
        <f>'Program Budget'!I257</f>
        <v>0</v>
      </c>
      <c r="F78" s="197">
        <v>0</v>
      </c>
      <c r="G78" s="198">
        <f t="shared" si="77"/>
        <v>0</v>
      </c>
      <c r="H78" s="195">
        <f>D78</f>
        <v>25000</v>
      </c>
      <c r="I78" s="196">
        <f>'Program Budget'!L257</f>
        <v>0</v>
      </c>
      <c r="J78" s="197">
        <v>1</v>
      </c>
      <c r="K78" s="198">
        <f t="shared" si="78"/>
        <v>0</v>
      </c>
      <c r="L78" s="195">
        <f>H78</f>
        <v>25000</v>
      </c>
      <c r="M78" s="196">
        <f>'Program Budget'!O257</f>
        <v>0</v>
      </c>
      <c r="N78" s="197">
        <v>1</v>
      </c>
      <c r="O78" s="198">
        <f t="shared" si="79"/>
        <v>0</v>
      </c>
      <c r="P78" s="195">
        <f>L78</f>
        <v>25000</v>
      </c>
      <c r="Q78" s="196">
        <f>'Program Budget'!R257</f>
        <v>0</v>
      </c>
      <c r="R78" s="197">
        <v>0</v>
      </c>
      <c r="S78" s="198">
        <f t="shared" si="80"/>
        <v>0</v>
      </c>
      <c r="T78" s="333">
        <f t="shared" si="81"/>
        <v>0</v>
      </c>
      <c r="AB78" s="163"/>
      <c r="AC78" s="203"/>
      <c r="AD78" s="268"/>
    </row>
    <row r="79" spans="1:30" ht="15.6" outlineLevel="1">
      <c r="A79" s="269" t="str">
        <f>'Program Budget'!D258</f>
        <v xml:space="preserve">Agribusiness Entrepreneurship Grants </v>
      </c>
      <c r="B79" s="194" t="str">
        <f>'Program Budget'!F258</f>
        <v>Grant</v>
      </c>
      <c r="C79" s="198">
        <f>'Program Budget'!E258</f>
        <v>0</v>
      </c>
      <c r="D79" s="195">
        <f>'Program Budget'!G258</f>
        <v>12000</v>
      </c>
      <c r="E79" s="196">
        <f>'Program Budget'!I258</f>
        <v>0</v>
      </c>
      <c r="F79" s="197">
        <v>0</v>
      </c>
      <c r="G79" s="198">
        <f t="shared" si="77"/>
        <v>0</v>
      </c>
      <c r="H79" s="195">
        <f>D79</f>
        <v>12000</v>
      </c>
      <c r="I79" s="196">
        <f>'Program Budget'!L258</f>
        <v>0</v>
      </c>
      <c r="J79" s="197">
        <v>1</v>
      </c>
      <c r="K79" s="198">
        <f t="shared" si="78"/>
        <v>0</v>
      </c>
      <c r="L79" s="195">
        <f>H79</f>
        <v>12000</v>
      </c>
      <c r="M79" s="196">
        <f>'Program Budget'!O258</f>
        <v>0</v>
      </c>
      <c r="N79" s="197">
        <v>1</v>
      </c>
      <c r="O79" s="198">
        <f t="shared" si="79"/>
        <v>0</v>
      </c>
      <c r="P79" s="195">
        <f>L79</f>
        <v>12000</v>
      </c>
      <c r="Q79" s="196">
        <f>'Program Budget'!R258</f>
        <v>0</v>
      </c>
      <c r="R79" s="197">
        <v>0</v>
      </c>
      <c r="S79" s="198">
        <f t="shared" si="80"/>
        <v>0</v>
      </c>
      <c r="T79" s="333">
        <f t="shared" si="81"/>
        <v>0</v>
      </c>
      <c r="AB79" s="163"/>
      <c r="AC79" s="203"/>
      <c r="AD79" s="268"/>
    </row>
    <row r="80" spans="1:30" ht="15.6" outlineLevel="1">
      <c r="A80" s="190" t="str">
        <f>'Program Budget'!D259</f>
        <v>Trainings/Courses</v>
      </c>
      <c r="B80" s="194"/>
      <c r="C80" s="198"/>
      <c r="D80" s="195"/>
      <c r="E80" s="196"/>
      <c r="F80" s="160"/>
      <c r="G80" s="198"/>
      <c r="H80" s="277"/>
      <c r="I80" s="196"/>
      <c r="K80" s="198"/>
      <c r="L80" s="277"/>
      <c r="M80" s="196"/>
      <c r="N80" s="160"/>
      <c r="O80" s="198"/>
      <c r="P80" s="277"/>
      <c r="Q80" s="196"/>
      <c r="R80" s="160"/>
      <c r="S80" s="198"/>
      <c r="T80" s="200"/>
      <c r="AB80" s="163"/>
      <c r="AC80" s="203"/>
      <c r="AD80" s="268"/>
    </row>
    <row r="81" spans="1:30" ht="15.6" outlineLevel="1">
      <c r="A81" s="269" t="str">
        <f>'Program Budget'!D260</f>
        <v>Boot Camp Training for Fedecafe Extension Agents (1-Week)</v>
      </c>
      <c r="B81" s="194" t="str">
        <f>'Program Budget'!F260</f>
        <v>Participant</v>
      </c>
      <c r="C81" s="198">
        <f>'Program Budget'!E260</f>
        <v>0</v>
      </c>
      <c r="D81" s="195">
        <f>'Program Budget'!G260</f>
        <v>280</v>
      </c>
      <c r="E81" s="196">
        <f>'Program Budget'!I260</f>
        <v>0</v>
      </c>
      <c r="F81" s="197">
        <v>1</v>
      </c>
      <c r="G81" s="198">
        <f t="shared" ref="G81:G82" si="82">D81*E81*F81</f>
        <v>0</v>
      </c>
      <c r="H81" s="195">
        <f>D81</f>
        <v>280</v>
      </c>
      <c r="I81" s="196">
        <f>'Program Budget'!L260</f>
        <v>0</v>
      </c>
      <c r="J81" s="197">
        <v>1</v>
      </c>
      <c r="K81" s="198">
        <f t="shared" ref="K81:K82" si="83">H81*I81*J81</f>
        <v>0</v>
      </c>
      <c r="L81" s="195">
        <f>H81</f>
        <v>280</v>
      </c>
      <c r="M81" s="196">
        <f>'Program Budget'!O260</f>
        <v>0</v>
      </c>
      <c r="N81" s="197">
        <v>1</v>
      </c>
      <c r="O81" s="198">
        <f t="shared" ref="O81:O82" si="84">L81*M81*N81</f>
        <v>0</v>
      </c>
      <c r="P81" s="195">
        <f>L81</f>
        <v>280</v>
      </c>
      <c r="Q81" s="196">
        <f>'Program Budget'!R260</f>
        <v>0</v>
      </c>
      <c r="R81" s="197">
        <v>1</v>
      </c>
      <c r="S81" s="198">
        <f t="shared" ref="S81:S82" si="85">P81*Q81*R81</f>
        <v>0</v>
      </c>
      <c r="T81" s="333">
        <f t="shared" ref="T81:T82" si="86">C81+G81+K81+O81+S81</f>
        <v>0</v>
      </c>
      <c r="AB81" s="163"/>
      <c r="AC81" s="203"/>
      <c r="AD81" s="268"/>
    </row>
    <row r="82" spans="1:30" ht="15.6" outlineLevel="1">
      <c r="A82" s="269" t="str">
        <f>'Program Budget'!D261</f>
        <v>School of Management and Leadership Tuition/Enrollment</v>
      </c>
      <c r="B82" s="194" t="str">
        <f>'Program Budget'!F261</f>
        <v>Student</v>
      </c>
      <c r="C82" s="198">
        <f>'Program Budget'!E261</f>
        <v>0</v>
      </c>
      <c r="D82" s="195">
        <f>'Program Budget'!G261</f>
        <v>3500</v>
      </c>
      <c r="E82" s="196">
        <f>'Program Budget'!I261</f>
        <v>0</v>
      </c>
      <c r="F82" s="197">
        <v>0</v>
      </c>
      <c r="G82" s="198">
        <f t="shared" si="82"/>
        <v>0</v>
      </c>
      <c r="H82" s="195">
        <f>D82</f>
        <v>3500</v>
      </c>
      <c r="I82" s="196">
        <f>'Program Budget'!L261</f>
        <v>0</v>
      </c>
      <c r="J82" s="197">
        <v>1</v>
      </c>
      <c r="K82" s="198">
        <f t="shared" si="83"/>
        <v>0</v>
      </c>
      <c r="L82" s="195">
        <f>H82</f>
        <v>3500</v>
      </c>
      <c r="M82" s="196">
        <f>'Program Budget'!O261</f>
        <v>0</v>
      </c>
      <c r="N82" s="197">
        <v>1</v>
      </c>
      <c r="O82" s="198">
        <f t="shared" si="84"/>
        <v>0</v>
      </c>
      <c r="P82" s="195">
        <f>L82</f>
        <v>3500</v>
      </c>
      <c r="Q82" s="196">
        <f>'Program Budget'!R261</f>
        <v>0</v>
      </c>
      <c r="R82" s="197">
        <v>0</v>
      </c>
      <c r="S82" s="198">
        <f t="shared" si="85"/>
        <v>0</v>
      </c>
      <c r="T82" s="333">
        <f t="shared" si="86"/>
        <v>0</v>
      </c>
      <c r="AB82" s="163"/>
      <c r="AC82" s="203"/>
      <c r="AD82" s="268"/>
    </row>
    <row r="83" spans="1:30" ht="15.6" outlineLevel="1">
      <c r="A83" s="281"/>
      <c r="B83" s="241"/>
      <c r="C83" s="245"/>
      <c r="D83" s="279"/>
      <c r="E83" s="280"/>
      <c r="F83" s="244"/>
      <c r="G83" s="245"/>
      <c r="H83" s="279"/>
      <c r="I83" s="280"/>
      <c r="J83" s="244"/>
      <c r="K83" s="245"/>
      <c r="L83" s="279"/>
      <c r="M83" s="280"/>
      <c r="N83" s="244"/>
      <c r="O83" s="245"/>
      <c r="P83" s="279"/>
      <c r="Q83" s="280"/>
      <c r="R83" s="244"/>
      <c r="S83" s="245"/>
      <c r="T83" s="200"/>
      <c r="AB83" s="163"/>
      <c r="AC83" s="203"/>
      <c r="AD83" s="268"/>
    </row>
    <row r="84" spans="1:30" ht="18.3" outlineLevel="1">
      <c r="A84" s="282" t="s">
        <v>537</v>
      </c>
      <c r="B84" s="227"/>
      <c r="C84" s="254">
        <f>SUM(C76:C82)</f>
        <v>0</v>
      </c>
      <c r="D84" s="251"/>
      <c r="E84" s="252"/>
      <c r="F84" s="255"/>
      <c r="G84" s="254">
        <f>SUM(G76:G82)</f>
        <v>75000</v>
      </c>
      <c r="H84" s="251"/>
      <c r="I84" s="252"/>
      <c r="J84" s="283"/>
      <c r="K84" s="254">
        <f>SUM(K76:K82)</f>
        <v>50000</v>
      </c>
      <c r="L84" s="251"/>
      <c r="M84" s="252"/>
      <c r="N84" s="255"/>
      <c r="O84" s="254">
        <f>SUM(O76:O82)</f>
        <v>0</v>
      </c>
      <c r="P84" s="251"/>
      <c r="Q84" s="252"/>
      <c r="R84" s="255"/>
      <c r="S84" s="254">
        <f>SUM(S76:S82)</f>
        <v>0</v>
      </c>
      <c r="T84" s="233">
        <f>+C84+G84+K84+O84+S84</f>
        <v>125000</v>
      </c>
      <c r="AB84" s="163">
        <v>250</v>
      </c>
      <c r="AC84" s="203" t="s">
        <v>569</v>
      </c>
      <c r="AD84" s="268" t="s">
        <v>570</v>
      </c>
    </row>
    <row r="85" spans="1:30" ht="15.6" outlineLevel="1">
      <c r="A85" s="284"/>
      <c r="B85" s="239"/>
      <c r="C85" s="198"/>
      <c r="D85" s="277"/>
      <c r="E85" s="278"/>
      <c r="G85" s="200"/>
      <c r="H85" s="277"/>
      <c r="I85" s="278"/>
      <c r="K85" s="200"/>
      <c r="L85" s="277"/>
      <c r="M85" s="278"/>
      <c r="O85" s="200"/>
      <c r="P85" s="277"/>
      <c r="Q85" s="278"/>
      <c r="S85" s="200"/>
      <c r="T85" s="200"/>
      <c r="AB85" s="163">
        <v>317</v>
      </c>
      <c r="AC85" s="203" t="s">
        <v>571</v>
      </c>
      <c r="AD85" s="268" t="s">
        <v>572</v>
      </c>
    </row>
    <row r="86" spans="1:30" ht="18.3" outlineLevel="1">
      <c r="A86" s="285" t="s">
        <v>538</v>
      </c>
      <c r="B86" s="286"/>
      <c r="C86" s="290">
        <f>C41+C50+C59+C70+C74+C64+C84</f>
        <v>559496.94999999995</v>
      </c>
      <c r="D86" s="287"/>
      <c r="E86" s="288"/>
      <c r="F86" s="291"/>
      <c r="G86" s="290">
        <f>G41+G50+G59+G70+G74+G64+G84</f>
        <v>726949.30138173909</v>
      </c>
      <c r="H86" s="287"/>
      <c r="I86" s="288"/>
      <c r="J86" s="289"/>
      <c r="K86" s="290">
        <f>K41+K50+K59+K70+K74+K64+K84</f>
        <v>547208.19519548002</v>
      </c>
      <c r="L86" s="287"/>
      <c r="M86" s="288"/>
      <c r="N86" s="291"/>
      <c r="O86" s="290">
        <f>O41+O50+O59+O70+O74+O64+O84</f>
        <v>308636.93176383595</v>
      </c>
      <c r="P86" s="287"/>
      <c r="Q86" s="288"/>
      <c r="R86" s="291"/>
      <c r="S86" s="290">
        <f>S41+S50+S59+S70+S74+S64+S84</f>
        <v>67638.718428026405</v>
      </c>
      <c r="T86" s="290">
        <f>T41+T50+T59+T70+T74+T64+T84</f>
        <v>2209930.0967690814</v>
      </c>
      <c r="U86" s="157">
        <f>SUM(G86,K86,O86,S86)</f>
        <v>1650433.1467690815</v>
      </c>
      <c r="AB86" s="163">
        <v>318</v>
      </c>
      <c r="AC86" s="203" t="s">
        <v>573</v>
      </c>
      <c r="AD86" s="268" t="s">
        <v>574</v>
      </c>
    </row>
    <row r="87" spans="1:30">
      <c r="A87" s="329"/>
      <c r="B87" s="239"/>
      <c r="C87" s="198"/>
      <c r="D87" s="277"/>
      <c r="E87" s="278"/>
      <c r="G87" s="200"/>
      <c r="H87" s="277"/>
      <c r="I87" s="278"/>
      <c r="K87" s="200"/>
      <c r="L87" s="277"/>
      <c r="M87" s="278"/>
      <c r="O87" s="200"/>
      <c r="P87" s="277"/>
      <c r="Q87" s="278"/>
      <c r="S87" s="200"/>
      <c r="T87" s="200"/>
    </row>
    <row r="88" spans="1:30" ht="20.399999999999999">
      <c r="A88" s="292" t="s">
        <v>59</v>
      </c>
      <c r="B88" s="293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3"/>
    </row>
    <row r="89" spans="1:30" ht="15" customHeight="1">
      <c r="A89" s="295" t="s">
        <v>60</v>
      </c>
      <c r="B89" s="349" t="s">
        <v>132</v>
      </c>
      <c r="C89" s="198">
        <v>0</v>
      </c>
      <c r="D89" s="195">
        <v>0</v>
      </c>
      <c r="E89" s="196">
        <v>1</v>
      </c>
      <c r="F89" s="197">
        <v>0.2828</v>
      </c>
      <c r="G89" s="198">
        <f>D89*E89*F89</f>
        <v>0</v>
      </c>
      <c r="H89" s="195">
        <v>0</v>
      </c>
      <c r="I89" s="196">
        <v>1</v>
      </c>
      <c r="J89" s="197">
        <v>0.2828</v>
      </c>
      <c r="K89" s="198">
        <f>H89*I89*J89</f>
        <v>0</v>
      </c>
      <c r="L89" s="195">
        <v>0</v>
      </c>
      <c r="M89" s="196">
        <v>1</v>
      </c>
      <c r="N89" s="197">
        <v>0.2828</v>
      </c>
      <c r="O89" s="198">
        <f>L89*M89*N89</f>
        <v>0</v>
      </c>
      <c r="P89" s="195">
        <v>0</v>
      </c>
      <c r="Q89" s="196">
        <v>1</v>
      </c>
      <c r="R89" s="197">
        <v>0.2828</v>
      </c>
      <c r="S89" s="198">
        <f>P89*Q89*R89</f>
        <v>0</v>
      </c>
      <c r="T89" s="333">
        <f>C89+G89+K89+O89+S89</f>
        <v>0</v>
      </c>
    </row>
    <row r="90" spans="1:30" ht="15" customHeight="1">
      <c r="A90" s="295" t="s">
        <v>61</v>
      </c>
      <c r="B90" s="349" t="s">
        <v>132</v>
      </c>
      <c r="C90" s="198">
        <v>163176.33959877025</v>
      </c>
      <c r="D90" s="195">
        <f>G86</f>
        <v>726949.30138173909</v>
      </c>
      <c r="E90" s="196">
        <v>1</v>
      </c>
      <c r="F90" s="197">
        <v>0.2828</v>
      </c>
      <c r="G90" s="198">
        <f>D90*E90*F90</f>
        <v>205581.2624307558</v>
      </c>
      <c r="H90" s="195">
        <f>K86</f>
        <v>547208.19519548002</v>
      </c>
      <c r="I90" s="196">
        <v>1</v>
      </c>
      <c r="J90" s="197">
        <v>0.2828</v>
      </c>
      <c r="K90" s="198">
        <f>H90*I90*J90</f>
        <v>154750.47760128175</v>
      </c>
      <c r="L90" s="195">
        <f>O86</f>
        <v>308636.93176383595</v>
      </c>
      <c r="M90" s="196">
        <v>1</v>
      </c>
      <c r="N90" s="197">
        <v>0.2828</v>
      </c>
      <c r="O90" s="198">
        <f>L90*M90*N90</f>
        <v>87282.524302812802</v>
      </c>
      <c r="P90" s="195">
        <f>S86</f>
        <v>67638.718428026405</v>
      </c>
      <c r="Q90" s="196">
        <v>1</v>
      </c>
      <c r="R90" s="197">
        <v>0.2828</v>
      </c>
      <c r="S90" s="198">
        <f>P90*Q90*R90</f>
        <v>19128.229571445867</v>
      </c>
      <c r="T90" s="333">
        <f>C90+G90+K90+O90+S90</f>
        <v>629918.83350506634</v>
      </c>
    </row>
    <row r="91" spans="1:30">
      <c r="A91" s="297"/>
      <c r="B91" s="239"/>
      <c r="C91" s="198"/>
      <c r="D91" s="270"/>
      <c r="E91" s="298"/>
      <c r="F91" s="199"/>
      <c r="G91" s="198"/>
      <c r="H91" s="270"/>
      <c r="I91" s="298"/>
      <c r="J91" s="299"/>
      <c r="K91" s="198"/>
      <c r="L91" s="270"/>
      <c r="M91" s="298"/>
      <c r="N91" s="199"/>
      <c r="O91" s="198"/>
      <c r="P91" s="270"/>
      <c r="Q91" s="298"/>
      <c r="R91" s="199"/>
      <c r="S91" s="198"/>
      <c r="T91" s="200"/>
    </row>
    <row r="92" spans="1:30" ht="18.3">
      <c r="A92" s="285" t="s">
        <v>539</v>
      </c>
      <c r="B92" s="286"/>
      <c r="C92" s="290">
        <f>SUM(C89:C91)</f>
        <v>163176.33959877025</v>
      </c>
      <c r="D92" s="287"/>
      <c r="E92" s="288"/>
      <c r="F92" s="291"/>
      <c r="G92" s="290">
        <f>SUM(G89:G91)</f>
        <v>205581.2624307558</v>
      </c>
      <c r="H92" s="287"/>
      <c r="I92" s="288"/>
      <c r="J92" s="289"/>
      <c r="K92" s="290">
        <f>SUM(K89:K91)</f>
        <v>154750.47760128175</v>
      </c>
      <c r="L92" s="287"/>
      <c r="M92" s="288"/>
      <c r="N92" s="291"/>
      <c r="O92" s="290">
        <f>SUM(O89:O91)</f>
        <v>87282.524302812802</v>
      </c>
      <c r="P92" s="287"/>
      <c r="Q92" s="288"/>
      <c r="R92" s="291"/>
      <c r="S92" s="290">
        <f>SUM(S89:S91)</f>
        <v>19128.229571445867</v>
      </c>
      <c r="T92" s="290">
        <f>SUM(T89:T91)</f>
        <v>629918.83350506634</v>
      </c>
      <c r="U92" s="157">
        <f>SUM(G92,K92,O92,S92)</f>
        <v>466742.49390629621</v>
      </c>
    </row>
    <row r="93" spans="1:30">
      <c r="A93" s="198"/>
      <c r="B93" s="239"/>
      <c r="C93" s="198"/>
      <c r="D93" s="270"/>
      <c r="E93" s="298"/>
      <c r="F93" s="199"/>
      <c r="G93" s="198"/>
      <c r="H93" s="270"/>
      <c r="I93" s="298"/>
      <c r="J93" s="299"/>
      <c r="K93" s="198"/>
      <c r="L93" s="270"/>
      <c r="M93" s="298"/>
      <c r="N93" s="199"/>
      <c r="O93" s="198"/>
      <c r="P93" s="270"/>
      <c r="Q93" s="298"/>
      <c r="R93" s="199"/>
      <c r="S93" s="198"/>
      <c r="T93" s="200"/>
    </row>
    <row r="94" spans="1:30" ht="18.3">
      <c r="A94" s="304" t="s">
        <v>540</v>
      </c>
      <c r="B94" s="305"/>
      <c r="C94" s="309">
        <f>C86+C92</f>
        <v>722673.28959877021</v>
      </c>
      <c r="D94" s="306"/>
      <c r="E94" s="307"/>
      <c r="F94" s="310"/>
      <c r="G94" s="309">
        <f>G86+G92</f>
        <v>932530.56381249486</v>
      </c>
      <c r="H94" s="306"/>
      <c r="I94" s="307"/>
      <c r="J94" s="308"/>
      <c r="K94" s="309">
        <f>K86+K92</f>
        <v>701958.67279676173</v>
      </c>
      <c r="L94" s="306"/>
      <c r="M94" s="307"/>
      <c r="N94" s="310"/>
      <c r="O94" s="309">
        <f>O86+O92</f>
        <v>395919.45606664877</v>
      </c>
      <c r="P94" s="306"/>
      <c r="Q94" s="307"/>
      <c r="R94" s="310"/>
      <c r="S94" s="309">
        <f>S86+S92</f>
        <v>86766.947999472264</v>
      </c>
      <c r="T94" s="311">
        <f>C94+G94+K94+O94+S94</f>
        <v>2839848.930274148</v>
      </c>
    </row>
    <row r="95" spans="1:30" ht="15.6">
      <c r="A95" s="312" t="str">
        <f>'Program Budget'!D268</f>
        <v xml:space="preserve">Cost Share from Subrecipient Fundación Julio y Astrida Carrizosa ONG (IC Fundación) </v>
      </c>
      <c r="B95" s="313" t="str">
        <f>'Program Budget'!F268</f>
        <v>Contract</v>
      </c>
      <c r="C95" s="245">
        <f>'Program Budget'!E268</f>
        <v>12219.19</v>
      </c>
      <c r="D95" s="242">
        <f>'Program Budget'!G268</f>
        <v>0</v>
      </c>
      <c r="E95" s="314">
        <f>'Program Budget'!H268</f>
        <v>0</v>
      </c>
      <c r="F95" s="315">
        <v>1</v>
      </c>
      <c r="G95" s="245">
        <f t="shared" ref="G95" si="87">D95*E95*F95</f>
        <v>0</v>
      </c>
      <c r="H95" s="242">
        <f>D95</f>
        <v>0</v>
      </c>
      <c r="I95" s="314">
        <f>'Program Budget'!L268</f>
        <v>0</v>
      </c>
      <c r="J95" s="244">
        <v>1</v>
      </c>
      <c r="K95" s="245">
        <f t="shared" ref="K95" si="88">H95*I95*J95</f>
        <v>0</v>
      </c>
      <c r="L95" s="242">
        <f>H95</f>
        <v>0</v>
      </c>
      <c r="M95" s="314">
        <f>'Program Budget'!P268</f>
        <v>0</v>
      </c>
      <c r="N95" s="315">
        <v>1</v>
      </c>
      <c r="O95" s="245">
        <f t="shared" ref="O95" si="89">L95*M95*N95</f>
        <v>0</v>
      </c>
      <c r="P95" s="242">
        <f>L95</f>
        <v>0</v>
      </c>
      <c r="Q95" s="314">
        <f>'Program Budget'!T268</f>
        <v>0</v>
      </c>
      <c r="R95" s="315">
        <v>1</v>
      </c>
      <c r="S95" s="245">
        <f t="shared" ref="S95" si="90">P95*Q95*R95</f>
        <v>0</v>
      </c>
      <c r="T95" s="571">
        <f>C95+G95+K95+O95+S95</f>
        <v>12219.19</v>
      </c>
    </row>
    <row r="96" spans="1:30" ht="15.6">
      <c r="A96" s="312" t="str">
        <f>'Program Budget'!D269</f>
        <v>Credit for Producer Organizations</v>
      </c>
      <c r="B96" s="313" t="str">
        <f>'Program Budget'!F269</f>
        <v>Contract</v>
      </c>
      <c r="C96" s="245">
        <f>'Program Budget'!E269</f>
        <v>0</v>
      </c>
      <c r="D96" s="242">
        <f>'Program Budget'!G269</f>
        <v>100000</v>
      </c>
      <c r="E96" s="314">
        <f>'Program Budget'!I269</f>
        <v>1</v>
      </c>
      <c r="F96" s="315">
        <v>1</v>
      </c>
      <c r="G96" s="245">
        <f>D96*E96*F96</f>
        <v>100000</v>
      </c>
      <c r="H96" s="242">
        <f>D96</f>
        <v>100000</v>
      </c>
      <c r="I96" s="314">
        <f>'Program Budget'!L269</f>
        <v>1</v>
      </c>
      <c r="J96" s="244">
        <v>1</v>
      </c>
      <c r="K96" s="245">
        <f>H96*I96*J96</f>
        <v>100000</v>
      </c>
      <c r="L96" s="242">
        <f>H96</f>
        <v>100000</v>
      </c>
      <c r="M96" s="314">
        <f>'Program Budget'!O269</f>
        <v>1</v>
      </c>
      <c r="N96" s="315">
        <v>1</v>
      </c>
      <c r="O96" s="245">
        <f>L96*M96*N96</f>
        <v>100000</v>
      </c>
      <c r="P96" s="242">
        <f>L96</f>
        <v>100000</v>
      </c>
      <c r="Q96" s="314">
        <f>'Program Budget'!R269</f>
        <v>0</v>
      </c>
      <c r="R96" s="315">
        <v>1</v>
      </c>
      <c r="S96" s="245">
        <f>P96*Q96*R96</f>
        <v>0</v>
      </c>
      <c r="T96" s="571">
        <f>C96+G96+K96+O96+S96</f>
        <v>300000</v>
      </c>
    </row>
    <row r="97" spans="1:20" ht="18.3">
      <c r="A97" s="304" t="s">
        <v>541</v>
      </c>
      <c r="B97" s="305"/>
      <c r="C97" s="309">
        <f>C94+C95</f>
        <v>734892.47959877015</v>
      </c>
      <c r="D97" s="306"/>
      <c r="E97" s="307"/>
      <c r="F97" s="310"/>
      <c r="G97" s="309">
        <f>G94+G95</f>
        <v>932530.56381249486</v>
      </c>
      <c r="H97" s="306"/>
      <c r="I97" s="307"/>
      <c r="J97" s="308"/>
      <c r="K97" s="309">
        <f>K94+K95</f>
        <v>701958.67279676173</v>
      </c>
      <c r="L97" s="306"/>
      <c r="M97" s="307"/>
      <c r="N97" s="310"/>
      <c r="O97" s="309">
        <f>O94+O95</f>
        <v>395919.45606664877</v>
      </c>
      <c r="P97" s="306"/>
      <c r="Q97" s="307"/>
      <c r="R97" s="310"/>
      <c r="S97" s="309">
        <f>S94+S95</f>
        <v>86766.947999472264</v>
      </c>
      <c r="T97" s="311">
        <f>C97+G97+K97+O97+S97</f>
        <v>2852068.120274148</v>
      </c>
    </row>
    <row r="98" spans="1:20">
      <c r="A98" s="194"/>
      <c r="B98" s="194"/>
      <c r="T98" s="200"/>
    </row>
    <row r="99" spans="1:20" ht="31.2">
      <c r="A99" s="316" t="s">
        <v>542</v>
      </c>
      <c r="B99" s="317"/>
      <c r="C99" s="321"/>
      <c r="D99" s="318"/>
      <c r="E99" s="319"/>
      <c r="F99" s="322"/>
      <c r="G99" s="323"/>
      <c r="H99" s="318"/>
      <c r="I99" s="319"/>
      <c r="J99" s="320"/>
      <c r="K99" s="323"/>
      <c r="L99" s="318"/>
      <c r="M99" s="319"/>
      <c r="N99" s="322"/>
      <c r="O99" s="323"/>
      <c r="P99" s="318"/>
      <c r="Q99" s="319"/>
      <c r="R99" s="322"/>
      <c r="S99" s="323"/>
      <c r="T99" s="323"/>
    </row>
  </sheetData>
  <mergeCells count="8">
    <mergeCell ref="P2:S2"/>
    <mergeCell ref="T2:T3"/>
    <mergeCell ref="A2:A3"/>
    <mergeCell ref="B2:B3"/>
    <mergeCell ref="D2:G2"/>
    <mergeCell ref="H2:K2"/>
    <mergeCell ref="L2:O2"/>
    <mergeCell ref="C2:C3"/>
  </mergeCells>
  <printOptions horizontalCentered="1"/>
  <pageMargins left="0.25" right="0.25" top="0.75" bottom="0.75" header="0.3" footer="0.3"/>
  <pageSetup scale="32" orientation="landscape" r:id="rId1"/>
  <headerFooter alignWithMargins="0"/>
  <rowBreaks count="1" manualBreakCount="1">
    <brk id="93" max="1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997A-A7B0-4E25-9A94-CA9453FD08F2}">
  <sheetPr>
    <tabColor theme="6" tint="0.39997558519241921"/>
    <pageSetUpPr fitToPage="1"/>
  </sheetPr>
  <dimension ref="A1:AG119"/>
  <sheetViews>
    <sheetView showOutlineSymbols="0" showWhiteSpace="0" zoomScale="70" zoomScaleNormal="70" workbookViewId="0">
      <pane xSplit="2" ySplit="3" topLeftCell="C89" activePane="bottomRight" state="frozen"/>
      <selection pane="topRight" activeCell="G92" sqref="G92:S93"/>
      <selection pane="bottomLeft" activeCell="G92" sqref="G92:S93"/>
      <selection pane="bottomRight" activeCell="T114" sqref="T114:T116"/>
    </sheetView>
  </sheetViews>
  <sheetFormatPr defaultColWidth="8.71875" defaultRowHeight="14.4" outlineLevelRow="1" outlineLevelCol="1"/>
  <cols>
    <col min="1" max="1" width="61.1640625" style="157" customWidth="1"/>
    <col min="2" max="2" width="13" style="157" customWidth="1"/>
    <col min="3" max="3" width="15.1640625" style="157" customWidth="1"/>
    <col min="4" max="4" width="15.1640625" style="158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158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158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158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158" customWidth="1"/>
    <col min="21" max="21" width="11.83203125" style="157" bestFit="1" customWidth="1"/>
    <col min="22" max="22" width="8.83203125" style="157" customWidth="1"/>
    <col min="23" max="23" width="10.83203125" style="157" customWidth="1"/>
    <col min="24" max="24" width="8.83203125" style="157" customWidth="1"/>
    <col min="25" max="25" width="10.83203125" style="157" customWidth="1"/>
    <col min="26" max="26" width="4.83203125" style="157" customWidth="1"/>
    <col min="27" max="27" width="4.83203125" style="157" hidden="1" customWidth="1"/>
    <col min="28" max="28" width="7" style="162" hidden="1" customWidth="1"/>
    <col min="29" max="29" width="19.1640625" style="157" hidden="1" customWidth="1"/>
    <col min="30" max="30" width="34" style="157" hidden="1" customWidth="1"/>
    <col min="31" max="31" width="9.83203125" style="157" hidden="1" customWidth="1"/>
    <col min="32" max="32" width="9.83203125" style="157" customWidth="1"/>
    <col min="33" max="33" width="14.1640625" style="157" customWidth="1"/>
    <col min="34" max="261" width="8.83203125" style="157"/>
    <col min="262" max="262" width="38.1640625" style="157" customWidth="1"/>
    <col min="263" max="263" width="23.44140625" style="157" bestFit="1" customWidth="1"/>
    <col min="264" max="265" width="9.1640625" style="157" customWidth="1"/>
    <col min="266" max="266" width="11.1640625" style="157" bestFit="1" customWidth="1"/>
    <col min="267" max="267" width="14.44140625" style="157" bestFit="1" customWidth="1"/>
    <col min="268" max="268" width="8.1640625" style="157" customWidth="1"/>
    <col min="269" max="269" width="10.83203125" style="157" bestFit="1" customWidth="1"/>
    <col min="270" max="270" width="12.1640625" style="157" bestFit="1" customWidth="1"/>
    <col min="271" max="271" width="9.1640625" style="157" customWidth="1"/>
    <col min="272" max="272" width="10.83203125" style="157" bestFit="1" customWidth="1"/>
    <col min="273" max="273" width="12.1640625" style="157" bestFit="1" customWidth="1"/>
    <col min="274" max="274" width="8" style="157" customWidth="1"/>
    <col min="275" max="275" width="10.83203125" style="157" bestFit="1" customWidth="1"/>
    <col min="276" max="276" width="12.1640625" style="157" bestFit="1" customWidth="1"/>
    <col min="277" max="277" width="8.1640625" style="157" bestFit="1" customWidth="1"/>
    <col min="278" max="278" width="10.83203125" style="157" bestFit="1" customWidth="1"/>
    <col min="279" max="279" width="12.1640625" style="157" bestFit="1" customWidth="1"/>
    <col min="280" max="280" width="18.1640625" style="157" bestFit="1" customWidth="1"/>
    <col min="281" max="281" width="10.83203125" style="157" bestFit="1" customWidth="1"/>
    <col min="282" max="517" width="8.83203125" style="157"/>
    <col min="518" max="518" width="38.1640625" style="157" customWidth="1"/>
    <col min="519" max="519" width="23.44140625" style="157" bestFit="1" customWidth="1"/>
    <col min="520" max="521" width="9.1640625" style="157" customWidth="1"/>
    <col min="522" max="522" width="11.1640625" style="157" bestFit="1" customWidth="1"/>
    <col min="523" max="523" width="14.44140625" style="157" bestFit="1" customWidth="1"/>
    <col min="524" max="524" width="8.1640625" style="157" customWidth="1"/>
    <col min="525" max="525" width="10.83203125" style="157" bestFit="1" customWidth="1"/>
    <col min="526" max="526" width="12.1640625" style="157" bestFit="1" customWidth="1"/>
    <col min="527" max="527" width="9.1640625" style="157" customWidth="1"/>
    <col min="528" max="528" width="10.83203125" style="157" bestFit="1" customWidth="1"/>
    <col min="529" max="529" width="12.1640625" style="157" bestFit="1" customWidth="1"/>
    <col min="530" max="530" width="8" style="157" customWidth="1"/>
    <col min="531" max="531" width="10.83203125" style="157" bestFit="1" customWidth="1"/>
    <col min="532" max="532" width="12.1640625" style="157" bestFit="1" customWidth="1"/>
    <col min="533" max="533" width="8.1640625" style="157" bestFit="1" customWidth="1"/>
    <col min="534" max="534" width="10.83203125" style="157" bestFit="1" customWidth="1"/>
    <col min="535" max="535" width="12.1640625" style="157" bestFit="1" customWidth="1"/>
    <col min="536" max="536" width="18.1640625" style="157" bestFit="1" customWidth="1"/>
    <col min="537" max="537" width="10.83203125" style="157" bestFit="1" customWidth="1"/>
    <col min="538" max="773" width="8.83203125" style="157"/>
    <col min="774" max="774" width="38.1640625" style="157" customWidth="1"/>
    <col min="775" max="775" width="23.44140625" style="157" bestFit="1" customWidth="1"/>
    <col min="776" max="777" width="9.1640625" style="157" customWidth="1"/>
    <col min="778" max="778" width="11.1640625" style="157" bestFit="1" customWidth="1"/>
    <col min="779" max="779" width="14.44140625" style="157" bestFit="1" customWidth="1"/>
    <col min="780" max="780" width="8.1640625" style="157" customWidth="1"/>
    <col min="781" max="781" width="10.83203125" style="157" bestFit="1" customWidth="1"/>
    <col min="782" max="782" width="12.1640625" style="157" bestFit="1" customWidth="1"/>
    <col min="783" max="783" width="9.1640625" style="157" customWidth="1"/>
    <col min="784" max="784" width="10.83203125" style="157" bestFit="1" customWidth="1"/>
    <col min="785" max="785" width="12.1640625" style="157" bestFit="1" customWidth="1"/>
    <col min="786" max="786" width="8" style="157" customWidth="1"/>
    <col min="787" max="787" width="10.83203125" style="157" bestFit="1" customWidth="1"/>
    <col min="788" max="788" width="12.1640625" style="157" bestFit="1" customWidth="1"/>
    <col min="789" max="789" width="8.1640625" style="157" bestFit="1" customWidth="1"/>
    <col min="790" max="790" width="10.83203125" style="157" bestFit="1" customWidth="1"/>
    <col min="791" max="791" width="12.1640625" style="157" bestFit="1" customWidth="1"/>
    <col min="792" max="792" width="18.1640625" style="157" bestFit="1" customWidth="1"/>
    <col min="793" max="793" width="10.83203125" style="157" bestFit="1" customWidth="1"/>
    <col min="794" max="1029" width="8.83203125" style="157"/>
    <col min="1030" max="1030" width="38.1640625" style="157" customWidth="1"/>
    <col min="1031" max="1031" width="23.44140625" style="157" bestFit="1" customWidth="1"/>
    <col min="1032" max="1033" width="9.1640625" style="157" customWidth="1"/>
    <col min="1034" max="1034" width="11.1640625" style="157" bestFit="1" customWidth="1"/>
    <col min="1035" max="1035" width="14.44140625" style="157" bestFit="1" customWidth="1"/>
    <col min="1036" max="1036" width="8.1640625" style="157" customWidth="1"/>
    <col min="1037" max="1037" width="10.83203125" style="157" bestFit="1" customWidth="1"/>
    <col min="1038" max="1038" width="12.1640625" style="157" bestFit="1" customWidth="1"/>
    <col min="1039" max="1039" width="9.1640625" style="157" customWidth="1"/>
    <col min="1040" max="1040" width="10.83203125" style="157" bestFit="1" customWidth="1"/>
    <col min="1041" max="1041" width="12.1640625" style="157" bestFit="1" customWidth="1"/>
    <col min="1042" max="1042" width="8" style="157" customWidth="1"/>
    <col min="1043" max="1043" width="10.83203125" style="157" bestFit="1" customWidth="1"/>
    <col min="1044" max="1044" width="12.1640625" style="157" bestFit="1" customWidth="1"/>
    <col min="1045" max="1045" width="8.1640625" style="157" bestFit="1" customWidth="1"/>
    <col min="1046" max="1046" width="10.83203125" style="157" bestFit="1" customWidth="1"/>
    <col min="1047" max="1047" width="12.1640625" style="157" bestFit="1" customWidth="1"/>
    <col min="1048" max="1048" width="18.1640625" style="157" bestFit="1" customWidth="1"/>
    <col min="1049" max="1049" width="10.83203125" style="157" bestFit="1" customWidth="1"/>
    <col min="1050" max="1285" width="8.83203125" style="157"/>
    <col min="1286" max="1286" width="38.1640625" style="157" customWidth="1"/>
    <col min="1287" max="1287" width="23.44140625" style="157" bestFit="1" customWidth="1"/>
    <col min="1288" max="1289" width="9.1640625" style="157" customWidth="1"/>
    <col min="1290" max="1290" width="11.1640625" style="157" bestFit="1" customWidth="1"/>
    <col min="1291" max="1291" width="14.44140625" style="157" bestFit="1" customWidth="1"/>
    <col min="1292" max="1292" width="8.1640625" style="157" customWidth="1"/>
    <col min="1293" max="1293" width="10.83203125" style="157" bestFit="1" customWidth="1"/>
    <col min="1294" max="1294" width="12.1640625" style="157" bestFit="1" customWidth="1"/>
    <col min="1295" max="1295" width="9.1640625" style="157" customWidth="1"/>
    <col min="1296" max="1296" width="10.83203125" style="157" bestFit="1" customWidth="1"/>
    <col min="1297" max="1297" width="12.1640625" style="157" bestFit="1" customWidth="1"/>
    <col min="1298" max="1298" width="8" style="157" customWidth="1"/>
    <col min="1299" max="1299" width="10.83203125" style="157" bestFit="1" customWidth="1"/>
    <col min="1300" max="1300" width="12.1640625" style="157" bestFit="1" customWidth="1"/>
    <col min="1301" max="1301" width="8.1640625" style="157" bestFit="1" customWidth="1"/>
    <col min="1302" max="1302" width="10.83203125" style="157" bestFit="1" customWidth="1"/>
    <col min="1303" max="1303" width="12.1640625" style="157" bestFit="1" customWidth="1"/>
    <col min="1304" max="1304" width="18.1640625" style="157" bestFit="1" customWidth="1"/>
    <col min="1305" max="1305" width="10.83203125" style="157" bestFit="1" customWidth="1"/>
    <col min="1306" max="1541" width="8.83203125" style="157"/>
    <col min="1542" max="1542" width="38.1640625" style="157" customWidth="1"/>
    <col min="1543" max="1543" width="23.44140625" style="157" bestFit="1" customWidth="1"/>
    <col min="1544" max="1545" width="9.1640625" style="157" customWidth="1"/>
    <col min="1546" max="1546" width="11.1640625" style="157" bestFit="1" customWidth="1"/>
    <col min="1547" max="1547" width="14.44140625" style="157" bestFit="1" customWidth="1"/>
    <col min="1548" max="1548" width="8.1640625" style="157" customWidth="1"/>
    <col min="1549" max="1549" width="10.83203125" style="157" bestFit="1" customWidth="1"/>
    <col min="1550" max="1550" width="12.1640625" style="157" bestFit="1" customWidth="1"/>
    <col min="1551" max="1551" width="9.1640625" style="157" customWidth="1"/>
    <col min="1552" max="1552" width="10.83203125" style="157" bestFit="1" customWidth="1"/>
    <col min="1553" max="1553" width="12.1640625" style="157" bestFit="1" customWidth="1"/>
    <col min="1554" max="1554" width="8" style="157" customWidth="1"/>
    <col min="1555" max="1555" width="10.83203125" style="157" bestFit="1" customWidth="1"/>
    <col min="1556" max="1556" width="12.1640625" style="157" bestFit="1" customWidth="1"/>
    <col min="1557" max="1557" width="8.1640625" style="157" bestFit="1" customWidth="1"/>
    <col min="1558" max="1558" width="10.83203125" style="157" bestFit="1" customWidth="1"/>
    <col min="1559" max="1559" width="12.1640625" style="157" bestFit="1" customWidth="1"/>
    <col min="1560" max="1560" width="18.1640625" style="157" bestFit="1" customWidth="1"/>
    <col min="1561" max="1561" width="10.83203125" style="157" bestFit="1" customWidth="1"/>
    <col min="1562" max="1797" width="8.83203125" style="157"/>
    <col min="1798" max="1798" width="38.1640625" style="157" customWidth="1"/>
    <col min="1799" max="1799" width="23.44140625" style="157" bestFit="1" customWidth="1"/>
    <col min="1800" max="1801" width="9.1640625" style="157" customWidth="1"/>
    <col min="1802" max="1802" width="11.1640625" style="157" bestFit="1" customWidth="1"/>
    <col min="1803" max="1803" width="14.44140625" style="157" bestFit="1" customWidth="1"/>
    <col min="1804" max="1804" width="8.1640625" style="157" customWidth="1"/>
    <col min="1805" max="1805" width="10.83203125" style="157" bestFit="1" customWidth="1"/>
    <col min="1806" max="1806" width="12.1640625" style="157" bestFit="1" customWidth="1"/>
    <col min="1807" max="1807" width="9.1640625" style="157" customWidth="1"/>
    <col min="1808" max="1808" width="10.83203125" style="157" bestFit="1" customWidth="1"/>
    <col min="1809" max="1809" width="12.1640625" style="157" bestFit="1" customWidth="1"/>
    <col min="1810" max="1810" width="8" style="157" customWidth="1"/>
    <col min="1811" max="1811" width="10.83203125" style="157" bestFit="1" customWidth="1"/>
    <col min="1812" max="1812" width="12.1640625" style="157" bestFit="1" customWidth="1"/>
    <col min="1813" max="1813" width="8.1640625" style="157" bestFit="1" customWidth="1"/>
    <col min="1814" max="1814" width="10.83203125" style="157" bestFit="1" customWidth="1"/>
    <col min="1815" max="1815" width="12.1640625" style="157" bestFit="1" customWidth="1"/>
    <col min="1816" max="1816" width="18.1640625" style="157" bestFit="1" customWidth="1"/>
    <col min="1817" max="1817" width="10.83203125" style="157" bestFit="1" customWidth="1"/>
    <col min="1818" max="2053" width="8.83203125" style="157"/>
    <col min="2054" max="2054" width="38.1640625" style="157" customWidth="1"/>
    <col min="2055" max="2055" width="23.44140625" style="157" bestFit="1" customWidth="1"/>
    <col min="2056" max="2057" width="9.1640625" style="157" customWidth="1"/>
    <col min="2058" max="2058" width="11.1640625" style="157" bestFit="1" customWidth="1"/>
    <col min="2059" max="2059" width="14.44140625" style="157" bestFit="1" customWidth="1"/>
    <col min="2060" max="2060" width="8.1640625" style="157" customWidth="1"/>
    <col min="2061" max="2061" width="10.83203125" style="157" bestFit="1" customWidth="1"/>
    <col min="2062" max="2062" width="12.1640625" style="157" bestFit="1" customWidth="1"/>
    <col min="2063" max="2063" width="9.1640625" style="157" customWidth="1"/>
    <col min="2064" max="2064" width="10.83203125" style="157" bestFit="1" customWidth="1"/>
    <col min="2065" max="2065" width="12.1640625" style="157" bestFit="1" customWidth="1"/>
    <col min="2066" max="2066" width="8" style="157" customWidth="1"/>
    <col min="2067" max="2067" width="10.83203125" style="157" bestFit="1" customWidth="1"/>
    <col min="2068" max="2068" width="12.1640625" style="157" bestFit="1" customWidth="1"/>
    <col min="2069" max="2069" width="8.1640625" style="157" bestFit="1" customWidth="1"/>
    <col min="2070" max="2070" width="10.83203125" style="157" bestFit="1" customWidth="1"/>
    <col min="2071" max="2071" width="12.1640625" style="157" bestFit="1" customWidth="1"/>
    <col min="2072" max="2072" width="18.1640625" style="157" bestFit="1" customWidth="1"/>
    <col min="2073" max="2073" width="10.83203125" style="157" bestFit="1" customWidth="1"/>
    <col min="2074" max="2309" width="8.83203125" style="157"/>
    <col min="2310" max="2310" width="38.1640625" style="157" customWidth="1"/>
    <col min="2311" max="2311" width="23.44140625" style="157" bestFit="1" customWidth="1"/>
    <col min="2312" max="2313" width="9.1640625" style="157" customWidth="1"/>
    <col min="2314" max="2314" width="11.1640625" style="157" bestFit="1" customWidth="1"/>
    <col min="2315" max="2315" width="14.44140625" style="157" bestFit="1" customWidth="1"/>
    <col min="2316" max="2316" width="8.1640625" style="157" customWidth="1"/>
    <col min="2317" max="2317" width="10.83203125" style="157" bestFit="1" customWidth="1"/>
    <col min="2318" max="2318" width="12.1640625" style="157" bestFit="1" customWidth="1"/>
    <col min="2319" max="2319" width="9.1640625" style="157" customWidth="1"/>
    <col min="2320" max="2320" width="10.83203125" style="157" bestFit="1" customWidth="1"/>
    <col min="2321" max="2321" width="12.1640625" style="157" bestFit="1" customWidth="1"/>
    <col min="2322" max="2322" width="8" style="157" customWidth="1"/>
    <col min="2323" max="2323" width="10.83203125" style="157" bestFit="1" customWidth="1"/>
    <col min="2324" max="2324" width="12.1640625" style="157" bestFit="1" customWidth="1"/>
    <col min="2325" max="2325" width="8.1640625" style="157" bestFit="1" customWidth="1"/>
    <col min="2326" max="2326" width="10.83203125" style="157" bestFit="1" customWidth="1"/>
    <col min="2327" max="2327" width="12.1640625" style="157" bestFit="1" customWidth="1"/>
    <col min="2328" max="2328" width="18.1640625" style="157" bestFit="1" customWidth="1"/>
    <col min="2329" max="2329" width="10.83203125" style="157" bestFit="1" customWidth="1"/>
    <col min="2330" max="2565" width="8.83203125" style="157"/>
    <col min="2566" max="2566" width="38.1640625" style="157" customWidth="1"/>
    <col min="2567" max="2567" width="23.44140625" style="157" bestFit="1" customWidth="1"/>
    <col min="2568" max="2569" width="9.1640625" style="157" customWidth="1"/>
    <col min="2570" max="2570" width="11.1640625" style="157" bestFit="1" customWidth="1"/>
    <col min="2571" max="2571" width="14.44140625" style="157" bestFit="1" customWidth="1"/>
    <col min="2572" max="2572" width="8.1640625" style="157" customWidth="1"/>
    <col min="2573" max="2573" width="10.83203125" style="157" bestFit="1" customWidth="1"/>
    <col min="2574" max="2574" width="12.1640625" style="157" bestFit="1" customWidth="1"/>
    <col min="2575" max="2575" width="9.1640625" style="157" customWidth="1"/>
    <col min="2576" max="2576" width="10.83203125" style="157" bestFit="1" customWidth="1"/>
    <col min="2577" max="2577" width="12.1640625" style="157" bestFit="1" customWidth="1"/>
    <col min="2578" max="2578" width="8" style="157" customWidth="1"/>
    <col min="2579" max="2579" width="10.83203125" style="157" bestFit="1" customWidth="1"/>
    <col min="2580" max="2580" width="12.1640625" style="157" bestFit="1" customWidth="1"/>
    <col min="2581" max="2581" width="8.1640625" style="157" bestFit="1" customWidth="1"/>
    <col min="2582" max="2582" width="10.83203125" style="157" bestFit="1" customWidth="1"/>
    <col min="2583" max="2583" width="12.1640625" style="157" bestFit="1" customWidth="1"/>
    <col min="2584" max="2584" width="18.1640625" style="157" bestFit="1" customWidth="1"/>
    <col min="2585" max="2585" width="10.83203125" style="157" bestFit="1" customWidth="1"/>
    <col min="2586" max="2821" width="8.83203125" style="157"/>
    <col min="2822" max="2822" width="38.1640625" style="157" customWidth="1"/>
    <col min="2823" max="2823" width="23.44140625" style="157" bestFit="1" customWidth="1"/>
    <col min="2824" max="2825" width="9.1640625" style="157" customWidth="1"/>
    <col min="2826" max="2826" width="11.1640625" style="157" bestFit="1" customWidth="1"/>
    <col min="2827" max="2827" width="14.44140625" style="157" bestFit="1" customWidth="1"/>
    <col min="2828" max="2828" width="8.1640625" style="157" customWidth="1"/>
    <col min="2829" max="2829" width="10.83203125" style="157" bestFit="1" customWidth="1"/>
    <col min="2830" max="2830" width="12.1640625" style="157" bestFit="1" customWidth="1"/>
    <col min="2831" max="2831" width="9.1640625" style="157" customWidth="1"/>
    <col min="2832" max="2832" width="10.83203125" style="157" bestFit="1" customWidth="1"/>
    <col min="2833" max="2833" width="12.1640625" style="157" bestFit="1" customWidth="1"/>
    <col min="2834" max="2834" width="8" style="157" customWidth="1"/>
    <col min="2835" max="2835" width="10.83203125" style="157" bestFit="1" customWidth="1"/>
    <col min="2836" max="2836" width="12.1640625" style="157" bestFit="1" customWidth="1"/>
    <col min="2837" max="2837" width="8.1640625" style="157" bestFit="1" customWidth="1"/>
    <col min="2838" max="2838" width="10.83203125" style="157" bestFit="1" customWidth="1"/>
    <col min="2839" max="2839" width="12.1640625" style="157" bestFit="1" customWidth="1"/>
    <col min="2840" max="2840" width="18.1640625" style="157" bestFit="1" customWidth="1"/>
    <col min="2841" max="2841" width="10.83203125" style="157" bestFit="1" customWidth="1"/>
    <col min="2842" max="3077" width="8.83203125" style="157"/>
    <col min="3078" max="3078" width="38.1640625" style="157" customWidth="1"/>
    <col min="3079" max="3079" width="23.44140625" style="157" bestFit="1" customWidth="1"/>
    <col min="3080" max="3081" width="9.1640625" style="157" customWidth="1"/>
    <col min="3082" max="3082" width="11.1640625" style="157" bestFit="1" customWidth="1"/>
    <col min="3083" max="3083" width="14.44140625" style="157" bestFit="1" customWidth="1"/>
    <col min="3084" max="3084" width="8.1640625" style="157" customWidth="1"/>
    <col min="3085" max="3085" width="10.83203125" style="157" bestFit="1" customWidth="1"/>
    <col min="3086" max="3086" width="12.1640625" style="157" bestFit="1" customWidth="1"/>
    <col min="3087" max="3087" width="9.1640625" style="157" customWidth="1"/>
    <col min="3088" max="3088" width="10.83203125" style="157" bestFit="1" customWidth="1"/>
    <col min="3089" max="3089" width="12.1640625" style="157" bestFit="1" customWidth="1"/>
    <col min="3090" max="3090" width="8" style="157" customWidth="1"/>
    <col min="3091" max="3091" width="10.83203125" style="157" bestFit="1" customWidth="1"/>
    <col min="3092" max="3092" width="12.1640625" style="157" bestFit="1" customWidth="1"/>
    <col min="3093" max="3093" width="8.1640625" style="157" bestFit="1" customWidth="1"/>
    <col min="3094" max="3094" width="10.83203125" style="157" bestFit="1" customWidth="1"/>
    <col min="3095" max="3095" width="12.1640625" style="157" bestFit="1" customWidth="1"/>
    <col min="3096" max="3096" width="18.1640625" style="157" bestFit="1" customWidth="1"/>
    <col min="3097" max="3097" width="10.83203125" style="157" bestFit="1" customWidth="1"/>
    <col min="3098" max="3333" width="8.83203125" style="157"/>
    <col min="3334" max="3334" width="38.1640625" style="157" customWidth="1"/>
    <col min="3335" max="3335" width="23.44140625" style="157" bestFit="1" customWidth="1"/>
    <col min="3336" max="3337" width="9.1640625" style="157" customWidth="1"/>
    <col min="3338" max="3338" width="11.1640625" style="157" bestFit="1" customWidth="1"/>
    <col min="3339" max="3339" width="14.44140625" style="157" bestFit="1" customWidth="1"/>
    <col min="3340" max="3340" width="8.1640625" style="157" customWidth="1"/>
    <col min="3341" max="3341" width="10.83203125" style="157" bestFit="1" customWidth="1"/>
    <col min="3342" max="3342" width="12.1640625" style="157" bestFit="1" customWidth="1"/>
    <col min="3343" max="3343" width="9.1640625" style="157" customWidth="1"/>
    <col min="3344" max="3344" width="10.83203125" style="157" bestFit="1" customWidth="1"/>
    <col min="3345" max="3345" width="12.1640625" style="157" bestFit="1" customWidth="1"/>
    <col min="3346" max="3346" width="8" style="157" customWidth="1"/>
    <col min="3347" max="3347" width="10.83203125" style="157" bestFit="1" customWidth="1"/>
    <col min="3348" max="3348" width="12.1640625" style="157" bestFit="1" customWidth="1"/>
    <col min="3349" max="3349" width="8.1640625" style="157" bestFit="1" customWidth="1"/>
    <col min="3350" max="3350" width="10.83203125" style="157" bestFit="1" customWidth="1"/>
    <col min="3351" max="3351" width="12.1640625" style="157" bestFit="1" customWidth="1"/>
    <col min="3352" max="3352" width="18.1640625" style="157" bestFit="1" customWidth="1"/>
    <col min="3353" max="3353" width="10.83203125" style="157" bestFit="1" customWidth="1"/>
    <col min="3354" max="3589" width="8.83203125" style="157"/>
    <col min="3590" max="3590" width="38.1640625" style="157" customWidth="1"/>
    <col min="3591" max="3591" width="23.44140625" style="157" bestFit="1" customWidth="1"/>
    <col min="3592" max="3593" width="9.1640625" style="157" customWidth="1"/>
    <col min="3594" max="3594" width="11.1640625" style="157" bestFit="1" customWidth="1"/>
    <col min="3595" max="3595" width="14.44140625" style="157" bestFit="1" customWidth="1"/>
    <col min="3596" max="3596" width="8.1640625" style="157" customWidth="1"/>
    <col min="3597" max="3597" width="10.83203125" style="157" bestFit="1" customWidth="1"/>
    <col min="3598" max="3598" width="12.1640625" style="157" bestFit="1" customWidth="1"/>
    <col min="3599" max="3599" width="9.1640625" style="157" customWidth="1"/>
    <col min="3600" max="3600" width="10.83203125" style="157" bestFit="1" customWidth="1"/>
    <col min="3601" max="3601" width="12.1640625" style="157" bestFit="1" customWidth="1"/>
    <col min="3602" max="3602" width="8" style="157" customWidth="1"/>
    <col min="3603" max="3603" width="10.83203125" style="157" bestFit="1" customWidth="1"/>
    <col min="3604" max="3604" width="12.1640625" style="157" bestFit="1" customWidth="1"/>
    <col min="3605" max="3605" width="8.1640625" style="157" bestFit="1" customWidth="1"/>
    <col min="3606" max="3606" width="10.83203125" style="157" bestFit="1" customWidth="1"/>
    <col min="3607" max="3607" width="12.1640625" style="157" bestFit="1" customWidth="1"/>
    <col min="3608" max="3608" width="18.1640625" style="157" bestFit="1" customWidth="1"/>
    <col min="3609" max="3609" width="10.83203125" style="157" bestFit="1" customWidth="1"/>
    <col min="3610" max="3845" width="8.83203125" style="157"/>
    <col min="3846" max="3846" width="38.1640625" style="157" customWidth="1"/>
    <col min="3847" max="3847" width="23.44140625" style="157" bestFit="1" customWidth="1"/>
    <col min="3848" max="3849" width="9.1640625" style="157" customWidth="1"/>
    <col min="3850" max="3850" width="11.1640625" style="157" bestFit="1" customWidth="1"/>
    <col min="3851" max="3851" width="14.44140625" style="157" bestFit="1" customWidth="1"/>
    <col min="3852" max="3852" width="8.1640625" style="157" customWidth="1"/>
    <col min="3853" max="3853" width="10.83203125" style="157" bestFit="1" customWidth="1"/>
    <col min="3854" max="3854" width="12.1640625" style="157" bestFit="1" customWidth="1"/>
    <col min="3855" max="3855" width="9.1640625" style="157" customWidth="1"/>
    <col min="3856" max="3856" width="10.83203125" style="157" bestFit="1" customWidth="1"/>
    <col min="3857" max="3857" width="12.1640625" style="157" bestFit="1" customWidth="1"/>
    <col min="3858" max="3858" width="8" style="157" customWidth="1"/>
    <col min="3859" max="3859" width="10.83203125" style="157" bestFit="1" customWidth="1"/>
    <col min="3860" max="3860" width="12.1640625" style="157" bestFit="1" customWidth="1"/>
    <col min="3861" max="3861" width="8.1640625" style="157" bestFit="1" customWidth="1"/>
    <col min="3862" max="3862" width="10.83203125" style="157" bestFit="1" customWidth="1"/>
    <col min="3863" max="3863" width="12.1640625" style="157" bestFit="1" customWidth="1"/>
    <col min="3864" max="3864" width="18.1640625" style="157" bestFit="1" customWidth="1"/>
    <col min="3865" max="3865" width="10.83203125" style="157" bestFit="1" customWidth="1"/>
    <col min="3866" max="4101" width="8.83203125" style="157"/>
    <col min="4102" max="4102" width="38.1640625" style="157" customWidth="1"/>
    <col min="4103" max="4103" width="23.44140625" style="157" bestFit="1" customWidth="1"/>
    <col min="4104" max="4105" width="9.1640625" style="157" customWidth="1"/>
    <col min="4106" max="4106" width="11.1640625" style="157" bestFit="1" customWidth="1"/>
    <col min="4107" max="4107" width="14.44140625" style="157" bestFit="1" customWidth="1"/>
    <col min="4108" max="4108" width="8.1640625" style="157" customWidth="1"/>
    <col min="4109" max="4109" width="10.83203125" style="157" bestFit="1" customWidth="1"/>
    <col min="4110" max="4110" width="12.1640625" style="157" bestFit="1" customWidth="1"/>
    <col min="4111" max="4111" width="9.1640625" style="157" customWidth="1"/>
    <col min="4112" max="4112" width="10.83203125" style="157" bestFit="1" customWidth="1"/>
    <col min="4113" max="4113" width="12.1640625" style="157" bestFit="1" customWidth="1"/>
    <col min="4114" max="4114" width="8" style="157" customWidth="1"/>
    <col min="4115" max="4115" width="10.83203125" style="157" bestFit="1" customWidth="1"/>
    <col min="4116" max="4116" width="12.1640625" style="157" bestFit="1" customWidth="1"/>
    <col min="4117" max="4117" width="8.1640625" style="157" bestFit="1" customWidth="1"/>
    <col min="4118" max="4118" width="10.83203125" style="157" bestFit="1" customWidth="1"/>
    <col min="4119" max="4119" width="12.1640625" style="157" bestFit="1" customWidth="1"/>
    <col min="4120" max="4120" width="18.1640625" style="157" bestFit="1" customWidth="1"/>
    <col min="4121" max="4121" width="10.83203125" style="157" bestFit="1" customWidth="1"/>
    <col min="4122" max="4357" width="8.83203125" style="157"/>
    <col min="4358" max="4358" width="38.1640625" style="157" customWidth="1"/>
    <col min="4359" max="4359" width="23.44140625" style="157" bestFit="1" customWidth="1"/>
    <col min="4360" max="4361" width="9.1640625" style="157" customWidth="1"/>
    <col min="4362" max="4362" width="11.1640625" style="157" bestFit="1" customWidth="1"/>
    <col min="4363" max="4363" width="14.44140625" style="157" bestFit="1" customWidth="1"/>
    <col min="4364" max="4364" width="8.1640625" style="157" customWidth="1"/>
    <col min="4365" max="4365" width="10.83203125" style="157" bestFit="1" customWidth="1"/>
    <col min="4366" max="4366" width="12.1640625" style="157" bestFit="1" customWidth="1"/>
    <col min="4367" max="4367" width="9.1640625" style="157" customWidth="1"/>
    <col min="4368" max="4368" width="10.83203125" style="157" bestFit="1" customWidth="1"/>
    <col min="4369" max="4369" width="12.1640625" style="157" bestFit="1" customWidth="1"/>
    <col min="4370" max="4370" width="8" style="157" customWidth="1"/>
    <col min="4371" max="4371" width="10.83203125" style="157" bestFit="1" customWidth="1"/>
    <col min="4372" max="4372" width="12.1640625" style="157" bestFit="1" customWidth="1"/>
    <col min="4373" max="4373" width="8.1640625" style="157" bestFit="1" customWidth="1"/>
    <col min="4374" max="4374" width="10.83203125" style="157" bestFit="1" customWidth="1"/>
    <col min="4375" max="4375" width="12.1640625" style="157" bestFit="1" customWidth="1"/>
    <col min="4376" max="4376" width="18.1640625" style="157" bestFit="1" customWidth="1"/>
    <col min="4377" max="4377" width="10.83203125" style="157" bestFit="1" customWidth="1"/>
    <col min="4378" max="4613" width="8.83203125" style="157"/>
    <col min="4614" max="4614" width="38.1640625" style="157" customWidth="1"/>
    <col min="4615" max="4615" width="23.44140625" style="157" bestFit="1" customWidth="1"/>
    <col min="4616" max="4617" width="9.1640625" style="157" customWidth="1"/>
    <col min="4618" max="4618" width="11.1640625" style="157" bestFit="1" customWidth="1"/>
    <col min="4619" max="4619" width="14.44140625" style="157" bestFit="1" customWidth="1"/>
    <col min="4620" max="4620" width="8.1640625" style="157" customWidth="1"/>
    <col min="4621" max="4621" width="10.83203125" style="157" bestFit="1" customWidth="1"/>
    <col min="4622" max="4622" width="12.1640625" style="157" bestFit="1" customWidth="1"/>
    <col min="4623" max="4623" width="9.1640625" style="157" customWidth="1"/>
    <col min="4624" max="4624" width="10.83203125" style="157" bestFit="1" customWidth="1"/>
    <col min="4625" max="4625" width="12.1640625" style="157" bestFit="1" customWidth="1"/>
    <col min="4626" max="4626" width="8" style="157" customWidth="1"/>
    <col min="4627" max="4627" width="10.83203125" style="157" bestFit="1" customWidth="1"/>
    <col min="4628" max="4628" width="12.1640625" style="157" bestFit="1" customWidth="1"/>
    <col min="4629" max="4629" width="8.1640625" style="157" bestFit="1" customWidth="1"/>
    <col min="4630" max="4630" width="10.83203125" style="157" bestFit="1" customWidth="1"/>
    <col min="4631" max="4631" width="12.1640625" style="157" bestFit="1" customWidth="1"/>
    <col min="4632" max="4632" width="18.1640625" style="157" bestFit="1" customWidth="1"/>
    <col min="4633" max="4633" width="10.83203125" style="157" bestFit="1" customWidth="1"/>
    <col min="4634" max="4869" width="8.83203125" style="157"/>
    <col min="4870" max="4870" width="38.1640625" style="157" customWidth="1"/>
    <col min="4871" max="4871" width="23.44140625" style="157" bestFit="1" customWidth="1"/>
    <col min="4872" max="4873" width="9.1640625" style="157" customWidth="1"/>
    <col min="4874" max="4874" width="11.1640625" style="157" bestFit="1" customWidth="1"/>
    <col min="4875" max="4875" width="14.44140625" style="157" bestFit="1" customWidth="1"/>
    <col min="4876" max="4876" width="8.1640625" style="157" customWidth="1"/>
    <col min="4877" max="4877" width="10.83203125" style="157" bestFit="1" customWidth="1"/>
    <col min="4878" max="4878" width="12.1640625" style="157" bestFit="1" customWidth="1"/>
    <col min="4879" max="4879" width="9.1640625" style="157" customWidth="1"/>
    <col min="4880" max="4880" width="10.83203125" style="157" bestFit="1" customWidth="1"/>
    <col min="4881" max="4881" width="12.1640625" style="157" bestFit="1" customWidth="1"/>
    <col min="4882" max="4882" width="8" style="157" customWidth="1"/>
    <col min="4883" max="4883" width="10.83203125" style="157" bestFit="1" customWidth="1"/>
    <col min="4884" max="4884" width="12.1640625" style="157" bestFit="1" customWidth="1"/>
    <col min="4885" max="4885" width="8.1640625" style="157" bestFit="1" customWidth="1"/>
    <col min="4886" max="4886" width="10.83203125" style="157" bestFit="1" customWidth="1"/>
    <col min="4887" max="4887" width="12.1640625" style="157" bestFit="1" customWidth="1"/>
    <col min="4888" max="4888" width="18.1640625" style="157" bestFit="1" customWidth="1"/>
    <col min="4889" max="4889" width="10.83203125" style="157" bestFit="1" customWidth="1"/>
    <col min="4890" max="5125" width="8.83203125" style="157"/>
    <col min="5126" max="5126" width="38.1640625" style="157" customWidth="1"/>
    <col min="5127" max="5127" width="23.44140625" style="157" bestFit="1" customWidth="1"/>
    <col min="5128" max="5129" width="9.1640625" style="157" customWidth="1"/>
    <col min="5130" max="5130" width="11.1640625" style="157" bestFit="1" customWidth="1"/>
    <col min="5131" max="5131" width="14.44140625" style="157" bestFit="1" customWidth="1"/>
    <col min="5132" max="5132" width="8.1640625" style="157" customWidth="1"/>
    <col min="5133" max="5133" width="10.83203125" style="157" bestFit="1" customWidth="1"/>
    <col min="5134" max="5134" width="12.1640625" style="157" bestFit="1" customWidth="1"/>
    <col min="5135" max="5135" width="9.1640625" style="157" customWidth="1"/>
    <col min="5136" max="5136" width="10.83203125" style="157" bestFit="1" customWidth="1"/>
    <col min="5137" max="5137" width="12.1640625" style="157" bestFit="1" customWidth="1"/>
    <col min="5138" max="5138" width="8" style="157" customWidth="1"/>
    <col min="5139" max="5139" width="10.83203125" style="157" bestFit="1" customWidth="1"/>
    <col min="5140" max="5140" width="12.1640625" style="157" bestFit="1" customWidth="1"/>
    <col min="5141" max="5141" width="8.1640625" style="157" bestFit="1" customWidth="1"/>
    <col min="5142" max="5142" width="10.83203125" style="157" bestFit="1" customWidth="1"/>
    <col min="5143" max="5143" width="12.1640625" style="157" bestFit="1" customWidth="1"/>
    <col min="5144" max="5144" width="18.1640625" style="157" bestFit="1" customWidth="1"/>
    <col min="5145" max="5145" width="10.83203125" style="157" bestFit="1" customWidth="1"/>
    <col min="5146" max="5381" width="8.83203125" style="157"/>
    <col min="5382" max="5382" width="38.1640625" style="157" customWidth="1"/>
    <col min="5383" max="5383" width="23.44140625" style="157" bestFit="1" customWidth="1"/>
    <col min="5384" max="5385" width="9.1640625" style="157" customWidth="1"/>
    <col min="5386" max="5386" width="11.1640625" style="157" bestFit="1" customWidth="1"/>
    <col min="5387" max="5387" width="14.44140625" style="157" bestFit="1" customWidth="1"/>
    <col min="5388" max="5388" width="8.1640625" style="157" customWidth="1"/>
    <col min="5389" max="5389" width="10.83203125" style="157" bestFit="1" customWidth="1"/>
    <col min="5390" max="5390" width="12.1640625" style="157" bestFit="1" customWidth="1"/>
    <col min="5391" max="5391" width="9.1640625" style="157" customWidth="1"/>
    <col min="5392" max="5392" width="10.83203125" style="157" bestFit="1" customWidth="1"/>
    <col min="5393" max="5393" width="12.1640625" style="157" bestFit="1" customWidth="1"/>
    <col min="5394" max="5394" width="8" style="157" customWidth="1"/>
    <col min="5395" max="5395" width="10.83203125" style="157" bestFit="1" customWidth="1"/>
    <col min="5396" max="5396" width="12.1640625" style="157" bestFit="1" customWidth="1"/>
    <col min="5397" max="5397" width="8.1640625" style="157" bestFit="1" customWidth="1"/>
    <col min="5398" max="5398" width="10.83203125" style="157" bestFit="1" customWidth="1"/>
    <col min="5399" max="5399" width="12.1640625" style="157" bestFit="1" customWidth="1"/>
    <col min="5400" max="5400" width="18.1640625" style="157" bestFit="1" customWidth="1"/>
    <col min="5401" max="5401" width="10.83203125" style="157" bestFit="1" customWidth="1"/>
    <col min="5402" max="5637" width="8.83203125" style="157"/>
    <col min="5638" max="5638" width="38.1640625" style="157" customWidth="1"/>
    <col min="5639" max="5639" width="23.44140625" style="157" bestFit="1" customWidth="1"/>
    <col min="5640" max="5641" width="9.1640625" style="157" customWidth="1"/>
    <col min="5642" max="5642" width="11.1640625" style="157" bestFit="1" customWidth="1"/>
    <col min="5643" max="5643" width="14.44140625" style="157" bestFit="1" customWidth="1"/>
    <col min="5644" max="5644" width="8.1640625" style="157" customWidth="1"/>
    <col min="5645" max="5645" width="10.83203125" style="157" bestFit="1" customWidth="1"/>
    <col min="5646" max="5646" width="12.1640625" style="157" bestFit="1" customWidth="1"/>
    <col min="5647" max="5647" width="9.1640625" style="157" customWidth="1"/>
    <col min="5648" max="5648" width="10.83203125" style="157" bestFit="1" customWidth="1"/>
    <col min="5649" max="5649" width="12.1640625" style="157" bestFit="1" customWidth="1"/>
    <col min="5650" max="5650" width="8" style="157" customWidth="1"/>
    <col min="5651" max="5651" width="10.83203125" style="157" bestFit="1" customWidth="1"/>
    <col min="5652" max="5652" width="12.1640625" style="157" bestFit="1" customWidth="1"/>
    <col min="5653" max="5653" width="8.1640625" style="157" bestFit="1" customWidth="1"/>
    <col min="5654" max="5654" width="10.83203125" style="157" bestFit="1" customWidth="1"/>
    <col min="5655" max="5655" width="12.1640625" style="157" bestFit="1" customWidth="1"/>
    <col min="5656" max="5656" width="18.1640625" style="157" bestFit="1" customWidth="1"/>
    <col min="5657" max="5657" width="10.83203125" style="157" bestFit="1" customWidth="1"/>
    <col min="5658" max="5893" width="8.83203125" style="157"/>
    <col min="5894" max="5894" width="38.1640625" style="157" customWidth="1"/>
    <col min="5895" max="5895" width="23.44140625" style="157" bestFit="1" customWidth="1"/>
    <col min="5896" max="5897" width="9.1640625" style="157" customWidth="1"/>
    <col min="5898" max="5898" width="11.1640625" style="157" bestFit="1" customWidth="1"/>
    <col min="5899" max="5899" width="14.44140625" style="157" bestFit="1" customWidth="1"/>
    <col min="5900" max="5900" width="8.1640625" style="157" customWidth="1"/>
    <col min="5901" max="5901" width="10.83203125" style="157" bestFit="1" customWidth="1"/>
    <col min="5902" max="5902" width="12.1640625" style="157" bestFit="1" customWidth="1"/>
    <col min="5903" max="5903" width="9.1640625" style="157" customWidth="1"/>
    <col min="5904" max="5904" width="10.83203125" style="157" bestFit="1" customWidth="1"/>
    <col min="5905" max="5905" width="12.1640625" style="157" bestFit="1" customWidth="1"/>
    <col min="5906" max="5906" width="8" style="157" customWidth="1"/>
    <col min="5907" max="5907" width="10.83203125" style="157" bestFit="1" customWidth="1"/>
    <col min="5908" max="5908" width="12.1640625" style="157" bestFit="1" customWidth="1"/>
    <col min="5909" max="5909" width="8.1640625" style="157" bestFit="1" customWidth="1"/>
    <col min="5910" max="5910" width="10.83203125" style="157" bestFit="1" customWidth="1"/>
    <col min="5911" max="5911" width="12.1640625" style="157" bestFit="1" customWidth="1"/>
    <col min="5912" max="5912" width="18.1640625" style="157" bestFit="1" customWidth="1"/>
    <col min="5913" max="5913" width="10.83203125" style="157" bestFit="1" customWidth="1"/>
    <col min="5914" max="6149" width="8.83203125" style="157"/>
    <col min="6150" max="6150" width="38.1640625" style="157" customWidth="1"/>
    <col min="6151" max="6151" width="23.44140625" style="157" bestFit="1" customWidth="1"/>
    <col min="6152" max="6153" width="9.1640625" style="157" customWidth="1"/>
    <col min="6154" max="6154" width="11.1640625" style="157" bestFit="1" customWidth="1"/>
    <col min="6155" max="6155" width="14.44140625" style="157" bestFit="1" customWidth="1"/>
    <col min="6156" max="6156" width="8.1640625" style="157" customWidth="1"/>
    <col min="6157" max="6157" width="10.83203125" style="157" bestFit="1" customWidth="1"/>
    <col min="6158" max="6158" width="12.1640625" style="157" bestFit="1" customWidth="1"/>
    <col min="6159" max="6159" width="9.1640625" style="157" customWidth="1"/>
    <col min="6160" max="6160" width="10.83203125" style="157" bestFit="1" customWidth="1"/>
    <col min="6161" max="6161" width="12.1640625" style="157" bestFit="1" customWidth="1"/>
    <col min="6162" max="6162" width="8" style="157" customWidth="1"/>
    <col min="6163" max="6163" width="10.83203125" style="157" bestFit="1" customWidth="1"/>
    <col min="6164" max="6164" width="12.1640625" style="157" bestFit="1" customWidth="1"/>
    <col min="6165" max="6165" width="8.1640625" style="157" bestFit="1" customWidth="1"/>
    <col min="6166" max="6166" width="10.83203125" style="157" bestFit="1" customWidth="1"/>
    <col min="6167" max="6167" width="12.1640625" style="157" bestFit="1" customWidth="1"/>
    <col min="6168" max="6168" width="18.1640625" style="157" bestFit="1" customWidth="1"/>
    <col min="6169" max="6169" width="10.83203125" style="157" bestFit="1" customWidth="1"/>
    <col min="6170" max="6405" width="8.83203125" style="157"/>
    <col min="6406" max="6406" width="38.1640625" style="157" customWidth="1"/>
    <col min="6407" max="6407" width="23.44140625" style="157" bestFit="1" customWidth="1"/>
    <col min="6408" max="6409" width="9.1640625" style="157" customWidth="1"/>
    <col min="6410" max="6410" width="11.1640625" style="157" bestFit="1" customWidth="1"/>
    <col min="6411" max="6411" width="14.44140625" style="157" bestFit="1" customWidth="1"/>
    <col min="6412" max="6412" width="8.1640625" style="157" customWidth="1"/>
    <col min="6413" max="6413" width="10.83203125" style="157" bestFit="1" customWidth="1"/>
    <col min="6414" max="6414" width="12.1640625" style="157" bestFit="1" customWidth="1"/>
    <col min="6415" max="6415" width="9.1640625" style="157" customWidth="1"/>
    <col min="6416" max="6416" width="10.83203125" style="157" bestFit="1" customWidth="1"/>
    <col min="6417" max="6417" width="12.1640625" style="157" bestFit="1" customWidth="1"/>
    <col min="6418" max="6418" width="8" style="157" customWidth="1"/>
    <col min="6419" max="6419" width="10.83203125" style="157" bestFit="1" customWidth="1"/>
    <col min="6420" max="6420" width="12.1640625" style="157" bestFit="1" customWidth="1"/>
    <col min="6421" max="6421" width="8.1640625" style="157" bestFit="1" customWidth="1"/>
    <col min="6422" max="6422" width="10.83203125" style="157" bestFit="1" customWidth="1"/>
    <col min="6423" max="6423" width="12.1640625" style="157" bestFit="1" customWidth="1"/>
    <col min="6424" max="6424" width="18.1640625" style="157" bestFit="1" customWidth="1"/>
    <col min="6425" max="6425" width="10.83203125" style="157" bestFit="1" customWidth="1"/>
    <col min="6426" max="6661" width="8.83203125" style="157"/>
    <col min="6662" max="6662" width="38.1640625" style="157" customWidth="1"/>
    <col min="6663" max="6663" width="23.44140625" style="157" bestFit="1" customWidth="1"/>
    <col min="6664" max="6665" width="9.1640625" style="157" customWidth="1"/>
    <col min="6666" max="6666" width="11.1640625" style="157" bestFit="1" customWidth="1"/>
    <col min="6667" max="6667" width="14.44140625" style="157" bestFit="1" customWidth="1"/>
    <col min="6668" max="6668" width="8.1640625" style="157" customWidth="1"/>
    <col min="6669" max="6669" width="10.83203125" style="157" bestFit="1" customWidth="1"/>
    <col min="6670" max="6670" width="12.1640625" style="157" bestFit="1" customWidth="1"/>
    <col min="6671" max="6671" width="9.1640625" style="157" customWidth="1"/>
    <col min="6672" max="6672" width="10.83203125" style="157" bestFit="1" customWidth="1"/>
    <col min="6673" max="6673" width="12.1640625" style="157" bestFit="1" customWidth="1"/>
    <col min="6674" max="6674" width="8" style="157" customWidth="1"/>
    <col min="6675" max="6675" width="10.83203125" style="157" bestFit="1" customWidth="1"/>
    <col min="6676" max="6676" width="12.1640625" style="157" bestFit="1" customWidth="1"/>
    <col min="6677" max="6677" width="8.1640625" style="157" bestFit="1" customWidth="1"/>
    <col min="6678" max="6678" width="10.83203125" style="157" bestFit="1" customWidth="1"/>
    <col min="6679" max="6679" width="12.1640625" style="157" bestFit="1" customWidth="1"/>
    <col min="6680" max="6680" width="18.1640625" style="157" bestFit="1" customWidth="1"/>
    <col min="6681" max="6681" width="10.83203125" style="157" bestFit="1" customWidth="1"/>
    <col min="6682" max="6917" width="8.83203125" style="157"/>
    <col min="6918" max="6918" width="38.1640625" style="157" customWidth="1"/>
    <col min="6919" max="6919" width="23.44140625" style="157" bestFit="1" customWidth="1"/>
    <col min="6920" max="6921" width="9.1640625" style="157" customWidth="1"/>
    <col min="6922" max="6922" width="11.1640625" style="157" bestFit="1" customWidth="1"/>
    <col min="6923" max="6923" width="14.44140625" style="157" bestFit="1" customWidth="1"/>
    <col min="6924" max="6924" width="8.1640625" style="157" customWidth="1"/>
    <col min="6925" max="6925" width="10.83203125" style="157" bestFit="1" customWidth="1"/>
    <col min="6926" max="6926" width="12.1640625" style="157" bestFit="1" customWidth="1"/>
    <col min="6927" max="6927" width="9.1640625" style="157" customWidth="1"/>
    <col min="6928" max="6928" width="10.83203125" style="157" bestFit="1" customWidth="1"/>
    <col min="6929" max="6929" width="12.1640625" style="157" bestFit="1" customWidth="1"/>
    <col min="6930" max="6930" width="8" style="157" customWidth="1"/>
    <col min="6931" max="6931" width="10.83203125" style="157" bestFit="1" customWidth="1"/>
    <col min="6932" max="6932" width="12.1640625" style="157" bestFit="1" customWidth="1"/>
    <col min="6933" max="6933" width="8.1640625" style="157" bestFit="1" customWidth="1"/>
    <col min="6934" max="6934" width="10.83203125" style="157" bestFit="1" customWidth="1"/>
    <col min="6935" max="6935" width="12.1640625" style="157" bestFit="1" customWidth="1"/>
    <col min="6936" max="6936" width="18.1640625" style="157" bestFit="1" customWidth="1"/>
    <col min="6937" max="6937" width="10.83203125" style="157" bestFit="1" customWidth="1"/>
    <col min="6938" max="7173" width="8.83203125" style="157"/>
    <col min="7174" max="7174" width="38.1640625" style="157" customWidth="1"/>
    <col min="7175" max="7175" width="23.44140625" style="157" bestFit="1" customWidth="1"/>
    <col min="7176" max="7177" width="9.1640625" style="157" customWidth="1"/>
    <col min="7178" max="7178" width="11.1640625" style="157" bestFit="1" customWidth="1"/>
    <col min="7179" max="7179" width="14.44140625" style="157" bestFit="1" customWidth="1"/>
    <col min="7180" max="7180" width="8.1640625" style="157" customWidth="1"/>
    <col min="7181" max="7181" width="10.83203125" style="157" bestFit="1" customWidth="1"/>
    <col min="7182" max="7182" width="12.1640625" style="157" bestFit="1" customWidth="1"/>
    <col min="7183" max="7183" width="9.1640625" style="157" customWidth="1"/>
    <col min="7184" max="7184" width="10.83203125" style="157" bestFit="1" customWidth="1"/>
    <col min="7185" max="7185" width="12.1640625" style="157" bestFit="1" customWidth="1"/>
    <col min="7186" max="7186" width="8" style="157" customWidth="1"/>
    <col min="7187" max="7187" width="10.83203125" style="157" bestFit="1" customWidth="1"/>
    <col min="7188" max="7188" width="12.1640625" style="157" bestFit="1" customWidth="1"/>
    <col min="7189" max="7189" width="8.1640625" style="157" bestFit="1" customWidth="1"/>
    <col min="7190" max="7190" width="10.83203125" style="157" bestFit="1" customWidth="1"/>
    <col min="7191" max="7191" width="12.1640625" style="157" bestFit="1" customWidth="1"/>
    <col min="7192" max="7192" width="18.1640625" style="157" bestFit="1" customWidth="1"/>
    <col min="7193" max="7193" width="10.83203125" style="157" bestFit="1" customWidth="1"/>
    <col min="7194" max="7429" width="8.83203125" style="157"/>
    <col min="7430" max="7430" width="38.1640625" style="157" customWidth="1"/>
    <col min="7431" max="7431" width="23.44140625" style="157" bestFit="1" customWidth="1"/>
    <col min="7432" max="7433" width="9.1640625" style="157" customWidth="1"/>
    <col min="7434" max="7434" width="11.1640625" style="157" bestFit="1" customWidth="1"/>
    <col min="7435" max="7435" width="14.44140625" style="157" bestFit="1" customWidth="1"/>
    <col min="7436" max="7436" width="8.1640625" style="157" customWidth="1"/>
    <col min="7437" max="7437" width="10.83203125" style="157" bestFit="1" customWidth="1"/>
    <col min="7438" max="7438" width="12.1640625" style="157" bestFit="1" customWidth="1"/>
    <col min="7439" max="7439" width="9.1640625" style="157" customWidth="1"/>
    <col min="7440" max="7440" width="10.83203125" style="157" bestFit="1" customWidth="1"/>
    <col min="7441" max="7441" width="12.1640625" style="157" bestFit="1" customWidth="1"/>
    <col min="7442" max="7442" width="8" style="157" customWidth="1"/>
    <col min="7443" max="7443" width="10.83203125" style="157" bestFit="1" customWidth="1"/>
    <col min="7444" max="7444" width="12.1640625" style="157" bestFit="1" customWidth="1"/>
    <col min="7445" max="7445" width="8.1640625" style="157" bestFit="1" customWidth="1"/>
    <col min="7446" max="7446" width="10.83203125" style="157" bestFit="1" customWidth="1"/>
    <col min="7447" max="7447" width="12.1640625" style="157" bestFit="1" customWidth="1"/>
    <col min="7448" max="7448" width="18.1640625" style="157" bestFit="1" customWidth="1"/>
    <col min="7449" max="7449" width="10.83203125" style="157" bestFit="1" customWidth="1"/>
    <col min="7450" max="7685" width="8.83203125" style="157"/>
    <col min="7686" max="7686" width="38.1640625" style="157" customWidth="1"/>
    <col min="7687" max="7687" width="23.44140625" style="157" bestFit="1" customWidth="1"/>
    <col min="7688" max="7689" width="9.1640625" style="157" customWidth="1"/>
    <col min="7690" max="7690" width="11.1640625" style="157" bestFit="1" customWidth="1"/>
    <col min="7691" max="7691" width="14.44140625" style="157" bestFit="1" customWidth="1"/>
    <col min="7692" max="7692" width="8.1640625" style="157" customWidth="1"/>
    <col min="7693" max="7693" width="10.83203125" style="157" bestFit="1" customWidth="1"/>
    <col min="7694" max="7694" width="12.1640625" style="157" bestFit="1" customWidth="1"/>
    <col min="7695" max="7695" width="9.1640625" style="157" customWidth="1"/>
    <col min="7696" max="7696" width="10.83203125" style="157" bestFit="1" customWidth="1"/>
    <col min="7697" max="7697" width="12.1640625" style="157" bestFit="1" customWidth="1"/>
    <col min="7698" max="7698" width="8" style="157" customWidth="1"/>
    <col min="7699" max="7699" width="10.83203125" style="157" bestFit="1" customWidth="1"/>
    <col min="7700" max="7700" width="12.1640625" style="157" bestFit="1" customWidth="1"/>
    <col min="7701" max="7701" width="8.1640625" style="157" bestFit="1" customWidth="1"/>
    <col min="7702" max="7702" width="10.83203125" style="157" bestFit="1" customWidth="1"/>
    <col min="7703" max="7703" width="12.1640625" style="157" bestFit="1" customWidth="1"/>
    <col min="7704" max="7704" width="18.1640625" style="157" bestFit="1" customWidth="1"/>
    <col min="7705" max="7705" width="10.83203125" style="157" bestFit="1" customWidth="1"/>
    <col min="7706" max="7941" width="8.83203125" style="157"/>
    <col min="7942" max="7942" width="38.1640625" style="157" customWidth="1"/>
    <col min="7943" max="7943" width="23.44140625" style="157" bestFit="1" customWidth="1"/>
    <col min="7944" max="7945" width="9.1640625" style="157" customWidth="1"/>
    <col min="7946" max="7946" width="11.1640625" style="157" bestFit="1" customWidth="1"/>
    <col min="7947" max="7947" width="14.44140625" style="157" bestFit="1" customWidth="1"/>
    <col min="7948" max="7948" width="8.1640625" style="157" customWidth="1"/>
    <col min="7949" max="7949" width="10.83203125" style="157" bestFit="1" customWidth="1"/>
    <col min="7950" max="7950" width="12.1640625" style="157" bestFit="1" customWidth="1"/>
    <col min="7951" max="7951" width="9.1640625" style="157" customWidth="1"/>
    <col min="7952" max="7952" width="10.83203125" style="157" bestFit="1" customWidth="1"/>
    <col min="7953" max="7953" width="12.1640625" style="157" bestFit="1" customWidth="1"/>
    <col min="7954" max="7954" width="8" style="157" customWidth="1"/>
    <col min="7955" max="7955" width="10.83203125" style="157" bestFit="1" customWidth="1"/>
    <col min="7956" max="7956" width="12.1640625" style="157" bestFit="1" customWidth="1"/>
    <col min="7957" max="7957" width="8.1640625" style="157" bestFit="1" customWidth="1"/>
    <col min="7958" max="7958" width="10.83203125" style="157" bestFit="1" customWidth="1"/>
    <col min="7959" max="7959" width="12.1640625" style="157" bestFit="1" customWidth="1"/>
    <col min="7960" max="7960" width="18.1640625" style="157" bestFit="1" customWidth="1"/>
    <col min="7961" max="7961" width="10.83203125" style="157" bestFit="1" customWidth="1"/>
    <col min="7962" max="8197" width="8.83203125" style="157"/>
    <col min="8198" max="8198" width="38.1640625" style="157" customWidth="1"/>
    <col min="8199" max="8199" width="23.44140625" style="157" bestFit="1" customWidth="1"/>
    <col min="8200" max="8201" width="9.1640625" style="157" customWidth="1"/>
    <col min="8202" max="8202" width="11.1640625" style="157" bestFit="1" customWidth="1"/>
    <col min="8203" max="8203" width="14.44140625" style="157" bestFit="1" customWidth="1"/>
    <col min="8204" max="8204" width="8.1640625" style="157" customWidth="1"/>
    <col min="8205" max="8205" width="10.83203125" style="157" bestFit="1" customWidth="1"/>
    <col min="8206" max="8206" width="12.1640625" style="157" bestFit="1" customWidth="1"/>
    <col min="8207" max="8207" width="9.1640625" style="157" customWidth="1"/>
    <col min="8208" max="8208" width="10.83203125" style="157" bestFit="1" customWidth="1"/>
    <col min="8209" max="8209" width="12.1640625" style="157" bestFit="1" customWidth="1"/>
    <col min="8210" max="8210" width="8" style="157" customWidth="1"/>
    <col min="8211" max="8211" width="10.83203125" style="157" bestFit="1" customWidth="1"/>
    <col min="8212" max="8212" width="12.1640625" style="157" bestFit="1" customWidth="1"/>
    <col min="8213" max="8213" width="8.1640625" style="157" bestFit="1" customWidth="1"/>
    <col min="8214" max="8214" width="10.83203125" style="157" bestFit="1" customWidth="1"/>
    <col min="8215" max="8215" width="12.1640625" style="157" bestFit="1" customWidth="1"/>
    <col min="8216" max="8216" width="18.1640625" style="157" bestFit="1" customWidth="1"/>
    <col min="8217" max="8217" width="10.83203125" style="157" bestFit="1" customWidth="1"/>
    <col min="8218" max="8453" width="8.83203125" style="157"/>
    <col min="8454" max="8454" width="38.1640625" style="157" customWidth="1"/>
    <col min="8455" max="8455" width="23.44140625" style="157" bestFit="1" customWidth="1"/>
    <col min="8456" max="8457" width="9.1640625" style="157" customWidth="1"/>
    <col min="8458" max="8458" width="11.1640625" style="157" bestFit="1" customWidth="1"/>
    <col min="8459" max="8459" width="14.44140625" style="157" bestFit="1" customWidth="1"/>
    <col min="8460" max="8460" width="8.1640625" style="157" customWidth="1"/>
    <col min="8461" max="8461" width="10.83203125" style="157" bestFit="1" customWidth="1"/>
    <col min="8462" max="8462" width="12.1640625" style="157" bestFit="1" customWidth="1"/>
    <col min="8463" max="8463" width="9.1640625" style="157" customWidth="1"/>
    <col min="8464" max="8464" width="10.83203125" style="157" bestFit="1" customWidth="1"/>
    <col min="8465" max="8465" width="12.1640625" style="157" bestFit="1" customWidth="1"/>
    <col min="8466" max="8466" width="8" style="157" customWidth="1"/>
    <col min="8467" max="8467" width="10.83203125" style="157" bestFit="1" customWidth="1"/>
    <col min="8468" max="8468" width="12.1640625" style="157" bestFit="1" customWidth="1"/>
    <col min="8469" max="8469" width="8.1640625" style="157" bestFit="1" customWidth="1"/>
    <col min="8470" max="8470" width="10.83203125" style="157" bestFit="1" customWidth="1"/>
    <col min="8471" max="8471" width="12.1640625" style="157" bestFit="1" customWidth="1"/>
    <col min="8472" max="8472" width="18.1640625" style="157" bestFit="1" customWidth="1"/>
    <col min="8473" max="8473" width="10.83203125" style="157" bestFit="1" customWidth="1"/>
    <col min="8474" max="8709" width="8.83203125" style="157"/>
    <col min="8710" max="8710" width="38.1640625" style="157" customWidth="1"/>
    <col min="8711" max="8711" width="23.44140625" style="157" bestFit="1" customWidth="1"/>
    <col min="8712" max="8713" width="9.1640625" style="157" customWidth="1"/>
    <col min="8714" max="8714" width="11.1640625" style="157" bestFit="1" customWidth="1"/>
    <col min="8715" max="8715" width="14.44140625" style="157" bestFit="1" customWidth="1"/>
    <col min="8716" max="8716" width="8.1640625" style="157" customWidth="1"/>
    <col min="8717" max="8717" width="10.83203125" style="157" bestFit="1" customWidth="1"/>
    <col min="8718" max="8718" width="12.1640625" style="157" bestFit="1" customWidth="1"/>
    <col min="8719" max="8719" width="9.1640625" style="157" customWidth="1"/>
    <col min="8720" max="8720" width="10.83203125" style="157" bestFit="1" customWidth="1"/>
    <col min="8721" max="8721" width="12.1640625" style="157" bestFit="1" customWidth="1"/>
    <col min="8722" max="8722" width="8" style="157" customWidth="1"/>
    <col min="8723" max="8723" width="10.83203125" style="157" bestFit="1" customWidth="1"/>
    <col min="8724" max="8724" width="12.1640625" style="157" bestFit="1" customWidth="1"/>
    <col min="8725" max="8725" width="8.1640625" style="157" bestFit="1" customWidth="1"/>
    <col min="8726" max="8726" width="10.83203125" style="157" bestFit="1" customWidth="1"/>
    <col min="8727" max="8727" width="12.1640625" style="157" bestFit="1" customWidth="1"/>
    <col min="8728" max="8728" width="18.1640625" style="157" bestFit="1" customWidth="1"/>
    <col min="8729" max="8729" width="10.83203125" style="157" bestFit="1" customWidth="1"/>
    <col min="8730" max="8965" width="8.83203125" style="157"/>
    <col min="8966" max="8966" width="38.1640625" style="157" customWidth="1"/>
    <col min="8967" max="8967" width="23.44140625" style="157" bestFit="1" customWidth="1"/>
    <col min="8968" max="8969" width="9.1640625" style="157" customWidth="1"/>
    <col min="8970" max="8970" width="11.1640625" style="157" bestFit="1" customWidth="1"/>
    <col min="8971" max="8971" width="14.44140625" style="157" bestFit="1" customWidth="1"/>
    <col min="8972" max="8972" width="8.1640625" style="157" customWidth="1"/>
    <col min="8973" max="8973" width="10.83203125" style="157" bestFit="1" customWidth="1"/>
    <col min="8974" max="8974" width="12.1640625" style="157" bestFit="1" customWidth="1"/>
    <col min="8975" max="8975" width="9.1640625" style="157" customWidth="1"/>
    <col min="8976" max="8976" width="10.83203125" style="157" bestFit="1" customWidth="1"/>
    <col min="8977" max="8977" width="12.1640625" style="157" bestFit="1" customWidth="1"/>
    <col min="8978" max="8978" width="8" style="157" customWidth="1"/>
    <col min="8979" max="8979" width="10.83203125" style="157" bestFit="1" customWidth="1"/>
    <col min="8980" max="8980" width="12.1640625" style="157" bestFit="1" customWidth="1"/>
    <col min="8981" max="8981" width="8.1640625" style="157" bestFit="1" customWidth="1"/>
    <col min="8982" max="8982" width="10.83203125" style="157" bestFit="1" customWidth="1"/>
    <col min="8983" max="8983" width="12.1640625" style="157" bestFit="1" customWidth="1"/>
    <col min="8984" max="8984" width="18.1640625" style="157" bestFit="1" customWidth="1"/>
    <col min="8985" max="8985" width="10.83203125" style="157" bestFit="1" customWidth="1"/>
    <col min="8986" max="9221" width="8.83203125" style="157"/>
    <col min="9222" max="9222" width="38.1640625" style="157" customWidth="1"/>
    <col min="9223" max="9223" width="23.44140625" style="157" bestFit="1" customWidth="1"/>
    <col min="9224" max="9225" width="9.1640625" style="157" customWidth="1"/>
    <col min="9226" max="9226" width="11.1640625" style="157" bestFit="1" customWidth="1"/>
    <col min="9227" max="9227" width="14.44140625" style="157" bestFit="1" customWidth="1"/>
    <col min="9228" max="9228" width="8.1640625" style="157" customWidth="1"/>
    <col min="9229" max="9229" width="10.83203125" style="157" bestFit="1" customWidth="1"/>
    <col min="9230" max="9230" width="12.1640625" style="157" bestFit="1" customWidth="1"/>
    <col min="9231" max="9231" width="9.1640625" style="157" customWidth="1"/>
    <col min="9232" max="9232" width="10.83203125" style="157" bestFit="1" customWidth="1"/>
    <col min="9233" max="9233" width="12.1640625" style="157" bestFit="1" customWidth="1"/>
    <col min="9234" max="9234" width="8" style="157" customWidth="1"/>
    <col min="9235" max="9235" width="10.83203125" style="157" bestFit="1" customWidth="1"/>
    <col min="9236" max="9236" width="12.1640625" style="157" bestFit="1" customWidth="1"/>
    <col min="9237" max="9237" width="8.1640625" style="157" bestFit="1" customWidth="1"/>
    <col min="9238" max="9238" width="10.83203125" style="157" bestFit="1" customWidth="1"/>
    <col min="9239" max="9239" width="12.1640625" style="157" bestFit="1" customWidth="1"/>
    <col min="9240" max="9240" width="18.1640625" style="157" bestFit="1" customWidth="1"/>
    <col min="9241" max="9241" width="10.83203125" style="157" bestFit="1" customWidth="1"/>
    <col min="9242" max="9477" width="8.83203125" style="157"/>
    <col min="9478" max="9478" width="38.1640625" style="157" customWidth="1"/>
    <col min="9479" max="9479" width="23.44140625" style="157" bestFit="1" customWidth="1"/>
    <col min="9480" max="9481" width="9.1640625" style="157" customWidth="1"/>
    <col min="9482" max="9482" width="11.1640625" style="157" bestFit="1" customWidth="1"/>
    <col min="9483" max="9483" width="14.44140625" style="157" bestFit="1" customWidth="1"/>
    <col min="9484" max="9484" width="8.1640625" style="157" customWidth="1"/>
    <col min="9485" max="9485" width="10.83203125" style="157" bestFit="1" customWidth="1"/>
    <col min="9486" max="9486" width="12.1640625" style="157" bestFit="1" customWidth="1"/>
    <col min="9487" max="9487" width="9.1640625" style="157" customWidth="1"/>
    <col min="9488" max="9488" width="10.83203125" style="157" bestFit="1" customWidth="1"/>
    <col min="9489" max="9489" width="12.1640625" style="157" bestFit="1" customWidth="1"/>
    <col min="9490" max="9490" width="8" style="157" customWidth="1"/>
    <col min="9491" max="9491" width="10.83203125" style="157" bestFit="1" customWidth="1"/>
    <col min="9492" max="9492" width="12.1640625" style="157" bestFit="1" customWidth="1"/>
    <col min="9493" max="9493" width="8.1640625" style="157" bestFit="1" customWidth="1"/>
    <col min="9494" max="9494" width="10.83203125" style="157" bestFit="1" customWidth="1"/>
    <col min="9495" max="9495" width="12.1640625" style="157" bestFit="1" customWidth="1"/>
    <col min="9496" max="9496" width="18.1640625" style="157" bestFit="1" customWidth="1"/>
    <col min="9497" max="9497" width="10.83203125" style="157" bestFit="1" customWidth="1"/>
    <col min="9498" max="9733" width="8.83203125" style="157"/>
    <col min="9734" max="9734" width="38.1640625" style="157" customWidth="1"/>
    <col min="9735" max="9735" width="23.44140625" style="157" bestFit="1" customWidth="1"/>
    <col min="9736" max="9737" width="9.1640625" style="157" customWidth="1"/>
    <col min="9738" max="9738" width="11.1640625" style="157" bestFit="1" customWidth="1"/>
    <col min="9739" max="9739" width="14.44140625" style="157" bestFit="1" customWidth="1"/>
    <col min="9740" max="9740" width="8.1640625" style="157" customWidth="1"/>
    <col min="9741" max="9741" width="10.83203125" style="157" bestFit="1" customWidth="1"/>
    <col min="9742" max="9742" width="12.1640625" style="157" bestFit="1" customWidth="1"/>
    <col min="9743" max="9743" width="9.1640625" style="157" customWidth="1"/>
    <col min="9744" max="9744" width="10.83203125" style="157" bestFit="1" customWidth="1"/>
    <col min="9745" max="9745" width="12.1640625" style="157" bestFit="1" customWidth="1"/>
    <col min="9746" max="9746" width="8" style="157" customWidth="1"/>
    <col min="9747" max="9747" width="10.83203125" style="157" bestFit="1" customWidth="1"/>
    <col min="9748" max="9748" width="12.1640625" style="157" bestFit="1" customWidth="1"/>
    <col min="9749" max="9749" width="8.1640625" style="157" bestFit="1" customWidth="1"/>
    <col min="9750" max="9750" width="10.83203125" style="157" bestFit="1" customWidth="1"/>
    <col min="9751" max="9751" width="12.1640625" style="157" bestFit="1" customWidth="1"/>
    <col min="9752" max="9752" width="18.1640625" style="157" bestFit="1" customWidth="1"/>
    <col min="9753" max="9753" width="10.83203125" style="157" bestFit="1" customWidth="1"/>
    <col min="9754" max="9989" width="8.83203125" style="157"/>
    <col min="9990" max="9990" width="38.1640625" style="157" customWidth="1"/>
    <col min="9991" max="9991" width="23.44140625" style="157" bestFit="1" customWidth="1"/>
    <col min="9992" max="9993" width="9.1640625" style="157" customWidth="1"/>
    <col min="9994" max="9994" width="11.1640625" style="157" bestFit="1" customWidth="1"/>
    <col min="9995" max="9995" width="14.44140625" style="157" bestFit="1" customWidth="1"/>
    <col min="9996" max="9996" width="8.1640625" style="157" customWidth="1"/>
    <col min="9997" max="9997" width="10.83203125" style="157" bestFit="1" customWidth="1"/>
    <col min="9998" max="9998" width="12.1640625" style="157" bestFit="1" customWidth="1"/>
    <col min="9999" max="9999" width="9.1640625" style="157" customWidth="1"/>
    <col min="10000" max="10000" width="10.83203125" style="157" bestFit="1" customWidth="1"/>
    <col min="10001" max="10001" width="12.1640625" style="157" bestFit="1" customWidth="1"/>
    <col min="10002" max="10002" width="8" style="157" customWidth="1"/>
    <col min="10003" max="10003" width="10.83203125" style="157" bestFit="1" customWidth="1"/>
    <col min="10004" max="10004" width="12.1640625" style="157" bestFit="1" customWidth="1"/>
    <col min="10005" max="10005" width="8.1640625" style="157" bestFit="1" customWidth="1"/>
    <col min="10006" max="10006" width="10.83203125" style="157" bestFit="1" customWidth="1"/>
    <col min="10007" max="10007" width="12.1640625" style="157" bestFit="1" customWidth="1"/>
    <col min="10008" max="10008" width="18.1640625" style="157" bestFit="1" customWidth="1"/>
    <col min="10009" max="10009" width="10.83203125" style="157" bestFit="1" customWidth="1"/>
    <col min="10010" max="10245" width="8.83203125" style="157"/>
    <col min="10246" max="10246" width="38.1640625" style="157" customWidth="1"/>
    <col min="10247" max="10247" width="23.44140625" style="157" bestFit="1" customWidth="1"/>
    <col min="10248" max="10249" width="9.1640625" style="157" customWidth="1"/>
    <col min="10250" max="10250" width="11.1640625" style="157" bestFit="1" customWidth="1"/>
    <col min="10251" max="10251" width="14.44140625" style="157" bestFit="1" customWidth="1"/>
    <col min="10252" max="10252" width="8.1640625" style="157" customWidth="1"/>
    <col min="10253" max="10253" width="10.83203125" style="157" bestFit="1" customWidth="1"/>
    <col min="10254" max="10254" width="12.1640625" style="157" bestFit="1" customWidth="1"/>
    <col min="10255" max="10255" width="9.1640625" style="157" customWidth="1"/>
    <col min="10256" max="10256" width="10.83203125" style="157" bestFit="1" customWidth="1"/>
    <col min="10257" max="10257" width="12.1640625" style="157" bestFit="1" customWidth="1"/>
    <col min="10258" max="10258" width="8" style="157" customWidth="1"/>
    <col min="10259" max="10259" width="10.83203125" style="157" bestFit="1" customWidth="1"/>
    <col min="10260" max="10260" width="12.1640625" style="157" bestFit="1" customWidth="1"/>
    <col min="10261" max="10261" width="8.1640625" style="157" bestFit="1" customWidth="1"/>
    <col min="10262" max="10262" width="10.83203125" style="157" bestFit="1" customWidth="1"/>
    <col min="10263" max="10263" width="12.1640625" style="157" bestFit="1" customWidth="1"/>
    <col min="10264" max="10264" width="18.1640625" style="157" bestFit="1" customWidth="1"/>
    <col min="10265" max="10265" width="10.83203125" style="157" bestFit="1" customWidth="1"/>
    <col min="10266" max="10501" width="8.83203125" style="157"/>
    <col min="10502" max="10502" width="38.1640625" style="157" customWidth="1"/>
    <col min="10503" max="10503" width="23.44140625" style="157" bestFit="1" customWidth="1"/>
    <col min="10504" max="10505" width="9.1640625" style="157" customWidth="1"/>
    <col min="10506" max="10506" width="11.1640625" style="157" bestFit="1" customWidth="1"/>
    <col min="10507" max="10507" width="14.44140625" style="157" bestFit="1" customWidth="1"/>
    <col min="10508" max="10508" width="8.1640625" style="157" customWidth="1"/>
    <col min="10509" max="10509" width="10.83203125" style="157" bestFit="1" customWidth="1"/>
    <col min="10510" max="10510" width="12.1640625" style="157" bestFit="1" customWidth="1"/>
    <col min="10511" max="10511" width="9.1640625" style="157" customWidth="1"/>
    <col min="10512" max="10512" width="10.83203125" style="157" bestFit="1" customWidth="1"/>
    <col min="10513" max="10513" width="12.1640625" style="157" bestFit="1" customWidth="1"/>
    <col min="10514" max="10514" width="8" style="157" customWidth="1"/>
    <col min="10515" max="10515" width="10.83203125" style="157" bestFit="1" customWidth="1"/>
    <col min="10516" max="10516" width="12.1640625" style="157" bestFit="1" customWidth="1"/>
    <col min="10517" max="10517" width="8.1640625" style="157" bestFit="1" customWidth="1"/>
    <col min="10518" max="10518" width="10.83203125" style="157" bestFit="1" customWidth="1"/>
    <col min="10519" max="10519" width="12.1640625" style="157" bestFit="1" customWidth="1"/>
    <col min="10520" max="10520" width="18.1640625" style="157" bestFit="1" customWidth="1"/>
    <col min="10521" max="10521" width="10.83203125" style="157" bestFit="1" customWidth="1"/>
    <col min="10522" max="10757" width="8.83203125" style="157"/>
    <col min="10758" max="10758" width="38.1640625" style="157" customWidth="1"/>
    <col min="10759" max="10759" width="23.44140625" style="157" bestFit="1" customWidth="1"/>
    <col min="10760" max="10761" width="9.1640625" style="157" customWidth="1"/>
    <col min="10762" max="10762" width="11.1640625" style="157" bestFit="1" customWidth="1"/>
    <col min="10763" max="10763" width="14.44140625" style="157" bestFit="1" customWidth="1"/>
    <col min="10764" max="10764" width="8.1640625" style="157" customWidth="1"/>
    <col min="10765" max="10765" width="10.83203125" style="157" bestFit="1" customWidth="1"/>
    <col min="10766" max="10766" width="12.1640625" style="157" bestFit="1" customWidth="1"/>
    <col min="10767" max="10767" width="9.1640625" style="157" customWidth="1"/>
    <col min="10768" max="10768" width="10.83203125" style="157" bestFit="1" customWidth="1"/>
    <col min="10769" max="10769" width="12.1640625" style="157" bestFit="1" customWidth="1"/>
    <col min="10770" max="10770" width="8" style="157" customWidth="1"/>
    <col min="10771" max="10771" width="10.83203125" style="157" bestFit="1" customWidth="1"/>
    <col min="10772" max="10772" width="12.1640625" style="157" bestFit="1" customWidth="1"/>
    <col min="10773" max="10773" width="8.1640625" style="157" bestFit="1" customWidth="1"/>
    <col min="10774" max="10774" width="10.83203125" style="157" bestFit="1" customWidth="1"/>
    <col min="10775" max="10775" width="12.1640625" style="157" bestFit="1" customWidth="1"/>
    <col min="10776" max="10776" width="18.1640625" style="157" bestFit="1" customWidth="1"/>
    <col min="10777" max="10777" width="10.83203125" style="157" bestFit="1" customWidth="1"/>
    <col min="10778" max="11013" width="8.83203125" style="157"/>
    <col min="11014" max="11014" width="38.1640625" style="157" customWidth="1"/>
    <col min="11015" max="11015" width="23.44140625" style="157" bestFit="1" customWidth="1"/>
    <col min="11016" max="11017" width="9.1640625" style="157" customWidth="1"/>
    <col min="11018" max="11018" width="11.1640625" style="157" bestFit="1" customWidth="1"/>
    <col min="11019" max="11019" width="14.44140625" style="157" bestFit="1" customWidth="1"/>
    <col min="11020" max="11020" width="8.1640625" style="157" customWidth="1"/>
    <col min="11021" max="11021" width="10.83203125" style="157" bestFit="1" customWidth="1"/>
    <col min="11022" max="11022" width="12.1640625" style="157" bestFit="1" customWidth="1"/>
    <col min="11023" max="11023" width="9.1640625" style="157" customWidth="1"/>
    <col min="11024" max="11024" width="10.83203125" style="157" bestFit="1" customWidth="1"/>
    <col min="11025" max="11025" width="12.1640625" style="157" bestFit="1" customWidth="1"/>
    <col min="11026" max="11026" width="8" style="157" customWidth="1"/>
    <col min="11027" max="11027" width="10.83203125" style="157" bestFit="1" customWidth="1"/>
    <col min="11028" max="11028" width="12.1640625" style="157" bestFit="1" customWidth="1"/>
    <col min="11029" max="11029" width="8.1640625" style="157" bestFit="1" customWidth="1"/>
    <col min="11030" max="11030" width="10.83203125" style="157" bestFit="1" customWidth="1"/>
    <col min="11031" max="11031" width="12.1640625" style="157" bestFit="1" customWidth="1"/>
    <col min="11032" max="11032" width="18.1640625" style="157" bestFit="1" customWidth="1"/>
    <col min="11033" max="11033" width="10.83203125" style="157" bestFit="1" customWidth="1"/>
    <col min="11034" max="11269" width="8.83203125" style="157"/>
    <col min="11270" max="11270" width="38.1640625" style="157" customWidth="1"/>
    <col min="11271" max="11271" width="23.44140625" style="157" bestFit="1" customWidth="1"/>
    <col min="11272" max="11273" width="9.1640625" style="157" customWidth="1"/>
    <col min="11274" max="11274" width="11.1640625" style="157" bestFit="1" customWidth="1"/>
    <col min="11275" max="11275" width="14.44140625" style="157" bestFit="1" customWidth="1"/>
    <col min="11276" max="11276" width="8.1640625" style="157" customWidth="1"/>
    <col min="11277" max="11277" width="10.83203125" style="157" bestFit="1" customWidth="1"/>
    <col min="11278" max="11278" width="12.1640625" style="157" bestFit="1" customWidth="1"/>
    <col min="11279" max="11279" width="9.1640625" style="157" customWidth="1"/>
    <col min="11280" max="11280" width="10.83203125" style="157" bestFit="1" customWidth="1"/>
    <col min="11281" max="11281" width="12.1640625" style="157" bestFit="1" customWidth="1"/>
    <col min="11282" max="11282" width="8" style="157" customWidth="1"/>
    <col min="11283" max="11283" width="10.83203125" style="157" bestFit="1" customWidth="1"/>
    <col min="11284" max="11284" width="12.1640625" style="157" bestFit="1" customWidth="1"/>
    <col min="11285" max="11285" width="8.1640625" style="157" bestFit="1" customWidth="1"/>
    <col min="11286" max="11286" width="10.83203125" style="157" bestFit="1" customWidth="1"/>
    <col min="11287" max="11287" width="12.1640625" style="157" bestFit="1" customWidth="1"/>
    <col min="11288" max="11288" width="18.1640625" style="157" bestFit="1" customWidth="1"/>
    <col min="11289" max="11289" width="10.83203125" style="157" bestFit="1" customWidth="1"/>
    <col min="11290" max="11525" width="8.83203125" style="157"/>
    <col min="11526" max="11526" width="38.1640625" style="157" customWidth="1"/>
    <col min="11527" max="11527" width="23.44140625" style="157" bestFit="1" customWidth="1"/>
    <col min="11528" max="11529" width="9.1640625" style="157" customWidth="1"/>
    <col min="11530" max="11530" width="11.1640625" style="157" bestFit="1" customWidth="1"/>
    <col min="11531" max="11531" width="14.44140625" style="157" bestFit="1" customWidth="1"/>
    <col min="11532" max="11532" width="8.1640625" style="157" customWidth="1"/>
    <col min="11533" max="11533" width="10.83203125" style="157" bestFit="1" customWidth="1"/>
    <col min="11534" max="11534" width="12.1640625" style="157" bestFit="1" customWidth="1"/>
    <col min="11535" max="11535" width="9.1640625" style="157" customWidth="1"/>
    <col min="11536" max="11536" width="10.83203125" style="157" bestFit="1" customWidth="1"/>
    <col min="11537" max="11537" width="12.1640625" style="157" bestFit="1" customWidth="1"/>
    <col min="11538" max="11538" width="8" style="157" customWidth="1"/>
    <col min="11539" max="11539" width="10.83203125" style="157" bestFit="1" customWidth="1"/>
    <col min="11540" max="11540" width="12.1640625" style="157" bestFit="1" customWidth="1"/>
    <col min="11541" max="11541" width="8.1640625" style="157" bestFit="1" customWidth="1"/>
    <col min="11542" max="11542" width="10.83203125" style="157" bestFit="1" customWidth="1"/>
    <col min="11543" max="11543" width="12.1640625" style="157" bestFit="1" customWidth="1"/>
    <col min="11544" max="11544" width="18.1640625" style="157" bestFit="1" customWidth="1"/>
    <col min="11545" max="11545" width="10.83203125" style="157" bestFit="1" customWidth="1"/>
    <col min="11546" max="11781" width="8.83203125" style="157"/>
    <col min="11782" max="11782" width="38.1640625" style="157" customWidth="1"/>
    <col min="11783" max="11783" width="23.44140625" style="157" bestFit="1" customWidth="1"/>
    <col min="11784" max="11785" width="9.1640625" style="157" customWidth="1"/>
    <col min="11786" max="11786" width="11.1640625" style="157" bestFit="1" customWidth="1"/>
    <col min="11787" max="11787" width="14.44140625" style="157" bestFit="1" customWidth="1"/>
    <col min="11788" max="11788" width="8.1640625" style="157" customWidth="1"/>
    <col min="11789" max="11789" width="10.83203125" style="157" bestFit="1" customWidth="1"/>
    <col min="11790" max="11790" width="12.1640625" style="157" bestFit="1" customWidth="1"/>
    <col min="11791" max="11791" width="9.1640625" style="157" customWidth="1"/>
    <col min="11792" max="11792" width="10.83203125" style="157" bestFit="1" customWidth="1"/>
    <col min="11793" max="11793" width="12.1640625" style="157" bestFit="1" customWidth="1"/>
    <col min="11794" max="11794" width="8" style="157" customWidth="1"/>
    <col min="11795" max="11795" width="10.83203125" style="157" bestFit="1" customWidth="1"/>
    <col min="11796" max="11796" width="12.1640625" style="157" bestFit="1" customWidth="1"/>
    <col min="11797" max="11797" width="8.1640625" style="157" bestFit="1" customWidth="1"/>
    <col min="11798" max="11798" width="10.83203125" style="157" bestFit="1" customWidth="1"/>
    <col min="11799" max="11799" width="12.1640625" style="157" bestFit="1" customWidth="1"/>
    <col min="11800" max="11800" width="18.1640625" style="157" bestFit="1" customWidth="1"/>
    <col min="11801" max="11801" width="10.83203125" style="157" bestFit="1" customWidth="1"/>
    <col min="11802" max="12037" width="8.83203125" style="157"/>
    <col min="12038" max="12038" width="38.1640625" style="157" customWidth="1"/>
    <col min="12039" max="12039" width="23.44140625" style="157" bestFit="1" customWidth="1"/>
    <col min="12040" max="12041" width="9.1640625" style="157" customWidth="1"/>
    <col min="12042" max="12042" width="11.1640625" style="157" bestFit="1" customWidth="1"/>
    <col min="12043" max="12043" width="14.44140625" style="157" bestFit="1" customWidth="1"/>
    <col min="12044" max="12044" width="8.1640625" style="157" customWidth="1"/>
    <col min="12045" max="12045" width="10.83203125" style="157" bestFit="1" customWidth="1"/>
    <col min="12046" max="12046" width="12.1640625" style="157" bestFit="1" customWidth="1"/>
    <col min="12047" max="12047" width="9.1640625" style="157" customWidth="1"/>
    <col min="12048" max="12048" width="10.83203125" style="157" bestFit="1" customWidth="1"/>
    <col min="12049" max="12049" width="12.1640625" style="157" bestFit="1" customWidth="1"/>
    <col min="12050" max="12050" width="8" style="157" customWidth="1"/>
    <col min="12051" max="12051" width="10.83203125" style="157" bestFit="1" customWidth="1"/>
    <col min="12052" max="12052" width="12.1640625" style="157" bestFit="1" customWidth="1"/>
    <col min="12053" max="12053" width="8.1640625" style="157" bestFit="1" customWidth="1"/>
    <col min="12054" max="12054" width="10.83203125" style="157" bestFit="1" customWidth="1"/>
    <col min="12055" max="12055" width="12.1640625" style="157" bestFit="1" customWidth="1"/>
    <col min="12056" max="12056" width="18.1640625" style="157" bestFit="1" customWidth="1"/>
    <col min="12057" max="12057" width="10.83203125" style="157" bestFit="1" customWidth="1"/>
    <col min="12058" max="12293" width="8.83203125" style="157"/>
    <col min="12294" max="12294" width="38.1640625" style="157" customWidth="1"/>
    <col min="12295" max="12295" width="23.44140625" style="157" bestFit="1" customWidth="1"/>
    <col min="12296" max="12297" width="9.1640625" style="157" customWidth="1"/>
    <col min="12298" max="12298" width="11.1640625" style="157" bestFit="1" customWidth="1"/>
    <col min="12299" max="12299" width="14.44140625" style="157" bestFit="1" customWidth="1"/>
    <col min="12300" max="12300" width="8.1640625" style="157" customWidth="1"/>
    <col min="12301" max="12301" width="10.83203125" style="157" bestFit="1" customWidth="1"/>
    <col min="12302" max="12302" width="12.1640625" style="157" bestFit="1" customWidth="1"/>
    <col min="12303" max="12303" width="9.1640625" style="157" customWidth="1"/>
    <col min="12304" max="12304" width="10.83203125" style="157" bestFit="1" customWidth="1"/>
    <col min="12305" max="12305" width="12.1640625" style="157" bestFit="1" customWidth="1"/>
    <col min="12306" max="12306" width="8" style="157" customWidth="1"/>
    <col min="12307" max="12307" width="10.83203125" style="157" bestFit="1" customWidth="1"/>
    <col min="12308" max="12308" width="12.1640625" style="157" bestFit="1" customWidth="1"/>
    <col min="12309" max="12309" width="8.1640625" style="157" bestFit="1" customWidth="1"/>
    <col min="12310" max="12310" width="10.83203125" style="157" bestFit="1" customWidth="1"/>
    <col min="12311" max="12311" width="12.1640625" style="157" bestFit="1" customWidth="1"/>
    <col min="12312" max="12312" width="18.1640625" style="157" bestFit="1" customWidth="1"/>
    <col min="12313" max="12313" width="10.83203125" style="157" bestFit="1" customWidth="1"/>
    <col min="12314" max="12549" width="8.83203125" style="157"/>
    <col min="12550" max="12550" width="38.1640625" style="157" customWidth="1"/>
    <col min="12551" max="12551" width="23.44140625" style="157" bestFit="1" customWidth="1"/>
    <col min="12552" max="12553" width="9.1640625" style="157" customWidth="1"/>
    <col min="12554" max="12554" width="11.1640625" style="157" bestFit="1" customWidth="1"/>
    <col min="12555" max="12555" width="14.44140625" style="157" bestFit="1" customWidth="1"/>
    <col min="12556" max="12556" width="8.1640625" style="157" customWidth="1"/>
    <col min="12557" max="12557" width="10.83203125" style="157" bestFit="1" customWidth="1"/>
    <col min="12558" max="12558" width="12.1640625" style="157" bestFit="1" customWidth="1"/>
    <col min="12559" max="12559" width="9.1640625" style="157" customWidth="1"/>
    <col min="12560" max="12560" width="10.83203125" style="157" bestFit="1" customWidth="1"/>
    <col min="12561" max="12561" width="12.1640625" style="157" bestFit="1" customWidth="1"/>
    <col min="12562" max="12562" width="8" style="157" customWidth="1"/>
    <col min="12563" max="12563" width="10.83203125" style="157" bestFit="1" customWidth="1"/>
    <col min="12564" max="12564" width="12.1640625" style="157" bestFit="1" customWidth="1"/>
    <col min="12565" max="12565" width="8.1640625" style="157" bestFit="1" customWidth="1"/>
    <col min="12566" max="12566" width="10.83203125" style="157" bestFit="1" customWidth="1"/>
    <col min="12567" max="12567" width="12.1640625" style="157" bestFit="1" customWidth="1"/>
    <col min="12568" max="12568" width="18.1640625" style="157" bestFit="1" customWidth="1"/>
    <col min="12569" max="12569" width="10.83203125" style="157" bestFit="1" customWidth="1"/>
    <col min="12570" max="12805" width="8.83203125" style="157"/>
    <col min="12806" max="12806" width="38.1640625" style="157" customWidth="1"/>
    <col min="12807" max="12807" width="23.44140625" style="157" bestFit="1" customWidth="1"/>
    <col min="12808" max="12809" width="9.1640625" style="157" customWidth="1"/>
    <col min="12810" max="12810" width="11.1640625" style="157" bestFit="1" customWidth="1"/>
    <col min="12811" max="12811" width="14.44140625" style="157" bestFit="1" customWidth="1"/>
    <col min="12812" max="12812" width="8.1640625" style="157" customWidth="1"/>
    <col min="12813" max="12813" width="10.83203125" style="157" bestFit="1" customWidth="1"/>
    <col min="12814" max="12814" width="12.1640625" style="157" bestFit="1" customWidth="1"/>
    <col min="12815" max="12815" width="9.1640625" style="157" customWidth="1"/>
    <col min="12816" max="12816" width="10.83203125" style="157" bestFit="1" customWidth="1"/>
    <col min="12817" max="12817" width="12.1640625" style="157" bestFit="1" customWidth="1"/>
    <col min="12818" max="12818" width="8" style="157" customWidth="1"/>
    <col min="12819" max="12819" width="10.83203125" style="157" bestFit="1" customWidth="1"/>
    <col min="12820" max="12820" width="12.1640625" style="157" bestFit="1" customWidth="1"/>
    <col min="12821" max="12821" width="8.1640625" style="157" bestFit="1" customWidth="1"/>
    <col min="12822" max="12822" width="10.83203125" style="157" bestFit="1" customWidth="1"/>
    <col min="12823" max="12823" width="12.1640625" style="157" bestFit="1" customWidth="1"/>
    <col min="12824" max="12824" width="18.1640625" style="157" bestFit="1" customWidth="1"/>
    <col min="12825" max="12825" width="10.83203125" style="157" bestFit="1" customWidth="1"/>
    <col min="12826" max="13061" width="8.83203125" style="157"/>
    <col min="13062" max="13062" width="38.1640625" style="157" customWidth="1"/>
    <col min="13063" max="13063" width="23.44140625" style="157" bestFit="1" customWidth="1"/>
    <col min="13064" max="13065" width="9.1640625" style="157" customWidth="1"/>
    <col min="13066" max="13066" width="11.1640625" style="157" bestFit="1" customWidth="1"/>
    <col min="13067" max="13067" width="14.44140625" style="157" bestFit="1" customWidth="1"/>
    <col min="13068" max="13068" width="8.1640625" style="157" customWidth="1"/>
    <col min="13069" max="13069" width="10.83203125" style="157" bestFit="1" customWidth="1"/>
    <col min="13070" max="13070" width="12.1640625" style="157" bestFit="1" customWidth="1"/>
    <col min="13071" max="13071" width="9.1640625" style="157" customWidth="1"/>
    <col min="13072" max="13072" width="10.83203125" style="157" bestFit="1" customWidth="1"/>
    <col min="13073" max="13073" width="12.1640625" style="157" bestFit="1" customWidth="1"/>
    <col min="13074" max="13074" width="8" style="157" customWidth="1"/>
    <col min="13075" max="13075" width="10.83203125" style="157" bestFit="1" customWidth="1"/>
    <col min="13076" max="13076" width="12.1640625" style="157" bestFit="1" customWidth="1"/>
    <col min="13077" max="13077" width="8.1640625" style="157" bestFit="1" customWidth="1"/>
    <col min="13078" max="13078" width="10.83203125" style="157" bestFit="1" customWidth="1"/>
    <col min="13079" max="13079" width="12.1640625" style="157" bestFit="1" customWidth="1"/>
    <col min="13080" max="13080" width="18.1640625" style="157" bestFit="1" customWidth="1"/>
    <col min="13081" max="13081" width="10.83203125" style="157" bestFit="1" customWidth="1"/>
    <col min="13082" max="13317" width="8.83203125" style="157"/>
    <col min="13318" max="13318" width="38.1640625" style="157" customWidth="1"/>
    <col min="13319" max="13319" width="23.44140625" style="157" bestFit="1" customWidth="1"/>
    <col min="13320" max="13321" width="9.1640625" style="157" customWidth="1"/>
    <col min="13322" max="13322" width="11.1640625" style="157" bestFit="1" customWidth="1"/>
    <col min="13323" max="13323" width="14.44140625" style="157" bestFit="1" customWidth="1"/>
    <col min="13324" max="13324" width="8.1640625" style="157" customWidth="1"/>
    <col min="13325" max="13325" width="10.83203125" style="157" bestFit="1" customWidth="1"/>
    <col min="13326" max="13326" width="12.1640625" style="157" bestFit="1" customWidth="1"/>
    <col min="13327" max="13327" width="9.1640625" style="157" customWidth="1"/>
    <col min="13328" max="13328" width="10.83203125" style="157" bestFit="1" customWidth="1"/>
    <col min="13329" max="13329" width="12.1640625" style="157" bestFit="1" customWidth="1"/>
    <col min="13330" max="13330" width="8" style="157" customWidth="1"/>
    <col min="13331" max="13331" width="10.83203125" style="157" bestFit="1" customWidth="1"/>
    <col min="13332" max="13332" width="12.1640625" style="157" bestFit="1" customWidth="1"/>
    <col min="13333" max="13333" width="8.1640625" style="157" bestFit="1" customWidth="1"/>
    <col min="13334" max="13334" width="10.83203125" style="157" bestFit="1" customWidth="1"/>
    <col min="13335" max="13335" width="12.1640625" style="157" bestFit="1" customWidth="1"/>
    <col min="13336" max="13336" width="18.1640625" style="157" bestFit="1" customWidth="1"/>
    <col min="13337" max="13337" width="10.83203125" style="157" bestFit="1" customWidth="1"/>
    <col min="13338" max="13573" width="8.83203125" style="157"/>
    <col min="13574" max="13574" width="38.1640625" style="157" customWidth="1"/>
    <col min="13575" max="13575" width="23.44140625" style="157" bestFit="1" customWidth="1"/>
    <col min="13576" max="13577" width="9.1640625" style="157" customWidth="1"/>
    <col min="13578" max="13578" width="11.1640625" style="157" bestFit="1" customWidth="1"/>
    <col min="13579" max="13579" width="14.44140625" style="157" bestFit="1" customWidth="1"/>
    <col min="13580" max="13580" width="8.1640625" style="157" customWidth="1"/>
    <col min="13581" max="13581" width="10.83203125" style="157" bestFit="1" customWidth="1"/>
    <col min="13582" max="13582" width="12.1640625" style="157" bestFit="1" customWidth="1"/>
    <col min="13583" max="13583" width="9.1640625" style="157" customWidth="1"/>
    <col min="13584" max="13584" width="10.83203125" style="157" bestFit="1" customWidth="1"/>
    <col min="13585" max="13585" width="12.1640625" style="157" bestFit="1" customWidth="1"/>
    <col min="13586" max="13586" width="8" style="157" customWidth="1"/>
    <col min="13587" max="13587" width="10.83203125" style="157" bestFit="1" customWidth="1"/>
    <col min="13588" max="13588" width="12.1640625" style="157" bestFit="1" customWidth="1"/>
    <col min="13589" max="13589" width="8.1640625" style="157" bestFit="1" customWidth="1"/>
    <col min="13590" max="13590" width="10.83203125" style="157" bestFit="1" customWidth="1"/>
    <col min="13591" max="13591" width="12.1640625" style="157" bestFit="1" customWidth="1"/>
    <col min="13592" max="13592" width="18.1640625" style="157" bestFit="1" customWidth="1"/>
    <col min="13593" max="13593" width="10.83203125" style="157" bestFit="1" customWidth="1"/>
    <col min="13594" max="13829" width="8.83203125" style="157"/>
    <col min="13830" max="13830" width="38.1640625" style="157" customWidth="1"/>
    <col min="13831" max="13831" width="23.44140625" style="157" bestFit="1" customWidth="1"/>
    <col min="13832" max="13833" width="9.1640625" style="157" customWidth="1"/>
    <col min="13834" max="13834" width="11.1640625" style="157" bestFit="1" customWidth="1"/>
    <col min="13835" max="13835" width="14.44140625" style="157" bestFit="1" customWidth="1"/>
    <col min="13836" max="13836" width="8.1640625" style="157" customWidth="1"/>
    <col min="13837" max="13837" width="10.83203125" style="157" bestFit="1" customWidth="1"/>
    <col min="13838" max="13838" width="12.1640625" style="157" bestFit="1" customWidth="1"/>
    <col min="13839" max="13839" width="9.1640625" style="157" customWidth="1"/>
    <col min="13840" max="13840" width="10.83203125" style="157" bestFit="1" customWidth="1"/>
    <col min="13841" max="13841" width="12.1640625" style="157" bestFit="1" customWidth="1"/>
    <col min="13842" max="13842" width="8" style="157" customWidth="1"/>
    <col min="13843" max="13843" width="10.83203125" style="157" bestFit="1" customWidth="1"/>
    <col min="13844" max="13844" width="12.1640625" style="157" bestFit="1" customWidth="1"/>
    <col min="13845" max="13845" width="8.1640625" style="157" bestFit="1" customWidth="1"/>
    <col min="13846" max="13846" width="10.83203125" style="157" bestFit="1" customWidth="1"/>
    <col min="13847" max="13847" width="12.1640625" style="157" bestFit="1" customWidth="1"/>
    <col min="13848" max="13848" width="18.1640625" style="157" bestFit="1" customWidth="1"/>
    <col min="13849" max="13849" width="10.83203125" style="157" bestFit="1" customWidth="1"/>
    <col min="13850" max="14085" width="8.83203125" style="157"/>
    <col min="14086" max="14086" width="38.1640625" style="157" customWidth="1"/>
    <col min="14087" max="14087" width="23.44140625" style="157" bestFit="1" customWidth="1"/>
    <col min="14088" max="14089" width="9.1640625" style="157" customWidth="1"/>
    <col min="14090" max="14090" width="11.1640625" style="157" bestFit="1" customWidth="1"/>
    <col min="14091" max="14091" width="14.44140625" style="157" bestFit="1" customWidth="1"/>
    <col min="14092" max="14092" width="8.1640625" style="157" customWidth="1"/>
    <col min="14093" max="14093" width="10.83203125" style="157" bestFit="1" customWidth="1"/>
    <col min="14094" max="14094" width="12.1640625" style="157" bestFit="1" customWidth="1"/>
    <col min="14095" max="14095" width="9.1640625" style="157" customWidth="1"/>
    <col min="14096" max="14096" width="10.83203125" style="157" bestFit="1" customWidth="1"/>
    <col min="14097" max="14097" width="12.1640625" style="157" bestFit="1" customWidth="1"/>
    <col min="14098" max="14098" width="8" style="157" customWidth="1"/>
    <col min="14099" max="14099" width="10.83203125" style="157" bestFit="1" customWidth="1"/>
    <col min="14100" max="14100" width="12.1640625" style="157" bestFit="1" customWidth="1"/>
    <col min="14101" max="14101" width="8.1640625" style="157" bestFit="1" customWidth="1"/>
    <col min="14102" max="14102" width="10.83203125" style="157" bestFit="1" customWidth="1"/>
    <col min="14103" max="14103" width="12.1640625" style="157" bestFit="1" customWidth="1"/>
    <col min="14104" max="14104" width="18.1640625" style="157" bestFit="1" customWidth="1"/>
    <col min="14105" max="14105" width="10.83203125" style="157" bestFit="1" customWidth="1"/>
    <col min="14106" max="14341" width="8.83203125" style="157"/>
    <col min="14342" max="14342" width="38.1640625" style="157" customWidth="1"/>
    <col min="14343" max="14343" width="23.44140625" style="157" bestFit="1" customWidth="1"/>
    <col min="14344" max="14345" width="9.1640625" style="157" customWidth="1"/>
    <col min="14346" max="14346" width="11.1640625" style="157" bestFit="1" customWidth="1"/>
    <col min="14347" max="14347" width="14.44140625" style="157" bestFit="1" customWidth="1"/>
    <col min="14348" max="14348" width="8.1640625" style="157" customWidth="1"/>
    <col min="14349" max="14349" width="10.83203125" style="157" bestFit="1" customWidth="1"/>
    <col min="14350" max="14350" width="12.1640625" style="157" bestFit="1" customWidth="1"/>
    <col min="14351" max="14351" width="9.1640625" style="157" customWidth="1"/>
    <col min="14352" max="14352" width="10.83203125" style="157" bestFit="1" customWidth="1"/>
    <col min="14353" max="14353" width="12.1640625" style="157" bestFit="1" customWidth="1"/>
    <col min="14354" max="14354" width="8" style="157" customWidth="1"/>
    <col min="14355" max="14355" width="10.83203125" style="157" bestFit="1" customWidth="1"/>
    <col min="14356" max="14356" width="12.1640625" style="157" bestFit="1" customWidth="1"/>
    <col min="14357" max="14357" width="8.1640625" style="157" bestFit="1" customWidth="1"/>
    <col min="14358" max="14358" width="10.83203125" style="157" bestFit="1" customWidth="1"/>
    <col min="14359" max="14359" width="12.1640625" style="157" bestFit="1" customWidth="1"/>
    <col min="14360" max="14360" width="18.1640625" style="157" bestFit="1" customWidth="1"/>
    <col min="14361" max="14361" width="10.83203125" style="157" bestFit="1" customWidth="1"/>
    <col min="14362" max="14597" width="8.83203125" style="157"/>
    <col min="14598" max="14598" width="38.1640625" style="157" customWidth="1"/>
    <col min="14599" max="14599" width="23.44140625" style="157" bestFit="1" customWidth="1"/>
    <col min="14600" max="14601" width="9.1640625" style="157" customWidth="1"/>
    <col min="14602" max="14602" width="11.1640625" style="157" bestFit="1" customWidth="1"/>
    <col min="14603" max="14603" width="14.44140625" style="157" bestFit="1" customWidth="1"/>
    <col min="14604" max="14604" width="8.1640625" style="157" customWidth="1"/>
    <col min="14605" max="14605" width="10.83203125" style="157" bestFit="1" customWidth="1"/>
    <col min="14606" max="14606" width="12.1640625" style="157" bestFit="1" customWidth="1"/>
    <col min="14607" max="14607" width="9.1640625" style="157" customWidth="1"/>
    <col min="14608" max="14608" width="10.83203125" style="157" bestFit="1" customWidth="1"/>
    <col min="14609" max="14609" width="12.1640625" style="157" bestFit="1" customWidth="1"/>
    <col min="14610" max="14610" width="8" style="157" customWidth="1"/>
    <col min="14611" max="14611" width="10.83203125" style="157" bestFit="1" customWidth="1"/>
    <col min="14612" max="14612" width="12.1640625" style="157" bestFit="1" customWidth="1"/>
    <col min="14613" max="14613" width="8.1640625" style="157" bestFit="1" customWidth="1"/>
    <col min="14614" max="14614" width="10.83203125" style="157" bestFit="1" customWidth="1"/>
    <col min="14615" max="14615" width="12.1640625" style="157" bestFit="1" customWidth="1"/>
    <col min="14616" max="14616" width="18.1640625" style="157" bestFit="1" customWidth="1"/>
    <col min="14617" max="14617" width="10.83203125" style="157" bestFit="1" customWidth="1"/>
    <col min="14618" max="14853" width="8.83203125" style="157"/>
    <col min="14854" max="14854" width="38.1640625" style="157" customWidth="1"/>
    <col min="14855" max="14855" width="23.44140625" style="157" bestFit="1" customWidth="1"/>
    <col min="14856" max="14857" width="9.1640625" style="157" customWidth="1"/>
    <col min="14858" max="14858" width="11.1640625" style="157" bestFit="1" customWidth="1"/>
    <col min="14859" max="14859" width="14.44140625" style="157" bestFit="1" customWidth="1"/>
    <col min="14860" max="14860" width="8.1640625" style="157" customWidth="1"/>
    <col min="14861" max="14861" width="10.83203125" style="157" bestFit="1" customWidth="1"/>
    <col min="14862" max="14862" width="12.1640625" style="157" bestFit="1" customWidth="1"/>
    <col min="14863" max="14863" width="9.1640625" style="157" customWidth="1"/>
    <col min="14864" max="14864" width="10.83203125" style="157" bestFit="1" customWidth="1"/>
    <col min="14865" max="14865" width="12.1640625" style="157" bestFit="1" customWidth="1"/>
    <col min="14866" max="14866" width="8" style="157" customWidth="1"/>
    <col min="14867" max="14867" width="10.83203125" style="157" bestFit="1" customWidth="1"/>
    <col min="14868" max="14868" width="12.1640625" style="157" bestFit="1" customWidth="1"/>
    <col min="14869" max="14869" width="8.1640625" style="157" bestFit="1" customWidth="1"/>
    <col min="14870" max="14870" width="10.83203125" style="157" bestFit="1" customWidth="1"/>
    <col min="14871" max="14871" width="12.1640625" style="157" bestFit="1" customWidth="1"/>
    <col min="14872" max="14872" width="18.1640625" style="157" bestFit="1" customWidth="1"/>
    <col min="14873" max="14873" width="10.83203125" style="157" bestFit="1" customWidth="1"/>
    <col min="14874" max="15109" width="8.83203125" style="157"/>
    <col min="15110" max="15110" width="38.1640625" style="157" customWidth="1"/>
    <col min="15111" max="15111" width="23.44140625" style="157" bestFit="1" customWidth="1"/>
    <col min="15112" max="15113" width="9.1640625" style="157" customWidth="1"/>
    <col min="15114" max="15114" width="11.1640625" style="157" bestFit="1" customWidth="1"/>
    <col min="15115" max="15115" width="14.44140625" style="157" bestFit="1" customWidth="1"/>
    <col min="15116" max="15116" width="8.1640625" style="157" customWidth="1"/>
    <col min="15117" max="15117" width="10.83203125" style="157" bestFit="1" customWidth="1"/>
    <col min="15118" max="15118" width="12.1640625" style="157" bestFit="1" customWidth="1"/>
    <col min="15119" max="15119" width="9.1640625" style="157" customWidth="1"/>
    <col min="15120" max="15120" width="10.83203125" style="157" bestFit="1" customWidth="1"/>
    <col min="15121" max="15121" width="12.1640625" style="157" bestFit="1" customWidth="1"/>
    <col min="15122" max="15122" width="8" style="157" customWidth="1"/>
    <col min="15123" max="15123" width="10.83203125" style="157" bestFit="1" customWidth="1"/>
    <col min="15124" max="15124" width="12.1640625" style="157" bestFit="1" customWidth="1"/>
    <col min="15125" max="15125" width="8.1640625" style="157" bestFit="1" customWidth="1"/>
    <col min="15126" max="15126" width="10.83203125" style="157" bestFit="1" customWidth="1"/>
    <col min="15127" max="15127" width="12.1640625" style="157" bestFit="1" customWidth="1"/>
    <col min="15128" max="15128" width="18.1640625" style="157" bestFit="1" customWidth="1"/>
    <col min="15129" max="15129" width="10.83203125" style="157" bestFit="1" customWidth="1"/>
    <col min="15130" max="15365" width="8.83203125" style="157"/>
    <col min="15366" max="15366" width="38.1640625" style="157" customWidth="1"/>
    <col min="15367" max="15367" width="23.44140625" style="157" bestFit="1" customWidth="1"/>
    <col min="15368" max="15369" width="9.1640625" style="157" customWidth="1"/>
    <col min="15370" max="15370" width="11.1640625" style="157" bestFit="1" customWidth="1"/>
    <col min="15371" max="15371" width="14.44140625" style="157" bestFit="1" customWidth="1"/>
    <col min="15372" max="15372" width="8.1640625" style="157" customWidth="1"/>
    <col min="15373" max="15373" width="10.83203125" style="157" bestFit="1" customWidth="1"/>
    <col min="15374" max="15374" width="12.1640625" style="157" bestFit="1" customWidth="1"/>
    <col min="15375" max="15375" width="9.1640625" style="157" customWidth="1"/>
    <col min="15376" max="15376" width="10.83203125" style="157" bestFit="1" customWidth="1"/>
    <col min="15377" max="15377" width="12.1640625" style="157" bestFit="1" customWidth="1"/>
    <col min="15378" max="15378" width="8" style="157" customWidth="1"/>
    <col min="15379" max="15379" width="10.83203125" style="157" bestFit="1" customWidth="1"/>
    <col min="15380" max="15380" width="12.1640625" style="157" bestFit="1" customWidth="1"/>
    <col min="15381" max="15381" width="8.1640625" style="157" bestFit="1" customWidth="1"/>
    <col min="15382" max="15382" width="10.83203125" style="157" bestFit="1" customWidth="1"/>
    <col min="15383" max="15383" width="12.1640625" style="157" bestFit="1" customWidth="1"/>
    <col min="15384" max="15384" width="18.1640625" style="157" bestFit="1" customWidth="1"/>
    <col min="15385" max="15385" width="10.83203125" style="157" bestFit="1" customWidth="1"/>
    <col min="15386" max="15621" width="8.83203125" style="157"/>
    <col min="15622" max="15622" width="38.1640625" style="157" customWidth="1"/>
    <col min="15623" max="15623" width="23.44140625" style="157" bestFit="1" customWidth="1"/>
    <col min="15624" max="15625" width="9.1640625" style="157" customWidth="1"/>
    <col min="15626" max="15626" width="11.1640625" style="157" bestFit="1" customWidth="1"/>
    <col min="15627" max="15627" width="14.44140625" style="157" bestFit="1" customWidth="1"/>
    <col min="15628" max="15628" width="8.1640625" style="157" customWidth="1"/>
    <col min="15629" max="15629" width="10.83203125" style="157" bestFit="1" customWidth="1"/>
    <col min="15630" max="15630" width="12.1640625" style="157" bestFit="1" customWidth="1"/>
    <col min="15631" max="15631" width="9.1640625" style="157" customWidth="1"/>
    <col min="15632" max="15632" width="10.83203125" style="157" bestFit="1" customWidth="1"/>
    <col min="15633" max="15633" width="12.1640625" style="157" bestFit="1" customWidth="1"/>
    <col min="15634" max="15634" width="8" style="157" customWidth="1"/>
    <col min="15635" max="15635" width="10.83203125" style="157" bestFit="1" customWidth="1"/>
    <col min="15636" max="15636" width="12.1640625" style="157" bestFit="1" customWidth="1"/>
    <col min="15637" max="15637" width="8.1640625" style="157" bestFit="1" customWidth="1"/>
    <col min="15638" max="15638" width="10.83203125" style="157" bestFit="1" customWidth="1"/>
    <col min="15639" max="15639" width="12.1640625" style="157" bestFit="1" customWidth="1"/>
    <col min="15640" max="15640" width="18.1640625" style="157" bestFit="1" customWidth="1"/>
    <col min="15641" max="15641" width="10.83203125" style="157" bestFit="1" customWidth="1"/>
    <col min="15642" max="15877" width="8.83203125" style="157"/>
    <col min="15878" max="15878" width="38.1640625" style="157" customWidth="1"/>
    <col min="15879" max="15879" width="23.44140625" style="157" bestFit="1" customWidth="1"/>
    <col min="15880" max="15881" width="9.1640625" style="157" customWidth="1"/>
    <col min="15882" max="15882" width="11.1640625" style="157" bestFit="1" customWidth="1"/>
    <col min="15883" max="15883" width="14.44140625" style="157" bestFit="1" customWidth="1"/>
    <col min="15884" max="15884" width="8.1640625" style="157" customWidth="1"/>
    <col min="15885" max="15885" width="10.83203125" style="157" bestFit="1" customWidth="1"/>
    <col min="15886" max="15886" width="12.1640625" style="157" bestFit="1" customWidth="1"/>
    <col min="15887" max="15887" width="9.1640625" style="157" customWidth="1"/>
    <col min="15888" max="15888" width="10.83203125" style="157" bestFit="1" customWidth="1"/>
    <col min="15889" max="15889" width="12.1640625" style="157" bestFit="1" customWidth="1"/>
    <col min="15890" max="15890" width="8" style="157" customWidth="1"/>
    <col min="15891" max="15891" width="10.83203125" style="157" bestFit="1" customWidth="1"/>
    <col min="15892" max="15892" width="12.1640625" style="157" bestFit="1" customWidth="1"/>
    <col min="15893" max="15893" width="8.1640625" style="157" bestFit="1" customWidth="1"/>
    <col min="15894" max="15894" width="10.83203125" style="157" bestFit="1" customWidth="1"/>
    <col min="15895" max="15895" width="12.1640625" style="157" bestFit="1" customWidth="1"/>
    <col min="15896" max="15896" width="18.1640625" style="157" bestFit="1" customWidth="1"/>
    <col min="15897" max="15897" width="10.83203125" style="157" bestFit="1" customWidth="1"/>
    <col min="15898" max="16133" width="8.83203125" style="157"/>
    <col min="16134" max="16134" width="38.1640625" style="157" customWidth="1"/>
    <col min="16135" max="16135" width="23.44140625" style="157" bestFit="1" customWidth="1"/>
    <col min="16136" max="16137" width="9.1640625" style="157" customWidth="1"/>
    <col min="16138" max="16138" width="11.1640625" style="157" bestFit="1" customWidth="1"/>
    <col min="16139" max="16139" width="14.44140625" style="157" bestFit="1" customWidth="1"/>
    <col min="16140" max="16140" width="8.1640625" style="157" customWidth="1"/>
    <col min="16141" max="16141" width="10.83203125" style="157" bestFit="1" customWidth="1"/>
    <col min="16142" max="16142" width="12.1640625" style="157" bestFit="1" customWidth="1"/>
    <col min="16143" max="16143" width="9.1640625" style="157" customWidth="1"/>
    <col min="16144" max="16144" width="10.83203125" style="157" bestFit="1" customWidth="1"/>
    <col min="16145" max="16145" width="12.1640625" style="157" bestFit="1" customWidth="1"/>
    <col min="16146" max="16146" width="8" style="157" customWidth="1"/>
    <col min="16147" max="16147" width="10.83203125" style="157" bestFit="1" customWidth="1"/>
    <col min="16148" max="16148" width="12.1640625" style="157" bestFit="1" customWidth="1"/>
    <col min="16149" max="16149" width="8.1640625" style="157" bestFit="1" customWidth="1"/>
    <col min="16150" max="16150" width="10.83203125" style="157" bestFit="1" customWidth="1"/>
    <col min="16151" max="16151" width="12.1640625" style="157" bestFit="1" customWidth="1"/>
    <col min="16152" max="16152" width="18.1640625" style="157" bestFit="1" customWidth="1"/>
    <col min="16153" max="16153" width="10.83203125" style="157" bestFit="1" customWidth="1"/>
    <col min="16154" max="16384" width="8.83203125" style="157"/>
  </cols>
  <sheetData>
    <row r="1" spans="1:33" ht="14.7" thickBot="1"/>
    <row r="2" spans="1:33" ht="23.5" customHeight="1">
      <c r="A2" s="658" t="s">
        <v>499</v>
      </c>
      <c r="B2" s="652" t="s">
        <v>500</v>
      </c>
      <c r="C2" s="660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48" t="s">
        <v>502</v>
      </c>
      <c r="AB2" s="163"/>
    </row>
    <row r="3" spans="1:33" ht="107.2" customHeight="1">
      <c r="A3" s="659"/>
      <c r="B3" s="653"/>
      <c r="C3" s="662"/>
      <c r="D3" s="164" t="s">
        <v>503</v>
      </c>
      <c r="E3" s="165" t="s">
        <v>504</v>
      </c>
      <c r="F3" s="167" t="s">
        <v>505</v>
      </c>
      <c r="G3" s="168" t="s">
        <v>502</v>
      </c>
      <c r="H3" s="164" t="s">
        <v>503</v>
      </c>
      <c r="I3" s="165" t="s">
        <v>504</v>
      </c>
      <c r="J3" s="166" t="s">
        <v>505</v>
      </c>
      <c r="K3" s="168" t="s">
        <v>502</v>
      </c>
      <c r="L3" s="164" t="s">
        <v>503</v>
      </c>
      <c r="M3" s="165" t="s">
        <v>504</v>
      </c>
      <c r="N3" s="167" t="s">
        <v>505</v>
      </c>
      <c r="O3" s="168" t="s">
        <v>502</v>
      </c>
      <c r="P3" s="164" t="s">
        <v>503</v>
      </c>
      <c r="Q3" s="165" t="s">
        <v>504</v>
      </c>
      <c r="R3" s="167" t="s">
        <v>505</v>
      </c>
      <c r="S3" s="168" t="s">
        <v>502</v>
      </c>
      <c r="T3" s="649"/>
      <c r="AB3" s="163"/>
      <c r="AC3" s="157" t="s">
        <v>543</v>
      </c>
    </row>
    <row r="4" spans="1:33" ht="20.399999999999999">
      <c r="A4" s="324" t="s">
        <v>506</v>
      </c>
      <c r="B4" s="169"/>
      <c r="C4" s="169"/>
      <c r="D4" s="170"/>
      <c r="E4" s="171"/>
      <c r="F4" s="174"/>
      <c r="G4" s="175"/>
      <c r="H4" s="170"/>
      <c r="I4" s="171"/>
      <c r="J4" s="172"/>
      <c r="K4" s="175"/>
      <c r="L4" s="176"/>
      <c r="M4" s="171"/>
      <c r="N4" s="174"/>
      <c r="O4" s="175"/>
      <c r="P4" s="176"/>
      <c r="Q4" s="171"/>
      <c r="R4" s="174"/>
      <c r="S4" s="177"/>
      <c r="T4" s="175"/>
      <c r="AB4" s="178" t="s">
        <v>544</v>
      </c>
      <c r="AC4" s="178" t="s">
        <v>545</v>
      </c>
      <c r="AD4" s="178" t="s">
        <v>546</v>
      </c>
    </row>
    <row r="5" spans="1:33" s="189" customFormat="1" ht="15" customHeight="1" outlineLevel="1">
      <c r="A5" s="179" t="s">
        <v>53</v>
      </c>
      <c r="B5" s="180"/>
      <c r="C5" s="184"/>
      <c r="D5" s="181"/>
      <c r="E5" s="182"/>
      <c r="F5" s="185"/>
      <c r="G5" s="186"/>
      <c r="H5" s="181"/>
      <c r="I5" s="182"/>
      <c r="J5" s="183"/>
      <c r="K5" s="186"/>
      <c r="L5" s="181"/>
      <c r="M5" s="182"/>
      <c r="N5" s="185"/>
      <c r="O5" s="186"/>
      <c r="P5" s="181"/>
      <c r="Q5" s="182"/>
      <c r="R5" s="185"/>
      <c r="S5" s="186"/>
      <c r="T5" s="187"/>
      <c r="U5" s="188"/>
      <c r="V5" s="157"/>
      <c r="W5" s="157"/>
      <c r="X5" s="157"/>
      <c r="Y5" s="157"/>
      <c r="Z5" s="157"/>
      <c r="AA5" s="157"/>
      <c r="AB5" s="163"/>
    </row>
    <row r="6" spans="1:33" s="189" customFormat="1" ht="15.6" outlineLevel="1">
      <c r="A6" s="190" t="s">
        <v>507</v>
      </c>
      <c r="B6" s="191"/>
      <c r="C6" s="184"/>
      <c r="D6" s="181"/>
      <c r="E6" s="182"/>
      <c r="F6" s="185"/>
      <c r="G6" s="186"/>
      <c r="H6" s="181"/>
      <c r="I6" s="182"/>
      <c r="J6" s="183"/>
      <c r="K6" s="186"/>
      <c r="L6" s="181"/>
      <c r="M6" s="182"/>
      <c r="N6" s="185"/>
      <c r="O6" s="186"/>
      <c r="P6" s="181"/>
      <c r="Q6" s="182"/>
      <c r="R6" s="185"/>
      <c r="S6" s="186"/>
      <c r="T6" s="332"/>
      <c r="U6" s="192"/>
      <c r="V6" s="157"/>
      <c r="W6" s="157"/>
      <c r="X6" s="157"/>
      <c r="Y6" s="157"/>
      <c r="Z6" s="157"/>
      <c r="AA6" s="157"/>
      <c r="AB6" s="163"/>
    </row>
    <row r="7" spans="1:33" ht="15" customHeight="1" outlineLevel="1">
      <c r="A7" s="193" t="str">
        <f>'Program Budget'!D277</f>
        <v>Key Personnel: Chief of Party</v>
      </c>
      <c r="B7" s="194" t="str">
        <f>'Program Budget'!F277</f>
        <v>Month</v>
      </c>
      <c r="C7" s="198">
        <f>'Program Budget'!E277</f>
        <v>55719.69</v>
      </c>
      <c r="D7" s="195">
        <f>'Program Budget'!G277</f>
        <v>14250</v>
      </c>
      <c r="E7" s="196">
        <f>'Program Budget'!I277</f>
        <v>12</v>
      </c>
      <c r="F7" s="199">
        <f>'Program Budget'!H277</f>
        <v>0.1</v>
      </c>
      <c r="G7" s="198">
        <f>D7*E7*F7</f>
        <v>17100</v>
      </c>
      <c r="H7" s="195">
        <f>D7*1.05</f>
        <v>14962.5</v>
      </c>
      <c r="I7" s="196">
        <f>'Program Budget'!L277</f>
        <v>12</v>
      </c>
      <c r="J7" s="199">
        <f>'Program Budget'!K277</f>
        <v>0.19</v>
      </c>
      <c r="K7" s="198">
        <f>H7*I7*J7</f>
        <v>34114.5</v>
      </c>
      <c r="L7" s="195">
        <f>H7*1.05</f>
        <v>15710.625</v>
      </c>
      <c r="M7" s="196">
        <f>'Program Budget'!O277</f>
        <v>12</v>
      </c>
      <c r="N7" s="199">
        <f>'Program Budget'!N277</f>
        <v>0.19</v>
      </c>
      <c r="O7" s="198">
        <f>L7*M7*N7</f>
        <v>35820.224999999999</v>
      </c>
      <c r="P7" s="195">
        <f>L7*1.05</f>
        <v>16496.15625</v>
      </c>
      <c r="Q7" s="196">
        <f>'Program Budget'!R277</f>
        <v>0</v>
      </c>
      <c r="R7" s="199">
        <f>'Program Budget'!Q277</f>
        <v>0.19</v>
      </c>
      <c r="S7" s="198">
        <f>P7*Q7*R7</f>
        <v>0</v>
      </c>
      <c r="T7" s="335">
        <f>C7+G7+K7+O7+S7</f>
        <v>142754.41500000001</v>
      </c>
      <c r="U7" s="201"/>
      <c r="V7" s="188"/>
      <c r="W7" s="202"/>
      <c r="X7" s="202"/>
      <c r="AB7" s="163">
        <v>180</v>
      </c>
      <c r="AC7" s="203" t="s">
        <v>547</v>
      </c>
      <c r="AD7" s="203" t="s">
        <v>548</v>
      </c>
      <c r="AE7" s="204"/>
      <c r="AG7" s="205"/>
    </row>
    <row r="8" spans="1:33" ht="15" customHeight="1" outlineLevel="1">
      <c r="A8" s="208" t="s">
        <v>508</v>
      </c>
      <c r="B8" s="209"/>
      <c r="C8" s="213">
        <f>SUM(C7:C7)</f>
        <v>55719.69</v>
      </c>
      <c r="D8" s="210"/>
      <c r="E8" s="211"/>
      <c r="F8" s="214"/>
      <c r="G8" s="213">
        <f>SUM(G7:G7)</f>
        <v>17100</v>
      </c>
      <c r="H8" s="210"/>
      <c r="I8" s="211"/>
      <c r="J8" s="212"/>
      <c r="K8" s="213">
        <f>SUM(K7:K7)</f>
        <v>34114.5</v>
      </c>
      <c r="L8" s="210"/>
      <c r="M8" s="211"/>
      <c r="N8" s="214"/>
      <c r="O8" s="213">
        <f>SUM(O7:O7)</f>
        <v>35820.224999999999</v>
      </c>
      <c r="P8" s="210"/>
      <c r="Q8" s="211"/>
      <c r="R8" s="214"/>
      <c r="S8" s="213">
        <f>SUM(S7:S7)</f>
        <v>0</v>
      </c>
      <c r="T8" s="334">
        <f>+C8+G8+K8+O8+S8</f>
        <v>142754.41500000001</v>
      </c>
      <c r="AB8" s="163"/>
      <c r="AC8" s="203"/>
      <c r="AD8" s="203" t="s">
        <v>549</v>
      </c>
    </row>
    <row r="9" spans="1:33" ht="15" customHeight="1" outlineLevel="1">
      <c r="A9" s="190" t="s">
        <v>576</v>
      </c>
      <c r="B9" s="216"/>
      <c r="C9" s="198"/>
      <c r="D9" s="217"/>
      <c r="E9" s="218"/>
      <c r="F9" s="220"/>
      <c r="G9" s="200"/>
      <c r="H9" s="217"/>
      <c r="I9" s="218"/>
      <c r="J9" s="219"/>
      <c r="K9" s="200"/>
      <c r="L9" s="217"/>
      <c r="M9" s="218"/>
      <c r="N9" s="220"/>
      <c r="O9" s="200"/>
      <c r="P9" s="217"/>
      <c r="Q9" s="218"/>
      <c r="R9" s="220"/>
      <c r="S9" s="200"/>
      <c r="T9" s="350"/>
      <c r="U9" s="192"/>
      <c r="AB9" s="163"/>
      <c r="AC9" s="203"/>
      <c r="AD9" s="203" t="s">
        <v>549</v>
      </c>
      <c r="AG9" s="205"/>
    </row>
    <row r="10" spans="1:33" ht="15" customHeight="1" outlineLevel="1">
      <c r="A10" s="193" t="str">
        <f>'Program Budget'!D278</f>
        <v>Deputy Chief of Party / Value Chain Strengthening Director</v>
      </c>
      <c r="B10" s="194" t="str">
        <f>'Program Budget'!F278</f>
        <v>Month</v>
      </c>
      <c r="C10" s="198">
        <f>'Program Budget'!E278</f>
        <v>0</v>
      </c>
      <c r="D10" s="195">
        <f>'Program Budget'!G278</f>
        <v>5000</v>
      </c>
      <c r="E10" s="196">
        <f>'Program Budget'!I278</f>
        <v>12</v>
      </c>
      <c r="F10" s="199">
        <f>'Program Budget'!H278</f>
        <v>0.15</v>
      </c>
      <c r="G10" s="198">
        <f>D10*E10*F10</f>
        <v>9000</v>
      </c>
      <c r="H10" s="195">
        <f>D10*1.05</f>
        <v>5250</v>
      </c>
      <c r="I10" s="196">
        <f>'Program Budget'!L278</f>
        <v>12</v>
      </c>
      <c r="J10" s="199">
        <f>'Program Budget'!K278</f>
        <v>0.15</v>
      </c>
      <c r="K10" s="198">
        <f>H10*I10*J10</f>
        <v>9450</v>
      </c>
      <c r="L10" s="195">
        <f>H10*1.05</f>
        <v>5512.5</v>
      </c>
      <c r="M10" s="196">
        <f>'Program Budget'!O278</f>
        <v>12</v>
      </c>
      <c r="N10" s="199">
        <f>'Program Budget'!N278</f>
        <v>0.15</v>
      </c>
      <c r="O10" s="198">
        <f>L10*M10*N10</f>
        <v>9922.5</v>
      </c>
      <c r="P10" s="195">
        <f>L10*1.05</f>
        <v>5788.125</v>
      </c>
      <c r="Q10" s="196">
        <f>'Program Budget'!R278</f>
        <v>6</v>
      </c>
      <c r="R10" s="199">
        <f>'Program Budget'!Q278</f>
        <v>0.15</v>
      </c>
      <c r="S10" s="198">
        <f>P10*Q10*R10</f>
        <v>5209.3125</v>
      </c>
      <c r="T10" s="333">
        <f>C10+G10+K10+O10+S10</f>
        <v>33581.8125</v>
      </c>
      <c r="U10" s="201"/>
      <c r="V10" s="188"/>
      <c r="W10" s="202"/>
      <c r="X10" s="202"/>
      <c r="AB10" s="163">
        <v>180</v>
      </c>
      <c r="AC10" s="203" t="s">
        <v>547</v>
      </c>
      <c r="AD10" s="203" t="s">
        <v>548</v>
      </c>
      <c r="AE10" s="204"/>
      <c r="AG10" s="205"/>
    </row>
    <row r="11" spans="1:33" ht="15" customHeight="1" outlineLevel="1">
      <c r="A11" s="193" t="str">
        <f>'Program Budget'!D279</f>
        <v>Key Personnel: Technical Director</v>
      </c>
      <c r="B11" s="194" t="str">
        <f>'Program Budget'!F279</f>
        <v>Month</v>
      </c>
      <c r="C11" s="198">
        <f>'Program Budget'!E279</f>
        <v>207158.73</v>
      </c>
      <c r="D11" s="195">
        <f>'Program Budget'!G279</f>
        <v>4583.333333333333</v>
      </c>
      <c r="E11" s="196">
        <f>'Program Budget'!I279</f>
        <v>12</v>
      </c>
      <c r="F11" s="199">
        <f>'Program Budget'!H279</f>
        <v>0.4</v>
      </c>
      <c r="G11" s="198">
        <f t="shared" ref="G11:G38" si="0">D11*E11*F11</f>
        <v>22000</v>
      </c>
      <c r="H11" s="195">
        <f t="shared" ref="H11:H38" si="1">D11*1.05</f>
        <v>4812.5</v>
      </c>
      <c r="I11" s="196">
        <f>'Program Budget'!L279</f>
        <v>12</v>
      </c>
      <c r="J11" s="199">
        <f>'Program Budget'!K279</f>
        <v>0.5</v>
      </c>
      <c r="K11" s="198">
        <f t="shared" ref="K11:K38" si="2">H11*I11*J11</f>
        <v>28875</v>
      </c>
      <c r="L11" s="195">
        <f t="shared" ref="L11:L38" si="3">H11*1.05</f>
        <v>5053.125</v>
      </c>
      <c r="M11" s="196">
        <f>'Program Budget'!O279</f>
        <v>12</v>
      </c>
      <c r="N11" s="199">
        <f>'Program Budget'!N279</f>
        <v>0.5</v>
      </c>
      <c r="O11" s="198">
        <f t="shared" ref="O11:O38" si="4">L11*M11*N11</f>
        <v>30318.75</v>
      </c>
      <c r="P11" s="195">
        <f t="shared" ref="P11:P38" si="5">L11*1.05</f>
        <v>5305.78125</v>
      </c>
      <c r="Q11" s="196">
        <f>'Program Budget'!R279</f>
        <v>5</v>
      </c>
      <c r="R11" s="199">
        <f>'Program Budget'!Q279</f>
        <v>0.5</v>
      </c>
      <c r="S11" s="198">
        <f t="shared" ref="S11:S38" si="6">P11*Q11*R11</f>
        <v>13264.453125</v>
      </c>
      <c r="T11" s="333">
        <f t="shared" ref="T11:T38" si="7">C11+G11+K11+O11+S11</f>
        <v>301616.93312499998</v>
      </c>
      <c r="U11" s="201"/>
      <c r="V11" s="188"/>
      <c r="W11" s="202"/>
      <c r="X11" s="202"/>
      <c r="AB11" s="163">
        <v>180</v>
      </c>
      <c r="AC11" s="203" t="s">
        <v>547</v>
      </c>
      <c r="AD11" s="203" t="s">
        <v>548</v>
      </c>
      <c r="AE11" s="204"/>
      <c r="AG11" s="205"/>
    </row>
    <row r="12" spans="1:33" ht="15" customHeight="1" outlineLevel="1">
      <c r="A12" s="193" t="str">
        <f>'Program Budget'!D280</f>
        <v>Activity Lead Agribusiness Senior Specialist (Cacao)</v>
      </c>
      <c r="B12" s="194" t="str">
        <f>'Program Budget'!F280</f>
        <v>Month</v>
      </c>
      <c r="C12" s="198">
        <f>'Program Budget'!E280</f>
        <v>151812.47</v>
      </c>
      <c r="D12" s="195">
        <f>'Program Budget'!G280</f>
        <v>2833.3333333333335</v>
      </c>
      <c r="E12" s="196">
        <f>'Program Budget'!I280</f>
        <v>12</v>
      </c>
      <c r="F12" s="199">
        <f>'Program Budget'!H280</f>
        <v>0.1</v>
      </c>
      <c r="G12" s="198">
        <f t="shared" si="0"/>
        <v>3400</v>
      </c>
      <c r="H12" s="195">
        <f t="shared" si="1"/>
        <v>2975.0000000000005</v>
      </c>
      <c r="I12" s="196">
        <f>'Program Budget'!L280</f>
        <v>12</v>
      </c>
      <c r="J12" s="199">
        <f>'Program Budget'!K280</f>
        <v>0.8</v>
      </c>
      <c r="K12" s="198">
        <f t="shared" si="2"/>
        <v>28560.000000000007</v>
      </c>
      <c r="L12" s="195">
        <f t="shared" si="3"/>
        <v>3123.7500000000005</v>
      </c>
      <c r="M12" s="196">
        <f>'Program Budget'!O280</f>
        <v>12</v>
      </c>
      <c r="N12" s="199">
        <f>'Program Budget'!N280</f>
        <v>0.8</v>
      </c>
      <c r="O12" s="198">
        <f t="shared" si="4"/>
        <v>29988.000000000007</v>
      </c>
      <c r="P12" s="195">
        <f t="shared" si="5"/>
        <v>3279.9375000000005</v>
      </c>
      <c r="Q12" s="196">
        <f>'Program Budget'!R280</f>
        <v>2</v>
      </c>
      <c r="R12" s="199">
        <f>'Program Budget'!Q280</f>
        <v>0.8</v>
      </c>
      <c r="S12" s="198">
        <f t="shared" si="6"/>
        <v>5247.9000000000015</v>
      </c>
      <c r="T12" s="333">
        <f t="shared" si="7"/>
        <v>219008.37</v>
      </c>
      <c r="U12" s="201"/>
      <c r="V12" s="188"/>
      <c r="W12" s="202"/>
      <c r="X12" s="202"/>
      <c r="AB12" s="163"/>
      <c r="AC12" s="203"/>
      <c r="AD12" s="203"/>
      <c r="AE12" s="204"/>
      <c r="AG12" s="205"/>
    </row>
    <row r="13" spans="1:33" ht="15" customHeight="1" outlineLevel="1">
      <c r="A13" s="193" t="str">
        <f>'Program Budget'!D281</f>
        <v>Cacao Field Officer</v>
      </c>
      <c r="B13" s="194" t="str">
        <f>'Program Budget'!F281</f>
        <v>Month</v>
      </c>
      <c r="C13" s="198">
        <f>'Program Budget'!E281</f>
        <v>0</v>
      </c>
      <c r="D13" s="195">
        <f>'Program Budget'!G281</f>
        <v>1333.3333333333333</v>
      </c>
      <c r="E13" s="196">
        <f>'Program Budget'!I281</f>
        <v>12</v>
      </c>
      <c r="F13" s="199">
        <f>'Program Budget'!H281</f>
        <v>1</v>
      </c>
      <c r="G13" s="198">
        <f t="shared" si="0"/>
        <v>16000</v>
      </c>
      <c r="H13" s="195">
        <f t="shared" si="1"/>
        <v>1400</v>
      </c>
      <c r="I13" s="196">
        <f>'Program Budget'!L281</f>
        <v>12</v>
      </c>
      <c r="J13" s="199">
        <f>'Program Budget'!K281</f>
        <v>1</v>
      </c>
      <c r="K13" s="198">
        <f t="shared" si="2"/>
        <v>16800</v>
      </c>
      <c r="L13" s="195">
        <f t="shared" si="3"/>
        <v>1470</v>
      </c>
      <c r="M13" s="196">
        <f>'Program Budget'!O281</f>
        <v>12</v>
      </c>
      <c r="N13" s="199">
        <f>'Program Budget'!N281</f>
        <v>1</v>
      </c>
      <c r="O13" s="198">
        <f t="shared" si="4"/>
        <v>17640</v>
      </c>
      <c r="P13" s="195">
        <f t="shared" si="5"/>
        <v>1543.5</v>
      </c>
      <c r="Q13" s="196">
        <f>'Program Budget'!R281</f>
        <v>0</v>
      </c>
      <c r="R13" s="199">
        <f>'Program Budget'!Q281</f>
        <v>1</v>
      </c>
      <c r="S13" s="198">
        <f t="shared" si="6"/>
        <v>0</v>
      </c>
      <c r="T13" s="333">
        <f t="shared" si="7"/>
        <v>50440</v>
      </c>
      <c r="U13" s="201"/>
      <c r="V13" s="188"/>
      <c r="W13" s="202"/>
      <c r="X13" s="202"/>
      <c r="AB13" s="163"/>
      <c r="AC13" s="203"/>
      <c r="AD13" s="203"/>
      <c r="AE13" s="204"/>
      <c r="AG13" s="205"/>
    </row>
    <row r="14" spans="1:33" ht="15" customHeight="1" outlineLevel="1">
      <c r="A14" s="193" t="str">
        <f>'Program Budget'!D282</f>
        <v>Cacao &amp; Complementary Crop Technical Field Leader (2)</v>
      </c>
      <c r="B14" s="194" t="str">
        <f>'Program Budget'!F282</f>
        <v>Month</v>
      </c>
      <c r="C14" s="198">
        <f>'Program Budget'!E282</f>
        <v>0</v>
      </c>
      <c r="D14" s="195">
        <f>'Program Budget'!G282</f>
        <v>3500</v>
      </c>
      <c r="E14" s="196">
        <f>'Program Budget'!I282</f>
        <v>6</v>
      </c>
      <c r="F14" s="199">
        <f>'Program Budget'!H282</f>
        <v>1</v>
      </c>
      <c r="G14" s="198">
        <f t="shared" si="0"/>
        <v>21000</v>
      </c>
      <c r="H14" s="195">
        <f t="shared" si="1"/>
        <v>3675</v>
      </c>
      <c r="I14" s="196">
        <f>'Program Budget'!L282</f>
        <v>12</v>
      </c>
      <c r="J14" s="199">
        <f>'Program Budget'!K282</f>
        <v>1</v>
      </c>
      <c r="K14" s="198">
        <f t="shared" si="2"/>
        <v>44100</v>
      </c>
      <c r="L14" s="195">
        <f t="shared" si="3"/>
        <v>3858.75</v>
      </c>
      <c r="M14" s="196">
        <f>'Program Budget'!O282</f>
        <v>12</v>
      </c>
      <c r="N14" s="199">
        <f>'Program Budget'!N282</f>
        <v>1</v>
      </c>
      <c r="O14" s="198">
        <f t="shared" si="4"/>
        <v>46305</v>
      </c>
      <c r="P14" s="195">
        <f t="shared" si="5"/>
        <v>4051.6875</v>
      </c>
      <c r="Q14" s="196">
        <f>'Program Budget'!R282</f>
        <v>0</v>
      </c>
      <c r="R14" s="199">
        <f>'Program Budget'!Q282</f>
        <v>1</v>
      </c>
      <c r="S14" s="198">
        <f t="shared" si="6"/>
        <v>0</v>
      </c>
      <c r="T14" s="333">
        <f t="shared" si="7"/>
        <v>111405</v>
      </c>
      <c r="U14" s="201"/>
      <c r="V14" s="188"/>
      <c r="W14" s="202"/>
      <c r="X14" s="202"/>
      <c r="AB14" s="163"/>
      <c r="AC14" s="203"/>
      <c r="AD14" s="203"/>
      <c r="AE14" s="204"/>
      <c r="AG14" s="205"/>
    </row>
    <row r="15" spans="1:33" ht="15" customHeight="1" outlineLevel="1">
      <c r="A15" s="193" t="str">
        <f>'Program Budget'!D283</f>
        <v>Extension Agents (45 in Y5 and 25 in Y6)</v>
      </c>
      <c r="B15" s="194" t="str">
        <f>'Program Budget'!F283</f>
        <v>Month</v>
      </c>
      <c r="C15" s="198">
        <f>'Program Budget'!E283</f>
        <v>183948.42</v>
      </c>
      <c r="D15" s="195">
        <f>'Program Budget'!G283</f>
        <v>1000</v>
      </c>
      <c r="E15" s="196">
        <f>'Program Budget'!I283</f>
        <v>12</v>
      </c>
      <c r="F15" s="199">
        <f>'Program Budget'!H283</f>
        <v>1</v>
      </c>
      <c r="G15" s="198">
        <f>D15*(E15*45)*F15</f>
        <v>540000</v>
      </c>
      <c r="H15" s="195">
        <f t="shared" si="1"/>
        <v>1050</v>
      </c>
      <c r="I15" s="196">
        <f>'Program Budget'!L283</f>
        <v>12</v>
      </c>
      <c r="J15" s="199">
        <f>'Program Budget'!K283</f>
        <v>1</v>
      </c>
      <c r="K15" s="198">
        <f>H15*(I15*25)*J15</f>
        <v>315000</v>
      </c>
      <c r="L15" s="195">
        <f t="shared" si="3"/>
        <v>1102.5</v>
      </c>
      <c r="M15" s="196">
        <f>'Program Budget'!O283</f>
        <v>0</v>
      </c>
      <c r="N15" s="199">
        <f>'Program Budget'!N283</f>
        <v>1</v>
      </c>
      <c r="O15" s="198">
        <f t="shared" si="4"/>
        <v>0</v>
      </c>
      <c r="P15" s="195">
        <f t="shared" si="5"/>
        <v>1157.625</v>
      </c>
      <c r="Q15" s="196">
        <f>'Program Budget'!R283</f>
        <v>0</v>
      </c>
      <c r="R15" s="199">
        <f>'Program Budget'!Q283</f>
        <v>1</v>
      </c>
      <c r="S15" s="198">
        <f t="shared" si="6"/>
        <v>0</v>
      </c>
      <c r="T15" s="333">
        <f t="shared" si="7"/>
        <v>1038948.42</v>
      </c>
      <c r="U15" s="201"/>
      <c r="V15" s="188"/>
      <c r="W15" s="202"/>
      <c r="X15" s="202"/>
      <c r="AB15" s="163"/>
      <c r="AC15" s="203"/>
      <c r="AD15" s="203"/>
      <c r="AE15" s="204"/>
      <c r="AG15" s="205"/>
    </row>
    <row r="16" spans="1:33" ht="15" customHeight="1" outlineLevel="1">
      <c r="A16" s="193" t="str">
        <f>'Program Budget'!D284</f>
        <v>Activity Lead Agribusiness Senior Specialist (Complementary Crop)</v>
      </c>
      <c r="B16" s="194" t="str">
        <f>'Program Budget'!F284</f>
        <v>Month</v>
      </c>
      <c r="C16" s="198">
        <f>'Program Budget'!E284</f>
        <v>66092.260000000009</v>
      </c>
      <c r="D16" s="195">
        <f>'Program Budget'!G284</f>
        <v>2833.3333333333335</v>
      </c>
      <c r="E16" s="196">
        <f>'Program Budget'!I284</f>
        <v>12</v>
      </c>
      <c r="F16" s="199">
        <f>'Program Budget'!H284</f>
        <v>1</v>
      </c>
      <c r="G16" s="198">
        <f t="shared" si="0"/>
        <v>34000</v>
      </c>
      <c r="H16" s="195">
        <f t="shared" si="1"/>
        <v>2975.0000000000005</v>
      </c>
      <c r="I16" s="196">
        <f>'Program Budget'!L284</f>
        <v>12</v>
      </c>
      <c r="J16" s="199">
        <f>'Program Budget'!K284</f>
        <v>1</v>
      </c>
      <c r="K16" s="198">
        <f t="shared" si="2"/>
        <v>35700.000000000007</v>
      </c>
      <c r="L16" s="195">
        <f t="shared" si="3"/>
        <v>3123.7500000000005</v>
      </c>
      <c r="M16" s="196">
        <f>'Program Budget'!O284</f>
        <v>12</v>
      </c>
      <c r="N16" s="199">
        <f>'Program Budget'!N284</f>
        <v>1</v>
      </c>
      <c r="O16" s="198">
        <f t="shared" si="4"/>
        <v>37485.000000000007</v>
      </c>
      <c r="P16" s="195">
        <f t="shared" si="5"/>
        <v>3279.9375000000005</v>
      </c>
      <c r="Q16" s="196">
        <f>'Program Budget'!R284</f>
        <v>0</v>
      </c>
      <c r="R16" s="199">
        <f>'Program Budget'!Q284</f>
        <v>1</v>
      </c>
      <c r="S16" s="198">
        <f t="shared" si="6"/>
        <v>0</v>
      </c>
      <c r="T16" s="333">
        <f t="shared" si="7"/>
        <v>173277.26</v>
      </c>
      <c r="U16" s="201"/>
      <c r="V16" s="188"/>
      <c r="W16" s="202"/>
      <c r="X16" s="202"/>
      <c r="AB16" s="163"/>
      <c r="AC16" s="203"/>
      <c r="AD16" s="203"/>
      <c r="AE16" s="204"/>
      <c r="AG16" s="205"/>
    </row>
    <row r="17" spans="1:33" ht="15" customHeight="1" outlineLevel="1">
      <c r="A17" s="193" t="str">
        <f>'Program Budget'!D285</f>
        <v>Complementary Crops Field Officer</v>
      </c>
      <c r="B17" s="194" t="str">
        <f>'Program Budget'!F285</f>
        <v>Month</v>
      </c>
      <c r="C17" s="198">
        <f>'Program Budget'!E285</f>
        <v>0</v>
      </c>
      <c r="D17" s="195">
        <f>'Program Budget'!G285</f>
        <v>0</v>
      </c>
      <c r="E17" s="196">
        <f>'Program Budget'!I285</f>
        <v>0</v>
      </c>
      <c r="F17" s="199">
        <f>'Program Budget'!H285</f>
        <v>1</v>
      </c>
      <c r="G17" s="198">
        <f t="shared" si="0"/>
        <v>0</v>
      </c>
      <c r="H17" s="195">
        <f t="shared" si="1"/>
        <v>0</v>
      </c>
      <c r="I17" s="196">
        <f>'Program Budget'!L285</f>
        <v>12</v>
      </c>
      <c r="J17" s="199">
        <f>'Program Budget'!K285</f>
        <v>1</v>
      </c>
      <c r="K17" s="198">
        <f t="shared" si="2"/>
        <v>0</v>
      </c>
      <c r="L17" s="195">
        <f t="shared" si="3"/>
        <v>0</v>
      </c>
      <c r="M17" s="196">
        <f>'Program Budget'!O285</f>
        <v>12</v>
      </c>
      <c r="N17" s="199">
        <f>'Program Budget'!N285</f>
        <v>1</v>
      </c>
      <c r="O17" s="198">
        <f t="shared" si="4"/>
        <v>0</v>
      </c>
      <c r="P17" s="195">
        <f t="shared" si="5"/>
        <v>0</v>
      </c>
      <c r="Q17" s="196">
        <f>'Program Budget'!R285</f>
        <v>0</v>
      </c>
      <c r="R17" s="199">
        <f>'Program Budget'!Q285</f>
        <v>1</v>
      </c>
      <c r="S17" s="198">
        <f t="shared" si="6"/>
        <v>0</v>
      </c>
      <c r="T17" s="333">
        <f t="shared" si="7"/>
        <v>0</v>
      </c>
      <c r="U17" s="201"/>
      <c r="V17" s="188"/>
      <c r="W17" s="202"/>
      <c r="X17" s="202"/>
      <c r="AB17" s="163"/>
      <c r="AC17" s="203"/>
      <c r="AD17" s="203"/>
      <c r="AE17" s="204"/>
      <c r="AG17" s="205"/>
    </row>
    <row r="18" spans="1:33" ht="15" customHeight="1" outlineLevel="1">
      <c r="A18" s="193" t="str">
        <f>'Program Budget'!D286</f>
        <v>EPSEAS Specialist</v>
      </c>
      <c r="B18" s="194" t="str">
        <f>'Program Budget'!F286</f>
        <v>Month</v>
      </c>
      <c r="C18" s="198">
        <f>'Program Budget'!E286</f>
        <v>0</v>
      </c>
      <c r="D18" s="195">
        <f>'Program Budget'!G286</f>
        <v>0</v>
      </c>
      <c r="E18" s="196">
        <f>'Program Budget'!I286</f>
        <v>0</v>
      </c>
      <c r="F18" s="199">
        <f>'Program Budget'!H286</f>
        <v>1</v>
      </c>
      <c r="G18" s="198">
        <f t="shared" si="0"/>
        <v>0</v>
      </c>
      <c r="H18" s="195">
        <f t="shared" si="1"/>
        <v>0</v>
      </c>
      <c r="I18" s="196">
        <f>'Program Budget'!L286</f>
        <v>12</v>
      </c>
      <c r="J18" s="199">
        <f>'Program Budget'!K286</f>
        <v>1</v>
      </c>
      <c r="K18" s="198">
        <f t="shared" si="2"/>
        <v>0</v>
      </c>
      <c r="L18" s="195">
        <f t="shared" si="3"/>
        <v>0</v>
      </c>
      <c r="M18" s="196">
        <f>'Program Budget'!O286</f>
        <v>12</v>
      </c>
      <c r="N18" s="199">
        <f>'Program Budget'!N286</f>
        <v>1</v>
      </c>
      <c r="O18" s="198">
        <f t="shared" si="4"/>
        <v>0</v>
      </c>
      <c r="P18" s="195">
        <f t="shared" si="5"/>
        <v>0</v>
      </c>
      <c r="Q18" s="196">
        <f>'Program Budget'!R286</f>
        <v>0</v>
      </c>
      <c r="R18" s="199">
        <f>'Program Budget'!Q286</f>
        <v>1</v>
      </c>
      <c r="S18" s="198">
        <f t="shared" si="6"/>
        <v>0</v>
      </c>
      <c r="T18" s="333">
        <f t="shared" si="7"/>
        <v>0</v>
      </c>
      <c r="U18" s="201"/>
      <c r="V18" s="188"/>
      <c r="W18" s="202"/>
      <c r="X18" s="202"/>
      <c r="AB18" s="163"/>
      <c r="AC18" s="203"/>
      <c r="AD18" s="203"/>
      <c r="AE18" s="204"/>
      <c r="AG18" s="205"/>
    </row>
    <row r="19" spans="1:33" ht="15" customHeight="1" outlineLevel="1">
      <c r="A19" s="193" t="str">
        <f>'Program Budget'!D287</f>
        <v>Extension Agents for EPSEAS (20 in Y6 and 25 in Y7)</v>
      </c>
      <c r="B19" s="194" t="str">
        <f>'Program Budget'!F287</f>
        <v>Month</v>
      </c>
      <c r="C19" s="198">
        <f>'Program Budget'!E287</f>
        <v>0</v>
      </c>
      <c r="D19" s="195">
        <f>'Program Budget'!G287</f>
        <v>1000</v>
      </c>
      <c r="E19" s="196">
        <f>'Program Budget'!I287</f>
        <v>0</v>
      </c>
      <c r="F19" s="199">
        <f>'Program Budget'!H287</f>
        <v>1</v>
      </c>
      <c r="G19" s="198">
        <f t="shared" si="0"/>
        <v>0</v>
      </c>
      <c r="H19" s="195">
        <f t="shared" si="1"/>
        <v>1050</v>
      </c>
      <c r="I19" s="196">
        <f>'Program Budget'!L287</f>
        <v>12</v>
      </c>
      <c r="J19" s="199">
        <f>'Program Budget'!K287</f>
        <v>1</v>
      </c>
      <c r="K19" s="198">
        <f>H19*(I19*20)*J19</f>
        <v>252000</v>
      </c>
      <c r="L19" s="195">
        <f t="shared" si="3"/>
        <v>1102.5</v>
      </c>
      <c r="M19" s="196">
        <f>'Program Budget'!O287</f>
        <v>12</v>
      </c>
      <c r="N19" s="199">
        <f>'Program Budget'!N287</f>
        <v>1</v>
      </c>
      <c r="O19" s="198">
        <f>L19*(M19*25)*N19</f>
        <v>330750</v>
      </c>
      <c r="P19" s="195">
        <f t="shared" si="5"/>
        <v>1157.625</v>
      </c>
      <c r="Q19" s="196">
        <f>'Program Budget'!R287</f>
        <v>0</v>
      </c>
      <c r="R19" s="199">
        <f>'Program Budget'!Q287</f>
        <v>1</v>
      </c>
      <c r="S19" s="198">
        <f t="shared" si="6"/>
        <v>0</v>
      </c>
      <c r="T19" s="333">
        <f t="shared" si="7"/>
        <v>582750</v>
      </c>
      <c r="U19" s="201"/>
      <c r="V19" s="188"/>
      <c r="W19" s="202"/>
      <c r="X19" s="202"/>
      <c r="AB19" s="163"/>
      <c r="AC19" s="203"/>
      <c r="AD19" s="203"/>
      <c r="AE19" s="204"/>
      <c r="AG19" s="205"/>
    </row>
    <row r="20" spans="1:33" ht="15" customHeight="1" outlineLevel="1">
      <c r="A20" s="193" t="str">
        <f>'Program Budget'!D288</f>
        <v xml:space="preserve">Senior M&amp;E Director </v>
      </c>
      <c r="B20" s="194" t="str">
        <f>'Program Budget'!F288</f>
        <v>Month</v>
      </c>
      <c r="C20" s="198">
        <f>'Program Budget'!E288</f>
        <v>31592.26</v>
      </c>
      <c r="D20" s="195">
        <f>'Program Budget'!G288</f>
        <v>6250</v>
      </c>
      <c r="E20" s="196">
        <f>'Program Budget'!I288</f>
        <v>12</v>
      </c>
      <c r="F20" s="199">
        <f>'Program Budget'!H288</f>
        <v>0.1</v>
      </c>
      <c r="G20" s="198">
        <f t="shared" si="0"/>
        <v>7500</v>
      </c>
      <c r="H20" s="195">
        <f t="shared" si="1"/>
        <v>6562.5</v>
      </c>
      <c r="I20" s="196">
        <f>'Program Budget'!L288</f>
        <v>12</v>
      </c>
      <c r="J20" s="199">
        <f>'Program Budget'!K288</f>
        <v>0.19</v>
      </c>
      <c r="K20" s="198">
        <f t="shared" si="2"/>
        <v>14962.5</v>
      </c>
      <c r="L20" s="195">
        <f t="shared" si="3"/>
        <v>6890.625</v>
      </c>
      <c r="M20" s="196">
        <f>'Program Budget'!O288</f>
        <v>12</v>
      </c>
      <c r="N20" s="199">
        <f>'Program Budget'!N288</f>
        <v>0.19</v>
      </c>
      <c r="O20" s="198">
        <f t="shared" si="4"/>
        <v>15710.625</v>
      </c>
      <c r="P20" s="195">
        <f t="shared" si="5"/>
        <v>7235.15625</v>
      </c>
      <c r="Q20" s="196">
        <f>'Program Budget'!R288</f>
        <v>6</v>
      </c>
      <c r="R20" s="199">
        <f>'Program Budget'!Q288</f>
        <v>0.19</v>
      </c>
      <c r="S20" s="198">
        <f t="shared" si="6"/>
        <v>8248.078125</v>
      </c>
      <c r="T20" s="333">
        <f t="shared" si="7"/>
        <v>78013.463124999995</v>
      </c>
      <c r="U20" s="201"/>
      <c r="V20" s="188"/>
      <c r="W20" s="202"/>
      <c r="X20" s="202"/>
      <c r="AB20" s="163"/>
      <c r="AC20" s="203"/>
      <c r="AD20" s="203"/>
      <c r="AE20" s="204"/>
      <c r="AG20" s="205"/>
    </row>
    <row r="21" spans="1:33" ht="15" customHeight="1" outlineLevel="1">
      <c r="A21" s="193" t="str">
        <f>'Program Budget'!D289</f>
        <v>Senior M&amp;E Specialist</v>
      </c>
      <c r="B21" s="194" t="str">
        <f>'Program Budget'!F289</f>
        <v>Month</v>
      </c>
      <c r="C21" s="198">
        <f>'Program Budget'!E289</f>
        <v>25590.26</v>
      </c>
      <c r="D21" s="195">
        <f>'Program Budget'!G289</f>
        <v>2833.3333333333335</v>
      </c>
      <c r="E21" s="196">
        <f>'Program Budget'!I289</f>
        <v>12</v>
      </c>
      <c r="F21" s="199">
        <f>'Program Budget'!H289</f>
        <v>0.1</v>
      </c>
      <c r="G21" s="198">
        <f t="shared" si="0"/>
        <v>3400</v>
      </c>
      <c r="H21" s="195">
        <f t="shared" si="1"/>
        <v>2975.0000000000005</v>
      </c>
      <c r="I21" s="196">
        <f>'Program Budget'!L289</f>
        <v>12</v>
      </c>
      <c r="J21" s="199">
        <f>'Program Budget'!K289</f>
        <v>0.19</v>
      </c>
      <c r="K21" s="198">
        <f t="shared" si="2"/>
        <v>6783.0000000000018</v>
      </c>
      <c r="L21" s="195">
        <f t="shared" si="3"/>
        <v>3123.7500000000005</v>
      </c>
      <c r="M21" s="196">
        <f>'Program Budget'!O289</f>
        <v>12</v>
      </c>
      <c r="N21" s="199">
        <f>'Program Budget'!N289</f>
        <v>0.19</v>
      </c>
      <c r="O21" s="198">
        <f t="shared" si="4"/>
        <v>7122.1500000000015</v>
      </c>
      <c r="P21" s="195">
        <f t="shared" si="5"/>
        <v>3279.9375000000005</v>
      </c>
      <c r="Q21" s="196">
        <f>'Program Budget'!R289</f>
        <v>6</v>
      </c>
      <c r="R21" s="199">
        <f>'Program Budget'!Q289</f>
        <v>0.19</v>
      </c>
      <c r="S21" s="198">
        <f t="shared" si="6"/>
        <v>3739.1287500000008</v>
      </c>
      <c r="T21" s="333">
        <f t="shared" si="7"/>
        <v>46634.538750000007</v>
      </c>
      <c r="U21" s="201"/>
      <c r="V21" s="188"/>
      <c r="W21" s="202"/>
      <c r="X21" s="202"/>
      <c r="AB21" s="163"/>
      <c r="AC21" s="203"/>
      <c r="AD21" s="203"/>
      <c r="AE21" s="204"/>
      <c r="AG21" s="205"/>
    </row>
    <row r="22" spans="1:33" ht="15" customHeight="1" outlineLevel="1">
      <c r="A22" s="193" t="str">
        <f>'Program Budget'!D290</f>
        <v>M&amp;E Specialist</v>
      </c>
      <c r="B22" s="194" t="str">
        <f>'Program Budget'!F290</f>
        <v>Month</v>
      </c>
      <c r="C22" s="198">
        <f>'Program Budget'!E290</f>
        <v>22094.26</v>
      </c>
      <c r="D22" s="195">
        <f>'Program Budget'!G290</f>
        <v>2500</v>
      </c>
      <c r="E22" s="196">
        <f>'Program Budget'!I290</f>
        <v>12</v>
      </c>
      <c r="F22" s="199">
        <f>'Program Budget'!H290</f>
        <v>0.1</v>
      </c>
      <c r="G22" s="198">
        <f t="shared" si="0"/>
        <v>3000</v>
      </c>
      <c r="H22" s="195">
        <f t="shared" si="1"/>
        <v>2625</v>
      </c>
      <c r="I22" s="196">
        <f>'Program Budget'!L290</f>
        <v>12</v>
      </c>
      <c r="J22" s="199">
        <f>'Program Budget'!K290</f>
        <v>0.19</v>
      </c>
      <c r="K22" s="198">
        <f t="shared" si="2"/>
        <v>5985</v>
      </c>
      <c r="L22" s="195">
        <f t="shared" si="3"/>
        <v>2756.25</v>
      </c>
      <c r="M22" s="196">
        <f>'Program Budget'!O290</f>
        <v>12</v>
      </c>
      <c r="N22" s="199">
        <f>'Program Budget'!N290</f>
        <v>0.19</v>
      </c>
      <c r="O22" s="198">
        <f t="shared" si="4"/>
        <v>6284.25</v>
      </c>
      <c r="P22" s="195">
        <f t="shared" si="5"/>
        <v>2894.0625</v>
      </c>
      <c r="Q22" s="196">
        <f>'Program Budget'!R290</f>
        <v>3</v>
      </c>
      <c r="R22" s="199">
        <f>'Program Budget'!Q290</f>
        <v>0.19</v>
      </c>
      <c r="S22" s="198">
        <f t="shared" si="6"/>
        <v>1649.6156249999999</v>
      </c>
      <c r="T22" s="333">
        <f t="shared" si="7"/>
        <v>39013.125624999993</v>
      </c>
      <c r="U22" s="201"/>
      <c r="V22" s="188"/>
      <c r="W22" s="202"/>
      <c r="X22" s="202"/>
      <c r="AB22" s="163"/>
      <c r="AC22" s="203"/>
      <c r="AD22" s="203"/>
      <c r="AE22" s="204"/>
      <c r="AG22" s="205"/>
    </row>
    <row r="23" spans="1:33" ht="15" customHeight="1" outlineLevel="1">
      <c r="A23" s="193" t="str">
        <f>'Program Budget'!D291</f>
        <v>M&amp;E Officer</v>
      </c>
      <c r="B23" s="194" t="str">
        <f>'Program Budget'!F291</f>
        <v>Month</v>
      </c>
      <c r="C23" s="198">
        <f>'Program Budget'!E291</f>
        <v>3500</v>
      </c>
      <c r="D23" s="195">
        <f>'Program Budget'!G291</f>
        <v>1000</v>
      </c>
      <c r="E23" s="196">
        <f>'Program Budget'!I291</f>
        <v>12</v>
      </c>
      <c r="F23" s="199">
        <f>'Program Budget'!H291</f>
        <v>0.1</v>
      </c>
      <c r="G23" s="198">
        <f t="shared" si="0"/>
        <v>1200</v>
      </c>
      <c r="H23" s="195">
        <f t="shared" si="1"/>
        <v>1050</v>
      </c>
      <c r="I23" s="196">
        <f>'Program Budget'!L291</f>
        <v>12</v>
      </c>
      <c r="J23" s="199">
        <f>'Program Budget'!K291</f>
        <v>0.05</v>
      </c>
      <c r="K23" s="198">
        <f t="shared" si="2"/>
        <v>630</v>
      </c>
      <c r="L23" s="195">
        <f t="shared" si="3"/>
        <v>1102.5</v>
      </c>
      <c r="M23" s="196">
        <f>'Program Budget'!O291</f>
        <v>12</v>
      </c>
      <c r="N23" s="199">
        <f>'Program Budget'!N291</f>
        <v>0.05</v>
      </c>
      <c r="O23" s="198">
        <f t="shared" si="4"/>
        <v>661.5</v>
      </c>
      <c r="P23" s="195">
        <f t="shared" si="5"/>
        <v>1157.625</v>
      </c>
      <c r="Q23" s="196">
        <f>'Program Budget'!R291</f>
        <v>3</v>
      </c>
      <c r="R23" s="199">
        <f>'Program Budget'!Q291</f>
        <v>0.05</v>
      </c>
      <c r="S23" s="198">
        <f t="shared" si="6"/>
        <v>173.64375000000001</v>
      </c>
      <c r="T23" s="333">
        <f t="shared" si="7"/>
        <v>6165.1437500000002</v>
      </c>
      <c r="U23" s="201"/>
      <c r="V23" s="188"/>
      <c r="W23" s="202"/>
      <c r="X23" s="202"/>
      <c r="AB23" s="163"/>
      <c r="AC23" s="203"/>
      <c r="AD23" s="203"/>
      <c r="AE23" s="204"/>
      <c r="AG23" s="205"/>
    </row>
    <row r="24" spans="1:33" ht="15" customHeight="1" outlineLevel="1">
      <c r="A24" s="193" t="str">
        <f>'Program Budget'!D292</f>
        <v>Partnerships and Investment Director</v>
      </c>
      <c r="B24" s="194" t="str">
        <f>'Program Budget'!F292</f>
        <v>Month</v>
      </c>
      <c r="C24" s="198">
        <f>'Program Budget'!E292</f>
        <v>44005</v>
      </c>
      <c r="D24" s="195">
        <f>'Program Budget'!G292</f>
        <v>4583.333333333333</v>
      </c>
      <c r="E24" s="196">
        <f>'Program Budget'!I292</f>
        <v>12</v>
      </c>
      <c r="F24" s="199">
        <f>'Program Budget'!H292</f>
        <v>0.1</v>
      </c>
      <c r="G24" s="198">
        <f t="shared" si="0"/>
        <v>5500</v>
      </c>
      <c r="H24" s="195">
        <f t="shared" si="1"/>
        <v>4812.5</v>
      </c>
      <c r="I24" s="196">
        <f>'Program Budget'!L292</f>
        <v>12</v>
      </c>
      <c r="J24" s="199">
        <f>'Program Budget'!K292</f>
        <v>0.05</v>
      </c>
      <c r="K24" s="198">
        <f t="shared" si="2"/>
        <v>2887.5</v>
      </c>
      <c r="L24" s="195">
        <f t="shared" si="3"/>
        <v>5053.125</v>
      </c>
      <c r="M24" s="196">
        <f>'Program Budget'!O292</f>
        <v>12</v>
      </c>
      <c r="N24" s="199">
        <f>'Program Budget'!N292</f>
        <v>0.05</v>
      </c>
      <c r="O24" s="198">
        <f t="shared" si="4"/>
        <v>3031.875</v>
      </c>
      <c r="P24" s="195">
        <f t="shared" si="5"/>
        <v>5305.78125</v>
      </c>
      <c r="Q24" s="196">
        <f>'Program Budget'!R292</f>
        <v>0</v>
      </c>
      <c r="R24" s="199">
        <f>'Program Budget'!Q292</f>
        <v>0.05</v>
      </c>
      <c r="S24" s="198">
        <f t="shared" si="6"/>
        <v>0</v>
      </c>
      <c r="T24" s="333">
        <f t="shared" si="7"/>
        <v>55424.375</v>
      </c>
      <c r="U24" s="201"/>
      <c r="V24" s="188"/>
      <c r="W24" s="202"/>
      <c r="X24" s="202"/>
      <c r="AB24" s="163"/>
      <c r="AC24" s="203"/>
      <c r="AD24" s="203"/>
      <c r="AE24" s="204"/>
      <c r="AG24" s="205"/>
    </row>
    <row r="25" spans="1:33" ht="15" customHeight="1" outlineLevel="1">
      <c r="A25" s="193" t="str">
        <f>'Program Budget'!D293</f>
        <v>Partnerships and Investment Specialist</v>
      </c>
      <c r="B25" s="194" t="str">
        <f>'Program Budget'!F293</f>
        <v>Month</v>
      </c>
      <c r="C25" s="198">
        <f>'Program Budget'!E293</f>
        <v>0</v>
      </c>
      <c r="D25" s="195">
        <f>'Program Budget'!G293</f>
        <v>1750</v>
      </c>
      <c r="E25" s="196">
        <f>'Program Budget'!I293</f>
        <v>12</v>
      </c>
      <c r="F25" s="199">
        <f>'Program Budget'!H293</f>
        <v>0.1</v>
      </c>
      <c r="G25" s="198">
        <f t="shared" si="0"/>
        <v>2100</v>
      </c>
      <c r="H25" s="195">
        <f t="shared" si="1"/>
        <v>1837.5</v>
      </c>
      <c r="I25" s="196">
        <f>'Program Budget'!L293</f>
        <v>12</v>
      </c>
      <c r="J25" s="199">
        <f>'Program Budget'!K293</f>
        <v>0.2</v>
      </c>
      <c r="K25" s="198">
        <f t="shared" si="2"/>
        <v>4410</v>
      </c>
      <c r="L25" s="195">
        <f t="shared" si="3"/>
        <v>1929.375</v>
      </c>
      <c r="M25" s="196">
        <f>'Program Budget'!O293</f>
        <v>12</v>
      </c>
      <c r="N25" s="199">
        <f>'Program Budget'!N293</f>
        <v>0.2</v>
      </c>
      <c r="O25" s="198">
        <f t="shared" si="4"/>
        <v>4630.5</v>
      </c>
      <c r="P25" s="195">
        <f t="shared" si="5"/>
        <v>2025.84375</v>
      </c>
      <c r="Q25" s="196">
        <f>'Program Budget'!R293</f>
        <v>0</v>
      </c>
      <c r="R25" s="199">
        <f>'Program Budget'!Q293</f>
        <v>0.2</v>
      </c>
      <c r="S25" s="198">
        <f t="shared" si="6"/>
        <v>0</v>
      </c>
      <c r="T25" s="333">
        <f t="shared" si="7"/>
        <v>11140.5</v>
      </c>
      <c r="U25" s="201"/>
      <c r="V25" s="188"/>
      <c r="W25" s="202"/>
      <c r="X25" s="202"/>
      <c r="AB25" s="163"/>
      <c r="AC25" s="203"/>
      <c r="AD25" s="203"/>
      <c r="AE25" s="204"/>
      <c r="AG25" s="205"/>
    </row>
    <row r="26" spans="1:33" ht="15" customHeight="1" outlineLevel="1">
      <c r="A26" s="193" t="str">
        <f>'Program Budget'!D294</f>
        <v>Organizational Strengthening Specialist</v>
      </c>
      <c r="B26" s="194" t="str">
        <f>'Program Budget'!F294</f>
        <v>Month</v>
      </c>
      <c r="C26" s="198">
        <f>'Program Budget'!E294</f>
        <v>0</v>
      </c>
      <c r="D26" s="195">
        <f>'Program Budget'!G294</f>
        <v>1750</v>
      </c>
      <c r="E26" s="196">
        <f>'Program Budget'!I294</f>
        <v>12</v>
      </c>
      <c r="F26" s="199">
        <f>'Program Budget'!H294</f>
        <v>0.1</v>
      </c>
      <c r="G26" s="198">
        <f t="shared" si="0"/>
        <v>2100</v>
      </c>
      <c r="H26" s="195">
        <f t="shared" si="1"/>
        <v>1837.5</v>
      </c>
      <c r="I26" s="196">
        <f>'Program Budget'!L294</f>
        <v>12</v>
      </c>
      <c r="J26" s="199">
        <f>'Program Budget'!K294</f>
        <v>0</v>
      </c>
      <c r="K26" s="198">
        <f t="shared" si="2"/>
        <v>0</v>
      </c>
      <c r="L26" s="195">
        <f t="shared" si="3"/>
        <v>1929.375</v>
      </c>
      <c r="M26" s="196">
        <f>'Program Budget'!O294</f>
        <v>12</v>
      </c>
      <c r="N26" s="199">
        <f>'Program Budget'!N294</f>
        <v>0</v>
      </c>
      <c r="O26" s="198">
        <f t="shared" si="4"/>
        <v>0</v>
      </c>
      <c r="P26" s="195">
        <f t="shared" si="5"/>
        <v>2025.84375</v>
      </c>
      <c r="Q26" s="196">
        <f>'Program Budget'!R294</f>
        <v>0</v>
      </c>
      <c r="R26" s="199">
        <f>'Program Budget'!Q294</f>
        <v>0</v>
      </c>
      <c r="S26" s="198">
        <f t="shared" si="6"/>
        <v>0</v>
      </c>
      <c r="T26" s="333">
        <f t="shared" si="7"/>
        <v>2100</v>
      </c>
      <c r="U26" s="201"/>
      <c r="V26" s="188"/>
      <c r="W26" s="202"/>
      <c r="X26" s="202"/>
      <c r="AB26" s="163"/>
      <c r="AC26" s="203"/>
      <c r="AD26" s="203"/>
      <c r="AE26" s="204"/>
      <c r="AG26" s="205"/>
    </row>
    <row r="27" spans="1:33" ht="15" customHeight="1" outlineLevel="1">
      <c r="A27" s="193" t="str">
        <f>'Program Budget'!D295</f>
        <v>Value Chain Strengthening Director</v>
      </c>
      <c r="B27" s="194" t="str">
        <f>'Program Budget'!F295</f>
        <v>Month</v>
      </c>
      <c r="C27" s="198">
        <f>'Program Budget'!E295</f>
        <v>0</v>
      </c>
      <c r="D27" s="195">
        <f>'Program Budget'!G295</f>
        <v>0</v>
      </c>
      <c r="E27" s="196">
        <f>'Program Budget'!I295</f>
        <v>12</v>
      </c>
      <c r="F27" s="199">
        <f>'Program Budget'!H295</f>
        <v>0.1</v>
      </c>
      <c r="G27" s="198">
        <f t="shared" si="0"/>
        <v>0</v>
      </c>
      <c r="H27" s="195">
        <f t="shared" si="1"/>
        <v>0</v>
      </c>
      <c r="I27" s="196">
        <f>'Program Budget'!L295</f>
        <v>12</v>
      </c>
      <c r="J27" s="199">
        <f>'Program Budget'!K295</f>
        <v>0.05</v>
      </c>
      <c r="K27" s="198">
        <f t="shared" si="2"/>
        <v>0</v>
      </c>
      <c r="L27" s="195">
        <f t="shared" si="3"/>
        <v>0</v>
      </c>
      <c r="M27" s="196">
        <f>'Program Budget'!O295</f>
        <v>12</v>
      </c>
      <c r="N27" s="199">
        <f>'Program Budget'!N295</f>
        <v>0.05</v>
      </c>
      <c r="O27" s="198">
        <f t="shared" si="4"/>
        <v>0</v>
      </c>
      <c r="P27" s="195">
        <f t="shared" si="5"/>
        <v>0</v>
      </c>
      <c r="Q27" s="196">
        <f>'Program Budget'!R295</f>
        <v>4</v>
      </c>
      <c r="R27" s="199">
        <f>'Program Budget'!Q295</f>
        <v>0.05</v>
      </c>
      <c r="S27" s="198">
        <f t="shared" si="6"/>
        <v>0</v>
      </c>
      <c r="T27" s="333">
        <f t="shared" si="7"/>
        <v>0</v>
      </c>
      <c r="U27" s="201"/>
      <c r="V27" s="188"/>
      <c r="W27" s="202"/>
      <c r="X27" s="202"/>
      <c r="AB27" s="163"/>
      <c r="AC27" s="203"/>
      <c r="AD27" s="203"/>
      <c r="AE27" s="204"/>
      <c r="AG27" s="205"/>
    </row>
    <row r="28" spans="1:33" ht="15" customHeight="1" outlineLevel="1">
      <c r="A28" s="193" t="str">
        <f>'Program Budget'!D296</f>
        <v>Communications Specialist</v>
      </c>
      <c r="B28" s="194" t="str">
        <f>'Program Budget'!F296</f>
        <v>Month</v>
      </c>
      <c r="C28" s="198">
        <f>'Program Budget'!E296</f>
        <v>0</v>
      </c>
      <c r="D28" s="195">
        <f>'Program Budget'!G296</f>
        <v>1750</v>
      </c>
      <c r="E28" s="196">
        <f>'Program Budget'!I296</f>
        <v>12</v>
      </c>
      <c r="F28" s="199">
        <f>'Program Budget'!H296</f>
        <v>0.1</v>
      </c>
      <c r="G28" s="198">
        <f t="shared" si="0"/>
        <v>2100</v>
      </c>
      <c r="H28" s="195">
        <f t="shared" si="1"/>
        <v>1837.5</v>
      </c>
      <c r="I28" s="196">
        <f>'Program Budget'!L296</f>
        <v>12</v>
      </c>
      <c r="J28" s="199">
        <f>'Program Budget'!K296</f>
        <v>0.18</v>
      </c>
      <c r="K28" s="198">
        <f t="shared" si="2"/>
        <v>3969</v>
      </c>
      <c r="L28" s="195">
        <f t="shared" si="3"/>
        <v>1929.375</v>
      </c>
      <c r="M28" s="196">
        <f>'Program Budget'!O296</f>
        <v>12</v>
      </c>
      <c r="N28" s="199">
        <f>'Program Budget'!N296</f>
        <v>0.18</v>
      </c>
      <c r="O28" s="198">
        <f t="shared" si="4"/>
        <v>4167.45</v>
      </c>
      <c r="P28" s="195">
        <f t="shared" si="5"/>
        <v>2025.84375</v>
      </c>
      <c r="Q28" s="196">
        <f>'Program Budget'!R296</f>
        <v>0</v>
      </c>
      <c r="R28" s="199">
        <f>'Program Budget'!Q296</f>
        <v>0.18</v>
      </c>
      <c r="S28" s="198">
        <f t="shared" si="6"/>
        <v>0</v>
      </c>
      <c r="T28" s="333">
        <f t="shared" si="7"/>
        <v>10236.450000000001</v>
      </c>
      <c r="U28" s="201"/>
      <c r="V28" s="188"/>
      <c r="W28" s="202"/>
      <c r="X28" s="202"/>
      <c r="AB28" s="163"/>
      <c r="AC28" s="203"/>
      <c r="AD28" s="203"/>
      <c r="AE28" s="204"/>
      <c r="AG28" s="205"/>
    </row>
    <row r="29" spans="1:33" ht="15" customHeight="1" outlineLevel="1">
      <c r="A29" s="193" t="str">
        <f>'Program Budget'!D297</f>
        <v>Value Chain Specialist</v>
      </c>
      <c r="B29" s="194" t="str">
        <f>'Program Budget'!F297</f>
        <v>Month</v>
      </c>
      <c r="C29" s="198">
        <f>'Program Budget'!E297</f>
        <v>0</v>
      </c>
      <c r="D29" s="195">
        <f>'Program Budget'!G297</f>
        <v>2500</v>
      </c>
      <c r="E29" s="196">
        <f>'Program Budget'!I297</f>
        <v>12</v>
      </c>
      <c r="F29" s="199">
        <f>'Program Budget'!H297</f>
        <v>0.1</v>
      </c>
      <c r="G29" s="198">
        <f t="shared" si="0"/>
        <v>3000</v>
      </c>
      <c r="H29" s="195">
        <f t="shared" si="1"/>
        <v>2625</v>
      </c>
      <c r="I29" s="196">
        <f>'Program Budget'!L297</f>
        <v>12</v>
      </c>
      <c r="J29" s="199">
        <f>'Program Budget'!K297</f>
        <v>0</v>
      </c>
      <c r="K29" s="198">
        <f t="shared" si="2"/>
        <v>0</v>
      </c>
      <c r="L29" s="195">
        <f t="shared" si="3"/>
        <v>2756.25</v>
      </c>
      <c r="M29" s="196">
        <f>'Program Budget'!O297</f>
        <v>12</v>
      </c>
      <c r="N29" s="199">
        <f>'Program Budget'!N297</f>
        <v>0</v>
      </c>
      <c r="O29" s="198">
        <f t="shared" si="4"/>
        <v>0</v>
      </c>
      <c r="P29" s="195">
        <f t="shared" si="5"/>
        <v>2894.0625</v>
      </c>
      <c r="Q29" s="196">
        <f>'Program Budget'!R297</f>
        <v>0</v>
      </c>
      <c r="R29" s="199">
        <f>'Program Budget'!Q297</f>
        <v>0</v>
      </c>
      <c r="S29" s="198">
        <f t="shared" si="6"/>
        <v>0</v>
      </c>
      <c r="T29" s="333">
        <f t="shared" si="7"/>
        <v>3000</v>
      </c>
      <c r="U29" s="201"/>
      <c r="V29" s="188"/>
      <c r="W29" s="202"/>
      <c r="X29" s="202"/>
      <c r="AB29" s="163"/>
      <c r="AC29" s="203"/>
      <c r="AD29" s="203"/>
      <c r="AE29" s="204"/>
      <c r="AG29" s="205"/>
    </row>
    <row r="30" spans="1:33" ht="15" customHeight="1" outlineLevel="1">
      <c r="A30" s="193" t="str">
        <f>'Program Budget'!D298</f>
        <v>Contracts &amp; Compliance Director</v>
      </c>
      <c r="B30" s="194" t="str">
        <f>'Program Budget'!F298</f>
        <v>Month</v>
      </c>
      <c r="C30" s="198">
        <f>'Program Budget'!E298</f>
        <v>76723.179999999993</v>
      </c>
      <c r="D30" s="195">
        <f>'Program Budget'!G298</f>
        <v>4583.333333333333</v>
      </c>
      <c r="E30" s="196">
        <f>'Program Budget'!I298</f>
        <v>12</v>
      </c>
      <c r="F30" s="199">
        <f>'Program Budget'!H298</f>
        <v>0.1</v>
      </c>
      <c r="G30" s="198">
        <f t="shared" si="0"/>
        <v>5500</v>
      </c>
      <c r="H30" s="195">
        <f t="shared" si="1"/>
        <v>4812.5</v>
      </c>
      <c r="I30" s="196">
        <f>'Program Budget'!L298</f>
        <v>12</v>
      </c>
      <c r="J30" s="199">
        <f>'Program Budget'!K298</f>
        <v>0.18</v>
      </c>
      <c r="K30" s="198">
        <f t="shared" si="2"/>
        <v>10395</v>
      </c>
      <c r="L30" s="195">
        <f t="shared" si="3"/>
        <v>5053.125</v>
      </c>
      <c r="M30" s="196">
        <f>'Program Budget'!O298</f>
        <v>12</v>
      </c>
      <c r="N30" s="199">
        <f>'Program Budget'!N298</f>
        <v>0.18</v>
      </c>
      <c r="O30" s="198">
        <f t="shared" si="4"/>
        <v>10914.75</v>
      </c>
      <c r="P30" s="195">
        <f t="shared" si="5"/>
        <v>5305.78125</v>
      </c>
      <c r="Q30" s="196">
        <f>'Program Budget'!R298</f>
        <v>3</v>
      </c>
      <c r="R30" s="199">
        <f>'Program Budget'!Q298</f>
        <v>0.18</v>
      </c>
      <c r="S30" s="198">
        <f t="shared" si="6"/>
        <v>2865.1218749999998</v>
      </c>
      <c r="T30" s="333">
        <f t="shared" si="7"/>
        <v>106398.05187499999</v>
      </c>
      <c r="U30" s="201"/>
      <c r="V30" s="188"/>
      <c r="W30" s="202"/>
      <c r="X30" s="202"/>
      <c r="AB30" s="163"/>
      <c r="AC30" s="203"/>
      <c r="AD30" s="203"/>
      <c r="AE30" s="204"/>
      <c r="AG30" s="205"/>
    </row>
    <row r="31" spans="1:33" ht="15" customHeight="1" outlineLevel="1">
      <c r="A31" s="193" t="str">
        <f>'Program Budget'!D299</f>
        <v>Grants &amp; Procurement Specialist (2)</v>
      </c>
      <c r="B31" s="194" t="str">
        <f>'Program Budget'!F299</f>
        <v>Month</v>
      </c>
      <c r="C31" s="198">
        <f>'Program Budget'!E299</f>
        <v>0</v>
      </c>
      <c r="D31" s="195">
        <f>'Program Budget'!G299</f>
        <v>3500</v>
      </c>
      <c r="E31" s="196">
        <f>'Program Budget'!I299</f>
        <v>12</v>
      </c>
      <c r="F31" s="199">
        <f>'Program Budget'!H299</f>
        <v>0.25</v>
      </c>
      <c r="G31" s="198">
        <f t="shared" si="0"/>
        <v>10500</v>
      </c>
      <c r="H31" s="195">
        <f t="shared" si="1"/>
        <v>3675</v>
      </c>
      <c r="I31" s="196">
        <f>'Program Budget'!L299</f>
        <v>12</v>
      </c>
      <c r="J31" s="199">
        <f>'Program Budget'!K299</f>
        <v>0.25</v>
      </c>
      <c r="K31" s="198">
        <f t="shared" si="2"/>
        <v>11025</v>
      </c>
      <c r="L31" s="195">
        <f t="shared" si="3"/>
        <v>3858.75</v>
      </c>
      <c r="M31" s="196">
        <f>'Program Budget'!O299</f>
        <v>12</v>
      </c>
      <c r="N31" s="199">
        <f>'Program Budget'!N299</f>
        <v>0.25</v>
      </c>
      <c r="O31" s="198">
        <f t="shared" si="4"/>
        <v>11576.25</v>
      </c>
      <c r="P31" s="195">
        <f t="shared" si="5"/>
        <v>4051.6875</v>
      </c>
      <c r="Q31" s="196">
        <f>'Program Budget'!R299</f>
        <v>0</v>
      </c>
      <c r="R31" s="199">
        <f>'Program Budget'!Q299</f>
        <v>0.25</v>
      </c>
      <c r="S31" s="198">
        <f t="shared" si="6"/>
        <v>0</v>
      </c>
      <c r="T31" s="333">
        <f t="shared" si="7"/>
        <v>33101.25</v>
      </c>
      <c r="U31" s="201"/>
      <c r="V31" s="188"/>
      <c r="W31" s="202"/>
      <c r="X31" s="202"/>
      <c r="AB31" s="163"/>
      <c r="AC31" s="203"/>
      <c r="AD31" s="203"/>
      <c r="AE31" s="204"/>
      <c r="AG31" s="205"/>
    </row>
    <row r="32" spans="1:33" ht="15" customHeight="1" outlineLevel="1">
      <c r="A32" s="193" t="str">
        <f>'Program Budget'!D300</f>
        <v xml:space="preserve">F&amp;A Director </v>
      </c>
      <c r="B32" s="194" t="str">
        <f>'Program Budget'!F300</f>
        <v>Month</v>
      </c>
      <c r="C32" s="198">
        <f>'Program Budget'!E300</f>
        <v>35715.870000000003</v>
      </c>
      <c r="D32" s="195">
        <f>'Program Budget'!G300</f>
        <v>5279.4</v>
      </c>
      <c r="E32" s="196">
        <f>'Program Budget'!I300</f>
        <v>12</v>
      </c>
      <c r="F32" s="199">
        <f>'Program Budget'!H300</f>
        <v>0.15</v>
      </c>
      <c r="G32" s="198">
        <f t="shared" si="0"/>
        <v>9502.9199999999983</v>
      </c>
      <c r="H32" s="195">
        <f t="shared" si="1"/>
        <v>5543.37</v>
      </c>
      <c r="I32" s="196">
        <f>'Program Budget'!L300</f>
        <v>12</v>
      </c>
      <c r="J32" s="199">
        <f>'Program Budget'!K300</f>
        <v>0.2</v>
      </c>
      <c r="K32" s="198">
        <f t="shared" si="2"/>
        <v>13304.088000000002</v>
      </c>
      <c r="L32" s="195">
        <f t="shared" si="3"/>
        <v>5820.5385000000006</v>
      </c>
      <c r="M32" s="196">
        <f>'Program Budget'!O300</f>
        <v>12</v>
      </c>
      <c r="N32" s="199">
        <f>'Program Budget'!N300</f>
        <v>0.2</v>
      </c>
      <c r="O32" s="198">
        <f t="shared" si="4"/>
        <v>13969.2924</v>
      </c>
      <c r="P32" s="195">
        <f t="shared" si="5"/>
        <v>6111.5654250000007</v>
      </c>
      <c r="Q32" s="196">
        <f>'Program Budget'!R300</f>
        <v>6</v>
      </c>
      <c r="R32" s="199">
        <f>'Program Budget'!Q300</f>
        <v>0.2</v>
      </c>
      <c r="S32" s="198">
        <f t="shared" si="6"/>
        <v>7333.8785100000014</v>
      </c>
      <c r="T32" s="333">
        <f t="shared" si="7"/>
        <v>79826.048909999998</v>
      </c>
      <c r="U32" s="201"/>
      <c r="V32" s="188"/>
      <c r="W32" s="202"/>
      <c r="X32" s="202"/>
      <c r="AB32" s="163">
        <v>180</v>
      </c>
      <c r="AC32" s="203" t="s">
        <v>547</v>
      </c>
      <c r="AD32" s="203" t="s">
        <v>548</v>
      </c>
      <c r="AE32" s="204"/>
      <c r="AG32" s="205"/>
    </row>
    <row r="33" spans="1:33" ht="15" customHeight="1" outlineLevel="1">
      <c r="A33" s="193" t="str">
        <f>'Program Budget'!D301</f>
        <v>Accounting &amp; Finance Specialist</v>
      </c>
      <c r="B33" s="194" t="str">
        <f>'Program Budget'!F301</f>
        <v>Month</v>
      </c>
      <c r="C33" s="198">
        <f>'Program Budget'!E301</f>
        <v>0</v>
      </c>
      <c r="D33" s="195">
        <f>'Program Budget'!G301</f>
        <v>1750</v>
      </c>
      <c r="E33" s="196">
        <f>'Program Budget'!I301</f>
        <v>12</v>
      </c>
      <c r="F33" s="199">
        <f>'Program Budget'!H301</f>
        <v>0.1</v>
      </c>
      <c r="G33" s="198">
        <f t="shared" si="0"/>
        <v>2100</v>
      </c>
      <c r="H33" s="195">
        <f t="shared" si="1"/>
        <v>1837.5</v>
      </c>
      <c r="I33" s="196">
        <f>'Program Budget'!L301</f>
        <v>12</v>
      </c>
      <c r="J33" s="199">
        <f>'Program Budget'!K301</f>
        <v>0.16</v>
      </c>
      <c r="K33" s="198">
        <f t="shared" si="2"/>
        <v>3528</v>
      </c>
      <c r="L33" s="195">
        <f t="shared" si="3"/>
        <v>1929.375</v>
      </c>
      <c r="M33" s="196">
        <f>'Program Budget'!O301</f>
        <v>12</v>
      </c>
      <c r="N33" s="199">
        <f>'Program Budget'!N301</f>
        <v>0.16</v>
      </c>
      <c r="O33" s="198">
        <f t="shared" si="4"/>
        <v>3704.4</v>
      </c>
      <c r="P33" s="195">
        <f t="shared" si="5"/>
        <v>2025.84375</v>
      </c>
      <c r="Q33" s="196">
        <f>'Program Budget'!R301</f>
        <v>3</v>
      </c>
      <c r="R33" s="199">
        <f>'Program Budget'!Q301</f>
        <v>0.16</v>
      </c>
      <c r="S33" s="198">
        <f t="shared" si="6"/>
        <v>972.40499999999997</v>
      </c>
      <c r="T33" s="333">
        <f t="shared" si="7"/>
        <v>10304.805</v>
      </c>
      <c r="U33" s="201"/>
      <c r="V33" s="188"/>
      <c r="W33" s="202"/>
      <c r="X33" s="202"/>
      <c r="AB33" s="163">
        <v>180</v>
      </c>
      <c r="AC33" s="203" t="s">
        <v>547</v>
      </c>
      <c r="AD33" s="203" t="s">
        <v>548</v>
      </c>
      <c r="AE33" s="204"/>
      <c r="AG33" s="205"/>
    </row>
    <row r="34" spans="1:33" ht="15" customHeight="1" outlineLevel="1">
      <c r="A34" s="193" t="str">
        <f>'Program Budget'!D302</f>
        <v xml:space="preserve">Accountant </v>
      </c>
      <c r="B34" s="194" t="str">
        <f>'Program Budget'!F302</f>
        <v>Month</v>
      </c>
      <c r="C34" s="198">
        <f>'Program Budget'!E302</f>
        <v>0</v>
      </c>
      <c r="D34" s="195">
        <f>'Program Budget'!G302</f>
        <v>1750</v>
      </c>
      <c r="E34" s="196">
        <f>'Program Budget'!I302</f>
        <v>12</v>
      </c>
      <c r="F34" s="199">
        <f>'Program Budget'!H302</f>
        <v>0.1</v>
      </c>
      <c r="G34" s="198">
        <f t="shared" si="0"/>
        <v>2100</v>
      </c>
      <c r="H34" s="195">
        <f t="shared" si="1"/>
        <v>1837.5</v>
      </c>
      <c r="I34" s="196">
        <f>'Program Budget'!L302</f>
        <v>12</v>
      </c>
      <c r="J34" s="199">
        <f>'Program Budget'!K302</f>
        <v>0.16</v>
      </c>
      <c r="K34" s="198">
        <f t="shared" si="2"/>
        <v>3528</v>
      </c>
      <c r="L34" s="195">
        <f t="shared" si="3"/>
        <v>1929.375</v>
      </c>
      <c r="M34" s="196">
        <f>'Program Budget'!O302</f>
        <v>12</v>
      </c>
      <c r="N34" s="199">
        <f>'Program Budget'!N302</f>
        <v>0.16</v>
      </c>
      <c r="O34" s="198">
        <f t="shared" si="4"/>
        <v>3704.4</v>
      </c>
      <c r="P34" s="195">
        <f t="shared" si="5"/>
        <v>2025.84375</v>
      </c>
      <c r="Q34" s="196">
        <f>'Program Budget'!R302</f>
        <v>5</v>
      </c>
      <c r="R34" s="199">
        <f>'Program Budget'!Q302</f>
        <v>0.16</v>
      </c>
      <c r="S34" s="198">
        <f t="shared" si="6"/>
        <v>1620.675</v>
      </c>
      <c r="T34" s="333">
        <f t="shared" si="7"/>
        <v>10953.074999999999</v>
      </c>
      <c r="U34" s="201"/>
      <c r="V34" s="188"/>
      <c r="W34" s="202"/>
      <c r="X34" s="202"/>
      <c r="AB34" s="163"/>
      <c r="AC34" s="203"/>
      <c r="AD34" s="203"/>
      <c r="AE34" s="204"/>
      <c r="AG34" s="205"/>
    </row>
    <row r="35" spans="1:33" ht="15" customHeight="1" outlineLevel="1">
      <c r="A35" s="193" t="str">
        <f>'Program Budget'!D303</f>
        <v>Finance &amp; Admin Coordinator - 50% LOE</v>
      </c>
      <c r="B35" s="194" t="str">
        <f>'Program Budget'!F303</f>
        <v>Month</v>
      </c>
      <c r="C35" s="198">
        <f>'Program Budget'!E303</f>
        <v>0</v>
      </c>
      <c r="D35" s="195">
        <f>'Program Budget'!G303</f>
        <v>2583.3333333333335</v>
      </c>
      <c r="E35" s="196">
        <f>'Program Budget'!I303</f>
        <v>12</v>
      </c>
      <c r="F35" s="199">
        <f>'Program Budget'!H303</f>
        <v>0.05</v>
      </c>
      <c r="G35" s="198">
        <f t="shared" si="0"/>
        <v>1550</v>
      </c>
      <c r="H35" s="195">
        <f t="shared" si="1"/>
        <v>2712.5000000000005</v>
      </c>
      <c r="I35" s="196">
        <f>'Program Budget'!L303</f>
        <v>12</v>
      </c>
      <c r="J35" s="199">
        <f>'Program Budget'!K303</f>
        <v>0.1</v>
      </c>
      <c r="K35" s="198">
        <f t="shared" si="2"/>
        <v>3255.0000000000009</v>
      </c>
      <c r="L35" s="195">
        <f t="shared" si="3"/>
        <v>2848.1250000000005</v>
      </c>
      <c r="M35" s="196">
        <f>'Program Budget'!O303</f>
        <v>12</v>
      </c>
      <c r="N35" s="199">
        <f>'Program Budget'!N303</f>
        <v>0.1</v>
      </c>
      <c r="O35" s="198">
        <f t="shared" si="4"/>
        <v>3417.7500000000009</v>
      </c>
      <c r="P35" s="195">
        <f t="shared" si="5"/>
        <v>2990.5312500000005</v>
      </c>
      <c r="Q35" s="196">
        <f>'Program Budget'!R303</f>
        <v>6</v>
      </c>
      <c r="R35" s="199">
        <f>'Program Budget'!Q303</f>
        <v>0.1</v>
      </c>
      <c r="S35" s="198">
        <f t="shared" si="6"/>
        <v>1794.3187500000004</v>
      </c>
      <c r="T35" s="333">
        <f t="shared" si="7"/>
        <v>10017.068750000002</v>
      </c>
      <c r="U35" s="201"/>
      <c r="V35" s="188"/>
      <c r="W35" s="202"/>
      <c r="X35" s="202"/>
      <c r="AB35" s="163"/>
      <c r="AC35" s="203"/>
      <c r="AD35" s="203"/>
      <c r="AE35" s="204"/>
      <c r="AG35" s="205"/>
    </row>
    <row r="36" spans="1:33" ht="15" customHeight="1" outlineLevel="1">
      <c r="A36" s="193" t="str">
        <f>'Program Budget'!D304</f>
        <v xml:space="preserve">Administrative Officer </v>
      </c>
      <c r="B36" s="194" t="str">
        <f>'Program Budget'!F304</f>
        <v>Month</v>
      </c>
      <c r="C36" s="198">
        <f>'Program Budget'!E304</f>
        <v>2913.29</v>
      </c>
      <c r="D36" s="195">
        <f>'Program Budget'!G304</f>
        <v>1000</v>
      </c>
      <c r="E36" s="196">
        <f>'Program Budget'!I304</f>
        <v>12</v>
      </c>
      <c r="F36" s="199">
        <f>'Program Budget'!H304</f>
        <v>0.1</v>
      </c>
      <c r="G36" s="198">
        <f t="shared" si="0"/>
        <v>1200</v>
      </c>
      <c r="H36" s="195">
        <f t="shared" si="1"/>
        <v>1050</v>
      </c>
      <c r="I36" s="196">
        <f>'Program Budget'!L304</f>
        <v>12</v>
      </c>
      <c r="J36" s="199">
        <f>'Program Budget'!K304</f>
        <v>0.3</v>
      </c>
      <c r="K36" s="198">
        <f t="shared" si="2"/>
        <v>3780</v>
      </c>
      <c r="L36" s="195">
        <f t="shared" si="3"/>
        <v>1102.5</v>
      </c>
      <c r="M36" s="196">
        <f>'Program Budget'!O304</f>
        <v>12</v>
      </c>
      <c r="N36" s="199">
        <f>'Program Budget'!N304</f>
        <v>0.3</v>
      </c>
      <c r="O36" s="198">
        <f t="shared" si="4"/>
        <v>3969</v>
      </c>
      <c r="P36" s="195">
        <f t="shared" si="5"/>
        <v>1157.625</v>
      </c>
      <c r="Q36" s="196">
        <f>'Program Budget'!R304</f>
        <v>3</v>
      </c>
      <c r="R36" s="199">
        <f>'Program Budget'!Q304</f>
        <v>0.3</v>
      </c>
      <c r="S36" s="198">
        <f t="shared" si="6"/>
        <v>1041.8625</v>
      </c>
      <c r="T36" s="333">
        <f t="shared" si="7"/>
        <v>12904.1525</v>
      </c>
      <c r="U36" s="201"/>
      <c r="V36" s="188"/>
      <c r="W36" s="202"/>
      <c r="X36" s="202"/>
      <c r="AB36" s="163"/>
      <c r="AC36" s="203"/>
      <c r="AD36" s="203"/>
      <c r="AE36" s="204"/>
      <c r="AG36" s="205"/>
    </row>
    <row r="37" spans="1:33" ht="15" customHeight="1" outlineLevel="1">
      <c r="A37" s="193" t="str">
        <f>'Program Budget'!D305</f>
        <v>Human Resource Manager</v>
      </c>
      <c r="B37" s="194" t="str">
        <f>'Program Budget'!F305</f>
        <v>Month</v>
      </c>
      <c r="C37" s="198">
        <f>'Program Budget'!E305</f>
        <v>0</v>
      </c>
      <c r="D37" s="195">
        <f>'Program Budget'!G305</f>
        <v>1954.1666666666667</v>
      </c>
      <c r="E37" s="196">
        <f>'Program Budget'!I305</f>
        <v>12</v>
      </c>
      <c r="F37" s="199">
        <f>'Program Budget'!H305</f>
        <v>0.1</v>
      </c>
      <c r="G37" s="198">
        <f t="shared" si="0"/>
        <v>2345</v>
      </c>
      <c r="H37" s="195">
        <f t="shared" si="1"/>
        <v>2051.875</v>
      </c>
      <c r="I37" s="196">
        <f>'Program Budget'!L305</f>
        <v>12</v>
      </c>
      <c r="J37" s="199">
        <f>'Program Budget'!K305</f>
        <v>0.3</v>
      </c>
      <c r="K37" s="198">
        <f t="shared" si="2"/>
        <v>7386.75</v>
      </c>
      <c r="L37" s="195">
        <f t="shared" si="3"/>
        <v>2154.46875</v>
      </c>
      <c r="M37" s="196">
        <f>'Program Budget'!O305</f>
        <v>12</v>
      </c>
      <c r="N37" s="199">
        <f>'Program Budget'!N305</f>
        <v>0.3</v>
      </c>
      <c r="O37" s="198">
        <f t="shared" si="4"/>
        <v>7756.0874999999996</v>
      </c>
      <c r="P37" s="195">
        <f t="shared" si="5"/>
        <v>2262.1921875000003</v>
      </c>
      <c r="Q37" s="196">
        <f>'Program Budget'!R305</f>
        <v>6</v>
      </c>
      <c r="R37" s="199">
        <f>'Program Budget'!Q305</f>
        <v>0.3</v>
      </c>
      <c r="S37" s="198">
        <f t="shared" si="6"/>
        <v>4071.9459375000001</v>
      </c>
      <c r="T37" s="333">
        <f t="shared" si="7"/>
        <v>21559.783437500002</v>
      </c>
      <c r="U37" s="201"/>
      <c r="V37" s="188"/>
      <c r="W37" s="202"/>
      <c r="X37" s="202"/>
      <c r="AB37" s="163">
        <v>180</v>
      </c>
      <c r="AC37" s="203" t="s">
        <v>547</v>
      </c>
      <c r="AD37" s="203" t="s">
        <v>548</v>
      </c>
      <c r="AE37" s="204"/>
      <c r="AG37" s="205"/>
    </row>
    <row r="38" spans="1:33" ht="15" customHeight="1" outlineLevel="1">
      <c r="A38" s="193" t="str">
        <f>'Program Budget'!D306</f>
        <v>Human Resource Specialist</v>
      </c>
      <c r="B38" s="194" t="str">
        <f>'Program Budget'!F306</f>
        <v>Month</v>
      </c>
      <c r="C38" s="198">
        <f>'Program Budget'!E306</f>
        <v>0</v>
      </c>
      <c r="D38" s="195">
        <f>'Program Budget'!G306</f>
        <v>1750</v>
      </c>
      <c r="E38" s="196">
        <f>'Program Budget'!I306</f>
        <v>12</v>
      </c>
      <c r="F38" s="199">
        <f>'Program Budget'!H306</f>
        <v>0.1</v>
      </c>
      <c r="G38" s="198">
        <f t="shared" si="0"/>
        <v>2100</v>
      </c>
      <c r="H38" s="195">
        <f t="shared" si="1"/>
        <v>1837.5</v>
      </c>
      <c r="I38" s="196">
        <f>'Program Budget'!L306</f>
        <v>12</v>
      </c>
      <c r="J38" s="199">
        <f>'Program Budget'!K306</f>
        <v>0.3</v>
      </c>
      <c r="K38" s="198">
        <f t="shared" si="2"/>
        <v>6615</v>
      </c>
      <c r="L38" s="195">
        <f t="shared" si="3"/>
        <v>1929.375</v>
      </c>
      <c r="M38" s="196">
        <f>'Program Budget'!O306</f>
        <v>12</v>
      </c>
      <c r="N38" s="199">
        <f>'Program Budget'!N306</f>
        <v>0.3</v>
      </c>
      <c r="O38" s="198">
        <f t="shared" si="4"/>
        <v>6945.75</v>
      </c>
      <c r="P38" s="195">
        <f t="shared" si="5"/>
        <v>2025.84375</v>
      </c>
      <c r="Q38" s="196">
        <f>'Program Budget'!R306</f>
        <v>3</v>
      </c>
      <c r="R38" s="199">
        <f>'Program Budget'!Q306</f>
        <v>0.3</v>
      </c>
      <c r="S38" s="198">
        <f t="shared" si="6"/>
        <v>1823.2593749999999</v>
      </c>
      <c r="T38" s="335">
        <f t="shared" si="7"/>
        <v>17484.009375000001</v>
      </c>
      <c r="U38" s="201"/>
      <c r="V38" s="188"/>
      <c r="W38" s="202"/>
      <c r="X38" s="202"/>
      <c r="AB38" s="163">
        <v>180</v>
      </c>
      <c r="AC38" s="203" t="s">
        <v>547</v>
      </c>
      <c r="AD38" s="203" t="s">
        <v>548</v>
      </c>
      <c r="AE38" s="204"/>
      <c r="AG38" s="205"/>
    </row>
    <row r="39" spans="1:33" ht="15" customHeight="1" outlineLevel="1">
      <c r="A39" s="208" t="s">
        <v>510</v>
      </c>
      <c r="B39" s="209"/>
      <c r="C39" s="222">
        <f>SUM(C10:C38)</f>
        <v>851146.00000000012</v>
      </c>
      <c r="D39" s="210"/>
      <c r="E39" s="211"/>
      <c r="F39" s="214"/>
      <c r="G39" s="222">
        <f>SUM(G10:G38)</f>
        <v>712197.92</v>
      </c>
      <c r="H39" s="210"/>
      <c r="I39" s="211"/>
      <c r="J39" s="212"/>
      <c r="K39" s="222">
        <f>SUM(K10:K38)</f>
        <v>832928.83799999999</v>
      </c>
      <c r="L39" s="210"/>
      <c r="M39" s="211"/>
      <c r="N39" s="214"/>
      <c r="O39" s="222">
        <f>SUM(O10:O38)</f>
        <v>609975.27990000008</v>
      </c>
      <c r="P39" s="210"/>
      <c r="Q39" s="211"/>
      <c r="R39" s="214"/>
      <c r="S39" s="222">
        <f>SUM(S10:S38)</f>
        <v>59055.598822500011</v>
      </c>
      <c r="T39" s="334">
        <f>C39+G39+K39+O39+S39</f>
        <v>3065303.6367225004</v>
      </c>
      <c r="AB39" s="163"/>
      <c r="AC39" s="203"/>
      <c r="AD39" s="203"/>
    </row>
    <row r="40" spans="1:33" s="189" customFormat="1" ht="15" customHeight="1" outlineLevel="1">
      <c r="A40" s="225"/>
      <c r="B40" s="216"/>
      <c r="C40" s="198"/>
      <c r="D40" s="217"/>
      <c r="E40" s="218"/>
      <c r="F40" s="160"/>
      <c r="G40" s="198"/>
      <c r="H40" s="217"/>
      <c r="I40" s="218"/>
      <c r="J40" s="160"/>
      <c r="K40" s="198"/>
      <c r="L40" s="217"/>
      <c r="M40" s="218"/>
      <c r="N40" s="160"/>
      <c r="O40" s="198"/>
      <c r="P40" s="217"/>
      <c r="Q40" s="218"/>
      <c r="R40" s="160"/>
      <c r="S40" s="198"/>
      <c r="T40" s="206"/>
      <c r="U40" s="157"/>
      <c r="V40" s="157"/>
      <c r="W40" s="157"/>
      <c r="X40" s="157"/>
      <c r="Y40" s="157"/>
      <c r="Z40" s="157"/>
      <c r="AA40" s="157"/>
      <c r="AB40" s="163"/>
      <c r="AC40" s="203"/>
      <c r="AD40" s="203"/>
      <c r="AE40" s="223"/>
      <c r="AF40" s="224"/>
      <c r="AG40" s="157"/>
    </row>
    <row r="41" spans="1:33" s="236" customFormat="1" ht="15" customHeight="1">
      <c r="A41" s="226" t="s">
        <v>513</v>
      </c>
      <c r="B41" s="227"/>
      <c r="C41" s="231">
        <f>C39+C8</f>
        <v>906865.69000000018</v>
      </c>
      <c r="D41" s="228"/>
      <c r="E41" s="229"/>
      <c r="F41" s="232"/>
      <c r="G41" s="231">
        <f>G39+G8</f>
        <v>729297.92000000004</v>
      </c>
      <c r="H41" s="228"/>
      <c r="I41" s="229"/>
      <c r="J41" s="230"/>
      <c r="K41" s="231">
        <f>K39+K8</f>
        <v>867043.33799999999</v>
      </c>
      <c r="L41" s="228"/>
      <c r="M41" s="229"/>
      <c r="N41" s="232"/>
      <c r="O41" s="231">
        <f>O39+O8</f>
        <v>645795.50490000006</v>
      </c>
      <c r="P41" s="228"/>
      <c r="Q41" s="229"/>
      <c r="R41" s="232"/>
      <c r="S41" s="231">
        <f>S39+S8</f>
        <v>59055.598822500011</v>
      </c>
      <c r="T41" s="233">
        <f>+C41+G41+K41+O41+S41</f>
        <v>3208058.0517225005</v>
      </c>
      <c r="U41" s="234"/>
      <c r="V41" s="234"/>
      <c r="W41" s="234"/>
      <c r="X41" s="234"/>
      <c r="Y41" s="234"/>
      <c r="Z41" s="235"/>
      <c r="AA41" s="235"/>
      <c r="AB41" s="234"/>
      <c r="AD41" s="236" t="s">
        <v>549</v>
      </c>
      <c r="AG41" s="235"/>
    </row>
    <row r="42" spans="1:33" s="189" customFormat="1" ht="15" customHeight="1" outlineLevel="1">
      <c r="A42" s="190" t="s">
        <v>514</v>
      </c>
      <c r="B42" s="191"/>
      <c r="C42" s="184"/>
      <c r="D42" s="181"/>
      <c r="E42" s="182"/>
      <c r="F42" s="185"/>
      <c r="G42" s="186"/>
      <c r="H42" s="181"/>
      <c r="I42" s="182"/>
      <c r="J42" s="183"/>
      <c r="K42" s="186"/>
      <c r="L42" s="181"/>
      <c r="M42" s="182"/>
      <c r="N42" s="185"/>
      <c r="O42" s="186"/>
      <c r="P42" s="181"/>
      <c r="Q42" s="182"/>
      <c r="R42" s="185"/>
      <c r="S42" s="186"/>
      <c r="T42" s="187"/>
      <c r="U42" s="157"/>
      <c r="V42" s="157"/>
      <c r="W42" s="157"/>
      <c r="X42" s="157"/>
      <c r="Y42" s="157"/>
      <c r="Z42" s="157"/>
      <c r="AA42" s="157"/>
      <c r="AB42" s="163"/>
      <c r="AG42" s="157"/>
    </row>
    <row r="43" spans="1:33" s="189" customFormat="1" ht="15" customHeight="1" outlineLevel="1">
      <c r="A43" s="237" t="s">
        <v>507</v>
      </c>
      <c r="B43" s="216" t="str">
        <f>'Program Budget'!F179</f>
        <v>%</v>
      </c>
      <c r="C43" s="198">
        <f>'Program Budget'!E313</f>
        <v>11936.94</v>
      </c>
      <c r="D43" s="343">
        <f>G8</f>
        <v>17100</v>
      </c>
      <c r="E43" s="218">
        <v>1</v>
      </c>
      <c r="F43" s="160">
        <f>'Program Budget'!G313</f>
        <v>0.56469999999999998</v>
      </c>
      <c r="G43" s="198">
        <f t="shared" ref="G43" si="8">D43*E43*F43</f>
        <v>9656.369999999999</v>
      </c>
      <c r="H43" s="343">
        <f>K8</f>
        <v>34114.5</v>
      </c>
      <c r="I43" s="218">
        <v>1</v>
      </c>
      <c r="J43" s="160">
        <f>F43</f>
        <v>0.56469999999999998</v>
      </c>
      <c r="K43" s="198">
        <f t="shared" ref="K43:K45" si="9">H43*I43*J43</f>
        <v>19264.458149999999</v>
      </c>
      <c r="L43" s="343">
        <f>O8</f>
        <v>35820.224999999999</v>
      </c>
      <c r="M43" s="218">
        <v>1</v>
      </c>
      <c r="N43" s="160">
        <f>J43</f>
        <v>0.56469999999999998</v>
      </c>
      <c r="O43" s="198">
        <f t="shared" ref="O43:O45" si="10">L43*M43*N43</f>
        <v>20227.681057499998</v>
      </c>
      <c r="P43" s="343">
        <f>S8</f>
        <v>0</v>
      </c>
      <c r="Q43" s="218">
        <v>1</v>
      </c>
      <c r="R43" s="160">
        <f>N43</f>
        <v>0.56469999999999998</v>
      </c>
      <c r="S43" s="198">
        <f t="shared" ref="S43:S45" si="11">P43*Q43*R43</f>
        <v>0</v>
      </c>
      <c r="T43" s="333">
        <f t="shared" ref="T43:T45" si="12">C43+G43+K43+O43+S43</f>
        <v>61085.449207499994</v>
      </c>
      <c r="U43" s="157"/>
      <c r="V43" s="157"/>
      <c r="W43" s="157"/>
      <c r="X43" s="157"/>
      <c r="Y43" s="157"/>
      <c r="Z43" s="157"/>
      <c r="AA43" s="157"/>
      <c r="AB43" s="163">
        <v>194</v>
      </c>
      <c r="AC43" s="203" t="s">
        <v>550</v>
      </c>
      <c r="AD43" s="203" t="s">
        <v>551</v>
      </c>
      <c r="AG43" s="157"/>
    </row>
    <row r="44" spans="1:33" s="189" customFormat="1" ht="15" customHeight="1" outlineLevel="1">
      <c r="A44" s="237" t="s">
        <v>515</v>
      </c>
      <c r="B44" s="216" t="str">
        <f>'Program Budget'!F179</f>
        <v>%</v>
      </c>
      <c r="C44" s="198">
        <f>'Program Budget'!E310</f>
        <v>31831.84</v>
      </c>
      <c r="D44" s="343">
        <f>G10+G11+G20+G24+G27+G30+G32</f>
        <v>59002.92</v>
      </c>
      <c r="E44" s="218">
        <v>1</v>
      </c>
      <c r="F44" s="160">
        <f>'Program Budget'!G310</f>
        <v>0.53864000000000001</v>
      </c>
      <c r="G44" s="198">
        <f>D44*E44*F44</f>
        <v>31781.332828800001</v>
      </c>
      <c r="H44" s="343">
        <f>K10+K11+K20+K24+K27+K30+K32</f>
        <v>79874.088000000003</v>
      </c>
      <c r="I44" s="218">
        <v>1</v>
      </c>
      <c r="J44" s="160">
        <f t="shared" ref="J44:J45" si="13">F44</f>
        <v>0.53864000000000001</v>
      </c>
      <c r="K44" s="198">
        <f t="shared" si="9"/>
        <v>43023.378760320003</v>
      </c>
      <c r="L44" s="343">
        <f>O10+O11+O20+O24+O27+O30+O32</f>
        <v>83867.792400000006</v>
      </c>
      <c r="M44" s="218">
        <v>1</v>
      </c>
      <c r="N44" s="160">
        <f t="shared" ref="N44:N45" si="14">J44</f>
        <v>0.53864000000000001</v>
      </c>
      <c r="O44" s="198">
        <f t="shared" si="10"/>
        <v>45174.547698336006</v>
      </c>
      <c r="P44" s="343">
        <f>S10+S11+S20+S24+S27+S30+S32</f>
        <v>36920.844134999999</v>
      </c>
      <c r="Q44" s="218">
        <v>1</v>
      </c>
      <c r="R44" s="160">
        <f t="shared" ref="R44:R45" si="15">N44</f>
        <v>0.53864000000000001</v>
      </c>
      <c r="S44" s="198">
        <f t="shared" si="11"/>
        <v>19887.043484876402</v>
      </c>
      <c r="T44" s="335">
        <f t="shared" si="12"/>
        <v>171698.14277233242</v>
      </c>
      <c r="U44" s="157"/>
      <c r="V44" s="157"/>
      <c r="W44" s="157"/>
      <c r="X44" s="157"/>
      <c r="Y44" s="157"/>
      <c r="Z44" s="157"/>
      <c r="AA44" s="157"/>
      <c r="AB44" s="238">
        <v>197</v>
      </c>
      <c r="AC44" s="239" t="s">
        <v>552</v>
      </c>
      <c r="AD44" s="239" t="s">
        <v>553</v>
      </c>
      <c r="AG44" s="157"/>
    </row>
    <row r="45" spans="1:33" s="189" customFormat="1" ht="15" customHeight="1" outlineLevel="1">
      <c r="A45" s="237" t="s">
        <v>516</v>
      </c>
      <c r="B45" s="216" t="str">
        <f>'Program Budget'!F180</f>
        <v>%</v>
      </c>
      <c r="C45" s="198">
        <f>'Program Budget'!E311</f>
        <v>350450.24</v>
      </c>
      <c r="D45" s="343">
        <f>G39-D44</f>
        <v>653195</v>
      </c>
      <c r="E45" s="218">
        <v>1</v>
      </c>
      <c r="F45" s="160">
        <f>'Program Budget'!G311</f>
        <v>0.44863999999999998</v>
      </c>
      <c r="G45" s="198">
        <f>D45*E45*F45</f>
        <v>293049.40479999996</v>
      </c>
      <c r="H45" s="343">
        <f>K39-H44</f>
        <v>753054.75</v>
      </c>
      <c r="I45" s="218">
        <v>1</v>
      </c>
      <c r="J45" s="160">
        <f t="shared" si="13"/>
        <v>0.44863999999999998</v>
      </c>
      <c r="K45" s="198">
        <f t="shared" si="9"/>
        <v>337850.48303999996</v>
      </c>
      <c r="L45" s="343">
        <f>O39-L44</f>
        <v>526107.48750000005</v>
      </c>
      <c r="M45" s="218">
        <v>1</v>
      </c>
      <c r="N45" s="160">
        <f t="shared" si="14"/>
        <v>0.44863999999999998</v>
      </c>
      <c r="O45" s="198">
        <f t="shared" si="10"/>
        <v>236032.86319200002</v>
      </c>
      <c r="P45" s="343">
        <f>S39-P44</f>
        <v>22134.754687500012</v>
      </c>
      <c r="Q45" s="218">
        <v>1</v>
      </c>
      <c r="R45" s="160">
        <f t="shared" si="15"/>
        <v>0.44863999999999998</v>
      </c>
      <c r="S45" s="198">
        <f t="shared" si="11"/>
        <v>9930.5363430000052</v>
      </c>
      <c r="T45" s="335">
        <f t="shared" si="12"/>
        <v>1227313.5273749998</v>
      </c>
      <c r="U45" s="157"/>
      <c r="V45" s="157"/>
      <c r="W45" s="157"/>
      <c r="X45" s="157"/>
      <c r="Y45" s="157"/>
      <c r="Z45" s="157"/>
      <c r="AA45" s="157"/>
      <c r="AB45" s="238">
        <v>197</v>
      </c>
      <c r="AC45" s="239" t="s">
        <v>552</v>
      </c>
      <c r="AD45" s="239" t="s">
        <v>553</v>
      </c>
      <c r="AG45" s="157"/>
    </row>
    <row r="46" spans="1:33" ht="15" customHeight="1" outlineLevel="1">
      <c r="A46" s="208" t="s">
        <v>518</v>
      </c>
      <c r="B46" s="209"/>
      <c r="C46" s="213">
        <f>SUM(C43:C45)</f>
        <v>394219.02</v>
      </c>
      <c r="D46" s="210"/>
      <c r="E46" s="211"/>
      <c r="F46" s="214"/>
      <c r="G46" s="213">
        <f>SUM(G43:G45)</f>
        <v>334487.10762879997</v>
      </c>
      <c r="H46" s="210"/>
      <c r="I46" s="211"/>
      <c r="J46" s="212"/>
      <c r="K46" s="213">
        <f>SUM(K43:K45)</f>
        <v>400138.31995031994</v>
      </c>
      <c r="L46" s="210"/>
      <c r="M46" s="211"/>
      <c r="N46" s="214"/>
      <c r="O46" s="213">
        <f>SUM(O43:O45)</f>
        <v>301435.09194783604</v>
      </c>
      <c r="P46" s="210"/>
      <c r="Q46" s="211"/>
      <c r="R46" s="214"/>
      <c r="S46" s="213">
        <f>SUM(S43:S45)</f>
        <v>29817.579827876405</v>
      </c>
      <c r="T46" s="334">
        <f>+C46+G46+K46+O46+S46</f>
        <v>1460097.1193548322</v>
      </c>
      <c r="AB46" s="163"/>
      <c r="AC46" s="203"/>
      <c r="AD46" s="203"/>
    </row>
    <row r="47" spans="1:33" s="189" customFormat="1" ht="15" customHeight="1" outlineLevel="1">
      <c r="A47" s="190" t="s">
        <v>519</v>
      </c>
      <c r="B47" s="247"/>
      <c r="C47" s="248"/>
      <c r="D47" s="217"/>
      <c r="E47" s="218"/>
      <c r="F47" s="161"/>
      <c r="G47" s="221"/>
      <c r="H47" s="217"/>
      <c r="I47" s="218"/>
      <c r="J47" s="160"/>
      <c r="K47" s="221"/>
      <c r="L47" s="217"/>
      <c r="M47" s="218"/>
      <c r="N47" s="161"/>
      <c r="O47" s="221"/>
      <c r="P47" s="217"/>
      <c r="Q47" s="218"/>
      <c r="R47" s="161"/>
      <c r="S47" s="221"/>
      <c r="T47" s="333">
        <f>+C47+G47+K47+O47+S47</f>
        <v>0</v>
      </c>
      <c r="U47" s="157"/>
      <c r="V47" s="157"/>
      <c r="W47" s="157"/>
      <c r="X47" s="157"/>
      <c r="Y47" s="157"/>
      <c r="Z47" s="157"/>
      <c r="AA47" s="157"/>
      <c r="AB47" s="163"/>
      <c r="AC47" s="203"/>
      <c r="AD47" s="203" t="s">
        <v>549</v>
      </c>
      <c r="AG47" s="157"/>
    </row>
    <row r="48" spans="1:33" s="189" customFormat="1" ht="15" customHeight="1" outlineLevel="1">
      <c r="A48" s="193" t="str">
        <f>'Program Budget'!D312</f>
        <v>Post (Hardship) Differential for Chief of Party</v>
      </c>
      <c r="B48" s="216" t="str">
        <f>'Program Budget'!F181</f>
        <v>%</v>
      </c>
      <c r="C48" s="198">
        <f>'Program Budget'!E312</f>
        <v>3678.97</v>
      </c>
      <c r="D48" s="344">
        <f>G8</f>
        <v>17100</v>
      </c>
      <c r="E48" s="159">
        <v>1</v>
      </c>
      <c r="F48" s="161">
        <f>'Program Budget'!G312</f>
        <v>0.15</v>
      </c>
      <c r="G48" s="198">
        <f>D48*E48*F48</f>
        <v>2565</v>
      </c>
      <c r="H48" s="344">
        <f>K8</f>
        <v>34114.5</v>
      </c>
      <c r="I48" s="159">
        <v>1</v>
      </c>
      <c r="J48" s="160">
        <f>F48</f>
        <v>0.15</v>
      </c>
      <c r="K48" s="198">
        <f>H48*I48*J48</f>
        <v>5117.1750000000002</v>
      </c>
      <c r="L48" s="344">
        <f>O8</f>
        <v>35820.224999999999</v>
      </c>
      <c r="M48" s="159">
        <v>1</v>
      </c>
      <c r="N48" s="161">
        <f>J48</f>
        <v>0.15</v>
      </c>
      <c r="O48" s="198">
        <f>L48*M48*N48</f>
        <v>5373.0337499999996</v>
      </c>
      <c r="P48" s="344">
        <f>S8</f>
        <v>0</v>
      </c>
      <c r="Q48" s="159">
        <v>1</v>
      </c>
      <c r="R48" s="161">
        <f>N48</f>
        <v>0.15</v>
      </c>
      <c r="S48" s="198">
        <f>P48*Q48*R48</f>
        <v>0</v>
      </c>
      <c r="T48" s="337">
        <f t="shared" ref="T48" si="16">C48+G48+K48+O48+S48</f>
        <v>16734.178749999999</v>
      </c>
      <c r="U48" s="157"/>
      <c r="V48" s="157"/>
      <c r="W48" s="157"/>
      <c r="X48" s="157"/>
      <c r="Y48" s="157"/>
      <c r="Z48" s="157"/>
      <c r="AA48" s="157"/>
      <c r="AB48" s="163"/>
      <c r="AC48" s="207"/>
      <c r="AD48" s="207"/>
      <c r="AG48" s="157"/>
    </row>
    <row r="49" spans="1:33" ht="15" customHeight="1" outlineLevel="1">
      <c r="A49" s="208" t="s">
        <v>520</v>
      </c>
      <c r="B49" s="209"/>
      <c r="C49" s="213">
        <f>SUM(C48:C48)</f>
        <v>3678.97</v>
      </c>
      <c r="D49" s="210"/>
      <c r="E49" s="211"/>
      <c r="F49" s="214"/>
      <c r="G49" s="213">
        <f>SUM(G48:G48)</f>
        <v>2565</v>
      </c>
      <c r="H49" s="210"/>
      <c r="I49" s="211"/>
      <c r="J49" s="212"/>
      <c r="K49" s="213">
        <f>SUM(K48:K48)</f>
        <v>5117.1750000000002</v>
      </c>
      <c r="L49" s="210"/>
      <c r="M49" s="211"/>
      <c r="N49" s="214"/>
      <c r="O49" s="213">
        <f>SUM(O48:O48)</f>
        <v>5373.0337499999996</v>
      </c>
      <c r="P49" s="210"/>
      <c r="Q49" s="211"/>
      <c r="R49" s="214"/>
      <c r="S49" s="213">
        <f>SUM(S48:S48)</f>
        <v>0</v>
      </c>
      <c r="T49" s="334">
        <f>C49+G49+K49+O49+S49</f>
        <v>16734.178749999999</v>
      </c>
      <c r="AB49" s="163"/>
      <c r="AC49" s="203"/>
      <c r="AD49" s="203"/>
    </row>
    <row r="50" spans="1:33" ht="15" customHeight="1" outlineLevel="1">
      <c r="A50" s="208"/>
      <c r="B50" s="209"/>
      <c r="C50" s="213"/>
      <c r="D50" s="210"/>
      <c r="E50" s="211"/>
      <c r="F50" s="214"/>
      <c r="G50" s="213"/>
      <c r="H50" s="210"/>
      <c r="I50" s="211"/>
      <c r="J50" s="212"/>
      <c r="K50" s="213"/>
      <c r="L50" s="210"/>
      <c r="M50" s="211"/>
      <c r="N50" s="214"/>
      <c r="O50" s="213"/>
      <c r="P50" s="210"/>
      <c r="Q50" s="211"/>
      <c r="R50" s="214"/>
      <c r="S50" s="213"/>
      <c r="T50" s="215"/>
      <c r="AB50" s="163"/>
      <c r="AC50" s="203"/>
      <c r="AD50" s="203"/>
    </row>
    <row r="51" spans="1:33" s="258" customFormat="1" ht="18.3" outlineLevel="1">
      <c r="A51" s="249" t="s">
        <v>521</v>
      </c>
      <c r="B51" s="250"/>
      <c r="C51" s="254">
        <f>C49+C46</f>
        <v>397897.99</v>
      </c>
      <c r="D51" s="251"/>
      <c r="E51" s="252"/>
      <c r="F51" s="255"/>
      <c r="G51" s="254">
        <f>G49+G46</f>
        <v>337052.10762879997</v>
      </c>
      <c r="H51" s="251"/>
      <c r="I51" s="252"/>
      <c r="J51" s="253"/>
      <c r="K51" s="254">
        <f>K49+K46</f>
        <v>405255.49495031993</v>
      </c>
      <c r="L51" s="251"/>
      <c r="M51" s="252"/>
      <c r="N51" s="255"/>
      <c r="O51" s="254">
        <f>O49+O46</f>
        <v>306808.12569783605</v>
      </c>
      <c r="P51" s="251"/>
      <c r="Q51" s="252"/>
      <c r="R51" s="255"/>
      <c r="S51" s="254">
        <f>S49+S46</f>
        <v>29817.579827876405</v>
      </c>
      <c r="T51" s="233">
        <f>+C51+G51+K51+O51+S51</f>
        <v>1476831.2981048322</v>
      </c>
      <c r="U51" s="235"/>
      <c r="V51" s="235"/>
      <c r="W51" s="235"/>
      <c r="X51" s="235"/>
      <c r="Y51" s="235"/>
      <c r="Z51" s="235"/>
      <c r="AA51" s="235"/>
      <c r="AB51" s="234">
        <v>287</v>
      </c>
      <c r="AC51" s="256" t="s">
        <v>558</v>
      </c>
      <c r="AD51" s="256" t="s">
        <v>559</v>
      </c>
      <c r="AE51" s="257"/>
      <c r="AG51" s="235"/>
    </row>
    <row r="52" spans="1:33" s="260" customFormat="1" ht="15.6" outlineLevel="1">
      <c r="A52" s="190" t="s">
        <v>523</v>
      </c>
      <c r="B52" s="191"/>
      <c r="C52" s="198"/>
      <c r="D52" s="158"/>
      <c r="E52" s="159"/>
      <c r="F52" s="185"/>
      <c r="G52" s="198"/>
      <c r="H52" s="158"/>
      <c r="I52" s="159"/>
      <c r="J52" s="183"/>
      <c r="K52" s="198"/>
      <c r="L52" s="158"/>
      <c r="M52" s="159"/>
      <c r="N52" s="185"/>
      <c r="O52" s="198"/>
      <c r="P52" s="158"/>
      <c r="Q52" s="159"/>
      <c r="R52" s="185"/>
      <c r="S52" s="198"/>
      <c r="T52" s="333"/>
      <c r="U52" s="157"/>
      <c r="V52" s="157"/>
      <c r="W52" s="157"/>
      <c r="X52" s="157"/>
      <c r="Y52" s="157"/>
      <c r="Z52" s="157"/>
      <c r="AA52" s="157"/>
      <c r="AB52" s="163"/>
      <c r="AC52" s="203"/>
      <c r="AD52" s="203"/>
      <c r="AE52" s="259"/>
      <c r="AG52" s="157"/>
    </row>
    <row r="53" spans="1:33" ht="15" customHeight="1" outlineLevel="1">
      <c r="A53" s="193" t="str">
        <f>'Program Budget'!D341</f>
        <v>Local Transportation – Training &amp; Data Collection</v>
      </c>
      <c r="B53" s="194" t="str">
        <f>'Program Budget'!F341</f>
        <v>Trip</v>
      </c>
      <c r="C53" s="198">
        <f>'Program Budget'!E341</f>
        <v>172784.89999999997</v>
      </c>
      <c r="D53" s="195">
        <f>'Program Budget'!G341</f>
        <v>650</v>
      </c>
      <c r="E53" s="196">
        <f>'Program Budget'!I341</f>
        <v>72</v>
      </c>
      <c r="F53" s="197">
        <v>1</v>
      </c>
      <c r="G53" s="198">
        <f>D53*E53*F53</f>
        <v>46800</v>
      </c>
      <c r="H53" s="195">
        <f t="shared" ref="H53" si="17">D53*1.04</f>
        <v>676</v>
      </c>
      <c r="I53" s="196">
        <f>'Program Budget'!L341</f>
        <v>72</v>
      </c>
      <c r="J53" s="197">
        <v>1</v>
      </c>
      <c r="K53" s="198">
        <f>H53*I53*J53</f>
        <v>48672</v>
      </c>
      <c r="L53" s="195">
        <f t="shared" ref="L53" si="18">H53*1.04</f>
        <v>703.04000000000008</v>
      </c>
      <c r="M53" s="196">
        <f>'Program Budget'!O341</f>
        <v>72</v>
      </c>
      <c r="N53" s="197">
        <v>1</v>
      </c>
      <c r="O53" s="198">
        <f>L53*M53*N53</f>
        <v>50618.880000000005</v>
      </c>
      <c r="P53" s="195">
        <f t="shared" ref="P53" si="19">L53*1.04</f>
        <v>731.16160000000013</v>
      </c>
      <c r="Q53" s="196">
        <f>'Program Budget'!R341</f>
        <v>6</v>
      </c>
      <c r="R53" s="197">
        <v>1</v>
      </c>
      <c r="S53" s="198">
        <f>P53*Q53*R53</f>
        <v>4386.9696000000004</v>
      </c>
      <c r="T53" s="333">
        <f>C53+G53+K53+O53+S53</f>
        <v>323262.74959999998</v>
      </c>
      <c r="U53" s="201"/>
      <c r="V53" s="188"/>
      <c r="W53" s="202"/>
      <c r="X53" s="202"/>
      <c r="AB53" s="163">
        <v>180</v>
      </c>
      <c r="AC53" s="203" t="s">
        <v>547</v>
      </c>
      <c r="AD53" s="203" t="s">
        <v>548</v>
      </c>
      <c r="AE53" s="204"/>
      <c r="AG53" s="205"/>
    </row>
    <row r="54" spans="1:33" ht="15" customHeight="1" outlineLevel="1">
      <c r="A54" s="193" t="str">
        <f>'Program Budget'!D343</f>
        <v>Transport Stipend for Cacao Farmers for Boot Camp</v>
      </c>
      <c r="B54" s="194" t="str">
        <f>'Program Budget'!F343</f>
        <v>Participant</v>
      </c>
      <c r="C54" s="198">
        <f>'Program Budget'!E343</f>
        <v>0</v>
      </c>
      <c r="D54" s="195">
        <f>'Program Budget'!G343</f>
        <v>250</v>
      </c>
      <c r="E54" s="196">
        <f>'Program Budget'!I343</f>
        <v>45</v>
      </c>
      <c r="F54" s="197">
        <v>1</v>
      </c>
      <c r="G54" s="198">
        <f>D54*E54*F54</f>
        <v>11250</v>
      </c>
      <c r="H54" s="195">
        <f t="shared" ref="H54" si="20">D54*1.04</f>
        <v>260</v>
      </c>
      <c r="I54" s="196">
        <f>'Program Budget'!L343</f>
        <v>45</v>
      </c>
      <c r="J54" s="197">
        <v>1</v>
      </c>
      <c r="K54" s="198">
        <f>H54*I54*J54</f>
        <v>11700</v>
      </c>
      <c r="L54" s="195">
        <f t="shared" ref="L54" si="21">H54*1.04</f>
        <v>270.40000000000003</v>
      </c>
      <c r="M54" s="196">
        <f>'Program Budget'!O343</f>
        <v>45</v>
      </c>
      <c r="N54" s="197">
        <v>1</v>
      </c>
      <c r="O54" s="198">
        <f>L54*M54*N54</f>
        <v>12168.000000000002</v>
      </c>
      <c r="P54" s="195">
        <f t="shared" ref="P54" si="22">L54*1.04</f>
        <v>281.21600000000007</v>
      </c>
      <c r="Q54" s="196">
        <f>'Program Budget'!R343</f>
        <v>0</v>
      </c>
      <c r="R54" s="197">
        <v>1</v>
      </c>
      <c r="S54" s="198">
        <f>P54*Q54*R54</f>
        <v>0</v>
      </c>
      <c r="T54" s="333">
        <f>C54+G54+K54+O54+S54</f>
        <v>35118</v>
      </c>
      <c r="U54" s="201"/>
      <c r="V54" s="188"/>
      <c r="W54" s="202"/>
      <c r="X54" s="202"/>
      <c r="AB54" s="163">
        <v>180</v>
      </c>
      <c r="AC54" s="203" t="s">
        <v>547</v>
      </c>
      <c r="AD54" s="203" t="s">
        <v>548</v>
      </c>
      <c r="AE54" s="204"/>
      <c r="AG54" s="205"/>
    </row>
    <row r="55" spans="1:33" ht="15" customHeight="1" outlineLevel="1">
      <c r="A55" s="193" t="str">
        <f>'Program Budget'!D344</f>
        <v>Transport Stipend for Producers Representatives on Cacao and Complementary Crops</v>
      </c>
      <c r="B55" s="194" t="str">
        <f>'Program Budget'!F344</f>
        <v>Participant</v>
      </c>
      <c r="C55" s="198">
        <f>'Program Budget'!E344</f>
        <v>0</v>
      </c>
      <c r="D55" s="195">
        <f>'Program Budget'!G344</f>
        <v>250</v>
      </c>
      <c r="E55" s="196">
        <f>'Program Budget'!I344</f>
        <v>45</v>
      </c>
      <c r="F55" s="197">
        <v>1</v>
      </c>
      <c r="G55" s="198">
        <f>D55*E55*F55</f>
        <v>11250</v>
      </c>
      <c r="H55" s="195">
        <f t="shared" ref="H55" si="23">D55*1.04</f>
        <v>260</v>
      </c>
      <c r="I55" s="196">
        <f>'Program Budget'!L344</f>
        <v>45</v>
      </c>
      <c r="J55" s="197">
        <v>1</v>
      </c>
      <c r="K55" s="198">
        <f>H55*I55*J55</f>
        <v>11700</v>
      </c>
      <c r="L55" s="195">
        <f t="shared" ref="L55" si="24">H55*1.04</f>
        <v>270.40000000000003</v>
      </c>
      <c r="M55" s="196">
        <f>'Program Budget'!O344</f>
        <v>45</v>
      </c>
      <c r="N55" s="197">
        <v>1</v>
      </c>
      <c r="O55" s="198">
        <f>L55*M55*N55</f>
        <v>12168.000000000002</v>
      </c>
      <c r="P55" s="195">
        <f t="shared" ref="P55" si="25">L55*1.04</f>
        <v>281.21600000000007</v>
      </c>
      <c r="Q55" s="196">
        <f>'Program Budget'!R344</f>
        <v>0</v>
      </c>
      <c r="R55" s="197">
        <v>1</v>
      </c>
      <c r="S55" s="198">
        <f>P55*Q55*R55</f>
        <v>0</v>
      </c>
      <c r="T55" s="333">
        <f>C55+G55+K55+O55+S55</f>
        <v>35118</v>
      </c>
      <c r="U55" s="201"/>
      <c r="V55" s="188"/>
      <c r="W55" s="202"/>
      <c r="X55" s="202"/>
      <c r="AB55" s="163">
        <v>180</v>
      </c>
      <c r="AC55" s="203" t="s">
        <v>547</v>
      </c>
      <c r="AD55" s="203" t="s">
        <v>548</v>
      </c>
      <c r="AE55" s="204"/>
      <c r="AG55" s="205"/>
    </row>
    <row r="56" spans="1:33" ht="15" customHeight="1" outlineLevel="1">
      <c r="A56" s="193" t="str">
        <f>'Program Budget'!D345</f>
        <v>Transport, Lodging &amp; M&amp;IE for 3 Months for Students of Cacao Extension Professionalization Program</v>
      </c>
      <c r="B56" s="194" t="str">
        <f>'Program Budget'!F345</f>
        <v>Participant</v>
      </c>
      <c r="C56" s="198">
        <f>'Program Budget'!E345</f>
        <v>0</v>
      </c>
      <c r="D56" s="195">
        <f>'Program Budget'!G345</f>
        <v>4200</v>
      </c>
      <c r="E56" s="196">
        <f>'Program Budget'!I345</f>
        <v>12</v>
      </c>
      <c r="F56" s="197">
        <v>1</v>
      </c>
      <c r="G56" s="198">
        <f>D56*E56*F56</f>
        <v>50400</v>
      </c>
      <c r="H56" s="195">
        <f t="shared" ref="H56" si="26">D56*1.04</f>
        <v>4368</v>
      </c>
      <c r="I56" s="196">
        <f>'Program Budget'!L345</f>
        <v>13</v>
      </c>
      <c r="J56" s="197">
        <v>1</v>
      </c>
      <c r="K56" s="198">
        <f>H56*I56*J56</f>
        <v>56784</v>
      </c>
      <c r="L56" s="195">
        <f t="shared" ref="L56" si="27">H56*1.04</f>
        <v>4542.72</v>
      </c>
      <c r="M56" s="196">
        <f>'Program Budget'!O345</f>
        <v>0</v>
      </c>
      <c r="N56" s="197">
        <v>0</v>
      </c>
      <c r="O56" s="198">
        <f>L56*M56*N56</f>
        <v>0</v>
      </c>
      <c r="P56" s="195">
        <f t="shared" ref="P56" si="28">L56*1.04</f>
        <v>4724.4288000000006</v>
      </c>
      <c r="Q56" s="196">
        <f>'Program Budget'!R345</f>
        <v>0</v>
      </c>
      <c r="R56" s="197">
        <v>0</v>
      </c>
      <c r="S56" s="198">
        <f>P56*Q56*R56</f>
        <v>0</v>
      </c>
      <c r="T56" s="333">
        <f>C56+G56+K56+O56+S56</f>
        <v>107184</v>
      </c>
      <c r="U56" s="201"/>
      <c r="V56" s="188"/>
      <c r="W56" s="202"/>
      <c r="X56" s="202"/>
      <c r="AB56" s="163">
        <v>180</v>
      </c>
      <c r="AC56" s="203" t="s">
        <v>547</v>
      </c>
      <c r="AD56" s="203" t="s">
        <v>548</v>
      </c>
      <c r="AE56" s="204"/>
      <c r="AG56" s="205"/>
    </row>
    <row r="57" spans="1:33" s="260" customFormat="1" ht="15.6" outlineLevel="1">
      <c r="A57" s="190" t="s">
        <v>524</v>
      </c>
      <c r="B57" s="216"/>
      <c r="C57" s="198"/>
      <c r="D57" s="158"/>
      <c r="E57" s="159"/>
      <c r="F57" s="161"/>
      <c r="G57" s="198"/>
      <c r="H57" s="158"/>
      <c r="I57" s="159"/>
      <c r="J57" s="160"/>
      <c r="K57" s="198"/>
      <c r="L57" s="158"/>
      <c r="M57" s="159"/>
      <c r="N57" s="161"/>
      <c r="O57" s="198"/>
      <c r="P57" s="158"/>
      <c r="Q57" s="159"/>
      <c r="R57" s="161"/>
      <c r="S57" s="198"/>
      <c r="T57" s="333"/>
      <c r="U57" s="157"/>
      <c r="V57" s="157"/>
      <c r="W57" s="157"/>
      <c r="X57" s="157"/>
      <c r="Y57" s="157"/>
      <c r="Z57" s="157"/>
      <c r="AA57" s="157"/>
      <c r="AB57" s="163"/>
      <c r="AC57" s="203"/>
      <c r="AD57" s="203"/>
      <c r="AE57" s="259"/>
      <c r="AG57" s="157"/>
    </row>
    <row r="58" spans="1:33" ht="15" customHeight="1" outlineLevel="1">
      <c r="A58" s="193" t="str">
        <f>'Program Budget'!D340</f>
        <v>Motorcycle Fuel Expense for Extension Agents</v>
      </c>
      <c r="B58" s="194" t="str">
        <f>'Program Budget'!F340</f>
        <v>Month</v>
      </c>
      <c r="C58" s="198">
        <f>'Program Budget'!E340</f>
        <v>125497.34</v>
      </c>
      <c r="D58" s="195">
        <f>'Program Budget'!G340</f>
        <v>3000</v>
      </c>
      <c r="E58" s="196">
        <f>'Program Budget'!I340</f>
        <v>12</v>
      </c>
      <c r="F58" s="197">
        <v>1</v>
      </c>
      <c r="G58" s="198">
        <f>D58*E58*F58</f>
        <v>36000</v>
      </c>
      <c r="H58" s="195">
        <f t="shared" ref="H58" si="29">D58*1.04</f>
        <v>3120</v>
      </c>
      <c r="I58" s="196">
        <f>'Program Budget'!L340</f>
        <v>12</v>
      </c>
      <c r="J58" s="197">
        <v>1</v>
      </c>
      <c r="K58" s="198">
        <f>H58*I58*J58</f>
        <v>37440</v>
      </c>
      <c r="L58" s="195">
        <f t="shared" ref="L58" si="30">H58*1.04</f>
        <v>3244.8</v>
      </c>
      <c r="M58" s="196">
        <f>'Program Budget'!O340</f>
        <v>12</v>
      </c>
      <c r="N58" s="197">
        <v>1</v>
      </c>
      <c r="O58" s="198">
        <f>L58*M58*N58</f>
        <v>38937.600000000006</v>
      </c>
      <c r="P58" s="195">
        <f t="shared" ref="P58" si="31">L58*1.04</f>
        <v>3374.5920000000001</v>
      </c>
      <c r="Q58" s="196">
        <f>'Program Budget'!R340</f>
        <v>0</v>
      </c>
      <c r="R58" s="197">
        <v>0</v>
      </c>
      <c r="S58" s="198">
        <f>P58*Q58*R58</f>
        <v>0</v>
      </c>
      <c r="T58" s="333">
        <f>C58+G58+K58+O58+S58</f>
        <v>237874.94</v>
      </c>
      <c r="U58" s="201"/>
      <c r="V58" s="188"/>
      <c r="W58" s="202"/>
      <c r="X58" s="202"/>
      <c r="AB58" s="163">
        <v>180</v>
      </c>
      <c r="AC58" s="203" t="s">
        <v>547</v>
      </c>
      <c r="AD58" s="203" t="s">
        <v>548</v>
      </c>
      <c r="AE58" s="204"/>
      <c r="AG58" s="205"/>
    </row>
    <row r="59" spans="1:33" s="260" customFormat="1" ht="15.6" outlineLevel="1">
      <c r="A59" s="190" t="s">
        <v>525</v>
      </c>
      <c r="B59" s="216"/>
      <c r="C59" s="198"/>
      <c r="D59" s="158"/>
      <c r="E59" s="159"/>
      <c r="F59" s="161"/>
      <c r="G59" s="198"/>
      <c r="H59" s="158"/>
      <c r="I59" s="159"/>
      <c r="J59" s="160"/>
      <c r="K59" s="198"/>
      <c r="L59" s="158"/>
      <c r="M59" s="159"/>
      <c r="N59" s="161"/>
      <c r="O59" s="198"/>
      <c r="P59" s="158"/>
      <c r="Q59" s="159"/>
      <c r="R59" s="161"/>
      <c r="S59" s="198"/>
      <c r="T59" s="333"/>
      <c r="U59" s="157"/>
      <c r="V59" s="157"/>
      <c r="W59" s="157"/>
      <c r="X59" s="157"/>
      <c r="Y59" s="157"/>
      <c r="Z59" s="157"/>
      <c r="AA59" s="157"/>
      <c r="AB59" s="163"/>
      <c r="AC59" s="203"/>
      <c r="AD59" s="203"/>
      <c r="AE59" s="259"/>
      <c r="AG59" s="157"/>
    </row>
    <row r="60" spans="1:33" ht="15" customHeight="1" outlineLevel="1">
      <c r="A60" s="193" t="str">
        <f>'Program Budget'!D342</f>
        <v>Lodging and M&amp;IE - Training, &amp; Data Collection</v>
      </c>
      <c r="B60" s="194" t="str">
        <f>'Program Budget'!F342</f>
        <v>Day</v>
      </c>
      <c r="C60" s="198">
        <f>'Program Budget'!E342</f>
        <v>50803.23</v>
      </c>
      <c r="D60" s="195">
        <f>'Program Budget'!G342</f>
        <v>157</v>
      </c>
      <c r="E60" s="196">
        <f>'Program Budget'!I342</f>
        <v>216</v>
      </c>
      <c r="F60" s="197">
        <v>1</v>
      </c>
      <c r="G60" s="198">
        <f>D60*E60*F60</f>
        <v>33912</v>
      </c>
      <c r="H60" s="195">
        <f t="shared" ref="H60" si="32">D60*1.04</f>
        <v>163.28</v>
      </c>
      <c r="I60" s="196">
        <f>'Program Budget'!L342</f>
        <v>216</v>
      </c>
      <c r="J60" s="197">
        <v>1</v>
      </c>
      <c r="K60" s="198">
        <f>H60*I60*J60</f>
        <v>35268.480000000003</v>
      </c>
      <c r="L60" s="195">
        <f t="shared" ref="L60" si="33">H60*1.04</f>
        <v>169.81120000000001</v>
      </c>
      <c r="M60" s="196">
        <f>'Program Budget'!O342</f>
        <v>216</v>
      </c>
      <c r="N60" s="197">
        <v>1</v>
      </c>
      <c r="O60" s="198">
        <f>L60*M60*N60</f>
        <v>36679.2192</v>
      </c>
      <c r="P60" s="195">
        <f t="shared" ref="P60" si="34">L60*1.04</f>
        <v>176.60364800000002</v>
      </c>
      <c r="Q60" s="196">
        <f>'Program Budget'!R342</f>
        <v>18</v>
      </c>
      <c r="R60" s="197">
        <v>1</v>
      </c>
      <c r="S60" s="198">
        <f>P60*Q60*R60</f>
        <v>3178.8656640000004</v>
      </c>
      <c r="T60" s="333">
        <f>C60+G60+K60+O60+S60</f>
        <v>159841.79486400002</v>
      </c>
      <c r="U60" s="201"/>
      <c r="V60" s="188"/>
      <c r="W60" s="202"/>
      <c r="X60" s="202"/>
      <c r="AB60" s="163">
        <v>180</v>
      </c>
      <c r="AC60" s="203" t="s">
        <v>547</v>
      </c>
      <c r="AD60" s="203" t="s">
        <v>548</v>
      </c>
      <c r="AE60" s="204"/>
      <c r="AG60" s="205"/>
    </row>
    <row r="61" spans="1:33" outlineLevel="1">
      <c r="A61" s="325"/>
      <c r="B61" s="216"/>
      <c r="C61" s="198"/>
      <c r="G61" s="198"/>
      <c r="K61" s="198"/>
      <c r="O61" s="198"/>
      <c r="S61" s="198"/>
      <c r="T61" s="200"/>
      <c r="AB61" s="163"/>
      <c r="AC61" s="203"/>
      <c r="AD61" s="203"/>
    </row>
    <row r="62" spans="1:33" ht="18.3">
      <c r="A62" s="261" t="s">
        <v>526</v>
      </c>
      <c r="B62" s="227"/>
      <c r="C62" s="231">
        <f>SUM(C52:C61)</f>
        <v>349085.47</v>
      </c>
      <c r="D62" s="228"/>
      <c r="E62" s="262"/>
      <c r="F62" s="232"/>
      <c r="G62" s="231">
        <f>SUM(G52:G61)</f>
        <v>189612</v>
      </c>
      <c r="H62" s="228"/>
      <c r="I62" s="262"/>
      <c r="J62" s="263"/>
      <c r="K62" s="231">
        <f>SUM(K52:K61)</f>
        <v>201564.48</v>
      </c>
      <c r="L62" s="228"/>
      <c r="M62" s="262"/>
      <c r="N62" s="232"/>
      <c r="O62" s="231">
        <f>SUM(O52:O61)</f>
        <v>150571.6992</v>
      </c>
      <c r="P62" s="228"/>
      <c r="Q62" s="262"/>
      <c r="R62" s="232"/>
      <c r="S62" s="231">
        <f>SUM(S52:S61)</f>
        <v>7565.8352640000012</v>
      </c>
      <c r="T62" s="233">
        <f>+C62+G62+K62+O62+S62</f>
        <v>898399.48446399998</v>
      </c>
      <c r="U62" s="163"/>
      <c r="V62" s="163"/>
      <c r="W62" s="163"/>
      <c r="X62" s="163"/>
      <c r="Y62" s="163"/>
      <c r="AB62" s="163"/>
      <c r="AC62" s="189"/>
      <c r="AD62" s="189" t="s">
        <v>549</v>
      </c>
      <c r="AE62" s="189"/>
    </row>
    <row r="63" spans="1:33" ht="15.6" outlineLevel="1">
      <c r="A63" s="190" t="s">
        <v>55</v>
      </c>
      <c r="B63" s="264"/>
      <c r="C63" s="248"/>
      <c r="E63" s="265"/>
      <c r="F63" s="267"/>
      <c r="G63" s="221"/>
      <c r="I63" s="265"/>
      <c r="J63" s="266"/>
      <c r="K63" s="221"/>
      <c r="M63" s="265"/>
      <c r="N63" s="267"/>
      <c r="O63" s="221"/>
      <c r="Q63" s="265"/>
      <c r="R63" s="267"/>
      <c r="S63" s="221"/>
      <c r="T63" s="200"/>
      <c r="AB63" s="163"/>
      <c r="AC63" s="203"/>
      <c r="AD63" s="268"/>
    </row>
    <row r="64" spans="1:33" ht="15.6" outlineLevel="1">
      <c r="A64" s="269" t="str">
        <f>'Program Budget'!D317</f>
        <v xml:space="preserve">Subrecipient: Digital Extension tools/GIS </v>
      </c>
      <c r="B64" s="194" t="str">
        <f>'Program Budget'!F317</f>
        <v>Subrecipient</v>
      </c>
      <c r="C64" s="198">
        <f>'Program Budget'!E317</f>
        <v>20000</v>
      </c>
      <c r="D64" s="195">
        <f>'Program Budget'!G317</f>
        <v>20000</v>
      </c>
      <c r="E64" s="196">
        <f>'Program Budget'!I317</f>
        <v>0</v>
      </c>
      <c r="F64" s="197">
        <v>0</v>
      </c>
      <c r="G64" s="198">
        <f>D64*E64*F64</f>
        <v>0</v>
      </c>
      <c r="H64" s="195">
        <f>D64</f>
        <v>20000</v>
      </c>
      <c r="I64" s="196">
        <f>'Program Budget'!L317</f>
        <v>0</v>
      </c>
      <c r="J64" s="197">
        <v>0</v>
      </c>
      <c r="K64" s="198">
        <f>H64*I64*J64</f>
        <v>0</v>
      </c>
      <c r="L64" s="195">
        <f>H64</f>
        <v>20000</v>
      </c>
      <c r="M64" s="196">
        <f>'Program Budget'!O317</f>
        <v>0</v>
      </c>
      <c r="N64" s="197">
        <v>0</v>
      </c>
      <c r="O64" s="198">
        <f>L64*M64*N64</f>
        <v>0</v>
      </c>
      <c r="P64" s="195">
        <f>L64</f>
        <v>20000</v>
      </c>
      <c r="Q64" s="196">
        <f>'Program Budget'!R317</f>
        <v>0</v>
      </c>
      <c r="R64" s="197">
        <v>0</v>
      </c>
      <c r="S64" s="198">
        <f>P64*Q64*R64</f>
        <v>0</v>
      </c>
      <c r="T64" s="333">
        <f>C64+G64+K64+O64+S64</f>
        <v>20000</v>
      </c>
      <c r="AB64" s="163"/>
      <c r="AC64" s="203"/>
      <c r="AD64" s="268"/>
    </row>
    <row r="65" spans="1:30" ht="15.6" outlineLevel="1">
      <c r="A65" s="269" t="str">
        <f>'Program Budget'!D318</f>
        <v>Subrecipient: Food Safety/Gene Editing</v>
      </c>
      <c r="B65" s="194" t="str">
        <f>'Program Budget'!F318</f>
        <v>Subrecipient</v>
      </c>
      <c r="C65" s="198">
        <f>'Program Budget'!E318</f>
        <v>0</v>
      </c>
      <c r="D65" s="195">
        <f>'Program Budget'!G318</f>
        <v>0</v>
      </c>
      <c r="E65" s="196">
        <f>'Program Budget'!I318</f>
        <v>0</v>
      </c>
      <c r="F65" s="197">
        <v>0</v>
      </c>
      <c r="G65" s="198">
        <f t="shared" ref="G65:G74" si="35">D65*E65*F65</f>
        <v>0</v>
      </c>
      <c r="H65" s="195">
        <f t="shared" ref="H65:H74" si="36">D65</f>
        <v>0</v>
      </c>
      <c r="I65" s="196">
        <f>'Program Budget'!L318</f>
        <v>0</v>
      </c>
      <c r="J65" s="197">
        <v>0</v>
      </c>
      <c r="K65" s="198">
        <f t="shared" ref="K65:K74" si="37">H65*I65*J65</f>
        <v>0</v>
      </c>
      <c r="L65" s="195">
        <f t="shared" ref="L65:L74" si="38">H65</f>
        <v>0</v>
      </c>
      <c r="M65" s="196">
        <f>'Program Budget'!O318</f>
        <v>0</v>
      </c>
      <c r="N65" s="197">
        <v>0</v>
      </c>
      <c r="O65" s="198">
        <f t="shared" ref="O65:O74" si="39">L65*M65*N65</f>
        <v>0</v>
      </c>
      <c r="P65" s="195">
        <f t="shared" ref="P65:P74" si="40">L65</f>
        <v>0</v>
      </c>
      <c r="Q65" s="196">
        <f>'Program Budget'!R318</f>
        <v>0</v>
      </c>
      <c r="R65" s="197">
        <v>0</v>
      </c>
      <c r="S65" s="198">
        <f t="shared" ref="S65:S74" si="41">P65*Q65*R65</f>
        <v>0</v>
      </c>
      <c r="T65" s="333">
        <f t="shared" ref="T65:T74" si="42">C65+G65+K65+O65+S65</f>
        <v>0</v>
      </c>
      <c r="AB65" s="163"/>
      <c r="AC65" s="203"/>
      <c r="AD65" s="268"/>
    </row>
    <row r="66" spans="1:30" ht="15.6" outlineLevel="1">
      <c r="A66" s="269" t="str">
        <f>'Program Budget'!D319</f>
        <v>Digital Training Partnership</v>
      </c>
      <c r="B66" s="194" t="str">
        <f>'Program Budget'!F319</f>
        <v>Contract</v>
      </c>
      <c r="C66" s="198">
        <f>'Program Budget'!E319</f>
        <v>94000</v>
      </c>
      <c r="D66" s="195">
        <f>'Program Budget'!G319</f>
        <v>20000</v>
      </c>
      <c r="E66" s="196">
        <f>'Program Budget'!I319</f>
        <v>1</v>
      </c>
      <c r="F66" s="197">
        <v>1</v>
      </c>
      <c r="G66" s="198">
        <v>73031</v>
      </c>
      <c r="H66" s="195">
        <f t="shared" si="36"/>
        <v>20000</v>
      </c>
      <c r="I66" s="196">
        <f>'Program Budget'!L319</f>
        <v>1</v>
      </c>
      <c r="J66" s="197">
        <v>1</v>
      </c>
      <c r="K66" s="198">
        <f t="shared" si="37"/>
        <v>20000</v>
      </c>
      <c r="L66" s="195">
        <f t="shared" si="38"/>
        <v>20000</v>
      </c>
      <c r="M66" s="196">
        <f>'Program Budget'!O319</f>
        <v>1</v>
      </c>
      <c r="N66" s="197">
        <v>1</v>
      </c>
      <c r="O66" s="198">
        <f t="shared" si="39"/>
        <v>20000</v>
      </c>
      <c r="P66" s="195">
        <f t="shared" si="40"/>
        <v>20000</v>
      </c>
      <c r="Q66" s="196">
        <f>'Program Budget'!R319</f>
        <v>0</v>
      </c>
      <c r="R66" s="197">
        <v>0</v>
      </c>
      <c r="S66" s="198">
        <f t="shared" si="41"/>
        <v>0</v>
      </c>
      <c r="T66" s="333">
        <f t="shared" si="42"/>
        <v>207031</v>
      </c>
      <c r="AB66" s="163"/>
      <c r="AC66" s="203"/>
      <c r="AD66" s="268"/>
    </row>
    <row r="67" spans="1:30" ht="15.6" outlineLevel="1">
      <c r="A67" s="269" t="str">
        <f>'Program Budget'!D320</f>
        <v>New Carbon Partnerships</v>
      </c>
      <c r="B67" s="194" t="str">
        <f>'Program Budget'!F320</f>
        <v>Contract</v>
      </c>
      <c r="C67" s="198">
        <f>'Program Budget'!E320</f>
        <v>10000</v>
      </c>
      <c r="D67" s="195">
        <f>'Program Budget'!G320</f>
        <v>10000</v>
      </c>
      <c r="E67" s="196">
        <f>'Program Budget'!I320</f>
        <v>0</v>
      </c>
      <c r="F67" s="197">
        <v>0</v>
      </c>
      <c r="G67" s="198">
        <f t="shared" si="35"/>
        <v>0</v>
      </c>
      <c r="H67" s="195">
        <f t="shared" si="36"/>
        <v>10000</v>
      </c>
      <c r="I67" s="196">
        <f>'Program Budget'!L320</f>
        <v>0</v>
      </c>
      <c r="J67" s="197">
        <v>0</v>
      </c>
      <c r="K67" s="198">
        <f t="shared" si="37"/>
        <v>0</v>
      </c>
      <c r="L67" s="195">
        <f t="shared" si="38"/>
        <v>10000</v>
      </c>
      <c r="M67" s="196">
        <f>'Program Budget'!O320</f>
        <v>0</v>
      </c>
      <c r="N67" s="197">
        <v>0</v>
      </c>
      <c r="O67" s="198">
        <f t="shared" si="39"/>
        <v>0</v>
      </c>
      <c r="P67" s="195">
        <f t="shared" si="40"/>
        <v>10000</v>
      </c>
      <c r="Q67" s="196">
        <f>'Program Budget'!R320</f>
        <v>0</v>
      </c>
      <c r="R67" s="197">
        <v>0</v>
      </c>
      <c r="S67" s="198">
        <f t="shared" si="41"/>
        <v>0</v>
      </c>
      <c r="T67" s="333">
        <f t="shared" si="42"/>
        <v>10000</v>
      </c>
      <c r="AB67" s="163"/>
      <c r="AC67" s="203"/>
      <c r="AD67" s="268"/>
    </row>
    <row r="68" spans="1:30" ht="15.6" outlineLevel="1">
      <c r="A68" s="269" t="str">
        <f>'Program Budget'!D321</f>
        <v>Other New Partnerships</v>
      </c>
      <c r="B68" s="194" t="str">
        <f>'Program Budget'!F321</f>
        <v>Contract</v>
      </c>
      <c r="C68" s="198">
        <f>'Program Budget'!E321</f>
        <v>25000</v>
      </c>
      <c r="D68" s="195">
        <f>'Program Budget'!G321</f>
        <v>25000</v>
      </c>
      <c r="E68" s="196">
        <f>'Program Budget'!I321</f>
        <v>0</v>
      </c>
      <c r="F68" s="197">
        <v>0</v>
      </c>
      <c r="G68" s="198">
        <f t="shared" si="35"/>
        <v>0</v>
      </c>
      <c r="H68" s="195">
        <f t="shared" si="36"/>
        <v>25000</v>
      </c>
      <c r="I68" s="196">
        <f>'Program Budget'!L321</f>
        <v>0</v>
      </c>
      <c r="J68" s="197">
        <v>0</v>
      </c>
      <c r="K68" s="198">
        <f t="shared" si="37"/>
        <v>0</v>
      </c>
      <c r="L68" s="195">
        <f t="shared" si="38"/>
        <v>25000</v>
      </c>
      <c r="M68" s="196">
        <f>'Program Budget'!O321</f>
        <v>0</v>
      </c>
      <c r="N68" s="197">
        <v>0</v>
      </c>
      <c r="O68" s="198">
        <f t="shared" si="39"/>
        <v>0</v>
      </c>
      <c r="P68" s="195">
        <f t="shared" si="40"/>
        <v>25000</v>
      </c>
      <c r="Q68" s="196">
        <f>'Program Budget'!R321</f>
        <v>0</v>
      </c>
      <c r="R68" s="197">
        <v>0</v>
      </c>
      <c r="S68" s="198">
        <f t="shared" si="41"/>
        <v>0</v>
      </c>
      <c r="T68" s="333">
        <f t="shared" si="42"/>
        <v>25000</v>
      </c>
      <c r="AB68" s="163"/>
      <c r="AC68" s="203"/>
      <c r="AD68" s="268"/>
    </row>
    <row r="69" spans="1:30" ht="15.6" outlineLevel="1">
      <c r="A69" s="269" t="str">
        <f>'Program Budget'!D322</f>
        <v>Cacao Food Safety, Traceability, and Risk Management (&amp; Organic Carmenta Trap Initiative)</v>
      </c>
      <c r="B69" s="194" t="str">
        <f>'Program Budget'!F322</f>
        <v>Contract</v>
      </c>
      <c r="C69" s="198">
        <f>'Program Budget'!E322</f>
        <v>37685.26</v>
      </c>
      <c r="D69" s="195">
        <f>'Program Budget'!G322</f>
        <v>25000</v>
      </c>
      <c r="E69" s="196">
        <f>'Program Budget'!I322</f>
        <v>1</v>
      </c>
      <c r="F69" s="197">
        <v>1</v>
      </c>
      <c r="G69" s="198">
        <v>202000</v>
      </c>
      <c r="H69" s="195">
        <f t="shared" si="36"/>
        <v>25000</v>
      </c>
      <c r="I69" s="196">
        <f>'Program Budget'!L322</f>
        <v>1</v>
      </c>
      <c r="J69" s="197">
        <v>1</v>
      </c>
      <c r="K69" s="198">
        <f t="shared" si="37"/>
        <v>25000</v>
      </c>
      <c r="L69" s="195">
        <f t="shared" si="38"/>
        <v>25000</v>
      </c>
      <c r="M69" s="196">
        <f>'Program Budget'!O322</f>
        <v>0</v>
      </c>
      <c r="N69" s="197">
        <v>0</v>
      </c>
      <c r="O69" s="198">
        <f t="shared" si="39"/>
        <v>0</v>
      </c>
      <c r="P69" s="195">
        <f t="shared" si="40"/>
        <v>25000</v>
      </c>
      <c r="Q69" s="196">
        <f>'Program Budget'!R322</f>
        <v>0</v>
      </c>
      <c r="R69" s="197">
        <v>0</v>
      </c>
      <c r="S69" s="198">
        <f t="shared" si="41"/>
        <v>0</v>
      </c>
      <c r="T69" s="333">
        <f t="shared" si="42"/>
        <v>264685.26</v>
      </c>
      <c r="AB69" s="163"/>
      <c r="AC69" s="203"/>
      <c r="AD69" s="268"/>
    </row>
    <row r="70" spans="1:30" ht="15.6" outlineLevel="1">
      <c r="A70" s="269" t="str">
        <f>'Program Budget'!D323</f>
        <v xml:space="preserve">Complementary Crops Food Safety, Traceability, and Risk Management </v>
      </c>
      <c r="B70" s="194" t="str">
        <f>'Program Budget'!F323</f>
        <v>Contract</v>
      </c>
      <c r="C70" s="198">
        <f>'Program Budget'!E323</f>
        <v>55733.63</v>
      </c>
      <c r="D70" s="195">
        <f>'Program Budget'!G323</f>
        <v>8500</v>
      </c>
      <c r="E70" s="196">
        <f>'Program Budget'!I323</f>
        <v>3</v>
      </c>
      <c r="F70" s="197">
        <v>1</v>
      </c>
      <c r="G70" s="198">
        <f t="shared" si="35"/>
        <v>25500</v>
      </c>
      <c r="H70" s="195">
        <f t="shared" si="36"/>
        <v>8500</v>
      </c>
      <c r="I70" s="196">
        <f>'Program Budget'!L323</f>
        <v>0</v>
      </c>
      <c r="J70" s="197">
        <v>0</v>
      </c>
      <c r="K70" s="198">
        <f t="shared" si="37"/>
        <v>0</v>
      </c>
      <c r="L70" s="195">
        <f t="shared" si="38"/>
        <v>8500</v>
      </c>
      <c r="M70" s="196">
        <f>'Program Budget'!O323</f>
        <v>0</v>
      </c>
      <c r="N70" s="197">
        <v>0</v>
      </c>
      <c r="O70" s="198">
        <f t="shared" si="39"/>
        <v>0</v>
      </c>
      <c r="P70" s="195">
        <f t="shared" si="40"/>
        <v>8500</v>
      </c>
      <c r="Q70" s="196">
        <f>'Program Budget'!R323</f>
        <v>0</v>
      </c>
      <c r="R70" s="197">
        <v>0</v>
      </c>
      <c r="S70" s="198">
        <f t="shared" si="41"/>
        <v>0</v>
      </c>
      <c r="T70" s="333">
        <f t="shared" si="42"/>
        <v>81233.63</v>
      </c>
      <c r="AB70" s="163"/>
      <c r="AC70" s="203"/>
      <c r="AD70" s="268"/>
    </row>
    <row r="71" spans="1:30" ht="15.6" outlineLevel="1">
      <c r="A71" s="269" t="str">
        <f>'Program Budget'!D324</f>
        <v>Contract for Local Organization to Support Capacity Building for EPSEAs</v>
      </c>
      <c r="B71" s="194" t="str">
        <f>'Program Budget'!F324</f>
        <v>Contract</v>
      </c>
      <c r="C71" s="198">
        <f>'Program Budget'!E324</f>
        <v>0</v>
      </c>
      <c r="D71" s="195">
        <f>'Program Budget'!G324</f>
        <v>25000</v>
      </c>
      <c r="E71" s="196">
        <f>'Program Budget'!I324</f>
        <v>1</v>
      </c>
      <c r="F71" s="197">
        <v>1</v>
      </c>
      <c r="G71" s="198">
        <f t="shared" si="35"/>
        <v>25000</v>
      </c>
      <c r="H71" s="195">
        <f t="shared" si="36"/>
        <v>25000</v>
      </c>
      <c r="I71" s="196">
        <f>'Program Budget'!L324</f>
        <v>1</v>
      </c>
      <c r="J71" s="197">
        <v>1</v>
      </c>
      <c r="K71" s="198">
        <f t="shared" si="37"/>
        <v>25000</v>
      </c>
      <c r="L71" s="195">
        <f t="shared" si="38"/>
        <v>25000</v>
      </c>
      <c r="M71" s="196">
        <f>'Program Budget'!O324</f>
        <v>1</v>
      </c>
      <c r="N71" s="197">
        <v>1</v>
      </c>
      <c r="O71" s="198">
        <f t="shared" si="39"/>
        <v>25000</v>
      </c>
      <c r="P71" s="195">
        <f t="shared" si="40"/>
        <v>25000</v>
      </c>
      <c r="Q71" s="196">
        <f>'Program Budget'!R324</f>
        <v>0</v>
      </c>
      <c r="R71" s="197">
        <v>0</v>
      </c>
      <c r="S71" s="198">
        <f t="shared" si="41"/>
        <v>0</v>
      </c>
      <c r="T71" s="333">
        <f t="shared" si="42"/>
        <v>75000</v>
      </c>
      <c r="AB71" s="163"/>
      <c r="AC71" s="203"/>
      <c r="AD71" s="268"/>
    </row>
    <row r="72" spans="1:30" ht="15.6" outlineLevel="1">
      <c r="A72" s="269" t="str">
        <f>'Program Budget'!D325</f>
        <v>Contract to Strengthen Fedecacao Extension Services</v>
      </c>
      <c r="B72" s="194" t="str">
        <f>'Program Budget'!F325</f>
        <v>Contract</v>
      </c>
      <c r="C72" s="198">
        <f>'Program Budget'!E325</f>
        <v>0</v>
      </c>
      <c r="D72" s="195">
        <f>'Program Budget'!G325</f>
        <v>20000</v>
      </c>
      <c r="E72" s="196">
        <f>'Program Budget'!I325</f>
        <v>1</v>
      </c>
      <c r="F72" s="197">
        <v>1</v>
      </c>
      <c r="G72" s="198">
        <f t="shared" si="35"/>
        <v>20000</v>
      </c>
      <c r="H72" s="195">
        <f t="shared" si="36"/>
        <v>20000</v>
      </c>
      <c r="I72" s="196">
        <f>'Program Budget'!L325</f>
        <v>1</v>
      </c>
      <c r="J72" s="197">
        <v>1</v>
      </c>
      <c r="K72" s="198">
        <f t="shared" si="37"/>
        <v>20000</v>
      </c>
      <c r="L72" s="195">
        <f t="shared" si="38"/>
        <v>20000</v>
      </c>
      <c r="M72" s="196">
        <f>'Program Budget'!O325</f>
        <v>1</v>
      </c>
      <c r="N72" s="197">
        <v>1</v>
      </c>
      <c r="O72" s="198">
        <f t="shared" si="39"/>
        <v>20000</v>
      </c>
      <c r="P72" s="195">
        <f t="shared" si="40"/>
        <v>20000</v>
      </c>
      <c r="Q72" s="196">
        <f>'Program Budget'!R325</f>
        <v>0</v>
      </c>
      <c r="R72" s="197">
        <v>0</v>
      </c>
      <c r="S72" s="198">
        <f t="shared" si="41"/>
        <v>0</v>
      </c>
      <c r="T72" s="333">
        <f t="shared" si="42"/>
        <v>60000</v>
      </c>
      <c r="AB72" s="163"/>
      <c r="AC72" s="203"/>
      <c r="AD72" s="268"/>
    </row>
    <row r="73" spans="1:30" ht="15.6" outlineLevel="1">
      <c r="A73" s="269" t="str">
        <f>'Program Budget'!D326</f>
        <v>Consultant and Legal Fees for Diagnostic and Mapping of EPSEAs</v>
      </c>
      <c r="B73" s="194" t="str">
        <f>'Program Budget'!F326</f>
        <v>Contract</v>
      </c>
      <c r="C73" s="198">
        <f>'Program Budget'!E326</f>
        <v>0</v>
      </c>
      <c r="D73" s="195">
        <f>'Program Budget'!G326</f>
        <v>35000</v>
      </c>
      <c r="E73" s="196">
        <f>'Program Budget'!I326</f>
        <v>1</v>
      </c>
      <c r="F73" s="197">
        <v>1</v>
      </c>
      <c r="G73" s="198">
        <f t="shared" si="35"/>
        <v>35000</v>
      </c>
      <c r="H73" s="195">
        <f t="shared" si="36"/>
        <v>35000</v>
      </c>
      <c r="I73" s="196">
        <f>'Program Budget'!L326</f>
        <v>0</v>
      </c>
      <c r="J73" s="197">
        <v>0</v>
      </c>
      <c r="K73" s="198">
        <f t="shared" si="37"/>
        <v>0</v>
      </c>
      <c r="L73" s="195">
        <f t="shared" si="38"/>
        <v>35000</v>
      </c>
      <c r="M73" s="196">
        <f>'Program Budget'!O326</f>
        <v>0</v>
      </c>
      <c r="N73" s="197">
        <v>0</v>
      </c>
      <c r="O73" s="198">
        <f t="shared" si="39"/>
        <v>0</v>
      </c>
      <c r="P73" s="195">
        <f t="shared" si="40"/>
        <v>35000</v>
      </c>
      <c r="Q73" s="196">
        <f>'Program Budget'!R326</f>
        <v>0</v>
      </c>
      <c r="R73" s="197">
        <v>0</v>
      </c>
      <c r="S73" s="198">
        <f t="shared" si="41"/>
        <v>0</v>
      </c>
      <c r="T73" s="333">
        <f t="shared" si="42"/>
        <v>35000</v>
      </c>
      <c r="AB73" s="163"/>
      <c r="AC73" s="203"/>
      <c r="AD73" s="268"/>
    </row>
    <row r="74" spans="1:30" ht="15.6" outlineLevel="1">
      <c r="A74" s="269" t="str">
        <f>'Program Budget'!D327</f>
        <v>Contract for Business Plan to Monetize Extension Data</v>
      </c>
      <c r="B74" s="194" t="str">
        <f>'Program Budget'!F327</f>
        <v>Contract</v>
      </c>
      <c r="C74" s="198">
        <f>'Program Budget'!E327</f>
        <v>0</v>
      </c>
      <c r="D74" s="195">
        <f>'Program Budget'!G327</f>
        <v>0</v>
      </c>
      <c r="E74" s="196">
        <f>'Program Budget'!I327</f>
        <v>1</v>
      </c>
      <c r="F74" s="197">
        <v>1</v>
      </c>
      <c r="G74" s="198">
        <f t="shared" si="35"/>
        <v>0</v>
      </c>
      <c r="H74" s="195">
        <f t="shared" si="36"/>
        <v>0</v>
      </c>
      <c r="I74" s="196">
        <f>'Program Budget'!L327</f>
        <v>0</v>
      </c>
      <c r="J74" s="197">
        <v>0</v>
      </c>
      <c r="K74" s="198">
        <f t="shared" si="37"/>
        <v>0</v>
      </c>
      <c r="L74" s="195">
        <f t="shared" si="38"/>
        <v>0</v>
      </c>
      <c r="M74" s="196">
        <f>'Program Budget'!O327</f>
        <v>0</v>
      </c>
      <c r="N74" s="197">
        <v>0</v>
      </c>
      <c r="O74" s="198">
        <f t="shared" si="39"/>
        <v>0</v>
      </c>
      <c r="P74" s="195">
        <f t="shared" si="40"/>
        <v>0</v>
      </c>
      <c r="Q74" s="196">
        <f>'Program Budget'!R327</f>
        <v>0</v>
      </c>
      <c r="R74" s="197">
        <v>0</v>
      </c>
      <c r="S74" s="198">
        <f t="shared" si="41"/>
        <v>0</v>
      </c>
      <c r="T74" s="333">
        <f t="shared" si="42"/>
        <v>0</v>
      </c>
      <c r="AB74" s="163"/>
      <c r="AC74" s="203"/>
      <c r="AD74" s="268"/>
    </row>
    <row r="75" spans="1:30" outlineLevel="1">
      <c r="A75" s="326"/>
      <c r="B75" s="216"/>
      <c r="C75" s="198"/>
      <c r="D75" s="270"/>
      <c r="E75" s="271"/>
      <c r="F75" s="160"/>
      <c r="G75" s="198"/>
      <c r="H75" s="270"/>
      <c r="I75" s="271"/>
      <c r="K75" s="198"/>
      <c r="L75" s="270"/>
      <c r="M75" s="271"/>
      <c r="N75" s="160"/>
      <c r="O75" s="198"/>
      <c r="P75" s="270"/>
      <c r="Q75" s="271"/>
      <c r="R75" s="160"/>
      <c r="S75" s="198"/>
      <c r="T75" s="272"/>
      <c r="AB75" s="163"/>
      <c r="AC75" s="203"/>
      <c r="AD75" s="268"/>
    </row>
    <row r="76" spans="1:30" ht="18.3" outlineLevel="1">
      <c r="A76" s="261" t="s">
        <v>527</v>
      </c>
      <c r="B76" s="227"/>
      <c r="C76" s="231">
        <f>SUM(C64:C75)</f>
        <v>242418.89</v>
      </c>
      <c r="D76" s="228"/>
      <c r="E76" s="262"/>
      <c r="F76" s="232"/>
      <c r="G76" s="231">
        <f>SUM(G64:G75)</f>
        <v>380531</v>
      </c>
      <c r="H76" s="228"/>
      <c r="I76" s="262"/>
      <c r="J76" s="263"/>
      <c r="K76" s="231">
        <f>SUM(K64:K75)</f>
        <v>90000</v>
      </c>
      <c r="L76" s="228"/>
      <c r="M76" s="262"/>
      <c r="N76" s="232"/>
      <c r="O76" s="231">
        <f>SUM(O64:O75)</f>
        <v>65000</v>
      </c>
      <c r="P76" s="228"/>
      <c r="Q76" s="262"/>
      <c r="R76" s="232"/>
      <c r="S76" s="231">
        <f>SUM(S64:S75)</f>
        <v>0</v>
      </c>
      <c r="T76" s="233">
        <f>+C76+G76+K76+O76+S76</f>
        <v>777949.89</v>
      </c>
      <c r="AB76" s="163"/>
      <c r="AC76" s="203"/>
      <c r="AD76" s="268"/>
    </row>
    <row r="77" spans="1:30" ht="15.6" outlineLevel="1">
      <c r="A77" s="190" t="s">
        <v>528</v>
      </c>
      <c r="B77" s="273"/>
      <c r="C77" s="198"/>
      <c r="E77" s="265"/>
      <c r="G77" s="200"/>
      <c r="I77" s="265"/>
      <c r="K77" s="200"/>
      <c r="M77" s="265"/>
      <c r="O77" s="200"/>
      <c r="Q77" s="265"/>
      <c r="S77" s="200"/>
      <c r="T77" s="200"/>
      <c r="AB77" s="163"/>
    </row>
    <row r="78" spans="1:30" outlineLevel="1">
      <c r="A78" s="193" t="s">
        <v>458</v>
      </c>
      <c r="B78" s="216"/>
      <c r="C78" s="198">
        <v>0</v>
      </c>
      <c r="E78" s="274"/>
      <c r="F78" s="160"/>
      <c r="G78" s="198">
        <f t="shared" ref="G78" si="43">D78*E78*F78</f>
        <v>0</v>
      </c>
      <c r="I78" s="274"/>
      <c r="K78" s="198">
        <f t="shared" ref="K78" si="44">H78*I78*J78</f>
        <v>0</v>
      </c>
      <c r="M78" s="274"/>
      <c r="N78" s="160"/>
      <c r="O78" s="198">
        <f t="shared" ref="O78" si="45">L78*M78*N78</f>
        <v>0</v>
      </c>
      <c r="Q78" s="274"/>
      <c r="R78" s="160"/>
      <c r="S78" s="198">
        <f t="shared" ref="S78" si="46">P78*Q78*R78</f>
        <v>0</v>
      </c>
      <c r="T78" s="200">
        <f t="shared" ref="T78" si="47">C78+G78+K78+O78+S78</f>
        <v>0</v>
      </c>
      <c r="AB78" s="163">
        <v>298</v>
      </c>
      <c r="AC78" s="203" t="s">
        <v>577</v>
      </c>
      <c r="AD78" s="203" t="s">
        <v>578</v>
      </c>
    </row>
    <row r="79" spans="1:30" ht="18.3" outlineLevel="1">
      <c r="A79" s="261" t="s">
        <v>529</v>
      </c>
      <c r="B79" s="227"/>
      <c r="C79" s="231">
        <f>SUM(C78:C78)</f>
        <v>0</v>
      </c>
      <c r="D79" s="228"/>
      <c r="E79" s="262"/>
      <c r="F79" s="232"/>
      <c r="G79" s="231">
        <f>SUM(G78:G78)</f>
        <v>0</v>
      </c>
      <c r="H79" s="228"/>
      <c r="I79" s="262"/>
      <c r="J79" s="263"/>
      <c r="K79" s="231">
        <f>SUM(K78:K78)</f>
        <v>0</v>
      </c>
      <c r="L79" s="228"/>
      <c r="M79" s="262"/>
      <c r="N79" s="232"/>
      <c r="O79" s="231">
        <f>SUM(O78:O78)</f>
        <v>0</v>
      </c>
      <c r="P79" s="228"/>
      <c r="Q79" s="262"/>
      <c r="R79" s="232"/>
      <c r="S79" s="231">
        <f>SUM(S78:S78)</f>
        <v>0</v>
      </c>
      <c r="T79" s="233">
        <f>+C79+G79+K79+O79+S79</f>
        <v>0</v>
      </c>
      <c r="AB79" s="163"/>
      <c r="AC79" s="203"/>
      <c r="AD79" s="268"/>
    </row>
    <row r="80" spans="1:30" ht="15.6" outlineLevel="1">
      <c r="A80" s="190" t="s">
        <v>33</v>
      </c>
      <c r="B80" s="216"/>
      <c r="C80" s="198"/>
      <c r="E80" s="265"/>
      <c r="F80" s="160"/>
      <c r="G80" s="198"/>
      <c r="I80" s="265"/>
      <c r="K80" s="198"/>
      <c r="M80" s="265"/>
      <c r="N80" s="160"/>
      <c r="O80" s="198"/>
      <c r="Q80" s="265"/>
      <c r="R80" s="160"/>
      <c r="S80" s="198"/>
      <c r="T80" s="200"/>
      <c r="AB80" s="163"/>
      <c r="AC80" s="203"/>
      <c r="AD80" s="203"/>
    </row>
    <row r="81" spans="1:30" outlineLevel="1">
      <c r="A81" s="193" t="s">
        <v>458</v>
      </c>
      <c r="B81" s="216"/>
      <c r="C81" s="198">
        <v>0</v>
      </c>
      <c r="E81" s="265"/>
      <c r="F81" s="160"/>
      <c r="G81" s="198">
        <f>D81*E81*F81</f>
        <v>0</v>
      </c>
      <c r="I81" s="265"/>
      <c r="K81" s="198">
        <f>H81*I81*J81</f>
        <v>0</v>
      </c>
      <c r="M81" s="265"/>
      <c r="N81" s="160"/>
      <c r="O81" s="198">
        <f>L81*M81*N81</f>
        <v>0</v>
      </c>
      <c r="Q81" s="265"/>
      <c r="R81" s="160"/>
      <c r="S81" s="198">
        <f>P81*Q81*R81</f>
        <v>0</v>
      </c>
      <c r="T81" s="200">
        <f t="shared" ref="T81" si="48">C81+G81+K81+O81+S81</f>
        <v>0</v>
      </c>
      <c r="AB81" s="163"/>
      <c r="AC81" s="203"/>
      <c r="AD81" s="203"/>
    </row>
    <row r="82" spans="1:30" ht="18.3" outlineLevel="1">
      <c r="A82" s="261" t="s">
        <v>530</v>
      </c>
      <c r="B82" s="227"/>
      <c r="C82" s="231">
        <f>SUM(C78:C78)</f>
        <v>0</v>
      </c>
      <c r="D82" s="228"/>
      <c r="E82" s="262"/>
      <c r="F82" s="232"/>
      <c r="G82" s="231">
        <f>SUM(G78:G78)</f>
        <v>0</v>
      </c>
      <c r="H82" s="228"/>
      <c r="I82" s="262"/>
      <c r="J82" s="263"/>
      <c r="K82" s="231">
        <f>SUM(K78:K78)</f>
        <v>0</v>
      </c>
      <c r="L82" s="228"/>
      <c r="M82" s="262"/>
      <c r="N82" s="232"/>
      <c r="O82" s="231">
        <f>SUM(O78:O78)</f>
        <v>0</v>
      </c>
      <c r="P82" s="228"/>
      <c r="Q82" s="262"/>
      <c r="R82" s="232"/>
      <c r="S82" s="231">
        <f>SUM(S78:S78)</f>
        <v>0</v>
      </c>
      <c r="T82" s="233">
        <f>+C82+G82+K82+O82+S82</f>
        <v>0</v>
      </c>
      <c r="AB82" s="163">
        <v>236</v>
      </c>
      <c r="AC82" s="203" t="s">
        <v>566</v>
      </c>
      <c r="AD82" s="268" t="s">
        <v>567</v>
      </c>
    </row>
    <row r="83" spans="1:30" ht="15.6" outlineLevel="1">
      <c r="A83" s="190" t="s">
        <v>34</v>
      </c>
      <c r="B83" s="264"/>
      <c r="C83" s="248"/>
      <c r="E83" s="265"/>
      <c r="F83" s="267"/>
      <c r="G83" s="221"/>
      <c r="I83" s="265"/>
      <c r="J83" s="266"/>
      <c r="K83" s="221"/>
      <c r="M83" s="265"/>
      <c r="N83" s="267"/>
      <c r="O83" s="221"/>
      <c r="Q83" s="265"/>
      <c r="R83" s="267"/>
      <c r="S83" s="221"/>
      <c r="T83" s="200"/>
      <c r="AB83" s="163">
        <v>236</v>
      </c>
      <c r="AC83" s="203" t="s">
        <v>566</v>
      </c>
      <c r="AD83" s="268" t="s">
        <v>567</v>
      </c>
    </row>
    <row r="84" spans="1:30" ht="15.6" outlineLevel="1">
      <c r="A84" s="269" t="str">
        <f>'Program Budget'!D331</f>
        <v xml:space="preserve">Seedstock for Private Nurseries </v>
      </c>
      <c r="B84" s="194" t="str">
        <f>'Program Budget'!F331</f>
        <v>Unit</v>
      </c>
      <c r="C84" s="198">
        <f>'Program Budget'!E331</f>
        <v>56485.979999999996</v>
      </c>
      <c r="D84" s="195">
        <f>'Program Budget'!G331</f>
        <v>56485.979999999996</v>
      </c>
      <c r="E84" s="196">
        <f>'Program Budget'!I331</f>
        <v>0</v>
      </c>
      <c r="F84" s="197">
        <v>0</v>
      </c>
      <c r="G84" s="198">
        <f t="shared" ref="G84" si="49">D84*E84*F84</f>
        <v>0</v>
      </c>
      <c r="H84" s="195">
        <f t="shared" ref="H84" si="50">D84</f>
        <v>56485.979999999996</v>
      </c>
      <c r="I84" s="196">
        <f>'Program Budget'!L331</f>
        <v>0</v>
      </c>
      <c r="J84" s="197">
        <v>0</v>
      </c>
      <c r="K84" s="198">
        <f t="shared" ref="K84" si="51">H84*I84*J84</f>
        <v>0</v>
      </c>
      <c r="L84" s="195">
        <f t="shared" ref="L84" si="52">H84</f>
        <v>56485.979999999996</v>
      </c>
      <c r="M84" s="196">
        <f>'Program Budget'!O331</f>
        <v>0</v>
      </c>
      <c r="N84" s="197">
        <v>0</v>
      </c>
      <c r="O84" s="198">
        <f t="shared" ref="O84" si="53">L84*M84*N84</f>
        <v>0</v>
      </c>
      <c r="P84" s="195">
        <f t="shared" ref="P84" si="54">L84</f>
        <v>56485.979999999996</v>
      </c>
      <c r="Q84" s="196">
        <f>'Program Budget'!R333</f>
        <v>0</v>
      </c>
      <c r="R84" s="197">
        <v>0</v>
      </c>
      <c r="S84" s="198">
        <f t="shared" ref="S84" si="55">P84*Q84*R84</f>
        <v>0</v>
      </c>
      <c r="T84" s="333">
        <f t="shared" ref="T84" si="56">C84+G84+K84+O84+S84</f>
        <v>56485.979999999996</v>
      </c>
      <c r="AB84" s="163"/>
      <c r="AC84" s="203"/>
      <c r="AD84" s="268"/>
    </row>
    <row r="85" spans="1:30" ht="15.6" outlineLevel="1">
      <c r="A85" s="269" t="str">
        <f>'Program Budget'!D332</f>
        <v>Cacao Seedlings for Farmers (Cacao Crop Renewal)</v>
      </c>
      <c r="B85" s="194" t="str">
        <f>'Program Budget'!F332</f>
        <v>Farmer</v>
      </c>
      <c r="C85" s="198">
        <f>'Program Budget'!E332</f>
        <v>0</v>
      </c>
      <c r="D85" s="195">
        <f>'Program Budget'!G332</f>
        <v>1380</v>
      </c>
      <c r="E85" s="196">
        <f>'Program Budget'!I332</f>
        <v>125</v>
      </c>
      <c r="F85" s="197">
        <v>1</v>
      </c>
      <c r="G85" s="198">
        <f t="shared" ref="G85:G86" si="57">D85*E85*F85</f>
        <v>172500</v>
      </c>
      <c r="H85" s="195">
        <f t="shared" ref="H85:H86" si="58">D85</f>
        <v>1380</v>
      </c>
      <c r="I85" s="196">
        <f>'Program Budget'!L332</f>
        <v>60</v>
      </c>
      <c r="J85" s="197">
        <v>1</v>
      </c>
      <c r="K85" s="198">
        <f t="shared" ref="K85:K86" si="59">H85*I85*J85</f>
        <v>82800</v>
      </c>
      <c r="L85" s="195">
        <f t="shared" ref="L85:L86" si="60">H85</f>
        <v>1380</v>
      </c>
      <c r="M85" s="196">
        <f>'Program Budget'!O332</f>
        <v>0</v>
      </c>
      <c r="N85" s="197">
        <v>1</v>
      </c>
      <c r="O85" s="198">
        <f t="shared" ref="O85:O86" si="61">L85*M85*N85</f>
        <v>0</v>
      </c>
      <c r="P85" s="195">
        <f t="shared" ref="P85:P86" si="62">L85</f>
        <v>1380</v>
      </c>
      <c r="Q85" s="196">
        <f>'Program Budget'!R334</f>
        <v>0</v>
      </c>
      <c r="R85" s="197">
        <v>0</v>
      </c>
      <c r="S85" s="198">
        <f t="shared" ref="S85:S86" si="63">P85*Q85*R85</f>
        <v>0</v>
      </c>
      <c r="T85" s="333">
        <f t="shared" ref="T85:T86" si="64">C85+G85+K85+O85+S85</f>
        <v>255300</v>
      </c>
      <c r="AB85" s="163"/>
      <c r="AC85" s="203"/>
      <c r="AD85" s="268"/>
    </row>
    <row r="86" spans="1:30" ht="15.6" outlineLevel="1">
      <c r="A86" s="269" t="str">
        <f>'Program Budget'!D333</f>
        <v>Plantain Seedlings for Farmers</v>
      </c>
      <c r="B86" s="194" t="str">
        <f>'Program Budget'!F333</f>
        <v>Farmer</v>
      </c>
      <c r="C86" s="198">
        <f>'Program Budget'!E333</f>
        <v>0</v>
      </c>
      <c r="D86" s="195">
        <f>'Program Budget'!G333</f>
        <v>1380</v>
      </c>
      <c r="E86" s="196">
        <f>'Program Budget'!I333</f>
        <v>125</v>
      </c>
      <c r="F86" s="197">
        <v>1</v>
      </c>
      <c r="G86" s="198">
        <f t="shared" si="57"/>
        <v>172500</v>
      </c>
      <c r="H86" s="195">
        <f t="shared" si="58"/>
        <v>1380</v>
      </c>
      <c r="I86" s="196">
        <f>'Program Budget'!L333</f>
        <v>60</v>
      </c>
      <c r="J86" s="197">
        <v>1</v>
      </c>
      <c r="K86" s="198">
        <f t="shared" si="59"/>
        <v>82800</v>
      </c>
      <c r="L86" s="195">
        <f t="shared" si="60"/>
        <v>1380</v>
      </c>
      <c r="M86" s="196">
        <f>'Program Budget'!O333</f>
        <v>0</v>
      </c>
      <c r="N86" s="197">
        <v>1</v>
      </c>
      <c r="O86" s="198">
        <f t="shared" si="61"/>
        <v>0</v>
      </c>
      <c r="P86" s="195">
        <f t="shared" si="62"/>
        <v>1380</v>
      </c>
      <c r="Q86" s="196">
        <f>'Program Budget'!R335</f>
        <v>0</v>
      </c>
      <c r="R86" s="197">
        <v>0</v>
      </c>
      <c r="S86" s="198">
        <f t="shared" si="63"/>
        <v>0</v>
      </c>
      <c r="T86" s="333">
        <f t="shared" si="64"/>
        <v>255300</v>
      </c>
      <c r="AB86" s="163"/>
      <c r="AC86" s="203"/>
      <c r="AD86" s="268"/>
    </row>
    <row r="87" spans="1:30" ht="15.6" outlineLevel="1">
      <c r="A87" s="269" t="str">
        <f>'Program Budget'!D334</f>
        <v>Biodegradable Pod Sleeving Pilot</v>
      </c>
      <c r="B87" s="194" t="str">
        <f>'Program Budget'!F334</f>
        <v>Unit</v>
      </c>
      <c r="C87" s="198">
        <f>'Program Budget'!E334</f>
        <v>0</v>
      </c>
      <c r="D87" s="195">
        <f>'Program Budget'!G334</f>
        <v>400</v>
      </c>
      <c r="E87" s="196">
        <f>'Program Budget'!I334</f>
        <v>0</v>
      </c>
      <c r="F87" s="197">
        <v>1</v>
      </c>
      <c r="G87" s="198">
        <f t="shared" ref="G87:G89" si="65">D87*E87*F87</f>
        <v>0</v>
      </c>
      <c r="H87" s="195">
        <f t="shared" ref="H87:H89" si="66">D87</f>
        <v>400</v>
      </c>
      <c r="I87" s="196">
        <f>'Program Budget'!L334</f>
        <v>0</v>
      </c>
      <c r="J87" s="197">
        <v>1</v>
      </c>
      <c r="K87" s="198">
        <f t="shared" ref="K87:K89" si="67">H87*I87*J87</f>
        <v>0</v>
      </c>
      <c r="L87" s="195">
        <f t="shared" ref="L87:L89" si="68">H87</f>
        <v>400</v>
      </c>
      <c r="M87" s="196">
        <f>'Program Budget'!O334</f>
        <v>0</v>
      </c>
      <c r="N87" s="197">
        <v>1</v>
      </c>
      <c r="O87" s="198">
        <f t="shared" ref="O87:O89" si="69">L87*M87*N87</f>
        <v>0</v>
      </c>
      <c r="P87" s="195">
        <f t="shared" ref="P87:P89" si="70">L87</f>
        <v>400</v>
      </c>
      <c r="Q87" s="196">
        <f>'Program Budget'!R336</f>
        <v>0</v>
      </c>
      <c r="R87" s="197">
        <v>0</v>
      </c>
      <c r="S87" s="198">
        <f t="shared" ref="S87:S89" si="71">P87*Q87*R87</f>
        <v>0</v>
      </c>
      <c r="T87" s="333">
        <f t="shared" ref="T87:T89" si="72">C87+G87+K87+O87+S87</f>
        <v>0</v>
      </c>
      <c r="AB87" s="163"/>
      <c r="AC87" s="203"/>
      <c r="AD87" s="268"/>
    </row>
    <row r="88" spans="1:30" ht="15.6" outlineLevel="1">
      <c r="A88" s="269" t="str">
        <f>'Program Budget'!D335</f>
        <v>Printing Extension Tools for Cacao and Complementary Crops</v>
      </c>
      <c r="B88" s="194" t="str">
        <f>'Program Budget'!F335</f>
        <v>Unit</v>
      </c>
      <c r="C88" s="198">
        <f>'Program Budget'!E335</f>
        <v>0</v>
      </c>
      <c r="D88" s="195">
        <f>'Program Budget'!G335</f>
        <v>10000</v>
      </c>
      <c r="E88" s="196">
        <f>'Program Budget'!I335</f>
        <v>1</v>
      </c>
      <c r="F88" s="197">
        <v>1</v>
      </c>
      <c r="G88" s="198">
        <f t="shared" si="65"/>
        <v>10000</v>
      </c>
      <c r="H88" s="195">
        <f t="shared" si="66"/>
        <v>10000</v>
      </c>
      <c r="I88" s="196">
        <f>'Program Budget'!L335</f>
        <v>0</v>
      </c>
      <c r="J88" s="197">
        <v>0</v>
      </c>
      <c r="K88" s="198">
        <f t="shared" si="67"/>
        <v>0</v>
      </c>
      <c r="L88" s="195">
        <f t="shared" si="68"/>
        <v>10000</v>
      </c>
      <c r="M88" s="196">
        <f>'Program Budget'!O335</f>
        <v>0</v>
      </c>
      <c r="N88" s="197">
        <v>0</v>
      </c>
      <c r="O88" s="198">
        <f t="shared" si="69"/>
        <v>0</v>
      </c>
      <c r="P88" s="195">
        <f t="shared" si="70"/>
        <v>10000</v>
      </c>
      <c r="Q88" s="196">
        <f>'Program Budget'!R337</f>
        <v>0</v>
      </c>
      <c r="R88" s="197">
        <v>0</v>
      </c>
      <c r="S88" s="198">
        <f t="shared" si="71"/>
        <v>0</v>
      </c>
      <c r="T88" s="333">
        <f t="shared" si="72"/>
        <v>10000</v>
      </c>
      <c r="AB88" s="163"/>
      <c r="AC88" s="203"/>
      <c r="AD88" s="268"/>
    </row>
    <row r="89" spans="1:30" ht="15.6" outlineLevel="1">
      <c r="A89" s="269" t="str">
        <f>'Program Budget'!D336</f>
        <v>Installation of Tanks and Irrigation Systems</v>
      </c>
      <c r="B89" s="194" t="str">
        <f>'Program Budget'!F336</f>
        <v>Unit</v>
      </c>
      <c r="C89" s="198">
        <f>'Program Budget'!E336</f>
        <v>0</v>
      </c>
      <c r="D89" s="195">
        <f>'Program Budget'!G336</f>
        <v>2475</v>
      </c>
      <c r="E89" s="196">
        <f>'Program Budget'!I336</f>
        <v>20</v>
      </c>
      <c r="F89" s="197">
        <v>1</v>
      </c>
      <c r="G89" s="198">
        <f t="shared" si="65"/>
        <v>49500</v>
      </c>
      <c r="H89" s="195">
        <f t="shared" si="66"/>
        <v>2475</v>
      </c>
      <c r="I89" s="196">
        <f>'Program Budget'!L336</f>
        <v>20</v>
      </c>
      <c r="J89" s="197">
        <v>1</v>
      </c>
      <c r="K89" s="198">
        <f t="shared" si="67"/>
        <v>49500</v>
      </c>
      <c r="L89" s="195">
        <f t="shared" si="68"/>
        <v>2475</v>
      </c>
      <c r="M89" s="196">
        <f>'Program Budget'!O336</f>
        <v>20</v>
      </c>
      <c r="N89" s="197">
        <v>1</v>
      </c>
      <c r="O89" s="198">
        <f t="shared" si="69"/>
        <v>49500</v>
      </c>
      <c r="P89" s="195">
        <f t="shared" si="70"/>
        <v>2475</v>
      </c>
      <c r="Q89" s="196">
        <f>'Program Budget'!R338</f>
        <v>0</v>
      </c>
      <c r="R89" s="197">
        <v>0</v>
      </c>
      <c r="S89" s="198">
        <f t="shared" si="71"/>
        <v>0</v>
      </c>
      <c r="T89" s="333">
        <f t="shared" si="72"/>
        <v>148500</v>
      </c>
      <c r="AB89" s="163"/>
      <c r="AC89" s="203"/>
      <c r="AD89" s="268"/>
    </row>
    <row r="90" spans="1:30" outlineLevel="1">
      <c r="A90" s="193"/>
      <c r="B90" s="216"/>
      <c r="C90" s="198"/>
      <c r="D90" s="270"/>
      <c r="E90" s="271"/>
      <c r="F90" s="160"/>
      <c r="G90" s="198"/>
      <c r="H90" s="270"/>
      <c r="I90" s="271"/>
      <c r="K90" s="198"/>
      <c r="L90" s="270"/>
      <c r="M90" s="271"/>
      <c r="N90" s="160"/>
      <c r="O90" s="198"/>
      <c r="P90" s="270"/>
      <c r="Q90" s="271"/>
      <c r="R90" s="160"/>
      <c r="S90" s="198"/>
      <c r="T90" s="200"/>
      <c r="AB90" s="163"/>
      <c r="AC90" s="203"/>
      <c r="AD90" s="268"/>
    </row>
    <row r="91" spans="1:30" ht="18.3" outlineLevel="1">
      <c r="A91" s="261" t="s">
        <v>531</v>
      </c>
      <c r="B91" s="227"/>
      <c r="C91" s="231">
        <f>SUM(C83:C90)</f>
        <v>56485.979999999996</v>
      </c>
      <c r="D91" s="228"/>
      <c r="E91" s="262"/>
      <c r="F91" s="232"/>
      <c r="G91" s="231">
        <f>SUM(G83:G90)</f>
        <v>404500</v>
      </c>
      <c r="H91" s="228"/>
      <c r="I91" s="262"/>
      <c r="J91" s="263"/>
      <c r="K91" s="231">
        <f>SUM(K83:K90)</f>
        <v>215100</v>
      </c>
      <c r="L91" s="228"/>
      <c r="M91" s="262"/>
      <c r="N91" s="232"/>
      <c r="O91" s="231">
        <f>SUM(O83:O90)</f>
        <v>49500</v>
      </c>
      <c r="P91" s="228"/>
      <c r="Q91" s="262"/>
      <c r="R91" s="232"/>
      <c r="S91" s="231">
        <f>SUM(S83:S90)</f>
        <v>0</v>
      </c>
      <c r="T91" s="231">
        <f>SUM(T83:T90)</f>
        <v>725585.98</v>
      </c>
      <c r="AB91" s="163"/>
      <c r="AC91" s="203"/>
      <c r="AD91" s="268"/>
    </row>
    <row r="92" spans="1:30" ht="15.6" outlineLevel="1">
      <c r="A92" s="276" t="s">
        <v>532</v>
      </c>
      <c r="B92" s="216"/>
      <c r="C92" s="248"/>
      <c r="D92" s="277"/>
      <c r="E92" s="278"/>
      <c r="G92" s="221"/>
      <c r="H92" s="277"/>
      <c r="I92" s="278"/>
      <c r="K92" s="221"/>
      <c r="L92" s="277"/>
      <c r="M92" s="278"/>
      <c r="O92" s="221"/>
      <c r="P92" s="277"/>
      <c r="Q92" s="278"/>
      <c r="S92" s="221"/>
      <c r="T92" s="200"/>
      <c r="AB92" s="163"/>
      <c r="AC92" s="203"/>
      <c r="AD92" s="268"/>
    </row>
    <row r="93" spans="1:30" ht="15.6" outlineLevel="1">
      <c r="A93" s="190" t="str">
        <f>'Program Budget'!D349</f>
        <v>Small Grants</v>
      </c>
      <c r="B93" s="216"/>
      <c r="C93" s="198"/>
      <c r="D93" s="277"/>
      <c r="E93" s="278"/>
      <c r="F93" s="160"/>
      <c r="G93" s="198"/>
      <c r="H93" s="277"/>
      <c r="I93" s="278"/>
      <c r="K93" s="198"/>
      <c r="L93" s="277"/>
      <c r="M93" s="278"/>
      <c r="N93" s="160"/>
      <c r="O93" s="198"/>
      <c r="P93" s="277"/>
      <c r="Q93" s="278"/>
      <c r="R93" s="160"/>
      <c r="S93" s="198"/>
      <c r="T93" s="200"/>
      <c r="AB93" s="163"/>
      <c r="AC93" s="203"/>
      <c r="AD93" s="268"/>
    </row>
    <row r="94" spans="1:30" ht="15.6" outlineLevel="1">
      <c r="A94" s="269" t="str">
        <f>'Program Budget'!D350</f>
        <v>Nursery Start-Up Grants for Producer Organizations</v>
      </c>
      <c r="B94" s="194" t="str">
        <f>'Program Budget'!F350</f>
        <v>Grant</v>
      </c>
      <c r="C94" s="198">
        <f>'Program Budget'!E350</f>
        <v>25000</v>
      </c>
      <c r="D94" s="195">
        <f>'Program Budget'!G350</f>
        <v>15000</v>
      </c>
      <c r="E94" s="196">
        <f>'Program Budget'!I350</f>
        <v>0</v>
      </c>
      <c r="F94" s="197">
        <v>1</v>
      </c>
      <c r="G94" s="198">
        <f t="shared" ref="G94:G97" si="73">D94*E94*F94</f>
        <v>0</v>
      </c>
      <c r="H94" s="195">
        <f t="shared" ref="H94:H97" si="74">D94</f>
        <v>15000</v>
      </c>
      <c r="I94" s="196">
        <f>'Program Budget'!L350</f>
        <v>0</v>
      </c>
      <c r="J94" s="197">
        <v>1</v>
      </c>
      <c r="K94" s="198">
        <f t="shared" ref="K94:K97" si="75">H94*I94*J94</f>
        <v>0</v>
      </c>
      <c r="L94" s="195">
        <f t="shared" ref="L94:L97" si="76">H94</f>
        <v>15000</v>
      </c>
      <c r="M94" s="196">
        <f>'Program Budget'!O350</f>
        <v>0</v>
      </c>
      <c r="N94" s="197">
        <v>1</v>
      </c>
      <c r="O94" s="198">
        <f t="shared" ref="O94:O97" si="77">L94*M94*N94</f>
        <v>0</v>
      </c>
      <c r="P94" s="195">
        <f t="shared" ref="P94:P97" si="78">L94</f>
        <v>15000</v>
      </c>
      <c r="Q94" s="196">
        <f>'Program Budget'!R350</f>
        <v>0</v>
      </c>
      <c r="R94" s="197">
        <v>1</v>
      </c>
      <c r="S94" s="198">
        <f t="shared" ref="S94:S97" si="79">P94*Q94*R94</f>
        <v>0</v>
      </c>
      <c r="T94" s="333">
        <f t="shared" ref="T94:T97" si="80">C94+G94+K94+O94+S94</f>
        <v>25000</v>
      </c>
      <c r="AB94" s="163"/>
      <c r="AC94" s="203"/>
      <c r="AD94" s="268"/>
    </row>
    <row r="95" spans="1:30" ht="15.6" outlineLevel="1">
      <c r="A95" s="269" t="str">
        <f>'Program Budget'!D351</f>
        <v>Grants for Biofertilizer Program</v>
      </c>
      <c r="B95" s="194" t="str">
        <f>'Program Budget'!F351</f>
        <v>Grant</v>
      </c>
      <c r="C95" s="198">
        <f>'Program Budget'!E351</f>
        <v>0</v>
      </c>
      <c r="D95" s="195">
        <f>'Program Budget'!G351</f>
        <v>9000</v>
      </c>
      <c r="E95" s="196">
        <f>'Program Budget'!I351</f>
        <v>28</v>
      </c>
      <c r="F95" s="197">
        <v>1</v>
      </c>
      <c r="G95" s="198">
        <f t="shared" si="73"/>
        <v>252000</v>
      </c>
      <c r="H95" s="195">
        <f t="shared" si="74"/>
        <v>9000</v>
      </c>
      <c r="I95" s="196">
        <f>'Program Budget'!L351</f>
        <v>0</v>
      </c>
      <c r="J95" s="197">
        <v>1</v>
      </c>
      <c r="K95" s="198">
        <f t="shared" si="75"/>
        <v>0</v>
      </c>
      <c r="L95" s="195">
        <f t="shared" si="76"/>
        <v>9000</v>
      </c>
      <c r="M95" s="196">
        <f>'Program Budget'!O351</f>
        <v>0</v>
      </c>
      <c r="N95" s="197">
        <v>1</v>
      </c>
      <c r="O95" s="198">
        <f t="shared" si="77"/>
        <v>0</v>
      </c>
      <c r="P95" s="195">
        <f t="shared" si="78"/>
        <v>9000</v>
      </c>
      <c r="Q95" s="196">
        <f>'Program Budget'!R351</f>
        <v>0</v>
      </c>
      <c r="R95" s="197">
        <v>1</v>
      </c>
      <c r="S95" s="198">
        <f t="shared" si="79"/>
        <v>0</v>
      </c>
      <c r="T95" s="333">
        <f t="shared" si="80"/>
        <v>252000</v>
      </c>
      <c r="AB95" s="163"/>
      <c r="AC95" s="203"/>
      <c r="AD95" s="268"/>
    </row>
    <row r="96" spans="1:30" ht="15.6" outlineLevel="1">
      <c r="A96" s="269" t="str">
        <f>'Program Budget'!D352</f>
        <v>Grants for Export Ready Complementary Crops and Value Chain Improvements</v>
      </c>
      <c r="B96" s="194" t="str">
        <f>'Program Budget'!F352</f>
        <v>Grant</v>
      </c>
      <c r="C96" s="198">
        <f>'Program Budget'!E352</f>
        <v>0</v>
      </c>
      <c r="D96" s="195">
        <f>'Program Budget'!G352</f>
        <v>20000</v>
      </c>
      <c r="E96" s="196">
        <f>'Program Budget'!I352</f>
        <v>0</v>
      </c>
      <c r="F96" s="197">
        <v>1</v>
      </c>
      <c r="G96" s="198">
        <f t="shared" si="73"/>
        <v>0</v>
      </c>
      <c r="H96" s="195">
        <f t="shared" si="74"/>
        <v>20000</v>
      </c>
      <c r="I96" s="196">
        <f>'Program Budget'!L352</f>
        <v>0</v>
      </c>
      <c r="J96" s="197">
        <v>1</v>
      </c>
      <c r="K96" s="198">
        <f t="shared" si="75"/>
        <v>0</v>
      </c>
      <c r="L96" s="195">
        <f t="shared" si="76"/>
        <v>20000</v>
      </c>
      <c r="M96" s="196">
        <f>'Program Budget'!O352</f>
        <v>0</v>
      </c>
      <c r="N96" s="197">
        <v>1</v>
      </c>
      <c r="O96" s="198">
        <f t="shared" si="77"/>
        <v>0</v>
      </c>
      <c r="P96" s="195">
        <f t="shared" si="78"/>
        <v>20000</v>
      </c>
      <c r="Q96" s="196">
        <f>'Program Budget'!R352</f>
        <v>0</v>
      </c>
      <c r="R96" s="197">
        <v>1</v>
      </c>
      <c r="S96" s="198">
        <f t="shared" si="79"/>
        <v>0</v>
      </c>
      <c r="T96" s="333">
        <f t="shared" si="80"/>
        <v>0</v>
      </c>
      <c r="AB96" s="163"/>
      <c r="AC96" s="203"/>
      <c r="AD96" s="268"/>
    </row>
    <row r="97" spans="1:30" ht="15.6" outlineLevel="1">
      <c r="A97" s="269" t="str">
        <f>'Program Budget'!D353</f>
        <v>Grants to Producers and Organizations for Cacao Crop Renewal and Enhancement of Agricultural Practices</v>
      </c>
      <c r="B97" s="194" t="str">
        <f>'Program Budget'!F353</f>
        <v>Grant</v>
      </c>
      <c r="C97" s="198">
        <f>'Program Budget'!E353</f>
        <v>0</v>
      </c>
      <c r="D97" s="195">
        <f>'Program Budget'!G353</f>
        <v>10000</v>
      </c>
      <c r="E97" s="196">
        <f>'Program Budget'!I353</f>
        <v>0</v>
      </c>
      <c r="F97" s="197">
        <v>1</v>
      </c>
      <c r="G97" s="198">
        <f t="shared" si="73"/>
        <v>0</v>
      </c>
      <c r="H97" s="195">
        <f t="shared" si="74"/>
        <v>10000</v>
      </c>
      <c r="I97" s="196">
        <f>'Program Budget'!L353</f>
        <v>0</v>
      </c>
      <c r="J97" s="197">
        <v>1</v>
      </c>
      <c r="K97" s="198">
        <f t="shared" si="75"/>
        <v>0</v>
      </c>
      <c r="L97" s="195">
        <f t="shared" si="76"/>
        <v>10000</v>
      </c>
      <c r="M97" s="196">
        <f>'Program Budget'!O353</f>
        <v>0</v>
      </c>
      <c r="N97" s="197">
        <v>1</v>
      </c>
      <c r="O97" s="198">
        <f t="shared" si="77"/>
        <v>0</v>
      </c>
      <c r="P97" s="195">
        <f t="shared" si="78"/>
        <v>10000</v>
      </c>
      <c r="Q97" s="196">
        <f>'Program Budget'!R353</f>
        <v>0</v>
      </c>
      <c r="R97" s="197">
        <v>1</v>
      </c>
      <c r="S97" s="198">
        <f t="shared" si="79"/>
        <v>0</v>
      </c>
      <c r="T97" s="333">
        <f t="shared" si="80"/>
        <v>0</v>
      </c>
      <c r="AB97" s="163"/>
      <c r="AC97" s="203"/>
      <c r="AD97" s="268"/>
    </row>
    <row r="98" spans="1:30" ht="15.6" outlineLevel="1">
      <c r="A98" s="269" t="str">
        <f>'Program Budget'!D354</f>
        <v>Grant to Strengthen Fedecacao</v>
      </c>
      <c r="B98" s="194" t="str">
        <f>'Program Budget'!F354</f>
        <v>Grant</v>
      </c>
      <c r="C98" s="198">
        <f>'Program Budget'!E354</f>
        <v>0</v>
      </c>
      <c r="D98" s="195">
        <f>'Program Budget'!G354</f>
        <v>10000</v>
      </c>
      <c r="E98" s="196">
        <f>'Program Budget'!I354</f>
        <v>1</v>
      </c>
      <c r="F98" s="197">
        <v>1</v>
      </c>
      <c r="G98" s="198">
        <f t="shared" ref="G98" si="81">D98*E98*F98</f>
        <v>10000</v>
      </c>
      <c r="H98" s="195">
        <f t="shared" ref="H98" si="82">D98</f>
        <v>10000</v>
      </c>
      <c r="I98" s="196">
        <f>'Program Budget'!L354</f>
        <v>1</v>
      </c>
      <c r="J98" s="197">
        <v>1</v>
      </c>
      <c r="K98" s="198">
        <f t="shared" ref="K98" si="83">H98*I98*J98</f>
        <v>10000</v>
      </c>
      <c r="L98" s="195">
        <f t="shared" ref="L98" si="84">H98</f>
        <v>10000</v>
      </c>
      <c r="M98" s="196">
        <f>'Program Budget'!O354</f>
        <v>1</v>
      </c>
      <c r="N98" s="197">
        <v>1</v>
      </c>
      <c r="O98" s="198">
        <f t="shared" ref="O98" si="85">L98*M98*N98</f>
        <v>10000</v>
      </c>
      <c r="P98" s="195">
        <f t="shared" ref="P98" si="86">L98</f>
        <v>10000</v>
      </c>
      <c r="Q98" s="196">
        <f>'Program Budget'!R354</f>
        <v>0</v>
      </c>
      <c r="R98" s="197">
        <v>1</v>
      </c>
      <c r="S98" s="198">
        <f t="shared" ref="S98" si="87">P98*Q98*R98</f>
        <v>0</v>
      </c>
      <c r="T98" s="333">
        <f t="shared" ref="T98" si="88">C98+G98+K98+O98+S98</f>
        <v>30000</v>
      </c>
      <c r="AB98" s="163"/>
      <c r="AC98" s="203"/>
      <c r="AD98" s="268"/>
    </row>
    <row r="99" spans="1:30" ht="15.6" outlineLevel="1">
      <c r="A99" s="190" t="s">
        <v>306</v>
      </c>
      <c r="B99" s="194"/>
      <c r="C99" s="198"/>
      <c r="D99" s="195"/>
      <c r="E99" s="196"/>
      <c r="F99" s="160"/>
      <c r="G99" s="198"/>
      <c r="H99" s="277"/>
      <c r="I99" s="196"/>
      <c r="K99" s="198"/>
      <c r="L99" s="277"/>
      <c r="M99" s="196"/>
      <c r="N99" s="160"/>
      <c r="O99" s="198"/>
      <c r="P99" s="277"/>
      <c r="Q99" s="196"/>
      <c r="R99" s="160"/>
      <c r="S99" s="198"/>
      <c r="T99" s="200"/>
      <c r="AB99" s="163"/>
      <c r="AC99" s="203"/>
      <c r="AD99" s="268"/>
    </row>
    <row r="100" spans="1:30" ht="15.6" outlineLevel="1">
      <c r="A100" s="269" t="str">
        <f>'Program Budget'!D356</f>
        <v xml:space="preserve">Boot Camp for Cacao Farmers for 1 - Week Training </v>
      </c>
      <c r="B100" s="194" t="str">
        <f>'Program Budget'!F356</f>
        <v>Participant</v>
      </c>
      <c r="C100" s="198">
        <f>'Program Budget'!E356</f>
        <v>0</v>
      </c>
      <c r="D100" s="195">
        <f>'Program Budget'!G356</f>
        <v>280</v>
      </c>
      <c r="E100" s="196">
        <f>'Program Budget'!I356</f>
        <v>45</v>
      </c>
      <c r="F100" s="197">
        <v>1</v>
      </c>
      <c r="G100" s="198">
        <f t="shared" ref="G100:G101" si="89">D100*E100*F100</f>
        <v>12600</v>
      </c>
      <c r="H100" s="195">
        <f t="shared" ref="H100:H101" si="90">D100</f>
        <v>280</v>
      </c>
      <c r="I100" s="196">
        <f>'Program Budget'!L356</f>
        <v>45</v>
      </c>
      <c r="J100" s="197">
        <v>1</v>
      </c>
      <c r="K100" s="198">
        <f t="shared" ref="K100:K101" si="91">H100*I100*J100</f>
        <v>12600</v>
      </c>
      <c r="L100" s="195">
        <f t="shared" ref="L100:L101" si="92">H100</f>
        <v>280</v>
      </c>
      <c r="M100" s="196">
        <f>'Program Budget'!O356</f>
        <v>45</v>
      </c>
      <c r="N100" s="197">
        <v>1</v>
      </c>
      <c r="O100" s="198">
        <f t="shared" ref="O100:O101" si="93">L100*M100*N100</f>
        <v>12600</v>
      </c>
      <c r="P100" s="195">
        <f t="shared" ref="P100:P101" si="94">L100</f>
        <v>280</v>
      </c>
      <c r="Q100" s="196">
        <f>'Program Budget'!R356</f>
        <v>0</v>
      </c>
      <c r="R100" s="197">
        <v>1</v>
      </c>
      <c r="S100" s="198">
        <f t="shared" ref="S100:S101" si="95">P100*Q100*R100</f>
        <v>0</v>
      </c>
      <c r="T100" s="333">
        <f t="shared" ref="T100:T101" si="96">C100+G100+K100+O100+S100</f>
        <v>37800</v>
      </c>
      <c r="AB100" s="163"/>
      <c r="AC100" s="203"/>
      <c r="AD100" s="268"/>
    </row>
    <row r="101" spans="1:30" ht="15.6" outlineLevel="1">
      <c r="A101" s="269" t="str">
        <f>'Program Budget'!D357</f>
        <v xml:space="preserve">Training for Produces Representatives on Cacao and Complementary Crops 1 - Week Trainings </v>
      </c>
      <c r="B101" s="194" t="str">
        <f>'Program Budget'!F357</f>
        <v>Participant</v>
      </c>
      <c r="C101" s="198">
        <f>'Program Budget'!E357</f>
        <v>0</v>
      </c>
      <c r="D101" s="195">
        <f>'Program Budget'!G357</f>
        <v>280</v>
      </c>
      <c r="E101" s="196">
        <f>'Program Budget'!I357</f>
        <v>45</v>
      </c>
      <c r="F101" s="197">
        <v>1</v>
      </c>
      <c r="G101" s="198">
        <f t="shared" si="89"/>
        <v>12600</v>
      </c>
      <c r="H101" s="195">
        <f t="shared" si="90"/>
        <v>280</v>
      </c>
      <c r="I101" s="196">
        <f>'Program Budget'!L357</f>
        <v>45</v>
      </c>
      <c r="J101" s="197">
        <v>1</v>
      </c>
      <c r="K101" s="198">
        <f t="shared" si="91"/>
        <v>12600</v>
      </c>
      <c r="L101" s="195">
        <f t="shared" si="92"/>
        <v>280</v>
      </c>
      <c r="M101" s="196">
        <f>'Program Budget'!O357</f>
        <v>45</v>
      </c>
      <c r="N101" s="197">
        <v>1</v>
      </c>
      <c r="O101" s="198">
        <f t="shared" si="93"/>
        <v>12600</v>
      </c>
      <c r="P101" s="195">
        <f t="shared" si="94"/>
        <v>280</v>
      </c>
      <c r="Q101" s="196">
        <f>'Program Budget'!R357</f>
        <v>0</v>
      </c>
      <c r="R101" s="197">
        <v>1</v>
      </c>
      <c r="S101" s="198">
        <f t="shared" si="95"/>
        <v>0</v>
      </c>
      <c r="T101" s="333">
        <f t="shared" si="96"/>
        <v>37800</v>
      </c>
      <c r="AB101" s="163"/>
      <c r="AC101" s="203"/>
      <c r="AD101" s="268"/>
    </row>
    <row r="102" spans="1:30" ht="15.6" outlineLevel="1">
      <c r="A102" s="281"/>
      <c r="B102" s="241"/>
      <c r="C102" s="245"/>
      <c r="D102" s="279"/>
      <c r="E102" s="280"/>
      <c r="F102" s="244"/>
      <c r="G102" s="245"/>
      <c r="H102" s="279"/>
      <c r="I102" s="280"/>
      <c r="J102" s="244"/>
      <c r="K102" s="245"/>
      <c r="L102" s="279"/>
      <c r="M102" s="280"/>
      <c r="N102" s="244"/>
      <c r="O102" s="245"/>
      <c r="P102" s="279"/>
      <c r="Q102" s="280"/>
      <c r="R102" s="244"/>
      <c r="S102" s="245"/>
      <c r="T102" s="200"/>
      <c r="AB102" s="163"/>
      <c r="AC102" s="203"/>
      <c r="AD102" s="268"/>
    </row>
    <row r="103" spans="1:30" ht="18.3" outlineLevel="1">
      <c r="A103" s="282" t="s">
        <v>537</v>
      </c>
      <c r="B103" s="227"/>
      <c r="C103" s="254">
        <f>SUM(C94:C101)</f>
        <v>25000</v>
      </c>
      <c r="D103" s="251"/>
      <c r="E103" s="252"/>
      <c r="F103" s="255"/>
      <c r="G103" s="254">
        <f>SUM(G94:G101)</f>
        <v>287200</v>
      </c>
      <c r="H103" s="251"/>
      <c r="I103" s="252"/>
      <c r="J103" s="283"/>
      <c r="K103" s="254">
        <f>SUM(K94:K101)</f>
        <v>35200</v>
      </c>
      <c r="L103" s="251"/>
      <c r="M103" s="252"/>
      <c r="N103" s="255"/>
      <c r="O103" s="254">
        <f>SUM(O94:O101)</f>
        <v>35200</v>
      </c>
      <c r="P103" s="251"/>
      <c r="Q103" s="252"/>
      <c r="R103" s="255"/>
      <c r="S103" s="254">
        <f>SUM(S94:S101)</f>
        <v>0</v>
      </c>
      <c r="T103" s="254">
        <f>SUM(T94:T101)</f>
        <v>382600</v>
      </c>
      <c r="AB103" s="163">
        <v>250</v>
      </c>
      <c r="AC103" s="203" t="s">
        <v>569</v>
      </c>
      <c r="AD103" s="268" t="s">
        <v>570</v>
      </c>
    </row>
    <row r="104" spans="1:30" ht="15.6" outlineLevel="1">
      <c r="A104" s="284"/>
      <c r="B104" s="239"/>
      <c r="C104" s="198"/>
      <c r="D104" s="277"/>
      <c r="E104" s="278"/>
      <c r="G104" s="200"/>
      <c r="H104" s="277"/>
      <c r="I104" s="278"/>
      <c r="K104" s="200"/>
      <c r="L104" s="277"/>
      <c r="M104" s="278"/>
      <c r="O104" s="200"/>
      <c r="P104" s="277"/>
      <c r="Q104" s="278"/>
      <c r="S104" s="200"/>
      <c r="T104" s="200"/>
      <c r="AB104" s="163">
        <v>317</v>
      </c>
      <c r="AC104" s="203" t="s">
        <v>571</v>
      </c>
      <c r="AD104" s="268" t="s">
        <v>572</v>
      </c>
    </row>
    <row r="105" spans="1:30" ht="18.3" outlineLevel="1">
      <c r="A105" s="285" t="s">
        <v>538</v>
      </c>
      <c r="B105" s="286"/>
      <c r="C105" s="290">
        <f>C41+C51+C62+C82+C91+C76+C103</f>
        <v>1977754.02</v>
      </c>
      <c r="D105" s="287"/>
      <c r="E105" s="288"/>
      <c r="F105" s="291"/>
      <c r="G105" s="290">
        <f>G41+G51+G62+G82+G91+G76+G103</f>
        <v>2328193.0276287999</v>
      </c>
      <c r="H105" s="287"/>
      <c r="I105" s="288"/>
      <c r="J105" s="289"/>
      <c r="K105" s="290">
        <f>K41+K51+K62+K82+K91+K76+K103</f>
        <v>1814163.3129503198</v>
      </c>
      <c r="L105" s="287"/>
      <c r="M105" s="288"/>
      <c r="N105" s="291"/>
      <c r="O105" s="290">
        <f>O41+O51+O62+O82+O91+O76+O103</f>
        <v>1252875.329797836</v>
      </c>
      <c r="P105" s="287"/>
      <c r="Q105" s="288"/>
      <c r="R105" s="291"/>
      <c r="S105" s="290">
        <f>S41+S51+S62+S82+S91+S76+S103</f>
        <v>96439.01391437641</v>
      </c>
      <c r="T105" s="290">
        <f>T41+T51+T62+T82+T91+T76+T103</f>
        <v>7469424.7042913316</v>
      </c>
      <c r="U105" s="157">
        <f>SUM(G105,K105,O105,S105)</f>
        <v>5491670.684291332</v>
      </c>
      <c r="AB105" s="163">
        <v>318</v>
      </c>
      <c r="AC105" s="203" t="s">
        <v>573</v>
      </c>
      <c r="AD105" s="268" t="s">
        <v>574</v>
      </c>
    </row>
    <row r="106" spans="1:30">
      <c r="A106" s="329"/>
      <c r="B106" s="239"/>
      <c r="C106" s="198"/>
      <c r="D106" s="277"/>
      <c r="E106" s="278"/>
      <c r="G106" s="200"/>
      <c r="H106" s="277"/>
      <c r="I106" s="278"/>
      <c r="K106" s="200"/>
      <c r="L106" s="277"/>
      <c r="M106" s="278"/>
      <c r="O106" s="200"/>
      <c r="P106" s="277"/>
      <c r="Q106" s="278"/>
      <c r="S106" s="200"/>
      <c r="T106" s="200"/>
    </row>
    <row r="107" spans="1:30" ht="20.399999999999999">
      <c r="A107" s="292" t="s">
        <v>59</v>
      </c>
      <c r="B107" s="293"/>
      <c r="C107" s="294"/>
      <c r="D107" s="294"/>
      <c r="E107" s="294"/>
      <c r="F107" s="294"/>
      <c r="G107" s="294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3"/>
    </row>
    <row r="108" spans="1:30" ht="15" customHeight="1">
      <c r="A108" s="295" t="s">
        <v>60</v>
      </c>
      <c r="B108" s="349" t="s">
        <v>132</v>
      </c>
      <c r="C108" s="198">
        <v>0</v>
      </c>
      <c r="D108" s="195">
        <v>0</v>
      </c>
      <c r="E108" s="196">
        <v>1</v>
      </c>
      <c r="F108" s="197">
        <v>0.2828</v>
      </c>
      <c r="G108" s="198">
        <f>D108*E108*F108</f>
        <v>0</v>
      </c>
      <c r="H108" s="195">
        <v>0</v>
      </c>
      <c r="I108" s="196">
        <v>1</v>
      </c>
      <c r="J108" s="197">
        <v>0.2828</v>
      </c>
      <c r="K108" s="198">
        <f>H108*I108*J108</f>
        <v>0</v>
      </c>
      <c r="L108" s="195">
        <v>0</v>
      </c>
      <c r="M108" s="196">
        <v>1</v>
      </c>
      <c r="N108" s="197">
        <v>0.2828</v>
      </c>
      <c r="O108" s="198">
        <f>L108*M108*N108</f>
        <v>0</v>
      </c>
      <c r="P108" s="195">
        <v>0</v>
      </c>
      <c r="Q108" s="196">
        <v>1</v>
      </c>
      <c r="R108" s="197">
        <v>0.2828</v>
      </c>
      <c r="S108" s="198">
        <f>P108*Q108*R108</f>
        <v>0</v>
      </c>
      <c r="T108" s="333">
        <f>C108+G108+K108+O108+S108</f>
        <v>0</v>
      </c>
    </row>
    <row r="109" spans="1:30" ht="15" customHeight="1">
      <c r="A109" s="295" t="s">
        <v>61</v>
      </c>
      <c r="B109" s="349" t="s">
        <v>132</v>
      </c>
      <c r="C109" s="198">
        <v>576808.59205093223</v>
      </c>
      <c r="D109" s="195">
        <f>G105</f>
        <v>2328193.0276287999</v>
      </c>
      <c r="E109" s="196">
        <v>1</v>
      </c>
      <c r="F109" s="197">
        <v>0.2828</v>
      </c>
      <c r="G109" s="198">
        <f>D109*E109*F109</f>
        <v>658412.98821342457</v>
      </c>
      <c r="H109" s="195">
        <f>K105</f>
        <v>1814163.3129503198</v>
      </c>
      <c r="I109" s="196">
        <v>1</v>
      </c>
      <c r="J109" s="197">
        <v>0.2828</v>
      </c>
      <c r="K109" s="198">
        <f>H109*I109*J109</f>
        <v>513045.38490235043</v>
      </c>
      <c r="L109" s="195">
        <f>O105</f>
        <v>1252875.329797836</v>
      </c>
      <c r="M109" s="196">
        <v>1</v>
      </c>
      <c r="N109" s="197">
        <v>0.2828</v>
      </c>
      <c r="O109" s="198">
        <f>L109*M109*N109</f>
        <v>354313.14326682803</v>
      </c>
      <c r="P109" s="195">
        <f>S105</f>
        <v>96439.01391437641</v>
      </c>
      <c r="Q109" s="196">
        <v>1</v>
      </c>
      <c r="R109" s="197">
        <v>0.2828</v>
      </c>
      <c r="S109" s="198">
        <f>P109*Q109*R109</f>
        <v>27272.953134985648</v>
      </c>
      <c r="T109" s="333">
        <f>C109+G109+K109+O109+S109</f>
        <v>2129853.061568521</v>
      </c>
    </row>
    <row r="110" spans="1:30">
      <c r="A110" s="297"/>
      <c r="B110" s="239"/>
      <c r="C110" s="198"/>
      <c r="D110" s="195"/>
      <c r="E110" s="298"/>
      <c r="F110" s="199"/>
      <c r="G110" s="198"/>
      <c r="H110" s="195"/>
      <c r="I110" s="298"/>
      <c r="J110" s="299"/>
      <c r="K110" s="198"/>
      <c r="L110" s="195"/>
      <c r="M110" s="298"/>
      <c r="N110" s="199"/>
      <c r="O110" s="198"/>
      <c r="P110" s="270"/>
      <c r="Q110" s="298"/>
      <c r="R110" s="199"/>
      <c r="S110" s="198"/>
      <c r="T110" s="200"/>
    </row>
    <row r="111" spans="1:30" ht="18.3">
      <c r="A111" s="285" t="s">
        <v>539</v>
      </c>
      <c r="B111" s="286"/>
      <c r="C111" s="290">
        <f>SUM(C108:C110)</f>
        <v>576808.59205093223</v>
      </c>
      <c r="D111" s="287"/>
      <c r="E111" s="288"/>
      <c r="F111" s="291"/>
      <c r="G111" s="290">
        <f>SUM(G108:G110)</f>
        <v>658412.98821342457</v>
      </c>
      <c r="H111" s="287"/>
      <c r="I111" s="288"/>
      <c r="J111" s="289"/>
      <c r="K111" s="290">
        <f>SUM(K108:K110)</f>
        <v>513045.38490235043</v>
      </c>
      <c r="L111" s="287"/>
      <c r="M111" s="288"/>
      <c r="N111" s="291"/>
      <c r="O111" s="290">
        <f>SUM(O108:O110)</f>
        <v>354313.14326682803</v>
      </c>
      <c r="P111" s="287"/>
      <c r="Q111" s="288"/>
      <c r="R111" s="291"/>
      <c r="S111" s="290">
        <f>SUM(S108:S110)</f>
        <v>27272.953134985648</v>
      </c>
      <c r="T111" s="290">
        <f>SUM(T108:T110)</f>
        <v>2129853.061568521</v>
      </c>
      <c r="U111" s="157">
        <f>SUM(G111,K111,O111,S111)</f>
        <v>1553044.4695175886</v>
      </c>
    </row>
    <row r="112" spans="1:30">
      <c r="A112" s="245"/>
      <c r="B112" s="300"/>
      <c r="C112" s="245"/>
      <c r="D112" s="279"/>
      <c r="E112" s="301"/>
      <c r="F112" s="303"/>
      <c r="G112" s="245"/>
      <c r="H112" s="279"/>
      <c r="I112" s="301"/>
      <c r="J112" s="302"/>
      <c r="K112" s="245"/>
      <c r="L112" s="279"/>
      <c r="M112" s="301"/>
      <c r="N112" s="303"/>
      <c r="O112" s="245"/>
      <c r="P112" s="279"/>
      <c r="Q112" s="301"/>
      <c r="R112" s="303"/>
      <c r="S112" s="245"/>
      <c r="T112" s="206"/>
    </row>
    <row r="113" spans="1:20" ht="18.3">
      <c r="A113" s="304" t="s">
        <v>540</v>
      </c>
      <c r="B113" s="305"/>
      <c r="C113" s="309">
        <f>C105+C111</f>
        <v>2554562.6120509324</v>
      </c>
      <c r="D113" s="306"/>
      <c r="E113" s="307"/>
      <c r="F113" s="310"/>
      <c r="G113" s="309">
        <f>G105+G111</f>
        <v>2986606.0158422245</v>
      </c>
      <c r="H113" s="306"/>
      <c r="I113" s="307"/>
      <c r="J113" s="308"/>
      <c r="K113" s="309">
        <f>K105+K111</f>
        <v>2327208.6978526702</v>
      </c>
      <c r="L113" s="306"/>
      <c r="M113" s="307"/>
      <c r="N113" s="310"/>
      <c r="O113" s="309">
        <f>O105+O111</f>
        <v>1607188.4730646641</v>
      </c>
      <c r="P113" s="306"/>
      <c r="Q113" s="307"/>
      <c r="R113" s="310"/>
      <c r="S113" s="309">
        <f>S105+S111</f>
        <v>123711.96704936205</v>
      </c>
      <c r="T113" s="311">
        <f>C113+G113+K113+O113+S113</f>
        <v>9599277.7658598535</v>
      </c>
    </row>
    <row r="114" spans="1:20" ht="15.6">
      <c r="A114" s="312" t="str">
        <f>'Program Budget'!D364</f>
        <v>Luker Chocolate Donations</v>
      </c>
      <c r="B114" s="313" t="str">
        <f>'Program Budget'!F364</f>
        <v>Contract</v>
      </c>
      <c r="C114" s="245">
        <f>'Program Budget'!E364</f>
        <v>32943.58</v>
      </c>
      <c r="D114" s="242">
        <f>'Program Budget'!G364</f>
        <v>90000</v>
      </c>
      <c r="E114" s="314">
        <f>'Program Budget'!I364</f>
        <v>0.5</v>
      </c>
      <c r="F114" s="315">
        <v>1</v>
      </c>
      <c r="G114" s="245">
        <f t="shared" ref="G114" si="97">D114*E114*F114</f>
        <v>45000</v>
      </c>
      <c r="H114" s="242">
        <f>D114</f>
        <v>90000</v>
      </c>
      <c r="I114" s="314">
        <f>'Program Budget'!L364</f>
        <v>0.5</v>
      </c>
      <c r="J114" s="315">
        <v>1</v>
      </c>
      <c r="K114" s="245">
        <f t="shared" ref="K114:K116" si="98">H114*I114*J114</f>
        <v>45000</v>
      </c>
      <c r="L114" s="242">
        <f>H114</f>
        <v>90000</v>
      </c>
      <c r="M114" s="314">
        <f>'Program Budget'!O364</f>
        <v>0</v>
      </c>
      <c r="N114" s="315">
        <v>1</v>
      </c>
      <c r="O114" s="245">
        <f t="shared" ref="O114:O116" si="99">L114*M114*N114</f>
        <v>0</v>
      </c>
      <c r="P114" s="242">
        <f>L114</f>
        <v>90000</v>
      </c>
      <c r="Q114" s="314">
        <f>'Program Budget'!R364</f>
        <v>0</v>
      </c>
      <c r="R114" s="315">
        <v>1</v>
      </c>
      <c r="S114" s="245">
        <f t="shared" ref="S114" si="100">P114*Q114*R114</f>
        <v>0</v>
      </c>
      <c r="T114" s="206">
        <f>C114+G114+K114+O114+S114</f>
        <v>122943.58</v>
      </c>
    </row>
    <row r="115" spans="1:20" ht="15.6">
      <c r="A115" s="312" t="str">
        <f>'Program Budget'!D365</f>
        <v>Fundación Nutresa Donations</v>
      </c>
      <c r="B115" s="313" t="str">
        <f>'Program Budget'!F365</f>
        <v>Contract</v>
      </c>
      <c r="C115" s="245">
        <f>'Program Budget'!E365</f>
        <v>105146.98</v>
      </c>
      <c r="D115" s="242">
        <f>'Program Budget'!G365</f>
        <v>10500</v>
      </c>
      <c r="E115" s="314">
        <f>'Program Budget'!I365</f>
        <v>1</v>
      </c>
      <c r="F115" s="315">
        <v>1</v>
      </c>
      <c r="G115" s="245">
        <f t="shared" ref="G115:G116" si="101">D115*E115*F115</f>
        <v>10500</v>
      </c>
      <c r="H115" s="242">
        <f t="shared" ref="H115:H116" si="102">D115</f>
        <v>10500</v>
      </c>
      <c r="I115" s="314">
        <f>'Program Budget'!L365</f>
        <v>1</v>
      </c>
      <c r="J115" s="315">
        <v>1</v>
      </c>
      <c r="K115" s="245">
        <f t="shared" si="98"/>
        <v>10500</v>
      </c>
      <c r="L115" s="242">
        <f t="shared" ref="L115:L116" si="103">H115</f>
        <v>10500</v>
      </c>
      <c r="M115" s="314">
        <f>'Program Budget'!O365</f>
        <v>1</v>
      </c>
      <c r="N115" s="315">
        <v>1</v>
      </c>
      <c r="O115" s="245">
        <f>L115*M115*N115</f>
        <v>10500</v>
      </c>
      <c r="P115" s="242">
        <f t="shared" ref="P115:P116" si="104">L115</f>
        <v>10500</v>
      </c>
      <c r="Q115" s="314">
        <f>'Program Budget'!R365</f>
        <v>0</v>
      </c>
      <c r="R115" s="315">
        <v>1</v>
      </c>
      <c r="S115" s="245">
        <f t="shared" ref="S115:S116" si="105">P115*Q115*R115</f>
        <v>0</v>
      </c>
      <c r="T115" s="206">
        <f t="shared" ref="T115:T116" si="106">C115+G115+K115+O115+S115</f>
        <v>136646.97999999998</v>
      </c>
    </row>
    <row r="116" spans="1:20" ht="15.6">
      <c r="A116" s="312" t="str">
        <f>'Program Budget'!D366</f>
        <v>Nacional de Chocolates Donations</v>
      </c>
      <c r="B116" s="313" t="str">
        <f>'Program Budget'!F366</f>
        <v>Contract</v>
      </c>
      <c r="C116" s="245">
        <f>'Program Budget'!E366</f>
        <v>0</v>
      </c>
      <c r="D116" s="242">
        <f>'Program Budget'!G366</f>
        <v>170000</v>
      </c>
      <c r="E116" s="314">
        <f>'Program Budget'!I366</f>
        <v>1</v>
      </c>
      <c r="F116" s="315">
        <v>1</v>
      </c>
      <c r="G116" s="245">
        <f t="shared" si="101"/>
        <v>170000</v>
      </c>
      <c r="H116" s="242">
        <f t="shared" si="102"/>
        <v>170000</v>
      </c>
      <c r="I116" s="314">
        <f>'Program Budget'!L366</f>
        <v>1</v>
      </c>
      <c r="J116" s="315">
        <v>1</v>
      </c>
      <c r="K116" s="245">
        <f t="shared" si="98"/>
        <v>170000</v>
      </c>
      <c r="L116" s="242">
        <f t="shared" si="103"/>
        <v>170000</v>
      </c>
      <c r="M116" s="314">
        <f>'Program Budget'!O366</f>
        <v>1</v>
      </c>
      <c r="N116" s="315">
        <v>1</v>
      </c>
      <c r="O116" s="245">
        <f t="shared" si="99"/>
        <v>170000</v>
      </c>
      <c r="P116" s="242">
        <f t="shared" si="104"/>
        <v>170000</v>
      </c>
      <c r="Q116" s="314">
        <f>'Program Budget'!R366</f>
        <v>1</v>
      </c>
      <c r="R116" s="315">
        <v>1</v>
      </c>
      <c r="S116" s="245">
        <f t="shared" si="105"/>
        <v>170000</v>
      </c>
      <c r="T116" s="206">
        <f t="shared" si="106"/>
        <v>680000</v>
      </c>
    </row>
    <row r="117" spans="1:20" ht="18.3">
      <c r="A117" s="304" t="s">
        <v>541</v>
      </c>
      <c r="B117" s="305"/>
      <c r="C117" s="309">
        <f>C113+C114+C115+C116</f>
        <v>2692653.1720509324</v>
      </c>
      <c r="D117" s="306"/>
      <c r="E117" s="307"/>
      <c r="F117" s="310"/>
      <c r="G117" s="309">
        <f>G113+G114+G115+G116</f>
        <v>3212106.0158422245</v>
      </c>
      <c r="H117" s="306"/>
      <c r="I117" s="307"/>
      <c r="J117" s="308"/>
      <c r="K117" s="309">
        <f>K113+K114+K115+K116</f>
        <v>2552708.6978526702</v>
      </c>
      <c r="L117" s="306"/>
      <c r="M117" s="307"/>
      <c r="N117" s="310"/>
      <c r="O117" s="309">
        <f>O113+O114+O115+O116</f>
        <v>1787688.4730646641</v>
      </c>
      <c r="P117" s="306"/>
      <c r="Q117" s="307"/>
      <c r="R117" s="310"/>
      <c r="S117" s="309">
        <f>S113+S114+S115+S116</f>
        <v>293711.96704936202</v>
      </c>
      <c r="T117" s="311">
        <f>C117+G117+K117+O117+S117</f>
        <v>10538868.325859854</v>
      </c>
    </row>
    <row r="118" spans="1:20">
      <c r="A118" s="194"/>
      <c r="B118" s="194"/>
      <c r="T118" s="200"/>
    </row>
    <row r="119" spans="1:20" ht="31.2">
      <c r="A119" s="316" t="s">
        <v>542</v>
      </c>
      <c r="B119" s="317"/>
      <c r="C119" s="321"/>
      <c r="D119" s="318"/>
      <c r="E119" s="319"/>
      <c r="F119" s="322"/>
      <c r="G119" s="323"/>
      <c r="H119" s="318"/>
      <c r="I119" s="319"/>
      <c r="J119" s="320"/>
      <c r="K119" s="323"/>
      <c r="L119" s="318"/>
      <c r="M119" s="319"/>
      <c r="N119" s="322"/>
      <c r="O119" s="323"/>
      <c r="P119" s="318"/>
      <c r="Q119" s="319"/>
      <c r="R119" s="322"/>
      <c r="S119" s="323"/>
      <c r="T119" s="323"/>
    </row>
  </sheetData>
  <mergeCells count="8">
    <mergeCell ref="P2:S2"/>
    <mergeCell ref="T2:T3"/>
    <mergeCell ref="A2:A3"/>
    <mergeCell ref="B2:B3"/>
    <mergeCell ref="D2:G2"/>
    <mergeCell ref="H2:K2"/>
    <mergeCell ref="L2:O2"/>
    <mergeCell ref="C2:C3"/>
  </mergeCells>
  <printOptions horizontalCentered="1"/>
  <pageMargins left="0.25" right="0.25" top="0.75" bottom="0.75" header="0.3" footer="0.3"/>
  <pageSetup scale="25" orientation="landscape" r:id="rId1"/>
  <headerFooter alignWithMargins="0"/>
  <rowBreaks count="1" manualBreakCount="1">
    <brk id="112" max="1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D771-2C60-46C3-AF0F-E518B815F0CC}">
  <sheetPr>
    <tabColor theme="6" tint="0.39997558519241921"/>
    <pageSetUpPr fitToPage="1"/>
  </sheetPr>
  <dimension ref="A1:AG102"/>
  <sheetViews>
    <sheetView showOutlineSymbols="0" showWhiteSpace="0" zoomScale="70" zoomScaleNormal="70" workbookViewId="0">
      <pane xSplit="2" ySplit="3" topLeftCell="C34" activePane="bottomRight" state="frozen"/>
      <selection pane="topRight"/>
      <selection pane="bottomLeft"/>
      <selection pane="bottomRight" activeCell="A60" sqref="A60"/>
    </sheetView>
  </sheetViews>
  <sheetFormatPr defaultColWidth="8.71875" defaultRowHeight="14.4" outlineLevelRow="1" outlineLevelCol="1"/>
  <cols>
    <col min="1" max="1" width="61.1640625" style="157" customWidth="1"/>
    <col min="2" max="2" width="13" style="157" customWidth="1"/>
    <col min="3" max="3" width="15.1640625" style="157" customWidth="1"/>
    <col min="4" max="4" width="15.1640625" style="158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158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158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158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158" customWidth="1"/>
    <col min="21" max="21" width="11.44140625" style="157" bestFit="1" customWidth="1"/>
    <col min="22" max="22" width="10.1640625" style="157" bestFit="1" customWidth="1"/>
    <col min="23" max="23" width="10.83203125" style="157" customWidth="1"/>
    <col min="24" max="24" width="8.83203125" style="157" customWidth="1"/>
    <col min="25" max="25" width="10.83203125" style="157" customWidth="1"/>
    <col min="26" max="26" width="4.83203125" style="157" customWidth="1"/>
    <col min="27" max="27" width="4.83203125" style="157" hidden="1" customWidth="1"/>
    <col min="28" max="28" width="7" style="162" hidden="1" customWidth="1"/>
    <col min="29" max="29" width="19.1640625" style="157" hidden="1" customWidth="1"/>
    <col min="30" max="30" width="34" style="157" hidden="1" customWidth="1"/>
    <col min="31" max="31" width="9.83203125" style="157" hidden="1" customWidth="1"/>
    <col min="32" max="32" width="9.83203125" style="157" customWidth="1"/>
    <col min="33" max="33" width="14.1640625" style="157" customWidth="1"/>
    <col min="34" max="261" width="8.83203125" style="157"/>
    <col min="262" max="262" width="38.1640625" style="157" customWidth="1"/>
    <col min="263" max="263" width="23.44140625" style="157" bestFit="1" customWidth="1"/>
    <col min="264" max="265" width="9.1640625" style="157" customWidth="1"/>
    <col min="266" max="266" width="11.1640625" style="157" bestFit="1" customWidth="1"/>
    <col min="267" max="267" width="14.44140625" style="157" bestFit="1" customWidth="1"/>
    <col min="268" max="268" width="8.1640625" style="157" customWidth="1"/>
    <col min="269" max="269" width="10.83203125" style="157" bestFit="1" customWidth="1"/>
    <col min="270" max="270" width="12.1640625" style="157" bestFit="1" customWidth="1"/>
    <col min="271" max="271" width="9.1640625" style="157" customWidth="1"/>
    <col min="272" max="272" width="10.83203125" style="157" bestFit="1" customWidth="1"/>
    <col min="273" max="273" width="12.1640625" style="157" bestFit="1" customWidth="1"/>
    <col min="274" max="274" width="8" style="157" customWidth="1"/>
    <col min="275" max="275" width="10.83203125" style="157" bestFit="1" customWidth="1"/>
    <col min="276" max="276" width="12.1640625" style="157" bestFit="1" customWidth="1"/>
    <col min="277" max="277" width="8.1640625" style="157" bestFit="1" customWidth="1"/>
    <col min="278" max="278" width="10.83203125" style="157" bestFit="1" customWidth="1"/>
    <col min="279" max="279" width="12.1640625" style="157" bestFit="1" customWidth="1"/>
    <col min="280" max="280" width="18.1640625" style="157" bestFit="1" customWidth="1"/>
    <col min="281" max="281" width="10.83203125" style="157" bestFit="1" customWidth="1"/>
    <col min="282" max="517" width="8.83203125" style="157"/>
    <col min="518" max="518" width="38.1640625" style="157" customWidth="1"/>
    <col min="519" max="519" width="23.44140625" style="157" bestFit="1" customWidth="1"/>
    <col min="520" max="521" width="9.1640625" style="157" customWidth="1"/>
    <col min="522" max="522" width="11.1640625" style="157" bestFit="1" customWidth="1"/>
    <col min="523" max="523" width="14.44140625" style="157" bestFit="1" customWidth="1"/>
    <col min="524" max="524" width="8.1640625" style="157" customWidth="1"/>
    <col min="525" max="525" width="10.83203125" style="157" bestFit="1" customWidth="1"/>
    <col min="526" max="526" width="12.1640625" style="157" bestFit="1" customWidth="1"/>
    <col min="527" max="527" width="9.1640625" style="157" customWidth="1"/>
    <col min="528" max="528" width="10.83203125" style="157" bestFit="1" customWidth="1"/>
    <col min="529" max="529" width="12.1640625" style="157" bestFit="1" customWidth="1"/>
    <col min="530" max="530" width="8" style="157" customWidth="1"/>
    <col min="531" max="531" width="10.83203125" style="157" bestFit="1" customWidth="1"/>
    <col min="532" max="532" width="12.1640625" style="157" bestFit="1" customWidth="1"/>
    <col min="533" max="533" width="8.1640625" style="157" bestFit="1" customWidth="1"/>
    <col min="534" max="534" width="10.83203125" style="157" bestFit="1" customWidth="1"/>
    <col min="535" max="535" width="12.1640625" style="157" bestFit="1" customWidth="1"/>
    <col min="536" max="536" width="18.1640625" style="157" bestFit="1" customWidth="1"/>
    <col min="537" max="537" width="10.83203125" style="157" bestFit="1" customWidth="1"/>
    <col min="538" max="773" width="8.83203125" style="157"/>
    <col min="774" max="774" width="38.1640625" style="157" customWidth="1"/>
    <col min="775" max="775" width="23.44140625" style="157" bestFit="1" customWidth="1"/>
    <col min="776" max="777" width="9.1640625" style="157" customWidth="1"/>
    <col min="778" max="778" width="11.1640625" style="157" bestFit="1" customWidth="1"/>
    <col min="779" max="779" width="14.44140625" style="157" bestFit="1" customWidth="1"/>
    <col min="780" max="780" width="8.1640625" style="157" customWidth="1"/>
    <col min="781" max="781" width="10.83203125" style="157" bestFit="1" customWidth="1"/>
    <col min="782" max="782" width="12.1640625" style="157" bestFit="1" customWidth="1"/>
    <col min="783" max="783" width="9.1640625" style="157" customWidth="1"/>
    <col min="784" max="784" width="10.83203125" style="157" bestFit="1" customWidth="1"/>
    <col min="785" max="785" width="12.1640625" style="157" bestFit="1" customWidth="1"/>
    <col min="786" max="786" width="8" style="157" customWidth="1"/>
    <col min="787" max="787" width="10.83203125" style="157" bestFit="1" customWidth="1"/>
    <col min="788" max="788" width="12.1640625" style="157" bestFit="1" customWidth="1"/>
    <col min="789" max="789" width="8.1640625" style="157" bestFit="1" customWidth="1"/>
    <col min="790" max="790" width="10.83203125" style="157" bestFit="1" customWidth="1"/>
    <col min="791" max="791" width="12.1640625" style="157" bestFit="1" customWidth="1"/>
    <col min="792" max="792" width="18.1640625" style="157" bestFit="1" customWidth="1"/>
    <col min="793" max="793" width="10.83203125" style="157" bestFit="1" customWidth="1"/>
    <col min="794" max="1029" width="8.83203125" style="157"/>
    <col min="1030" max="1030" width="38.1640625" style="157" customWidth="1"/>
    <col min="1031" max="1031" width="23.44140625" style="157" bestFit="1" customWidth="1"/>
    <col min="1032" max="1033" width="9.1640625" style="157" customWidth="1"/>
    <col min="1034" max="1034" width="11.1640625" style="157" bestFit="1" customWidth="1"/>
    <col min="1035" max="1035" width="14.44140625" style="157" bestFit="1" customWidth="1"/>
    <col min="1036" max="1036" width="8.1640625" style="157" customWidth="1"/>
    <col min="1037" max="1037" width="10.83203125" style="157" bestFit="1" customWidth="1"/>
    <col min="1038" max="1038" width="12.1640625" style="157" bestFit="1" customWidth="1"/>
    <col min="1039" max="1039" width="9.1640625" style="157" customWidth="1"/>
    <col min="1040" max="1040" width="10.83203125" style="157" bestFit="1" customWidth="1"/>
    <col min="1041" max="1041" width="12.1640625" style="157" bestFit="1" customWidth="1"/>
    <col min="1042" max="1042" width="8" style="157" customWidth="1"/>
    <col min="1043" max="1043" width="10.83203125" style="157" bestFit="1" customWidth="1"/>
    <col min="1044" max="1044" width="12.1640625" style="157" bestFit="1" customWidth="1"/>
    <col min="1045" max="1045" width="8.1640625" style="157" bestFit="1" customWidth="1"/>
    <col min="1046" max="1046" width="10.83203125" style="157" bestFit="1" customWidth="1"/>
    <col min="1047" max="1047" width="12.1640625" style="157" bestFit="1" customWidth="1"/>
    <col min="1048" max="1048" width="18.1640625" style="157" bestFit="1" customWidth="1"/>
    <col min="1049" max="1049" width="10.83203125" style="157" bestFit="1" customWidth="1"/>
    <col min="1050" max="1285" width="8.83203125" style="157"/>
    <col min="1286" max="1286" width="38.1640625" style="157" customWidth="1"/>
    <col min="1287" max="1287" width="23.44140625" style="157" bestFit="1" customWidth="1"/>
    <col min="1288" max="1289" width="9.1640625" style="157" customWidth="1"/>
    <col min="1290" max="1290" width="11.1640625" style="157" bestFit="1" customWidth="1"/>
    <col min="1291" max="1291" width="14.44140625" style="157" bestFit="1" customWidth="1"/>
    <col min="1292" max="1292" width="8.1640625" style="157" customWidth="1"/>
    <col min="1293" max="1293" width="10.83203125" style="157" bestFit="1" customWidth="1"/>
    <col min="1294" max="1294" width="12.1640625" style="157" bestFit="1" customWidth="1"/>
    <col min="1295" max="1295" width="9.1640625" style="157" customWidth="1"/>
    <col min="1296" max="1296" width="10.83203125" style="157" bestFit="1" customWidth="1"/>
    <col min="1297" max="1297" width="12.1640625" style="157" bestFit="1" customWidth="1"/>
    <col min="1298" max="1298" width="8" style="157" customWidth="1"/>
    <col min="1299" max="1299" width="10.83203125" style="157" bestFit="1" customWidth="1"/>
    <col min="1300" max="1300" width="12.1640625" style="157" bestFit="1" customWidth="1"/>
    <col min="1301" max="1301" width="8.1640625" style="157" bestFit="1" customWidth="1"/>
    <col min="1302" max="1302" width="10.83203125" style="157" bestFit="1" customWidth="1"/>
    <col min="1303" max="1303" width="12.1640625" style="157" bestFit="1" customWidth="1"/>
    <col min="1304" max="1304" width="18.1640625" style="157" bestFit="1" customWidth="1"/>
    <col min="1305" max="1305" width="10.83203125" style="157" bestFit="1" customWidth="1"/>
    <col min="1306" max="1541" width="8.83203125" style="157"/>
    <col min="1542" max="1542" width="38.1640625" style="157" customWidth="1"/>
    <col min="1543" max="1543" width="23.44140625" style="157" bestFit="1" customWidth="1"/>
    <col min="1544" max="1545" width="9.1640625" style="157" customWidth="1"/>
    <col min="1546" max="1546" width="11.1640625" style="157" bestFit="1" customWidth="1"/>
    <col min="1547" max="1547" width="14.44140625" style="157" bestFit="1" customWidth="1"/>
    <col min="1548" max="1548" width="8.1640625" style="157" customWidth="1"/>
    <col min="1549" max="1549" width="10.83203125" style="157" bestFit="1" customWidth="1"/>
    <col min="1550" max="1550" width="12.1640625" style="157" bestFit="1" customWidth="1"/>
    <col min="1551" max="1551" width="9.1640625" style="157" customWidth="1"/>
    <col min="1552" max="1552" width="10.83203125" style="157" bestFit="1" customWidth="1"/>
    <col min="1553" max="1553" width="12.1640625" style="157" bestFit="1" customWidth="1"/>
    <col min="1554" max="1554" width="8" style="157" customWidth="1"/>
    <col min="1555" max="1555" width="10.83203125" style="157" bestFit="1" customWidth="1"/>
    <col min="1556" max="1556" width="12.1640625" style="157" bestFit="1" customWidth="1"/>
    <col min="1557" max="1557" width="8.1640625" style="157" bestFit="1" customWidth="1"/>
    <col min="1558" max="1558" width="10.83203125" style="157" bestFit="1" customWidth="1"/>
    <col min="1559" max="1559" width="12.1640625" style="157" bestFit="1" customWidth="1"/>
    <col min="1560" max="1560" width="18.1640625" style="157" bestFit="1" customWidth="1"/>
    <col min="1561" max="1561" width="10.83203125" style="157" bestFit="1" customWidth="1"/>
    <col min="1562" max="1797" width="8.83203125" style="157"/>
    <col min="1798" max="1798" width="38.1640625" style="157" customWidth="1"/>
    <col min="1799" max="1799" width="23.44140625" style="157" bestFit="1" customWidth="1"/>
    <col min="1800" max="1801" width="9.1640625" style="157" customWidth="1"/>
    <col min="1802" max="1802" width="11.1640625" style="157" bestFit="1" customWidth="1"/>
    <col min="1803" max="1803" width="14.44140625" style="157" bestFit="1" customWidth="1"/>
    <col min="1804" max="1804" width="8.1640625" style="157" customWidth="1"/>
    <col min="1805" max="1805" width="10.83203125" style="157" bestFit="1" customWidth="1"/>
    <col min="1806" max="1806" width="12.1640625" style="157" bestFit="1" customWidth="1"/>
    <col min="1807" max="1807" width="9.1640625" style="157" customWidth="1"/>
    <col min="1808" max="1808" width="10.83203125" style="157" bestFit="1" customWidth="1"/>
    <col min="1809" max="1809" width="12.1640625" style="157" bestFit="1" customWidth="1"/>
    <col min="1810" max="1810" width="8" style="157" customWidth="1"/>
    <col min="1811" max="1811" width="10.83203125" style="157" bestFit="1" customWidth="1"/>
    <col min="1812" max="1812" width="12.1640625" style="157" bestFit="1" customWidth="1"/>
    <col min="1813" max="1813" width="8.1640625" style="157" bestFit="1" customWidth="1"/>
    <col min="1814" max="1814" width="10.83203125" style="157" bestFit="1" customWidth="1"/>
    <col min="1815" max="1815" width="12.1640625" style="157" bestFit="1" customWidth="1"/>
    <col min="1816" max="1816" width="18.1640625" style="157" bestFit="1" customWidth="1"/>
    <col min="1817" max="1817" width="10.83203125" style="157" bestFit="1" customWidth="1"/>
    <col min="1818" max="2053" width="8.83203125" style="157"/>
    <col min="2054" max="2054" width="38.1640625" style="157" customWidth="1"/>
    <col min="2055" max="2055" width="23.44140625" style="157" bestFit="1" customWidth="1"/>
    <col min="2056" max="2057" width="9.1640625" style="157" customWidth="1"/>
    <col min="2058" max="2058" width="11.1640625" style="157" bestFit="1" customWidth="1"/>
    <col min="2059" max="2059" width="14.44140625" style="157" bestFit="1" customWidth="1"/>
    <col min="2060" max="2060" width="8.1640625" style="157" customWidth="1"/>
    <col min="2061" max="2061" width="10.83203125" style="157" bestFit="1" customWidth="1"/>
    <col min="2062" max="2062" width="12.1640625" style="157" bestFit="1" customWidth="1"/>
    <col min="2063" max="2063" width="9.1640625" style="157" customWidth="1"/>
    <col min="2064" max="2064" width="10.83203125" style="157" bestFit="1" customWidth="1"/>
    <col min="2065" max="2065" width="12.1640625" style="157" bestFit="1" customWidth="1"/>
    <col min="2066" max="2066" width="8" style="157" customWidth="1"/>
    <col min="2067" max="2067" width="10.83203125" style="157" bestFit="1" customWidth="1"/>
    <col min="2068" max="2068" width="12.1640625" style="157" bestFit="1" customWidth="1"/>
    <col min="2069" max="2069" width="8.1640625" style="157" bestFit="1" customWidth="1"/>
    <col min="2070" max="2070" width="10.83203125" style="157" bestFit="1" customWidth="1"/>
    <col min="2071" max="2071" width="12.1640625" style="157" bestFit="1" customWidth="1"/>
    <col min="2072" max="2072" width="18.1640625" style="157" bestFit="1" customWidth="1"/>
    <col min="2073" max="2073" width="10.83203125" style="157" bestFit="1" customWidth="1"/>
    <col min="2074" max="2309" width="8.83203125" style="157"/>
    <col min="2310" max="2310" width="38.1640625" style="157" customWidth="1"/>
    <col min="2311" max="2311" width="23.44140625" style="157" bestFit="1" customWidth="1"/>
    <col min="2312" max="2313" width="9.1640625" style="157" customWidth="1"/>
    <col min="2314" max="2314" width="11.1640625" style="157" bestFit="1" customWidth="1"/>
    <col min="2315" max="2315" width="14.44140625" style="157" bestFit="1" customWidth="1"/>
    <col min="2316" max="2316" width="8.1640625" style="157" customWidth="1"/>
    <col min="2317" max="2317" width="10.83203125" style="157" bestFit="1" customWidth="1"/>
    <col min="2318" max="2318" width="12.1640625" style="157" bestFit="1" customWidth="1"/>
    <col min="2319" max="2319" width="9.1640625" style="157" customWidth="1"/>
    <col min="2320" max="2320" width="10.83203125" style="157" bestFit="1" customWidth="1"/>
    <col min="2321" max="2321" width="12.1640625" style="157" bestFit="1" customWidth="1"/>
    <col min="2322" max="2322" width="8" style="157" customWidth="1"/>
    <col min="2323" max="2323" width="10.83203125" style="157" bestFit="1" customWidth="1"/>
    <col min="2324" max="2324" width="12.1640625" style="157" bestFit="1" customWidth="1"/>
    <col min="2325" max="2325" width="8.1640625" style="157" bestFit="1" customWidth="1"/>
    <col min="2326" max="2326" width="10.83203125" style="157" bestFit="1" customWidth="1"/>
    <col min="2327" max="2327" width="12.1640625" style="157" bestFit="1" customWidth="1"/>
    <col min="2328" max="2328" width="18.1640625" style="157" bestFit="1" customWidth="1"/>
    <col min="2329" max="2329" width="10.83203125" style="157" bestFit="1" customWidth="1"/>
    <col min="2330" max="2565" width="8.83203125" style="157"/>
    <col min="2566" max="2566" width="38.1640625" style="157" customWidth="1"/>
    <col min="2567" max="2567" width="23.44140625" style="157" bestFit="1" customWidth="1"/>
    <col min="2568" max="2569" width="9.1640625" style="157" customWidth="1"/>
    <col min="2570" max="2570" width="11.1640625" style="157" bestFit="1" customWidth="1"/>
    <col min="2571" max="2571" width="14.44140625" style="157" bestFit="1" customWidth="1"/>
    <col min="2572" max="2572" width="8.1640625" style="157" customWidth="1"/>
    <col min="2573" max="2573" width="10.83203125" style="157" bestFit="1" customWidth="1"/>
    <col min="2574" max="2574" width="12.1640625" style="157" bestFit="1" customWidth="1"/>
    <col min="2575" max="2575" width="9.1640625" style="157" customWidth="1"/>
    <col min="2576" max="2576" width="10.83203125" style="157" bestFit="1" customWidth="1"/>
    <col min="2577" max="2577" width="12.1640625" style="157" bestFit="1" customWidth="1"/>
    <col min="2578" max="2578" width="8" style="157" customWidth="1"/>
    <col min="2579" max="2579" width="10.83203125" style="157" bestFit="1" customWidth="1"/>
    <col min="2580" max="2580" width="12.1640625" style="157" bestFit="1" customWidth="1"/>
    <col min="2581" max="2581" width="8.1640625" style="157" bestFit="1" customWidth="1"/>
    <col min="2582" max="2582" width="10.83203125" style="157" bestFit="1" customWidth="1"/>
    <col min="2583" max="2583" width="12.1640625" style="157" bestFit="1" customWidth="1"/>
    <col min="2584" max="2584" width="18.1640625" style="157" bestFit="1" customWidth="1"/>
    <col min="2585" max="2585" width="10.83203125" style="157" bestFit="1" customWidth="1"/>
    <col min="2586" max="2821" width="8.83203125" style="157"/>
    <col min="2822" max="2822" width="38.1640625" style="157" customWidth="1"/>
    <col min="2823" max="2823" width="23.44140625" style="157" bestFit="1" customWidth="1"/>
    <col min="2824" max="2825" width="9.1640625" style="157" customWidth="1"/>
    <col min="2826" max="2826" width="11.1640625" style="157" bestFit="1" customWidth="1"/>
    <col min="2827" max="2827" width="14.44140625" style="157" bestFit="1" customWidth="1"/>
    <col min="2828" max="2828" width="8.1640625" style="157" customWidth="1"/>
    <col min="2829" max="2829" width="10.83203125" style="157" bestFit="1" customWidth="1"/>
    <col min="2830" max="2830" width="12.1640625" style="157" bestFit="1" customWidth="1"/>
    <col min="2831" max="2831" width="9.1640625" style="157" customWidth="1"/>
    <col min="2832" max="2832" width="10.83203125" style="157" bestFit="1" customWidth="1"/>
    <col min="2833" max="2833" width="12.1640625" style="157" bestFit="1" customWidth="1"/>
    <col min="2834" max="2834" width="8" style="157" customWidth="1"/>
    <col min="2835" max="2835" width="10.83203125" style="157" bestFit="1" customWidth="1"/>
    <col min="2836" max="2836" width="12.1640625" style="157" bestFit="1" customWidth="1"/>
    <col min="2837" max="2837" width="8.1640625" style="157" bestFit="1" customWidth="1"/>
    <col min="2838" max="2838" width="10.83203125" style="157" bestFit="1" customWidth="1"/>
    <col min="2839" max="2839" width="12.1640625" style="157" bestFit="1" customWidth="1"/>
    <col min="2840" max="2840" width="18.1640625" style="157" bestFit="1" customWidth="1"/>
    <col min="2841" max="2841" width="10.83203125" style="157" bestFit="1" customWidth="1"/>
    <col min="2842" max="3077" width="8.83203125" style="157"/>
    <col min="3078" max="3078" width="38.1640625" style="157" customWidth="1"/>
    <col min="3079" max="3079" width="23.44140625" style="157" bestFit="1" customWidth="1"/>
    <col min="3080" max="3081" width="9.1640625" style="157" customWidth="1"/>
    <col min="3082" max="3082" width="11.1640625" style="157" bestFit="1" customWidth="1"/>
    <col min="3083" max="3083" width="14.44140625" style="157" bestFit="1" customWidth="1"/>
    <col min="3084" max="3084" width="8.1640625" style="157" customWidth="1"/>
    <col min="3085" max="3085" width="10.83203125" style="157" bestFit="1" customWidth="1"/>
    <col min="3086" max="3086" width="12.1640625" style="157" bestFit="1" customWidth="1"/>
    <col min="3087" max="3087" width="9.1640625" style="157" customWidth="1"/>
    <col min="3088" max="3088" width="10.83203125" style="157" bestFit="1" customWidth="1"/>
    <col min="3089" max="3089" width="12.1640625" style="157" bestFit="1" customWidth="1"/>
    <col min="3090" max="3090" width="8" style="157" customWidth="1"/>
    <col min="3091" max="3091" width="10.83203125" style="157" bestFit="1" customWidth="1"/>
    <col min="3092" max="3092" width="12.1640625" style="157" bestFit="1" customWidth="1"/>
    <col min="3093" max="3093" width="8.1640625" style="157" bestFit="1" customWidth="1"/>
    <col min="3094" max="3094" width="10.83203125" style="157" bestFit="1" customWidth="1"/>
    <col min="3095" max="3095" width="12.1640625" style="157" bestFit="1" customWidth="1"/>
    <col min="3096" max="3096" width="18.1640625" style="157" bestFit="1" customWidth="1"/>
    <col min="3097" max="3097" width="10.83203125" style="157" bestFit="1" customWidth="1"/>
    <col min="3098" max="3333" width="8.83203125" style="157"/>
    <col min="3334" max="3334" width="38.1640625" style="157" customWidth="1"/>
    <col min="3335" max="3335" width="23.44140625" style="157" bestFit="1" customWidth="1"/>
    <col min="3336" max="3337" width="9.1640625" style="157" customWidth="1"/>
    <col min="3338" max="3338" width="11.1640625" style="157" bestFit="1" customWidth="1"/>
    <col min="3339" max="3339" width="14.44140625" style="157" bestFit="1" customWidth="1"/>
    <col min="3340" max="3340" width="8.1640625" style="157" customWidth="1"/>
    <col min="3341" max="3341" width="10.83203125" style="157" bestFit="1" customWidth="1"/>
    <col min="3342" max="3342" width="12.1640625" style="157" bestFit="1" customWidth="1"/>
    <col min="3343" max="3343" width="9.1640625" style="157" customWidth="1"/>
    <col min="3344" max="3344" width="10.83203125" style="157" bestFit="1" customWidth="1"/>
    <col min="3345" max="3345" width="12.1640625" style="157" bestFit="1" customWidth="1"/>
    <col min="3346" max="3346" width="8" style="157" customWidth="1"/>
    <col min="3347" max="3347" width="10.83203125" style="157" bestFit="1" customWidth="1"/>
    <col min="3348" max="3348" width="12.1640625" style="157" bestFit="1" customWidth="1"/>
    <col min="3349" max="3349" width="8.1640625" style="157" bestFit="1" customWidth="1"/>
    <col min="3350" max="3350" width="10.83203125" style="157" bestFit="1" customWidth="1"/>
    <col min="3351" max="3351" width="12.1640625" style="157" bestFit="1" customWidth="1"/>
    <col min="3352" max="3352" width="18.1640625" style="157" bestFit="1" customWidth="1"/>
    <col min="3353" max="3353" width="10.83203125" style="157" bestFit="1" customWidth="1"/>
    <col min="3354" max="3589" width="8.83203125" style="157"/>
    <col min="3590" max="3590" width="38.1640625" style="157" customWidth="1"/>
    <col min="3591" max="3591" width="23.44140625" style="157" bestFit="1" customWidth="1"/>
    <col min="3592" max="3593" width="9.1640625" style="157" customWidth="1"/>
    <col min="3594" max="3594" width="11.1640625" style="157" bestFit="1" customWidth="1"/>
    <col min="3595" max="3595" width="14.44140625" style="157" bestFit="1" customWidth="1"/>
    <col min="3596" max="3596" width="8.1640625" style="157" customWidth="1"/>
    <col min="3597" max="3597" width="10.83203125" style="157" bestFit="1" customWidth="1"/>
    <col min="3598" max="3598" width="12.1640625" style="157" bestFit="1" customWidth="1"/>
    <col min="3599" max="3599" width="9.1640625" style="157" customWidth="1"/>
    <col min="3600" max="3600" width="10.83203125" style="157" bestFit="1" customWidth="1"/>
    <col min="3601" max="3601" width="12.1640625" style="157" bestFit="1" customWidth="1"/>
    <col min="3602" max="3602" width="8" style="157" customWidth="1"/>
    <col min="3603" max="3603" width="10.83203125" style="157" bestFit="1" customWidth="1"/>
    <col min="3604" max="3604" width="12.1640625" style="157" bestFit="1" customWidth="1"/>
    <col min="3605" max="3605" width="8.1640625" style="157" bestFit="1" customWidth="1"/>
    <col min="3606" max="3606" width="10.83203125" style="157" bestFit="1" customWidth="1"/>
    <col min="3607" max="3607" width="12.1640625" style="157" bestFit="1" customWidth="1"/>
    <col min="3608" max="3608" width="18.1640625" style="157" bestFit="1" customWidth="1"/>
    <col min="3609" max="3609" width="10.83203125" style="157" bestFit="1" customWidth="1"/>
    <col min="3610" max="3845" width="8.83203125" style="157"/>
    <col min="3846" max="3846" width="38.1640625" style="157" customWidth="1"/>
    <col min="3847" max="3847" width="23.44140625" style="157" bestFit="1" customWidth="1"/>
    <col min="3848" max="3849" width="9.1640625" style="157" customWidth="1"/>
    <col min="3850" max="3850" width="11.1640625" style="157" bestFit="1" customWidth="1"/>
    <col min="3851" max="3851" width="14.44140625" style="157" bestFit="1" customWidth="1"/>
    <col min="3852" max="3852" width="8.1640625" style="157" customWidth="1"/>
    <col min="3853" max="3853" width="10.83203125" style="157" bestFit="1" customWidth="1"/>
    <col min="3854" max="3854" width="12.1640625" style="157" bestFit="1" customWidth="1"/>
    <col min="3855" max="3855" width="9.1640625" style="157" customWidth="1"/>
    <col min="3856" max="3856" width="10.83203125" style="157" bestFit="1" customWidth="1"/>
    <col min="3857" max="3857" width="12.1640625" style="157" bestFit="1" customWidth="1"/>
    <col min="3858" max="3858" width="8" style="157" customWidth="1"/>
    <col min="3859" max="3859" width="10.83203125" style="157" bestFit="1" customWidth="1"/>
    <col min="3860" max="3860" width="12.1640625" style="157" bestFit="1" customWidth="1"/>
    <col min="3861" max="3861" width="8.1640625" style="157" bestFit="1" customWidth="1"/>
    <col min="3862" max="3862" width="10.83203125" style="157" bestFit="1" customWidth="1"/>
    <col min="3863" max="3863" width="12.1640625" style="157" bestFit="1" customWidth="1"/>
    <col min="3864" max="3864" width="18.1640625" style="157" bestFit="1" customWidth="1"/>
    <col min="3865" max="3865" width="10.83203125" style="157" bestFit="1" customWidth="1"/>
    <col min="3866" max="4101" width="8.83203125" style="157"/>
    <col min="4102" max="4102" width="38.1640625" style="157" customWidth="1"/>
    <col min="4103" max="4103" width="23.44140625" style="157" bestFit="1" customWidth="1"/>
    <col min="4104" max="4105" width="9.1640625" style="157" customWidth="1"/>
    <col min="4106" max="4106" width="11.1640625" style="157" bestFit="1" customWidth="1"/>
    <col min="4107" max="4107" width="14.44140625" style="157" bestFit="1" customWidth="1"/>
    <col min="4108" max="4108" width="8.1640625" style="157" customWidth="1"/>
    <col min="4109" max="4109" width="10.83203125" style="157" bestFit="1" customWidth="1"/>
    <col min="4110" max="4110" width="12.1640625" style="157" bestFit="1" customWidth="1"/>
    <col min="4111" max="4111" width="9.1640625" style="157" customWidth="1"/>
    <col min="4112" max="4112" width="10.83203125" style="157" bestFit="1" customWidth="1"/>
    <col min="4113" max="4113" width="12.1640625" style="157" bestFit="1" customWidth="1"/>
    <col min="4114" max="4114" width="8" style="157" customWidth="1"/>
    <col min="4115" max="4115" width="10.83203125" style="157" bestFit="1" customWidth="1"/>
    <col min="4116" max="4116" width="12.1640625" style="157" bestFit="1" customWidth="1"/>
    <col min="4117" max="4117" width="8.1640625" style="157" bestFit="1" customWidth="1"/>
    <col min="4118" max="4118" width="10.83203125" style="157" bestFit="1" customWidth="1"/>
    <col min="4119" max="4119" width="12.1640625" style="157" bestFit="1" customWidth="1"/>
    <col min="4120" max="4120" width="18.1640625" style="157" bestFit="1" customWidth="1"/>
    <col min="4121" max="4121" width="10.83203125" style="157" bestFit="1" customWidth="1"/>
    <col min="4122" max="4357" width="8.83203125" style="157"/>
    <col min="4358" max="4358" width="38.1640625" style="157" customWidth="1"/>
    <col min="4359" max="4359" width="23.44140625" style="157" bestFit="1" customWidth="1"/>
    <col min="4360" max="4361" width="9.1640625" style="157" customWidth="1"/>
    <col min="4362" max="4362" width="11.1640625" style="157" bestFit="1" customWidth="1"/>
    <col min="4363" max="4363" width="14.44140625" style="157" bestFit="1" customWidth="1"/>
    <col min="4364" max="4364" width="8.1640625" style="157" customWidth="1"/>
    <col min="4365" max="4365" width="10.83203125" style="157" bestFit="1" customWidth="1"/>
    <col min="4366" max="4366" width="12.1640625" style="157" bestFit="1" customWidth="1"/>
    <col min="4367" max="4367" width="9.1640625" style="157" customWidth="1"/>
    <col min="4368" max="4368" width="10.83203125" style="157" bestFit="1" customWidth="1"/>
    <col min="4369" max="4369" width="12.1640625" style="157" bestFit="1" customWidth="1"/>
    <col min="4370" max="4370" width="8" style="157" customWidth="1"/>
    <col min="4371" max="4371" width="10.83203125" style="157" bestFit="1" customWidth="1"/>
    <col min="4372" max="4372" width="12.1640625" style="157" bestFit="1" customWidth="1"/>
    <col min="4373" max="4373" width="8.1640625" style="157" bestFit="1" customWidth="1"/>
    <col min="4374" max="4374" width="10.83203125" style="157" bestFit="1" customWidth="1"/>
    <col min="4375" max="4375" width="12.1640625" style="157" bestFit="1" customWidth="1"/>
    <col min="4376" max="4376" width="18.1640625" style="157" bestFit="1" customWidth="1"/>
    <col min="4377" max="4377" width="10.83203125" style="157" bestFit="1" customWidth="1"/>
    <col min="4378" max="4613" width="8.83203125" style="157"/>
    <col min="4614" max="4614" width="38.1640625" style="157" customWidth="1"/>
    <col min="4615" max="4615" width="23.44140625" style="157" bestFit="1" customWidth="1"/>
    <col min="4616" max="4617" width="9.1640625" style="157" customWidth="1"/>
    <col min="4618" max="4618" width="11.1640625" style="157" bestFit="1" customWidth="1"/>
    <col min="4619" max="4619" width="14.44140625" style="157" bestFit="1" customWidth="1"/>
    <col min="4620" max="4620" width="8.1640625" style="157" customWidth="1"/>
    <col min="4621" max="4621" width="10.83203125" style="157" bestFit="1" customWidth="1"/>
    <col min="4622" max="4622" width="12.1640625" style="157" bestFit="1" customWidth="1"/>
    <col min="4623" max="4623" width="9.1640625" style="157" customWidth="1"/>
    <col min="4624" max="4624" width="10.83203125" style="157" bestFit="1" customWidth="1"/>
    <col min="4625" max="4625" width="12.1640625" style="157" bestFit="1" customWidth="1"/>
    <col min="4626" max="4626" width="8" style="157" customWidth="1"/>
    <col min="4627" max="4627" width="10.83203125" style="157" bestFit="1" customWidth="1"/>
    <col min="4628" max="4628" width="12.1640625" style="157" bestFit="1" customWidth="1"/>
    <col min="4629" max="4629" width="8.1640625" style="157" bestFit="1" customWidth="1"/>
    <col min="4630" max="4630" width="10.83203125" style="157" bestFit="1" customWidth="1"/>
    <col min="4631" max="4631" width="12.1640625" style="157" bestFit="1" customWidth="1"/>
    <col min="4632" max="4632" width="18.1640625" style="157" bestFit="1" customWidth="1"/>
    <col min="4633" max="4633" width="10.83203125" style="157" bestFit="1" customWidth="1"/>
    <col min="4634" max="4869" width="8.83203125" style="157"/>
    <col min="4870" max="4870" width="38.1640625" style="157" customWidth="1"/>
    <col min="4871" max="4871" width="23.44140625" style="157" bestFit="1" customWidth="1"/>
    <col min="4872" max="4873" width="9.1640625" style="157" customWidth="1"/>
    <col min="4874" max="4874" width="11.1640625" style="157" bestFit="1" customWidth="1"/>
    <col min="4875" max="4875" width="14.44140625" style="157" bestFit="1" customWidth="1"/>
    <col min="4876" max="4876" width="8.1640625" style="157" customWidth="1"/>
    <col min="4877" max="4877" width="10.83203125" style="157" bestFit="1" customWidth="1"/>
    <col min="4878" max="4878" width="12.1640625" style="157" bestFit="1" customWidth="1"/>
    <col min="4879" max="4879" width="9.1640625" style="157" customWidth="1"/>
    <col min="4880" max="4880" width="10.83203125" style="157" bestFit="1" customWidth="1"/>
    <col min="4881" max="4881" width="12.1640625" style="157" bestFit="1" customWidth="1"/>
    <col min="4882" max="4882" width="8" style="157" customWidth="1"/>
    <col min="4883" max="4883" width="10.83203125" style="157" bestFit="1" customWidth="1"/>
    <col min="4884" max="4884" width="12.1640625" style="157" bestFit="1" customWidth="1"/>
    <col min="4885" max="4885" width="8.1640625" style="157" bestFit="1" customWidth="1"/>
    <col min="4886" max="4886" width="10.83203125" style="157" bestFit="1" customWidth="1"/>
    <col min="4887" max="4887" width="12.1640625" style="157" bestFit="1" customWidth="1"/>
    <col min="4888" max="4888" width="18.1640625" style="157" bestFit="1" customWidth="1"/>
    <col min="4889" max="4889" width="10.83203125" style="157" bestFit="1" customWidth="1"/>
    <col min="4890" max="5125" width="8.83203125" style="157"/>
    <col min="5126" max="5126" width="38.1640625" style="157" customWidth="1"/>
    <col min="5127" max="5127" width="23.44140625" style="157" bestFit="1" customWidth="1"/>
    <col min="5128" max="5129" width="9.1640625" style="157" customWidth="1"/>
    <col min="5130" max="5130" width="11.1640625" style="157" bestFit="1" customWidth="1"/>
    <col min="5131" max="5131" width="14.44140625" style="157" bestFit="1" customWidth="1"/>
    <col min="5132" max="5132" width="8.1640625" style="157" customWidth="1"/>
    <col min="5133" max="5133" width="10.83203125" style="157" bestFit="1" customWidth="1"/>
    <col min="5134" max="5134" width="12.1640625" style="157" bestFit="1" customWidth="1"/>
    <col min="5135" max="5135" width="9.1640625" style="157" customWidth="1"/>
    <col min="5136" max="5136" width="10.83203125" style="157" bestFit="1" customWidth="1"/>
    <col min="5137" max="5137" width="12.1640625" style="157" bestFit="1" customWidth="1"/>
    <col min="5138" max="5138" width="8" style="157" customWidth="1"/>
    <col min="5139" max="5139" width="10.83203125" style="157" bestFit="1" customWidth="1"/>
    <col min="5140" max="5140" width="12.1640625" style="157" bestFit="1" customWidth="1"/>
    <col min="5141" max="5141" width="8.1640625" style="157" bestFit="1" customWidth="1"/>
    <col min="5142" max="5142" width="10.83203125" style="157" bestFit="1" customWidth="1"/>
    <col min="5143" max="5143" width="12.1640625" style="157" bestFit="1" customWidth="1"/>
    <col min="5144" max="5144" width="18.1640625" style="157" bestFit="1" customWidth="1"/>
    <col min="5145" max="5145" width="10.83203125" style="157" bestFit="1" customWidth="1"/>
    <col min="5146" max="5381" width="8.83203125" style="157"/>
    <col min="5382" max="5382" width="38.1640625" style="157" customWidth="1"/>
    <col min="5383" max="5383" width="23.44140625" style="157" bestFit="1" customWidth="1"/>
    <col min="5384" max="5385" width="9.1640625" style="157" customWidth="1"/>
    <col min="5386" max="5386" width="11.1640625" style="157" bestFit="1" customWidth="1"/>
    <col min="5387" max="5387" width="14.44140625" style="157" bestFit="1" customWidth="1"/>
    <col min="5388" max="5388" width="8.1640625" style="157" customWidth="1"/>
    <col min="5389" max="5389" width="10.83203125" style="157" bestFit="1" customWidth="1"/>
    <col min="5390" max="5390" width="12.1640625" style="157" bestFit="1" customWidth="1"/>
    <col min="5391" max="5391" width="9.1640625" style="157" customWidth="1"/>
    <col min="5392" max="5392" width="10.83203125" style="157" bestFit="1" customWidth="1"/>
    <col min="5393" max="5393" width="12.1640625" style="157" bestFit="1" customWidth="1"/>
    <col min="5394" max="5394" width="8" style="157" customWidth="1"/>
    <col min="5395" max="5395" width="10.83203125" style="157" bestFit="1" customWidth="1"/>
    <col min="5396" max="5396" width="12.1640625" style="157" bestFit="1" customWidth="1"/>
    <col min="5397" max="5397" width="8.1640625" style="157" bestFit="1" customWidth="1"/>
    <col min="5398" max="5398" width="10.83203125" style="157" bestFit="1" customWidth="1"/>
    <col min="5399" max="5399" width="12.1640625" style="157" bestFit="1" customWidth="1"/>
    <col min="5400" max="5400" width="18.1640625" style="157" bestFit="1" customWidth="1"/>
    <col min="5401" max="5401" width="10.83203125" style="157" bestFit="1" customWidth="1"/>
    <col min="5402" max="5637" width="8.83203125" style="157"/>
    <col min="5638" max="5638" width="38.1640625" style="157" customWidth="1"/>
    <col min="5639" max="5639" width="23.44140625" style="157" bestFit="1" customWidth="1"/>
    <col min="5640" max="5641" width="9.1640625" style="157" customWidth="1"/>
    <col min="5642" max="5642" width="11.1640625" style="157" bestFit="1" customWidth="1"/>
    <col min="5643" max="5643" width="14.44140625" style="157" bestFit="1" customWidth="1"/>
    <col min="5644" max="5644" width="8.1640625" style="157" customWidth="1"/>
    <col min="5645" max="5645" width="10.83203125" style="157" bestFit="1" customWidth="1"/>
    <col min="5646" max="5646" width="12.1640625" style="157" bestFit="1" customWidth="1"/>
    <col min="5647" max="5647" width="9.1640625" style="157" customWidth="1"/>
    <col min="5648" max="5648" width="10.83203125" style="157" bestFit="1" customWidth="1"/>
    <col min="5649" max="5649" width="12.1640625" style="157" bestFit="1" customWidth="1"/>
    <col min="5650" max="5650" width="8" style="157" customWidth="1"/>
    <col min="5651" max="5651" width="10.83203125" style="157" bestFit="1" customWidth="1"/>
    <col min="5652" max="5652" width="12.1640625" style="157" bestFit="1" customWidth="1"/>
    <col min="5653" max="5653" width="8.1640625" style="157" bestFit="1" customWidth="1"/>
    <col min="5654" max="5654" width="10.83203125" style="157" bestFit="1" customWidth="1"/>
    <col min="5655" max="5655" width="12.1640625" style="157" bestFit="1" customWidth="1"/>
    <col min="5656" max="5656" width="18.1640625" style="157" bestFit="1" customWidth="1"/>
    <col min="5657" max="5657" width="10.83203125" style="157" bestFit="1" customWidth="1"/>
    <col min="5658" max="5893" width="8.83203125" style="157"/>
    <col min="5894" max="5894" width="38.1640625" style="157" customWidth="1"/>
    <col min="5895" max="5895" width="23.44140625" style="157" bestFit="1" customWidth="1"/>
    <col min="5896" max="5897" width="9.1640625" style="157" customWidth="1"/>
    <col min="5898" max="5898" width="11.1640625" style="157" bestFit="1" customWidth="1"/>
    <col min="5899" max="5899" width="14.44140625" style="157" bestFit="1" customWidth="1"/>
    <col min="5900" max="5900" width="8.1640625" style="157" customWidth="1"/>
    <col min="5901" max="5901" width="10.83203125" style="157" bestFit="1" customWidth="1"/>
    <col min="5902" max="5902" width="12.1640625" style="157" bestFit="1" customWidth="1"/>
    <col min="5903" max="5903" width="9.1640625" style="157" customWidth="1"/>
    <col min="5904" max="5904" width="10.83203125" style="157" bestFit="1" customWidth="1"/>
    <col min="5905" max="5905" width="12.1640625" style="157" bestFit="1" customWidth="1"/>
    <col min="5906" max="5906" width="8" style="157" customWidth="1"/>
    <col min="5907" max="5907" width="10.83203125" style="157" bestFit="1" customWidth="1"/>
    <col min="5908" max="5908" width="12.1640625" style="157" bestFit="1" customWidth="1"/>
    <col min="5909" max="5909" width="8.1640625" style="157" bestFit="1" customWidth="1"/>
    <col min="5910" max="5910" width="10.83203125" style="157" bestFit="1" customWidth="1"/>
    <col min="5911" max="5911" width="12.1640625" style="157" bestFit="1" customWidth="1"/>
    <col min="5912" max="5912" width="18.1640625" style="157" bestFit="1" customWidth="1"/>
    <col min="5913" max="5913" width="10.83203125" style="157" bestFit="1" customWidth="1"/>
    <col min="5914" max="6149" width="8.83203125" style="157"/>
    <col min="6150" max="6150" width="38.1640625" style="157" customWidth="1"/>
    <col min="6151" max="6151" width="23.44140625" style="157" bestFit="1" customWidth="1"/>
    <col min="6152" max="6153" width="9.1640625" style="157" customWidth="1"/>
    <col min="6154" max="6154" width="11.1640625" style="157" bestFit="1" customWidth="1"/>
    <col min="6155" max="6155" width="14.44140625" style="157" bestFit="1" customWidth="1"/>
    <col min="6156" max="6156" width="8.1640625" style="157" customWidth="1"/>
    <col min="6157" max="6157" width="10.83203125" style="157" bestFit="1" customWidth="1"/>
    <col min="6158" max="6158" width="12.1640625" style="157" bestFit="1" customWidth="1"/>
    <col min="6159" max="6159" width="9.1640625" style="157" customWidth="1"/>
    <col min="6160" max="6160" width="10.83203125" style="157" bestFit="1" customWidth="1"/>
    <col min="6161" max="6161" width="12.1640625" style="157" bestFit="1" customWidth="1"/>
    <col min="6162" max="6162" width="8" style="157" customWidth="1"/>
    <col min="6163" max="6163" width="10.83203125" style="157" bestFit="1" customWidth="1"/>
    <col min="6164" max="6164" width="12.1640625" style="157" bestFit="1" customWidth="1"/>
    <col min="6165" max="6165" width="8.1640625" style="157" bestFit="1" customWidth="1"/>
    <col min="6166" max="6166" width="10.83203125" style="157" bestFit="1" customWidth="1"/>
    <col min="6167" max="6167" width="12.1640625" style="157" bestFit="1" customWidth="1"/>
    <col min="6168" max="6168" width="18.1640625" style="157" bestFit="1" customWidth="1"/>
    <col min="6169" max="6169" width="10.83203125" style="157" bestFit="1" customWidth="1"/>
    <col min="6170" max="6405" width="8.83203125" style="157"/>
    <col min="6406" max="6406" width="38.1640625" style="157" customWidth="1"/>
    <col min="6407" max="6407" width="23.44140625" style="157" bestFit="1" customWidth="1"/>
    <col min="6408" max="6409" width="9.1640625" style="157" customWidth="1"/>
    <col min="6410" max="6410" width="11.1640625" style="157" bestFit="1" customWidth="1"/>
    <col min="6411" max="6411" width="14.44140625" style="157" bestFit="1" customWidth="1"/>
    <col min="6412" max="6412" width="8.1640625" style="157" customWidth="1"/>
    <col min="6413" max="6413" width="10.83203125" style="157" bestFit="1" customWidth="1"/>
    <col min="6414" max="6414" width="12.1640625" style="157" bestFit="1" customWidth="1"/>
    <col min="6415" max="6415" width="9.1640625" style="157" customWidth="1"/>
    <col min="6416" max="6416" width="10.83203125" style="157" bestFit="1" customWidth="1"/>
    <col min="6417" max="6417" width="12.1640625" style="157" bestFit="1" customWidth="1"/>
    <col min="6418" max="6418" width="8" style="157" customWidth="1"/>
    <col min="6419" max="6419" width="10.83203125" style="157" bestFit="1" customWidth="1"/>
    <col min="6420" max="6420" width="12.1640625" style="157" bestFit="1" customWidth="1"/>
    <col min="6421" max="6421" width="8.1640625" style="157" bestFit="1" customWidth="1"/>
    <col min="6422" max="6422" width="10.83203125" style="157" bestFit="1" customWidth="1"/>
    <col min="6423" max="6423" width="12.1640625" style="157" bestFit="1" customWidth="1"/>
    <col min="6424" max="6424" width="18.1640625" style="157" bestFit="1" customWidth="1"/>
    <col min="6425" max="6425" width="10.83203125" style="157" bestFit="1" customWidth="1"/>
    <col min="6426" max="6661" width="8.83203125" style="157"/>
    <col min="6662" max="6662" width="38.1640625" style="157" customWidth="1"/>
    <col min="6663" max="6663" width="23.44140625" style="157" bestFit="1" customWidth="1"/>
    <col min="6664" max="6665" width="9.1640625" style="157" customWidth="1"/>
    <col min="6666" max="6666" width="11.1640625" style="157" bestFit="1" customWidth="1"/>
    <col min="6667" max="6667" width="14.44140625" style="157" bestFit="1" customWidth="1"/>
    <col min="6668" max="6668" width="8.1640625" style="157" customWidth="1"/>
    <col min="6669" max="6669" width="10.83203125" style="157" bestFit="1" customWidth="1"/>
    <col min="6670" max="6670" width="12.1640625" style="157" bestFit="1" customWidth="1"/>
    <col min="6671" max="6671" width="9.1640625" style="157" customWidth="1"/>
    <col min="6672" max="6672" width="10.83203125" style="157" bestFit="1" customWidth="1"/>
    <col min="6673" max="6673" width="12.1640625" style="157" bestFit="1" customWidth="1"/>
    <col min="6674" max="6674" width="8" style="157" customWidth="1"/>
    <col min="6675" max="6675" width="10.83203125" style="157" bestFit="1" customWidth="1"/>
    <col min="6676" max="6676" width="12.1640625" style="157" bestFit="1" customWidth="1"/>
    <col min="6677" max="6677" width="8.1640625" style="157" bestFit="1" customWidth="1"/>
    <col min="6678" max="6678" width="10.83203125" style="157" bestFit="1" customWidth="1"/>
    <col min="6679" max="6679" width="12.1640625" style="157" bestFit="1" customWidth="1"/>
    <col min="6680" max="6680" width="18.1640625" style="157" bestFit="1" customWidth="1"/>
    <col min="6681" max="6681" width="10.83203125" style="157" bestFit="1" customWidth="1"/>
    <col min="6682" max="6917" width="8.83203125" style="157"/>
    <col min="6918" max="6918" width="38.1640625" style="157" customWidth="1"/>
    <col min="6919" max="6919" width="23.44140625" style="157" bestFit="1" customWidth="1"/>
    <col min="6920" max="6921" width="9.1640625" style="157" customWidth="1"/>
    <col min="6922" max="6922" width="11.1640625" style="157" bestFit="1" customWidth="1"/>
    <col min="6923" max="6923" width="14.44140625" style="157" bestFit="1" customWidth="1"/>
    <col min="6924" max="6924" width="8.1640625" style="157" customWidth="1"/>
    <col min="6925" max="6925" width="10.83203125" style="157" bestFit="1" customWidth="1"/>
    <col min="6926" max="6926" width="12.1640625" style="157" bestFit="1" customWidth="1"/>
    <col min="6927" max="6927" width="9.1640625" style="157" customWidth="1"/>
    <col min="6928" max="6928" width="10.83203125" style="157" bestFit="1" customWidth="1"/>
    <col min="6929" max="6929" width="12.1640625" style="157" bestFit="1" customWidth="1"/>
    <col min="6930" max="6930" width="8" style="157" customWidth="1"/>
    <col min="6931" max="6931" width="10.83203125" style="157" bestFit="1" customWidth="1"/>
    <col min="6932" max="6932" width="12.1640625" style="157" bestFit="1" customWidth="1"/>
    <col min="6933" max="6933" width="8.1640625" style="157" bestFit="1" customWidth="1"/>
    <col min="6934" max="6934" width="10.83203125" style="157" bestFit="1" customWidth="1"/>
    <col min="6935" max="6935" width="12.1640625" style="157" bestFit="1" customWidth="1"/>
    <col min="6936" max="6936" width="18.1640625" style="157" bestFit="1" customWidth="1"/>
    <col min="6937" max="6937" width="10.83203125" style="157" bestFit="1" customWidth="1"/>
    <col min="6938" max="7173" width="8.83203125" style="157"/>
    <col min="7174" max="7174" width="38.1640625" style="157" customWidth="1"/>
    <col min="7175" max="7175" width="23.44140625" style="157" bestFit="1" customWidth="1"/>
    <col min="7176" max="7177" width="9.1640625" style="157" customWidth="1"/>
    <col min="7178" max="7178" width="11.1640625" style="157" bestFit="1" customWidth="1"/>
    <col min="7179" max="7179" width="14.44140625" style="157" bestFit="1" customWidth="1"/>
    <col min="7180" max="7180" width="8.1640625" style="157" customWidth="1"/>
    <col min="7181" max="7181" width="10.83203125" style="157" bestFit="1" customWidth="1"/>
    <col min="7182" max="7182" width="12.1640625" style="157" bestFit="1" customWidth="1"/>
    <col min="7183" max="7183" width="9.1640625" style="157" customWidth="1"/>
    <col min="7184" max="7184" width="10.83203125" style="157" bestFit="1" customWidth="1"/>
    <col min="7185" max="7185" width="12.1640625" style="157" bestFit="1" customWidth="1"/>
    <col min="7186" max="7186" width="8" style="157" customWidth="1"/>
    <col min="7187" max="7187" width="10.83203125" style="157" bestFit="1" customWidth="1"/>
    <col min="7188" max="7188" width="12.1640625" style="157" bestFit="1" customWidth="1"/>
    <col min="7189" max="7189" width="8.1640625" style="157" bestFit="1" customWidth="1"/>
    <col min="7190" max="7190" width="10.83203125" style="157" bestFit="1" customWidth="1"/>
    <col min="7191" max="7191" width="12.1640625" style="157" bestFit="1" customWidth="1"/>
    <col min="7192" max="7192" width="18.1640625" style="157" bestFit="1" customWidth="1"/>
    <col min="7193" max="7193" width="10.83203125" style="157" bestFit="1" customWidth="1"/>
    <col min="7194" max="7429" width="8.83203125" style="157"/>
    <col min="7430" max="7430" width="38.1640625" style="157" customWidth="1"/>
    <col min="7431" max="7431" width="23.44140625" style="157" bestFit="1" customWidth="1"/>
    <col min="7432" max="7433" width="9.1640625" style="157" customWidth="1"/>
    <col min="7434" max="7434" width="11.1640625" style="157" bestFit="1" customWidth="1"/>
    <col min="7435" max="7435" width="14.44140625" style="157" bestFit="1" customWidth="1"/>
    <col min="7436" max="7436" width="8.1640625" style="157" customWidth="1"/>
    <col min="7437" max="7437" width="10.83203125" style="157" bestFit="1" customWidth="1"/>
    <col min="7438" max="7438" width="12.1640625" style="157" bestFit="1" customWidth="1"/>
    <col min="7439" max="7439" width="9.1640625" style="157" customWidth="1"/>
    <col min="7440" max="7440" width="10.83203125" style="157" bestFit="1" customWidth="1"/>
    <col min="7441" max="7441" width="12.1640625" style="157" bestFit="1" customWidth="1"/>
    <col min="7442" max="7442" width="8" style="157" customWidth="1"/>
    <col min="7443" max="7443" width="10.83203125" style="157" bestFit="1" customWidth="1"/>
    <col min="7444" max="7444" width="12.1640625" style="157" bestFit="1" customWidth="1"/>
    <col min="7445" max="7445" width="8.1640625" style="157" bestFit="1" customWidth="1"/>
    <col min="7446" max="7446" width="10.83203125" style="157" bestFit="1" customWidth="1"/>
    <col min="7447" max="7447" width="12.1640625" style="157" bestFit="1" customWidth="1"/>
    <col min="7448" max="7448" width="18.1640625" style="157" bestFit="1" customWidth="1"/>
    <col min="7449" max="7449" width="10.83203125" style="157" bestFit="1" customWidth="1"/>
    <col min="7450" max="7685" width="8.83203125" style="157"/>
    <col min="7686" max="7686" width="38.1640625" style="157" customWidth="1"/>
    <col min="7687" max="7687" width="23.44140625" style="157" bestFit="1" customWidth="1"/>
    <col min="7688" max="7689" width="9.1640625" style="157" customWidth="1"/>
    <col min="7690" max="7690" width="11.1640625" style="157" bestFit="1" customWidth="1"/>
    <col min="7691" max="7691" width="14.44140625" style="157" bestFit="1" customWidth="1"/>
    <col min="7692" max="7692" width="8.1640625" style="157" customWidth="1"/>
    <col min="7693" max="7693" width="10.83203125" style="157" bestFit="1" customWidth="1"/>
    <col min="7694" max="7694" width="12.1640625" style="157" bestFit="1" customWidth="1"/>
    <col min="7695" max="7695" width="9.1640625" style="157" customWidth="1"/>
    <col min="7696" max="7696" width="10.83203125" style="157" bestFit="1" customWidth="1"/>
    <col min="7697" max="7697" width="12.1640625" style="157" bestFit="1" customWidth="1"/>
    <col min="7698" max="7698" width="8" style="157" customWidth="1"/>
    <col min="7699" max="7699" width="10.83203125" style="157" bestFit="1" customWidth="1"/>
    <col min="7700" max="7700" width="12.1640625" style="157" bestFit="1" customWidth="1"/>
    <col min="7701" max="7701" width="8.1640625" style="157" bestFit="1" customWidth="1"/>
    <col min="7702" max="7702" width="10.83203125" style="157" bestFit="1" customWidth="1"/>
    <col min="7703" max="7703" width="12.1640625" style="157" bestFit="1" customWidth="1"/>
    <col min="7704" max="7704" width="18.1640625" style="157" bestFit="1" customWidth="1"/>
    <col min="7705" max="7705" width="10.83203125" style="157" bestFit="1" customWidth="1"/>
    <col min="7706" max="7941" width="8.83203125" style="157"/>
    <col min="7942" max="7942" width="38.1640625" style="157" customWidth="1"/>
    <col min="7943" max="7943" width="23.44140625" style="157" bestFit="1" customWidth="1"/>
    <col min="7944" max="7945" width="9.1640625" style="157" customWidth="1"/>
    <col min="7946" max="7946" width="11.1640625" style="157" bestFit="1" customWidth="1"/>
    <col min="7947" max="7947" width="14.44140625" style="157" bestFit="1" customWidth="1"/>
    <col min="7948" max="7948" width="8.1640625" style="157" customWidth="1"/>
    <col min="7949" max="7949" width="10.83203125" style="157" bestFit="1" customWidth="1"/>
    <col min="7950" max="7950" width="12.1640625" style="157" bestFit="1" customWidth="1"/>
    <col min="7951" max="7951" width="9.1640625" style="157" customWidth="1"/>
    <col min="7952" max="7952" width="10.83203125" style="157" bestFit="1" customWidth="1"/>
    <col min="7953" max="7953" width="12.1640625" style="157" bestFit="1" customWidth="1"/>
    <col min="7954" max="7954" width="8" style="157" customWidth="1"/>
    <col min="7955" max="7955" width="10.83203125" style="157" bestFit="1" customWidth="1"/>
    <col min="7956" max="7956" width="12.1640625" style="157" bestFit="1" customWidth="1"/>
    <col min="7957" max="7957" width="8.1640625" style="157" bestFit="1" customWidth="1"/>
    <col min="7958" max="7958" width="10.83203125" style="157" bestFit="1" customWidth="1"/>
    <col min="7959" max="7959" width="12.1640625" style="157" bestFit="1" customWidth="1"/>
    <col min="7960" max="7960" width="18.1640625" style="157" bestFit="1" customWidth="1"/>
    <col min="7961" max="7961" width="10.83203125" style="157" bestFit="1" customWidth="1"/>
    <col min="7962" max="8197" width="8.83203125" style="157"/>
    <col min="8198" max="8198" width="38.1640625" style="157" customWidth="1"/>
    <col min="8199" max="8199" width="23.44140625" style="157" bestFit="1" customWidth="1"/>
    <col min="8200" max="8201" width="9.1640625" style="157" customWidth="1"/>
    <col min="8202" max="8202" width="11.1640625" style="157" bestFit="1" customWidth="1"/>
    <col min="8203" max="8203" width="14.44140625" style="157" bestFit="1" customWidth="1"/>
    <col min="8204" max="8204" width="8.1640625" style="157" customWidth="1"/>
    <col min="8205" max="8205" width="10.83203125" style="157" bestFit="1" customWidth="1"/>
    <col min="8206" max="8206" width="12.1640625" style="157" bestFit="1" customWidth="1"/>
    <col min="8207" max="8207" width="9.1640625" style="157" customWidth="1"/>
    <col min="8208" max="8208" width="10.83203125" style="157" bestFit="1" customWidth="1"/>
    <col min="8209" max="8209" width="12.1640625" style="157" bestFit="1" customWidth="1"/>
    <col min="8210" max="8210" width="8" style="157" customWidth="1"/>
    <col min="8211" max="8211" width="10.83203125" style="157" bestFit="1" customWidth="1"/>
    <col min="8212" max="8212" width="12.1640625" style="157" bestFit="1" customWidth="1"/>
    <col min="8213" max="8213" width="8.1640625" style="157" bestFit="1" customWidth="1"/>
    <col min="8214" max="8214" width="10.83203125" style="157" bestFit="1" customWidth="1"/>
    <col min="8215" max="8215" width="12.1640625" style="157" bestFit="1" customWidth="1"/>
    <col min="8216" max="8216" width="18.1640625" style="157" bestFit="1" customWidth="1"/>
    <col min="8217" max="8217" width="10.83203125" style="157" bestFit="1" customWidth="1"/>
    <col min="8218" max="8453" width="8.83203125" style="157"/>
    <col min="8454" max="8454" width="38.1640625" style="157" customWidth="1"/>
    <col min="8455" max="8455" width="23.44140625" style="157" bestFit="1" customWidth="1"/>
    <col min="8456" max="8457" width="9.1640625" style="157" customWidth="1"/>
    <col min="8458" max="8458" width="11.1640625" style="157" bestFit="1" customWidth="1"/>
    <col min="8459" max="8459" width="14.44140625" style="157" bestFit="1" customWidth="1"/>
    <col min="8460" max="8460" width="8.1640625" style="157" customWidth="1"/>
    <col min="8461" max="8461" width="10.83203125" style="157" bestFit="1" customWidth="1"/>
    <col min="8462" max="8462" width="12.1640625" style="157" bestFit="1" customWidth="1"/>
    <col min="8463" max="8463" width="9.1640625" style="157" customWidth="1"/>
    <col min="8464" max="8464" width="10.83203125" style="157" bestFit="1" customWidth="1"/>
    <col min="8465" max="8465" width="12.1640625" style="157" bestFit="1" customWidth="1"/>
    <col min="8466" max="8466" width="8" style="157" customWidth="1"/>
    <col min="8467" max="8467" width="10.83203125" style="157" bestFit="1" customWidth="1"/>
    <col min="8468" max="8468" width="12.1640625" style="157" bestFit="1" customWidth="1"/>
    <col min="8469" max="8469" width="8.1640625" style="157" bestFit="1" customWidth="1"/>
    <col min="8470" max="8470" width="10.83203125" style="157" bestFit="1" customWidth="1"/>
    <col min="8471" max="8471" width="12.1640625" style="157" bestFit="1" customWidth="1"/>
    <col min="8472" max="8472" width="18.1640625" style="157" bestFit="1" customWidth="1"/>
    <col min="8473" max="8473" width="10.83203125" style="157" bestFit="1" customWidth="1"/>
    <col min="8474" max="8709" width="8.83203125" style="157"/>
    <col min="8710" max="8710" width="38.1640625" style="157" customWidth="1"/>
    <col min="8711" max="8711" width="23.44140625" style="157" bestFit="1" customWidth="1"/>
    <col min="8712" max="8713" width="9.1640625" style="157" customWidth="1"/>
    <col min="8714" max="8714" width="11.1640625" style="157" bestFit="1" customWidth="1"/>
    <col min="8715" max="8715" width="14.44140625" style="157" bestFit="1" customWidth="1"/>
    <col min="8716" max="8716" width="8.1640625" style="157" customWidth="1"/>
    <col min="8717" max="8717" width="10.83203125" style="157" bestFit="1" customWidth="1"/>
    <col min="8718" max="8718" width="12.1640625" style="157" bestFit="1" customWidth="1"/>
    <col min="8719" max="8719" width="9.1640625" style="157" customWidth="1"/>
    <col min="8720" max="8720" width="10.83203125" style="157" bestFit="1" customWidth="1"/>
    <col min="8721" max="8721" width="12.1640625" style="157" bestFit="1" customWidth="1"/>
    <col min="8722" max="8722" width="8" style="157" customWidth="1"/>
    <col min="8723" max="8723" width="10.83203125" style="157" bestFit="1" customWidth="1"/>
    <col min="8724" max="8724" width="12.1640625" style="157" bestFit="1" customWidth="1"/>
    <col min="8725" max="8725" width="8.1640625" style="157" bestFit="1" customWidth="1"/>
    <col min="8726" max="8726" width="10.83203125" style="157" bestFit="1" customWidth="1"/>
    <col min="8727" max="8727" width="12.1640625" style="157" bestFit="1" customWidth="1"/>
    <col min="8728" max="8728" width="18.1640625" style="157" bestFit="1" customWidth="1"/>
    <col min="8729" max="8729" width="10.83203125" style="157" bestFit="1" customWidth="1"/>
    <col min="8730" max="8965" width="8.83203125" style="157"/>
    <col min="8966" max="8966" width="38.1640625" style="157" customWidth="1"/>
    <col min="8967" max="8967" width="23.44140625" style="157" bestFit="1" customWidth="1"/>
    <col min="8968" max="8969" width="9.1640625" style="157" customWidth="1"/>
    <col min="8970" max="8970" width="11.1640625" style="157" bestFit="1" customWidth="1"/>
    <col min="8971" max="8971" width="14.44140625" style="157" bestFit="1" customWidth="1"/>
    <col min="8972" max="8972" width="8.1640625" style="157" customWidth="1"/>
    <col min="8973" max="8973" width="10.83203125" style="157" bestFit="1" customWidth="1"/>
    <col min="8974" max="8974" width="12.1640625" style="157" bestFit="1" customWidth="1"/>
    <col min="8975" max="8975" width="9.1640625" style="157" customWidth="1"/>
    <col min="8976" max="8976" width="10.83203125" style="157" bestFit="1" customWidth="1"/>
    <col min="8977" max="8977" width="12.1640625" style="157" bestFit="1" customWidth="1"/>
    <col min="8978" max="8978" width="8" style="157" customWidth="1"/>
    <col min="8979" max="8979" width="10.83203125" style="157" bestFit="1" customWidth="1"/>
    <col min="8980" max="8980" width="12.1640625" style="157" bestFit="1" customWidth="1"/>
    <col min="8981" max="8981" width="8.1640625" style="157" bestFit="1" customWidth="1"/>
    <col min="8982" max="8982" width="10.83203125" style="157" bestFit="1" customWidth="1"/>
    <col min="8983" max="8983" width="12.1640625" style="157" bestFit="1" customWidth="1"/>
    <col min="8984" max="8984" width="18.1640625" style="157" bestFit="1" customWidth="1"/>
    <col min="8985" max="8985" width="10.83203125" style="157" bestFit="1" customWidth="1"/>
    <col min="8986" max="9221" width="8.83203125" style="157"/>
    <col min="9222" max="9222" width="38.1640625" style="157" customWidth="1"/>
    <col min="9223" max="9223" width="23.44140625" style="157" bestFit="1" customWidth="1"/>
    <col min="9224" max="9225" width="9.1640625" style="157" customWidth="1"/>
    <col min="9226" max="9226" width="11.1640625" style="157" bestFit="1" customWidth="1"/>
    <col min="9227" max="9227" width="14.44140625" style="157" bestFit="1" customWidth="1"/>
    <col min="9228" max="9228" width="8.1640625" style="157" customWidth="1"/>
    <col min="9229" max="9229" width="10.83203125" style="157" bestFit="1" customWidth="1"/>
    <col min="9230" max="9230" width="12.1640625" style="157" bestFit="1" customWidth="1"/>
    <col min="9231" max="9231" width="9.1640625" style="157" customWidth="1"/>
    <col min="9232" max="9232" width="10.83203125" style="157" bestFit="1" customWidth="1"/>
    <col min="9233" max="9233" width="12.1640625" style="157" bestFit="1" customWidth="1"/>
    <col min="9234" max="9234" width="8" style="157" customWidth="1"/>
    <col min="9235" max="9235" width="10.83203125" style="157" bestFit="1" customWidth="1"/>
    <col min="9236" max="9236" width="12.1640625" style="157" bestFit="1" customWidth="1"/>
    <col min="9237" max="9237" width="8.1640625" style="157" bestFit="1" customWidth="1"/>
    <col min="9238" max="9238" width="10.83203125" style="157" bestFit="1" customWidth="1"/>
    <col min="9239" max="9239" width="12.1640625" style="157" bestFit="1" customWidth="1"/>
    <col min="9240" max="9240" width="18.1640625" style="157" bestFit="1" customWidth="1"/>
    <col min="9241" max="9241" width="10.83203125" style="157" bestFit="1" customWidth="1"/>
    <col min="9242" max="9477" width="8.83203125" style="157"/>
    <col min="9478" max="9478" width="38.1640625" style="157" customWidth="1"/>
    <col min="9479" max="9479" width="23.44140625" style="157" bestFit="1" customWidth="1"/>
    <col min="9480" max="9481" width="9.1640625" style="157" customWidth="1"/>
    <col min="9482" max="9482" width="11.1640625" style="157" bestFit="1" customWidth="1"/>
    <col min="9483" max="9483" width="14.44140625" style="157" bestFit="1" customWidth="1"/>
    <col min="9484" max="9484" width="8.1640625" style="157" customWidth="1"/>
    <col min="9485" max="9485" width="10.83203125" style="157" bestFit="1" customWidth="1"/>
    <col min="9486" max="9486" width="12.1640625" style="157" bestFit="1" customWidth="1"/>
    <col min="9487" max="9487" width="9.1640625" style="157" customWidth="1"/>
    <col min="9488" max="9488" width="10.83203125" style="157" bestFit="1" customWidth="1"/>
    <col min="9489" max="9489" width="12.1640625" style="157" bestFit="1" customWidth="1"/>
    <col min="9490" max="9490" width="8" style="157" customWidth="1"/>
    <col min="9491" max="9491" width="10.83203125" style="157" bestFit="1" customWidth="1"/>
    <col min="9492" max="9492" width="12.1640625" style="157" bestFit="1" customWidth="1"/>
    <col min="9493" max="9493" width="8.1640625" style="157" bestFit="1" customWidth="1"/>
    <col min="9494" max="9494" width="10.83203125" style="157" bestFit="1" customWidth="1"/>
    <col min="9495" max="9495" width="12.1640625" style="157" bestFit="1" customWidth="1"/>
    <col min="9496" max="9496" width="18.1640625" style="157" bestFit="1" customWidth="1"/>
    <col min="9497" max="9497" width="10.83203125" style="157" bestFit="1" customWidth="1"/>
    <col min="9498" max="9733" width="8.83203125" style="157"/>
    <col min="9734" max="9734" width="38.1640625" style="157" customWidth="1"/>
    <col min="9735" max="9735" width="23.44140625" style="157" bestFit="1" customWidth="1"/>
    <col min="9736" max="9737" width="9.1640625" style="157" customWidth="1"/>
    <col min="9738" max="9738" width="11.1640625" style="157" bestFit="1" customWidth="1"/>
    <col min="9739" max="9739" width="14.44140625" style="157" bestFit="1" customWidth="1"/>
    <col min="9740" max="9740" width="8.1640625" style="157" customWidth="1"/>
    <col min="9741" max="9741" width="10.83203125" style="157" bestFit="1" customWidth="1"/>
    <col min="9742" max="9742" width="12.1640625" style="157" bestFit="1" customWidth="1"/>
    <col min="9743" max="9743" width="9.1640625" style="157" customWidth="1"/>
    <col min="9744" max="9744" width="10.83203125" style="157" bestFit="1" customWidth="1"/>
    <col min="9745" max="9745" width="12.1640625" style="157" bestFit="1" customWidth="1"/>
    <col min="9746" max="9746" width="8" style="157" customWidth="1"/>
    <col min="9747" max="9747" width="10.83203125" style="157" bestFit="1" customWidth="1"/>
    <col min="9748" max="9748" width="12.1640625" style="157" bestFit="1" customWidth="1"/>
    <col min="9749" max="9749" width="8.1640625" style="157" bestFit="1" customWidth="1"/>
    <col min="9750" max="9750" width="10.83203125" style="157" bestFit="1" customWidth="1"/>
    <col min="9751" max="9751" width="12.1640625" style="157" bestFit="1" customWidth="1"/>
    <col min="9752" max="9752" width="18.1640625" style="157" bestFit="1" customWidth="1"/>
    <col min="9753" max="9753" width="10.83203125" style="157" bestFit="1" customWidth="1"/>
    <col min="9754" max="9989" width="8.83203125" style="157"/>
    <col min="9990" max="9990" width="38.1640625" style="157" customWidth="1"/>
    <col min="9991" max="9991" width="23.44140625" style="157" bestFit="1" customWidth="1"/>
    <col min="9992" max="9993" width="9.1640625" style="157" customWidth="1"/>
    <col min="9994" max="9994" width="11.1640625" style="157" bestFit="1" customWidth="1"/>
    <col min="9995" max="9995" width="14.44140625" style="157" bestFit="1" customWidth="1"/>
    <col min="9996" max="9996" width="8.1640625" style="157" customWidth="1"/>
    <col min="9997" max="9997" width="10.83203125" style="157" bestFit="1" customWidth="1"/>
    <col min="9998" max="9998" width="12.1640625" style="157" bestFit="1" customWidth="1"/>
    <col min="9999" max="9999" width="9.1640625" style="157" customWidth="1"/>
    <col min="10000" max="10000" width="10.83203125" style="157" bestFit="1" customWidth="1"/>
    <col min="10001" max="10001" width="12.1640625" style="157" bestFit="1" customWidth="1"/>
    <col min="10002" max="10002" width="8" style="157" customWidth="1"/>
    <col min="10003" max="10003" width="10.83203125" style="157" bestFit="1" customWidth="1"/>
    <col min="10004" max="10004" width="12.1640625" style="157" bestFit="1" customWidth="1"/>
    <col min="10005" max="10005" width="8.1640625" style="157" bestFit="1" customWidth="1"/>
    <col min="10006" max="10006" width="10.83203125" style="157" bestFit="1" customWidth="1"/>
    <col min="10007" max="10007" width="12.1640625" style="157" bestFit="1" customWidth="1"/>
    <col min="10008" max="10008" width="18.1640625" style="157" bestFit="1" customWidth="1"/>
    <col min="10009" max="10009" width="10.83203125" style="157" bestFit="1" customWidth="1"/>
    <col min="10010" max="10245" width="8.83203125" style="157"/>
    <col min="10246" max="10246" width="38.1640625" style="157" customWidth="1"/>
    <col min="10247" max="10247" width="23.44140625" style="157" bestFit="1" customWidth="1"/>
    <col min="10248" max="10249" width="9.1640625" style="157" customWidth="1"/>
    <col min="10250" max="10250" width="11.1640625" style="157" bestFit="1" customWidth="1"/>
    <col min="10251" max="10251" width="14.44140625" style="157" bestFit="1" customWidth="1"/>
    <col min="10252" max="10252" width="8.1640625" style="157" customWidth="1"/>
    <col min="10253" max="10253" width="10.83203125" style="157" bestFit="1" customWidth="1"/>
    <col min="10254" max="10254" width="12.1640625" style="157" bestFit="1" customWidth="1"/>
    <col min="10255" max="10255" width="9.1640625" style="157" customWidth="1"/>
    <col min="10256" max="10256" width="10.83203125" style="157" bestFit="1" customWidth="1"/>
    <col min="10257" max="10257" width="12.1640625" style="157" bestFit="1" customWidth="1"/>
    <col min="10258" max="10258" width="8" style="157" customWidth="1"/>
    <col min="10259" max="10259" width="10.83203125" style="157" bestFit="1" customWidth="1"/>
    <col min="10260" max="10260" width="12.1640625" style="157" bestFit="1" customWidth="1"/>
    <col min="10261" max="10261" width="8.1640625" style="157" bestFit="1" customWidth="1"/>
    <col min="10262" max="10262" width="10.83203125" style="157" bestFit="1" customWidth="1"/>
    <col min="10263" max="10263" width="12.1640625" style="157" bestFit="1" customWidth="1"/>
    <col min="10264" max="10264" width="18.1640625" style="157" bestFit="1" customWidth="1"/>
    <col min="10265" max="10265" width="10.83203125" style="157" bestFit="1" customWidth="1"/>
    <col min="10266" max="10501" width="8.83203125" style="157"/>
    <col min="10502" max="10502" width="38.1640625" style="157" customWidth="1"/>
    <col min="10503" max="10503" width="23.44140625" style="157" bestFit="1" customWidth="1"/>
    <col min="10504" max="10505" width="9.1640625" style="157" customWidth="1"/>
    <col min="10506" max="10506" width="11.1640625" style="157" bestFit="1" customWidth="1"/>
    <col min="10507" max="10507" width="14.44140625" style="157" bestFit="1" customWidth="1"/>
    <col min="10508" max="10508" width="8.1640625" style="157" customWidth="1"/>
    <col min="10509" max="10509" width="10.83203125" style="157" bestFit="1" customWidth="1"/>
    <col min="10510" max="10510" width="12.1640625" style="157" bestFit="1" customWidth="1"/>
    <col min="10511" max="10511" width="9.1640625" style="157" customWidth="1"/>
    <col min="10512" max="10512" width="10.83203125" style="157" bestFit="1" customWidth="1"/>
    <col min="10513" max="10513" width="12.1640625" style="157" bestFit="1" customWidth="1"/>
    <col min="10514" max="10514" width="8" style="157" customWidth="1"/>
    <col min="10515" max="10515" width="10.83203125" style="157" bestFit="1" customWidth="1"/>
    <col min="10516" max="10516" width="12.1640625" style="157" bestFit="1" customWidth="1"/>
    <col min="10517" max="10517" width="8.1640625" style="157" bestFit="1" customWidth="1"/>
    <col min="10518" max="10518" width="10.83203125" style="157" bestFit="1" customWidth="1"/>
    <col min="10519" max="10519" width="12.1640625" style="157" bestFit="1" customWidth="1"/>
    <col min="10520" max="10520" width="18.1640625" style="157" bestFit="1" customWidth="1"/>
    <col min="10521" max="10521" width="10.83203125" style="157" bestFit="1" customWidth="1"/>
    <col min="10522" max="10757" width="8.83203125" style="157"/>
    <col min="10758" max="10758" width="38.1640625" style="157" customWidth="1"/>
    <col min="10759" max="10759" width="23.44140625" style="157" bestFit="1" customWidth="1"/>
    <col min="10760" max="10761" width="9.1640625" style="157" customWidth="1"/>
    <col min="10762" max="10762" width="11.1640625" style="157" bestFit="1" customWidth="1"/>
    <col min="10763" max="10763" width="14.44140625" style="157" bestFit="1" customWidth="1"/>
    <col min="10764" max="10764" width="8.1640625" style="157" customWidth="1"/>
    <col min="10765" max="10765" width="10.83203125" style="157" bestFit="1" customWidth="1"/>
    <col min="10766" max="10766" width="12.1640625" style="157" bestFit="1" customWidth="1"/>
    <col min="10767" max="10767" width="9.1640625" style="157" customWidth="1"/>
    <col min="10768" max="10768" width="10.83203125" style="157" bestFit="1" customWidth="1"/>
    <col min="10769" max="10769" width="12.1640625" style="157" bestFit="1" customWidth="1"/>
    <col min="10770" max="10770" width="8" style="157" customWidth="1"/>
    <col min="10771" max="10771" width="10.83203125" style="157" bestFit="1" customWidth="1"/>
    <col min="10772" max="10772" width="12.1640625" style="157" bestFit="1" customWidth="1"/>
    <col min="10773" max="10773" width="8.1640625" style="157" bestFit="1" customWidth="1"/>
    <col min="10774" max="10774" width="10.83203125" style="157" bestFit="1" customWidth="1"/>
    <col min="10775" max="10775" width="12.1640625" style="157" bestFit="1" customWidth="1"/>
    <col min="10776" max="10776" width="18.1640625" style="157" bestFit="1" customWidth="1"/>
    <col min="10777" max="10777" width="10.83203125" style="157" bestFit="1" customWidth="1"/>
    <col min="10778" max="11013" width="8.83203125" style="157"/>
    <col min="11014" max="11014" width="38.1640625" style="157" customWidth="1"/>
    <col min="11015" max="11015" width="23.44140625" style="157" bestFit="1" customWidth="1"/>
    <col min="11016" max="11017" width="9.1640625" style="157" customWidth="1"/>
    <col min="11018" max="11018" width="11.1640625" style="157" bestFit="1" customWidth="1"/>
    <col min="11019" max="11019" width="14.44140625" style="157" bestFit="1" customWidth="1"/>
    <col min="11020" max="11020" width="8.1640625" style="157" customWidth="1"/>
    <col min="11021" max="11021" width="10.83203125" style="157" bestFit="1" customWidth="1"/>
    <col min="11022" max="11022" width="12.1640625" style="157" bestFit="1" customWidth="1"/>
    <col min="11023" max="11023" width="9.1640625" style="157" customWidth="1"/>
    <col min="11024" max="11024" width="10.83203125" style="157" bestFit="1" customWidth="1"/>
    <col min="11025" max="11025" width="12.1640625" style="157" bestFit="1" customWidth="1"/>
    <col min="11026" max="11026" width="8" style="157" customWidth="1"/>
    <col min="11027" max="11027" width="10.83203125" style="157" bestFit="1" customWidth="1"/>
    <col min="11028" max="11028" width="12.1640625" style="157" bestFit="1" customWidth="1"/>
    <col min="11029" max="11029" width="8.1640625" style="157" bestFit="1" customWidth="1"/>
    <col min="11030" max="11030" width="10.83203125" style="157" bestFit="1" customWidth="1"/>
    <col min="11031" max="11031" width="12.1640625" style="157" bestFit="1" customWidth="1"/>
    <col min="11032" max="11032" width="18.1640625" style="157" bestFit="1" customWidth="1"/>
    <col min="11033" max="11033" width="10.83203125" style="157" bestFit="1" customWidth="1"/>
    <col min="11034" max="11269" width="8.83203125" style="157"/>
    <col min="11270" max="11270" width="38.1640625" style="157" customWidth="1"/>
    <col min="11271" max="11271" width="23.44140625" style="157" bestFit="1" customWidth="1"/>
    <col min="11272" max="11273" width="9.1640625" style="157" customWidth="1"/>
    <col min="11274" max="11274" width="11.1640625" style="157" bestFit="1" customWidth="1"/>
    <col min="11275" max="11275" width="14.44140625" style="157" bestFit="1" customWidth="1"/>
    <col min="11276" max="11276" width="8.1640625" style="157" customWidth="1"/>
    <col min="11277" max="11277" width="10.83203125" style="157" bestFit="1" customWidth="1"/>
    <col min="11278" max="11278" width="12.1640625" style="157" bestFit="1" customWidth="1"/>
    <col min="11279" max="11279" width="9.1640625" style="157" customWidth="1"/>
    <col min="11280" max="11280" width="10.83203125" style="157" bestFit="1" customWidth="1"/>
    <col min="11281" max="11281" width="12.1640625" style="157" bestFit="1" customWidth="1"/>
    <col min="11282" max="11282" width="8" style="157" customWidth="1"/>
    <col min="11283" max="11283" width="10.83203125" style="157" bestFit="1" customWidth="1"/>
    <col min="11284" max="11284" width="12.1640625" style="157" bestFit="1" customWidth="1"/>
    <col min="11285" max="11285" width="8.1640625" style="157" bestFit="1" customWidth="1"/>
    <col min="11286" max="11286" width="10.83203125" style="157" bestFit="1" customWidth="1"/>
    <col min="11287" max="11287" width="12.1640625" style="157" bestFit="1" customWidth="1"/>
    <col min="11288" max="11288" width="18.1640625" style="157" bestFit="1" customWidth="1"/>
    <col min="11289" max="11289" width="10.83203125" style="157" bestFit="1" customWidth="1"/>
    <col min="11290" max="11525" width="8.83203125" style="157"/>
    <col min="11526" max="11526" width="38.1640625" style="157" customWidth="1"/>
    <col min="11527" max="11527" width="23.44140625" style="157" bestFit="1" customWidth="1"/>
    <col min="11528" max="11529" width="9.1640625" style="157" customWidth="1"/>
    <col min="11530" max="11530" width="11.1640625" style="157" bestFit="1" customWidth="1"/>
    <col min="11531" max="11531" width="14.44140625" style="157" bestFit="1" customWidth="1"/>
    <col min="11532" max="11532" width="8.1640625" style="157" customWidth="1"/>
    <col min="11533" max="11533" width="10.83203125" style="157" bestFit="1" customWidth="1"/>
    <col min="11534" max="11534" width="12.1640625" style="157" bestFit="1" customWidth="1"/>
    <col min="11535" max="11535" width="9.1640625" style="157" customWidth="1"/>
    <col min="11536" max="11536" width="10.83203125" style="157" bestFit="1" customWidth="1"/>
    <col min="11537" max="11537" width="12.1640625" style="157" bestFit="1" customWidth="1"/>
    <col min="11538" max="11538" width="8" style="157" customWidth="1"/>
    <col min="11539" max="11539" width="10.83203125" style="157" bestFit="1" customWidth="1"/>
    <col min="11540" max="11540" width="12.1640625" style="157" bestFit="1" customWidth="1"/>
    <col min="11541" max="11541" width="8.1640625" style="157" bestFit="1" customWidth="1"/>
    <col min="11542" max="11542" width="10.83203125" style="157" bestFit="1" customWidth="1"/>
    <col min="11543" max="11543" width="12.1640625" style="157" bestFit="1" customWidth="1"/>
    <col min="11544" max="11544" width="18.1640625" style="157" bestFit="1" customWidth="1"/>
    <col min="11545" max="11545" width="10.83203125" style="157" bestFit="1" customWidth="1"/>
    <col min="11546" max="11781" width="8.83203125" style="157"/>
    <col min="11782" max="11782" width="38.1640625" style="157" customWidth="1"/>
    <col min="11783" max="11783" width="23.44140625" style="157" bestFit="1" customWidth="1"/>
    <col min="11784" max="11785" width="9.1640625" style="157" customWidth="1"/>
    <col min="11786" max="11786" width="11.1640625" style="157" bestFit="1" customWidth="1"/>
    <col min="11787" max="11787" width="14.44140625" style="157" bestFit="1" customWidth="1"/>
    <col min="11788" max="11788" width="8.1640625" style="157" customWidth="1"/>
    <col min="11789" max="11789" width="10.83203125" style="157" bestFit="1" customWidth="1"/>
    <col min="11790" max="11790" width="12.1640625" style="157" bestFit="1" customWidth="1"/>
    <col min="11791" max="11791" width="9.1640625" style="157" customWidth="1"/>
    <col min="11792" max="11792" width="10.83203125" style="157" bestFit="1" customWidth="1"/>
    <col min="11793" max="11793" width="12.1640625" style="157" bestFit="1" customWidth="1"/>
    <col min="11794" max="11794" width="8" style="157" customWidth="1"/>
    <col min="11795" max="11795" width="10.83203125" style="157" bestFit="1" customWidth="1"/>
    <col min="11796" max="11796" width="12.1640625" style="157" bestFit="1" customWidth="1"/>
    <col min="11797" max="11797" width="8.1640625" style="157" bestFit="1" customWidth="1"/>
    <col min="11798" max="11798" width="10.83203125" style="157" bestFit="1" customWidth="1"/>
    <col min="11799" max="11799" width="12.1640625" style="157" bestFit="1" customWidth="1"/>
    <col min="11800" max="11800" width="18.1640625" style="157" bestFit="1" customWidth="1"/>
    <col min="11801" max="11801" width="10.83203125" style="157" bestFit="1" customWidth="1"/>
    <col min="11802" max="12037" width="8.83203125" style="157"/>
    <col min="12038" max="12038" width="38.1640625" style="157" customWidth="1"/>
    <col min="12039" max="12039" width="23.44140625" style="157" bestFit="1" customWidth="1"/>
    <col min="12040" max="12041" width="9.1640625" style="157" customWidth="1"/>
    <col min="12042" max="12042" width="11.1640625" style="157" bestFit="1" customWidth="1"/>
    <col min="12043" max="12043" width="14.44140625" style="157" bestFit="1" customWidth="1"/>
    <col min="12044" max="12044" width="8.1640625" style="157" customWidth="1"/>
    <col min="12045" max="12045" width="10.83203125" style="157" bestFit="1" customWidth="1"/>
    <col min="12046" max="12046" width="12.1640625" style="157" bestFit="1" customWidth="1"/>
    <col min="12047" max="12047" width="9.1640625" style="157" customWidth="1"/>
    <col min="12048" max="12048" width="10.83203125" style="157" bestFit="1" customWidth="1"/>
    <col min="12049" max="12049" width="12.1640625" style="157" bestFit="1" customWidth="1"/>
    <col min="12050" max="12050" width="8" style="157" customWidth="1"/>
    <col min="12051" max="12051" width="10.83203125" style="157" bestFit="1" customWidth="1"/>
    <col min="12052" max="12052" width="12.1640625" style="157" bestFit="1" customWidth="1"/>
    <col min="12053" max="12053" width="8.1640625" style="157" bestFit="1" customWidth="1"/>
    <col min="12054" max="12054" width="10.83203125" style="157" bestFit="1" customWidth="1"/>
    <col min="12055" max="12055" width="12.1640625" style="157" bestFit="1" customWidth="1"/>
    <col min="12056" max="12056" width="18.1640625" style="157" bestFit="1" customWidth="1"/>
    <col min="12057" max="12057" width="10.83203125" style="157" bestFit="1" customWidth="1"/>
    <col min="12058" max="12293" width="8.83203125" style="157"/>
    <col min="12294" max="12294" width="38.1640625" style="157" customWidth="1"/>
    <col min="12295" max="12295" width="23.44140625" style="157" bestFit="1" customWidth="1"/>
    <col min="12296" max="12297" width="9.1640625" style="157" customWidth="1"/>
    <col min="12298" max="12298" width="11.1640625" style="157" bestFit="1" customWidth="1"/>
    <col min="12299" max="12299" width="14.44140625" style="157" bestFit="1" customWidth="1"/>
    <col min="12300" max="12300" width="8.1640625" style="157" customWidth="1"/>
    <col min="12301" max="12301" width="10.83203125" style="157" bestFit="1" customWidth="1"/>
    <col min="12302" max="12302" width="12.1640625" style="157" bestFit="1" customWidth="1"/>
    <col min="12303" max="12303" width="9.1640625" style="157" customWidth="1"/>
    <col min="12304" max="12304" width="10.83203125" style="157" bestFit="1" customWidth="1"/>
    <col min="12305" max="12305" width="12.1640625" style="157" bestFit="1" customWidth="1"/>
    <col min="12306" max="12306" width="8" style="157" customWidth="1"/>
    <col min="12307" max="12307" width="10.83203125" style="157" bestFit="1" customWidth="1"/>
    <col min="12308" max="12308" width="12.1640625" style="157" bestFit="1" customWidth="1"/>
    <col min="12309" max="12309" width="8.1640625" style="157" bestFit="1" customWidth="1"/>
    <col min="12310" max="12310" width="10.83203125" style="157" bestFit="1" customWidth="1"/>
    <col min="12311" max="12311" width="12.1640625" style="157" bestFit="1" customWidth="1"/>
    <col min="12312" max="12312" width="18.1640625" style="157" bestFit="1" customWidth="1"/>
    <col min="12313" max="12313" width="10.83203125" style="157" bestFit="1" customWidth="1"/>
    <col min="12314" max="12549" width="8.83203125" style="157"/>
    <col min="12550" max="12550" width="38.1640625" style="157" customWidth="1"/>
    <col min="12551" max="12551" width="23.44140625" style="157" bestFit="1" customWidth="1"/>
    <col min="12552" max="12553" width="9.1640625" style="157" customWidth="1"/>
    <col min="12554" max="12554" width="11.1640625" style="157" bestFit="1" customWidth="1"/>
    <col min="12555" max="12555" width="14.44140625" style="157" bestFit="1" customWidth="1"/>
    <col min="12556" max="12556" width="8.1640625" style="157" customWidth="1"/>
    <col min="12557" max="12557" width="10.83203125" style="157" bestFit="1" customWidth="1"/>
    <col min="12558" max="12558" width="12.1640625" style="157" bestFit="1" customWidth="1"/>
    <col min="12559" max="12559" width="9.1640625" style="157" customWidth="1"/>
    <col min="12560" max="12560" width="10.83203125" style="157" bestFit="1" customWidth="1"/>
    <col min="12561" max="12561" width="12.1640625" style="157" bestFit="1" customWidth="1"/>
    <col min="12562" max="12562" width="8" style="157" customWidth="1"/>
    <col min="12563" max="12563" width="10.83203125" style="157" bestFit="1" customWidth="1"/>
    <col min="12564" max="12564" width="12.1640625" style="157" bestFit="1" customWidth="1"/>
    <col min="12565" max="12565" width="8.1640625" style="157" bestFit="1" customWidth="1"/>
    <col min="12566" max="12566" width="10.83203125" style="157" bestFit="1" customWidth="1"/>
    <col min="12567" max="12567" width="12.1640625" style="157" bestFit="1" customWidth="1"/>
    <col min="12568" max="12568" width="18.1640625" style="157" bestFit="1" customWidth="1"/>
    <col min="12569" max="12569" width="10.83203125" style="157" bestFit="1" customWidth="1"/>
    <col min="12570" max="12805" width="8.83203125" style="157"/>
    <col min="12806" max="12806" width="38.1640625" style="157" customWidth="1"/>
    <col min="12807" max="12807" width="23.44140625" style="157" bestFit="1" customWidth="1"/>
    <col min="12808" max="12809" width="9.1640625" style="157" customWidth="1"/>
    <col min="12810" max="12810" width="11.1640625" style="157" bestFit="1" customWidth="1"/>
    <col min="12811" max="12811" width="14.44140625" style="157" bestFit="1" customWidth="1"/>
    <col min="12812" max="12812" width="8.1640625" style="157" customWidth="1"/>
    <col min="12813" max="12813" width="10.83203125" style="157" bestFit="1" customWidth="1"/>
    <col min="12814" max="12814" width="12.1640625" style="157" bestFit="1" customWidth="1"/>
    <col min="12815" max="12815" width="9.1640625" style="157" customWidth="1"/>
    <col min="12816" max="12816" width="10.83203125" style="157" bestFit="1" customWidth="1"/>
    <col min="12817" max="12817" width="12.1640625" style="157" bestFit="1" customWidth="1"/>
    <col min="12818" max="12818" width="8" style="157" customWidth="1"/>
    <col min="12819" max="12819" width="10.83203125" style="157" bestFit="1" customWidth="1"/>
    <col min="12820" max="12820" width="12.1640625" style="157" bestFit="1" customWidth="1"/>
    <col min="12821" max="12821" width="8.1640625" style="157" bestFit="1" customWidth="1"/>
    <col min="12822" max="12822" width="10.83203125" style="157" bestFit="1" customWidth="1"/>
    <col min="12823" max="12823" width="12.1640625" style="157" bestFit="1" customWidth="1"/>
    <col min="12824" max="12824" width="18.1640625" style="157" bestFit="1" customWidth="1"/>
    <col min="12825" max="12825" width="10.83203125" style="157" bestFit="1" customWidth="1"/>
    <col min="12826" max="13061" width="8.83203125" style="157"/>
    <col min="13062" max="13062" width="38.1640625" style="157" customWidth="1"/>
    <col min="13063" max="13063" width="23.44140625" style="157" bestFit="1" customWidth="1"/>
    <col min="13064" max="13065" width="9.1640625" style="157" customWidth="1"/>
    <col min="13066" max="13066" width="11.1640625" style="157" bestFit="1" customWidth="1"/>
    <col min="13067" max="13067" width="14.44140625" style="157" bestFit="1" customWidth="1"/>
    <col min="13068" max="13068" width="8.1640625" style="157" customWidth="1"/>
    <col min="13069" max="13069" width="10.83203125" style="157" bestFit="1" customWidth="1"/>
    <col min="13070" max="13070" width="12.1640625" style="157" bestFit="1" customWidth="1"/>
    <col min="13071" max="13071" width="9.1640625" style="157" customWidth="1"/>
    <col min="13072" max="13072" width="10.83203125" style="157" bestFit="1" customWidth="1"/>
    <col min="13073" max="13073" width="12.1640625" style="157" bestFit="1" customWidth="1"/>
    <col min="13074" max="13074" width="8" style="157" customWidth="1"/>
    <col min="13075" max="13075" width="10.83203125" style="157" bestFit="1" customWidth="1"/>
    <col min="13076" max="13076" width="12.1640625" style="157" bestFit="1" customWidth="1"/>
    <col min="13077" max="13077" width="8.1640625" style="157" bestFit="1" customWidth="1"/>
    <col min="13078" max="13078" width="10.83203125" style="157" bestFit="1" customWidth="1"/>
    <col min="13079" max="13079" width="12.1640625" style="157" bestFit="1" customWidth="1"/>
    <col min="13080" max="13080" width="18.1640625" style="157" bestFit="1" customWidth="1"/>
    <col min="13081" max="13081" width="10.83203125" style="157" bestFit="1" customWidth="1"/>
    <col min="13082" max="13317" width="8.83203125" style="157"/>
    <col min="13318" max="13318" width="38.1640625" style="157" customWidth="1"/>
    <col min="13319" max="13319" width="23.44140625" style="157" bestFit="1" customWidth="1"/>
    <col min="13320" max="13321" width="9.1640625" style="157" customWidth="1"/>
    <col min="13322" max="13322" width="11.1640625" style="157" bestFit="1" customWidth="1"/>
    <col min="13323" max="13323" width="14.44140625" style="157" bestFit="1" customWidth="1"/>
    <col min="13324" max="13324" width="8.1640625" style="157" customWidth="1"/>
    <col min="13325" max="13325" width="10.83203125" style="157" bestFit="1" customWidth="1"/>
    <col min="13326" max="13326" width="12.1640625" style="157" bestFit="1" customWidth="1"/>
    <col min="13327" max="13327" width="9.1640625" style="157" customWidth="1"/>
    <col min="13328" max="13328" width="10.83203125" style="157" bestFit="1" customWidth="1"/>
    <col min="13329" max="13329" width="12.1640625" style="157" bestFit="1" customWidth="1"/>
    <col min="13330" max="13330" width="8" style="157" customWidth="1"/>
    <col min="13331" max="13331" width="10.83203125" style="157" bestFit="1" customWidth="1"/>
    <col min="13332" max="13332" width="12.1640625" style="157" bestFit="1" customWidth="1"/>
    <col min="13333" max="13333" width="8.1640625" style="157" bestFit="1" customWidth="1"/>
    <col min="13334" max="13334" width="10.83203125" style="157" bestFit="1" customWidth="1"/>
    <col min="13335" max="13335" width="12.1640625" style="157" bestFit="1" customWidth="1"/>
    <col min="13336" max="13336" width="18.1640625" style="157" bestFit="1" customWidth="1"/>
    <col min="13337" max="13337" width="10.83203125" style="157" bestFit="1" customWidth="1"/>
    <col min="13338" max="13573" width="8.83203125" style="157"/>
    <col min="13574" max="13574" width="38.1640625" style="157" customWidth="1"/>
    <col min="13575" max="13575" width="23.44140625" style="157" bestFit="1" customWidth="1"/>
    <col min="13576" max="13577" width="9.1640625" style="157" customWidth="1"/>
    <col min="13578" max="13578" width="11.1640625" style="157" bestFit="1" customWidth="1"/>
    <col min="13579" max="13579" width="14.44140625" style="157" bestFit="1" customWidth="1"/>
    <col min="13580" max="13580" width="8.1640625" style="157" customWidth="1"/>
    <col min="13581" max="13581" width="10.83203125" style="157" bestFit="1" customWidth="1"/>
    <col min="13582" max="13582" width="12.1640625" style="157" bestFit="1" customWidth="1"/>
    <col min="13583" max="13583" width="9.1640625" style="157" customWidth="1"/>
    <col min="13584" max="13584" width="10.83203125" style="157" bestFit="1" customWidth="1"/>
    <col min="13585" max="13585" width="12.1640625" style="157" bestFit="1" customWidth="1"/>
    <col min="13586" max="13586" width="8" style="157" customWidth="1"/>
    <col min="13587" max="13587" width="10.83203125" style="157" bestFit="1" customWidth="1"/>
    <col min="13588" max="13588" width="12.1640625" style="157" bestFit="1" customWidth="1"/>
    <col min="13589" max="13589" width="8.1640625" style="157" bestFit="1" customWidth="1"/>
    <col min="13590" max="13590" width="10.83203125" style="157" bestFit="1" customWidth="1"/>
    <col min="13591" max="13591" width="12.1640625" style="157" bestFit="1" customWidth="1"/>
    <col min="13592" max="13592" width="18.1640625" style="157" bestFit="1" customWidth="1"/>
    <col min="13593" max="13593" width="10.83203125" style="157" bestFit="1" customWidth="1"/>
    <col min="13594" max="13829" width="8.83203125" style="157"/>
    <col min="13830" max="13830" width="38.1640625" style="157" customWidth="1"/>
    <col min="13831" max="13831" width="23.44140625" style="157" bestFit="1" customWidth="1"/>
    <col min="13832" max="13833" width="9.1640625" style="157" customWidth="1"/>
    <col min="13834" max="13834" width="11.1640625" style="157" bestFit="1" customWidth="1"/>
    <col min="13835" max="13835" width="14.44140625" style="157" bestFit="1" customWidth="1"/>
    <col min="13836" max="13836" width="8.1640625" style="157" customWidth="1"/>
    <col min="13837" max="13837" width="10.83203125" style="157" bestFit="1" customWidth="1"/>
    <col min="13838" max="13838" width="12.1640625" style="157" bestFit="1" customWidth="1"/>
    <col min="13839" max="13839" width="9.1640625" style="157" customWidth="1"/>
    <col min="13840" max="13840" width="10.83203125" style="157" bestFit="1" customWidth="1"/>
    <col min="13841" max="13841" width="12.1640625" style="157" bestFit="1" customWidth="1"/>
    <col min="13842" max="13842" width="8" style="157" customWidth="1"/>
    <col min="13843" max="13843" width="10.83203125" style="157" bestFit="1" customWidth="1"/>
    <col min="13844" max="13844" width="12.1640625" style="157" bestFit="1" customWidth="1"/>
    <col min="13845" max="13845" width="8.1640625" style="157" bestFit="1" customWidth="1"/>
    <col min="13846" max="13846" width="10.83203125" style="157" bestFit="1" customWidth="1"/>
    <col min="13847" max="13847" width="12.1640625" style="157" bestFit="1" customWidth="1"/>
    <col min="13848" max="13848" width="18.1640625" style="157" bestFit="1" customWidth="1"/>
    <col min="13849" max="13849" width="10.83203125" style="157" bestFit="1" customWidth="1"/>
    <col min="13850" max="14085" width="8.83203125" style="157"/>
    <col min="14086" max="14086" width="38.1640625" style="157" customWidth="1"/>
    <col min="14087" max="14087" width="23.44140625" style="157" bestFit="1" customWidth="1"/>
    <col min="14088" max="14089" width="9.1640625" style="157" customWidth="1"/>
    <col min="14090" max="14090" width="11.1640625" style="157" bestFit="1" customWidth="1"/>
    <col min="14091" max="14091" width="14.44140625" style="157" bestFit="1" customWidth="1"/>
    <col min="14092" max="14092" width="8.1640625" style="157" customWidth="1"/>
    <col min="14093" max="14093" width="10.83203125" style="157" bestFit="1" customWidth="1"/>
    <col min="14094" max="14094" width="12.1640625" style="157" bestFit="1" customWidth="1"/>
    <col min="14095" max="14095" width="9.1640625" style="157" customWidth="1"/>
    <col min="14096" max="14096" width="10.83203125" style="157" bestFit="1" customWidth="1"/>
    <col min="14097" max="14097" width="12.1640625" style="157" bestFit="1" customWidth="1"/>
    <col min="14098" max="14098" width="8" style="157" customWidth="1"/>
    <col min="14099" max="14099" width="10.83203125" style="157" bestFit="1" customWidth="1"/>
    <col min="14100" max="14100" width="12.1640625" style="157" bestFit="1" customWidth="1"/>
    <col min="14101" max="14101" width="8.1640625" style="157" bestFit="1" customWidth="1"/>
    <col min="14102" max="14102" width="10.83203125" style="157" bestFit="1" customWidth="1"/>
    <col min="14103" max="14103" width="12.1640625" style="157" bestFit="1" customWidth="1"/>
    <col min="14104" max="14104" width="18.1640625" style="157" bestFit="1" customWidth="1"/>
    <col min="14105" max="14105" width="10.83203125" style="157" bestFit="1" customWidth="1"/>
    <col min="14106" max="14341" width="8.83203125" style="157"/>
    <col min="14342" max="14342" width="38.1640625" style="157" customWidth="1"/>
    <col min="14343" max="14343" width="23.44140625" style="157" bestFit="1" customWidth="1"/>
    <col min="14344" max="14345" width="9.1640625" style="157" customWidth="1"/>
    <col min="14346" max="14346" width="11.1640625" style="157" bestFit="1" customWidth="1"/>
    <col min="14347" max="14347" width="14.44140625" style="157" bestFit="1" customWidth="1"/>
    <col min="14348" max="14348" width="8.1640625" style="157" customWidth="1"/>
    <col min="14349" max="14349" width="10.83203125" style="157" bestFit="1" customWidth="1"/>
    <col min="14350" max="14350" width="12.1640625" style="157" bestFit="1" customWidth="1"/>
    <col min="14351" max="14351" width="9.1640625" style="157" customWidth="1"/>
    <col min="14352" max="14352" width="10.83203125" style="157" bestFit="1" customWidth="1"/>
    <col min="14353" max="14353" width="12.1640625" style="157" bestFit="1" customWidth="1"/>
    <col min="14354" max="14354" width="8" style="157" customWidth="1"/>
    <col min="14355" max="14355" width="10.83203125" style="157" bestFit="1" customWidth="1"/>
    <col min="14356" max="14356" width="12.1640625" style="157" bestFit="1" customWidth="1"/>
    <col min="14357" max="14357" width="8.1640625" style="157" bestFit="1" customWidth="1"/>
    <col min="14358" max="14358" width="10.83203125" style="157" bestFit="1" customWidth="1"/>
    <col min="14359" max="14359" width="12.1640625" style="157" bestFit="1" customWidth="1"/>
    <col min="14360" max="14360" width="18.1640625" style="157" bestFit="1" customWidth="1"/>
    <col min="14361" max="14361" width="10.83203125" style="157" bestFit="1" customWidth="1"/>
    <col min="14362" max="14597" width="8.83203125" style="157"/>
    <col min="14598" max="14598" width="38.1640625" style="157" customWidth="1"/>
    <col min="14599" max="14599" width="23.44140625" style="157" bestFit="1" customWidth="1"/>
    <col min="14600" max="14601" width="9.1640625" style="157" customWidth="1"/>
    <col min="14602" max="14602" width="11.1640625" style="157" bestFit="1" customWidth="1"/>
    <col min="14603" max="14603" width="14.44140625" style="157" bestFit="1" customWidth="1"/>
    <col min="14604" max="14604" width="8.1640625" style="157" customWidth="1"/>
    <col min="14605" max="14605" width="10.83203125" style="157" bestFit="1" customWidth="1"/>
    <col min="14606" max="14606" width="12.1640625" style="157" bestFit="1" customWidth="1"/>
    <col min="14607" max="14607" width="9.1640625" style="157" customWidth="1"/>
    <col min="14608" max="14608" width="10.83203125" style="157" bestFit="1" customWidth="1"/>
    <col min="14609" max="14609" width="12.1640625" style="157" bestFit="1" customWidth="1"/>
    <col min="14610" max="14610" width="8" style="157" customWidth="1"/>
    <col min="14611" max="14611" width="10.83203125" style="157" bestFit="1" customWidth="1"/>
    <col min="14612" max="14612" width="12.1640625" style="157" bestFit="1" customWidth="1"/>
    <col min="14613" max="14613" width="8.1640625" style="157" bestFit="1" customWidth="1"/>
    <col min="14614" max="14614" width="10.83203125" style="157" bestFit="1" customWidth="1"/>
    <col min="14615" max="14615" width="12.1640625" style="157" bestFit="1" customWidth="1"/>
    <col min="14616" max="14616" width="18.1640625" style="157" bestFit="1" customWidth="1"/>
    <col min="14617" max="14617" width="10.83203125" style="157" bestFit="1" customWidth="1"/>
    <col min="14618" max="14853" width="8.83203125" style="157"/>
    <col min="14854" max="14854" width="38.1640625" style="157" customWidth="1"/>
    <col min="14855" max="14855" width="23.44140625" style="157" bestFit="1" customWidth="1"/>
    <col min="14856" max="14857" width="9.1640625" style="157" customWidth="1"/>
    <col min="14858" max="14858" width="11.1640625" style="157" bestFit="1" customWidth="1"/>
    <col min="14859" max="14859" width="14.44140625" style="157" bestFit="1" customWidth="1"/>
    <col min="14860" max="14860" width="8.1640625" style="157" customWidth="1"/>
    <col min="14861" max="14861" width="10.83203125" style="157" bestFit="1" customWidth="1"/>
    <col min="14862" max="14862" width="12.1640625" style="157" bestFit="1" customWidth="1"/>
    <col min="14863" max="14863" width="9.1640625" style="157" customWidth="1"/>
    <col min="14864" max="14864" width="10.83203125" style="157" bestFit="1" customWidth="1"/>
    <col min="14865" max="14865" width="12.1640625" style="157" bestFit="1" customWidth="1"/>
    <col min="14866" max="14866" width="8" style="157" customWidth="1"/>
    <col min="14867" max="14867" width="10.83203125" style="157" bestFit="1" customWidth="1"/>
    <col min="14868" max="14868" width="12.1640625" style="157" bestFit="1" customWidth="1"/>
    <col min="14869" max="14869" width="8.1640625" style="157" bestFit="1" customWidth="1"/>
    <col min="14870" max="14870" width="10.83203125" style="157" bestFit="1" customWidth="1"/>
    <col min="14871" max="14871" width="12.1640625" style="157" bestFit="1" customWidth="1"/>
    <col min="14872" max="14872" width="18.1640625" style="157" bestFit="1" customWidth="1"/>
    <col min="14873" max="14873" width="10.83203125" style="157" bestFit="1" customWidth="1"/>
    <col min="14874" max="15109" width="8.83203125" style="157"/>
    <col min="15110" max="15110" width="38.1640625" style="157" customWidth="1"/>
    <col min="15111" max="15111" width="23.44140625" style="157" bestFit="1" customWidth="1"/>
    <col min="15112" max="15113" width="9.1640625" style="157" customWidth="1"/>
    <col min="15114" max="15114" width="11.1640625" style="157" bestFit="1" customWidth="1"/>
    <col min="15115" max="15115" width="14.44140625" style="157" bestFit="1" customWidth="1"/>
    <col min="15116" max="15116" width="8.1640625" style="157" customWidth="1"/>
    <col min="15117" max="15117" width="10.83203125" style="157" bestFit="1" customWidth="1"/>
    <col min="15118" max="15118" width="12.1640625" style="157" bestFit="1" customWidth="1"/>
    <col min="15119" max="15119" width="9.1640625" style="157" customWidth="1"/>
    <col min="15120" max="15120" width="10.83203125" style="157" bestFit="1" customWidth="1"/>
    <col min="15121" max="15121" width="12.1640625" style="157" bestFit="1" customWidth="1"/>
    <col min="15122" max="15122" width="8" style="157" customWidth="1"/>
    <col min="15123" max="15123" width="10.83203125" style="157" bestFit="1" customWidth="1"/>
    <col min="15124" max="15124" width="12.1640625" style="157" bestFit="1" customWidth="1"/>
    <col min="15125" max="15125" width="8.1640625" style="157" bestFit="1" customWidth="1"/>
    <col min="15126" max="15126" width="10.83203125" style="157" bestFit="1" customWidth="1"/>
    <col min="15127" max="15127" width="12.1640625" style="157" bestFit="1" customWidth="1"/>
    <col min="15128" max="15128" width="18.1640625" style="157" bestFit="1" customWidth="1"/>
    <col min="15129" max="15129" width="10.83203125" style="157" bestFit="1" customWidth="1"/>
    <col min="15130" max="15365" width="8.83203125" style="157"/>
    <col min="15366" max="15366" width="38.1640625" style="157" customWidth="1"/>
    <col min="15367" max="15367" width="23.44140625" style="157" bestFit="1" customWidth="1"/>
    <col min="15368" max="15369" width="9.1640625" style="157" customWidth="1"/>
    <col min="15370" max="15370" width="11.1640625" style="157" bestFit="1" customWidth="1"/>
    <col min="15371" max="15371" width="14.44140625" style="157" bestFit="1" customWidth="1"/>
    <col min="15372" max="15372" width="8.1640625" style="157" customWidth="1"/>
    <col min="15373" max="15373" width="10.83203125" style="157" bestFit="1" customWidth="1"/>
    <col min="15374" max="15374" width="12.1640625" style="157" bestFit="1" customWidth="1"/>
    <col min="15375" max="15375" width="9.1640625" style="157" customWidth="1"/>
    <col min="15376" max="15376" width="10.83203125" style="157" bestFit="1" customWidth="1"/>
    <col min="15377" max="15377" width="12.1640625" style="157" bestFit="1" customWidth="1"/>
    <col min="15378" max="15378" width="8" style="157" customWidth="1"/>
    <col min="15379" max="15379" width="10.83203125" style="157" bestFit="1" customWidth="1"/>
    <col min="15380" max="15380" width="12.1640625" style="157" bestFit="1" customWidth="1"/>
    <col min="15381" max="15381" width="8.1640625" style="157" bestFit="1" customWidth="1"/>
    <col min="15382" max="15382" width="10.83203125" style="157" bestFit="1" customWidth="1"/>
    <col min="15383" max="15383" width="12.1640625" style="157" bestFit="1" customWidth="1"/>
    <col min="15384" max="15384" width="18.1640625" style="157" bestFit="1" customWidth="1"/>
    <col min="15385" max="15385" width="10.83203125" style="157" bestFit="1" customWidth="1"/>
    <col min="15386" max="15621" width="8.83203125" style="157"/>
    <col min="15622" max="15622" width="38.1640625" style="157" customWidth="1"/>
    <col min="15623" max="15623" width="23.44140625" style="157" bestFit="1" customWidth="1"/>
    <col min="15624" max="15625" width="9.1640625" style="157" customWidth="1"/>
    <col min="15626" max="15626" width="11.1640625" style="157" bestFit="1" customWidth="1"/>
    <col min="15627" max="15627" width="14.44140625" style="157" bestFit="1" customWidth="1"/>
    <col min="15628" max="15628" width="8.1640625" style="157" customWidth="1"/>
    <col min="15629" max="15629" width="10.83203125" style="157" bestFit="1" customWidth="1"/>
    <col min="15630" max="15630" width="12.1640625" style="157" bestFit="1" customWidth="1"/>
    <col min="15631" max="15631" width="9.1640625" style="157" customWidth="1"/>
    <col min="15632" max="15632" width="10.83203125" style="157" bestFit="1" customWidth="1"/>
    <col min="15633" max="15633" width="12.1640625" style="157" bestFit="1" customWidth="1"/>
    <col min="15634" max="15634" width="8" style="157" customWidth="1"/>
    <col min="15635" max="15635" width="10.83203125" style="157" bestFit="1" customWidth="1"/>
    <col min="15636" max="15636" width="12.1640625" style="157" bestFit="1" customWidth="1"/>
    <col min="15637" max="15637" width="8.1640625" style="157" bestFit="1" customWidth="1"/>
    <col min="15638" max="15638" width="10.83203125" style="157" bestFit="1" customWidth="1"/>
    <col min="15639" max="15639" width="12.1640625" style="157" bestFit="1" customWidth="1"/>
    <col min="15640" max="15640" width="18.1640625" style="157" bestFit="1" customWidth="1"/>
    <col min="15641" max="15641" width="10.83203125" style="157" bestFit="1" customWidth="1"/>
    <col min="15642" max="15877" width="8.83203125" style="157"/>
    <col min="15878" max="15878" width="38.1640625" style="157" customWidth="1"/>
    <col min="15879" max="15879" width="23.44140625" style="157" bestFit="1" customWidth="1"/>
    <col min="15880" max="15881" width="9.1640625" style="157" customWidth="1"/>
    <col min="15882" max="15882" width="11.1640625" style="157" bestFit="1" customWidth="1"/>
    <col min="15883" max="15883" width="14.44140625" style="157" bestFit="1" customWidth="1"/>
    <col min="15884" max="15884" width="8.1640625" style="157" customWidth="1"/>
    <col min="15885" max="15885" width="10.83203125" style="157" bestFit="1" customWidth="1"/>
    <col min="15886" max="15886" width="12.1640625" style="157" bestFit="1" customWidth="1"/>
    <col min="15887" max="15887" width="9.1640625" style="157" customWidth="1"/>
    <col min="15888" max="15888" width="10.83203125" style="157" bestFit="1" customWidth="1"/>
    <col min="15889" max="15889" width="12.1640625" style="157" bestFit="1" customWidth="1"/>
    <col min="15890" max="15890" width="8" style="157" customWidth="1"/>
    <col min="15891" max="15891" width="10.83203125" style="157" bestFit="1" customWidth="1"/>
    <col min="15892" max="15892" width="12.1640625" style="157" bestFit="1" customWidth="1"/>
    <col min="15893" max="15893" width="8.1640625" style="157" bestFit="1" customWidth="1"/>
    <col min="15894" max="15894" width="10.83203125" style="157" bestFit="1" customWidth="1"/>
    <col min="15895" max="15895" width="12.1640625" style="157" bestFit="1" customWidth="1"/>
    <col min="15896" max="15896" width="18.1640625" style="157" bestFit="1" customWidth="1"/>
    <col min="15897" max="15897" width="10.83203125" style="157" bestFit="1" customWidth="1"/>
    <col min="15898" max="16133" width="8.83203125" style="157"/>
    <col min="16134" max="16134" width="38.1640625" style="157" customWidth="1"/>
    <col min="16135" max="16135" width="23.44140625" style="157" bestFit="1" customWidth="1"/>
    <col min="16136" max="16137" width="9.1640625" style="157" customWidth="1"/>
    <col min="16138" max="16138" width="11.1640625" style="157" bestFit="1" customWidth="1"/>
    <col min="16139" max="16139" width="14.44140625" style="157" bestFit="1" customWidth="1"/>
    <col min="16140" max="16140" width="8.1640625" style="157" customWidth="1"/>
    <col min="16141" max="16141" width="10.83203125" style="157" bestFit="1" customWidth="1"/>
    <col min="16142" max="16142" width="12.1640625" style="157" bestFit="1" customWidth="1"/>
    <col min="16143" max="16143" width="9.1640625" style="157" customWidth="1"/>
    <col min="16144" max="16144" width="10.83203125" style="157" bestFit="1" customWidth="1"/>
    <col min="16145" max="16145" width="12.1640625" style="157" bestFit="1" customWidth="1"/>
    <col min="16146" max="16146" width="8" style="157" customWidth="1"/>
    <col min="16147" max="16147" width="10.83203125" style="157" bestFit="1" customWidth="1"/>
    <col min="16148" max="16148" width="12.1640625" style="157" bestFit="1" customWidth="1"/>
    <col min="16149" max="16149" width="8.1640625" style="157" bestFit="1" customWidth="1"/>
    <col min="16150" max="16150" width="10.83203125" style="157" bestFit="1" customWidth="1"/>
    <col min="16151" max="16151" width="12.1640625" style="157" bestFit="1" customWidth="1"/>
    <col min="16152" max="16152" width="18.1640625" style="157" bestFit="1" customWidth="1"/>
    <col min="16153" max="16153" width="10.83203125" style="157" bestFit="1" customWidth="1"/>
    <col min="16154" max="16384" width="8.83203125" style="157"/>
  </cols>
  <sheetData>
    <row r="1" spans="1:33" ht="14.7" thickBot="1"/>
    <row r="2" spans="1:33" ht="23.5" customHeight="1">
      <c r="A2" s="658" t="s">
        <v>499</v>
      </c>
      <c r="B2" s="652" t="s">
        <v>500</v>
      </c>
      <c r="C2" s="660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48" t="s">
        <v>502</v>
      </c>
      <c r="AB2" s="163"/>
    </row>
    <row r="3" spans="1:33" ht="47.95" customHeight="1">
      <c r="A3" s="659"/>
      <c r="B3" s="653"/>
      <c r="C3" s="662"/>
      <c r="D3" s="164" t="s">
        <v>503</v>
      </c>
      <c r="E3" s="165" t="s">
        <v>504</v>
      </c>
      <c r="F3" s="167" t="s">
        <v>505</v>
      </c>
      <c r="G3" s="168" t="s">
        <v>502</v>
      </c>
      <c r="H3" s="164" t="s">
        <v>503</v>
      </c>
      <c r="I3" s="165" t="s">
        <v>504</v>
      </c>
      <c r="J3" s="166" t="s">
        <v>505</v>
      </c>
      <c r="K3" s="168" t="s">
        <v>502</v>
      </c>
      <c r="L3" s="164" t="s">
        <v>503</v>
      </c>
      <c r="M3" s="165" t="s">
        <v>504</v>
      </c>
      <c r="N3" s="167" t="s">
        <v>505</v>
      </c>
      <c r="O3" s="168" t="s">
        <v>502</v>
      </c>
      <c r="P3" s="164" t="s">
        <v>503</v>
      </c>
      <c r="Q3" s="165" t="s">
        <v>504</v>
      </c>
      <c r="R3" s="167" t="s">
        <v>505</v>
      </c>
      <c r="S3" s="168" t="s">
        <v>502</v>
      </c>
      <c r="T3" s="649"/>
      <c r="AB3" s="163"/>
      <c r="AC3" s="157" t="s">
        <v>543</v>
      </c>
    </row>
    <row r="4" spans="1:33" ht="20.399999999999999">
      <c r="A4" s="324" t="s">
        <v>506</v>
      </c>
      <c r="B4" s="169"/>
      <c r="C4" s="169"/>
      <c r="D4" s="170"/>
      <c r="E4" s="171"/>
      <c r="F4" s="174"/>
      <c r="G4" s="175"/>
      <c r="H4" s="170"/>
      <c r="I4" s="171"/>
      <c r="J4" s="172"/>
      <c r="K4" s="175"/>
      <c r="L4" s="176"/>
      <c r="M4" s="171"/>
      <c r="N4" s="174"/>
      <c r="O4" s="175"/>
      <c r="P4" s="176"/>
      <c r="Q4" s="171"/>
      <c r="R4" s="174"/>
      <c r="S4" s="177"/>
      <c r="T4" s="175"/>
      <c r="AB4" s="178" t="s">
        <v>544</v>
      </c>
      <c r="AC4" s="178" t="s">
        <v>545</v>
      </c>
      <c r="AD4" s="178" t="s">
        <v>546</v>
      </c>
    </row>
    <row r="5" spans="1:33" s="189" customFormat="1" ht="15" customHeight="1" outlineLevel="1">
      <c r="A5" s="179" t="s">
        <v>53</v>
      </c>
      <c r="B5" s="180"/>
      <c r="C5" s="184"/>
      <c r="D5" s="181"/>
      <c r="E5" s="182"/>
      <c r="F5" s="185"/>
      <c r="G5" s="186"/>
      <c r="H5" s="181"/>
      <c r="I5" s="182"/>
      <c r="J5" s="183"/>
      <c r="K5" s="186"/>
      <c r="L5" s="181"/>
      <c r="M5" s="182"/>
      <c r="N5" s="185"/>
      <c r="O5" s="186"/>
      <c r="P5" s="181"/>
      <c r="Q5" s="182"/>
      <c r="R5" s="185"/>
      <c r="S5" s="186"/>
      <c r="T5" s="187"/>
      <c r="U5" s="188"/>
      <c r="V5" s="157"/>
      <c r="W5" s="157"/>
      <c r="X5" s="157"/>
      <c r="Y5" s="157"/>
      <c r="Z5" s="157"/>
      <c r="AA5" s="157"/>
      <c r="AB5" s="163"/>
    </row>
    <row r="6" spans="1:33" s="189" customFormat="1" ht="15.6" outlineLevel="1">
      <c r="A6" s="190" t="s">
        <v>507</v>
      </c>
      <c r="B6" s="191"/>
      <c r="C6" s="184"/>
      <c r="D6" s="181"/>
      <c r="E6" s="182"/>
      <c r="F6" s="185"/>
      <c r="G6" s="186"/>
      <c r="H6" s="181"/>
      <c r="I6" s="182"/>
      <c r="J6" s="183"/>
      <c r="K6" s="186"/>
      <c r="L6" s="181"/>
      <c r="M6" s="182"/>
      <c r="N6" s="185"/>
      <c r="O6" s="186"/>
      <c r="P6" s="181"/>
      <c r="Q6" s="182"/>
      <c r="R6" s="185"/>
      <c r="S6" s="186"/>
      <c r="T6" s="332"/>
      <c r="U6" s="192"/>
      <c r="V6" s="157"/>
      <c r="W6" s="157"/>
      <c r="X6" s="157"/>
      <c r="Y6" s="157"/>
      <c r="Z6" s="157"/>
      <c r="AA6" s="157"/>
      <c r="AB6" s="163"/>
    </row>
    <row r="7" spans="1:33" ht="15" customHeight="1" outlineLevel="1">
      <c r="A7" s="193" t="str">
        <f>'Program Budget'!D374</f>
        <v>Key Personnel: Chief of Party</v>
      </c>
      <c r="B7" s="194" t="str">
        <f>'Program Budget'!F374</f>
        <v>Month</v>
      </c>
      <c r="C7" s="198">
        <f>'Program Budget'!E374</f>
        <v>25976</v>
      </c>
      <c r="D7" s="195">
        <f>'Program Budget'!G374</f>
        <v>14250</v>
      </c>
      <c r="E7" s="196">
        <f>'Program Budget'!I374</f>
        <v>12</v>
      </c>
      <c r="F7" s="199">
        <f>'Program Budget'!H374</f>
        <v>0.1</v>
      </c>
      <c r="G7" s="198">
        <f>D7*E7*F7</f>
        <v>17100</v>
      </c>
      <c r="H7" s="195">
        <f>D7*1.05</f>
        <v>14962.5</v>
      </c>
      <c r="I7" s="196">
        <f>'Program Budget'!L374</f>
        <v>12</v>
      </c>
      <c r="J7" s="199">
        <f>'Program Budget'!K374</f>
        <v>0.19</v>
      </c>
      <c r="K7" s="198">
        <f>H7*I7*J7</f>
        <v>34114.5</v>
      </c>
      <c r="L7" s="195">
        <f>H7*1.05</f>
        <v>15710.625</v>
      </c>
      <c r="M7" s="196">
        <f>'Program Budget'!O374</f>
        <v>12</v>
      </c>
      <c r="N7" s="199">
        <f>'Program Budget'!N374</f>
        <v>0.19</v>
      </c>
      <c r="O7" s="198">
        <f>L7*M7*N7</f>
        <v>35820.224999999999</v>
      </c>
      <c r="P7" s="195">
        <f>L7*1.05</f>
        <v>16496.15625</v>
      </c>
      <c r="Q7" s="196">
        <f>'Program Budget'!R374</f>
        <v>0</v>
      </c>
      <c r="R7" s="199">
        <f>'Program Budget'!Q374</f>
        <v>0.19</v>
      </c>
      <c r="S7" s="198">
        <f>P7*Q7*R7</f>
        <v>0</v>
      </c>
      <c r="T7" s="335">
        <f>C7+G7+K7+O7+S7</f>
        <v>113010.72500000001</v>
      </c>
      <c r="U7" s="201"/>
      <c r="V7" s="188"/>
      <c r="W7" s="202"/>
      <c r="X7" s="202"/>
      <c r="AB7" s="163">
        <v>180</v>
      </c>
      <c r="AC7" s="203" t="s">
        <v>547</v>
      </c>
      <c r="AD7" s="203" t="s">
        <v>548</v>
      </c>
      <c r="AE7" s="204"/>
      <c r="AG7" s="205"/>
    </row>
    <row r="8" spans="1:33" ht="15" customHeight="1" outlineLevel="1">
      <c r="A8" s="208" t="s">
        <v>508</v>
      </c>
      <c r="B8" s="209"/>
      <c r="C8" s="213">
        <f>SUM(C7:C7)</f>
        <v>25976</v>
      </c>
      <c r="D8" s="210"/>
      <c r="E8" s="211"/>
      <c r="F8" s="214"/>
      <c r="G8" s="213">
        <f>SUM(G7:G7)</f>
        <v>17100</v>
      </c>
      <c r="H8" s="210"/>
      <c r="I8" s="211"/>
      <c r="J8" s="212"/>
      <c r="K8" s="213">
        <f>SUM(K7:K7)</f>
        <v>34114.5</v>
      </c>
      <c r="L8" s="210"/>
      <c r="M8" s="211"/>
      <c r="N8" s="214"/>
      <c r="O8" s="213">
        <f>SUM(O7:O7)</f>
        <v>35820.224999999999</v>
      </c>
      <c r="P8" s="210"/>
      <c r="Q8" s="211"/>
      <c r="R8" s="214"/>
      <c r="S8" s="213">
        <f>SUM(S7:S7)</f>
        <v>0</v>
      </c>
      <c r="T8" s="334">
        <f>+C8+G8+K8+O8+S8</f>
        <v>113010.72500000001</v>
      </c>
      <c r="AB8" s="163"/>
      <c r="AC8" s="203"/>
      <c r="AD8" s="203" t="s">
        <v>549</v>
      </c>
    </row>
    <row r="9" spans="1:33" ht="15" customHeight="1" outlineLevel="1">
      <c r="A9" s="190" t="s">
        <v>576</v>
      </c>
      <c r="B9" s="216"/>
      <c r="C9" s="198"/>
      <c r="D9" s="217"/>
      <c r="E9" s="218"/>
      <c r="F9" s="220"/>
      <c r="G9" s="200"/>
      <c r="H9" s="217"/>
      <c r="I9" s="218"/>
      <c r="J9" s="219"/>
      <c r="K9" s="200"/>
      <c r="L9" s="217"/>
      <c r="M9" s="218"/>
      <c r="N9" s="220"/>
      <c r="O9" s="200"/>
      <c r="P9" s="217"/>
      <c r="Q9" s="218"/>
      <c r="R9" s="220"/>
      <c r="S9" s="200"/>
      <c r="T9" s="350"/>
      <c r="U9" s="192"/>
      <c r="AB9" s="163"/>
      <c r="AC9" s="203"/>
      <c r="AD9" s="203" t="s">
        <v>549</v>
      </c>
      <c r="AG9" s="205"/>
    </row>
    <row r="10" spans="1:33" ht="15" customHeight="1" outlineLevel="1">
      <c r="A10" s="193" t="str">
        <f>'Program Budget'!D375</f>
        <v>Deputy Chief of Party / Value Chain Strengthening Director</v>
      </c>
      <c r="B10" s="194" t="str">
        <f>'Program Budget'!F375</f>
        <v>Month</v>
      </c>
      <c r="C10" s="198">
        <f>'Program Budget'!E375</f>
        <v>0</v>
      </c>
      <c r="D10" s="195">
        <f>'Program Budget'!G375</f>
        <v>5000</v>
      </c>
      <c r="E10" s="196">
        <f>'Program Budget'!I375</f>
        <v>12</v>
      </c>
      <c r="F10" s="199">
        <f>'Program Budget'!H375</f>
        <v>0.15</v>
      </c>
      <c r="G10" s="198">
        <f>D10*E10*F10</f>
        <v>9000</v>
      </c>
      <c r="H10" s="195">
        <f>D10*1.05</f>
        <v>5250</v>
      </c>
      <c r="I10" s="196">
        <f>'Program Budget'!L375</f>
        <v>12</v>
      </c>
      <c r="J10" s="199">
        <f>'Program Budget'!K375</f>
        <v>0.15</v>
      </c>
      <c r="K10" s="198">
        <f>H10*I10*J10</f>
        <v>9450</v>
      </c>
      <c r="L10" s="195">
        <f>H10*1.05</f>
        <v>5512.5</v>
      </c>
      <c r="M10" s="196">
        <f>'Program Budget'!O375</f>
        <v>12</v>
      </c>
      <c r="N10" s="199">
        <f>'Program Budget'!N375</f>
        <v>0.15</v>
      </c>
      <c r="O10" s="198">
        <f>L10*M10*N10</f>
        <v>9922.5</v>
      </c>
      <c r="P10" s="195">
        <f>L10*1.05</f>
        <v>5788.125</v>
      </c>
      <c r="Q10" s="196">
        <f>'Program Budget'!R375</f>
        <v>6</v>
      </c>
      <c r="R10" s="199">
        <f>'Program Budget'!Q375</f>
        <v>0.15</v>
      </c>
      <c r="S10" s="198">
        <f>P10*Q10*R10</f>
        <v>5209.3125</v>
      </c>
      <c r="T10" s="333">
        <f>C10+G10+K10+O10+S10</f>
        <v>33581.8125</v>
      </c>
      <c r="U10" s="201"/>
      <c r="V10" s="188"/>
      <c r="W10" s="202"/>
      <c r="X10" s="202"/>
      <c r="AB10" s="163">
        <v>180</v>
      </c>
      <c r="AC10" s="203" t="s">
        <v>547</v>
      </c>
      <c r="AD10" s="203" t="s">
        <v>548</v>
      </c>
      <c r="AE10" s="204"/>
      <c r="AG10" s="205"/>
    </row>
    <row r="11" spans="1:33" ht="15" customHeight="1" outlineLevel="1">
      <c r="A11" s="193" t="str">
        <f>'Program Budget'!D376</f>
        <v>Key Personnel: Technical Director</v>
      </c>
      <c r="B11" s="194" t="str">
        <f>'Program Budget'!F376</f>
        <v>Month</v>
      </c>
      <c r="C11" s="198">
        <f>'Program Budget'!E376</f>
        <v>12218.1</v>
      </c>
      <c r="D11" s="195">
        <f>'Program Budget'!G376</f>
        <v>4583.333333333333</v>
      </c>
      <c r="E11" s="196">
        <f>'Program Budget'!I376</f>
        <v>12</v>
      </c>
      <c r="F11" s="199">
        <f>'Program Budget'!H376</f>
        <v>0.15</v>
      </c>
      <c r="G11" s="198">
        <f t="shared" ref="G11:G38" si="0">D11*E11*F11</f>
        <v>8250</v>
      </c>
      <c r="H11" s="195">
        <f t="shared" ref="H11:H38" si="1">D11*1.05</f>
        <v>4812.5</v>
      </c>
      <c r="I11" s="196">
        <f>'Program Budget'!L376</f>
        <v>12</v>
      </c>
      <c r="J11" s="199">
        <f>'Program Budget'!K376</f>
        <v>0.2</v>
      </c>
      <c r="K11" s="198">
        <f t="shared" ref="K11:K38" si="2">H11*I11*J11</f>
        <v>11550</v>
      </c>
      <c r="L11" s="195">
        <f t="shared" ref="L11:L38" si="3">H11*1.05</f>
        <v>5053.125</v>
      </c>
      <c r="M11" s="196">
        <f>'Program Budget'!O376</f>
        <v>12</v>
      </c>
      <c r="N11" s="199">
        <f>'Program Budget'!N376</f>
        <v>0.2</v>
      </c>
      <c r="O11" s="198">
        <f t="shared" ref="O11:O38" si="4">L11*M11*N11</f>
        <v>12127.5</v>
      </c>
      <c r="P11" s="195">
        <f t="shared" ref="P11:P38" si="5">L11*1.05</f>
        <v>5305.78125</v>
      </c>
      <c r="Q11" s="196">
        <f>'Program Budget'!R376</f>
        <v>5</v>
      </c>
      <c r="R11" s="199">
        <f>'Program Budget'!Q376</f>
        <v>0.2</v>
      </c>
      <c r="S11" s="198">
        <f t="shared" ref="S11:S38" si="6">P11*Q11*R11</f>
        <v>5305.78125</v>
      </c>
      <c r="T11" s="333">
        <f t="shared" ref="T11:T38" si="7">C11+G11+K11+O11+S11</f>
        <v>49451.381249999999</v>
      </c>
      <c r="U11" s="201"/>
      <c r="V11" s="188"/>
      <c r="W11" s="202"/>
      <c r="X11" s="202"/>
      <c r="AB11" s="163">
        <v>180</v>
      </c>
      <c r="AC11" s="203" t="s">
        <v>547</v>
      </c>
      <c r="AD11" s="203" t="s">
        <v>548</v>
      </c>
      <c r="AE11" s="204"/>
      <c r="AG11" s="205"/>
    </row>
    <row r="12" spans="1:33" ht="15" customHeight="1" outlineLevel="1">
      <c r="A12" s="193" t="str">
        <f>'Program Budget'!D377</f>
        <v>Activity Lead Agribusiness Senior Specialist (Cacao)</v>
      </c>
      <c r="B12" s="194" t="str">
        <f>'Program Budget'!F377</f>
        <v>Month</v>
      </c>
      <c r="C12" s="198">
        <f>'Program Budget'!E377</f>
        <v>5436.21</v>
      </c>
      <c r="D12" s="195">
        <f>'Program Budget'!G377</f>
        <v>2833.3333333333335</v>
      </c>
      <c r="E12" s="196">
        <f>'Program Budget'!I377</f>
        <v>12</v>
      </c>
      <c r="F12" s="199">
        <f>'Program Budget'!H377</f>
        <v>0.1</v>
      </c>
      <c r="G12" s="198">
        <f t="shared" si="0"/>
        <v>3400</v>
      </c>
      <c r="H12" s="195">
        <f t="shared" si="1"/>
        <v>2975.0000000000005</v>
      </c>
      <c r="I12" s="196">
        <f>'Program Budget'!L377</f>
        <v>12</v>
      </c>
      <c r="J12" s="199">
        <f>'Program Budget'!K377</f>
        <v>0.1</v>
      </c>
      <c r="K12" s="198">
        <f t="shared" si="2"/>
        <v>3570.0000000000009</v>
      </c>
      <c r="L12" s="195">
        <f t="shared" si="3"/>
        <v>3123.7500000000005</v>
      </c>
      <c r="M12" s="196">
        <f>'Program Budget'!O377</f>
        <v>12</v>
      </c>
      <c r="N12" s="199">
        <f>'Program Budget'!N377</f>
        <v>0.1</v>
      </c>
      <c r="O12" s="198">
        <f t="shared" si="4"/>
        <v>3748.5000000000009</v>
      </c>
      <c r="P12" s="195">
        <f t="shared" si="5"/>
        <v>3279.9375000000005</v>
      </c>
      <c r="Q12" s="196">
        <f>'Program Budget'!R377</f>
        <v>2</v>
      </c>
      <c r="R12" s="199">
        <f>'Program Budget'!Q377</f>
        <v>0.1</v>
      </c>
      <c r="S12" s="198">
        <f t="shared" si="6"/>
        <v>655.98750000000018</v>
      </c>
      <c r="T12" s="333">
        <f t="shared" si="7"/>
        <v>16810.697499999998</v>
      </c>
      <c r="U12" s="201"/>
      <c r="V12" s="188"/>
      <c r="W12" s="202"/>
      <c r="X12" s="202"/>
      <c r="AB12" s="163">
        <v>180</v>
      </c>
      <c r="AC12" s="203" t="s">
        <v>547</v>
      </c>
      <c r="AD12" s="203" t="s">
        <v>548</v>
      </c>
      <c r="AE12" s="204"/>
      <c r="AG12" s="205"/>
    </row>
    <row r="13" spans="1:33" ht="15" customHeight="1" outlineLevel="1">
      <c r="A13" s="193" t="str">
        <f>'Program Budget'!D378</f>
        <v>Cacao Field Officer</v>
      </c>
      <c r="B13" s="194" t="str">
        <f>'Program Budget'!F378</f>
        <v>Month</v>
      </c>
      <c r="C13" s="198">
        <f>'Program Budget'!E378</f>
        <v>0</v>
      </c>
      <c r="D13" s="195">
        <f>'Program Budget'!G378</f>
        <v>1333.3333333333333</v>
      </c>
      <c r="E13" s="196">
        <f>'Program Budget'!I378</f>
        <v>12</v>
      </c>
      <c r="F13" s="199">
        <f>'Program Budget'!H378</f>
        <v>0</v>
      </c>
      <c r="G13" s="198">
        <f t="shared" si="0"/>
        <v>0</v>
      </c>
      <c r="H13" s="195">
        <f t="shared" si="1"/>
        <v>1400</v>
      </c>
      <c r="I13" s="196">
        <f>'Program Budget'!L378</f>
        <v>12</v>
      </c>
      <c r="J13" s="199">
        <f>'Program Budget'!K378</f>
        <v>0</v>
      </c>
      <c r="K13" s="198">
        <f t="shared" si="2"/>
        <v>0</v>
      </c>
      <c r="L13" s="195">
        <f t="shared" si="3"/>
        <v>1470</v>
      </c>
      <c r="M13" s="196">
        <f>'Program Budget'!O378</f>
        <v>12</v>
      </c>
      <c r="N13" s="199">
        <f>'Program Budget'!N378</f>
        <v>0</v>
      </c>
      <c r="O13" s="198">
        <f t="shared" si="4"/>
        <v>0</v>
      </c>
      <c r="P13" s="195">
        <f t="shared" si="5"/>
        <v>1543.5</v>
      </c>
      <c r="Q13" s="196">
        <f>'Program Budget'!R378</f>
        <v>0</v>
      </c>
      <c r="R13" s="199">
        <f>'Program Budget'!Q378</f>
        <v>0</v>
      </c>
      <c r="S13" s="198">
        <f t="shared" si="6"/>
        <v>0</v>
      </c>
      <c r="T13" s="333">
        <f t="shared" si="7"/>
        <v>0</v>
      </c>
      <c r="U13" s="201"/>
      <c r="V13" s="188"/>
      <c r="W13" s="202"/>
      <c r="X13" s="202"/>
      <c r="AB13" s="163"/>
      <c r="AC13" s="203"/>
      <c r="AD13" s="203"/>
      <c r="AE13" s="204"/>
      <c r="AG13" s="205"/>
    </row>
    <row r="14" spans="1:33" ht="15" customHeight="1" outlineLevel="1">
      <c r="A14" s="193" t="str">
        <f>'Program Budget'!D379</f>
        <v>Cacao &amp; Complementary Crop Technical Field Leader (2)</v>
      </c>
      <c r="B14" s="194" t="str">
        <f>'Program Budget'!F379</f>
        <v>Month</v>
      </c>
      <c r="C14" s="198">
        <f>'Program Budget'!E379</f>
        <v>0</v>
      </c>
      <c r="D14" s="195">
        <f>'Program Budget'!G379</f>
        <v>3500</v>
      </c>
      <c r="E14" s="196">
        <f>'Program Budget'!I379</f>
        <v>6</v>
      </c>
      <c r="F14" s="199">
        <f>'Program Budget'!H379</f>
        <v>0</v>
      </c>
      <c r="G14" s="198">
        <f t="shared" si="0"/>
        <v>0</v>
      </c>
      <c r="H14" s="195">
        <f t="shared" si="1"/>
        <v>3675</v>
      </c>
      <c r="I14" s="196">
        <f>'Program Budget'!L379</f>
        <v>12</v>
      </c>
      <c r="J14" s="199">
        <f>'Program Budget'!K379</f>
        <v>0</v>
      </c>
      <c r="K14" s="198">
        <f t="shared" si="2"/>
        <v>0</v>
      </c>
      <c r="L14" s="195">
        <f t="shared" si="3"/>
        <v>3858.75</v>
      </c>
      <c r="M14" s="196">
        <f>'Program Budget'!O379</f>
        <v>12</v>
      </c>
      <c r="N14" s="199">
        <f>'Program Budget'!N379</f>
        <v>0</v>
      </c>
      <c r="O14" s="198">
        <f t="shared" si="4"/>
        <v>0</v>
      </c>
      <c r="P14" s="195">
        <f t="shared" si="5"/>
        <v>4051.6875</v>
      </c>
      <c r="Q14" s="196">
        <f>'Program Budget'!R379</f>
        <v>0</v>
      </c>
      <c r="R14" s="199">
        <f>'Program Budget'!Q379</f>
        <v>0</v>
      </c>
      <c r="S14" s="198">
        <f t="shared" si="6"/>
        <v>0</v>
      </c>
      <c r="T14" s="333">
        <f t="shared" si="7"/>
        <v>0</v>
      </c>
      <c r="U14" s="201"/>
      <c r="V14" s="188"/>
      <c r="W14" s="202"/>
      <c r="X14" s="202"/>
      <c r="AB14" s="163"/>
      <c r="AC14" s="203"/>
      <c r="AD14" s="203"/>
      <c r="AE14" s="204"/>
      <c r="AG14" s="205"/>
    </row>
    <row r="15" spans="1:33" ht="15" customHeight="1" outlineLevel="1">
      <c r="A15" s="193" t="str">
        <f>'Program Budget'!D380</f>
        <v>Extension Agents (45 in Y5 and 25 in Y6)</v>
      </c>
      <c r="B15" s="194" t="str">
        <f>'Program Budget'!F380</f>
        <v>Month</v>
      </c>
      <c r="C15" s="198">
        <f>'Program Budget'!E380</f>
        <v>0</v>
      </c>
      <c r="D15" s="195">
        <f>'Program Budget'!G380</f>
        <v>1000</v>
      </c>
      <c r="E15" s="196">
        <f>'Program Budget'!I380</f>
        <v>12</v>
      </c>
      <c r="F15" s="199">
        <f>'Program Budget'!H380</f>
        <v>0</v>
      </c>
      <c r="G15" s="198">
        <f t="shared" si="0"/>
        <v>0</v>
      </c>
      <c r="H15" s="195">
        <f t="shared" si="1"/>
        <v>1050</v>
      </c>
      <c r="I15" s="196">
        <f>'Program Budget'!L380</f>
        <v>12</v>
      </c>
      <c r="J15" s="199">
        <f>'Program Budget'!K380</f>
        <v>0</v>
      </c>
      <c r="K15" s="198">
        <f t="shared" si="2"/>
        <v>0</v>
      </c>
      <c r="L15" s="195">
        <f t="shared" si="3"/>
        <v>1102.5</v>
      </c>
      <c r="M15" s="196">
        <f>'Program Budget'!O380</f>
        <v>0</v>
      </c>
      <c r="N15" s="199">
        <f>'Program Budget'!N380</f>
        <v>0</v>
      </c>
      <c r="O15" s="198">
        <f t="shared" si="4"/>
        <v>0</v>
      </c>
      <c r="P15" s="195">
        <f t="shared" si="5"/>
        <v>1157.625</v>
      </c>
      <c r="Q15" s="196">
        <f>'Program Budget'!R380</f>
        <v>0</v>
      </c>
      <c r="R15" s="199">
        <f>'Program Budget'!Q380</f>
        <v>0</v>
      </c>
      <c r="S15" s="198">
        <f t="shared" si="6"/>
        <v>0</v>
      </c>
      <c r="T15" s="333">
        <f t="shared" si="7"/>
        <v>0</v>
      </c>
      <c r="U15" s="201"/>
      <c r="V15" s="188"/>
      <c r="W15" s="202"/>
      <c r="X15" s="202"/>
      <c r="AB15" s="163"/>
      <c r="AC15" s="203"/>
      <c r="AD15" s="203"/>
      <c r="AE15" s="204"/>
      <c r="AG15" s="205"/>
    </row>
    <row r="16" spans="1:33" ht="15" customHeight="1" outlineLevel="1">
      <c r="A16" s="193" t="str">
        <f>'Program Budget'!D381</f>
        <v>Activity Lead Agribusiness Senior Specialist (Complementary Crop)</v>
      </c>
      <c r="B16" s="194" t="str">
        <f>'Program Budget'!F381</f>
        <v>Month</v>
      </c>
      <c r="C16" s="198">
        <f>'Program Budget'!E381</f>
        <v>45822.2</v>
      </c>
      <c r="D16" s="195">
        <f>'Program Budget'!G381</f>
        <v>2833.3333333333335</v>
      </c>
      <c r="E16" s="196">
        <f>'Program Budget'!I381</f>
        <v>12</v>
      </c>
      <c r="F16" s="199">
        <f>'Program Budget'!H381</f>
        <v>0</v>
      </c>
      <c r="G16" s="198">
        <f t="shared" si="0"/>
        <v>0</v>
      </c>
      <c r="H16" s="195">
        <f t="shared" si="1"/>
        <v>2975.0000000000005</v>
      </c>
      <c r="I16" s="196">
        <f>'Program Budget'!L381</f>
        <v>12</v>
      </c>
      <c r="J16" s="199">
        <f>'Program Budget'!K381</f>
        <v>0</v>
      </c>
      <c r="K16" s="198">
        <f t="shared" si="2"/>
        <v>0</v>
      </c>
      <c r="L16" s="195">
        <f t="shared" si="3"/>
        <v>3123.7500000000005</v>
      </c>
      <c r="M16" s="196">
        <f>'Program Budget'!O381</f>
        <v>12</v>
      </c>
      <c r="N16" s="199">
        <f>'Program Budget'!N381</f>
        <v>0</v>
      </c>
      <c r="O16" s="198">
        <f t="shared" si="4"/>
        <v>0</v>
      </c>
      <c r="P16" s="195">
        <f t="shared" si="5"/>
        <v>3279.9375000000005</v>
      </c>
      <c r="Q16" s="196">
        <f>'Program Budget'!R381</f>
        <v>0</v>
      </c>
      <c r="R16" s="199">
        <f>'Program Budget'!Q381</f>
        <v>0</v>
      </c>
      <c r="S16" s="198">
        <f t="shared" si="6"/>
        <v>0</v>
      </c>
      <c r="T16" s="333">
        <f t="shared" si="7"/>
        <v>45822.2</v>
      </c>
      <c r="U16" s="201"/>
      <c r="V16" s="188"/>
      <c r="W16" s="202"/>
      <c r="X16" s="202"/>
      <c r="AB16" s="163"/>
      <c r="AC16" s="203"/>
      <c r="AD16" s="203"/>
      <c r="AE16" s="204"/>
      <c r="AG16" s="205"/>
    </row>
    <row r="17" spans="1:33" ht="15" customHeight="1" outlineLevel="1">
      <c r="A17" s="193" t="str">
        <f>'Program Budget'!D382</f>
        <v>Complementary Crops Field Officer</v>
      </c>
      <c r="B17" s="194" t="str">
        <f>'Program Budget'!F382</f>
        <v>Month</v>
      </c>
      <c r="C17" s="198">
        <f>'Program Budget'!E382</f>
        <v>0</v>
      </c>
      <c r="D17" s="195">
        <f>'Program Budget'!G382</f>
        <v>0</v>
      </c>
      <c r="E17" s="196">
        <f>'Program Budget'!I382</f>
        <v>0</v>
      </c>
      <c r="F17" s="199">
        <f>'Program Budget'!H382</f>
        <v>0</v>
      </c>
      <c r="G17" s="198">
        <f t="shared" si="0"/>
        <v>0</v>
      </c>
      <c r="H17" s="195">
        <f t="shared" si="1"/>
        <v>0</v>
      </c>
      <c r="I17" s="196">
        <f>'Program Budget'!L382</f>
        <v>12</v>
      </c>
      <c r="J17" s="199">
        <f>'Program Budget'!K382</f>
        <v>0</v>
      </c>
      <c r="K17" s="198">
        <f t="shared" si="2"/>
        <v>0</v>
      </c>
      <c r="L17" s="195">
        <f t="shared" si="3"/>
        <v>0</v>
      </c>
      <c r="M17" s="196">
        <f>'Program Budget'!O382</f>
        <v>12</v>
      </c>
      <c r="N17" s="199">
        <f>'Program Budget'!N382</f>
        <v>0</v>
      </c>
      <c r="O17" s="198">
        <f t="shared" si="4"/>
        <v>0</v>
      </c>
      <c r="P17" s="195">
        <f t="shared" si="5"/>
        <v>0</v>
      </c>
      <c r="Q17" s="196">
        <f>'Program Budget'!R382</f>
        <v>0</v>
      </c>
      <c r="R17" s="199">
        <f>'Program Budget'!Q382</f>
        <v>0</v>
      </c>
      <c r="S17" s="198">
        <f t="shared" si="6"/>
        <v>0</v>
      </c>
      <c r="T17" s="333">
        <f t="shared" si="7"/>
        <v>0</v>
      </c>
      <c r="U17" s="201"/>
      <c r="V17" s="188"/>
      <c r="W17" s="202"/>
      <c r="X17" s="202"/>
      <c r="AB17" s="163"/>
      <c r="AC17" s="203"/>
      <c r="AD17" s="203"/>
      <c r="AE17" s="204"/>
      <c r="AG17" s="205"/>
    </row>
    <row r="18" spans="1:33" ht="15" customHeight="1" outlineLevel="1">
      <c r="A18" s="193" t="str">
        <f>'Program Budget'!D383</f>
        <v>EPSEAS Specialist</v>
      </c>
      <c r="B18" s="194" t="str">
        <f>'Program Budget'!F383</f>
        <v>Month</v>
      </c>
      <c r="C18" s="198">
        <f>'Program Budget'!E383</f>
        <v>0</v>
      </c>
      <c r="D18" s="195">
        <f>'Program Budget'!G383</f>
        <v>0</v>
      </c>
      <c r="E18" s="196">
        <f>'Program Budget'!I383</f>
        <v>0</v>
      </c>
      <c r="F18" s="199">
        <f>'Program Budget'!H383</f>
        <v>0</v>
      </c>
      <c r="G18" s="198">
        <f t="shared" si="0"/>
        <v>0</v>
      </c>
      <c r="H18" s="195">
        <f t="shared" si="1"/>
        <v>0</v>
      </c>
      <c r="I18" s="196">
        <f>'Program Budget'!L383</f>
        <v>12</v>
      </c>
      <c r="J18" s="199">
        <f>'Program Budget'!K383</f>
        <v>0</v>
      </c>
      <c r="K18" s="198">
        <f t="shared" si="2"/>
        <v>0</v>
      </c>
      <c r="L18" s="195">
        <f t="shared" si="3"/>
        <v>0</v>
      </c>
      <c r="M18" s="196">
        <f>'Program Budget'!O383</f>
        <v>12</v>
      </c>
      <c r="N18" s="199">
        <f>'Program Budget'!N383</f>
        <v>0</v>
      </c>
      <c r="O18" s="198">
        <f t="shared" si="4"/>
        <v>0</v>
      </c>
      <c r="P18" s="195">
        <f t="shared" si="5"/>
        <v>0</v>
      </c>
      <c r="Q18" s="196">
        <f>'Program Budget'!R383</f>
        <v>0</v>
      </c>
      <c r="R18" s="199">
        <f>'Program Budget'!Q383</f>
        <v>0</v>
      </c>
      <c r="S18" s="198">
        <f t="shared" si="6"/>
        <v>0</v>
      </c>
      <c r="T18" s="333">
        <f t="shared" si="7"/>
        <v>0</v>
      </c>
      <c r="U18" s="201"/>
      <c r="V18" s="188"/>
      <c r="W18" s="202"/>
      <c r="X18" s="202"/>
      <c r="AB18" s="163"/>
      <c r="AC18" s="203"/>
      <c r="AD18" s="203"/>
      <c r="AE18" s="204"/>
      <c r="AG18" s="205"/>
    </row>
    <row r="19" spans="1:33" ht="15" customHeight="1" outlineLevel="1">
      <c r="A19" s="193" t="str">
        <f>'Program Budget'!D384</f>
        <v>Extension Agents for EPSEAS (20 in Y6 and 25 in Y7)</v>
      </c>
      <c r="B19" s="194" t="str">
        <f>'Program Budget'!F384</f>
        <v>Month</v>
      </c>
      <c r="C19" s="198">
        <f>'Program Budget'!E384</f>
        <v>0</v>
      </c>
      <c r="D19" s="195">
        <f>'Program Budget'!G384</f>
        <v>1000</v>
      </c>
      <c r="E19" s="196">
        <f>'Program Budget'!I384</f>
        <v>0</v>
      </c>
      <c r="F19" s="199">
        <f>'Program Budget'!H384</f>
        <v>0</v>
      </c>
      <c r="G19" s="198">
        <f t="shared" si="0"/>
        <v>0</v>
      </c>
      <c r="H19" s="195">
        <f t="shared" si="1"/>
        <v>1050</v>
      </c>
      <c r="I19" s="196">
        <f>'Program Budget'!L384</f>
        <v>12</v>
      </c>
      <c r="J19" s="199">
        <f>'Program Budget'!K384</f>
        <v>0</v>
      </c>
      <c r="K19" s="198">
        <f t="shared" si="2"/>
        <v>0</v>
      </c>
      <c r="L19" s="195">
        <f t="shared" si="3"/>
        <v>1102.5</v>
      </c>
      <c r="M19" s="196">
        <f>'Program Budget'!O384</f>
        <v>12</v>
      </c>
      <c r="N19" s="199">
        <f>'Program Budget'!N384</f>
        <v>0</v>
      </c>
      <c r="O19" s="198">
        <f t="shared" si="4"/>
        <v>0</v>
      </c>
      <c r="P19" s="195">
        <f t="shared" si="5"/>
        <v>1157.625</v>
      </c>
      <c r="Q19" s="196">
        <f>'Program Budget'!R384</f>
        <v>0</v>
      </c>
      <c r="R19" s="199">
        <f>'Program Budget'!Q384</f>
        <v>0</v>
      </c>
      <c r="S19" s="198">
        <f t="shared" si="6"/>
        <v>0</v>
      </c>
      <c r="T19" s="333">
        <f t="shared" si="7"/>
        <v>0</v>
      </c>
      <c r="U19" s="201"/>
      <c r="V19" s="188"/>
      <c r="W19" s="202"/>
      <c r="X19" s="202"/>
      <c r="AB19" s="163"/>
      <c r="AC19" s="203"/>
      <c r="AD19" s="203"/>
      <c r="AE19" s="204"/>
      <c r="AG19" s="205"/>
    </row>
    <row r="20" spans="1:33" ht="15" customHeight="1" outlineLevel="1">
      <c r="A20" s="193" t="str">
        <f>'Program Budget'!D385</f>
        <v xml:space="preserve">Senior M&amp;E Director </v>
      </c>
      <c r="B20" s="194" t="str">
        <f>'Program Budget'!F385</f>
        <v>Month</v>
      </c>
      <c r="C20" s="198">
        <f>'Program Budget'!E385</f>
        <v>13927.82</v>
      </c>
      <c r="D20" s="195">
        <f>'Program Budget'!G385</f>
        <v>6250</v>
      </c>
      <c r="E20" s="196">
        <f>'Program Budget'!I385</f>
        <v>12</v>
      </c>
      <c r="F20" s="199">
        <f>'Program Budget'!H385</f>
        <v>0.1</v>
      </c>
      <c r="G20" s="198">
        <f t="shared" si="0"/>
        <v>7500</v>
      </c>
      <c r="H20" s="195">
        <f t="shared" si="1"/>
        <v>6562.5</v>
      </c>
      <c r="I20" s="196">
        <f>'Program Budget'!L385</f>
        <v>12</v>
      </c>
      <c r="J20" s="199">
        <f>'Program Budget'!K385</f>
        <v>0.19</v>
      </c>
      <c r="K20" s="198">
        <f t="shared" si="2"/>
        <v>14962.5</v>
      </c>
      <c r="L20" s="195">
        <f t="shared" si="3"/>
        <v>6890.625</v>
      </c>
      <c r="M20" s="196">
        <f>'Program Budget'!O385</f>
        <v>12</v>
      </c>
      <c r="N20" s="199">
        <f>'Program Budget'!N385</f>
        <v>0.19</v>
      </c>
      <c r="O20" s="198">
        <f t="shared" si="4"/>
        <v>15710.625</v>
      </c>
      <c r="P20" s="195">
        <f t="shared" si="5"/>
        <v>7235.15625</v>
      </c>
      <c r="Q20" s="196">
        <f>'Program Budget'!R385</f>
        <v>6</v>
      </c>
      <c r="R20" s="199">
        <f>'Program Budget'!Q385</f>
        <v>0.19</v>
      </c>
      <c r="S20" s="198">
        <f t="shared" si="6"/>
        <v>8248.078125</v>
      </c>
      <c r="T20" s="333">
        <f t="shared" si="7"/>
        <v>60349.023125</v>
      </c>
      <c r="U20" s="201"/>
      <c r="V20" s="188"/>
      <c r="W20" s="202"/>
      <c r="X20" s="202"/>
      <c r="AB20" s="163"/>
      <c r="AC20" s="203"/>
      <c r="AD20" s="203"/>
      <c r="AE20" s="204"/>
      <c r="AG20" s="205"/>
    </row>
    <row r="21" spans="1:33" ht="15" customHeight="1" outlineLevel="1">
      <c r="A21" s="193" t="str">
        <f>'Program Budget'!D386</f>
        <v>Senior M&amp;E Specialist</v>
      </c>
      <c r="B21" s="194" t="str">
        <f>'Program Budget'!F386</f>
        <v>Month</v>
      </c>
      <c r="C21" s="198">
        <f>'Program Budget'!E386</f>
        <v>9010.58</v>
      </c>
      <c r="D21" s="195">
        <f>'Program Budget'!G386</f>
        <v>2833.3333333333335</v>
      </c>
      <c r="E21" s="196">
        <f>'Program Budget'!I386</f>
        <v>12</v>
      </c>
      <c r="F21" s="199">
        <f>'Program Budget'!H386</f>
        <v>0.1</v>
      </c>
      <c r="G21" s="198">
        <f t="shared" si="0"/>
        <v>3400</v>
      </c>
      <c r="H21" s="195">
        <f t="shared" si="1"/>
        <v>2975.0000000000005</v>
      </c>
      <c r="I21" s="196">
        <f>'Program Budget'!L386</f>
        <v>12</v>
      </c>
      <c r="J21" s="199">
        <f>'Program Budget'!K386</f>
        <v>0.19</v>
      </c>
      <c r="K21" s="198">
        <f t="shared" si="2"/>
        <v>6783.0000000000018</v>
      </c>
      <c r="L21" s="195">
        <f t="shared" si="3"/>
        <v>3123.7500000000005</v>
      </c>
      <c r="M21" s="196">
        <f>'Program Budget'!O386</f>
        <v>12</v>
      </c>
      <c r="N21" s="199">
        <f>'Program Budget'!N386</f>
        <v>0.19</v>
      </c>
      <c r="O21" s="198">
        <f t="shared" si="4"/>
        <v>7122.1500000000015</v>
      </c>
      <c r="P21" s="195">
        <f t="shared" si="5"/>
        <v>3279.9375000000005</v>
      </c>
      <c r="Q21" s="196">
        <f>'Program Budget'!R386</f>
        <v>6</v>
      </c>
      <c r="R21" s="199">
        <f>'Program Budget'!Q386</f>
        <v>0.19</v>
      </c>
      <c r="S21" s="198">
        <f t="shared" si="6"/>
        <v>3739.1287500000008</v>
      </c>
      <c r="T21" s="333">
        <f t="shared" si="7"/>
        <v>30054.858750000003</v>
      </c>
      <c r="U21" s="201"/>
      <c r="V21" s="188"/>
      <c r="W21" s="202"/>
      <c r="X21" s="202"/>
      <c r="AB21" s="163"/>
      <c r="AC21" s="203"/>
      <c r="AD21" s="203"/>
      <c r="AE21" s="204"/>
      <c r="AG21" s="205"/>
    </row>
    <row r="22" spans="1:33" ht="15" customHeight="1" outlineLevel="1">
      <c r="A22" s="193" t="str">
        <f>'Program Budget'!D387</f>
        <v>M&amp;E Specialist</v>
      </c>
      <c r="B22" s="194" t="str">
        <f>'Program Budget'!F387</f>
        <v>Month</v>
      </c>
      <c r="C22" s="198">
        <f>'Program Budget'!E387</f>
        <v>6913.58</v>
      </c>
      <c r="D22" s="195">
        <f>'Program Budget'!G387</f>
        <v>2500</v>
      </c>
      <c r="E22" s="196">
        <f>'Program Budget'!I387</f>
        <v>12</v>
      </c>
      <c r="F22" s="199">
        <f>'Program Budget'!H387</f>
        <v>0.1</v>
      </c>
      <c r="G22" s="198">
        <f t="shared" si="0"/>
        <v>3000</v>
      </c>
      <c r="H22" s="195">
        <f t="shared" si="1"/>
        <v>2625</v>
      </c>
      <c r="I22" s="196">
        <f>'Program Budget'!L387</f>
        <v>12</v>
      </c>
      <c r="J22" s="199">
        <f>'Program Budget'!K387</f>
        <v>0.19</v>
      </c>
      <c r="K22" s="198">
        <f t="shared" si="2"/>
        <v>5985</v>
      </c>
      <c r="L22" s="195">
        <f t="shared" si="3"/>
        <v>2756.25</v>
      </c>
      <c r="M22" s="196">
        <f>'Program Budget'!O387</f>
        <v>12</v>
      </c>
      <c r="N22" s="199">
        <f>'Program Budget'!N387</f>
        <v>0.19</v>
      </c>
      <c r="O22" s="198">
        <f t="shared" si="4"/>
        <v>6284.25</v>
      </c>
      <c r="P22" s="195">
        <f t="shared" si="5"/>
        <v>2894.0625</v>
      </c>
      <c r="Q22" s="196">
        <f>'Program Budget'!R387</f>
        <v>3</v>
      </c>
      <c r="R22" s="199">
        <f>'Program Budget'!Q387</f>
        <v>0.19</v>
      </c>
      <c r="S22" s="198">
        <f t="shared" si="6"/>
        <v>1649.6156249999999</v>
      </c>
      <c r="T22" s="333">
        <f t="shared" si="7"/>
        <v>23832.445625</v>
      </c>
      <c r="U22" s="201"/>
      <c r="V22" s="188"/>
      <c r="W22" s="202"/>
      <c r="X22" s="202"/>
      <c r="AB22" s="163"/>
      <c r="AC22" s="203"/>
      <c r="AD22" s="203"/>
      <c r="AE22" s="204"/>
      <c r="AG22" s="205"/>
    </row>
    <row r="23" spans="1:33" ht="15" customHeight="1" outlineLevel="1">
      <c r="A23" s="193" t="str">
        <f>'Program Budget'!D388</f>
        <v>M&amp;E Officer</v>
      </c>
      <c r="B23" s="194" t="str">
        <f>'Program Budget'!F388</f>
        <v>Month</v>
      </c>
      <c r="C23" s="198">
        <f>'Program Budget'!E388</f>
        <v>0</v>
      </c>
      <c r="D23" s="195">
        <f>'Program Budget'!G388</f>
        <v>1000</v>
      </c>
      <c r="E23" s="196">
        <f>'Program Budget'!I388</f>
        <v>12</v>
      </c>
      <c r="F23" s="199">
        <f>'Program Budget'!H388</f>
        <v>0.1</v>
      </c>
      <c r="G23" s="198">
        <f t="shared" si="0"/>
        <v>1200</v>
      </c>
      <c r="H23" s="195">
        <f t="shared" si="1"/>
        <v>1050</v>
      </c>
      <c r="I23" s="196">
        <f>'Program Budget'!L388</f>
        <v>12</v>
      </c>
      <c r="J23" s="199">
        <f>'Program Budget'!K388</f>
        <v>0.4</v>
      </c>
      <c r="K23" s="198">
        <f t="shared" si="2"/>
        <v>5040</v>
      </c>
      <c r="L23" s="195">
        <f t="shared" si="3"/>
        <v>1102.5</v>
      </c>
      <c r="M23" s="196">
        <f>'Program Budget'!O388</f>
        <v>12</v>
      </c>
      <c r="N23" s="199">
        <f>'Program Budget'!N388</f>
        <v>0.4</v>
      </c>
      <c r="O23" s="198">
        <f t="shared" si="4"/>
        <v>5292</v>
      </c>
      <c r="P23" s="195">
        <f t="shared" si="5"/>
        <v>1157.625</v>
      </c>
      <c r="Q23" s="196">
        <f>'Program Budget'!R388</f>
        <v>3</v>
      </c>
      <c r="R23" s="199">
        <f>'Program Budget'!Q388</f>
        <v>0.4</v>
      </c>
      <c r="S23" s="198">
        <f t="shared" si="6"/>
        <v>1389.15</v>
      </c>
      <c r="T23" s="333">
        <f t="shared" si="7"/>
        <v>12921.15</v>
      </c>
      <c r="U23" s="201"/>
      <c r="V23" s="188"/>
      <c r="W23" s="202"/>
      <c r="X23" s="202"/>
      <c r="AB23" s="163"/>
      <c r="AC23" s="203"/>
      <c r="AD23" s="203"/>
      <c r="AE23" s="204"/>
      <c r="AG23" s="205"/>
    </row>
    <row r="24" spans="1:33" ht="15" customHeight="1" outlineLevel="1">
      <c r="A24" s="193" t="str">
        <f>'Program Budget'!D389</f>
        <v>Partnerships and Investment Director</v>
      </c>
      <c r="B24" s="194" t="str">
        <f>'Program Budget'!F389</f>
        <v>Month</v>
      </c>
      <c r="C24" s="198">
        <f>'Program Budget'!E389</f>
        <v>46872.42</v>
      </c>
      <c r="D24" s="195">
        <f>'Program Budget'!G389</f>
        <v>4583.333333333333</v>
      </c>
      <c r="E24" s="196">
        <f>'Program Budget'!I389</f>
        <v>12</v>
      </c>
      <c r="F24" s="199">
        <f>'Program Budget'!H389</f>
        <v>0.1</v>
      </c>
      <c r="G24" s="198">
        <f t="shared" si="0"/>
        <v>5500</v>
      </c>
      <c r="H24" s="195">
        <f t="shared" si="1"/>
        <v>4812.5</v>
      </c>
      <c r="I24" s="196">
        <f>'Program Budget'!L389</f>
        <v>12</v>
      </c>
      <c r="J24" s="199">
        <f>'Program Budget'!K389</f>
        <v>0.4</v>
      </c>
      <c r="K24" s="198">
        <f t="shared" si="2"/>
        <v>23100</v>
      </c>
      <c r="L24" s="195">
        <f t="shared" si="3"/>
        <v>5053.125</v>
      </c>
      <c r="M24" s="196">
        <f>'Program Budget'!O389</f>
        <v>12</v>
      </c>
      <c r="N24" s="199">
        <f>'Program Budget'!N389</f>
        <v>0.4</v>
      </c>
      <c r="O24" s="198">
        <f t="shared" si="4"/>
        <v>24255</v>
      </c>
      <c r="P24" s="195">
        <f t="shared" si="5"/>
        <v>5305.78125</v>
      </c>
      <c r="Q24" s="196">
        <f>'Program Budget'!R389</f>
        <v>0</v>
      </c>
      <c r="R24" s="199">
        <f>'Program Budget'!Q389</f>
        <v>0.4</v>
      </c>
      <c r="S24" s="198">
        <f t="shared" si="6"/>
        <v>0</v>
      </c>
      <c r="T24" s="333">
        <f t="shared" si="7"/>
        <v>99727.42</v>
      </c>
      <c r="U24" s="201"/>
      <c r="V24" s="188"/>
      <c r="W24" s="202"/>
      <c r="X24" s="202"/>
      <c r="AB24" s="163"/>
      <c r="AC24" s="203"/>
      <c r="AD24" s="203"/>
      <c r="AE24" s="204"/>
      <c r="AG24" s="205"/>
    </row>
    <row r="25" spans="1:33" ht="15" customHeight="1" outlineLevel="1">
      <c r="A25" s="193" t="str">
        <f>'Program Budget'!D390</f>
        <v>Partnerships and Investment Specialist</v>
      </c>
      <c r="B25" s="194" t="str">
        <f>'Program Budget'!F390</f>
        <v>Month</v>
      </c>
      <c r="C25" s="198">
        <f>'Program Budget'!E390</f>
        <v>0</v>
      </c>
      <c r="D25" s="195">
        <f>'Program Budget'!G390</f>
        <v>1750</v>
      </c>
      <c r="E25" s="196">
        <f>'Program Budget'!I390</f>
        <v>12</v>
      </c>
      <c r="F25" s="199">
        <f>'Program Budget'!H390</f>
        <v>0.1</v>
      </c>
      <c r="G25" s="198">
        <f t="shared" si="0"/>
        <v>2100</v>
      </c>
      <c r="H25" s="195">
        <f t="shared" si="1"/>
        <v>1837.5</v>
      </c>
      <c r="I25" s="196">
        <f>'Program Budget'!L390</f>
        <v>12</v>
      </c>
      <c r="J25" s="199">
        <f>'Program Budget'!K390</f>
        <v>0.2</v>
      </c>
      <c r="K25" s="198">
        <f t="shared" si="2"/>
        <v>4410</v>
      </c>
      <c r="L25" s="195">
        <f t="shared" si="3"/>
        <v>1929.375</v>
      </c>
      <c r="M25" s="196">
        <f>'Program Budget'!O390</f>
        <v>12</v>
      </c>
      <c r="N25" s="199">
        <f>'Program Budget'!N390</f>
        <v>0.2</v>
      </c>
      <c r="O25" s="198">
        <f t="shared" si="4"/>
        <v>4630.5</v>
      </c>
      <c r="P25" s="195">
        <f t="shared" si="5"/>
        <v>2025.84375</v>
      </c>
      <c r="Q25" s="196">
        <f>'Program Budget'!R390</f>
        <v>0</v>
      </c>
      <c r="R25" s="199">
        <f>'Program Budget'!Q390</f>
        <v>0.2</v>
      </c>
      <c r="S25" s="198">
        <f t="shared" si="6"/>
        <v>0</v>
      </c>
      <c r="T25" s="333">
        <f t="shared" si="7"/>
        <v>11140.5</v>
      </c>
      <c r="U25" s="201"/>
      <c r="V25" s="188"/>
      <c r="W25" s="202"/>
      <c r="X25" s="202"/>
      <c r="AB25" s="163"/>
      <c r="AC25" s="203"/>
      <c r="AD25" s="203"/>
      <c r="AE25" s="204"/>
      <c r="AG25" s="205"/>
    </row>
    <row r="26" spans="1:33" ht="15" customHeight="1" outlineLevel="1">
      <c r="A26" s="193" t="str">
        <f>'Program Budget'!D391</f>
        <v>Organizational Strengthening Specialist</v>
      </c>
      <c r="B26" s="194" t="str">
        <f>'Program Budget'!F391</f>
        <v>Month</v>
      </c>
      <c r="C26" s="198">
        <f>'Program Budget'!E391</f>
        <v>0</v>
      </c>
      <c r="D26" s="195">
        <f>'Program Budget'!G391</f>
        <v>1750</v>
      </c>
      <c r="E26" s="196">
        <f>'Program Budget'!I391</f>
        <v>12</v>
      </c>
      <c r="F26" s="199">
        <f>'Program Budget'!H391</f>
        <v>0.1</v>
      </c>
      <c r="G26" s="198">
        <f t="shared" si="0"/>
        <v>2100</v>
      </c>
      <c r="H26" s="195">
        <f t="shared" si="1"/>
        <v>1837.5</v>
      </c>
      <c r="I26" s="196">
        <f>'Program Budget'!L391</f>
        <v>12</v>
      </c>
      <c r="J26" s="199">
        <f>'Program Budget'!K391</f>
        <v>0.5</v>
      </c>
      <c r="K26" s="198">
        <f t="shared" si="2"/>
        <v>11025</v>
      </c>
      <c r="L26" s="195">
        <f t="shared" si="3"/>
        <v>1929.375</v>
      </c>
      <c r="M26" s="196">
        <f>'Program Budget'!O391</f>
        <v>12</v>
      </c>
      <c r="N26" s="199">
        <f>'Program Budget'!N391</f>
        <v>0.5</v>
      </c>
      <c r="O26" s="198">
        <f t="shared" si="4"/>
        <v>11576.25</v>
      </c>
      <c r="P26" s="195">
        <f t="shared" si="5"/>
        <v>2025.84375</v>
      </c>
      <c r="Q26" s="196">
        <f>'Program Budget'!R391</f>
        <v>0</v>
      </c>
      <c r="R26" s="199">
        <f>'Program Budget'!Q391</f>
        <v>0.5</v>
      </c>
      <c r="S26" s="198">
        <f t="shared" si="6"/>
        <v>0</v>
      </c>
      <c r="T26" s="333">
        <f t="shared" si="7"/>
        <v>24701.25</v>
      </c>
      <c r="U26" s="201"/>
      <c r="V26" s="188"/>
      <c r="W26" s="202"/>
      <c r="X26" s="202"/>
      <c r="AB26" s="163"/>
      <c r="AC26" s="203"/>
      <c r="AD26" s="203"/>
      <c r="AE26" s="204"/>
      <c r="AG26" s="205"/>
    </row>
    <row r="27" spans="1:33" ht="15" customHeight="1" outlineLevel="1">
      <c r="A27" s="193" t="str">
        <f>'Program Budget'!D392</f>
        <v>Value Chain Strengthening Director</v>
      </c>
      <c r="B27" s="194" t="str">
        <f>'Program Budget'!F392</f>
        <v>Month</v>
      </c>
      <c r="C27" s="198">
        <f>'Program Budget'!E392</f>
        <v>0</v>
      </c>
      <c r="D27" s="195">
        <f>'Program Budget'!G392</f>
        <v>0</v>
      </c>
      <c r="E27" s="196">
        <f>'Program Budget'!I392</f>
        <v>12</v>
      </c>
      <c r="F27" s="199">
        <f>'Program Budget'!H392</f>
        <v>0.1</v>
      </c>
      <c r="G27" s="198">
        <f t="shared" si="0"/>
        <v>0</v>
      </c>
      <c r="H27" s="195">
        <f t="shared" si="1"/>
        <v>0</v>
      </c>
      <c r="I27" s="196">
        <f>'Program Budget'!L392</f>
        <v>12</v>
      </c>
      <c r="J27" s="199">
        <f>'Program Budget'!K392</f>
        <v>0.05</v>
      </c>
      <c r="K27" s="198">
        <f t="shared" si="2"/>
        <v>0</v>
      </c>
      <c r="L27" s="195">
        <f t="shared" si="3"/>
        <v>0</v>
      </c>
      <c r="M27" s="196">
        <f>'Program Budget'!O392</f>
        <v>12</v>
      </c>
      <c r="N27" s="199">
        <f>'Program Budget'!N392</f>
        <v>0.05</v>
      </c>
      <c r="O27" s="198">
        <f t="shared" si="4"/>
        <v>0</v>
      </c>
      <c r="P27" s="195">
        <f t="shared" si="5"/>
        <v>0</v>
      </c>
      <c r="Q27" s="196">
        <f>'Program Budget'!R392</f>
        <v>4</v>
      </c>
      <c r="R27" s="199">
        <f>'Program Budget'!Q392</f>
        <v>0.05</v>
      </c>
      <c r="S27" s="198">
        <f t="shared" si="6"/>
        <v>0</v>
      </c>
      <c r="T27" s="333">
        <f t="shared" si="7"/>
        <v>0</v>
      </c>
      <c r="U27" s="201"/>
      <c r="V27" s="188"/>
      <c r="W27" s="202"/>
      <c r="X27" s="202"/>
      <c r="AB27" s="163"/>
      <c r="AC27" s="203"/>
      <c r="AD27" s="203"/>
      <c r="AE27" s="204"/>
      <c r="AG27" s="205"/>
    </row>
    <row r="28" spans="1:33" ht="15" customHeight="1" outlineLevel="1">
      <c r="A28" s="193" t="str">
        <f>'Program Budget'!D393</f>
        <v>Communications Specialist</v>
      </c>
      <c r="B28" s="194" t="str">
        <f>'Program Budget'!F393</f>
        <v>Month</v>
      </c>
      <c r="C28" s="198">
        <f>'Program Budget'!E393</f>
        <v>0</v>
      </c>
      <c r="D28" s="195">
        <f>'Program Budget'!G393</f>
        <v>1750</v>
      </c>
      <c r="E28" s="196">
        <f>'Program Budget'!I393</f>
        <v>12</v>
      </c>
      <c r="F28" s="199">
        <f>'Program Budget'!H393</f>
        <v>0.1</v>
      </c>
      <c r="G28" s="198">
        <f t="shared" si="0"/>
        <v>2100</v>
      </c>
      <c r="H28" s="195">
        <f t="shared" si="1"/>
        <v>1837.5</v>
      </c>
      <c r="I28" s="196">
        <f>'Program Budget'!L393</f>
        <v>12</v>
      </c>
      <c r="J28" s="199">
        <f>'Program Budget'!K393</f>
        <v>0.18</v>
      </c>
      <c r="K28" s="198">
        <f t="shared" si="2"/>
        <v>3969</v>
      </c>
      <c r="L28" s="195">
        <f t="shared" si="3"/>
        <v>1929.375</v>
      </c>
      <c r="M28" s="196">
        <f>'Program Budget'!O393</f>
        <v>12</v>
      </c>
      <c r="N28" s="199">
        <f>'Program Budget'!N393</f>
        <v>0.18</v>
      </c>
      <c r="O28" s="198">
        <f t="shared" si="4"/>
        <v>4167.45</v>
      </c>
      <c r="P28" s="195">
        <f t="shared" si="5"/>
        <v>2025.84375</v>
      </c>
      <c r="Q28" s="196">
        <f>'Program Budget'!R393</f>
        <v>0</v>
      </c>
      <c r="R28" s="199">
        <f>'Program Budget'!Q393</f>
        <v>0.18</v>
      </c>
      <c r="S28" s="198">
        <f t="shared" si="6"/>
        <v>0</v>
      </c>
      <c r="T28" s="333">
        <f t="shared" si="7"/>
        <v>10236.450000000001</v>
      </c>
      <c r="U28" s="201"/>
      <c r="V28" s="188"/>
      <c r="W28" s="202"/>
      <c r="X28" s="202"/>
      <c r="AB28" s="163"/>
      <c r="AC28" s="203"/>
      <c r="AD28" s="203"/>
      <c r="AE28" s="204"/>
      <c r="AG28" s="205"/>
    </row>
    <row r="29" spans="1:33" ht="15" customHeight="1" outlineLevel="1">
      <c r="A29" s="193" t="str">
        <f>'Program Budget'!D394</f>
        <v>Value Chain Specialist</v>
      </c>
      <c r="B29" s="194" t="str">
        <f>'Program Budget'!F394</f>
        <v>Month</v>
      </c>
      <c r="C29" s="198">
        <f>'Program Budget'!E394</f>
        <v>0</v>
      </c>
      <c r="D29" s="195">
        <f>'Program Budget'!G394</f>
        <v>2500</v>
      </c>
      <c r="E29" s="196">
        <f>'Program Budget'!I394</f>
        <v>12</v>
      </c>
      <c r="F29" s="199">
        <f>'Program Budget'!H394</f>
        <v>0.1</v>
      </c>
      <c r="G29" s="198">
        <f t="shared" si="0"/>
        <v>3000</v>
      </c>
      <c r="H29" s="195">
        <f t="shared" si="1"/>
        <v>2625</v>
      </c>
      <c r="I29" s="196">
        <f>'Program Budget'!L394</f>
        <v>12</v>
      </c>
      <c r="J29" s="199">
        <f>'Program Budget'!K394</f>
        <v>0</v>
      </c>
      <c r="K29" s="198">
        <f t="shared" si="2"/>
        <v>0</v>
      </c>
      <c r="L29" s="195">
        <f t="shared" si="3"/>
        <v>2756.25</v>
      </c>
      <c r="M29" s="196">
        <f>'Program Budget'!O394</f>
        <v>12</v>
      </c>
      <c r="N29" s="199">
        <f>'Program Budget'!N394</f>
        <v>0</v>
      </c>
      <c r="O29" s="198">
        <f t="shared" si="4"/>
        <v>0</v>
      </c>
      <c r="P29" s="195">
        <f t="shared" si="5"/>
        <v>2894.0625</v>
      </c>
      <c r="Q29" s="196">
        <f>'Program Budget'!R394</f>
        <v>0</v>
      </c>
      <c r="R29" s="199">
        <f>'Program Budget'!Q394</f>
        <v>0</v>
      </c>
      <c r="S29" s="198">
        <f t="shared" si="6"/>
        <v>0</v>
      </c>
      <c r="T29" s="333">
        <f t="shared" si="7"/>
        <v>3000</v>
      </c>
      <c r="U29" s="201"/>
      <c r="V29" s="188"/>
      <c r="W29" s="202"/>
      <c r="X29" s="202"/>
      <c r="AB29" s="163"/>
      <c r="AC29" s="203"/>
      <c r="AD29" s="203"/>
      <c r="AE29" s="204"/>
      <c r="AG29" s="205"/>
    </row>
    <row r="30" spans="1:33" ht="15" customHeight="1" outlineLevel="1">
      <c r="A30" s="193" t="str">
        <f>'Program Budget'!D395</f>
        <v>Contracts &amp; Compliance Director</v>
      </c>
      <c r="B30" s="194" t="str">
        <f>'Program Budget'!F395</f>
        <v>Month</v>
      </c>
      <c r="C30" s="198">
        <f>'Program Budget'!E395</f>
        <v>8967.07</v>
      </c>
      <c r="D30" s="195">
        <f>'Program Budget'!G395</f>
        <v>4583.333333333333</v>
      </c>
      <c r="E30" s="196">
        <f>'Program Budget'!I395</f>
        <v>12</v>
      </c>
      <c r="F30" s="199">
        <f>'Program Budget'!H395</f>
        <v>0.1</v>
      </c>
      <c r="G30" s="198">
        <f t="shared" si="0"/>
        <v>5500</v>
      </c>
      <c r="H30" s="195">
        <f t="shared" si="1"/>
        <v>4812.5</v>
      </c>
      <c r="I30" s="196">
        <f>'Program Budget'!L395</f>
        <v>12</v>
      </c>
      <c r="J30" s="199">
        <f>'Program Budget'!K395</f>
        <v>0.18</v>
      </c>
      <c r="K30" s="198">
        <f t="shared" si="2"/>
        <v>10395</v>
      </c>
      <c r="L30" s="195">
        <f t="shared" si="3"/>
        <v>5053.125</v>
      </c>
      <c r="M30" s="196">
        <f>'Program Budget'!O395</f>
        <v>12</v>
      </c>
      <c r="N30" s="199">
        <f>'Program Budget'!N395</f>
        <v>0.18</v>
      </c>
      <c r="O30" s="198">
        <f t="shared" si="4"/>
        <v>10914.75</v>
      </c>
      <c r="P30" s="195">
        <f t="shared" si="5"/>
        <v>5305.78125</v>
      </c>
      <c r="Q30" s="196">
        <f>'Program Budget'!R395</f>
        <v>3</v>
      </c>
      <c r="R30" s="199">
        <f>'Program Budget'!Q395</f>
        <v>0.18</v>
      </c>
      <c r="S30" s="198">
        <f t="shared" si="6"/>
        <v>2865.1218749999998</v>
      </c>
      <c r="T30" s="333">
        <f t="shared" si="7"/>
        <v>38641.941874999997</v>
      </c>
      <c r="U30" s="201"/>
      <c r="V30" s="188"/>
      <c r="W30" s="202"/>
      <c r="X30" s="202"/>
      <c r="AB30" s="163"/>
      <c r="AC30" s="203"/>
      <c r="AD30" s="203"/>
      <c r="AE30" s="204"/>
      <c r="AG30" s="205"/>
    </row>
    <row r="31" spans="1:33" ht="15" customHeight="1" outlineLevel="1">
      <c r="A31" s="193" t="str">
        <f>'Program Budget'!D396</f>
        <v>Grants &amp; Procurement Specialist (2)</v>
      </c>
      <c r="B31" s="194" t="str">
        <f>'Program Budget'!F396</f>
        <v>Month</v>
      </c>
      <c r="C31" s="198">
        <f>'Program Budget'!E396</f>
        <v>0</v>
      </c>
      <c r="D31" s="195">
        <f>'Program Budget'!G396</f>
        <v>3500</v>
      </c>
      <c r="E31" s="196">
        <f>'Program Budget'!I396</f>
        <v>12</v>
      </c>
      <c r="F31" s="199">
        <f>'Program Budget'!H396</f>
        <v>0.25</v>
      </c>
      <c r="G31" s="198">
        <f t="shared" si="0"/>
        <v>10500</v>
      </c>
      <c r="H31" s="195">
        <f t="shared" si="1"/>
        <v>3675</v>
      </c>
      <c r="I31" s="196">
        <f>'Program Budget'!L396</f>
        <v>12</v>
      </c>
      <c r="J31" s="199">
        <f>'Program Budget'!K396</f>
        <v>0.25</v>
      </c>
      <c r="K31" s="198">
        <f t="shared" si="2"/>
        <v>11025</v>
      </c>
      <c r="L31" s="195">
        <f t="shared" si="3"/>
        <v>3858.75</v>
      </c>
      <c r="M31" s="196">
        <f>'Program Budget'!O396</f>
        <v>12</v>
      </c>
      <c r="N31" s="199">
        <f>'Program Budget'!N396</f>
        <v>0.25</v>
      </c>
      <c r="O31" s="198">
        <f t="shared" si="4"/>
        <v>11576.25</v>
      </c>
      <c r="P31" s="195">
        <f t="shared" si="5"/>
        <v>4051.6875</v>
      </c>
      <c r="Q31" s="196">
        <f>'Program Budget'!R396</f>
        <v>0</v>
      </c>
      <c r="R31" s="199">
        <f>'Program Budget'!Q396</f>
        <v>0.25</v>
      </c>
      <c r="S31" s="198">
        <f t="shared" si="6"/>
        <v>0</v>
      </c>
      <c r="T31" s="333">
        <f t="shared" si="7"/>
        <v>33101.25</v>
      </c>
      <c r="U31" s="201"/>
      <c r="V31" s="188"/>
      <c r="W31" s="202"/>
      <c r="X31" s="202"/>
      <c r="AB31" s="163"/>
      <c r="AC31" s="203"/>
      <c r="AD31" s="203"/>
      <c r="AE31" s="204"/>
      <c r="AG31" s="205"/>
    </row>
    <row r="32" spans="1:33" ht="15" customHeight="1" outlineLevel="1">
      <c r="A32" s="193" t="str">
        <f>'Program Budget'!D397</f>
        <v xml:space="preserve">F&amp;A Director </v>
      </c>
      <c r="B32" s="194" t="str">
        <f>'Program Budget'!F397</f>
        <v>Month</v>
      </c>
      <c r="C32" s="198">
        <f>'Program Budget'!E397</f>
        <v>5304.53</v>
      </c>
      <c r="D32" s="195">
        <f>'Program Budget'!G397</f>
        <v>5279.4</v>
      </c>
      <c r="E32" s="196">
        <f>'Program Budget'!I397</f>
        <v>12</v>
      </c>
      <c r="F32" s="199">
        <f>'Program Budget'!H397</f>
        <v>0.15</v>
      </c>
      <c r="G32" s="198">
        <f t="shared" si="0"/>
        <v>9502.9199999999983</v>
      </c>
      <c r="H32" s="195">
        <f t="shared" si="1"/>
        <v>5543.37</v>
      </c>
      <c r="I32" s="196">
        <f>'Program Budget'!L397</f>
        <v>12</v>
      </c>
      <c r="J32" s="199">
        <f>'Program Budget'!K397</f>
        <v>0.15</v>
      </c>
      <c r="K32" s="198">
        <f t="shared" si="2"/>
        <v>9978.0660000000007</v>
      </c>
      <c r="L32" s="195">
        <f t="shared" si="3"/>
        <v>5820.5385000000006</v>
      </c>
      <c r="M32" s="196">
        <f>'Program Budget'!O397</f>
        <v>12</v>
      </c>
      <c r="N32" s="199">
        <f>'Program Budget'!N397</f>
        <v>0.15</v>
      </c>
      <c r="O32" s="198">
        <f t="shared" si="4"/>
        <v>10476.969299999999</v>
      </c>
      <c r="P32" s="195">
        <f t="shared" si="5"/>
        <v>6111.5654250000007</v>
      </c>
      <c r="Q32" s="196">
        <f>'Program Budget'!R397</f>
        <v>6</v>
      </c>
      <c r="R32" s="199">
        <f>'Program Budget'!Q397</f>
        <v>0.15</v>
      </c>
      <c r="S32" s="198">
        <f t="shared" si="6"/>
        <v>5500.4088825000008</v>
      </c>
      <c r="T32" s="333">
        <f t="shared" si="7"/>
        <v>40762.894182499993</v>
      </c>
      <c r="U32" s="201"/>
      <c r="V32" s="188"/>
      <c r="W32" s="202"/>
      <c r="X32" s="202"/>
      <c r="AB32" s="163"/>
      <c r="AC32" s="203"/>
      <c r="AD32" s="203"/>
      <c r="AE32" s="204"/>
      <c r="AG32" s="205"/>
    </row>
    <row r="33" spans="1:33" ht="15" customHeight="1" outlineLevel="1">
      <c r="A33" s="193" t="str">
        <f>'Program Budget'!D398</f>
        <v>Accounting &amp; Finance Specialist</v>
      </c>
      <c r="B33" s="194" t="str">
        <f>'Program Budget'!F398</f>
        <v>Month</v>
      </c>
      <c r="C33" s="198">
        <f>'Program Budget'!E398</f>
        <v>0</v>
      </c>
      <c r="D33" s="195">
        <f>'Program Budget'!G398</f>
        <v>1750</v>
      </c>
      <c r="E33" s="196">
        <f>'Program Budget'!I398</f>
        <v>12</v>
      </c>
      <c r="F33" s="199">
        <f>'Program Budget'!H398</f>
        <v>0.1</v>
      </c>
      <c r="G33" s="198">
        <f t="shared" si="0"/>
        <v>2100</v>
      </c>
      <c r="H33" s="195">
        <f t="shared" si="1"/>
        <v>1837.5</v>
      </c>
      <c r="I33" s="196">
        <f>'Program Budget'!L398</f>
        <v>12</v>
      </c>
      <c r="J33" s="199">
        <f>'Program Budget'!K398</f>
        <v>0.16</v>
      </c>
      <c r="K33" s="198">
        <f t="shared" si="2"/>
        <v>3528</v>
      </c>
      <c r="L33" s="195">
        <f t="shared" si="3"/>
        <v>1929.375</v>
      </c>
      <c r="M33" s="196">
        <f>'Program Budget'!O398</f>
        <v>12</v>
      </c>
      <c r="N33" s="199">
        <f>'Program Budget'!N398</f>
        <v>0.16</v>
      </c>
      <c r="O33" s="198">
        <f t="shared" si="4"/>
        <v>3704.4</v>
      </c>
      <c r="P33" s="195">
        <f t="shared" si="5"/>
        <v>2025.84375</v>
      </c>
      <c r="Q33" s="196">
        <f>'Program Budget'!R398</f>
        <v>3</v>
      </c>
      <c r="R33" s="199">
        <f>'Program Budget'!Q398</f>
        <v>0.16</v>
      </c>
      <c r="S33" s="198">
        <f t="shared" si="6"/>
        <v>972.40499999999997</v>
      </c>
      <c r="T33" s="333">
        <f t="shared" si="7"/>
        <v>10304.805</v>
      </c>
      <c r="U33" s="201"/>
      <c r="V33" s="188"/>
      <c r="W33" s="202"/>
      <c r="X33" s="202"/>
      <c r="AB33" s="163"/>
      <c r="AC33" s="203"/>
      <c r="AD33" s="203"/>
      <c r="AE33" s="204"/>
      <c r="AG33" s="205"/>
    </row>
    <row r="34" spans="1:33" ht="15" customHeight="1" outlineLevel="1">
      <c r="A34" s="193" t="str">
        <f>'Program Budget'!D399</f>
        <v xml:space="preserve">Accountant </v>
      </c>
      <c r="B34" s="194" t="str">
        <f>'Program Budget'!F399</f>
        <v>Month</v>
      </c>
      <c r="C34" s="198">
        <f>'Program Budget'!E399</f>
        <v>0</v>
      </c>
      <c r="D34" s="195">
        <f>'Program Budget'!G399</f>
        <v>1750</v>
      </c>
      <c r="E34" s="196">
        <f>'Program Budget'!I399</f>
        <v>12</v>
      </c>
      <c r="F34" s="199">
        <f>'Program Budget'!H399</f>
        <v>0.1</v>
      </c>
      <c r="G34" s="198">
        <f t="shared" si="0"/>
        <v>2100</v>
      </c>
      <c r="H34" s="195">
        <f t="shared" si="1"/>
        <v>1837.5</v>
      </c>
      <c r="I34" s="196">
        <f>'Program Budget'!L399</f>
        <v>12</v>
      </c>
      <c r="J34" s="199">
        <f>'Program Budget'!K399</f>
        <v>0.16</v>
      </c>
      <c r="K34" s="198">
        <f t="shared" si="2"/>
        <v>3528</v>
      </c>
      <c r="L34" s="195">
        <f t="shared" si="3"/>
        <v>1929.375</v>
      </c>
      <c r="M34" s="196">
        <f>'Program Budget'!O399</f>
        <v>12</v>
      </c>
      <c r="N34" s="199">
        <f>'Program Budget'!N399</f>
        <v>0.16</v>
      </c>
      <c r="O34" s="198">
        <f t="shared" si="4"/>
        <v>3704.4</v>
      </c>
      <c r="P34" s="195">
        <f t="shared" si="5"/>
        <v>2025.84375</v>
      </c>
      <c r="Q34" s="196">
        <f>'Program Budget'!R399</f>
        <v>5</v>
      </c>
      <c r="R34" s="199">
        <f>'Program Budget'!Q399</f>
        <v>0.16</v>
      </c>
      <c r="S34" s="198">
        <f t="shared" si="6"/>
        <v>1620.675</v>
      </c>
      <c r="T34" s="333">
        <f t="shared" si="7"/>
        <v>10953.074999999999</v>
      </c>
      <c r="U34" s="201"/>
      <c r="V34" s="188"/>
      <c r="W34" s="202"/>
      <c r="X34" s="202"/>
      <c r="AB34" s="163"/>
      <c r="AC34" s="203"/>
      <c r="AD34" s="203"/>
      <c r="AE34" s="204"/>
      <c r="AG34" s="205"/>
    </row>
    <row r="35" spans="1:33" ht="15" customHeight="1" outlineLevel="1">
      <c r="A35" s="193" t="str">
        <f>'Program Budget'!D400</f>
        <v>Finance &amp; Admin Coordinator - 50% LOE</v>
      </c>
      <c r="B35" s="194" t="str">
        <f>'Program Budget'!F400</f>
        <v>Month</v>
      </c>
      <c r="C35" s="198">
        <f>'Program Budget'!E400</f>
        <v>0</v>
      </c>
      <c r="D35" s="195">
        <f>'Program Budget'!G400</f>
        <v>2583.3333333333335</v>
      </c>
      <c r="E35" s="196">
        <f>'Program Budget'!I400</f>
        <v>12</v>
      </c>
      <c r="F35" s="199">
        <f>'Program Budget'!H400</f>
        <v>0.1</v>
      </c>
      <c r="G35" s="198">
        <f t="shared" si="0"/>
        <v>3100</v>
      </c>
      <c r="H35" s="195">
        <f t="shared" si="1"/>
        <v>2712.5000000000005</v>
      </c>
      <c r="I35" s="196">
        <f>'Program Budget'!L400</f>
        <v>12</v>
      </c>
      <c r="J35" s="199">
        <f>'Program Budget'!K400</f>
        <v>0.1</v>
      </c>
      <c r="K35" s="198">
        <f t="shared" si="2"/>
        <v>3255.0000000000009</v>
      </c>
      <c r="L35" s="195">
        <f t="shared" si="3"/>
        <v>2848.1250000000005</v>
      </c>
      <c r="M35" s="196">
        <f>'Program Budget'!O400</f>
        <v>12</v>
      </c>
      <c r="N35" s="199">
        <f>'Program Budget'!N400</f>
        <v>0.1</v>
      </c>
      <c r="O35" s="198">
        <f t="shared" si="4"/>
        <v>3417.7500000000009</v>
      </c>
      <c r="P35" s="195">
        <f t="shared" si="5"/>
        <v>2990.5312500000005</v>
      </c>
      <c r="Q35" s="196">
        <f>'Program Budget'!R400</f>
        <v>6</v>
      </c>
      <c r="R35" s="199">
        <f>'Program Budget'!Q400</f>
        <v>0.1</v>
      </c>
      <c r="S35" s="198">
        <f t="shared" si="6"/>
        <v>1794.3187500000004</v>
      </c>
      <c r="T35" s="333">
        <f t="shared" si="7"/>
        <v>11567.068750000002</v>
      </c>
      <c r="U35" s="201"/>
      <c r="V35" s="188"/>
      <c r="W35" s="202"/>
      <c r="X35" s="202"/>
      <c r="AB35" s="163">
        <v>180</v>
      </c>
      <c r="AC35" s="203" t="s">
        <v>547</v>
      </c>
      <c r="AD35" s="203" t="s">
        <v>548</v>
      </c>
      <c r="AE35" s="204"/>
      <c r="AG35" s="205"/>
    </row>
    <row r="36" spans="1:33" ht="15" customHeight="1" outlineLevel="1">
      <c r="A36" s="193" t="str">
        <f>'Program Budget'!D401</f>
        <v xml:space="preserve">Administrative Officer </v>
      </c>
      <c r="B36" s="194" t="str">
        <f>'Program Budget'!F401</f>
        <v>Month</v>
      </c>
      <c r="C36" s="198">
        <f>'Program Budget'!E401</f>
        <v>2991.77</v>
      </c>
      <c r="D36" s="195">
        <f>'Program Budget'!G401</f>
        <v>1000</v>
      </c>
      <c r="E36" s="196">
        <f>'Program Budget'!I401</f>
        <v>12</v>
      </c>
      <c r="F36" s="199">
        <f>'Program Budget'!H401</f>
        <v>0.1</v>
      </c>
      <c r="G36" s="198">
        <f t="shared" si="0"/>
        <v>1200</v>
      </c>
      <c r="H36" s="195">
        <f t="shared" si="1"/>
        <v>1050</v>
      </c>
      <c r="I36" s="196">
        <f>'Program Budget'!L401</f>
        <v>12</v>
      </c>
      <c r="J36" s="199">
        <f>'Program Budget'!K401</f>
        <v>0.1</v>
      </c>
      <c r="K36" s="198">
        <f t="shared" si="2"/>
        <v>1260</v>
      </c>
      <c r="L36" s="195">
        <f t="shared" si="3"/>
        <v>1102.5</v>
      </c>
      <c r="M36" s="196">
        <f>'Program Budget'!O401</f>
        <v>12</v>
      </c>
      <c r="N36" s="199">
        <f>'Program Budget'!N401</f>
        <v>0.1</v>
      </c>
      <c r="O36" s="198">
        <f t="shared" si="4"/>
        <v>1323</v>
      </c>
      <c r="P36" s="195">
        <f t="shared" si="5"/>
        <v>1157.625</v>
      </c>
      <c r="Q36" s="196">
        <f>'Program Budget'!R401</f>
        <v>3</v>
      </c>
      <c r="R36" s="199">
        <f>'Program Budget'!Q401</f>
        <v>0.1</v>
      </c>
      <c r="S36" s="198">
        <f t="shared" si="6"/>
        <v>347.28750000000002</v>
      </c>
      <c r="T36" s="333">
        <f t="shared" si="7"/>
        <v>7122.0575000000008</v>
      </c>
      <c r="U36" s="201"/>
      <c r="V36" s="188"/>
      <c r="W36" s="202"/>
      <c r="X36" s="202"/>
      <c r="AB36" s="163"/>
      <c r="AC36" s="203"/>
      <c r="AD36" s="203"/>
      <c r="AE36" s="204"/>
      <c r="AG36" s="205"/>
    </row>
    <row r="37" spans="1:33" ht="15" customHeight="1" outlineLevel="1">
      <c r="A37" s="193" t="str">
        <f>'Program Budget'!D402</f>
        <v>Human Resource Manager</v>
      </c>
      <c r="B37" s="194" t="str">
        <f>'Program Budget'!F402</f>
        <v>Month</v>
      </c>
      <c r="C37" s="198">
        <f>'Program Budget'!E402</f>
        <v>0</v>
      </c>
      <c r="D37" s="195">
        <f>'Program Budget'!G402</f>
        <v>1954.1666666666667</v>
      </c>
      <c r="E37" s="196">
        <f>'Program Budget'!I402</f>
        <v>12</v>
      </c>
      <c r="F37" s="199">
        <f>'Program Budget'!H402</f>
        <v>0.1</v>
      </c>
      <c r="G37" s="198">
        <f t="shared" si="0"/>
        <v>2345</v>
      </c>
      <c r="H37" s="195">
        <f t="shared" si="1"/>
        <v>2051.875</v>
      </c>
      <c r="I37" s="196">
        <f>'Program Budget'!L402</f>
        <v>12</v>
      </c>
      <c r="J37" s="199">
        <f>'Program Budget'!K402</f>
        <v>0.1</v>
      </c>
      <c r="K37" s="198">
        <f t="shared" si="2"/>
        <v>2462.25</v>
      </c>
      <c r="L37" s="195">
        <f t="shared" si="3"/>
        <v>2154.46875</v>
      </c>
      <c r="M37" s="196">
        <f>'Program Budget'!O402</f>
        <v>12</v>
      </c>
      <c r="N37" s="199">
        <f>'Program Budget'!N402</f>
        <v>0.1</v>
      </c>
      <c r="O37" s="198">
        <f t="shared" si="4"/>
        <v>2585.3625000000002</v>
      </c>
      <c r="P37" s="195">
        <f t="shared" si="5"/>
        <v>2262.1921875000003</v>
      </c>
      <c r="Q37" s="196">
        <f>'Program Budget'!R402</f>
        <v>6</v>
      </c>
      <c r="R37" s="199">
        <f>'Program Budget'!Q402</f>
        <v>0.1</v>
      </c>
      <c r="S37" s="198">
        <f t="shared" si="6"/>
        <v>1357.3153125000001</v>
      </c>
      <c r="T37" s="333">
        <f t="shared" si="7"/>
        <v>8749.9278125000001</v>
      </c>
      <c r="U37" s="201"/>
      <c r="V37" s="188"/>
      <c r="W37" s="202"/>
      <c r="X37" s="202"/>
      <c r="AB37" s="163"/>
      <c r="AC37" s="203"/>
      <c r="AD37" s="203"/>
      <c r="AE37" s="204"/>
      <c r="AG37" s="205"/>
    </row>
    <row r="38" spans="1:33" ht="15" customHeight="1" outlineLevel="1">
      <c r="A38" s="193" t="str">
        <f>'Program Budget'!D403</f>
        <v>Human Resource Specialist</v>
      </c>
      <c r="B38" s="194" t="str">
        <f>'Program Budget'!F403</f>
        <v>Month</v>
      </c>
      <c r="C38" s="198">
        <f>'Program Budget'!E403</f>
        <v>0</v>
      </c>
      <c r="D38" s="195">
        <f>'Program Budget'!G403</f>
        <v>1750</v>
      </c>
      <c r="E38" s="196">
        <f>'Program Budget'!I403</f>
        <v>12</v>
      </c>
      <c r="F38" s="199">
        <f>'Program Budget'!H403</f>
        <v>0.1</v>
      </c>
      <c r="G38" s="198">
        <f t="shared" si="0"/>
        <v>2100</v>
      </c>
      <c r="H38" s="195">
        <f t="shared" si="1"/>
        <v>1837.5</v>
      </c>
      <c r="I38" s="196">
        <f>'Program Budget'!L403</f>
        <v>12</v>
      </c>
      <c r="J38" s="199">
        <f>'Program Budget'!K403</f>
        <v>0.1</v>
      </c>
      <c r="K38" s="198">
        <f t="shared" si="2"/>
        <v>2205</v>
      </c>
      <c r="L38" s="195">
        <f t="shared" si="3"/>
        <v>1929.375</v>
      </c>
      <c r="M38" s="196">
        <f>'Program Budget'!O403</f>
        <v>12</v>
      </c>
      <c r="N38" s="199">
        <f>'Program Budget'!N403</f>
        <v>0.1</v>
      </c>
      <c r="O38" s="198">
        <f t="shared" si="4"/>
        <v>2315.25</v>
      </c>
      <c r="P38" s="195">
        <f t="shared" si="5"/>
        <v>2025.84375</v>
      </c>
      <c r="Q38" s="196">
        <f>'Program Budget'!R403</f>
        <v>3</v>
      </c>
      <c r="R38" s="199">
        <f>'Program Budget'!Q403</f>
        <v>0.1</v>
      </c>
      <c r="S38" s="198">
        <f t="shared" si="6"/>
        <v>607.75312500000007</v>
      </c>
      <c r="T38" s="335">
        <f t="shared" si="7"/>
        <v>7228.0031250000002</v>
      </c>
      <c r="U38" s="201"/>
      <c r="V38" s="188"/>
      <c r="W38" s="202"/>
      <c r="X38" s="202"/>
      <c r="AB38" s="163"/>
      <c r="AC38" s="203"/>
      <c r="AD38" s="203"/>
      <c r="AE38" s="204"/>
      <c r="AG38" s="205"/>
    </row>
    <row r="39" spans="1:33" ht="15" customHeight="1" outlineLevel="1">
      <c r="A39" s="208" t="s">
        <v>510</v>
      </c>
      <c r="B39" s="209"/>
      <c r="C39" s="222">
        <f>SUM(C10:C38)</f>
        <v>157464.27999999997</v>
      </c>
      <c r="D39" s="210"/>
      <c r="E39" s="211"/>
      <c r="F39" s="214"/>
      <c r="G39" s="222">
        <f>SUM(G10:G38)</f>
        <v>88997.92</v>
      </c>
      <c r="H39" s="210"/>
      <c r="I39" s="211"/>
      <c r="J39" s="212"/>
      <c r="K39" s="222">
        <f>SUM(K10:K38)</f>
        <v>147480.81599999999</v>
      </c>
      <c r="L39" s="210"/>
      <c r="M39" s="211"/>
      <c r="N39" s="214"/>
      <c r="O39" s="222">
        <f>SUM(O10:O38)</f>
        <v>154854.85679999998</v>
      </c>
      <c r="P39" s="210"/>
      <c r="Q39" s="211"/>
      <c r="R39" s="214"/>
      <c r="S39" s="222">
        <f>SUM(S10:S38)</f>
        <v>41262.339195000008</v>
      </c>
      <c r="T39" s="334">
        <f>C39+G39+K39+O39+S39</f>
        <v>590060.2119949999</v>
      </c>
      <c r="AB39" s="163"/>
      <c r="AC39" s="203"/>
      <c r="AD39" s="203"/>
    </row>
    <row r="40" spans="1:33" s="236" customFormat="1" ht="15" customHeight="1">
      <c r="A40" s="226" t="s">
        <v>513</v>
      </c>
      <c r="B40" s="227"/>
      <c r="C40" s="231">
        <f>C39+C8</f>
        <v>183440.27999999997</v>
      </c>
      <c r="D40" s="228"/>
      <c r="E40" s="229"/>
      <c r="F40" s="232"/>
      <c r="G40" s="231">
        <f>G39+G8</f>
        <v>106097.92</v>
      </c>
      <c r="H40" s="228"/>
      <c r="I40" s="229"/>
      <c r="J40" s="230"/>
      <c r="K40" s="231">
        <f>K39+K8</f>
        <v>181595.31599999999</v>
      </c>
      <c r="L40" s="228"/>
      <c r="M40" s="229"/>
      <c r="N40" s="232"/>
      <c r="O40" s="231">
        <f>O39+O8</f>
        <v>190675.08179999999</v>
      </c>
      <c r="P40" s="228"/>
      <c r="Q40" s="229"/>
      <c r="R40" s="232"/>
      <c r="S40" s="231">
        <f>S39+S8</f>
        <v>41262.339195000008</v>
      </c>
      <c r="T40" s="233">
        <f>+C40+G40+K40+O40+S40</f>
        <v>703070.93699499988</v>
      </c>
      <c r="U40" s="234"/>
      <c r="V40" s="234"/>
      <c r="W40" s="234"/>
      <c r="X40" s="234"/>
      <c r="Y40" s="234"/>
      <c r="Z40" s="235"/>
      <c r="AA40" s="235"/>
      <c r="AB40" s="234"/>
      <c r="AD40" s="236" t="s">
        <v>549</v>
      </c>
      <c r="AG40" s="235"/>
    </row>
    <row r="41" spans="1:33" s="189" customFormat="1" ht="15" customHeight="1" outlineLevel="1">
      <c r="A41" s="190" t="s">
        <v>514</v>
      </c>
      <c r="B41" s="191"/>
      <c r="C41" s="184"/>
      <c r="D41" s="181"/>
      <c r="E41" s="182"/>
      <c r="F41" s="185"/>
      <c r="G41" s="186"/>
      <c r="H41" s="181"/>
      <c r="I41" s="182"/>
      <c r="J41" s="183"/>
      <c r="K41" s="186"/>
      <c r="L41" s="181"/>
      <c r="M41" s="182"/>
      <c r="N41" s="185"/>
      <c r="O41" s="186"/>
      <c r="P41" s="181"/>
      <c r="Q41" s="182"/>
      <c r="R41" s="185"/>
      <c r="S41" s="186"/>
      <c r="T41" s="187"/>
      <c r="U41" s="157"/>
      <c r="V41" s="157"/>
      <c r="W41" s="157"/>
      <c r="X41" s="157"/>
      <c r="Y41" s="157"/>
      <c r="Z41" s="157"/>
      <c r="AA41" s="157"/>
      <c r="AB41" s="163"/>
      <c r="AG41" s="157"/>
    </row>
    <row r="42" spans="1:33" s="189" customFormat="1" ht="15" customHeight="1" outlineLevel="1">
      <c r="A42" s="237" t="s">
        <v>507</v>
      </c>
      <c r="B42" s="216" t="str">
        <f>'Program Budget'!F410</f>
        <v>%</v>
      </c>
      <c r="C42" s="198">
        <f>'Program Budget'!E410</f>
        <v>2204.7399999999998</v>
      </c>
      <c r="D42" s="343">
        <f>G8</f>
        <v>17100</v>
      </c>
      <c r="E42" s="218">
        <v>1</v>
      </c>
      <c r="F42" s="160">
        <f>'Program Budget'!G410</f>
        <v>0.56469999999999998</v>
      </c>
      <c r="G42" s="198">
        <f t="shared" ref="G42" si="8">D42*E42*F42</f>
        <v>9656.369999999999</v>
      </c>
      <c r="H42" s="343">
        <f>K8</f>
        <v>34114.5</v>
      </c>
      <c r="I42" s="218">
        <v>1</v>
      </c>
      <c r="J42" s="160">
        <f>F42</f>
        <v>0.56469999999999998</v>
      </c>
      <c r="K42" s="198">
        <f t="shared" ref="K42:K44" si="9">H42*I42*J42</f>
        <v>19264.458149999999</v>
      </c>
      <c r="L42" s="343">
        <f>O8</f>
        <v>35820.224999999999</v>
      </c>
      <c r="M42" s="218">
        <v>1</v>
      </c>
      <c r="N42" s="160">
        <f>J42</f>
        <v>0.56469999999999998</v>
      </c>
      <c r="O42" s="198">
        <f t="shared" ref="O42:O44" si="10">L42*M42*N42</f>
        <v>20227.681057499998</v>
      </c>
      <c r="P42" s="343">
        <f>S8</f>
        <v>0</v>
      </c>
      <c r="Q42" s="218">
        <v>1</v>
      </c>
      <c r="R42" s="160">
        <f>N42</f>
        <v>0.56469999999999998</v>
      </c>
      <c r="S42" s="198">
        <f t="shared" ref="S42:S44" si="11">P42*Q42*R42</f>
        <v>0</v>
      </c>
      <c r="T42" s="333">
        <f t="shared" ref="T42:T44" si="12">C42+G42+K42+O42+S42</f>
        <v>51353.249207499997</v>
      </c>
      <c r="U42" s="157"/>
      <c r="V42" s="157"/>
      <c r="W42" s="157"/>
      <c r="X42" s="157"/>
      <c r="Y42" s="157"/>
      <c r="Z42" s="157"/>
      <c r="AA42" s="157"/>
      <c r="AB42" s="163">
        <v>194</v>
      </c>
      <c r="AC42" s="203" t="s">
        <v>550</v>
      </c>
      <c r="AD42" s="203" t="s">
        <v>551</v>
      </c>
      <c r="AG42" s="157"/>
    </row>
    <row r="43" spans="1:33" s="189" customFormat="1" ht="15" customHeight="1" outlineLevel="1">
      <c r="A43" s="237" t="s">
        <v>515</v>
      </c>
      <c r="B43" s="216" t="str">
        <f>'Program Budget'!F407</f>
        <v>%</v>
      </c>
      <c r="C43" s="198">
        <f>'Program Budget'!E407</f>
        <v>5879.31</v>
      </c>
      <c r="D43" s="343">
        <f>G11+G10+G20+G24+G27+G30+G32</f>
        <v>45252.92</v>
      </c>
      <c r="E43" s="218">
        <v>1</v>
      </c>
      <c r="F43" s="160">
        <f>'Program Budget'!G407</f>
        <v>0.53864000000000001</v>
      </c>
      <c r="G43" s="198">
        <f>D43*E43*F43</f>
        <v>24375.032828799998</v>
      </c>
      <c r="H43" s="343">
        <f>K11+K10+K20+K24+K27+K30+K32</f>
        <v>79435.566000000006</v>
      </c>
      <c r="I43" s="218">
        <v>1</v>
      </c>
      <c r="J43" s="160">
        <f t="shared" ref="J43:J44" si="13">F43</f>
        <v>0.53864000000000001</v>
      </c>
      <c r="K43" s="198">
        <f t="shared" si="9"/>
        <v>42787.173270240004</v>
      </c>
      <c r="L43" s="343">
        <f>O11+O10+O20+O24+O27+O30+O32</f>
        <v>83407.344299999997</v>
      </c>
      <c r="M43" s="218">
        <v>1</v>
      </c>
      <c r="N43" s="160">
        <f t="shared" ref="N43:N44" si="14">J43</f>
        <v>0.53864000000000001</v>
      </c>
      <c r="O43" s="198">
        <f t="shared" si="10"/>
        <v>44926.531933751998</v>
      </c>
      <c r="P43" s="343">
        <f>S11+S10+S20+S24+S27+S30+S32</f>
        <v>27128.702632500001</v>
      </c>
      <c r="Q43" s="218">
        <v>1</v>
      </c>
      <c r="R43" s="160">
        <f t="shared" ref="R43:R44" si="15">N43</f>
        <v>0.53864000000000001</v>
      </c>
      <c r="S43" s="198">
        <f t="shared" si="11"/>
        <v>14612.6043859698</v>
      </c>
      <c r="T43" s="335">
        <f t="shared" si="12"/>
        <v>132580.65241876181</v>
      </c>
      <c r="U43" s="157"/>
      <c r="V43" s="157"/>
      <c r="W43" s="157"/>
      <c r="X43" s="157"/>
      <c r="Y43" s="157"/>
      <c r="Z43" s="157"/>
      <c r="AA43" s="157"/>
      <c r="AB43" s="238">
        <v>197</v>
      </c>
      <c r="AC43" s="239" t="s">
        <v>552</v>
      </c>
      <c r="AD43" s="239" t="s">
        <v>553</v>
      </c>
      <c r="AG43" s="157"/>
    </row>
    <row r="44" spans="1:33" s="189" customFormat="1" ht="15" customHeight="1" outlineLevel="1">
      <c r="A44" s="237" t="s">
        <v>516</v>
      </c>
      <c r="B44" s="216" t="str">
        <f>'Program Budget'!F408</f>
        <v>%</v>
      </c>
      <c r="C44" s="198">
        <f>'Program Budget'!E408</f>
        <v>65038.66</v>
      </c>
      <c r="D44" s="343">
        <f>G39-D43</f>
        <v>43745</v>
      </c>
      <c r="E44" s="218">
        <v>1</v>
      </c>
      <c r="F44" s="160">
        <f>'Program Budget'!G408</f>
        <v>0.44863999999999998</v>
      </c>
      <c r="G44" s="198">
        <f>D44*E44*F44</f>
        <v>19625.756799999999</v>
      </c>
      <c r="H44" s="343">
        <f>K39-H43</f>
        <v>68045.249999999985</v>
      </c>
      <c r="I44" s="218">
        <v>1</v>
      </c>
      <c r="J44" s="160">
        <f t="shared" si="13"/>
        <v>0.44863999999999998</v>
      </c>
      <c r="K44" s="198">
        <f t="shared" si="9"/>
        <v>30527.820959999994</v>
      </c>
      <c r="L44" s="343">
        <f>O39-L43</f>
        <v>71447.512499999983</v>
      </c>
      <c r="M44" s="218">
        <v>1</v>
      </c>
      <c r="N44" s="160">
        <f t="shared" si="14"/>
        <v>0.44863999999999998</v>
      </c>
      <c r="O44" s="198">
        <f t="shared" si="10"/>
        <v>32054.212007999991</v>
      </c>
      <c r="P44" s="343">
        <f>S39-P43</f>
        <v>14133.636562500007</v>
      </c>
      <c r="Q44" s="218">
        <v>1</v>
      </c>
      <c r="R44" s="160">
        <f t="shared" si="15"/>
        <v>0.44863999999999998</v>
      </c>
      <c r="S44" s="198">
        <f t="shared" si="11"/>
        <v>6340.914707400003</v>
      </c>
      <c r="T44" s="335">
        <f t="shared" si="12"/>
        <v>153587.36447539998</v>
      </c>
      <c r="U44" s="157"/>
      <c r="V44" s="157"/>
      <c r="W44" s="157"/>
      <c r="X44" s="157"/>
      <c r="Y44" s="157"/>
      <c r="Z44" s="157"/>
      <c r="AA44" s="157"/>
      <c r="AB44" s="238">
        <v>197</v>
      </c>
      <c r="AC44" s="239" t="s">
        <v>552</v>
      </c>
      <c r="AD44" s="239" t="s">
        <v>553</v>
      </c>
      <c r="AG44" s="157"/>
    </row>
    <row r="45" spans="1:33" ht="15" customHeight="1" outlineLevel="1">
      <c r="A45" s="208" t="s">
        <v>518</v>
      </c>
      <c r="B45" s="209"/>
      <c r="C45" s="213">
        <f>SUM(C42:C44)</f>
        <v>73122.710000000006</v>
      </c>
      <c r="D45" s="210"/>
      <c r="E45" s="211"/>
      <c r="F45" s="214"/>
      <c r="G45" s="213">
        <f>SUM(G42:G44)</f>
        <v>53657.1596288</v>
      </c>
      <c r="H45" s="210"/>
      <c r="I45" s="211"/>
      <c r="J45" s="212"/>
      <c r="K45" s="213">
        <f>SUM(K42:K44)</f>
        <v>92579.452380239993</v>
      </c>
      <c r="L45" s="210"/>
      <c r="M45" s="211"/>
      <c r="N45" s="214"/>
      <c r="O45" s="213">
        <f>SUM(O42:O44)</f>
        <v>97208.424999251991</v>
      </c>
      <c r="P45" s="210"/>
      <c r="Q45" s="211"/>
      <c r="R45" s="214"/>
      <c r="S45" s="213">
        <f>SUM(S42:S44)</f>
        <v>20953.519093369803</v>
      </c>
      <c r="T45" s="334">
        <f>+C45+G45+K45+O45+S45</f>
        <v>337521.26610166184</v>
      </c>
      <c r="AB45" s="163"/>
      <c r="AC45" s="203"/>
      <c r="AD45" s="203"/>
    </row>
    <row r="46" spans="1:33" s="189" customFormat="1" ht="15" customHeight="1" outlineLevel="1">
      <c r="A46" s="190" t="s">
        <v>519</v>
      </c>
      <c r="B46" s="247"/>
      <c r="C46" s="248"/>
      <c r="D46" s="217"/>
      <c r="E46" s="218"/>
      <c r="F46" s="161"/>
      <c r="G46" s="221"/>
      <c r="H46" s="217"/>
      <c r="I46" s="218"/>
      <c r="J46" s="160"/>
      <c r="K46" s="221"/>
      <c r="L46" s="217"/>
      <c r="M46" s="218"/>
      <c r="N46" s="161"/>
      <c r="O46" s="221"/>
      <c r="P46" s="217"/>
      <c r="Q46" s="218"/>
      <c r="R46" s="161"/>
      <c r="S46" s="221"/>
      <c r="T46" s="333">
        <f>+C46+G46+K46+O46+S46</f>
        <v>0</v>
      </c>
      <c r="U46" s="157"/>
      <c r="V46" s="157"/>
      <c r="W46" s="157"/>
      <c r="X46" s="157"/>
      <c r="Y46" s="157"/>
      <c r="Z46" s="157"/>
      <c r="AA46" s="157"/>
      <c r="AB46" s="163"/>
      <c r="AC46" s="203"/>
      <c r="AD46" s="203" t="s">
        <v>549</v>
      </c>
      <c r="AG46" s="157"/>
    </row>
    <row r="47" spans="1:33" s="189" customFormat="1" ht="15" customHeight="1" outlineLevel="1">
      <c r="A47" s="193" t="str">
        <f>'Program Budget'!D409</f>
        <v>Post (Hardship) Differential for Chief of Party</v>
      </c>
      <c r="B47" s="216" t="str">
        <f>'Program Budget'!F409</f>
        <v>%</v>
      </c>
      <c r="C47" s="198">
        <f>'Program Budget'!E409</f>
        <v>368.72</v>
      </c>
      <c r="D47" s="344">
        <f>G8</f>
        <v>17100</v>
      </c>
      <c r="E47" s="159">
        <v>1</v>
      </c>
      <c r="F47" s="161">
        <f>'Program Budget'!G409</f>
        <v>0.15</v>
      </c>
      <c r="G47" s="198">
        <f>D47*E47*F47</f>
        <v>2565</v>
      </c>
      <c r="H47" s="344">
        <f>K8</f>
        <v>34114.5</v>
      </c>
      <c r="I47" s="159">
        <v>1</v>
      </c>
      <c r="J47" s="160">
        <f>F47</f>
        <v>0.15</v>
      </c>
      <c r="K47" s="198">
        <f>H47*I47*J47</f>
        <v>5117.1750000000002</v>
      </c>
      <c r="L47" s="344">
        <f>O8</f>
        <v>35820.224999999999</v>
      </c>
      <c r="M47" s="159">
        <v>1</v>
      </c>
      <c r="N47" s="161">
        <f>J47</f>
        <v>0.15</v>
      </c>
      <c r="O47" s="198">
        <f>L47*M47*N47</f>
        <v>5373.0337499999996</v>
      </c>
      <c r="P47" s="344">
        <f>S8</f>
        <v>0</v>
      </c>
      <c r="Q47" s="159">
        <v>1</v>
      </c>
      <c r="R47" s="161">
        <f>N47</f>
        <v>0.15</v>
      </c>
      <c r="S47" s="198">
        <f>P47*Q47*R47</f>
        <v>0</v>
      </c>
      <c r="T47" s="337">
        <f t="shared" ref="T47" si="16">C47+G47+K47+O47+S47</f>
        <v>13423.928749999999</v>
      </c>
      <c r="U47" s="157"/>
      <c r="V47" s="157"/>
      <c r="W47" s="157"/>
      <c r="X47" s="157"/>
      <c r="Y47" s="157"/>
      <c r="Z47" s="157"/>
      <c r="AA47" s="157"/>
      <c r="AB47" s="163"/>
      <c r="AC47" s="207"/>
      <c r="AD47" s="207"/>
      <c r="AG47" s="157"/>
    </row>
    <row r="48" spans="1:33" ht="15" customHeight="1" outlineLevel="1">
      <c r="A48" s="208" t="s">
        <v>520</v>
      </c>
      <c r="B48" s="209"/>
      <c r="C48" s="213">
        <f>SUM(C47:C47)</f>
        <v>368.72</v>
      </c>
      <c r="D48" s="210"/>
      <c r="E48" s="211"/>
      <c r="F48" s="214"/>
      <c r="G48" s="213">
        <f>SUM(G47:G47)</f>
        <v>2565</v>
      </c>
      <c r="H48" s="210"/>
      <c r="I48" s="211"/>
      <c r="J48" s="212"/>
      <c r="K48" s="213">
        <f>SUM(K47:K47)</f>
        <v>5117.1750000000002</v>
      </c>
      <c r="L48" s="210"/>
      <c r="M48" s="211"/>
      <c r="N48" s="214"/>
      <c r="O48" s="213">
        <f>SUM(O47:O47)</f>
        <v>5373.0337499999996</v>
      </c>
      <c r="P48" s="210"/>
      <c r="Q48" s="211"/>
      <c r="R48" s="214"/>
      <c r="S48" s="213">
        <f>SUM(S47:S47)</f>
        <v>0</v>
      </c>
      <c r="T48" s="334">
        <f>C48+G48+K48+O48+S48</f>
        <v>13423.928749999999</v>
      </c>
      <c r="AB48" s="163"/>
      <c r="AC48" s="203"/>
      <c r="AD48" s="203"/>
    </row>
    <row r="49" spans="1:33" s="258" customFormat="1" ht="18.3" outlineLevel="1">
      <c r="A49" s="249" t="s">
        <v>521</v>
      </c>
      <c r="B49" s="250"/>
      <c r="C49" s="254">
        <f>C48+C45</f>
        <v>73491.430000000008</v>
      </c>
      <c r="D49" s="251"/>
      <c r="E49" s="252"/>
      <c r="F49" s="255"/>
      <c r="G49" s="254">
        <f>G48+G45</f>
        <v>56222.1596288</v>
      </c>
      <c r="H49" s="251"/>
      <c r="I49" s="252"/>
      <c r="J49" s="253"/>
      <c r="K49" s="254">
        <f>K48+K45</f>
        <v>97696.627380239996</v>
      </c>
      <c r="L49" s="251"/>
      <c r="M49" s="252"/>
      <c r="N49" s="255"/>
      <c r="O49" s="254">
        <f>O48+O45</f>
        <v>102581.45874925199</v>
      </c>
      <c r="P49" s="251"/>
      <c r="Q49" s="252"/>
      <c r="R49" s="255"/>
      <c r="S49" s="254">
        <f>S48+S45</f>
        <v>20953.519093369803</v>
      </c>
      <c r="T49" s="233">
        <f>+C49+G49+K49+O49+S49</f>
        <v>350945.1948516618</v>
      </c>
      <c r="U49" s="235"/>
      <c r="V49" s="235"/>
      <c r="W49" s="235"/>
      <c r="X49" s="235"/>
      <c r="Y49" s="235"/>
      <c r="Z49" s="235"/>
      <c r="AA49" s="235"/>
      <c r="AB49" s="234">
        <v>287</v>
      </c>
      <c r="AC49" s="256" t="s">
        <v>558</v>
      </c>
      <c r="AD49" s="256" t="s">
        <v>559</v>
      </c>
      <c r="AE49" s="257"/>
      <c r="AG49" s="235"/>
    </row>
    <row r="50" spans="1:33" s="260" customFormat="1" ht="15.6" outlineLevel="1">
      <c r="A50" s="190" t="s">
        <v>523</v>
      </c>
      <c r="B50" s="191"/>
      <c r="C50" s="198"/>
      <c r="D50" s="158"/>
      <c r="E50" s="159"/>
      <c r="F50" s="185"/>
      <c r="G50" s="198"/>
      <c r="H50" s="158"/>
      <c r="I50" s="159"/>
      <c r="J50" s="183"/>
      <c r="K50" s="198"/>
      <c r="L50" s="158"/>
      <c r="M50" s="159"/>
      <c r="N50" s="185"/>
      <c r="O50" s="198"/>
      <c r="P50" s="158"/>
      <c r="Q50" s="159"/>
      <c r="R50" s="185"/>
      <c r="S50" s="198"/>
      <c r="T50" s="333"/>
      <c r="U50" s="157"/>
      <c r="V50" s="157"/>
      <c r="W50" s="157"/>
      <c r="X50" s="157"/>
      <c r="Y50" s="157"/>
      <c r="Z50" s="157"/>
      <c r="AA50" s="157"/>
      <c r="AB50" s="163"/>
      <c r="AC50" s="203"/>
      <c r="AD50" s="203"/>
      <c r="AE50" s="259"/>
      <c r="AG50" s="157"/>
    </row>
    <row r="51" spans="1:33" ht="15" customHeight="1" outlineLevel="1">
      <c r="A51" s="193" t="str">
        <f>'Program Budget'!D424</f>
        <v>Local Transportation – Training &amp; Data Collection</v>
      </c>
      <c r="B51" s="194" t="str">
        <f>'Program Budget'!F424</f>
        <v>Trip</v>
      </c>
      <c r="C51" s="198">
        <f>'Program Budget'!E424</f>
        <v>10363.09</v>
      </c>
      <c r="D51" s="195">
        <f>'Program Budget'!G424</f>
        <v>300</v>
      </c>
      <c r="E51" s="196">
        <f>'Program Budget'!I424</f>
        <v>12</v>
      </c>
      <c r="F51" s="197">
        <v>1</v>
      </c>
      <c r="G51" s="198">
        <f>D51*E51*F51</f>
        <v>3600</v>
      </c>
      <c r="H51" s="195">
        <f t="shared" ref="H51" si="17">D51*1.04</f>
        <v>312</v>
      </c>
      <c r="I51" s="196">
        <f>'Program Budget'!L424</f>
        <v>12</v>
      </c>
      <c r="J51" s="197">
        <v>1</v>
      </c>
      <c r="K51" s="198">
        <f>H51*I51*J51</f>
        <v>3744</v>
      </c>
      <c r="L51" s="195">
        <f t="shared" ref="L51" si="18">H51*1.04</f>
        <v>324.48</v>
      </c>
      <c r="M51" s="196">
        <f>'Program Budget'!O424</f>
        <v>12</v>
      </c>
      <c r="N51" s="197">
        <v>1</v>
      </c>
      <c r="O51" s="198">
        <f>L51*M51*N51</f>
        <v>3893.76</v>
      </c>
      <c r="P51" s="195">
        <f t="shared" ref="P51" si="19">L51*1.04</f>
        <v>337.45920000000001</v>
      </c>
      <c r="Q51" s="196">
        <f>'Program Budget'!R424</f>
        <v>6</v>
      </c>
      <c r="R51" s="197">
        <v>1</v>
      </c>
      <c r="S51" s="198">
        <f>P51*Q51*R51</f>
        <v>2024.7552000000001</v>
      </c>
      <c r="T51" s="333">
        <f>C51+G51+K51+O51+S51</f>
        <v>23625.605199999998</v>
      </c>
      <c r="U51" s="201"/>
      <c r="V51" s="188"/>
      <c r="W51" s="202"/>
      <c r="X51" s="202"/>
      <c r="AB51" s="163">
        <v>180</v>
      </c>
      <c r="AC51" s="203" t="s">
        <v>547</v>
      </c>
      <c r="AD51" s="203" t="s">
        <v>548</v>
      </c>
      <c r="AE51" s="204"/>
      <c r="AG51" s="205"/>
    </row>
    <row r="52" spans="1:33" s="260" customFormat="1" ht="15.6" outlineLevel="1">
      <c r="A52" s="190" t="s">
        <v>524</v>
      </c>
      <c r="B52" s="216"/>
      <c r="C52" s="198"/>
      <c r="D52" s="158"/>
      <c r="E52" s="159"/>
      <c r="F52" s="161"/>
      <c r="G52" s="198"/>
      <c r="H52" s="158"/>
      <c r="I52" s="159"/>
      <c r="J52" s="160"/>
      <c r="K52" s="198"/>
      <c r="L52" s="158"/>
      <c r="M52" s="159"/>
      <c r="N52" s="161"/>
      <c r="O52" s="198"/>
      <c r="P52" s="158"/>
      <c r="Q52" s="159"/>
      <c r="R52" s="161"/>
      <c r="S52" s="198"/>
      <c r="T52" s="333"/>
      <c r="U52" s="157"/>
      <c r="V52" s="157"/>
      <c r="W52" s="157"/>
      <c r="X52" s="157"/>
      <c r="Y52" s="157"/>
      <c r="Z52" s="157"/>
      <c r="AA52" s="157"/>
      <c r="AB52" s="163"/>
      <c r="AC52" s="203"/>
      <c r="AD52" s="203"/>
      <c r="AE52" s="259"/>
      <c r="AG52" s="157"/>
    </row>
    <row r="53" spans="1:33" ht="15" customHeight="1" outlineLevel="1">
      <c r="A53" s="193" t="str">
        <f>'Program Budget'!D423</f>
        <v>Motorcycle Fuel Expense for Extension Agents</v>
      </c>
      <c r="B53" s="194" t="str">
        <f>'Program Budget'!F423</f>
        <v>Month</v>
      </c>
      <c r="C53" s="198">
        <f>'Program Budget'!E423</f>
        <v>450</v>
      </c>
      <c r="D53" s="195">
        <f>'Program Budget'!G423</f>
        <v>300</v>
      </c>
      <c r="E53" s="196">
        <f>'Program Budget'!I423</f>
        <v>12</v>
      </c>
      <c r="F53" s="197">
        <v>1</v>
      </c>
      <c r="G53" s="198">
        <f>D53*E53*F53</f>
        <v>3600</v>
      </c>
      <c r="H53" s="195">
        <f t="shared" ref="H53" si="20">D53*1.04</f>
        <v>312</v>
      </c>
      <c r="I53" s="196">
        <f>'Program Budget'!L423</f>
        <v>12</v>
      </c>
      <c r="J53" s="197">
        <v>1</v>
      </c>
      <c r="K53" s="198">
        <f>H53*I53*J53</f>
        <v>3744</v>
      </c>
      <c r="L53" s="195">
        <f t="shared" ref="L53" si="21">H53*1.04</f>
        <v>324.48</v>
      </c>
      <c r="M53" s="196">
        <f>'Program Budget'!O423</f>
        <v>12</v>
      </c>
      <c r="N53" s="197">
        <v>1</v>
      </c>
      <c r="O53" s="198">
        <f>L53*M53*N53</f>
        <v>3893.76</v>
      </c>
      <c r="P53" s="195">
        <f>L53*1.04</f>
        <v>337.45920000000001</v>
      </c>
      <c r="Q53" s="196">
        <f>'Program Budget'!R423</f>
        <v>0</v>
      </c>
      <c r="R53" s="197">
        <v>1</v>
      </c>
      <c r="S53" s="198">
        <f>P53*Q53*R53</f>
        <v>0</v>
      </c>
      <c r="T53" s="333">
        <f>C53+G53+K53+O53+S53</f>
        <v>11687.76</v>
      </c>
      <c r="U53" s="201"/>
      <c r="V53" s="188"/>
      <c r="W53" s="202"/>
      <c r="X53" s="202"/>
      <c r="AB53" s="163">
        <v>180</v>
      </c>
      <c r="AC53" s="203" t="s">
        <v>547</v>
      </c>
      <c r="AD53" s="203" t="s">
        <v>548</v>
      </c>
      <c r="AE53" s="204"/>
      <c r="AG53" s="205"/>
    </row>
    <row r="54" spans="1:33" s="260" customFormat="1" ht="15.6" outlineLevel="1">
      <c r="A54" s="190" t="s">
        <v>525</v>
      </c>
      <c r="B54" s="216"/>
      <c r="C54" s="198"/>
      <c r="D54" s="158"/>
      <c r="E54" s="159"/>
      <c r="F54" s="161"/>
      <c r="G54" s="198"/>
      <c r="H54" s="158"/>
      <c r="I54" s="159"/>
      <c r="J54" s="160"/>
      <c r="K54" s="198"/>
      <c r="L54" s="158"/>
      <c r="M54" s="159"/>
      <c r="N54" s="161"/>
      <c r="O54" s="198"/>
      <c r="P54" s="158"/>
      <c r="Q54" s="159"/>
      <c r="R54" s="161"/>
      <c r="S54" s="198"/>
      <c r="T54" s="333"/>
      <c r="U54" s="157"/>
      <c r="V54" s="157"/>
      <c r="W54" s="157"/>
      <c r="X54" s="157"/>
      <c r="Y54" s="157"/>
      <c r="Z54" s="157"/>
      <c r="AA54" s="157"/>
      <c r="AB54" s="163"/>
      <c r="AC54" s="203"/>
      <c r="AD54" s="203"/>
      <c r="AE54" s="259"/>
      <c r="AG54" s="157"/>
    </row>
    <row r="55" spans="1:33" ht="15" customHeight="1" outlineLevel="1">
      <c r="A55" s="193" t="str">
        <f>'Program Budget'!D425</f>
        <v>Lodging and M&amp;IE - Training, &amp; Data Collection</v>
      </c>
      <c r="B55" s="194" t="str">
        <f>'Program Budget'!F425</f>
        <v>Day</v>
      </c>
      <c r="C55" s="198">
        <f>'Program Budget'!E425</f>
        <v>6302.21</v>
      </c>
      <c r="D55" s="195">
        <f>'Program Budget'!G425</f>
        <v>157</v>
      </c>
      <c r="E55" s="196">
        <f>'Program Budget'!I425</f>
        <v>36</v>
      </c>
      <c r="F55" s="197">
        <v>1</v>
      </c>
      <c r="G55" s="198">
        <f>D55*E55*F55</f>
        <v>5652</v>
      </c>
      <c r="H55" s="195">
        <f t="shared" ref="H55" si="22">D55*1.04</f>
        <v>163.28</v>
      </c>
      <c r="I55" s="196">
        <f>'Program Budget'!L425</f>
        <v>36</v>
      </c>
      <c r="J55" s="197">
        <v>1</v>
      </c>
      <c r="K55" s="198">
        <f>H55*I55*J55</f>
        <v>5878.08</v>
      </c>
      <c r="L55" s="195">
        <f t="shared" ref="L55" si="23">H55*1.04</f>
        <v>169.81120000000001</v>
      </c>
      <c r="M55" s="196">
        <f>'Program Budget'!O425</f>
        <v>36</v>
      </c>
      <c r="N55" s="197">
        <v>1</v>
      </c>
      <c r="O55" s="198">
        <f>L55*M55*N55</f>
        <v>6113.2032000000008</v>
      </c>
      <c r="P55" s="195">
        <f t="shared" ref="P55" si="24">L55*1.04</f>
        <v>176.60364800000002</v>
      </c>
      <c r="Q55" s="196">
        <f>'Program Budget'!R425</f>
        <v>18</v>
      </c>
      <c r="R55" s="197">
        <v>1</v>
      </c>
      <c r="S55" s="198">
        <f>P55*Q55*R55</f>
        <v>3178.8656640000004</v>
      </c>
      <c r="T55" s="333">
        <f>C55+G55+K55+O55+S55</f>
        <v>27124.358864000002</v>
      </c>
      <c r="U55" s="201"/>
      <c r="V55" s="188"/>
      <c r="W55" s="202"/>
      <c r="X55" s="202"/>
      <c r="AB55" s="163">
        <v>180</v>
      </c>
      <c r="AC55" s="203" t="s">
        <v>547</v>
      </c>
      <c r="AD55" s="203" t="s">
        <v>548</v>
      </c>
      <c r="AE55" s="204"/>
      <c r="AG55" s="205"/>
    </row>
    <row r="56" spans="1:33" outlineLevel="1">
      <c r="A56" s="325"/>
      <c r="B56" s="216"/>
      <c r="C56" s="198"/>
      <c r="G56" s="198"/>
      <c r="K56" s="198"/>
      <c r="O56" s="198"/>
      <c r="S56" s="198"/>
      <c r="T56" s="200"/>
      <c r="AB56" s="163"/>
      <c r="AC56" s="203"/>
      <c r="AD56" s="203"/>
    </row>
    <row r="57" spans="1:33" ht="18.3">
      <c r="A57" s="261" t="s">
        <v>526</v>
      </c>
      <c r="B57" s="227"/>
      <c r="C57" s="231">
        <f>SUM(C51:C56)</f>
        <v>17115.3</v>
      </c>
      <c r="D57" s="228"/>
      <c r="E57" s="262"/>
      <c r="F57" s="232"/>
      <c r="G57" s="231">
        <f>SUM(G51:G56)</f>
        <v>12852</v>
      </c>
      <c r="H57" s="228"/>
      <c r="I57" s="262"/>
      <c r="J57" s="263"/>
      <c r="K57" s="231">
        <f>SUM(K51:K56)</f>
        <v>13366.08</v>
      </c>
      <c r="L57" s="228"/>
      <c r="M57" s="262"/>
      <c r="N57" s="232"/>
      <c r="O57" s="231">
        <f>SUM(O51:O56)</f>
        <v>13900.7232</v>
      </c>
      <c r="P57" s="228"/>
      <c r="Q57" s="262"/>
      <c r="R57" s="232"/>
      <c r="S57" s="231">
        <f>SUM(S51:S56)</f>
        <v>5203.6208640000004</v>
      </c>
      <c r="T57" s="233">
        <f>+C57+G57+K57+O57+S57</f>
        <v>62437.724063999995</v>
      </c>
      <c r="U57" s="163"/>
      <c r="V57" s="163"/>
      <c r="W57" s="163"/>
      <c r="X57" s="163"/>
      <c r="Y57" s="163"/>
      <c r="AB57" s="163"/>
      <c r="AC57" s="189"/>
      <c r="AD57" s="189" t="s">
        <v>549</v>
      </c>
      <c r="AE57" s="189"/>
    </row>
    <row r="58" spans="1:33" ht="15.6" outlineLevel="1">
      <c r="A58" s="190" t="s">
        <v>55</v>
      </c>
      <c r="B58" s="264"/>
      <c r="C58" s="248"/>
      <c r="E58" s="265"/>
      <c r="F58" s="267"/>
      <c r="G58" s="221"/>
      <c r="I58" s="265"/>
      <c r="J58" s="266"/>
      <c r="K58" s="221"/>
      <c r="M58" s="265"/>
      <c r="N58" s="267"/>
      <c r="O58" s="221"/>
      <c r="Q58" s="265"/>
      <c r="R58" s="267"/>
      <c r="S58" s="221"/>
      <c r="T58" s="200"/>
      <c r="AB58" s="163"/>
      <c r="AC58" s="203"/>
      <c r="AD58" s="268"/>
    </row>
    <row r="59" spans="1:33" ht="15.6" outlineLevel="1">
      <c r="A59" s="269" t="str">
        <f>'Program Budget'!D414</f>
        <v>Subrecipient: Agrosavia</v>
      </c>
      <c r="B59" s="194" t="str">
        <f>'Program Budget'!F414</f>
        <v>Subrecipient</v>
      </c>
      <c r="C59" s="198">
        <f>'Program Budget'!E414</f>
        <v>188092.28899999999</v>
      </c>
      <c r="D59" s="195">
        <f>'Program Budget'!G414</f>
        <v>40000</v>
      </c>
      <c r="E59" s="196">
        <f>'Program Budget'!I414</f>
        <v>1</v>
      </c>
      <c r="F59" s="197">
        <v>1</v>
      </c>
      <c r="G59" s="198">
        <f>D59*E59*F59</f>
        <v>40000</v>
      </c>
      <c r="H59" s="195">
        <f>D59</f>
        <v>40000</v>
      </c>
      <c r="I59" s="196">
        <f>'Program Budget'!L414</f>
        <v>0</v>
      </c>
      <c r="J59" s="197">
        <v>0</v>
      </c>
      <c r="K59" s="198">
        <f>H59*I59*J59</f>
        <v>0</v>
      </c>
      <c r="L59" s="195">
        <f>H59</f>
        <v>40000</v>
      </c>
      <c r="M59" s="196">
        <f>'Program Budget'!O414</f>
        <v>0</v>
      </c>
      <c r="N59" s="197">
        <v>0</v>
      </c>
      <c r="O59" s="198">
        <f>L59*M59*N59</f>
        <v>0</v>
      </c>
      <c r="P59" s="195">
        <f>L59</f>
        <v>40000</v>
      </c>
      <c r="Q59" s="196">
        <f>'Program Budget'!R414</f>
        <v>0</v>
      </c>
      <c r="R59" s="197">
        <v>0</v>
      </c>
      <c r="S59" s="198">
        <f>P59*Q59*R59</f>
        <v>0</v>
      </c>
      <c r="T59" s="333">
        <f>C59+G59+K59+O59+S59</f>
        <v>228092.28899999999</v>
      </c>
      <c r="AB59" s="163"/>
      <c r="AC59" s="203"/>
      <c r="AD59" s="268"/>
    </row>
    <row r="60" spans="1:33" ht="15.6" outlineLevel="1">
      <c r="A60" s="269" t="str">
        <f>'Program Budget'!D415</f>
        <v>New Partnerships in Post-Harvest Aggregation &amp; Processing and Traceability</v>
      </c>
      <c r="B60" s="194" t="str">
        <f>'Program Budget'!F415</f>
        <v>Contract</v>
      </c>
      <c r="C60" s="198">
        <f>'Program Budget'!E415</f>
        <v>33306.71</v>
      </c>
      <c r="D60" s="195">
        <f>'Program Budget'!G415</f>
        <v>5000</v>
      </c>
      <c r="E60" s="196">
        <f>'Program Budget'!I415</f>
        <v>1</v>
      </c>
      <c r="F60" s="197">
        <v>1</v>
      </c>
      <c r="G60" s="198">
        <f>D60*E60*F60</f>
        <v>5000</v>
      </c>
      <c r="H60" s="195">
        <f t="shared" ref="H60:H64" si="25">D60</f>
        <v>5000</v>
      </c>
      <c r="I60" s="196">
        <f>'Program Budget'!L415</f>
        <v>0</v>
      </c>
      <c r="J60" s="197">
        <v>1</v>
      </c>
      <c r="K60" s="198">
        <f>H60*I60*J60</f>
        <v>0</v>
      </c>
      <c r="L60" s="195">
        <f t="shared" ref="L60:L64" si="26">H60</f>
        <v>5000</v>
      </c>
      <c r="M60" s="196">
        <f>'Program Budget'!O415</f>
        <v>0</v>
      </c>
      <c r="N60" s="197">
        <v>1</v>
      </c>
      <c r="O60" s="198">
        <f>L60*M60*N60</f>
        <v>0</v>
      </c>
      <c r="P60" s="195">
        <f t="shared" ref="P60:P64" si="27">L60</f>
        <v>5000</v>
      </c>
      <c r="Q60" s="196">
        <f>'Program Budget'!R415</f>
        <v>0</v>
      </c>
      <c r="R60" s="197">
        <v>0</v>
      </c>
      <c r="S60" s="198">
        <f t="shared" ref="S60:S64" si="28">P60*Q60*R60</f>
        <v>0</v>
      </c>
      <c r="T60" s="333">
        <f>C60+G60+K60+O60+S60</f>
        <v>38306.71</v>
      </c>
      <c r="AB60" s="163"/>
      <c r="AC60" s="203"/>
      <c r="AD60" s="268"/>
    </row>
    <row r="61" spans="1:33" ht="15.6" outlineLevel="1">
      <c r="A61" s="269" t="str">
        <f>'Program Budget'!D416</f>
        <v xml:space="preserve">Contract for Cacao Fermentation Control Technology </v>
      </c>
      <c r="B61" s="194" t="str">
        <f>'Program Budget'!F416</f>
        <v>Contract</v>
      </c>
      <c r="C61" s="198">
        <f>'Program Budget'!E416</f>
        <v>0</v>
      </c>
      <c r="D61" s="195">
        <f>'Program Budget'!G416</f>
        <v>150000</v>
      </c>
      <c r="E61" s="196">
        <f>'Program Budget'!I416</f>
        <v>1</v>
      </c>
      <c r="F61" s="197">
        <v>1</v>
      </c>
      <c r="G61" s="198">
        <f>D61*E61*F61</f>
        <v>150000</v>
      </c>
      <c r="H61" s="195">
        <f t="shared" si="25"/>
        <v>150000</v>
      </c>
      <c r="I61" s="196">
        <f>'Program Budget'!L416</f>
        <v>1</v>
      </c>
      <c r="J61" s="197">
        <v>1</v>
      </c>
      <c r="K61" s="198">
        <f>H61*I61*J61</f>
        <v>150000</v>
      </c>
      <c r="L61" s="195">
        <f t="shared" si="26"/>
        <v>150000</v>
      </c>
      <c r="M61" s="196">
        <f>'Program Budget'!O416</f>
        <v>0</v>
      </c>
      <c r="N61" s="197">
        <v>0</v>
      </c>
      <c r="O61" s="198">
        <f>L61*M61*N61</f>
        <v>0</v>
      </c>
      <c r="P61" s="195">
        <f t="shared" si="27"/>
        <v>150000</v>
      </c>
      <c r="Q61" s="196">
        <f>'Program Budget'!R416</f>
        <v>0</v>
      </c>
      <c r="R61" s="197">
        <v>0</v>
      </c>
      <c r="S61" s="198">
        <f t="shared" si="28"/>
        <v>0</v>
      </c>
      <c r="T61" s="333">
        <f>C61+G61+K61+O61+S61</f>
        <v>300000</v>
      </c>
      <c r="AB61" s="163"/>
      <c r="AC61" s="203"/>
      <c r="AD61" s="268"/>
    </row>
    <row r="62" spans="1:33" ht="15.6" outlineLevel="1">
      <c r="A62" s="269" t="str">
        <f>'Program Budget'!D417</f>
        <v xml:space="preserve">Contract to Fine Chocolate Industry Association (FCIA) for Positioning for Cacao and Visibility </v>
      </c>
      <c r="B62" s="194" t="str">
        <f>'Program Budget'!F417</f>
        <v>Contract</v>
      </c>
      <c r="C62" s="198">
        <f>'Program Budget'!E417</f>
        <v>0</v>
      </c>
      <c r="D62" s="195">
        <f>'Program Budget'!G417</f>
        <v>25000</v>
      </c>
      <c r="E62" s="196">
        <f>'Program Budget'!I417</f>
        <v>1</v>
      </c>
      <c r="F62" s="197">
        <v>1</v>
      </c>
      <c r="G62" s="198">
        <f t="shared" ref="G62:G63" si="29">D62*E62*F62</f>
        <v>25000</v>
      </c>
      <c r="H62" s="195">
        <f t="shared" si="25"/>
        <v>25000</v>
      </c>
      <c r="I62" s="196">
        <f>'Program Budget'!L417</f>
        <v>1</v>
      </c>
      <c r="J62" s="197">
        <v>1</v>
      </c>
      <c r="K62" s="198">
        <f t="shared" ref="K62:K63" si="30">H62*I62*J62</f>
        <v>25000</v>
      </c>
      <c r="L62" s="195">
        <f t="shared" si="26"/>
        <v>25000</v>
      </c>
      <c r="M62" s="196">
        <f>'Program Budget'!O417</f>
        <v>1</v>
      </c>
      <c r="N62" s="197">
        <v>1</v>
      </c>
      <c r="O62" s="198">
        <f t="shared" ref="O62:O63" si="31">L62*M62*N62</f>
        <v>25000</v>
      </c>
      <c r="P62" s="195">
        <f t="shared" si="27"/>
        <v>25000</v>
      </c>
      <c r="Q62" s="196">
        <f>'Program Budget'!R417</f>
        <v>0</v>
      </c>
      <c r="R62" s="197">
        <v>0</v>
      </c>
      <c r="S62" s="198">
        <f t="shared" si="28"/>
        <v>0</v>
      </c>
      <c r="T62" s="333">
        <f t="shared" ref="T62:T63" si="32">C62+G62+K62+O62+S62</f>
        <v>75000</v>
      </c>
      <c r="AB62" s="163"/>
      <c r="AC62" s="203"/>
      <c r="AD62" s="268"/>
    </row>
    <row r="63" spans="1:33" ht="15.6" outlineLevel="1">
      <c r="A63" s="269" t="str">
        <f>'Program Budget'!D418</f>
        <v>Contract for Technical Mapping for Colombian Cacao Catalogue and Flavour Map</v>
      </c>
      <c r="B63" s="194" t="str">
        <f>'Program Budget'!F418</f>
        <v>Contract</v>
      </c>
      <c r="C63" s="198">
        <f>'Program Budget'!E418</f>
        <v>0</v>
      </c>
      <c r="D63" s="195">
        <f>'Program Budget'!G418</f>
        <v>0</v>
      </c>
      <c r="E63" s="196">
        <f>'Program Budget'!I418</f>
        <v>0</v>
      </c>
      <c r="F63" s="197">
        <v>0</v>
      </c>
      <c r="G63" s="198">
        <f t="shared" si="29"/>
        <v>0</v>
      </c>
      <c r="H63" s="195">
        <f t="shared" si="25"/>
        <v>0</v>
      </c>
      <c r="I63" s="196">
        <f>'Program Budget'!L418</f>
        <v>1</v>
      </c>
      <c r="J63" s="197">
        <v>1</v>
      </c>
      <c r="K63" s="198">
        <f t="shared" si="30"/>
        <v>0</v>
      </c>
      <c r="L63" s="195">
        <f t="shared" si="26"/>
        <v>0</v>
      </c>
      <c r="M63" s="196">
        <f>'Program Budget'!O418</f>
        <v>0</v>
      </c>
      <c r="N63" s="197">
        <v>0</v>
      </c>
      <c r="O63" s="198">
        <f t="shared" si="31"/>
        <v>0</v>
      </c>
      <c r="P63" s="195">
        <f t="shared" si="27"/>
        <v>0</v>
      </c>
      <c r="Q63" s="196">
        <f>'Program Budget'!R418</f>
        <v>0</v>
      </c>
      <c r="R63" s="197">
        <v>0</v>
      </c>
      <c r="S63" s="198">
        <f t="shared" si="28"/>
        <v>0</v>
      </c>
      <c r="T63" s="333">
        <f t="shared" si="32"/>
        <v>0</v>
      </c>
      <c r="AB63" s="163"/>
      <c r="AC63" s="203"/>
      <c r="AD63" s="268"/>
    </row>
    <row r="64" spans="1:33" ht="15.6" outlineLevel="1">
      <c r="A64" s="269" t="str">
        <f>'Program Budget'!D419</f>
        <v>Consultant for Graphic Design for Colombian Cacao Catalogue and Flavour Map</v>
      </c>
      <c r="B64" s="194" t="str">
        <f>'Program Budget'!F419</f>
        <v>Month</v>
      </c>
      <c r="C64" s="198">
        <f>'Program Budget'!E419</f>
        <v>0</v>
      </c>
      <c r="D64" s="195">
        <f>'Program Budget'!G419</f>
        <v>0</v>
      </c>
      <c r="E64" s="196">
        <f>'Program Budget'!I419</f>
        <v>0</v>
      </c>
      <c r="F64" s="197">
        <v>0</v>
      </c>
      <c r="G64" s="198">
        <f t="shared" ref="G64" si="33">D64*E64*F64</f>
        <v>0</v>
      </c>
      <c r="H64" s="195">
        <f t="shared" si="25"/>
        <v>0</v>
      </c>
      <c r="I64" s="196">
        <f>'Program Budget'!L419</f>
        <v>2</v>
      </c>
      <c r="J64" s="197">
        <v>1</v>
      </c>
      <c r="K64" s="198">
        <f t="shared" ref="K64" si="34">H64*I64*J64</f>
        <v>0</v>
      </c>
      <c r="L64" s="195">
        <f t="shared" si="26"/>
        <v>0</v>
      </c>
      <c r="M64" s="196">
        <f>'Program Budget'!O419</f>
        <v>0</v>
      </c>
      <c r="N64" s="197">
        <v>0</v>
      </c>
      <c r="O64" s="198">
        <f t="shared" ref="O64" si="35">L64*M64*N64</f>
        <v>0</v>
      </c>
      <c r="P64" s="195">
        <f t="shared" si="27"/>
        <v>0</v>
      </c>
      <c r="Q64" s="196">
        <f>'Program Budget'!R419</f>
        <v>0</v>
      </c>
      <c r="R64" s="197">
        <v>0</v>
      </c>
      <c r="S64" s="198">
        <f t="shared" si="28"/>
        <v>0</v>
      </c>
      <c r="T64" s="333">
        <f t="shared" ref="T64" si="36">C64+G64+K64+O64+S64</f>
        <v>0</v>
      </c>
      <c r="AB64" s="163"/>
      <c r="AC64" s="203"/>
      <c r="AD64" s="268"/>
    </row>
    <row r="65" spans="1:30" outlineLevel="1">
      <c r="A65" s="326"/>
      <c r="B65" s="216"/>
      <c r="C65" s="198"/>
      <c r="D65" s="270"/>
      <c r="E65" s="271"/>
      <c r="F65" s="160"/>
      <c r="G65" s="198"/>
      <c r="H65" s="270"/>
      <c r="I65" s="271"/>
      <c r="K65" s="198"/>
      <c r="L65" s="270"/>
      <c r="M65" s="271"/>
      <c r="N65" s="160"/>
      <c r="O65" s="198"/>
      <c r="P65" s="270"/>
      <c r="Q65" s="271"/>
      <c r="R65" s="160"/>
      <c r="S65" s="198"/>
      <c r="T65" s="272"/>
      <c r="AB65" s="163"/>
      <c r="AC65" s="203"/>
      <c r="AD65" s="268"/>
    </row>
    <row r="66" spans="1:30" ht="18.3" outlineLevel="1">
      <c r="A66" s="261" t="s">
        <v>527</v>
      </c>
      <c r="B66" s="227"/>
      <c r="C66" s="231">
        <f>SUM(C59:C65)</f>
        <v>221398.99899999998</v>
      </c>
      <c r="D66" s="228"/>
      <c r="E66" s="262"/>
      <c r="F66" s="232"/>
      <c r="G66" s="231">
        <f>SUM(G59:G65)</f>
        <v>220000</v>
      </c>
      <c r="H66" s="228"/>
      <c r="I66" s="262"/>
      <c r="J66" s="263"/>
      <c r="K66" s="231">
        <f>SUM(K59:K65)</f>
        <v>175000</v>
      </c>
      <c r="L66" s="228"/>
      <c r="M66" s="262"/>
      <c r="N66" s="232"/>
      <c r="O66" s="231">
        <f>SUM(O59:O65)</f>
        <v>25000</v>
      </c>
      <c r="P66" s="228"/>
      <c r="Q66" s="262"/>
      <c r="R66" s="232"/>
      <c r="S66" s="231">
        <f>SUM(S59:S65)</f>
        <v>0</v>
      </c>
      <c r="T66" s="233">
        <f>+C66+G66+K66+O66+S66</f>
        <v>641398.99899999995</v>
      </c>
      <c r="AB66" s="163"/>
      <c r="AC66" s="203"/>
      <c r="AD66" s="268"/>
    </row>
    <row r="67" spans="1:30" ht="15.6" outlineLevel="1">
      <c r="A67" s="190" t="s">
        <v>528</v>
      </c>
      <c r="B67" s="273"/>
      <c r="C67" s="198"/>
      <c r="E67" s="265"/>
      <c r="G67" s="200"/>
      <c r="I67" s="265"/>
      <c r="K67" s="200"/>
      <c r="M67" s="265"/>
      <c r="O67" s="200"/>
      <c r="Q67" s="265"/>
      <c r="S67" s="200"/>
      <c r="T67" s="200"/>
      <c r="AB67" s="163"/>
    </row>
    <row r="68" spans="1:30" outlineLevel="1">
      <c r="A68" s="193" t="s">
        <v>458</v>
      </c>
      <c r="B68" s="216"/>
      <c r="C68" s="198">
        <v>0</v>
      </c>
      <c r="E68" s="274"/>
      <c r="F68" s="160"/>
      <c r="G68" s="198">
        <f t="shared" ref="G68" si="37">D68*E68*F68</f>
        <v>0</v>
      </c>
      <c r="I68" s="274"/>
      <c r="K68" s="198">
        <f t="shared" ref="K68" si="38">H68*I68*J68</f>
        <v>0</v>
      </c>
      <c r="M68" s="274"/>
      <c r="N68" s="160"/>
      <c r="O68" s="198">
        <f t="shared" ref="O68" si="39">L68*M68*N68</f>
        <v>0</v>
      </c>
      <c r="Q68" s="274"/>
      <c r="R68" s="160"/>
      <c r="S68" s="198">
        <f t="shared" ref="S68" si="40">P68*Q68*R68</f>
        <v>0</v>
      </c>
      <c r="T68" s="200">
        <f t="shared" ref="T68" si="41">C68+G68+K68+O68+S68</f>
        <v>0</v>
      </c>
      <c r="AB68" s="163">
        <v>298</v>
      </c>
      <c r="AC68" s="203" t="s">
        <v>577</v>
      </c>
      <c r="AD68" s="203" t="s">
        <v>578</v>
      </c>
    </row>
    <row r="69" spans="1:30" outlineLevel="1">
      <c r="A69" s="193"/>
      <c r="B69" s="216"/>
      <c r="C69" s="198"/>
      <c r="E69" s="274"/>
      <c r="F69" s="160"/>
      <c r="G69" s="198"/>
      <c r="I69" s="274"/>
      <c r="K69" s="198"/>
      <c r="M69" s="274"/>
      <c r="N69" s="160"/>
      <c r="O69" s="198"/>
      <c r="Q69" s="274"/>
      <c r="R69" s="160"/>
      <c r="S69" s="198"/>
      <c r="T69" s="200"/>
      <c r="AB69" s="163"/>
      <c r="AC69" s="203"/>
      <c r="AD69" s="203"/>
    </row>
    <row r="70" spans="1:30" ht="18.3" outlineLevel="1">
      <c r="A70" s="261" t="s">
        <v>529</v>
      </c>
      <c r="B70" s="227"/>
      <c r="C70" s="231">
        <f>SUM(C68:C69)</f>
        <v>0</v>
      </c>
      <c r="D70" s="228"/>
      <c r="E70" s="262"/>
      <c r="F70" s="232"/>
      <c r="G70" s="231">
        <f>SUM(G68:G69)</f>
        <v>0</v>
      </c>
      <c r="H70" s="228"/>
      <c r="I70" s="262"/>
      <c r="J70" s="263"/>
      <c r="K70" s="231">
        <f>SUM(K68:K69)</f>
        <v>0</v>
      </c>
      <c r="L70" s="228"/>
      <c r="M70" s="262"/>
      <c r="N70" s="232"/>
      <c r="O70" s="231">
        <f>SUM(O68:O69)</f>
        <v>0</v>
      </c>
      <c r="P70" s="228"/>
      <c r="Q70" s="262"/>
      <c r="R70" s="232"/>
      <c r="S70" s="231">
        <f>SUM(S68:S69)</f>
        <v>0</v>
      </c>
      <c r="T70" s="233">
        <f>+C70+G70+K70+O70+S70</f>
        <v>0</v>
      </c>
      <c r="AB70" s="163"/>
      <c r="AC70" s="203"/>
      <c r="AD70" s="268"/>
    </row>
    <row r="71" spans="1:30" ht="15.6" outlineLevel="1">
      <c r="A71" s="190" t="s">
        <v>33</v>
      </c>
      <c r="B71" s="216"/>
      <c r="C71" s="198"/>
      <c r="E71" s="265"/>
      <c r="F71" s="160"/>
      <c r="G71" s="198"/>
      <c r="I71" s="265"/>
      <c r="K71" s="198"/>
      <c r="M71" s="265"/>
      <c r="N71" s="160"/>
      <c r="O71" s="198"/>
      <c r="Q71" s="265"/>
      <c r="R71" s="160"/>
      <c r="S71" s="198"/>
      <c r="T71" s="200"/>
      <c r="AB71" s="163"/>
      <c r="AC71" s="203"/>
      <c r="AD71" s="203"/>
    </row>
    <row r="72" spans="1:30" outlineLevel="1">
      <c r="A72" s="193" t="s">
        <v>458</v>
      </c>
      <c r="B72" s="216"/>
      <c r="C72" s="198"/>
      <c r="E72" s="265"/>
      <c r="F72" s="160"/>
      <c r="G72" s="198"/>
      <c r="I72" s="265"/>
      <c r="K72" s="198"/>
      <c r="M72" s="265"/>
      <c r="N72" s="160"/>
      <c r="O72" s="198"/>
      <c r="Q72" s="265"/>
      <c r="R72" s="160"/>
      <c r="S72" s="198"/>
      <c r="T72" s="200"/>
      <c r="AB72" s="163"/>
      <c r="AC72" s="203"/>
      <c r="AD72" s="203"/>
    </row>
    <row r="73" spans="1:30" ht="18.3" outlineLevel="1">
      <c r="A73" s="261" t="s">
        <v>530</v>
      </c>
      <c r="B73" s="227"/>
      <c r="C73" s="231">
        <f>SUM(C69:C69)</f>
        <v>0</v>
      </c>
      <c r="D73" s="228"/>
      <c r="E73" s="262"/>
      <c r="F73" s="232"/>
      <c r="G73" s="231">
        <f>SUM(G69:G69)</f>
        <v>0</v>
      </c>
      <c r="H73" s="228"/>
      <c r="I73" s="262"/>
      <c r="J73" s="263"/>
      <c r="K73" s="231">
        <f>SUM(K69:K69)</f>
        <v>0</v>
      </c>
      <c r="L73" s="228"/>
      <c r="M73" s="262"/>
      <c r="N73" s="232"/>
      <c r="O73" s="231">
        <f>SUM(O69:O69)</f>
        <v>0</v>
      </c>
      <c r="P73" s="228"/>
      <c r="Q73" s="262"/>
      <c r="R73" s="232"/>
      <c r="S73" s="231">
        <f>SUM(S69:S69)</f>
        <v>0</v>
      </c>
      <c r="T73" s="233">
        <f>+C73+G73+K73+O73+S73</f>
        <v>0</v>
      </c>
      <c r="AB73" s="163">
        <v>236</v>
      </c>
      <c r="AC73" s="203" t="s">
        <v>566</v>
      </c>
      <c r="AD73" s="268" t="s">
        <v>567</v>
      </c>
    </row>
    <row r="74" spans="1:30" ht="15.6" outlineLevel="1">
      <c r="A74" s="190" t="s">
        <v>34</v>
      </c>
      <c r="B74" s="264"/>
      <c r="C74" s="248"/>
      <c r="E74" s="265"/>
      <c r="F74" s="267"/>
      <c r="G74" s="221"/>
      <c r="I74" s="265"/>
      <c r="J74" s="266"/>
      <c r="K74" s="221"/>
      <c r="M74" s="265"/>
      <c r="N74" s="267"/>
      <c r="O74" s="221"/>
      <c r="Q74" s="265"/>
      <c r="R74" s="267"/>
      <c r="S74" s="221"/>
      <c r="T74" s="200"/>
      <c r="AB74" s="163">
        <v>236</v>
      </c>
      <c r="AC74" s="203" t="s">
        <v>566</v>
      </c>
      <c r="AD74" s="268" t="s">
        <v>567</v>
      </c>
    </row>
    <row r="75" spans="1:30" outlineLevel="1">
      <c r="A75" s="193" t="s">
        <v>458</v>
      </c>
      <c r="B75" s="216"/>
      <c r="C75" s="198">
        <v>0</v>
      </c>
      <c r="E75" s="274"/>
      <c r="F75" s="160"/>
      <c r="G75" s="198">
        <f t="shared" ref="G75" si="42">D75*E75*F75</f>
        <v>0</v>
      </c>
      <c r="I75" s="274"/>
      <c r="K75" s="198">
        <f t="shared" ref="K75" si="43">H75*I75*J75</f>
        <v>0</v>
      </c>
      <c r="M75" s="274"/>
      <c r="N75" s="160"/>
      <c r="O75" s="198">
        <f t="shared" ref="O75" si="44">L75*M75*N75</f>
        <v>0</v>
      </c>
      <c r="Q75" s="274"/>
      <c r="R75" s="160"/>
      <c r="S75" s="198">
        <f t="shared" ref="S75" si="45">P75*Q75*R75</f>
        <v>0</v>
      </c>
      <c r="T75" s="200">
        <f t="shared" ref="T75" si="46">C75+G75+K75+O75+S75</f>
        <v>0</v>
      </c>
      <c r="AB75" s="163">
        <v>298</v>
      </c>
      <c r="AC75" s="203" t="s">
        <v>577</v>
      </c>
      <c r="AD75" s="203" t="s">
        <v>578</v>
      </c>
    </row>
    <row r="76" spans="1:30" outlineLevel="1">
      <c r="A76" s="193"/>
      <c r="B76" s="216"/>
      <c r="C76" s="198"/>
      <c r="E76" s="265"/>
      <c r="F76" s="160"/>
      <c r="G76" s="198"/>
      <c r="I76" s="265"/>
      <c r="K76" s="198"/>
      <c r="M76" s="265"/>
      <c r="N76" s="160"/>
      <c r="O76" s="198"/>
      <c r="Q76" s="265"/>
      <c r="R76" s="160"/>
      <c r="S76" s="198"/>
      <c r="T76" s="200"/>
      <c r="AB76" s="163"/>
      <c r="AC76" s="203"/>
      <c r="AD76" s="203"/>
    </row>
    <row r="77" spans="1:30" ht="18.3" outlineLevel="1">
      <c r="A77" s="261" t="s">
        <v>531</v>
      </c>
      <c r="B77" s="227"/>
      <c r="C77" s="231">
        <f>SUM(C75:C76)</f>
        <v>0</v>
      </c>
      <c r="D77" s="228"/>
      <c r="E77" s="262"/>
      <c r="F77" s="232"/>
      <c r="G77" s="231">
        <f>SUM(G75:G76)</f>
        <v>0</v>
      </c>
      <c r="H77" s="228"/>
      <c r="I77" s="262"/>
      <c r="J77" s="263"/>
      <c r="K77" s="231">
        <f>SUM(K75:K76)</f>
        <v>0</v>
      </c>
      <c r="L77" s="228"/>
      <c r="M77" s="262"/>
      <c r="N77" s="232"/>
      <c r="O77" s="231">
        <f>SUM(O75:O76)</f>
        <v>0</v>
      </c>
      <c r="P77" s="228"/>
      <c r="Q77" s="262"/>
      <c r="R77" s="232"/>
      <c r="S77" s="231">
        <f>SUM(S75:S76)</f>
        <v>0</v>
      </c>
      <c r="T77" s="231">
        <f>SUM(T75:T76)</f>
        <v>0</v>
      </c>
      <c r="AB77" s="163"/>
      <c r="AC77" s="203"/>
      <c r="AD77" s="268"/>
    </row>
    <row r="78" spans="1:30" ht="15.6" outlineLevel="1">
      <c r="A78" s="276" t="s">
        <v>532</v>
      </c>
      <c r="B78" s="216"/>
      <c r="C78" s="248"/>
      <c r="D78" s="277"/>
      <c r="E78" s="278"/>
      <c r="G78" s="221"/>
      <c r="H78" s="277"/>
      <c r="I78" s="278"/>
      <c r="K78" s="221"/>
      <c r="L78" s="277"/>
      <c r="M78" s="278"/>
      <c r="O78" s="221"/>
      <c r="P78" s="277"/>
      <c r="Q78" s="278"/>
      <c r="S78" s="221"/>
      <c r="T78" s="200"/>
      <c r="AB78" s="163"/>
      <c r="AC78" s="203"/>
      <c r="AD78" s="268"/>
    </row>
    <row r="79" spans="1:30" ht="15.6" outlineLevel="1">
      <c r="A79" s="190" t="s">
        <v>249</v>
      </c>
      <c r="B79" s="216"/>
      <c r="C79" s="198"/>
      <c r="D79" s="277"/>
      <c r="E79" s="278"/>
      <c r="F79" s="160"/>
      <c r="G79" s="198"/>
      <c r="H79" s="277"/>
      <c r="I79" s="278"/>
      <c r="K79" s="198"/>
      <c r="L79" s="277"/>
      <c r="M79" s="278"/>
      <c r="N79" s="160"/>
      <c r="O79" s="198"/>
      <c r="P79" s="277"/>
      <c r="Q79" s="278"/>
      <c r="R79" s="160"/>
      <c r="S79" s="198"/>
      <c r="T79" s="200"/>
      <c r="AB79" s="163"/>
      <c r="AC79" s="203"/>
      <c r="AD79" s="268"/>
    </row>
    <row r="80" spans="1:30" ht="15.6" outlineLevel="1">
      <c r="A80" s="269" t="str">
        <f>'Program Budget'!D430</f>
        <v xml:space="preserve">Grant Fund to Strengthening Small Processors and Aggregators </v>
      </c>
      <c r="B80" s="194" t="str">
        <f>'Program Budget'!F430</f>
        <v>Unit</v>
      </c>
      <c r="C80" s="198">
        <f>'Program Budget'!E430</f>
        <v>204415.31</v>
      </c>
      <c r="D80" s="195">
        <f>'Program Budget'!G430</f>
        <v>204415.31</v>
      </c>
      <c r="E80" s="196">
        <f>'Program Budget'!I430</f>
        <v>0</v>
      </c>
      <c r="F80" s="197">
        <v>0</v>
      </c>
      <c r="G80" s="198">
        <f t="shared" ref="G80" si="47">D80*E80*F80</f>
        <v>0</v>
      </c>
      <c r="H80" s="195">
        <f>D80</f>
        <v>204415.31</v>
      </c>
      <c r="I80" s="196">
        <f>'Program Budget'!L430</f>
        <v>0</v>
      </c>
      <c r="J80" s="197">
        <v>0</v>
      </c>
      <c r="K80" s="198">
        <f t="shared" ref="K80" si="48">H80*I80*J80</f>
        <v>0</v>
      </c>
      <c r="L80" s="195">
        <f>H80</f>
        <v>204415.31</v>
      </c>
      <c r="M80" s="196">
        <f>'Program Budget'!O430</f>
        <v>0</v>
      </c>
      <c r="N80" s="197">
        <v>0</v>
      </c>
      <c r="O80" s="198">
        <f t="shared" ref="O80" si="49">L80*M80*N80</f>
        <v>0</v>
      </c>
      <c r="P80" s="195">
        <f>L80</f>
        <v>204415.31</v>
      </c>
      <c r="Q80" s="196">
        <f>'Program Budget'!R430</f>
        <v>0</v>
      </c>
      <c r="R80" s="197">
        <v>0</v>
      </c>
      <c r="S80" s="198">
        <f t="shared" ref="S80" si="50">P80*Q80*R80</f>
        <v>0</v>
      </c>
      <c r="T80" s="333">
        <f t="shared" ref="T80" si="51">C80+G80+K80+O80+S80</f>
        <v>204415.31</v>
      </c>
      <c r="AB80" s="163"/>
      <c r="AC80" s="203"/>
      <c r="AD80" s="268"/>
    </row>
    <row r="81" spans="1:30" ht="15.6" outlineLevel="1">
      <c r="A81" s="269" t="str">
        <f>'Program Budget'!D431</f>
        <v>Grant Fund to Upgrade Fermentation Centers</v>
      </c>
      <c r="B81" s="194" t="str">
        <f>'Program Budget'!F431</f>
        <v>Unit</v>
      </c>
      <c r="C81" s="198">
        <f>'Program Budget'!E431</f>
        <v>0</v>
      </c>
      <c r="D81" s="195">
        <f>'Program Budget'!G431</f>
        <v>65000</v>
      </c>
      <c r="E81" s="196">
        <f>'Program Budget'!I431</f>
        <v>0</v>
      </c>
      <c r="F81" s="197">
        <v>1</v>
      </c>
      <c r="G81" s="198">
        <f t="shared" ref="G81:G83" si="52">D81*E81*F81</f>
        <v>0</v>
      </c>
      <c r="H81" s="195">
        <f t="shared" ref="H81:H83" si="53">D81</f>
        <v>65000</v>
      </c>
      <c r="I81" s="196">
        <f>'Program Budget'!L431</f>
        <v>0</v>
      </c>
      <c r="J81" s="197">
        <v>1</v>
      </c>
      <c r="K81" s="198">
        <f t="shared" ref="K81:K83" si="54">H81*I81*J81</f>
        <v>0</v>
      </c>
      <c r="L81" s="195">
        <f t="shared" ref="L81:L83" si="55">H81</f>
        <v>65000</v>
      </c>
      <c r="M81" s="196">
        <f>'Program Budget'!O431</f>
        <v>0</v>
      </c>
      <c r="N81" s="197">
        <v>1</v>
      </c>
      <c r="O81" s="198">
        <f t="shared" ref="O81:O83" si="56">L81*M81*N81</f>
        <v>0</v>
      </c>
      <c r="P81" s="195">
        <f t="shared" ref="P81:P83" si="57">L81</f>
        <v>65000</v>
      </c>
      <c r="Q81" s="196">
        <f>'Program Budget'!R431</f>
        <v>0</v>
      </c>
      <c r="R81" s="197">
        <v>0</v>
      </c>
      <c r="S81" s="198">
        <f t="shared" ref="S81:S83" si="58">P81*Q81*R81</f>
        <v>0</v>
      </c>
      <c r="T81" s="333">
        <f t="shared" ref="T81:T83" si="59">C81+G81+K81+O81+S81</f>
        <v>0</v>
      </c>
      <c r="AB81" s="163"/>
      <c r="AC81" s="203"/>
      <c r="AD81" s="268"/>
    </row>
    <row r="82" spans="1:30" ht="15.6" outlineLevel="1">
      <c r="A82" s="190" t="s">
        <v>336</v>
      </c>
      <c r="B82" s="194"/>
      <c r="C82" s="198"/>
      <c r="D82" s="195"/>
      <c r="E82" s="196"/>
      <c r="F82" s="197"/>
      <c r="G82" s="198"/>
      <c r="H82" s="195"/>
      <c r="I82" s="196"/>
      <c r="J82" s="197"/>
      <c r="K82" s="198"/>
      <c r="L82" s="195"/>
      <c r="M82" s="196"/>
      <c r="N82" s="197"/>
      <c r="O82" s="198"/>
      <c r="P82" s="195"/>
      <c r="Q82" s="196"/>
      <c r="R82" s="197"/>
      <c r="S82" s="198"/>
      <c r="T82" s="333"/>
      <c r="AB82" s="163"/>
      <c r="AC82" s="203"/>
      <c r="AD82" s="268"/>
    </row>
    <row r="83" spans="1:30" ht="15.6" outlineLevel="1">
      <c r="A83" s="269" t="str">
        <f>'Program Budget'!D433</f>
        <v>Support for Local Fine Flavour Cacao Competitions</v>
      </c>
      <c r="B83" s="194" t="str">
        <f>'Program Budget'!F433</f>
        <v>Year</v>
      </c>
      <c r="C83" s="198">
        <f>'Program Budget'!E433</f>
        <v>0</v>
      </c>
      <c r="D83" s="195">
        <f>'Program Budget'!G433</f>
        <v>10000</v>
      </c>
      <c r="E83" s="196">
        <f>'Program Budget'!I433</f>
        <v>1</v>
      </c>
      <c r="F83" s="197">
        <v>1</v>
      </c>
      <c r="G83" s="198">
        <f t="shared" si="52"/>
        <v>10000</v>
      </c>
      <c r="H83" s="195">
        <f t="shared" si="53"/>
        <v>10000</v>
      </c>
      <c r="I83" s="196">
        <f>'Program Budget'!L433</f>
        <v>1</v>
      </c>
      <c r="J83" s="197">
        <v>1</v>
      </c>
      <c r="K83" s="198">
        <f t="shared" si="54"/>
        <v>10000</v>
      </c>
      <c r="L83" s="195">
        <f t="shared" si="55"/>
        <v>10000</v>
      </c>
      <c r="M83" s="196">
        <f>'Program Budget'!O433</f>
        <v>1</v>
      </c>
      <c r="N83" s="197">
        <v>1</v>
      </c>
      <c r="O83" s="198">
        <f t="shared" si="56"/>
        <v>10000</v>
      </c>
      <c r="P83" s="195">
        <f t="shared" si="57"/>
        <v>10000</v>
      </c>
      <c r="Q83" s="196">
        <f>'Program Budget'!R433</f>
        <v>0</v>
      </c>
      <c r="R83" s="197">
        <v>0</v>
      </c>
      <c r="S83" s="198">
        <f t="shared" si="58"/>
        <v>0</v>
      </c>
      <c r="T83" s="333">
        <f t="shared" si="59"/>
        <v>30000</v>
      </c>
      <c r="AB83" s="163"/>
      <c r="AC83" s="203"/>
      <c r="AD83" s="268"/>
    </row>
    <row r="84" spans="1:30" ht="15.6" outlineLevel="1">
      <c r="A84" s="281"/>
      <c r="B84" s="241"/>
      <c r="C84" s="245"/>
      <c r="D84" s="279"/>
      <c r="E84" s="280"/>
      <c r="F84" s="244"/>
      <c r="G84" s="245"/>
      <c r="H84" s="279"/>
      <c r="I84" s="280"/>
      <c r="J84" s="244"/>
      <c r="K84" s="245"/>
      <c r="L84" s="279"/>
      <c r="M84" s="280"/>
      <c r="N84" s="244"/>
      <c r="O84" s="245"/>
      <c r="P84" s="279"/>
      <c r="Q84" s="280"/>
      <c r="R84" s="244"/>
      <c r="S84" s="245"/>
      <c r="T84" s="200"/>
      <c r="AB84" s="163"/>
      <c r="AC84" s="203"/>
      <c r="AD84" s="268"/>
    </row>
    <row r="85" spans="1:30" ht="18.3" outlineLevel="1">
      <c r="A85" s="282" t="s">
        <v>537</v>
      </c>
      <c r="B85" s="227"/>
      <c r="C85" s="254">
        <f>SUM(C79:C83)</f>
        <v>204415.31</v>
      </c>
      <c r="D85" s="251"/>
      <c r="E85" s="252"/>
      <c r="F85" s="255"/>
      <c r="G85" s="254">
        <f>SUM(G79:G83)</f>
        <v>10000</v>
      </c>
      <c r="H85" s="251"/>
      <c r="I85" s="252"/>
      <c r="J85" s="283"/>
      <c r="K85" s="254">
        <f>SUM(K79:K83)</f>
        <v>10000</v>
      </c>
      <c r="L85" s="251"/>
      <c r="M85" s="252"/>
      <c r="N85" s="255"/>
      <c r="O85" s="254">
        <f>SUM(O79:O83)</f>
        <v>10000</v>
      </c>
      <c r="P85" s="251"/>
      <c r="Q85" s="252"/>
      <c r="R85" s="255"/>
      <c r="S85" s="254">
        <f>SUM(S79:S83)</f>
        <v>0</v>
      </c>
      <c r="T85" s="233">
        <f>+C85+G85+K85+O85+S85</f>
        <v>234415.31</v>
      </c>
      <c r="AB85" s="163">
        <v>250</v>
      </c>
      <c r="AC85" s="203" t="s">
        <v>569</v>
      </c>
      <c r="AD85" s="268" t="s">
        <v>570</v>
      </c>
    </row>
    <row r="86" spans="1:30" ht="15.6" outlineLevel="1">
      <c r="A86" s="284"/>
      <c r="B86" s="239"/>
      <c r="C86" s="198"/>
      <c r="D86" s="277"/>
      <c r="E86" s="278"/>
      <c r="G86" s="200"/>
      <c r="H86" s="277"/>
      <c r="I86" s="278"/>
      <c r="K86" s="200"/>
      <c r="L86" s="277"/>
      <c r="M86" s="278"/>
      <c r="O86" s="200"/>
      <c r="P86" s="277"/>
      <c r="Q86" s="278"/>
      <c r="S86" s="200"/>
      <c r="T86" s="200"/>
      <c r="AB86" s="163">
        <v>317</v>
      </c>
      <c r="AC86" s="203" t="s">
        <v>571</v>
      </c>
      <c r="AD86" s="268" t="s">
        <v>572</v>
      </c>
    </row>
    <row r="87" spans="1:30" ht="18.3" outlineLevel="1">
      <c r="A87" s="285" t="s">
        <v>538</v>
      </c>
      <c r="B87" s="286"/>
      <c r="C87" s="290">
        <f>C40+C49+C57+C73+C77+C66+C85+C70</f>
        <v>699861.3189999999</v>
      </c>
      <c r="D87" s="287"/>
      <c r="E87" s="288"/>
      <c r="F87" s="291"/>
      <c r="G87" s="290">
        <f>G40+G49+G57+G73+G77+G66+G85+G70</f>
        <v>405172.07962879998</v>
      </c>
      <c r="H87" s="287"/>
      <c r="I87" s="288"/>
      <c r="J87" s="289"/>
      <c r="K87" s="290">
        <f>K40+K49+K57+K73+K77+K66+K85+K70</f>
        <v>477658.02338024002</v>
      </c>
      <c r="L87" s="287"/>
      <c r="M87" s="288"/>
      <c r="N87" s="291"/>
      <c r="O87" s="290">
        <f>O40+O49+O57+O73+O77+O66+O85+O70</f>
        <v>342157.26374925196</v>
      </c>
      <c r="P87" s="287"/>
      <c r="Q87" s="288"/>
      <c r="R87" s="291"/>
      <c r="S87" s="290">
        <f>S40+S49+S57+S73+S77+S66+S85+S70</f>
        <v>67419.479152369808</v>
      </c>
      <c r="T87" s="290">
        <f>T40+T49+T57+T73+T77+T66+T85+T70</f>
        <v>1992268.1649106615</v>
      </c>
      <c r="U87" s="157">
        <f>SUM(G87,K87,O87,S87)</f>
        <v>1292406.8459106619</v>
      </c>
      <c r="AB87" s="163">
        <v>318</v>
      </c>
      <c r="AC87" s="203" t="s">
        <v>573</v>
      </c>
      <c r="AD87" s="268" t="s">
        <v>574</v>
      </c>
    </row>
    <row r="88" spans="1:30">
      <c r="A88" s="329"/>
      <c r="B88" s="239"/>
      <c r="C88" s="198"/>
      <c r="D88" s="277"/>
      <c r="E88" s="278"/>
      <c r="G88" s="200"/>
      <c r="H88" s="277"/>
      <c r="I88" s="278"/>
      <c r="K88" s="200"/>
      <c r="L88" s="277"/>
      <c r="M88" s="278"/>
      <c r="O88" s="200"/>
      <c r="P88" s="277"/>
      <c r="Q88" s="278"/>
      <c r="S88" s="200"/>
      <c r="T88" s="200"/>
    </row>
    <row r="89" spans="1:30" ht="20.399999999999999">
      <c r="A89" s="292" t="s">
        <v>59</v>
      </c>
      <c r="B89" s="293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3"/>
    </row>
    <row r="90" spans="1:30" ht="15" customHeight="1">
      <c r="A90" s="295" t="s">
        <v>60</v>
      </c>
      <c r="B90" s="349" t="s">
        <v>132</v>
      </c>
      <c r="C90" s="198">
        <v>0</v>
      </c>
      <c r="D90" s="195">
        <v>0</v>
      </c>
      <c r="E90" s="196">
        <v>1</v>
      </c>
      <c r="F90" s="197">
        <v>0.2828</v>
      </c>
      <c r="G90" s="198">
        <f>D90*E90*F90</f>
        <v>0</v>
      </c>
      <c r="H90" s="195">
        <v>0</v>
      </c>
      <c r="I90" s="196">
        <v>1</v>
      </c>
      <c r="J90" s="197">
        <v>0.2828</v>
      </c>
      <c r="K90" s="198">
        <f>H90*I90*J90</f>
        <v>0</v>
      </c>
      <c r="L90" s="195">
        <v>0</v>
      </c>
      <c r="M90" s="196">
        <v>1</v>
      </c>
      <c r="N90" s="197">
        <v>0.2828</v>
      </c>
      <c r="O90" s="198">
        <f>L90*M90*N90</f>
        <v>0</v>
      </c>
      <c r="P90" s="195">
        <v>0</v>
      </c>
      <c r="Q90" s="196">
        <v>1</v>
      </c>
      <c r="R90" s="197">
        <v>0.2828</v>
      </c>
      <c r="S90" s="198">
        <f>P90*Q90*R90</f>
        <v>0</v>
      </c>
      <c r="T90" s="333">
        <f>C90+G90+K90+O90+S90</f>
        <v>0</v>
      </c>
    </row>
    <row r="91" spans="1:30" ht="15" customHeight="1">
      <c r="A91" s="295" t="s">
        <v>61</v>
      </c>
      <c r="B91" s="349" t="s">
        <v>132</v>
      </c>
      <c r="C91" s="198">
        <v>204113.36839245571</v>
      </c>
      <c r="D91" s="351">
        <f>G87</f>
        <v>405172.07962879998</v>
      </c>
      <c r="E91" s="196">
        <v>1</v>
      </c>
      <c r="F91" s="197">
        <v>0.2828</v>
      </c>
      <c r="G91" s="198">
        <f>D91*E91*F91</f>
        <v>114582.66411902463</v>
      </c>
      <c r="H91" s="195">
        <f>K87</f>
        <v>477658.02338024002</v>
      </c>
      <c r="I91" s="196">
        <v>1</v>
      </c>
      <c r="J91" s="197">
        <v>0.2828</v>
      </c>
      <c r="K91" s="198">
        <f>H91*I91*J91</f>
        <v>135081.68901193189</v>
      </c>
      <c r="L91" s="195">
        <f>O87</f>
        <v>342157.26374925196</v>
      </c>
      <c r="M91" s="196">
        <v>1</v>
      </c>
      <c r="N91" s="197">
        <v>0.2828</v>
      </c>
      <c r="O91" s="198">
        <f>L91*M91*N91</f>
        <v>96762.074188288447</v>
      </c>
      <c r="P91" s="195">
        <f>S87</f>
        <v>67419.479152369808</v>
      </c>
      <c r="Q91" s="196">
        <v>1</v>
      </c>
      <c r="R91" s="197">
        <v>0.2828</v>
      </c>
      <c r="S91" s="198">
        <f>P91*Q91*R91</f>
        <v>19066.228704290181</v>
      </c>
      <c r="T91" s="333">
        <f>C91+G91+K91+O91+S91</f>
        <v>569606.02441599092</v>
      </c>
    </row>
    <row r="92" spans="1:30">
      <c r="A92" s="297"/>
      <c r="B92" s="239"/>
      <c r="C92" s="198"/>
      <c r="D92" s="270"/>
      <c r="E92" s="298"/>
      <c r="F92" s="199"/>
      <c r="G92" s="198"/>
      <c r="H92" s="270"/>
      <c r="I92" s="298"/>
      <c r="J92" s="299"/>
      <c r="K92" s="198"/>
      <c r="L92" s="270"/>
      <c r="M92" s="298"/>
      <c r="N92" s="199"/>
      <c r="O92" s="198"/>
      <c r="P92" s="270"/>
      <c r="Q92" s="298"/>
      <c r="R92" s="199"/>
      <c r="S92" s="198"/>
      <c r="T92" s="200"/>
    </row>
    <row r="93" spans="1:30" ht="18.3">
      <c r="A93" s="285" t="s">
        <v>539</v>
      </c>
      <c r="B93" s="286"/>
      <c r="C93" s="290">
        <f>SUM(C90:C92)</f>
        <v>204113.36839245571</v>
      </c>
      <c r="D93" s="287"/>
      <c r="E93" s="288"/>
      <c r="F93" s="291"/>
      <c r="G93" s="290">
        <f>SUM(G90:G92)</f>
        <v>114582.66411902463</v>
      </c>
      <c r="H93" s="287"/>
      <c r="I93" s="288"/>
      <c r="J93" s="289"/>
      <c r="K93" s="290">
        <f>SUM(K90:K92)</f>
        <v>135081.68901193189</v>
      </c>
      <c r="L93" s="287"/>
      <c r="M93" s="288"/>
      <c r="N93" s="291"/>
      <c r="O93" s="290">
        <f>SUM(O90:O92)</f>
        <v>96762.074188288447</v>
      </c>
      <c r="P93" s="287"/>
      <c r="Q93" s="288"/>
      <c r="R93" s="291"/>
      <c r="S93" s="290">
        <f>SUM(S90:S92)</f>
        <v>19066.228704290181</v>
      </c>
      <c r="T93" s="290">
        <f>SUM(T90:T92)</f>
        <v>569606.02441599092</v>
      </c>
      <c r="U93" s="157">
        <f>SUM(G93,K93,O93,S93)</f>
        <v>365492.65602353512</v>
      </c>
    </row>
    <row r="94" spans="1:30">
      <c r="A94" s="245"/>
      <c r="B94" s="300"/>
      <c r="C94" s="245"/>
      <c r="D94" s="279"/>
      <c r="E94" s="301"/>
      <c r="F94" s="303"/>
      <c r="G94" s="245"/>
      <c r="H94" s="279"/>
      <c r="I94" s="301"/>
      <c r="J94" s="302"/>
      <c r="K94" s="245"/>
      <c r="L94" s="279"/>
      <c r="M94" s="301"/>
      <c r="N94" s="303"/>
      <c r="O94" s="245"/>
      <c r="P94" s="279"/>
      <c r="Q94" s="301"/>
      <c r="R94" s="303"/>
      <c r="S94" s="245"/>
      <c r="T94" s="206"/>
    </row>
    <row r="95" spans="1:30" ht="18.3">
      <c r="A95" s="304" t="s">
        <v>540</v>
      </c>
      <c r="B95" s="305"/>
      <c r="C95" s="309">
        <f>C87+C93</f>
        <v>903974.68739245564</v>
      </c>
      <c r="D95" s="306"/>
      <c r="E95" s="307"/>
      <c r="F95" s="310"/>
      <c r="G95" s="309">
        <f>G87+G93</f>
        <v>519754.74374782463</v>
      </c>
      <c r="H95" s="306"/>
      <c r="I95" s="307"/>
      <c r="J95" s="308"/>
      <c r="K95" s="309">
        <f>K87+K93</f>
        <v>612739.71239217184</v>
      </c>
      <c r="L95" s="306"/>
      <c r="M95" s="307"/>
      <c r="N95" s="310"/>
      <c r="O95" s="309">
        <f>O87+O93</f>
        <v>438919.33793754037</v>
      </c>
      <c r="P95" s="306"/>
      <c r="Q95" s="307"/>
      <c r="R95" s="310"/>
      <c r="S95" s="309">
        <f>S87+S93</f>
        <v>86485.707856659981</v>
      </c>
      <c r="T95" s="311">
        <f>C95+G95+K95+O95+S95</f>
        <v>2561874.1893266523</v>
      </c>
    </row>
    <row r="96" spans="1:30" ht="15.6" outlineLevel="1">
      <c r="A96" s="269" t="str">
        <f>'Program Budget'!D438</f>
        <v>Subrecipient: Agrosavia</v>
      </c>
      <c r="B96" s="194" t="str">
        <f>'Program Budget'!F438</f>
        <v>Subrecipient</v>
      </c>
      <c r="C96" s="198">
        <f>'Program Budget'!E438</f>
        <v>32943.58</v>
      </c>
      <c r="D96" s="195">
        <f>'Program Budget'!G438</f>
        <v>30000</v>
      </c>
      <c r="E96" s="196">
        <f>'Program Budget'!I438</f>
        <v>1</v>
      </c>
      <c r="F96" s="197">
        <v>1</v>
      </c>
      <c r="G96" s="198">
        <f t="shared" ref="G96:G97" si="60">D96*E96*F96</f>
        <v>30000</v>
      </c>
      <c r="H96" s="195">
        <f t="shared" ref="H96:H97" si="61">D96</f>
        <v>30000</v>
      </c>
      <c r="I96" s="196">
        <f>'Program Budget'!L438</f>
        <v>1</v>
      </c>
      <c r="J96" s="197">
        <v>1</v>
      </c>
      <c r="K96" s="198">
        <f t="shared" ref="K96:K97" si="62">H96*I96*J96</f>
        <v>30000</v>
      </c>
      <c r="L96" s="195">
        <f t="shared" ref="L96:L97" si="63">H96</f>
        <v>30000</v>
      </c>
      <c r="M96" s="196">
        <f>'Program Budget'!O438</f>
        <v>1</v>
      </c>
      <c r="N96" s="197">
        <v>1</v>
      </c>
      <c r="O96" s="198">
        <f t="shared" ref="O96:O97" si="64">L96*M96*N96</f>
        <v>30000</v>
      </c>
      <c r="P96" s="195">
        <f t="shared" ref="P96:P97" si="65">L96</f>
        <v>30000</v>
      </c>
      <c r="Q96" s="196">
        <f>'Program Budget'!R438</f>
        <v>0</v>
      </c>
      <c r="R96" s="197">
        <v>1</v>
      </c>
      <c r="S96" s="198">
        <f t="shared" ref="S96:S97" si="66">P96*Q96*R96</f>
        <v>0</v>
      </c>
      <c r="T96" s="333">
        <f t="shared" ref="T96:T97" si="67">C96+G96+K96+O96+S96</f>
        <v>122943.58</v>
      </c>
      <c r="AB96" s="163"/>
      <c r="AC96" s="207"/>
      <c r="AD96" s="207"/>
    </row>
    <row r="97" spans="1:30" ht="15.6" outlineLevel="1">
      <c r="A97" s="269" t="str">
        <f>'Program Budget'!D439</f>
        <v>Fedecacao Donations for Cacao Crop Renewal Program</v>
      </c>
      <c r="B97" s="194" t="str">
        <f>'Program Budget'!F439</f>
        <v>Contract</v>
      </c>
      <c r="C97" s="198">
        <f>'Program Budget'!E439</f>
        <v>0</v>
      </c>
      <c r="D97" s="195">
        <f>'Program Budget'!G439</f>
        <v>18985</v>
      </c>
      <c r="E97" s="196">
        <f>'Program Budget'!I439</f>
        <v>0.5</v>
      </c>
      <c r="F97" s="197">
        <v>1</v>
      </c>
      <c r="G97" s="198">
        <f t="shared" si="60"/>
        <v>9492.5</v>
      </c>
      <c r="H97" s="195">
        <f t="shared" si="61"/>
        <v>18985</v>
      </c>
      <c r="I97" s="196">
        <f>'Program Budget'!L439</f>
        <v>0.5</v>
      </c>
      <c r="J97" s="197">
        <v>1</v>
      </c>
      <c r="K97" s="198">
        <f t="shared" si="62"/>
        <v>9492.5</v>
      </c>
      <c r="L97" s="195">
        <f t="shared" si="63"/>
        <v>18985</v>
      </c>
      <c r="M97" s="196">
        <f>'Program Budget'!O439</f>
        <v>0</v>
      </c>
      <c r="N97" s="197">
        <v>1</v>
      </c>
      <c r="O97" s="198">
        <f t="shared" si="64"/>
        <v>0</v>
      </c>
      <c r="P97" s="195">
        <f t="shared" si="65"/>
        <v>18985</v>
      </c>
      <c r="Q97" s="196">
        <f>'Program Budget'!R439</f>
        <v>0</v>
      </c>
      <c r="R97" s="197">
        <v>1</v>
      </c>
      <c r="S97" s="198">
        <f t="shared" si="66"/>
        <v>0</v>
      </c>
      <c r="T97" s="333">
        <f t="shared" si="67"/>
        <v>18985</v>
      </c>
      <c r="AB97" s="163"/>
      <c r="AC97" s="207"/>
      <c r="AD97" s="207"/>
    </row>
    <row r="98" spans="1:30" ht="18.3">
      <c r="A98" s="304" t="s">
        <v>541</v>
      </c>
      <c r="B98" s="305"/>
      <c r="C98" s="309">
        <f>SUM(C95:C97)</f>
        <v>936918.2673924556</v>
      </c>
      <c r="D98" s="306"/>
      <c r="E98" s="307"/>
      <c r="F98" s="310"/>
      <c r="G98" s="309">
        <f>SUM(G95:G97)</f>
        <v>559247.24374782457</v>
      </c>
      <c r="H98" s="306"/>
      <c r="I98" s="307"/>
      <c r="J98" s="308"/>
      <c r="K98" s="309">
        <f>SUM(K95:K97)</f>
        <v>652232.21239217184</v>
      </c>
      <c r="L98" s="306"/>
      <c r="M98" s="307"/>
      <c r="N98" s="310"/>
      <c r="O98" s="309">
        <f>SUM(O95:O97)</f>
        <v>468919.33793754037</v>
      </c>
      <c r="P98" s="306"/>
      <c r="Q98" s="307"/>
      <c r="R98" s="310"/>
      <c r="S98" s="309">
        <f>SUM(S95:S97)</f>
        <v>86485.707856659981</v>
      </c>
      <c r="T98" s="311">
        <f>C98+G98+K98+O98+S98</f>
        <v>2703802.7693266524</v>
      </c>
    </row>
    <row r="99" spans="1:30">
      <c r="A99" s="194"/>
      <c r="B99" s="194"/>
      <c r="T99" s="200"/>
    </row>
    <row r="100" spans="1:30" ht="31.2">
      <c r="A100" s="316" t="s">
        <v>542</v>
      </c>
      <c r="B100" s="317"/>
      <c r="C100" s="321"/>
      <c r="D100" s="318"/>
      <c r="E100" s="319"/>
      <c r="F100" s="322"/>
      <c r="G100" s="323"/>
      <c r="H100" s="318"/>
      <c r="I100" s="319"/>
      <c r="J100" s="320"/>
      <c r="K100" s="323"/>
      <c r="L100" s="318"/>
      <c r="M100" s="319"/>
      <c r="N100" s="322"/>
      <c r="O100" s="323"/>
      <c r="P100" s="318"/>
      <c r="Q100" s="319"/>
      <c r="R100" s="322"/>
      <c r="S100" s="323"/>
      <c r="T100" s="323"/>
    </row>
    <row r="102" spans="1:30">
      <c r="T102" s="344">
        <f>T98-T95</f>
        <v>141928.58000000007</v>
      </c>
    </row>
  </sheetData>
  <mergeCells count="8">
    <mergeCell ref="P2:S2"/>
    <mergeCell ref="T2:T3"/>
    <mergeCell ref="A2:A3"/>
    <mergeCell ref="B2:B3"/>
    <mergeCell ref="D2:G2"/>
    <mergeCell ref="H2:K2"/>
    <mergeCell ref="L2:O2"/>
    <mergeCell ref="C2:C3"/>
  </mergeCells>
  <printOptions horizontalCentered="1"/>
  <pageMargins left="0.25" right="0.25" top="0.75" bottom="0.75" header="0.3" footer="0.3"/>
  <pageSetup scale="32" orientation="landscape" r:id="rId1"/>
  <headerFooter alignWithMargins="0"/>
  <rowBreaks count="1" manualBreakCount="1">
    <brk id="94" max="1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FFEA-38FC-48EC-A9F8-BABCB51CB946}">
  <sheetPr>
    <tabColor theme="6" tint="0.39997558519241921"/>
    <pageSetUpPr fitToPage="1"/>
  </sheetPr>
  <dimension ref="A1:AG92"/>
  <sheetViews>
    <sheetView showOutlineSymbols="0" showWhiteSpace="0" zoomScale="70" zoomScaleNormal="70" workbookViewId="0">
      <pane xSplit="2" ySplit="3" topLeftCell="S71" activePane="bottomRight" state="frozen"/>
      <selection pane="topRight"/>
      <selection pane="bottomLeft"/>
      <selection pane="bottomRight" activeCell="S71" sqref="S71"/>
    </sheetView>
  </sheetViews>
  <sheetFormatPr defaultColWidth="8.71875" defaultRowHeight="14.4" outlineLevelRow="1" outlineLevelCol="1"/>
  <cols>
    <col min="1" max="1" width="61.1640625" style="157" customWidth="1"/>
    <col min="2" max="2" width="13" style="157" customWidth="1"/>
    <col min="3" max="3" width="15.1640625" style="157" customWidth="1"/>
    <col min="4" max="4" width="15.1640625" style="158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158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158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158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158" customWidth="1"/>
    <col min="21" max="22" width="10.1640625" style="157" bestFit="1" customWidth="1"/>
    <col min="23" max="23" width="10.83203125" style="157" customWidth="1"/>
    <col min="24" max="24" width="8.83203125" style="157" customWidth="1"/>
    <col min="25" max="25" width="10.83203125" style="157" customWidth="1"/>
    <col min="26" max="26" width="4.83203125" style="157" customWidth="1"/>
    <col min="27" max="27" width="4.83203125" style="157" hidden="1" customWidth="1"/>
    <col min="28" max="28" width="7" style="162" hidden="1" customWidth="1"/>
    <col min="29" max="29" width="19.1640625" style="157" hidden="1" customWidth="1"/>
    <col min="30" max="30" width="34" style="157" hidden="1" customWidth="1"/>
    <col min="31" max="31" width="9.83203125" style="157" hidden="1" customWidth="1"/>
    <col min="32" max="32" width="9.83203125" style="157" customWidth="1"/>
    <col min="33" max="33" width="14.1640625" style="157" customWidth="1"/>
    <col min="34" max="261" width="8.83203125" style="157"/>
    <col min="262" max="262" width="38.1640625" style="157" customWidth="1"/>
    <col min="263" max="263" width="23.44140625" style="157" bestFit="1" customWidth="1"/>
    <col min="264" max="265" width="9.1640625" style="157" customWidth="1"/>
    <col min="266" max="266" width="11.1640625" style="157" bestFit="1" customWidth="1"/>
    <col min="267" max="267" width="14.44140625" style="157" bestFit="1" customWidth="1"/>
    <col min="268" max="268" width="8.1640625" style="157" customWidth="1"/>
    <col min="269" max="269" width="10.83203125" style="157" bestFit="1" customWidth="1"/>
    <col min="270" max="270" width="12.1640625" style="157" bestFit="1" customWidth="1"/>
    <col min="271" max="271" width="9.1640625" style="157" customWidth="1"/>
    <col min="272" max="272" width="10.83203125" style="157" bestFit="1" customWidth="1"/>
    <col min="273" max="273" width="12.1640625" style="157" bestFit="1" customWidth="1"/>
    <col min="274" max="274" width="8" style="157" customWidth="1"/>
    <col min="275" max="275" width="10.83203125" style="157" bestFit="1" customWidth="1"/>
    <col min="276" max="276" width="12.1640625" style="157" bestFit="1" customWidth="1"/>
    <col min="277" max="277" width="8.1640625" style="157" bestFit="1" customWidth="1"/>
    <col min="278" max="278" width="10.83203125" style="157" bestFit="1" customWidth="1"/>
    <col min="279" max="279" width="12.1640625" style="157" bestFit="1" customWidth="1"/>
    <col min="280" max="280" width="18.1640625" style="157" bestFit="1" customWidth="1"/>
    <col min="281" max="281" width="10.83203125" style="157" bestFit="1" customWidth="1"/>
    <col min="282" max="517" width="8.83203125" style="157"/>
    <col min="518" max="518" width="38.1640625" style="157" customWidth="1"/>
    <col min="519" max="519" width="23.44140625" style="157" bestFit="1" customWidth="1"/>
    <col min="520" max="521" width="9.1640625" style="157" customWidth="1"/>
    <col min="522" max="522" width="11.1640625" style="157" bestFit="1" customWidth="1"/>
    <col min="523" max="523" width="14.44140625" style="157" bestFit="1" customWidth="1"/>
    <col min="524" max="524" width="8.1640625" style="157" customWidth="1"/>
    <col min="525" max="525" width="10.83203125" style="157" bestFit="1" customWidth="1"/>
    <col min="526" max="526" width="12.1640625" style="157" bestFit="1" customWidth="1"/>
    <col min="527" max="527" width="9.1640625" style="157" customWidth="1"/>
    <col min="528" max="528" width="10.83203125" style="157" bestFit="1" customWidth="1"/>
    <col min="529" max="529" width="12.1640625" style="157" bestFit="1" customWidth="1"/>
    <col min="530" max="530" width="8" style="157" customWidth="1"/>
    <col min="531" max="531" width="10.83203125" style="157" bestFit="1" customWidth="1"/>
    <col min="532" max="532" width="12.1640625" style="157" bestFit="1" customWidth="1"/>
    <col min="533" max="533" width="8.1640625" style="157" bestFit="1" customWidth="1"/>
    <col min="534" max="534" width="10.83203125" style="157" bestFit="1" customWidth="1"/>
    <col min="535" max="535" width="12.1640625" style="157" bestFit="1" customWidth="1"/>
    <col min="536" max="536" width="18.1640625" style="157" bestFit="1" customWidth="1"/>
    <col min="537" max="537" width="10.83203125" style="157" bestFit="1" customWidth="1"/>
    <col min="538" max="773" width="8.83203125" style="157"/>
    <col min="774" max="774" width="38.1640625" style="157" customWidth="1"/>
    <col min="775" max="775" width="23.44140625" style="157" bestFit="1" customWidth="1"/>
    <col min="776" max="777" width="9.1640625" style="157" customWidth="1"/>
    <col min="778" max="778" width="11.1640625" style="157" bestFit="1" customWidth="1"/>
    <col min="779" max="779" width="14.44140625" style="157" bestFit="1" customWidth="1"/>
    <col min="780" max="780" width="8.1640625" style="157" customWidth="1"/>
    <col min="781" max="781" width="10.83203125" style="157" bestFit="1" customWidth="1"/>
    <col min="782" max="782" width="12.1640625" style="157" bestFit="1" customWidth="1"/>
    <col min="783" max="783" width="9.1640625" style="157" customWidth="1"/>
    <col min="784" max="784" width="10.83203125" style="157" bestFit="1" customWidth="1"/>
    <col min="785" max="785" width="12.1640625" style="157" bestFit="1" customWidth="1"/>
    <col min="786" max="786" width="8" style="157" customWidth="1"/>
    <col min="787" max="787" width="10.83203125" style="157" bestFit="1" customWidth="1"/>
    <col min="788" max="788" width="12.1640625" style="157" bestFit="1" customWidth="1"/>
    <col min="789" max="789" width="8.1640625" style="157" bestFit="1" customWidth="1"/>
    <col min="790" max="790" width="10.83203125" style="157" bestFit="1" customWidth="1"/>
    <col min="791" max="791" width="12.1640625" style="157" bestFit="1" customWidth="1"/>
    <col min="792" max="792" width="18.1640625" style="157" bestFit="1" customWidth="1"/>
    <col min="793" max="793" width="10.83203125" style="157" bestFit="1" customWidth="1"/>
    <col min="794" max="1029" width="8.83203125" style="157"/>
    <col min="1030" max="1030" width="38.1640625" style="157" customWidth="1"/>
    <col min="1031" max="1031" width="23.44140625" style="157" bestFit="1" customWidth="1"/>
    <col min="1032" max="1033" width="9.1640625" style="157" customWidth="1"/>
    <col min="1034" max="1034" width="11.1640625" style="157" bestFit="1" customWidth="1"/>
    <col min="1035" max="1035" width="14.44140625" style="157" bestFit="1" customWidth="1"/>
    <col min="1036" max="1036" width="8.1640625" style="157" customWidth="1"/>
    <col min="1037" max="1037" width="10.83203125" style="157" bestFit="1" customWidth="1"/>
    <col min="1038" max="1038" width="12.1640625" style="157" bestFit="1" customWidth="1"/>
    <col min="1039" max="1039" width="9.1640625" style="157" customWidth="1"/>
    <col min="1040" max="1040" width="10.83203125" style="157" bestFit="1" customWidth="1"/>
    <col min="1041" max="1041" width="12.1640625" style="157" bestFit="1" customWidth="1"/>
    <col min="1042" max="1042" width="8" style="157" customWidth="1"/>
    <col min="1043" max="1043" width="10.83203125" style="157" bestFit="1" customWidth="1"/>
    <col min="1044" max="1044" width="12.1640625" style="157" bestFit="1" customWidth="1"/>
    <col min="1045" max="1045" width="8.1640625" style="157" bestFit="1" customWidth="1"/>
    <col min="1046" max="1046" width="10.83203125" style="157" bestFit="1" customWidth="1"/>
    <col min="1047" max="1047" width="12.1640625" style="157" bestFit="1" customWidth="1"/>
    <col min="1048" max="1048" width="18.1640625" style="157" bestFit="1" customWidth="1"/>
    <col min="1049" max="1049" width="10.83203125" style="157" bestFit="1" customWidth="1"/>
    <col min="1050" max="1285" width="8.83203125" style="157"/>
    <col min="1286" max="1286" width="38.1640625" style="157" customWidth="1"/>
    <col min="1287" max="1287" width="23.44140625" style="157" bestFit="1" customWidth="1"/>
    <col min="1288" max="1289" width="9.1640625" style="157" customWidth="1"/>
    <col min="1290" max="1290" width="11.1640625" style="157" bestFit="1" customWidth="1"/>
    <col min="1291" max="1291" width="14.44140625" style="157" bestFit="1" customWidth="1"/>
    <col min="1292" max="1292" width="8.1640625" style="157" customWidth="1"/>
    <col min="1293" max="1293" width="10.83203125" style="157" bestFit="1" customWidth="1"/>
    <col min="1294" max="1294" width="12.1640625" style="157" bestFit="1" customWidth="1"/>
    <col min="1295" max="1295" width="9.1640625" style="157" customWidth="1"/>
    <col min="1296" max="1296" width="10.83203125" style="157" bestFit="1" customWidth="1"/>
    <col min="1297" max="1297" width="12.1640625" style="157" bestFit="1" customWidth="1"/>
    <col min="1298" max="1298" width="8" style="157" customWidth="1"/>
    <col min="1299" max="1299" width="10.83203125" style="157" bestFit="1" customWidth="1"/>
    <col min="1300" max="1300" width="12.1640625" style="157" bestFit="1" customWidth="1"/>
    <col min="1301" max="1301" width="8.1640625" style="157" bestFit="1" customWidth="1"/>
    <col min="1302" max="1302" width="10.83203125" style="157" bestFit="1" customWidth="1"/>
    <col min="1303" max="1303" width="12.1640625" style="157" bestFit="1" customWidth="1"/>
    <col min="1304" max="1304" width="18.1640625" style="157" bestFit="1" customWidth="1"/>
    <col min="1305" max="1305" width="10.83203125" style="157" bestFit="1" customWidth="1"/>
    <col min="1306" max="1541" width="8.83203125" style="157"/>
    <col min="1542" max="1542" width="38.1640625" style="157" customWidth="1"/>
    <col min="1543" max="1543" width="23.44140625" style="157" bestFit="1" customWidth="1"/>
    <col min="1544" max="1545" width="9.1640625" style="157" customWidth="1"/>
    <col min="1546" max="1546" width="11.1640625" style="157" bestFit="1" customWidth="1"/>
    <col min="1547" max="1547" width="14.44140625" style="157" bestFit="1" customWidth="1"/>
    <col min="1548" max="1548" width="8.1640625" style="157" customWidth="1"/>
    <col min="1549" max="1549" width="10.83203125" style="157" bestFit="1" customWidth="1"/>
    <col min="1550" max="1550" width="12.1640625" style="157" bestFit="1" customWidth="1"/>
    <col min="1551" max="1551" width="9.1640625" style="157" customWidth="1"/>
    <col min="1552" max="1552" width="10.83203125" style="157" bestFit="1" customWidth="1"/>
    <col min="1553" max="1553" width="12.1640625" style="157" bestFit="1" customWidth="1"/>
    <col min="1554" max="1554" width="8" style="157" customWidth="1"/>
    <col min="1555" max="1555" width="10.83203125" style="157" bestFit="1" customWidth="1"/>
    <col min="1556" max="1556" width="12.1640625" style="157" bestFit="1" customWidth="1"/>
    <col min="1557" max="1557" width="8.1640625" style="157" bestFit="1" customWidth="1"/>
    <col min="1558" max="1558" width="10.83203125" style="157" bestFit="1" customWidth="1"/>
    <col min="1559" max="1559" width="12.1640625" style="157" bestFit="1" customWidth="1"/>
    <col min="1560" max="1560" width="18.1640625" style="157" bestFit="1" customWidth="1"/>
    <col min="1561" max="1561" width="10.83203125" style="157" bestFit="1" customWidth="1"/>
    <col min="1562" max="1797" width="8.83203125" style="157"/>
    <col min="1798" max="1798" width="38.1640625" style="157" customWidth="1"/>
    <col min="1799" max="1799" width="23.44140625" style="157" bestFit="1" customWidth="1"/>
    <col min="1800" max="1801" width="9.1640625" style="157" customWidth="1"/>
    <col min="1802" max="1802" width="11.1640625" style="157" bestFit="1" customWidth="1"/>
    <col min="1803" max="1803" width="14.44140625" style="157" bestFit="1" customWidth="1"/>
    <col min="1804" max="1804" width="8.1640625" style="157" customWidth="1"/>
    <col min="1805" max="1805" width="10.83203125" style="157" bestFit="1" customWidth="1"/>
    <col min="1806" max="1806" width="12.1640625" style="157" bestFit="1" customWidth="1"/>
    <col min="1807" max="1807" width="9.1640625" style="157" customWidth="1"/>
    <col min="1808" max="1808" width="10.83203125" style="157" bestFit="1" customWidth="1"/>
    <col min="1809" max="1809" width="12.1640625" style="157" bestFit="1" customWidth="1"/>
    <col min="1810" max="1810" width="8" style="157" customWidth="1"/>
    <col min="1811" max="1811" width="10.83203125" style="157" bestFit="1" customWidth="1"/>
    <col min="1812" max="1812" width="12.1640625" style="157" bestFit="1" customWidth="1"/>
    <col min="1813" max="1813" width="8.1640625" style="157" bestFit="1" customWidth="1"/>
    <col min="1814" max="1814" width="10.83203125" style="157" bestFit="1" customWidth="1"/>
    <col min="1815" max="1815" width="12.1640625" style="157" bestFit="1" customWidth="1"/>
    <col min="1816" max="1816" width="18.1640625" style="157" bestFit="1" customWidth="1"/>
    <col min="1817" max="1817" width="10.83203125" style="157" bestFit="1" customWidth="1"/>
    <col min="1818" max="2053" width="8.83203125" style="157"/>
    <col min="2054" max="2054" width="38.1640625" style="157" customWidth="1"/>
    <col min="2055" max="2055" width="23.44140625" style="157" bestFit="1" customWidth="1"/>
    <col min="2056" max="2057" width="9.1640625" style="157" customWidth="1"/>
    <col min="2058" max="2058" width="11.1640625" style="157" bestFit="1" customWidth="1"/>
    <col min="2059" max="2059" width="14.44140625" style="157" bestFit="1" customWidth="1"/>
    <col min="2060" max="2060" width="8.1640625" style="157" customWidth="1"/>
    <col min="2061" max="2061" width="10.83203125" style="157" bestFit="1" customWidth="1"/>
    <col min="2062" max="2062" width="12.1640625" style="157" bestFit="1" customWidth="1"/>
    <col min="2063" max="2063" width="9.1640625" style="157" customWidth="1"/>
    <col min="2064" max="2064" width="10.83203125" style="157" bestFit="1" customWidth="1"/>
    <col min="2065" max="2065" width="12.1640625" style="157" bestFit="1" customWidth="1"/>
    <col min="2066" max="2066" width="8" style="157" customWidth="1"/>
    <col min="2067" max="2067" width="10.83203125" style="157" bestFit="1" customWidth="1"/>
    <col min="2068" max="2068" width="12.1640625" style="157" bestFit="1" customWidth="1"/>
    <col min="2069" max="2069" width="8.1640625" style="157" bestFit="1" customWidth="1"/>
    <col min="2070" max="2070" width="10.83203125" style="157" bestFit="1" customWidth="1"/>
    <col min="2071" max="2071" width="12.1640625" style="157" bestFit="1" customWidth="1"/>
    <col min="2072" max="2072" width="18.1640625" style="157" bestFit="1" customWidth="1"/>
    <col min="2073" max="2073" width="10.83203125" style="157" bestFit="1" customWidth="1"/>
    <col min="2074" max="2309" width="8.83203125" style="157"/>
    <col min="2310" max="2310" width="38.1640625" style="157" customWidth="1"/>
    <col min="2311" max="2311" width="23.44140625" style="157" bestFit="1" customWidth="1"/>
    <col min="2312" max="2313" width="9.1640625" style="157" customWidth="1"/>
    <col min="2314" max="2314" width="11.1640625" style="157" bestFit="1" customWidth="1"/>
    <col min="2315" max="2315" width="14.44140625" style="157" bestFit="1" customWidth="1"/>
    <col min="2316" max="2316" width="8.1640625" style="157" customWidth="1"/>
    <col min="2317" max="2317" width="10.83203125" style="157" bestFit="1" customWidth="1"/>
    <col min="2318" max="2318" width="12.1640625" style="157" bestFit="1" customWidth="1"/>
    <col min="2319" max="2319" width="9.1640625" style="157" customWidth="1"/>
    <col min="2320" max="2320" width="10.83203125" style="157" bestFit="1" customWidth="1"/>
    <col min="2321" max="2321" width="12.1640625" style="157" bestFit="1" customWidth="1"/>
    <col min="2322" max="2322" width="8" style="157" customWidth="1"/>
    <col min="2323" max="2323" width="10.83203125" style="157" bestFit="1" customWidth="1"/>
    <col min="2324" max="2324" width="12.1640625" style="157" bestFit="1" customWidth="1"/>
    <col min="2325" max="2325" width="8.1640625" style="157" bestFit="1" customWidth="1"/>
    <col min="2326" max="2326" width="10.83203125" style="157" bestFit="1" customWidth="1"/>
    <col min="2327" max="2327" width="12.1640625" style="157" bestFit="1" customWidth="1"/>
    <col min="2328" max="2328" width="18.1640625" style="157" bestFit="1" customWidth="1"/>
    <col min="2329" max="2329" width="10.83203125" style="157" bestFit="1" customWidth="1"/>
    <col min="2330" max="2565" width="8.83203125" style="157"/>
    <col min="2566" max="2566" width="38.1640625" style="157" customWidth="1"/>
    <col min="2567" max="2567" width="23.44140625" style="157" bestFit="1" customWidth="1"/>
    <col min="2568" max="2569" width="9.1640625" style="157" customWidth="1"/>
    <col min="2570" max="2570" width="11.1640625" style="157" bestFit="1" customWidth="1"/>
    <col min="2571" max="2571" width="14.44140625" style="157" bestFit="1" customWidth="1"/>
    <col min="2572" max="2572" width="8.1640625" style="157" customWidth="1"/>
    <col min="2573" max="2573" width="10.83203125" style="157" bestFit="1" customWidth="1"/>
    <col min="2574" max="2574" width="12.1640625" style="157" bestFit="1" customWidth="1"/>
    <col min="2575" max="2575" width="9.1640625" style="157" customWidth="1"/>
    <col min="2576" max="2576" width="10.83203125" style="157" bestFit="1" customWidth="1"/>
    <col min="2577" max="2577" width="12.1640625" style="157" bestFit="1" customWidth="1"/>
    <col min="2578" max="2578" width="8" style="157" customWidth="1"/>
    <col min="2579" max="2579" width="10.83203125" style="157" bestFit="1" customWidth="1"/>
    <col min="2580" max="2580" width="12.1640625" style="157" bestFit="1" customWidth="1"/>
    <col min="2581" max="2581" width="8.1640625" style="157" bestFit="1" customWidth="1"/>
    <col min="2582" max="2582" width="10.83203125" style="157" bestFit="1" customWidth="1"/>
    <col min="2583" max="2583" width="12.1640625" style="157" bestFit="1" customWidth="1"/>
    <col min="2584" max="2584" width="18.1640625" style="157" bestFit="1" customWidth="1"/>
    <col min="2585" max="2585" width="10.83203125" style="157" bestFit="1" customWidth="1"/>
    <col min="2586" max="2821" width="8.83203125" style="157"/>
    <col min="2822" max="2822" width="38.1640625" style="157" customWidth="1"/>
    <col min="2823" max="2823" width="23.44140625" style="157" bestFit="1" customWidth="1"/>
    <col min="2824" max="2825" width="9.1640625" style="157" customWidth="1"/>
    <col min="2826" max="2826" width="11.1640625" style="157" bestFit="1" customWidth="1"/>
    <col min="2827" max="2827" width="14.44140625" style="157" bestFit="1" customWidth="1"/>
    <col min="2828" max="2828" width="8.1640625" style="157" customWidth="1"/>
    <col min="2829" max="2829" width="10.83203125" style="157" bestFit="1" customWidth="1"/>
    <col min="2830" max="2830" width="12.1640625" style="157" bestFit="1" customWidth="1"/>
    <col min="2831" max="2831" width="9.1640625" style="157" customWidth="1"/>
    <col min="2832" max="2832" width="10.83203125" style="157" bestFit="1" customWidth="1"/>
    <col min="2833" max="2833" width="12.1640625" style="157" bestFit="1" customWidth="1"/>
    <col min="2834" max="2834" width="8" style="157" customWidth="1"/>
    <col min="2835" max="2835" width="10.83203125" style="157" bestFit="1" customWidth="1"/>
    <col min="2836" max="2836" width="12.1640625" style="157" bestFit="1" customWidth="1"/>
    <col min="2837" max="2837" width="8.1640625" style="157" bestFit="1" customWidth="1"/>
    <col min="2838" max="2838" width="10.83203125" style="157" bestFit="1" customWidth="1"/>
    <col min="2839" max="2839" width="12.1640625" style="157" bestFit="1" customWidth="1"/>
    <col min="2840" max="2840" width="18.1640625" style="157" bestFit="1" customWidth="1"/>
    <col min="2841" max="2841" width="10.83203125" style="157" bestFit="1" customWidth="1"/>
    <col min="2842" max="3077" width="8.83203125" style="157"/>
    <col min="3078" max="3078" width="38.1640625" style="157" customWidth="1"/>
    <col min="3079" max="3079" width="23.44140625" style="157" bestFit="1" customWidth="1"/>
    <col min="3080" max="3081" width="9.1640625" style="157" customWidth="1"/>
    <col min="3082" max="3082" width="11.1640625" style="157" bestFit="1" customWidth="1"/>
    <col min="3083" max="3083" width="14.44140625" style="157" bestFit="1" customWidth="1"/>
    <col min="3084" max="3084" width="8.1640625" style="157" customWidth="1"/>
    <col min="3085" max="3085" width="10.83203125" style="157" bestFit="1" customWidth="1"/>
    <col min="3086" max="3086" width="12.1640625" style="157" bestFit="1" customWidth="1"/>
    <col min="3087" max="3087" width="9.1640625" style="157" customWidth="1"/>
    <col min="3088" max="3088" width="10.83203125" style="157" bestFit="1" customWidth="1"/>
    <col min="3089" max="3089" width="12.1640625" style="157" bestFit="1" customWidth="1"/>
    <col min="3090" max="3090" width="8" style="157" customWidth="1"/>
    <col min="3091" max="3091" width="10.83203125" style="157" bestFit="1" customWidth="1"/>
    <col min="3092" max="3092" width="12.1640625" style="157" bestFit="1" customWidth="1"/>
    <col min="3093" max="3093" width="8.1640625" style="157" bestFit="1" customWidth="1"/>
    <col min="3094" max="3094" width="10.83203125" style="157" bestFit="1" customWidth="1"/>
    <col min="3095" max="3095" width="12.1640625" style="157" bestFit="1" customWidth="1"/>
    <col min="3096" max="3096" width="18.1640625" style="157" bestFit="1" customWidth="1"/>
    <col min="3097" max="3097" width="10.83203125" style="157" bestFit="1" customWidth="1"/>
    <col min="3098" max="3333" width="8.83203125" style="157"/>
    <col min="3334" max="3334" width="38.1640625" style="157" customWidth="1"/>
    <col min="3335" max="3335" width="23.44140625" style="157" bestFit="1" customWidth="1"/>
    <col min="3336" max="3337" width="9.1640625" style="157" customWidth="1"/>
    <col min="3338" max="3338" width="11.1640625" style="157" bestFit="1" customWidth="1"/>
    <col min="3339" max="3339" width="14.44140625" style="157" bestFit="1" customWidth="1"/>
    <col min="3340" max="3340" width="8.1640625" style="157" customWidth="1"/>
    <col min="3341" max="3341" width="10.83203125" style="157" bestFit="1" customWidth="1"/>
    <col min="3342" max="3342" width="12.1640625" style="157" bestFit="1" customWidth="1"/>
    <col min="3343" max="3343" width="9.1640625" style="157" customWidth="1"/>
    <col min="3344" max="3344" width="10.83203125" style="157" bestFit="1" customWidth="1"/>
    <col min="3345" max="3345" width="12.1640625" style="157" bestFit="1" customWidth="1"/>
    <col min="3346" max="3346" width="8" style="157" customWidth="1"/>
    <col min="3347" max="3347" width="10.83203125" style="157" bestFit="1" customWidth="1"/>
    <col min="3348" max="3348" width="12.1640625" style="157" bestFit="1" customWidth="1"/>
    <col min="3349" max="3349" width="8.1640625" style="157" bestFit="1" customWidth="1"/>
    <col min="3350" max="3350" width="10.83203125" style="157" bestFit="1" customWidth="1"/>
    <col min="3351" max="3351" width="12.1640625" style="157" bestFit="1" customWidth="1"/>
    <col min="3352" max="3352" width="18.1640625" style="157" bestFit="1" customWidth="1"/>
    <col min="3353" max="3353" width="10.83203125" style="157" bestFit="1" customWidth="1"/>
    <col min="3354" max="3589" width="8.83203125" style="157"/>
    <col min="3590" max="3590" width="38.1640625" style="157" customWidth="1"/>
    <col min="3591" max="3591" width="23.44140625" style="157" bestFit="1" customWidth="1"/>
    <col min="3592" max="3593" width="9.1640625" style="157" customWidth="1"/>
    <col min="3594" max="3594" width="11.1640625" style="157" bestFit="1" customWidth="1"/>
    <col min="3595" max="3595" width="14.44140625" style="157" bestFit="1" customWidth="1"/>
    <col min="3596" max="3596" width="8.1640625" style="157" customWidth="1"/>
    <col min="3597" max="3597" width="10.83203125" style="157" bestFit="1" customWidth="1"/>
    <col min="3598" max="3598" width="12.1640625" style="157" bestFit="1" customWidth="1"/>
    <col min="3599" max="3599" width="9.1640625" style="157" customWidth="1"/>
    <col min="3600" max="3600" width="10.83203125" style="157" bestFit="1" customWidth="1"/>
    <col min="3601" max="3601" width="12.1640625" style="157" bestFit="1" customWidth="1"/>
    <col min="3602" max="3602" width="8" style="157" customWidth="1"/>
    <col min="3603" max="3603" width="10.83203125" style="157" bestFit="1" customWidth="1"/>
    <col min="3604" max="3604" width="12.1640625" style="157" bestFit="1" customWidth="1"/>
    <col min="3605" max="3605" width="8.1640625" style="157" bestFit="1" customWidth="1"/>
    <col min="3606" max="3606" width="10.83203125" style="157" bestFit="1" customWidth="1"/>
    <col min="3607" max="3607" width="12.1640625" style="157" bestFit="1" customWidth="1"/>
    <col min="3608" max="3608" width="18.1640625" style="157" bestFit="1" customWidth="1"/>
    <col min="3609" max="3609" width="10.83203125" style="157" bestFit="1" customWidth="1"/>
    <col min="3610" max="3845" width="8.83203125" style="157"/>
    <col min="3846" max="3846" width="38.1640625" style="157" customWidth="1"/>
    <col min="3847" max="3847" width="23.44140625" style="157" bestFit="1" customWidth="1"/>
    <col min="3848" max="3849" width="9.1640625" style="157" customWidth="1"/>
    <col min="3850" max="3850" width="11.1640625" style="157" bestFit="1" customWidth="1"/>
    <col min="3851" max="3851" width="14.44140625" style="157" bestFit="1" customWidth="1"/>
    <col min="3852" max="3852" width="8.1640625" style="157" customWidth="1"/>
    <col min="3853" max="3853" width="10.83203125" style="157" bestFit="1" customWidth="1"/>
    <col min="3854" max="3854" width="12.1640625" style="157" bestFit="1" customWidth="1"/>
    <col min="3855" max="3855" width="9.1640625" style="157" customWidth="1"/>
    <col min="3856" max="3856" width="10.83203125" style="157" bestFit="1" customWidth="1"/>
    <col min="3857" max="3857" width="12.1640625" style="157" bestFit="1" customWidth="1"/>
    <col min="3858" max="3858" width="8" style="157" customWidth="1"/>
    <col min="3859" max="3859" width="10.83203125" style="157" bestFit="1" customWidth="1"/>
    <col min="3860" max="3860" width="12.1640625" style="157" bestFit="1" customWidth="1"/>
    <col min="3861" max="3861" width="8.1640625" style="157" bestFit="1" customWidth="1"/>
    <col min="3862" max="3862" width="10.83203125" style="157" bestFit="1" customWidth="1"/>
    <col min="3863" max="3863" width="12.1640625" style="157" bestFit="1" customWidth="1"/>
    <col min="3864" max="3864" width="18.1640625" style="157" bestFit="1" customWidth="1"/>
    <col min="3865" max="3865" width="10.83203125" style="157" bestFit="1" customWidth="1"/>
    <col min="3866" max="4101" width="8.83203125" style="157"/>
    <col min="4102" max="4102" width="38.1640625" style="157" customWidth="1"/>
    <col min="4103" max="4103" width="23.44140625" style="157" bestFit="1" customWidth="1"/>
    <col min="4104" max="4105" width="9.1640625" style="157" customWidth="1"/>
    <col min="4106" max="4106" width="11.1640625" style="157" bestFit="1" customWidth="1"/>
    <col min="4107" max="4107" width="14.44140625" style="157" bestFit="1" customWidth="1"/>
    <col min="4108" max="4108" width="8.1640625" style="157" customWidth="1"/>
    <col min="4109" max="4109" width="10.83203125" style="157" bestFit="1" customWidth="1"/>
    <col min="4110" max="4110" width="12.1640625" style="157" bestFit="1" customWidth="1"/>
    <col min="4111" max="4111" width="9.1640625" style="157" customWidth="1"/>
    <col min="4112" max="4112" width="10.83203125" style="157" bestFit="1" customWidth="1"/>
    <col min="4113" max="4113" width="12.1640625" style="157" bestFit="1" customWidth="1"/>
    <col min="4114" max="4114" width="8" style="157" customWidth="1"/>
    <col min="4115" max="4115" width="10.83203125" style="157" bestFit="1" customWidth="1"/>
    <col min="4116" max="4116" width="12.1640625" style="157" bestFit="1" customWidth="1"/>
    <col min="4117" max="4117" width="8.1640625" style="157" bestFit="1" customWidth="1"/>
    <col min="4118" max="4118" width="10.83203125" style="157" bestFit="1" customWidth="1"/>
    <col min="4119" max="4119" width="12.1640625" style="157" bestFit="1" customWidth="1"/>
    <col min="4120" max="4120" width="18.1640625" style="157" bestFit="1" customWidth="1"/>
    <col min="4121" max="4121" width="10.83203125" style="157" bestFit="1" customWidth="1"/>
    <col min="4122" max="4357" width="8.83203125" style="157"/>
    <col min="4358" max="4358" width="38.1640625" style="157" customWidth="1"/>
    <col min="4359" max="4359" width="23.44140625" style="157" bestFit="1" customWidth="1"/>
    <col min="4360" max="4361" width="9.1640625" style="157" customWidth="1"/>
    <col min="4362" max="4362" width="11.1640625" style="157" bestFit="1" customWidth="1"/>
    <col min="4363" max="4363" width="14.44140625" style="157" bestFit="1" customWidth="1"/>
    <col min="4364" max="4364" width="8.1640625" style="157" customWidth="1"/>
    <col min="4365" max="4365" width="10.83203125" style="157" bestFit="1" customWidth="1"/>
    <col min="4366" max="4366" width="12.1640625" style="157" bestFit="1" customWidth="1"/>
    <col min="4367" max="4367" width="9.1640625" style="157" customWidth="1"/>
    <col min="4368" max="4368" width="10.83203125" style="157" bestFit="1" customWidth="1"/>
    <col min="4369" max="4369" width="12.1640625" style="157" bestFit="1" customWidth="1"/>
    <col min="4370" max="4370" width="8" style="157" customWidth="1"/>
    <col min="4371" max="4371" width="10.83203125" style="157" bestFit="1" customWidth="1"/>
    <col min="4372" max="4372" width="12.1640625" style="157" bestFit="1" customWidth="1"/>
    <col min="4373" max="4373" width="8.1640625" style="157" bestFit="1" customWidth="1"/>
    <col min="4374" max="4374" width="10.83203125" style="157" bestFit="1" customWidth="1"/>
    <col min="4375" max="4375" width="12.1640625" style="157" bestFit="1" customWidth="1"/>
    <col min="4376" max="4376" width="18.1640625" style="157" bestFit="1" customWidth="1"/>
    <col min="4377" max="4377" width="10.83203125" style="157" bestFit="1" customWidth="1"/>
    <col min="4378" max="4613" width="8.83203125" style="157"/>
    <col min="4614" max="4614" width="38.1640625" style="157" customWidth="1"/>
    <col min="4615" max="4615" width="23.44140625" style="157" bestFit="1" customWidth="1"/>
    <col min="4616" max="4617" width="9.1640625" style="157" customWidth="1"/>
    <col min="4618" max="4618" width="11.1640625" style="157" bestFit="1" customWidth="1"/>
    <col min="4619" max="4619" width="14.44140625" style="157" bestFit="1" customWidth="1"/>
    <col min="4620" max="4620" width="8.1640625" style="157" customWidth="1"/>
    <col min="4621" max="4621" width="10.83203125" style="157" bestFit="1" customWidth="1"/>
    <col min="4622" max="4622" width="12.1640625" style="157" bestFit="1" customWidth="1"/>
    <col min="4623" max="4623" width="9.1640625" style="157" customWidth="1"/>
    <col min="4624" max="4624" width="10.83203125" style="157" bestFit="1" customWidth="1"/>
    <col min="4625" max="4625" width="12.1640625" style="157" bestFit="1" customWidth="1"/>
    <col min="4626" max="4626" width="8" style="157" customWidth="1"/>
    <col min="4627" max="4627" width="10.83203125" style="157" bestFit="1" customWidth="1"/>
    <col min="4628" max="4628" width="12.1640625" style="157" bestFit="1" customWidth="1"/>
    <col min="4629" max="4629" width="8.1640625" style="157" bestFit="1" customWidth="1"/>
    <col min="4630" max="4630" width="10.83203125" style="157" bestFit="1" customWidth="1"/>
    <col min="4631" max="4631" width="12.1640625" style="157" bestFit="1" customWidth="1"/>
    <col min="4632" max="4632" width="18.1640625" style="157" bestFit="1" customWidth="1"/>
    <col min="4633" max="4633" width="10.83203125" style="157" bestFit="1" customWidth="1"/>
    <col min="4634" max="4869" width="8.83203125" style="157"/>
    <col min="4870" max="4870" width="38.1640625" style="157" customWidth="1"/>
    <col min="4871" max="4871" width="23.44140625" style="157" bestFit="1" customWidth="1"/>
    <col min="4872" max="4873" width="9.1640625" style="157" customWidth="1"/>
    <col min="4874" max="4874" width="11.1640625" style="157" bestFit="1" customWidth="1"/>
    <col min="4875" max="4875" width="14.44140625" style="157" bestFit="1" customWidth="1"/>
    <col min="4876" max="4876" width="8.1640625" style="157" customWidth="1"/>
    <col min="4877" max="4877" width="10.83203125" style="157" bestFit="1" customWidth="1"/>
    <col min="4878" max="4878" width="12.1640625" style="157" bestFit="1" customWidth="1"/>
    <col min="4879" max="4879" width="9.1640625" style="157" customWidth="1"/>
    <col min="4880" max="4880" width="10.83203125" style="157" bestFit="1" customWidth="1"/>
    <col min="4881" max="4881" width="12.1640625" style="157" bestFit="1" customWidth="1"/>
    <col min="4882" max="4882" width="8" style="157" customWidth="1"/>
    <col min="4883" max="4883" width="10.83203125" style="157" bestFit="1" customWidth="1"/>
    <col min="4884" max="4884" width="12.1640625" style="157" bestFit="1" customWidth="1"/>
    <col min="4885" max="4885" width="8.1640625" style="157" bestFit="1" customWidth="1"/>
    <col min="4886" max="4886" width="10.83203125" style="157" bestFit="1" customWidth="1"/>
    <col min="4887" max="4887" width="12.1640625" style="157" bestFit="1" customWidth="1"/>
    <col min="4888" max="4888" width="18.1640625" style="157" bestFit="1" customWidth="1"/>
    <col min="4889" max="4889" width="10.83203125" style="157" bestFit="1" customWidth="1"/>
    <col min="4890" max="5125" width="8.83203125" style="157"/>
    <col min="5126" max="5126" width="38.1640625" style="157" customWidth="1"/>
    <col min="5127" max="5127" width="23.44140625" style="157" bestFit="1" customWidth="1"/>
    <col min="5128" max="5129" width="9.1640625" style="157" customWidth="1"/>
    <col min="5130" max="5130" width="11.1640625" style="157" bestFit="1" customWidth="1"/>
    <col min="5131" max="5131" width="14.44140625" style="157" bestFit="1" customWidth="1"/>
    <col min="5132" max="5132" width="8.1640625" style="157" customWidth="1"/>
    <col min="5133" max="5133" width="10.83203125" style="157" bestFit="1" customWidth="1"/>
    <col min="5134" max="5134" width="12.1640625" style="157" bestFit="1" customWidth="1"/>
    <col min="5135" max="5135" width="9.1640625" style="157" customWidth="1"/>
    <col min="5136" max="5136" width="10.83203125" style="157" bestFit="1" customWidth="1"/>
    <col min="5137" max="5137" width="12.1640625" style="157" bestFit="1" customWidth="1"/>
    <col min="5138" max="5138" width="8" style="157" customWidth="1"/>
    <col min="5139" max="5139" width="10.83203125" style="157" bestFit="1" customWidth="1"/>
    <col min="5140" max="5140" width="12.1640625" style="157" bestFit="1" customWidth="1"/>
    <col min="5141" max="5141" width="8.1640625" style="157" bestFit="1" customWidth="1"/>
    <col min="5142" max="5142" width="10.83203125" style="157" bestFit="1" customWidth="1"/>
    <col min="5143" max="5143" width="12.1640625" style="157" bestFit="1" customWidth="1"/>
    <col min="5144" max="5144" width="18.1640625" style="157" bestFit="1" customWidth="1"/>
    <col min="5145" max="5145" width="10.83203125" style="157" bestFit="1" customWidth="1"/>
    <col min="5146" max="5381" width="8.83203125" style="157"/>
    <col min="5382" max="5382" width="38.1640625" style="157" customWidth="1"/>
    <col min="5383" max="5383" width="23.44140625" style="157" bestFit="1" customWidth="1"/>
    <col min="5384" max="5385" width="9.1640625" style="157" customWidth="1"/>
    <col min="5386" max="5386" width="11.1640625" style="157" bestFit="1" customWidth="1"/>
    <col min="5387" max="5387" width="14.44140625" style="157" bestFit="1" customWidth="1"/>
    <col min="5388" max="5388" width="8.1640625" style="157" customWidth="1"/>
    <col min="5389" max="5389" width="10.83203125" style="157" bestFit="1" customWidth="1"/>
    <col min="5390" max="5390" width="12.1640625" style="157" bestFit="1" customWidth="1"/>
    <col min="5391" max="5391" width="9.1640625" style="157" customWidth="1"/>
    <col min="5392" max="5392" width="10.83203125" style="157" bestFit="1" customWidth="1"/>
    <col min="5393" max="5393" width="12.1640625" style="157" bestFit="1" customWidth="1"/>
    <col min="5394" max="5394" width="8" style="157" customWidth="1"/>
    <col min="5395" max="5395" width="10.83203125" style="157" bestFit="1" customWidth="1"/>
    <col min="5396" max="5396" width="12.1640625" style="157" bestFit="1" customWidth="1"/>
    <col min="5397" max="5397" width="8.1640625" style="157" bestFit="1" customWidth="1"/>
    <col min="5398" max="5398" width="10.83203125" style="157" bestFit="1" customWidth="1"/>
    <col min="5399" max="5399" width="12.1640625" style="157" bestFit="1" customWidth="1"/>
    <col min="5400" max="5400" width="18.1640625" style="157" bestFit="1" customWidth="1"/>
    <col min="5401" max="5401" width="10.83203125" style="157" bestFit="1" customWidth="1"/>
    <col min="5402" max="5637" width="8.83203125" style="157"/>
    <col min="5638" max="5638" width="38.1640625" style="157" customWidth="1"/>
    <col min="5639" max="5639" width="23.44140625" style="157" bestFit="1" customWidth="1"/>
    <col min="5640" max="5641" width="9.1640625" style="157" customWidth="1"/>
    <col min="5642" max="5642" width="11.1640625" style="157" bestFit="1" customWidth="1"/>
    <col min="5643" max="5643" width="14.44140625" style="157" bestFit="1" customWidth="1"/>
    <col min="5644" max="5644" width="8.1640625" style="157" customWidth="1"/>
    <col min="5645" max="5645" width="10.83203125" style="157" bestFit="1" customWidth="1"/>
    <col min="5646" max="5646" width="12.1640625" style="157" bestFit="1" customWidth="1"/>
    <col min="5647" max="5647" width="9.1640625" style="157" customWidth="1"/>
    <col min="5648" max="5648" width="10.83203125" style="157" bestFit="1" customWidth="1"/>
    <col min="5649" max="5649" width="12.1640625" style="157" bestFit="1" customWidth="1"/>
    <col min="5650" max="5650" width="8" style="157" customWidth="1"/>
    <col min="5651" max="5651" width="10.83203125" style="157" bestFit="1" customWidth="1"/>
    <col min="5652" max="5652" width="12.1640625" style="157" bestFit="1" customWidth="1"/>
    <col min="5653" max="5653" width="8.1640625" style="157" bestFit="1" customWidth="1"/>
    <col min="5654" max="5654" width="10.83203125" style="157" bestFit="1" customWidth="1"/>
    <col min="5655" max="5655" width="12.1640625" style="157" bestFit="1" customWidth="1"/>
    <col min="5656" max="5656" width="18.1640625" style="157" bestFit="1" customWidth="1"/>
    <col min="5657" max="5657" width="10.83203125" style="157" bestFit="1" customWidth="1"/>
    <col min="5658" max="5893" width="8.83203125" style="157"/>
    <col min="5894" max="5894" width="38.1640625" style="157" customWidth="1"/>
    <col min="5895" max="5895" width="23.44140625" style="157" bestFit="1" customWidth="1"/>
    <col min="5896" max="5897" width="9.1640625" style="157" customWidth="1"/>
    <col min="5898" max="5898" width="11.1640625" style="157" bestFit="1" customWidth="1"/>
    <col min="5899" max="5899" width="14.44140625" style="157" bestFit="1" customWidth="1"/>
    <col min="5900" max="5900" width="8.1640625" style="157" customWidth="1"/>
    <col min="5901" max="5901" width="10.83203125" style="157" bestFit="1" customWidth="1"/>
    <col min="5902" max="5902" width="12.1640625" style="157" bestFit="1" customWidth="1"/>
    <col min="5903" max="5903" width="9.1640625" style="157" customWidth="1"/>
    <col min="5904" max="5904" width="10.83203125" style="157" bestFit="1" customWidth="1"/>
    <col min="5905" max="5905" width="12.1640625" style="157" bestFit="1" customWidth="1"/>
    <col min="5906" max="5906" width="8" style="157" customWidth="1"/>
    <col min="5907" max="5907" width="10.83203125" style="157" bestFit="1" customWidth="1"/>
    <col min="5908" max="5908" width="12.1640625" style="157" bestFit="1" customWidth="1"/>
    <col min="5909" max="5909" width="8.1640625" style="157" bestFit="1" customWidth="1"/>
    <col min="5910" max="5910" width="10.83203125" style="157" bestFit="1" customWidth="1"/>
    <col min="5911" max="5911" width="12.1640625" style="157" bestFit="1" customWidth="1"/>
    <col min="5912" max="5912" width="18.1640625" style="157" bestFit="1" customWidth="1"/>
    <col min="5913" max="5913" width="10.83203125" style="157" bestFit="1" customWidth="1"/>
    <col min="5914" max="6149" width="8.83203125" style="157"/>
    <col min="6150" max="6150" width="38.1640625" style="157" customWidth="1"/>
    <col min="6151" max="6151" width="23.44140625" style="157" bestFit="1" customWidth="1"/>
    <col min="6152" max="6153" width="9.1640625" style="157" customWidth="1"/>
    <col min="6154" max="6154" width="11.1640625" style="157" bestFit="1" customWidth="1"/>
    <col min="6155" max="6155" width="14.44140625" style="157" bestFit="1" customWidth="1"/>
    <col min="6156" max="6156" width="8.1640625" style="157" customWidth="1"/>
    <col min="6157" max="6157" width="10.83203125" style="157" bestFit="1" customWidth="1"/>
    <col min="6158" max="6158" width="12.1640625" style="157" bestFit="1" customWidth="1"/>
    <col min="6159" max="6159" width="9.1640625" style="157" customWidth="1"/>
    <col min="6160" max="6160" width="10.83203125" style="157" bestFit="1" customWidth="1"/>
    <col min="6161" max="6161" width="12.1640625" style="157" bestFit="1" customWidth="1"/>
    <col min="6162" max="6162" width="8" style="157" customWidth="1"/>
    <col min="6163" max="6163" width="10.83203125" style="157" bestFit="1" customWidth="1"/>
    <col min="6164" max="6164" width="12.1640625" style="157" bestFit="1" customWidth="1"/>
    <col min="6165" max="6165" width="8.1640625" style="157" bestFit="1" customWidth="1"/>
    <col min="6166" max="6166" width="10.83203125" style="157" bestFit="1" customWidth="1"/>
    <col min="6167" max="6167" width="12.1640625" style="157" bestFit="1" customWidth="1"/>
    <col min="6168" max="6168" width="18.1640625" style="157" bestFit="1" customWidth="1"/>
    <col min="6169" max="6169" width="10.83203125" style="157" bestFit="1" customWidth="1"/>
    <col min="6170" max="6405" width="8.83203125" style="157"/>
    <col min="6406" max="6406" width="38.1640625" style="157" customWidth="1"/>
    <col min="6407" max="6407" width="23.44140625" style="157" bestFit="1" customWidth="1"/>
    <col min="6408" max="6409" width="9.1640625" style="157" customWidth="1"/>
    <col min="6410" max="6410" width="11.1640625" style="157" bestFit="1" customWidth="1"/>
    <col min="6411" max="6411" width="14.44140625" style="157" bestFit="1" customWidth="1"/>
    <col min="6412" max="6412" width="8.1640625" style="157" customWidth="1"/>
    <col min="6413" max="6413" width="10.83203125" style="157" bestFit="1" customWidth="1"/>
    <col min="6414" max="6414" width="12.1640625" style="157" bestFit="1" customWidth="1"/>
    <col min="6415" max="6415" width="9.1640625" style="157" customWidth="1"/>
    <col min="6416" max="6416" width="10.83203125" style="157" bestFit="1" customWidth="1"/>
    <col min="6417" max="6417" width="12.1640625" style="157" bestFit="1" customWidth="1"/>
    <col min="6418" max="6418" width="8" style="157" customWidth="1"/>
    <col min="6419" max="6419" width="10.83203125" style="157" bestFit="1" customWidth="1"/>
    <col min="6420" max="6420" width="12.1640625" style="157" bestFit="1" customWidth="1"/>
    <col min="6421" max="6421" width="8.1640625" style="157" bestFit="1" customWidth="1"/>
    <col min="6422" max="6422" width="10.83203125" style="157" bestFit="1" customWidth="1"/>
    <col min="6423" max="6423" width="12.1640625" style="157" bestFit="1" customWidth="1"/>
    <col min="6424" max="6424" width="18.1640625" style="157" bestFit="1" customWidth="1"/>
    <col min="6425" max="6425" width="10.83203125" style="157" bestFit="1" customWidth="1"/>
    <col min="6426" max="6661" width="8.83203125" style="157"/>
    <col min="6662" max="6662" width="38.1640625" style="157" customWidth="1"/>
    <col min="6663" max="6663" width="23.44140625" style="157" bestFit="1" customWidth="1"/>
    <col min="6664" max="6665" width="9.1640625" style="157" customWidth="1"/>
    <col min="6666" max="6666" width="11.1640625" style="157" bestFit="1" customWidth="1"/>
    <col min="6667" max="6667" width="14.44140625" style="157" bestFit="1" customWidth="1"/>
    <col min="6668" max="6668" width="8.1640625" style="157" customWidth="1"/>
    <col min="6669" max="6669" width="10.83203125" style="157" bestFit="1" customWidth="1"/>
    <col min="6670" max="6670" width="12.1640625" style="157" bestFit="1" customWidth="1"/>
    <col min="6671" max="6671" width="9.1640625" style="157" customWidth="1"/>
    <col min="6672" max="6672" width="10.83203125" style="157" bestFit="1" customWidth="1"/>
    <col min="6673" max="6673" width="12.1640625" style="157" bestFit="1" customWidth="1"/>
    <col min="6674" max="6674" width="8" style="157" customWidth="1"/>
    <col min="6675" max="6675" width="10.83203125" style="157" bestFit="1" customWidth="1"/>
    <col min="6676" max="6676" width="12.1640625" style="157" bestFit="1" customWidth="1"/>
    <col min="6677" max="6677" width="8.1640625" style="157" bestFit="1" customWidth="1"/>
    <col min="6678" max="6678" width="10.83203125" style="157" bestFit="1" customWidth="1"/>
    <col min="6679" max="6679" width="12.1640625" style="157" bestFit="1" customWidth="1"/>
    <col min="6680" max="6680" width="18.1640625" style="157" bestFit="1" customWidth="1"/>
    <col min="6681" max="6681" width="10.83203125" style="157" bestFit="1" customWidth="1"/>
    <col min="6682" max="6917" width="8.83203125" style="157"/>
    <col min="6918" max="6918" width="38.1640625" style="157" customWidth="1"/>
    <col min="6919" max="6919" width="23.44140625" style="157" bestFit="1" customWidth="1"/>
    <col min="6920" max="6921" width="9.1640625" style="157" customWidth="1"/>
    <col min="6922" max="6922" width="11.1640625" style="157" bestFit="1" customWidth="1"/>
    <col min="6923" max="6923" width="14.44140625" style="157" bestFit="1" customWidth="1"/>
    <col min="6924" max="6924" width="8.1640625" style="157" customWidth="1"/>
    <col min="6925" max="6925" width="10.83203125" style="157" bestFit="1" customWidth="1"/>
    <col min="6926" max="6926" width="12.1640625" style="157" bestFit="1" customWidth="1"/>
    <col min="6927" max="6927" width="9.1640625" style="157" customWidth="1"/>
    <col min="6928" max="6928" width="10.83203125" style="157" bestFit="1" customWidth="1"/>
    <col min="6929" max="6929" width="12.1640625" style="157" bestFit="1" customWidth="1"/>
    <col min="6930" max="6930" width="8" style="157" customWidth="1"/>
    <col min="6931" max="6931" width="10.83203125" style="157" bestFit="1" customWidth="1"/>
    <col min="6932" max="6932" width="12.1640625" style="157" bestFit="1" customWidth="1"/>
    <col min="6933" max="6933" width="8.1640625" style="157" bestFit="1" customWidth="1"/>
    <col min="6934" max="6934" width="10.83203125" style="157" bestFit="1" customWidth="1"/>
    <col min="6935" max="6935" width="12.1640625" style="157" bestFit="1" customWidth="1"/>
    <col min="6936" max="6936" width="18.1640625" style="157" bestFit="1" customWidth="1"/>
    <col min="6937" max="6937" width="10.83203125" style="157" bestFit="1" customWidth="1"/>
    <col min="6938" max="7173" width="8.83203125" style="157"/>
    <col min="7174" max="7174" width="38.1640625" style="157" customWidth="1"/>
    <col min="7175" max="7175" width="23.44140625" style="157" bestFit="1" customWidth="1"/>
    <col min="7176" max="7177" width="9.1640625" style="157" customWidth="1"/>
    <col min="7178" max="7178" width="11.1640625" style="157" bestFit="1" customWidth="1"/>
    <col min="7179" max="7179" width="14.44140625" style="157" bestFit="1" customWidth="1"/>
    <col min="7180" max="7180" width="8.1640625" style="157" customWidth="1"/>
    <col min="7181" max="7181" width="10.83203125" style="157" bestFit="1" customWidth="1"/>
    <col min="7182" max="7182" width="12.1640625" style="157" bestFit="1" customWidth="1"/>
    <col min="7183" max="7183" width="9.1640625" style="157" customWidth="1"/>
    <col min="7184" max="7184" width="10.83203125" style="157" bestFit="1" customWidth="1"/>
    <col min="7185" max="7185" width="12.1640625" style="157" bestFit="1" customWidth="1"/>
    <col min="7186" max="7186" width="8" style="157" customWidth="1"/>
    <col min="7187" max="7187" width="10.83203125" style="157" bestFit="1" customWidth="1"/>
    <col min="7188" max="7188" width="12.1640625" style="157" bestFit="1" customWidth="1"/>
    <col min="7189" max="7189" width="8.1640625" style="157" bestFit="1" customWidth="1"/>
    <col min="7190" max="7190" width="10.83203125" style="157" bestFit="1" customWidth="1"/>
    <col min="7191" max="7191" width="12.1640625" style="157" bestFit="1" customWidth="1"/>
    <col min="7192" max="7192" width="18.1640625" style="157" bestFit="1" customWidth="1"/>
    <col min="7193" max="7193" width="10.83203125" style="157" bestFit="1" customWidth="1"/>
    <col min="7194" max="7429" width="8.83203125" style="157"/>
    <col min="7430" max="7430" width="38.1640625" style="157" customWidth="1"/>
    <col min="7431" max="7431" width="23.44140625" style="157" bestFit="1" customWidth="1"/>
    <col min="7432" max="7433" width="9.1640625" style="157" customWidth="1"/>
    <col min="7434" max="7434" width="11.1640625" style="157" bestFit="1" customWidth="1"/>
    <col min="7435" max="7435" width="14.44140625" style="157" bestFit="1" customWidth="1"/>
    <col min="7436" max="7436" width="8.1640625" style="157" customWidth="1"/>
    <col min="7437" max="7437" width="10.83203125" style="157" bestFit="1" customWidth="1"/>
    <col min="7438" max="7438" width="12.1640625" style="157" bestFit="1" customWidth="1"/>
    <col min="7439" max="7439" width="9.1640625" style="157" customWidth="1"/>
    <col min="7440" max="7440" width="10.83203125" style="157" bestFit="1" customWidth="1"/>
    <col min="7441" max="7441" width="12.1640625" style="157" bestFit="1" customWidth="1"/>
    <col min="7442" max="7442" width="8" style="157" customWidth="1"/>
    <col min="7443" max="7443" width="10.83203125" style="157" bestFit="1" customWidth="1"/>
    <col min="7444" max="7444" width="12.1640625" style="157" bestFit="1" customWidth="1"/>
    <col min="7445" max="7445" width="8.1640625" style="157" bestFit="1" customWidth="1"/>
    <col min="7446" max="7446" width="10.83203125" style="157" bestFit="1" customWidth="1"/>
    <col min="7447" max="7447" width="12.1640625" style="157" bestFit="1" customWidth="1"/>
    <col min="7448" max="7448" width="18.1640625" style="157" bestFit="1" customWidth="1"/>
    <col min="7449" max="7449" width="10.83203125" style="157" bestFit="1" customWidth="1"/>
    <col min="7450" max="7685" width="8.83203125" style="157"/>
    <col min="7686" max="7686" width="38.1640625" style="157" customWidth="1"/>
    <col min="7687" max="7687" width="23.44140625" style="157" bestFit="1" customWidth="1"/>
    <col min="7688" max="7689" width="9.1640625" style="157" customWidth="1"/>
    <col min="7690" max="7690" width="11.1640625" style="157" bestFit="1" customWidth="1"/>
    <col min="7691" max="7691" width="14.44140625" style="157" bestFit="1" customWidth="1"/>
    <col min="7692" max="7692" width="8.1640625" style="157" customWidth="1"/>
    <col min="7693" max="7693" width="10.83203125" style="157" bestFit="1" customWidth="1"/>
    <col min="7694" max="7694" width="12.1640625" style="157" bestFit="1" customWidth="1"/>
    <col min="7695" max="7695" width="9.1640625" style="157" customWidth="1"/>
    <col min="7696" max="7696" width="10.83203125" style="157" bestFit="1" customWidth="1"/>
    <col min="7697" max="7697" width="12.1640625" style="157" bestFit="1" customWidth="1"/>
    <col min="7698" max="7698" width="8" style="157" customWidth="1"/>
    <col min="7699" max="7699" width="10.83203125" style="157" bestFit="1" customWidth="1"/>
    <col min="7700" max="7700" width="12.1640625" style="157" bestFit="1" customWidth="1"/>
    <col min="7701" max="7701" width="8.1640625" style="157" bestFit="1" customWidth="1"/>
    <col min="7702" max="7702" width="10.83203125" style="157" bestFit="1" customWidth="1"/>
    <col min="7703" max="7703" width="12.1640625" style="157" bestFit="1" customWidth="1"/>
    <col min="7704" max="7704" width="18.1640625" style="157" bestFit="1" customWidth="1"/>
    <col min="7705" max="7705" width="10.83203125" style="157" bestFit="1" customWidth="1"/>
    <col min="7706" max="7941" width="8.83203125" style="157"/>
    <col min="7942" max="7942" width="38.1640625" style="157" customWidth="1"/>
    <col min="7943" max="7943" width="23.44140625" style="157" bestFit="1" customWidth="1"/>
    <col min="7944" max="7945" width="9.1640625" style="157" customWidth="1"/>
    <col min="7946" max="7946" width="11.1640625" style="157" bestFit="1" customWidth="1"/>
    <col min="7947" max="7947" width="14.44140625" style="157" bestFit="1" customWidth="1"/>
    <col min="7948" max="7948" width="8.1640625" style="157" customWidth="1"/>
    <col min="7949" max="7949" width="10.83203125" style="157" bestFit="1" customWidth="1"/>
    <col min="7950" max="7950" width="12.1640625" style="157" bestFit="1" customWidth="1"/>
    <col min="7951" max="7951" width="9.1640625" style="157" customWidth="1"/>
    <col min="7952" max="7952" width="10.83203125" style="157" bestFit="1" customWidth="1"/>
    <col min="7953" max="7953" width="12.1640625" style="157" bestFit="1" customWidth="1"/>
    <col min="7954" max="7954" width="8" style="157" customWidth="1"/>
    <col min="7955" max="7955" width="10.83203125" style="157" bestFit="1" customWidth="1"/>
    <col min="7956" max="7956" width="12.1640625" style="157" bestFit="1" customWidth="1"/>
    <col min="7957" max="7957" width="8.1640625" style="157" bestFit="1" customWidth="1"/>
    <col min="7958" max="7958" width="10.83203125" style="157" bestFit="1" customWidth="1"/>
    <col min="7959" max="7959" width="12.1640625" style="157" bestFit="1" customWidth="1"/>
    <col min="7960" max="7960" width="18.1640625" style="157" bestFit="1" customWidth="1"/>
    <col min="7961" max="7961" width="10.83203125" style="157" bestFit="1" customWidth="1"/>
    <col min="7962" max="8197" width="8.83203125" style="157"/>
    <col min="8198" max="8198" width="38.1640625" style="157" customWidth="1"/>
    <col min="8199" max="8199" width="23.44140625" style="157" bestFit="1" customWidth="1"/>
    <col min="8200" max="8201" width="9.1640625" style="157" customWidth="1"/>
    <col min="8202" max="8202" width="11.1640625" style="157" bestFit="1" customWidth="1"/>
    <col min="8203" max="8203" width="14.44140625" style="157" bestFit="1" customWidth="1"/>
    <col min="8204" max="8204" width="8.1640625" style="157" customWidth="1"/>
    <col min="8205" max="8205" width="10.83203125" style="157" bestFit="1" customWidth="1"/>
    <col min="8206" max="8206" width="12.1640625" style="157" bestFit="1" customWidth="1"/>
    <col min="8207" max="8207" width="9.1640625" style="157" customWidth="1"/>
    <col min="8208" max="8208" width="10.83203125" style="157" bestFit="1" customWidth="1"/>
    <col min="8209" max="8209" width="12.1640625" style="157" bestFit="1" customWidth="1"/>
    <col min="8210" max="8210" width="8" style="157" customWidth="1"/>
    <col min="8211" max="8211" width="10.83203125" style="157" bestFit="1" customWidth="1"/>
    <col min="8212" max="8212" width="12.1640625" style="157" bestFit="1" customWidth="1"/>
    <col min="8213" max="8213" width="8.1640625" style="157" bestFit="1" customWidth="1"/>
    <col min="8214" max="8214" width="10.83203125" style="157" bestFit="1" customWidth="1"/>
    <col min="8215" max="8215" width="12.1640625" style="157" bestFit="1" customWidth="1"/>
    <col min="8216" max="8216" width="18.1640625" style="157" bestFit="1" customWidth="1"/>
    <col min="8217" max="8217" width="10.83203125" style="157" bestFit="1" customWidth="1"/>
    <col min="8218" max="8453" width="8.83203125" style="157"/>
    <col min="8454" max="8454" width="38.1640625" style="157" customWidth="1"/>
    <col min="8455" max="8455" width="23.44140625" style="157" bestFit="1" customWidth="1"/>
    <col min="8456" max="8457" width="9.1640625" style="157" customWidth="1"/>
    <col min="8458" max="8458" width="11.1640625" style="157" bestFit="1" customWidth="1"/>
    <col min="8459" max="8459" width="14.44140625" style="157" bestFit="1" customWidth="1"/>
    <col min="8460" max="8460" width="8.1640625" style="157" customWidth="1"/>
    <col min="8461" max="8461" width="10.83203125" style="157" bestFit="1" customWidth="1"/>
    <col min="8462" max="8462" width="12.1640625" style="157" bestFit="1" customWidth="1"/>
    <col min="8463" max="8463" width="9.1640625" style="157" customWidth="1"/>
    <col min="8464" max="8464" width="10.83203125" style="157" bestFit="1" customWidth="1"/>
    <col min="8465" max="8465" width="12.1640625" style="157" bestFit="1" customWidth="1"/>
    <col min="8466" max="8466" width="8" style="157" customWidth="1"/>
    <col min="8467" max="8467" width="10.83203125" style="157" bestFit="1" customWidth="1"/>
    <col min="8468" max="8468" width="12.1640625" style="157" bestFit="1" customWidth="1"/>
    <col min="8469" max="8469" width="8.1640625" style="157" bestFit="1" customWidth="1"/>
    <col min="8470" max="8470" width="10.83203125" style="157" bestFit="1" customWidth="1"/>
    <col min="8471" max="8471" width="12.1640625" style="157" bestFit="1" customWidth="1"/>
    <col min="8472" max="8472" width="18.1640625" style="157" bestFit="1" customWidth="1"/>
    <col min="8473" max="8473" width="10.83203125" style="157" bestFit="1" customWidth="1"/>
    <col min="8474" max="8709" width="8.83203125" style="157"/>
    <col min="8710" max="8710" width="38.1640625" style="157" customWidth="1"/>
    <col min="8711" max="8711" width="23.44140625" style="157" bestFit="1" customWidth="1"/>
    <col min="8712" max="8713" width="9.1640625" style="157" customWidth="1"/>
    <col min="8714" max="8714" width="11.1640625" style="157" bestFit="1" customWidth="1"/>
    <col min="8715" max="8715" width="14.44140625" style="157" bestFit="1" customWidth="1"/>
    <col min="8716" max="8716" width="8.1640625" style="157" customWidth="1"/>
    <col min="8717" max="8717" width="10.83203125" style="157" bestFit="1" customWidth="1"/>
    <col min="8718" max="8718" width="12.1640625" style="157" bestFit="1" customWidth="1"/>
    <col min="8719" max="8719" width="9.1640625" style="157" customWidth="1"/>
    <col min="8720" max="8720" width="10.83203125" style="157" bestFit="1" customWidth="1"/>
    <col min="8721" max="8721" width="12.1640625" style="157" bestFit="1" customWidth="1"/>
    <col min="8722" max="8722" width="8" style="157" customWidth="1"/>
    <col min="8723" max="8723" width="10.83203125" style="157" bestFit="1" customWidth="1"/>
    <col min="8724" max="8724" width="12.1640625" style="157" bestFit="1" customWidth="1"/>
    <col min="8725" max="8725" width="8.1640625" style="157" bestFit="1" customWidth="1"/>
    <col min="8726" max="8726" width="10.83203125" style="157" bestFit="1" customWidth="1"/>
    <col min="8727" max="8727" width="12.1640625" style="157" bestFit="1" customWidth="1"/>
    <col min="8728" max="8728" width="18.1640625" style="157" bestFit="1" customWidth="1"/>
    <col min="8729" max="8729" width="10.83203125" style="157" bestFit="1" customWidth="1"/>
    <col min="8730" max="8965" width="8.83203125" style="157"/>
    <col min="8966" max="8966" width="38.1640625" style="157" customWidth="1"/>
    <col min="8967" max="8967" width="23.44140625" style="157" bestFit="1" customWidth="1"/>
    <col min="8968" max="8969" width="9.1640625" style="157" customWidth="1"/>
    <col min="8970" max="8970" width="11.1640625" style="157" bestFit="1" customWidth="1"/>
    <col min="8971" max="8971" width="14.44140625" style="157" bestFit="1" customWidth="1"/>
    <col min="8972" max="8972" width="8.1640625" style="157" customWidth="1"/>
    <col min="8973" max="8973" width="10.83203125" style="157" bestFit="1" customWidth="1"/>
    <col min="8974" max="8974" width="12.1640625" style="157" bestFit="1" customWidth="1"/>
    <col min="8975" max="8975" width="9.1640625" style="157" customWidth="1"/>
    <col min="8976" max="8976" width="10.83203125" style="157" bestFit="1" customWidth="1"/>
    <col min="8977" max="8977" width="12.1640625" style="157" bestFit="1" customWidth="1"/>
    <col min="8978" max="8978" width="8" style="157" customWidth="1"/>
    <col min="8979" max="8979" width="10.83203125" style="157" bestFit="1" customWidth="1"/>
    <col min="8980" max="8980" width="12.1640625" style="157" bestFit="1" customWidth="1"/>
    <col min="8981" max="8981" width="8.1640625" style="157" bestFit="1" customWidth="1"/>
    <col min="8982" max="8982" width="10.83203125" style="157" bestFit="1" customWidth="1"/>
    <col min="8983" max="8983" width="12.1640625" style="157" bestFit="1" customWidth="1"/>
    <col min="8984" max="8984" width="18.1640625" style="157" bestFit="1" customWidth="1"/>
    <col min="8985" max="8985" width="10.83203125" style="157" bestFit="1" customWidth="1"/>
    <col min="8986" max="9221" width="8.83203125" style="157"/>
    <col min="9222" max="9222" width="38.1640625" style="157" customWidth="1"/>
    <col min="9223" max="9223" width="23.44140625" style="157" bestFit="1" customWidth="1"/>
    <col min="9224" max="9225" width="9.1640625" style="157" customWidth="1"/>
    <col min="9226" max="9226" width="11.1640625" style="157" bestFit="1" customWidth="1"/>
    <col min="9227" max="9227" width="14.44140625" style="157" bestFit="1" customWidth="1"/>
    <col min="9228" max="9228" width="8.1640625" style="157" customWidth="1"/>
    <col min="9229" max="9229" width="10.83203125" style="157" bestFit="1" customWidth="1"/>
    <col min="9230" max="9230" width="12.1640625" style="157" bestFit="1" customWidth="1"/>
    <col min="9231" max="9231" width="9.1640625" style="157" customWidth="1"/>
    <col min="9232" max="9232" width="10.83203125" style="157" bestFit="1" customWidth="1"/>
    <col min="9233" max="9233" width="12.1640625" style="157" bestFit="1" customWidth="1"/>
    <col min="9234" max="9234" width="8" style="157" customWidth="1"/>
    <col min="9235" max="9235" width="10.83203125" style="157" bestFit="1" customWidth="1"/>
    <col min="9236" max="9236" width="12.1640625" style="157" bestFit="1" customWidth="1"/>
    <col min="9237" max="9237" width="8.1640625" style="157" bestFit="1" customWidth="1"/>
    <col min="9238" max="9238" width="10.83203125" style="157" bestFit="1" customWidth="1"/>
    <col min="9239" max="9239" width="12.1640625" style="157" bestFit="1" customWidth="1"/>
    <col min="9240" max="9240" width="18.1640625" style="157" bestFit="1" customWidth="1"/>
    <col min="9241" max="9241" width="10.83203125" style="157" bestFit="1" customWidth="1"/>
    <col min="9242" max="9477" width="8.83203125" style="157"/>
    <col min="9478" max="9478" width="38.1640625" style="157" customWidth="1"/>
    <col min="9479" max="9479" width="23.44140625" style="157" bestFit="1" customWidth="1"/>
    <col min="9480" max="9481" width="9.1640625" style="157" customWidth="1"/>
    <col min="9482" max="9482" width="11.1640625" style="157" bestFit="1" customWidth="1"/>
    <col min="9483" max="9483" width="14.44140625" style="157" bestFit="1" customWidth="1"/>
    <col min="9484" max="9484" width="8.1640625" style="157" customWidth="1"/>
    <col min="9485" max="9485" width="10.83203125" style="157" bestFit="1" customWidth="1"/>
    <col min="9486" max="9486" width="12.1640625" style="157" bestFit="1" customWidth="1"/>
    <col min="9487" max="9487" width="9.1640625" style="157" customWidth="1"/>
    <col min="9488" max="9488" width="10.83203125" style="157" bestFit="1" customWidth="1"/>
    <col min="9489" max="9489" width="12.1640625" style="157" bestFit="1" customWidth="1"/>
    <col min="9490" max="9490" width="8" style="157" customWidth="1"/>
    <col min="9491" max="9491" width="10.83203125" style="157" bestFit="1" customWidth="1"/>
    <col min="9492" max="9492" width="12.1640625" style="157" bestFit="1" customWidth="1"/>
    <col min="9493" max="9493" width="8.1640625" style="157" bestFit="1" customWidth="1"/>
    <col min="9494" max="9494" width="10.83203125" style="157" bestFit="1" customWidth="1"/>
    <col min="9495" max="9495" width="12.1640625" style="157" bestFit="1" customWidth="1"/>
    <col min="9496" max="9496" width="18.1640625" style="157" bestFit="1" customWidth="1"/>
    <col min="9497" max="9497" width="10.83203125" style="157" bestFit="1" customWidth="1"/>
    <col min="9498" max="9733" width="8.83203125" style="157"/>
    <col min="9734" max="9734" width="38.1640625" style="157" customWidth="1"/>
    <col min="9735" max="9735" width="23.44140625" style="157" bestFit="1" customWidth="1"/>
    <col min="9736" max="9737" width="9.1640625" style="157" customWidth="1"/>
    <col min="9738" max="9738" width="11.1640625" style="157" bestFit="1" customWidth="1"/>
    <col min="9739" max="9739" width="14.44140625" style="157" bestFit="1" customWidth="1"/>
    <col min="9740" max="9740" width="8.1640625" style="157" customWidth="1"/>
    <col min="9741" max="9741" width="10.83203125" style="157" bestFit="1" customWidth="1"/>
    <col min="9742" max="9742" width="12.1640625" style="157" bestFit="1" customWidth="1"/>
    <col min="9743" max="9743" width="9.1640625" style="157" customWidth="1"/>
    <col min="9744" max="9744" width="10.83203125" style="157" bestFit="1" customWidth="1"/>
    <col min="9745" max="9745" width="12.1640625" style="157" bestFit="1" customWidth="1"/>
    <col min="9746" max="9746" width="8" style="157" customWidth="1"/>
    <col min="9747" max="9747" width="10.83203125" style="157" bestFit="1" customWidth="1"/>
    <col min="9748" max="9748" width="12.1640625" style="157" bestFit="1" customWidth="1"/>
    <col min="9749" max="9749" width="8.1640625" style="157" bestFit="1" customWidth="1"/>
    <col min="9750" max="9750" width="10.83203125" style="157" bestFit="1" customWidth="1"/>
    <col min="9751" max="9751" width="12.1640625" style="157" bestFit="1" customWidth="1"/>
    <col min="9752" max="9752" width="18.1640625" style="157" bestFit="1" customWidth="1"/>
    <col min="9753" max="9753" width="10.83203125" style="157" bestFit="1" customWidth="1"/>
    <col min="9754" max="9989" width="8.83203125" style="157"/>
    <col min="9990" max="9990" width="38.1640625" style="157" customWidth="1"/>
    <col min="9991" max="9991" width="23.44140625" style="157" bestFit="1" customWidth="1"/>
    <col min="9992" max="9993" width="9.1640625" style="157" customWidth="1"/>
    <col min="9994" max="9994" width="11.1640625" style="157" bestFit="1" customWidth="1"/>
    <col min="9995" max="9995" width="14.44140625" style="157" bestFit="1" customWidth="1"/>
    <col min="9996" max="9996" width="8.1640625" style="157" customWidth="1"/>
    <col min="9997" max="9997" width="10.83203125" style="157" bestFit="1" customWidth="1"/>
    <col min="9998" max="9998" width="12.1640625" style="157" bestFit="1" customWidth="1"/>
    <col min="9999" max="9999" width="9.1640625" style="157" customWidth="1"/>
    <col min="10000" max="10000" width="10.83203125" style="157" bestFit="1" customWidth="1"/>
    <col min="10001" max="10001" width="12.1640625" style="157" bestFit="1" customWidth="1"/>
    <col min="10002" max="10002" width="8" style="157" customWidth="1"/>
    <col min="10003" max="10003" width="10.83203125" style="157" bestFit="1" customWidth="1"/>
    <col min="10004" max="10004" width="12.1640625" style="157" bestFit="1" customWidth="1"/>
    <col min="10005" max="10005" width="8.1640625" style="157" bestFit="1" customWidth="1"/>
    <col min="10006" max="10006" width="10.83203125" style="157" bestFit="1" customWidth="1"/>
    <col min="10007" max="10007" width="12.1640625" style="157" bestFit="1" customWidth="1"/>
    <col min="10008" max="10008" width="18.1640625" style="157" bestFit="1" customWidth="1"/>
    <col min="10009" max="10009" width="10.83203125" style="157" bestFit="1" customWidth="1"/>
    <col min="10010" max="10245" width="8.83203125" style="157"/>
    <col min="10246" max="10246" width="38.1640625" style="157" customWidth="1"/>
    <col min="10247" max="10247" width="23.44140625" style="157" bestFit="1" customWidth="1"/>
    <col min="10248" max="10249" width="9.1640625" style="157" customWidth="1"/>
    <col min="10250" max="10250" width="11.1640625" style="157" bestFit="1" customWidth="1"/>
    <col min="10251" max="10251" width="14.44140625" style="157" bestFit="1" customWidth="1"/>
    <col min="10252" max="10252" width="8.1640625" style="157" customWidth="1"/>
    <col min="10253" max="10253" width="10.83203125" style="157" bestFit="1" customWidth="1"/>
    <col min="10254" max="10254" width="12.1640625" style="157" bestFit="1" customWidth="1"/>
    <col min="10255" max="10255" width="9.1640625" style="157" customWidth="1"/>
    <col min="10256" max="10256" width="10.83203125" style="157" bestFit="1" customWidth="1"/>
    <col min="10257" max="10257" width="12.1640625" style="157" bestFit="1" customWidth="1"/>
    <col min="10258" max="10258" width="8" style="157" customWidth="1"/>
    <col min="10259" max="10259" width="10.83203125" style="157" bestFit="1" customWidth="1"/>
    <col min="10260" max="10260" width="12.1640625" style="157" bestFit="1" customWidth="1"/>
    <col min="10261" max="10261" width="8.1640625" style="157" bestFit="1" customWidth="1"/>
    <col min="10262" max="10262" width="10.83203125" style="157" bestFit="1" customWidth="1"/>
    <col min="10263" max="10263" width="12.1640625" style="157" bestFit="1" customWidth="1"/>
    <col min="10264" max="10264" width="18.1640625" style="157" bestFit="1" customWidth="1"/>
    <col min="10265" max="10265" width="10.83203125" style="157" bestFit="1" customWidth="1"/>
    <col min="10266" max="10501" width="8.83203125" style="157"/>
    <col min="10502" max="10502" width="38.1640625" style="157" customWidth="1"/>
    <col min="10503" max="10503" width="23.44140625" style="157" bestFit="1" customWidth="1"/>
    <col min="10504" max="10505" width="9.1640625" style="157" customWidth="1"/>
    <col min="10506" max="10506" width="11.1640625" style="157" bestFit="1" customWidth="1"/>
    <col min="10507" max="10507" width="14.44140625" style="157" bestFit="1" customWidth="1"/>
    <col min="10508" max="10508" width="8.1640625" style="157" customWidth="1"/>
    <col min="10509" max="10509" width="10.83203125" style="157" bestFit="1" customWidth="1"/>
    <col min="10510" max="10510" width="12.1640625" style="157" bestFit="1" customWidth="1"/>
    <col min="10511" max="10511" width="9.1640625" style="157" customWidth="1"/>
    <col min="10512" max="10512" width="10.83203125" style="157" bestFit="1" customWidth="1"/>
    <col min="10513" max="10513" width="12.1640625" style="157" bestFit="1" customWidth="1"/>
    <col min="10514" max="10514" width="8" style="157" customWidth="1"/>
    <col min="10515" max="10515" width="10.83203125" style="157" bestFit="1" customWidth="1"/>
    <col min="10516" max="10516" width="12.1640625" style="157" bestFit="1" customWidth="1"/>
    <col min="10517" max="10517" width="8.1640625" style="157" bestFit="1" customWidth="1"/>
    <col min="10518" max="10518" width="10.83203125" style="157" bestFit="1" customWidth="1"/>
    <col min="10519" max="10519" width="12.1640625" style="157" bestFit="1" customWidth="1"/>
    <col min="10520" max="10520" width="18.1640625" style="157" bestFit="1" customWidth="1"/>
    <col min="10521" max="10521" width="10.83203125" style="157" bestFit="1" customWidth="1"/>
    <col min="10522" max="10757" width="8.83203125" style="157"/>
    <col min="10758" max="10758" width="38.1640625" style="157" customWidth="1"/>
    <col min="10759" max="10759" width="23.44140625" style="157" bestFit="1" customWidth="1"/>
    <col min="10760" max="10761" width="9.1640625" style="157" customWidth="1"/>
    <col min="10762" max="10762" width="11.1640625" style="157" bestFit="1" customWidth="1"/>
    <col min="10763" max="10763" width="14.44140625" style="157" bestFit="1" customWidth="1"/>
    <col min="10764" max="10764" width="8.1640625" style="157" customWidth="1"/>
    <col min="10765" max="10765" width="10.83203125" style="157" bestFit="1" customWidth="1"/>
    <col min="10766" max="10766" width="12.1640625" style="157" bestFit="1" customWidth="1"/>
    <col min="10767" max="10767" width="9.1640625" style="157" customWidth="1"/>
    <col min="10768" max="10768" width="10.83203125" style="157" bestFit="1" customWidth="1"/>
    <col min="10769" max="10769" width="12.1640625" style="157" bestFit="1" customWidth="1"/>
    <col min="10770" max="10770" width="8" style="157" customWidth="1"/>
    <col min="10771" max="10771" width="10.83203125" style="157" bestFit="1" customWidth="1"/>
    <col min="10772" max="10772" width="12.1640625" style="157" bestFit="1" customWidth="1"/>
    <col min="10773" max="10773" width="8.1640625" style="157" bestFit="1" customWidth="1"/>
    <col min="10774" max="10774" width="10.83203125" style="157" bestFit="1" customWidth="1"/>
    <col min="10775" max="10775" width="12.1640625" style="157" bestFit="1" customWidth="1"/>
    <col min="10776" max="10776" width="18.1640625" style="157" bestFit="1" customWidth="1"/>
    <col min="10777" max="10777" width="10.83203125" style="157" bestFit="1" customWidth="1"/>
    <col min="10778" max="11013" width="8.83203125" style="157"/>
    <col min="11014" max="11014" width="38.1640625" style="157" customWidth="1"/>
    <col min="11015" max="11015" width="23.44140625" style="157" bestFit="1" customWidth="1"/>
    <col min="11016" max="11017" width="9.1640625" style="157" customWidth="1"/>
    <col min="11018" max="11018" width="11.1640625" style="157" bestFit="1" customWidth="1"/>
    <col min="11019" max="11019" width="14.44140625" style="157" bestFit="1" customWidth="1"/>
    <col min="11020" max="11020" width="8.1640625" style="157" customWidth="1"/>
    <col min="11021" max="11021" width="10.83203125" style="157" bestFit="1" customWidth="1"/>
    <col min="11022" max="11022" width="12.1640625" style="157" bestFit="1" customWidth="1"/>
    <col min="11023" max="11023" width="9.1640625" style="157" customWidth="1"/>
    <col min="11024" max="11024" width="10.83203125" style="157" bestFit="1" customWidth="1"/>
    <col min="11025" max="11025" width="12.1640625" style="157" bestFit="1" customWidth="1"/>
    <col min="11026" max="11026" width="8" style="157" customWidth="1"/>
    <col min="11027" max="11027" width="10.83203125" style="157" bestFit="1" customWidth="1"/>
    <col min="11028" max="11028" width="12.1640625" style="157" bestFit="1" customWidth="1"/>
    <col min="11029" max="11029" width="8.1640625" style="157" bestFit="1" customWidth="1"/>
    <col min="11030" max="11030" width="10.83203125" style="157" bestFit="1" customWidth="1"/>
    <col min="11031" max="11031" width="12.1640625" style="157" bestFit="1" customWidth="1"/>
    <col min="11032" max="11032" width="18.1640625" style="157" bestFit="1" customWidth="1"/>
    <col min="11033" max="11033" width="10.83203125" style="157" bestFit="1" customWidth="1"/>
    <col min="11034" max="11269" width="8.83203125" style="157"/>
    <col min="11270" max="11270" width="38.1640625" style="157" customWidth="1"/>
    <col min="11271" max="11271" width="23.44140625" style="157" bestFit="1" customWidth="1"/>
    <col min="11272" max="11273" width="9.1640625" style="157" customWidth="1"/>
    <col min="11274" max="11274" width="11.1640625" style="157" bestFit="1" customWidth="1"/>
    <col min="11275" max="11275" width="14.44140625" style="157" bestFit="1" customWidth="1"/>
    <col min="11276" max="11276" width="8.1640625" style="157" customWidth="1"/>
    <col min="11277" max="11277" width="10.83203125" style="157" bestFit="1" customWidth="1"/>
    <col min="11278" max="11278" width="12.1640625" style="157" bestFit="1" customWidth="1"/>
    <col min="11279" max="11279" width="9.1640625" style="157" customWidth="1"/>
    <col min="11280" max="11280" width="10.83203125" style="157" bestFit="1" customWidth="1"/>
    <col min="11281" max="11281" width="12.1640625" style="157" bestFit="1" customWidth="1"/>
    <col min="11282" max="11282" width="8" style="157" customWidth="1"/>
    <col min="11283" max="11283" width="10.83203125" style="157" bestFit="1" customWidth="1"/>
    <col min="11284" max="11284" width="12.1640625" style="157" bestFit="1" customWidth="1"/>
    <col min="11285" max="11285" width="8.1640625" style="157" bestFit="1" customWidth="1"/>
    <col min="11286" max="11286" width="10.83203125" style="157" bestFit="1" customWidth="1"/>
    <col min="11287" max="11287" width="12.1640625" style="157" bestFit="1" customWidth="1"/>
    <col min="11288" max="11288" width="18.1640625" style="157" bestFit="1" customWidth="1"/>
    <col min="11289" max="11289" width="10.83203125" style="157" bestFit="1" customWidth="1"/>
    <col min="11290" max="11525" width="8.83203125" style="157"/>
    <col min="11526" max="11526" width="38.1640625" style="157" customWidth="1"/>
    <col min="11527" max="11527" width="23.44140625" style="157" bestFit="1" customWidth="1"/>
    <col min="11528" max="11529" width="9.1640625" style="157" customWidth="1"/>
    <col min="11530" max="11530" width="11.1640625" style="157" bestFit="1" customWidth="1"/>
    <col min="11531" max="11531" width="14.44140625" style="157" bestFit="1" customWidth="1"/>
    <col min="11532" max="11532" width="8.1640625" style="157" customWidth="1"/>
    <col min="11533" max="11533" width="10.83203125" style="157" bestFit="1" customWidth="1"/>
    <col min="11534" max="11534" width="12.1640625" style="157" bestFit="1" customWidth="1"/>
    <col min="11535" max="11535" width="9.1640625" style="157" customWidth="1"/>
    <col min="11536" max="11536" width="10.83203125" style="157" bestFit="1" customWidth="1"/>
    <col min="11537" max="11537" width="12.1640625" style="157" bestFit="1" customWidth="1"/>
    <col min="11538" max="11538" width="8" style="157" customWidth="1"/>
    <col min="11539" max="11539" width="10.83203125" style="157" bestFit="1" customWidth="1"/>
    <col min="11540" max="11540" width="12.1640625" style="157" bestFit="1" customWidth="1"/>
    <col min="11541" max="11541" width="8.1640625" style="157" bestFit="1" customWidth="1"/>
    <col min="11542" max="11542" width="10.83203125" style="157" bestFit="1" customWidth="1"/>
    <col min="11543" max="11543" width="12.1640625" style="157" bestFit="1" customWidth="1"/>
    <col min="11544" max="11544" width="18.1640625" style="157" bestFit="1" customWidth="1"/>
    <col min="11545" max="11545" width="10.83203125" style="157" bestFit="1" customWidth="1"/>
    <col min="11546" max="11781" width="8.83203125" style="157"/>
    <col min="11782" max="11782" width="38.1640625" style="157" customWidth="1"/>
    <col min="11783" max="11783" width="23.44140625" style="157" bestFit="1" customWidth="1"/>
    <col min="11784" max="11785" width="9.1640625" style="157" customWidth="1"/>
    <col min="11786" max="11786" width="11.1640625" style="157" bestFit="1" customWidth="1"/>
    <col min="11787" max="11787" width="14.44140625" style="157" bestFit="1" customWidth="1"/>
    <col min="11788" max="11788" width="8.1640625" style="157" customWidth="1"/>
    <col min="11789" max="11789" width="10.83203125" style="157" bestFit="1" customWidth="1"/>
    <col min="11790" max="11790" width="12.1640625" style="157" bestFit="1" customWidth="1"/>
    <col min="11791" max="11791" width="9.1640625" style="157" customWidth="1"/>
    <col min="11792" max="11792" width="10.83203125" style="157" bestFit="1" customWidth="1"/>
    <col min="11793" max="11793" width="12.1640625" style="157" bestFit="1" customWidth="1"/>
    <col min="11794" max="11794" width="8" style="157" customWidth="1"/>
    <col min="11795" max="11795" width="10.83203125" style="157" bestFit="1" customWidth="1"/>
    <col min="11796" max="11796" width="12.1640625" style="157" bestFit="1" customWidth="1"/>
    <col min="11797" max="11797" width="8.1640625" style="157" bestFit="1" customWidth="1"/>
    <col min="11798" max="11798" width="10.83203125" style="157" bestFit="1" customWidth="1"/>
    <col min="11799" max="11799" width="12.1640625" style="157" bestFit="1" customWidth="1"/>
    <col min="11800" max="11800" width="18.1640625" style="157" bestFit="1" customWidth="1"/>
    <col min="11801" max="11801" width="10.83203125" style="157" bestFit="1" customWidth="1"/>
    <col min="11802" max="12037" width="8.83203125" style="157"/>
    <col min="12038" max="12038" width="38.1640625" style="157" customWidth="1"/>
    <col min="12039" max="12039" width="23.44140625" style="157" bestFit="1" customWidth="1"/>
    <col min="12040" max="12041" width="9.1640625" style="157" customWidth="1"/>
    <col min="12042" max="12042" width="11.1640625" style="157" bestFit="1" customWidth="1"/>
    <col min="12043" max="12043" width="14.44140625" style="157" bestFit="1" customWidth="1"/>
    <col min="12044" max="12044" width="8.1640625" style="157" customWidth="1"/>
    <col min="12045" max="12045" width="10.83203125" style="157" bestFit="1" customWidth="1"/>
    <col min="12046" max="12046" width="12.1640625" style="157" bestFit="1" customWidth="1"/>
    <col min="12047" max="12047" width="9.1640625" style="157" customWidth="1"/>
    <col min="12048" max="12048" width="10.83203125" style="157" bestFit="1" customWidth="1"/>
    <col min="12049" max="12049" width="12.1640625" style="157" bestFit="1" customWidth="1"/>
    <col min="12050" max="12050" width="8" style="157" customWidth="1"/>
    <col min="12051" max="12051" width="10.83203125" style="157" bestFit="1" customWidth="1"/>
    <col min="12052" max="12052" width="12.1640625" style="157" bestFit="1" customWidth="1"/>
    <col min="12053" max="12053" width="8.1640625" style="157" bestFit="1" customWidth="1"/>
    <col min="12054" max="12054" width="10.83203125" style="157" bestFit="1" customWidth="1"/>
    <col min="12055" max="12055" width="12.1640625" style="157" bestFit="1" customWidth="1"/>
    <col min="12056" max="12056" width="18.1640625" style="157" bestFit="1" customWidth="1"/>
    <col min="12057" max="12057" width="10.83203125" style="157" bestFit="1" customWidth="1"/>
    <col min="12058" max="12293" width="8.83203125" style="157"/>
    <col min="12294" max="12294" width="38.1640625" style="157" customWidth="1"/>
    <col min="12295" max="12295" width="23.44140625" style="157" bestFit="1" customWidth="1"/>
    <col min="12296" max="12297" width="9.1640625" style="157" customWidth="1"/>
    <col min="12298" max="12298" width="11.1640625" style="157" bestFit="1" customWidth="1"/>
    <col min="12299" max="12299" width="14.44140625" style="157" bestFit="1" customWidth="1"/>
    <col min="12300" max="12300" width="8.1640625" style="157" customWidth="1"/>
    <col min="12301" max="12301" width="10.83203125" style="157" bestFit="1" customWidth="1"/>
    <col min="12302" max="12302" width="12.1640625" style="157" bestFit="1" customWidth="1"/>
    <col min="12303" max="12303" width="9.1640625" style="157" customWidth="1"/>
    <col min="12304" max="12304" width="10.83203125" style="157" bestFit="1" customWidth="1"/>
    <col min="12305" max="12305" width="12.1640625" style="157" bestFit="1" customWidth="1"/>
    <col min="12306" max="12306" width="8" style="157" customWidth="1"/>
    <col min="12307" max="12307" width="10.83203125" style="157" bestFit="1" customWidth="1"/>
    <col min="12308" max="12308" width="12.1640625" style="157" bestFit="1" customWidth="1"/>
    <col min="12309" max="12309" width="8.1640625" style="157" bestFit="1" customWidth="1"/>
    <col min="12310" max="12310" width="10.83203125" style="157" bestFit="1" customWidth="1"/>
    <col min="12311" max="12311" width="12.1640625" style="157" bestFit="1" customWidth="1"/>
    <col min="12312" max="12312" width="18.1640625" style="157" bestFit="1" customWidth="1"/>
    <col min="12313" max="12313" width="10.83203125" style="157" bestFit="1" customWidth="1"/>
    <col min="12314" max="12549" width="8.83203125" style="157"/>
    <col min="12550" max="12550" width="38.1640625" style="157" customWidth="1"/>
    <col min="12551" max="12551" width="23.44140625" style="157" bestFit="1" customWidth="1"/>
    <col min="12552" max="12553" width="9.1640625" style="157" customWidth="1"/>
    <col min="12554" max="12554" width="11.1640625" style="157" bestFit="1" customWidth="1"/>
    <col min="12555" max="12555" width="14.44140625" style="157" bestFit="1" customWidth="1"/>
    <col min="12556" max="12556" width="8.1640625" style="157" customWidth="1"/>
    <col min="12557" max="12557" width="10.83203125" style="157" bestFit="1" customWidth="1"/>
    <col min="12558" max="12558" width="12.1640625" style="157" bestFit="1" customWidth="1"/>
    <col min="12559" max="12559" width="9.1640625" style="157" customWidth="1"/>
    <col min="12560" max="12560" width="10.83203125" style="157" bestFit="1" customWidth="1"/>
    <col min="12561" max="12561" width="12.1640625" style="157" bestFit="1" customWidth="1"/>
    <col min="12562" max="12562" width="8" style="157" customWidth="1"/>
    <col min="12563" max="12563" width="10.83203125" style="157" bestFit="1" customWidth="1"/>
    <col min="12564" max="12564" width="12.1640625" style="157" bestFit="1" customWidth="1"/>
    <col min="12565" max="12565" width="8.1640625" style="157" bestFit="1" customWidth="1"/>
    <col min="12566" max="12566" width="10.83203125" style="157" bestFit="1" customWidth="1"/>
    <col min="12567" max="12567" width="12.1640625" style="157" bestFit="1" customWidth="1"/>
    <col min="12568" max="12568" width="18.1640625" style="157" bestFit="1" customWidth="1"/>
    <col min="12569" max="12569" width="10.83203125" style="157" bestFit="1" customWidth="1"/>
    <col min="12570" max="12805" width="8.83203125" style="157"/>
    <col min="12806" max="12806" width="38.1640625" style="157" customWidth="1"/>
    <col min="12807" max="12807" width="23.44140625" style="157" bestFit="1" customWidth="1"/>
    <col min="12808" max="12809" width="9.1640625" style="157" customWidth="1"/>
    <col min="12810" max="12810" width="11.1640625" style="157" bestFit="1" customWidth="1"/>
    <col min="12811" max="12811" width="14.44140625" style="157" bestFit="1" customWidth="1"/>
    <col min="12812" max="12812" width="8.1640625" style="157" customWidth="1"/>
    <col min="12813" max="12813" width="10.83203125" style="157" bestFit="1" customWidth="1"/>
    <col min="12814" max="12814" width="12.1640625" style="157" bestFit="1" customWidth="1"/>
    <col min="12815" max="12815" width="9.1640625" style="157" customWidth="1"/>
    <col min="12816" max="12816" width="10.83203125" style="157" bestFit="1" customWidth="1"/>
    <col min="12817" max="12817" width="12.1640625" style="157" bestFit="1" customWidth="1"/>
    <col min="12818" max="12818" width="8" style="157" customWidth="1"/>
    <col min="12819" max="12819" width="10.83203125" style="157" bestFit="1" customWidth="1"/>
    <col min="12820" max="12820" width="12.1640625" style="157" bestFit="1" customWidth="1"/>
    <col min="12821" max="12821" width="8.1640625" style="157" bestFit="1" customWidth="1"/>
    <col min="12822" max="12822" width="10.83203125" style="157" bestFit="1" customWidth="1"/>
    <col min="12823" max="12823" width="12.1640625" style="157" bestFit="1" customWidth="1"/>
    <col min="12824" max="12824" width="18.1640625" style="157" bestFit="1" customWidth="1"/>
    <col min="12825" max="12825" width="10.83203125" style="157" bestFit="1" customWidth="1"/>
    <col min="12826" max="13061" width="8.83203125" style="157"/>
    <col min="13062" max="13062" width="38.1640625" style="157" customWidth="1"/>
    <col min="13063" max="13063" width="23.44140625" style="157" bestFit="1" customWidth="1"/>
    <col min="13064" max="13065" width="9.1640625" style="157" customWidth="1"/>
    <col min="13066" max="13066" width="11.1640625" style="157" bestFit="1" customWidth="1"/>
    <col min="13067" max="13067" width="14.44140625" style="157" bestFit="1" customWidth="1"/>
    <col min="13068" max="13068" width="8.1640625" style="157" customWidth="1"/>
    <col min="13069" max="13069" width="10.83203125" style="157" bestFit="1" customWidth="1"/>
    <col min="13070" max="13070" width="12.1640625" style="157" bestFit="1" customWidth="1"/>
    <col min="13071" max="13071" width="9.1640625" style="157" customWidth="1"/>
    <col min="13072" max="13072" width="10.83203125" style="157" bestFit="1" customWidth="1"/>
    <col min="13073" max="13073" width="12.1640625" style="157" bestFit="1" customWidth="1"/>
    <col min="13074" max="13074" width="8" style="157" customWidth="1"/>
    <col min="13075" max="13075" width="10.83203125" style="157" bestFit="1" customWidth="1"/>
    <col min="13076" max="13076" width="12.1640625" style="157" bestFit="1" customWidth="1"/>
    <col min="13077" max="13077" width="8.1640625" style="157" bestFit="1" customWidth="1"/>
    <col min="13078" max="13078" width="10.83203125" style="157" bestFit="1" customWidth="1"/>
    <col min="13079" max="13079" width="12.1640625" style="157" bestFit="1" customWidth="1"/>
    <col min="13080" max="13080" width="18.1640625" style="157" bestFit="1" customWidth="1"/>
    <col min="13081" max="13081" width="10.83203125" style="157" bestFit="1" customWidth="1"/>
    <col min="13082" max="13317" width="8.83203125" style="157"/>
    <col min="13318" max="13318" width="38.1640625" style="157" customWidth="1"/>
    <col min="13319" max="13319" width="23.44140625" style="157" bestFit="1" customWidth="1"/>
    <col min="13320" max="13321" width="9.1640625" style="157" customWidth="1"/>
    <col min="13322" max="13322" width="11.1640625" style="157" bestFit="1" customWidth="1"/>
    <col min="13323" max="13323" width="14.44140625" style="157" bestFit="1" customWidth="1"/>
    <col min="13324" max="13324" width="8.1640625" style="157" customWidth="1"/>
    <col min="13325" max="13325" width="10.83203125" style="157" bestFit="1" customWidth="1"/>
    <col min="13326" max="13326" width="12.1640625" style="157" bestFit="1" customWidth="1"/>
    <col min="13327" max="13327" width="9.1640625" style="157" customWidth="1"/>
    <col min="13328" max="13328" width="10.83203125" style="157" bestFit="1" customWidth="1"/>
    <col min="13329" max="13329" width="12.1640625" style="157" bestFit="1" customWidth="1"/>
    <col min="13330" max="13330" width="8" style="157" customWidth="1"/>
    <col min="13331" max="13331" width="10.83203125" style="157" bestFit="1" customWidth="1"/>
    <col min="13332" max="13332" width="12.1640625" style="157" bestFit="1" customWidth="1"/>
    <col min="13333" max="13333" width="8.1640625" style="157" bestFit="1" customWidth="1"/>
    <col min="13334" max="13334" width="10.83203125" style="157" bestFit="1" customWidth="1"/>
    <col min="13335" max="13335" width="12.1640625" style="157" bestFit="1" customWidth="1"/>
    <col min="13336" max="13336" width="18.1640625" style="157" bestFit="1" customWidth="1"/>
    <col min="13337" max="13337" width="10.83203125" style="157" bestFit="1" customWidth="1"/>
    <col min="13338" max="13573" width="8.83203125" style="157"/>
    <col min="13574" max="13574" width="38.1640625" style="157" customWidth="1"/>
    <col min="13575" max="13575" width="23.44140625" style="157" bestFit="1" customWidth="1"/>
    <col min="13576" max="13577" width="9.1640625" style="157" customWidth="1"/>
    <col min="13578" max="13578" width="11.1640625" style="157" bestFit="1" customWidth="1"/>
    <col min="13579" max="13579" width="14.44140625" style="157" bestFit="1" customWidth="1"/>
    <col min="13580" max="13580" width="8.1640625" style="157" customWidth="1"/>
    <col min="13581" max="13581" width="10.83203125" style="157" bestFit="1" customWidth="1"/>
    <col min="13582" max="13582" width="12.1640625" style="157" bestFit="1" customWidth="1"/>
    <col min="13583" max="13583" width="9.1640625" style="157" customWidth="1"/>
    <col min="13584" max="13584" width="10.83203125" style="157" bestFit="1" customWidth="1"/>
    <col min="13585" max="13585" width="12.1640625" style="157" bestFit="1" customWidth="1"/>
    <col min="13586" max="13586" width="8" style="157" customWidth="1"/>
    <col min="13587" max="13587" width="10.83203125" style="157" bestFit="1" customWidth="1"/>
    <col min="13588" max="13588" width="12.1640625" style="157" bestFit="1" customWidth="1"/>
    <col min="13589" max="13589" width="8.1640625" style="157" bestFit="1" customWidth="1"/>
    <col min="13590" max="13590" width="10.83203125" style="157" bestFit="1" customWidth="1"/>
    <col min="13591" max="13591" width="12.1640625" style="157" bestFit="1" customWidth="1"/>
    <col min="13592" max="13592" width="18.1640625" style="157" bestFit="1" customWidth="1"/>
    <col min="13593" max="13593" width="10.83203125" style="157" bestFit="1" customWidth="1"/>
    <col min="13594" max="13829" width="8.83203125" style="157"/>
    <col min="13830" max="13830" width="38.1640625" style="157" customWidth="1"/>
    <col min="13831" max="13831" width="23.44140625" style="157" bestFit="1" customWidth="1"/>
    <col min="13832" max="13833" width="9.1640625" style="157" customWidth="1"/>
    <col min="13834" max="13834" width="11.1640625" style="157" bestFit="1" customWidth="1"/>
    <col min="13835" max="13835" width="14.44140625" style="157" bestFit="1" customWidth="1"/>
    <col min="13836" max="13836" width="8.1640625" style="157" customWidth="1"/>
    <col min="13837" max="13837" width="10.83203125" style="157" bestFit="1" customWidth="1"/>
    <col min="13838" max="13838" width="12.1640625" style="157" bestFit="1" customWidth="1"/>
    <col min="13839" max="13839" width="9.1640625" style="157" customWidth="1"/>
    <col min="13840" max="13840" width="10.83203125" style="157" bestFit="1" customWidth="1"/>
    <col min="13841" max="13841" width="12.1640625" style="157" bestFit="1" customWidth="1"/>
    <col min="13842" max="13842" width="8" style="157" customWidth="1"/>
    <col min="13843" max="13843" width="10.83203125" style="157" bestFit="1" customWidth="1"/>
    <col min="13844" max="13844" width="12.1640625" style="157" bestFit="1" customWidth="1"/>
    <col min="13845" max="13845" width="8.1640625" style="157" bestFit="1" customWidth="1"/>
    <col min="13846" max="13846" width="10.83203125" style="157" bestFit="1" customWidth="1"/>
    <col min="13847" max="13847" width="12.1640625" style="157" bestFit="1" customWidth="1"/>
    <col min="13848" max="13848" width="18.1640625" style="157" bestFit="1" customWidth="1"/>
    <col min="13849" max="13849" width="10.83203125" style="157" bestFit="1" customWidth="1"/>
    <col min="13850" max="14085" width="8.83203125" style="157"/>
    <col min="14086" max="14086" width="38.1640625" style="157" customWidth="1"/>
    <col min="14087" max="14087" width="23.44140625" style="157" bestFit="1" customWidth="1"/>
    <col min="14088" max="14089" width="9.1640625" style="157" customWidth="1"/>
    <col min="14090" max="14090" width="11.1640625" style="157" bestFit="1" customWidth="1"/>
    <col min="14091" max="14091" width="14.44140625" style="157" bestFit="1" customWidth="1"/>
    <col min="14092" max="14092" width="8.1640625" style="157" customWidth="1"/>
    <col min="14093" max="14093" width="10.83203125" style="157" bestFit="1" customWidth="1"/>
    <col min="14094" max="14094" width="12.1640625" style="157" bestFit="1" customWidth="1"/>
    <col min="14095" max="14095" width="9.1640625" style="157" customWidth="1"/>
    <col min="14096" max="14096" width="10.83203125" style="157" bestFit="1" customWidth="1"/>
    <col min="14097" max="14097" width="12.1640625" style="157" bestFit="1" customWidth="1"/>
    <col min="14098" max="14098" width="8" style="157" customWidth="1"/>
    <col min="14099" max="14099" width="10.83203125" style="157" bestFit="1" customWidth="1"/>
    <col min="14100" max="14100" width="12.1640625" style="157" bestFit="1" customWidth="1"/>
    <col min="14101" max="14101" width="8.1640625" style="157" bestFit="1" customWidth="1"/>
    <col min="14102" max="14102" width="10.83203125" style="157" bestFit="1" customWidth="1"/>
    <col min="14103" max="14103" width="12.1640625" style="157" bestFit="1" customWidth="1"/>
    <col min="14104" max="14104" width="18.1640625" style="157" bestFit="1" customWidth="1"/>
    <col min="14105" max="14105" width="10.83203125" style="157" bestFit="1" customWidth="1"/>
    <col min="14106" max="14341" width="8.83203125" style="157"/>
    <col min="14342" max="14342" width="38.1640625" style="157" customWidth="1"/>
    <col min="14343" max="14343" width="23.44140625" style="157" bestFit="1" customWidth="1"/>
    <col min="14344" max="14345" width="9.1640625" style="157" customWidth="1"/>
    <col min="14346" max="14346" width="11.1640625" style="157" bestFit="1" customWidth="1"/>
    <col min="14347" max="14347" width="14.44140625" style="157" bestFit="1" customWidth="1"/>
    <col min="14348" max="14348" width="8.1640625" style="157" customWidth="1"/>
    <col min="14349" max="14349" width="10.83203125" style="157" bestFit="1" customWidth="1"/>
    <col min="14350" max="14350" width="12.1640625" style="157" bestFit="1" customWidth="1"/>
    <col min="14351" max="14351" width="9.1640625" style="157" customWidth="1"/>
    <col min="14352" max="14352" width="10.83203125" style="157" bestFit="1" customWidth="1"/>
    <col min="14353" max="14353" width="12.1640625" style="157" bestFit="1" customWidth="1"/>
    <col min="14354" max="14354" width="8" style="157" customWidth="1"/>
    <col min="14355" max="14355" width="10.83203125" style="157" bestFit="1" customWidth="1"/>
    <col min="14356" max="14356" width="12.1640625" style="157" bestFit="1" customWidth="1"/>
    <col min="14357" max="14357" width="8.1640625" style="157" bestFit="1" customWidth="1"/>
    <col min="14358" max="14358" width="10.83203125" style="157" bestFit="1" customWidth="1"/>
    <col min="14359" max="14359" width="12.1640625" style="157" bestFit="1" customWidth="1"/>
    <col min="14360" max="14360" width="18.1640625" style="157" bestFit="1" customWidth="1"/>
    <col min="14361" max="14361" width="10.83203125" style="157" bestFit="1" customWidth="1"/>
    <col min="14362" max="14597" width="8.83203125" style="157"/>
    <col min="14598" max="14598" width="38.1640625" style="157" customWidth="1"/>
    <col min="14599" max="14599" width="23.44140625" style="157" bestFit="1" customWidth="1"/>
    <col min="14600" max="14601" width="9.1640625" style="157" customWidth="1"/>
    <col min="14602" max="14602" width="11.1640625" style="157" bestFit="1" customWidth="1"/>
    <col min="14603" max="14603" width="14.44140625" style="157" bestFit="1" customWidth="1"/>
    <col min="14604" max="14604" width="8.1640625" style="157" customWidth="1"/>
    <col min="14605" max="14605" width="10.83203125" style="157" bestFit="1" customWidth="1"/>
    <col min="14606" max="14606" width="12.1640625" style="157" bestFit="1" customWidth="1"/>
    <col min="14607" max="14607" width="9.1640625" style="157" customWidth="1"/>
    <col min="14608" max="14608" width="10.83203125" style="157" bestFit="1" customWidth="1"/>
    <col min="14609" max="14609" width="12.1640625" style="157" bestFit="1" customWidth="1"/>
    <col min="14610" max="14610" width="8" style="157" customWidth="1"/>
    <col min="14611" max="14611" width="10.83203125" style="157" bestFit="1" customWidth="1"/>
    <col min="14612" max="14612" width="12.1640625" style="157" bestFit="1" customWidth="1"/>
    <col min="14613" max="14613" width="8.1640625" style="157" bestFit="1" customWidth="1"/>
    <col min="14614" max="14614" width="10.83203125" style="157" bestFit="1" customWidth="1"/>
    <col min="14615" max="14615" width="12.1640625" style="157" bestFit="1" customWidth="1"/>
    <col min="14616" max="14616" width="18.1640625" style="157" bestFit="1" customWidth="1"/>
    <col min="14617" max="14617" width="10.83203125" style="157" bestFit="1" customWidth="1"/>
    <col min="14618" max="14853" width="8.83203125" style="157"/>
    <col min="14854" max="14854" width="38.1640625" style="157" customWidth="1"/>
    <col min="14855" max="14855" width="23.44140625" style="157" bestFit="1" customWidth="1"/>
    <col min="14856" max="14857" width="9.1640625" style="157" customWidth="1"/>
    <col min="14858" max="14858" width="11.1640625" style="157" bestFit="1" customWidth="1"/>
    <col min="14859" max="14859" width="14.44140625" style="157" bestFit="1" customWidth="1"/>
    <col min="14860" max="14860" width="8.1640625" style="157" customWidth="1"/>
    <col min="14861" max="14861" width="10.83203125" style="157" bestFit="1" customWidth="1"/>
    <col min="14862" max="14862" width="12.1640625" style="157" bestFit="1" customWidth="1"/>
    <col min="14863" max="14863" width="9.1640625" style="157" customWidth="1"/>
    <col min="14864" max="14864" width="10.83203125" style="157" bestFit="1" customWidth="1"/>
    <col min="14865" max="14865" width="12.1640625" style="157" bestFit="1" customWidth="1"/>
    <col min="14866" max="14866" width="8" style="157" customWidth="1"/>
    <col min="14867" max="14867" width="10.83203125" style="157" bestFit="1" customWidth="1"/>
    <col min="14868" max="14868" width="12.1640625" style="157" bestFit="1" customWidth="1"/>
    <col min="14869" max="14869" width="8.1640625" style="157" bestFit="1" customWidth="1"/>
    <col min="14870" max="14870" width="10.83203125" style="157" bestFit="1" customWidth="1"/>
    <col min="14871" max="14871" width="12.1640625" style="157" bestFit="1" customWidth="1"/>
    <col min="14872" max="14872" width="18.1640625" style="157" bestFit="1" customWidth="1"/>
    <col min="14873" max="14873" width="10.83203125" style="157" bestFit="1" customWidth="1"/>
    <col min="14874" max="15109" width="8.83203125" style="157"/>
    <col min="15110" max="15110" width="38.1640625" style="157" customWidth="1"/>
    <col min="15111" max="15111" width="23.44140625" style="157" bestFit="1" customWidth="1"/>
    <col min="15112" max="15113" width="9.1640625" style="157" customWidth="1"/>
    <col min="15114" max="15114" width="11.1640625" style="157" bestFit="1" customWidth="1"/>
    <col min="15115" max="15115" width="14.44140625" style="157" bestFit="1" customWidth="1"/>
    <col min="15116" max="15116" width="8.1640625" style="157" customWidth="1"/>
    <col min="15117" max="15117" width="10.83203125" style="157" bestFit="1" customWidth="1"/>
    <col min="15118" max="15118" width="12.1640625" style="157" bestFit="1" customWidth="1"/>
    <col min="15119" max="15119" width="9.1640625" style="157" customWidth="1"/>
    <col min="15120" max="15120" width="10.83203125" style="157" bestFit="1" customWidth="1"/>
    <col min="15121" max="15121" width="12.1640625" style="157" bestFit="1" customWidth="1"/>
    <col min="15122" max="15122" width="8" style="157" customWidth="1"/>
    <col min="15123" max="15123" width="10.83203125" style="157" bestFit="1" customWidth="1"/>
    <col min="15124" max="15124" width="12.1640625" style="157" bestFit="1" customWidth="1"/>
    <col min="15125" max="15125" width="8.1640625" style="157" bestFit="1" customWidth="1"/>
    <col min="15126" max="15126" width="10.83203125" style="157" bestFit="1" customWidth="1"/>
    <col min="15127" max="15127" width="12.1640625" style="157" bestFit="1" customWidth="1"/>
    <col min="15128" max="15128" width="18.1640625" style="157" bestFit="1" customWidth="1"/>
    <col min="15129" max="15129" width="10.83203125" style="157" bestFit="1" customWidth="1"/>
    <col min="15130" max="15365" width="8.83203125" style="157"/>
    <col min="15366" max="15366" width="38.1640625" style="157" customWidth="1"/>
    <col min="15367" max="15367" width="23.44140625" style="157" bestFit="1" customWidth="1"/>
    <col min="15368" max="15369" width="9.1640625" style="157" customWidth="1"/>
    <col min="15370" max="15370" width="11.1640625" style="157" bestFit="1" customWidth="1"/>
    <col min="15371" max="15371" width="14.44140625" style="157" bestFit="1" customWidth="1"/>
    <col min="15372" max="15372" width="8.1640625" style="157" customWidth="1"/>
    <col min="15373" max="15373" width="10.83203125" style="157" bestFit="1" customWidth="1"/>
    <col min="15374" max="15374" width="12.1640625" style="157" bestFit="1" customWidth="1"/>
    <col min="15375" max="15375" width="9.1640625" style="157" customWidth="1"/>
    <col min="15376" max="15376" width="10.83203125" style="157" bestFit="1" customWidth="1"/>
    <col min="15377" max="15377" width="12.1640625" style="157" bestFit="1" customWidth="1"/>
    <col min="15378" max="15378" width="8" style="157" customWidth="1"/>
    <col min="15379" max="15379" width="10.83203125" style="157" bestFit="1" customWidth="1"/>
    <col min="15380" max="15380" width="12.1640625" style="157" bestFit="1" customWidth="1"/>
    <col min="15381" max="15381" width="8.1640625" style="157" bestFit="1" customWidth="1"/>
    <col min="15382" max="15382" width="10.83203125" style="157" bestFit="1" customWidth="1"/>
    <col min="15383" max="15383" width="12.1640625" style="157" bestFit="1" customWidth="1"/>
    <col min="15384" max="15384" width="18.1640625" style="157" bestFit="1" customWidth="1"/>
    <col min="15385" max="15385" width="10.83203125" style="157" bestFit="1" customWidth="1"/>
    <col min="15386" max="15621" width="8.83203125" style="157"/>
    <col min="15622" max="15622" width="38.1640625" style="157" customWidth="1"/>
    <col min="15623" max="15623" width="23.44140625" style="157" bestFit="1" customWidth="1"/>
    <col min="15624" max="15625" width="9.1640625" style="157" customWidth="1"/>
    <col min="15626" max="15626" width="11.1640625" style="157" bestFit="1" customWidth="1"/>
    <col min="15627" max="15627" width="14.44140625" style="157" bestFit="1" customWidth="1"/>
    <col min="15628" max="15628" width="8.1640625" style="157" customWidth="1"/>
    <col min="15629" max="15629" width="10.83203125" style="157" bestFit="1" customWidth="1"/>
    <col min="15630" max="15630" width="12.1640625" style="157" bestFit="1" customWidth="1"/>
    <col min="15631" max="15631" width="9.1640625" style="157" customWidth="1"/>
    <col min="15632" max="15632" width="10.83203125" style="157" bestFit="1" customWidth="1"/>
    <col min="15633" max="15633" width="12.1640625" style="157" bestFit="1" customWidth="1"/>
    <col min="15634" max="15634" width="8" style="157" customWidth="1"/>
    <col min="15635" max="15635" width="10.83203125" style="157" bestFit="1" customWidth="1"/>
    <col min="15636" max="15636" width="12.1640625" style="157" bestFit="1" customWidth="1"/>
    <col min="15637" max="15637" width="8.1640625" style="157" bestFit="1" customWidth="1"/>
    <col min="15638" max="15638" width="10.83203125" style="157" bestFit="1" customWidth="1"/>
    <col min="15639" max="15639" width="12.1640625" style="157" bestFit="1" customWidth="1"/>
    <col min="15640" max="15640" width="18.1640625" style="157" bestFit="1" customWidth="1"/>
    <col min="15641" max="15641" width="10.83203125" style="157" bestFit="1" customWidth="1"/>
    <col min="15642" max="15877" width="8.83203125" style="157"/>
    <col min="15878" max="15878" width="38.1640625" style="157" customWidth="1"/>
    <col min="15879" max="15879" width="23.44140625" style="157" bestFit="1" customWidth="1"/>
    <col min="15880" max="15881" width="9.1640625" style="157" customWidth="1"/>
    <col min="15882" max="15882" width="11.1640625" style="157" bestFit="1" customWidth="1"/>
    <col min="15883" max="15883" width="14.44140625" style="157" bestFit="1" customWidth="1"/>
    <col min="15884" max="15884" width="8.1640625" style="157" customWidth="1"/>
    <col min="15885" max="15885" width="10.83203125" style="157" bestFit="1" customWidth="1"/>
    <col min="15886" max="15886" width="12.1640625" style="157" bestFit="1" customWidth="1"/>
    <col min="15887" max="15887" width="9.1640625" style="157" customWidth="1"/>
    <col min="15888" max="15888" width="10.83203125" style="157" bestFit="1" customWidth="1"/>
    <col min="15889" max="15889" width="12.1640625" style="157" bestFit="1" customWidth="1"/>
    <col min="15890" max="15890" width="8" style="157" customWidth="1"/>
    <col min="15891" max="15891" width="10.83203125" style="157" bestFit="1" customWidth="1"/>
    <col min="15892" max="15892" width="12.1640625" style="157" bestFit="1" customWidth="1"/>
    <col min="15893" max="15893" width="8.1640625" style="157" bestFit="1" customWidth="1"/>
    <col min="15894" max="15894" width="10.83203125" style="157" bestFit="1" customWidth="1"/>
    <col min="15895" max="15895" width="12.1640625" style="157" bestFit="1" customWidth="1"/>
    <col min="15896" max="15896" width="18.1640625" style="157" bestFit="1" customWidth="1"/>
    <col min="15897" max="15897" width="10.83203125" style="157" bestFit="1" customWidth="1"/>
    <col min="15898" max="16133" width="8.83203125" style="157"/>
    <col min="16134" max="16134" width="38.1640625" style="157" customWidth="1"/>
    <col min="16135" max="16135" width="23.44140625" style="157" bestFit="1" customWidth="1"/>
    <col min="16136" max="16137" width="9.1640625" style="157" customWidth="1"/>
    <col min="16138" max="16138" width="11.1640625" style="157" bestFit="1" customWidth="1"/>
    <col min="16139" max="16139" width="14.44140625" style="157" bestFit="1" customWidth="1"/>
    <col min="16140" max="16140" width="8.1640625" style="157" customWidth="1"/>
    <col min="16141" max="16141" width="10.83203125" style="157" bestFit="1" customWidth="1"/>
    <col min="16142" max="16142" width="12.1640625" style="157" bestFit="1" customWidth="1"/>
    <col min="16143" max="16143" width="9.1640625" style="157" customWidth="1"/>
    <col min="16144" max="16144" width="10.83203125" style="157" bestFit="1" customWidth="1"/>
    <col min="16145" max="16145" width="12.1640625" style="157" bestFit="1" customWidth="1"/>
    <col min="16146" max="16146" width="8" style="157" customWidth="1"/>
    <col min="16147" max="16147" width="10.83203125" style="157" bestFit="1" customWidth="1"/>
    <col min="16148" max="16148" width="12.1640625" style="157" bestFit="1" customWidth="1"/>
    <col min="16149" max="16149" width="8.1640625" style="157" bestFit="1" customWidth="1"/>
    <col min="16150" max="16150" width="10.83203125" style="157" bestFit="1" customWidth="1"/>
    <col min="16151" max="16151" width="12.1640625" style="157" bestFit="1" customWidth="1"/>
    <col min="16152" max="16152" width="18.1640625" style="157" bestFit="1" customWidth="1"/>
    <col min="16153" max="16153" width="10.83203125" style="157" bestFit="1" customWidth="1"/>
    <col min="16154" max="16384" width="8.83203125" style="157"/>
  </cols>
  <sheetData>
    <row r="1" spans="1:33" ht="14.7" thickBot="1"/>
    <row r="2" spans="1:33" ht="23.5" customHeight="1">
      <c r="A2" s="658" t="s">
        <v>499</v>
      </c>
      <c r="B2" s="652" t="s">
        <v>500</v>
      </c>
      <c r="C2" s="660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48" t="s">
        <v>502</v>
      </c>
      <c r="AB2" s="163"/>
    </row>
    <row r="3" spans="1:33" ht="47.95" customHeight="1">
      <c r="A3" s="659"/>
      <c r="B3" s="653"/>
      <c r="C3" s="662"/>
      <c r="D3" s="164" t="s">
        <v>503</v>
      </c>
      <c r="E3" s="165" t="s">
        <v>504</v>
      </c>
      <c r="F3" s="167" t="s">
        <v>505</v>
      </c>
      <c r="G3" s="168" t="s">
        <v>502</v>
      </c>
      <c r="H3" s="164" t="s">
        <v>503</v>
      </c>
      <c r="I3" s="165" t="s">
        <v>504</v>
      </c>
      <c r="J3" s="166" t="s">
        <v>505</v>
      </c>
      <c r="K3" s="168" t="s">
        <v>502</v>
      </c>
      <c r="L3" s="164" t="s">
        <v>503</v>
      </c>
      <c r="M3" s="165" t="s">
        <v>504</v>
      </c>
      <c r="N3" s="167" t="s">
        <v>505</v>
      </c>
      <c r="O3" s="168" t="s">
        <v>502</v>
      </c>
      <c r="P3" s="164" t="s">
        <v>503</v>
      </c>
      <c r="Q3" s="165" t="s">
        <v>504</v>
      </c>
      <c r="R3" s="167" t="s">
        <v>505</v>
      </c>
      <c r="S3" s="168" t="s">
        <v>502</v>
      </c>
      <c r="T3" s="649"/>
      <c r="AB3" s="163"/>
      <c r="AC3" s="157" t="s">
        <v>543</v>
      </c>
    </row>
    <row r="4" spans="1:33" ht="20.399999999999999">
      <c r="A4" s="324" t="s">
        <v>506</v>
      </c>
      <c r="B4" s="169"/>
      <c r="C4" s="169"/>
      <c r="D4" s="170"/>
      <c r="E4" s="171"/>
      <c r="F4" s="174"/>
      <c r="G4" s="175"/>
      <c r="H4" s="170"/>
      <c r="I4" s="171"/>
      <c r="J4" s="172"/>
      <c r="K4" s="175"/>
      <c r="L4" s="176"/>
      <c r="M4" s="171"/>
      <c r="N4" s="174"/>
      <c r="O4" s="175"/>
      <c r="P4" s="176"/>
      <c r="Q4" s="171"/>
      <c r="R4" s="174"/>
      <c r="S4" s="177"/>
      <c r="T4" s="175"/>
      <c r="AB4" s="178" t="s">
        <v>544</v>
      </c>
      <c r="AC4" s="178" t="s">
        <v>545</v>
      </c>
      <c r="AD4" s="178" t="s">
        <v>546</v>
      </c>
    </row>
    <row r="5" spans="1:33" s="189" customFormat="1" ht="15" customHeight="1" outlineLevel="1">
      <c r="A5" s="179" t="s">
        <v>53</v>
      </c>
      <c r="B5" s="180"/>
      <c r="C5" s="184"/>
      <c r="D5" s="181"/>
      <c r="E5" s="182"/>
      <c r="F5" s="185"/>
      <c r="G5" s="186"/>
      <c r="H5" s="181"/>
      <c r="I5" s="182"/>
      <c r="J5" s="183"/>
      <c r="K5" s="186"/>
      <c r="L5" s="181"/>
      <c r="M5" s="182"/>
      <c r="N5" s="185"/>
      <c r="O5" s="186"/>
      <c r="P5" s="181"/>
      <c r="Q5" s="182"/>
      <c r="R5" s="185"/>
      <c r="S5" s="186"/>
      <c r="T5" s="187"/>
      <c r="U5" s="188"/>
      <c r="V5" s="157"/>
      <c r="W5" s="157"/>
      <c r="X5" s="157"/>
      <c r="Y5" s="157"/>
      <c r="Z5" s="157"/>
      <c r="AA5" s="157"/>
      <c r="AB5" s="163"/>
    </row>
    <row r="6" spans="1:33" s="189" customFormat="1" ht="15.6" outlineLevel="1">
      <c r="A6" s="190" t="s">
        <v>507</v>
      </c>
      <c r="B6" s="191"/>
      <c r="C6" s="184"/>
      <c r="D6" s="181"/>
      <c r="E6" s="182"/>
      <c r="F6" s="185"/>
      <c r="G6" s="186"/>
      <c r="H6" s="181"/>
      <c r="I6" s="182"/>
      <c r="J6" s="183"/>
      <c r="K6" s="186"/>
      <c r="L6" s="181"/>
      <c r="M6" s="182"/>
      <c r="N6" s="185"/>
      <c r="O6" s="186"/>
      <c r="P6" s="181"/>
      <c r="Q6" s="182"/>
      <c r="R6" s="185"/>
      <c r="S6" s="186"/>
      <c r="T6" s="332"/>
      <c r="U6" s="192"/>
      <c r="V6" s="157"/>
      <c r="W6" s="157"/>
      <c r="X6" s="157"/>
      <c r="Y6" s="157"/>
      <c r="Z6" s="157"/>
      <c r="AA6" s="157"/>
      <c r="AB6" s="163"/>
    </row>
    <row r="7" spans="1:33" ht="15" customHeight="1" outlineLevel="1">
      <c r="A7" s="193" t="str">
        <f>'Program Budget'!D447</f>
        <v>Key Personnel: Chief of Party</v>
      </c>
      <c r="B7" s="194" t="str">
        <f>'Program Budget'!F447</f>
        <v>Month</v>
      </c>
      <c r="C7" s="198">
        <f>'Program Budget'!E447</f>
        <v>16752</v>
      </c>
      <c r="D7" s="195">
        <f>'Program Budget'!G447</f>
        <v>14250</v>
      </c>
      <c r="E7" s="196">
        <f>'Program Budget'!I447</f>
        <v>12</v>
      </c>
      <c r="F7" s="199">
        <f>'Program Budget'!H447</f>
        <v>0.2</v>
      </c>
      <c r="G7" s="198">
        <f>D7*E7*F7</f>
        <v>34200</v>
      </c>
      <c r="H7" s="195">
        <f>D7*1.05</f>
        <v>14962.5</v>
      </c>
      <c r="I7" s="196">
        <f>'Program Budget'!L447</f>
        <v>12</v>
      </c>
      <c r="J7" s="199">
        <f>'Program Budget'!K447</f>
        <v>0.19</v>
      </c>
      <c r="K7" s="198">
        <f>H7*I7*J7</f>
        <v>34114.5</v>
      </c>
      <c r="L7" s="195">
        <f>H7*1.05</f>
        <v>15710.625</v>
      </c>
      <c r="M7" s="196">
        <f>'Program Budget'!O447</f>
        <v>12</v>
      </c>
      <c r="N7" s="199">
        <f>'Program Budget'!N447</f>
        <v>0.19</v>
      </c>
      <c r="O7" s="198">
        <f>L7*M7*N7</f>
        <v>35820.224999999999</v>
      </c>
      <c r="P7" s="195">
        <f>L7*1.05</f>
        <v>16496.15625</v>
      </c>
      <c r="Q7" s="196">
        <f>'Program Budget'!R447</f>
        <v>0</v>
      </c>
      <c r="R7" s="199">
        <f>'Program Budget'!Q447</f>
        <v>0.19</v>
      </c>
      <c r="S7" s="198">
        <f>P7*Q7*R7</f>
        <v>0</v>
      </c>
      <c r="T7" s="335">
        <f>C7+G7+K7+O7+S7</f>
        <v>120886.72500000001</v>
      </c>
      <c r="U7" s="201"/>
      <c r="V7" s="188"/>
      <c r="W7" s="202"/>
      <c r="X7" s="202"/>
      <c r="AB7" s="163">
        <v>180</v>
      </c>
      <c r="AC7" s="203" t="s">
        <v>547</v>
      </c>
      <c r="AD7" s="203" t="s">
        <v>548</v>
      </c>
      <c r="AE7" s="204"/>
      <c r="AG7" s="205"/>
    </row>
    <row r="8" spans="1:33" ht="15" customHeight="1" outlineLevel="1">
      <c r="A8" s="208" t="s">
        <v>508</v>
      </c>
      <c r="B8" s="209"/>
      <c r="C8" s="213">
        <f>SUM(C7:C7)</f>
        <v>16752</v>
      </c>
      <c r="D8" s="210"/>
      <c r="E8" s="211"/>
      <c r="F8" s="214"/>
      <c r="G8" s="213">
        <f>SUM(G7:G7)</f>
        <v>34200</v>
      </c>
      <c r="H8" s="210"/>
      <c r="I8" s="211"/>
      <c r="J8" s="212"/>
      <c r="K8" s="213">
        <f>SUM(K7:K7)</f>
        <v>34114.5</v>
      </c>
      <c r="L8" s="210"/>
      <c r="M8" s="211"/>
      <c r="N8" s="214"/>
      <c r="O8" s="213">
        <f>SUM(O7:O7)</f>
        <v>35820.224999999999</v>
      </c>
      <c r="P8" s="210"/>
      <c r="Q8" s="211"/>
      <c r="R8" s="214"/>
      <c r="S8" s="213">
        <f>SUM(S7:S7)</f>
        <v>0</v>
      </c>
      <c r="T8" s="334">
        <f>+C8+G8+K8+O8+S8</f>
        <v>120886.72500000001</v>
      </c>
      <c r="AB8" s="163"/>
      <c r="AC8" s="203"/>
      <c r="AD8" s="203" t="s">
        <v>549</v>
      </c>
    </row>
    <row r="9" spans="1:33" ht="15" customHeight="1" outlineLevel="1">
      <c r="A9" s="190" t="s">
        <v>576</v>
      </c>
      <c r="B9" s="216"/>
      <c r="C9" s="198"/>
      <c r="D9" s="217"/>
      <c r="E9" s="218"/>
      <c r="F9" s="220"/>
      <c r="G9" s="200"/>
      <c r="H9" s="217"/>
      <c r="I9" s="218"/>
      <c r="J9" s="219"/>
      <c r="K9" s="200"/>
      <c r="L9" s="217"/>
      <c r="M9" s="218"/>
      <c r="N9" s="220"/>
      <c r="O9" s="200"/>
      <c r="P9" s="217"/>
      <c r="Q9" s="218"/>
      <c r="R9" s="220"/>
      <c r="S9" s="200"/>
      <c r="T9" s="350"/>
      <c r="U9" s="192"/>
      <c r="AB9" s="163"/>
      <c r="AC9" s="203"/>
      <c r="AD9" s="203" t="s">
        <v>549</v>
      </c>
      <c r="AG9" s="205"/>
    </row>
    <row r="10" spans="1:33" ht="15" customHeight="1" outlineLevel="1">
      <c r="A10" s="193" t="str">
        <f>'Program Budget'!D448</f>
        <v>Deputy Chief of Party / Value Chain Strengthening Director</v>
      </c>
      <c r="B10" s="194" t="str">
        <f>'Program Budget'!F448</f>
        <v>Month</v>
      </c>
      <c r="C10" s="198">
        <f>'Program Budget'!E448</f>
        <v>0</v>
      </c>
      <c r="D10" s="195">
        <f>'Program Budget'!G448</f>
        <v>5000</v>
      </c>
      <c r="E10" s="196">
        <f>'Program Budget'!I448</f>
        <v>12</v>
      </c>
      <c r="F10" s="199">
        <f>'Program Budget'!H448</f>
        <v>0.15</v>
      </c>
      <c r="G10" s="198">
        <f>D10*E10*F10</f>
        <v>9000</v>
      </c>
      <c r="H10" s="195">
        <f>D10*1.05</f>
        <v>5250</v>
      </c>
      <c r="I10" s="196">
        <f>'Program Budget'!L448</f>
        <v>12</v>
      </c>
      <c r="J10" s="199">
        <f>'Program Budget'!K448</f>
        <v>0.15</v>
      </c>
      <c r="K10" s="198">
        <f>H10*I10*J10</f>
        <v>9450</v>
      </c>
      <c r="L10" s="195">
        <f>H10*1.05</f>
        <v>5512.5</v>
      </c>
      <c r="M10" s="196">
        <f>'Program Budget'!O448</f>
        <v>12</v>
      </c>
      <c r="N10" s="199">
        <f>'Program Budget'!N448</f>
        <v>0.15</v>
      </c>
      <c r="O10" s="198">
        <f>L10*M10*N10</f>
        <v>9922.5</v>
      </c>
      <c r="P10" s="195">
        <f>L10*1.05</f>
        <v>5788.125</v>
      </c>
      <c r="Q10" s="196">
        <f>'Program Budget'!R448</f>
        <v>6</v>
      </c>
      <c r="R10" s="199">
        <f>'Program Budget'!Q448</f>
        <v>0.15</v>
      </c>
      <c r="S10" s="198">
        <f>P10*Q10*R10</f>
        <v>5209.3125</v>
      </c>
      <c r="T10" s="333">
        <f>C10+G10+K10+O10+S10</f>
        <v>33581.8125</v>
      </c>
      <c r="U10" s="201"/>
      <c r="V10" s="188"/>
      <c r="W10" s="202"/>
      <c r="X10" s="202"/>
      <c r="AB10" s="163">
        <v>180</v>
      </c>
      <c r="AC10" s="203" t="s">
        <v>547</v>
      </c>
      <c r="AD10" s="203" t="s">
        <v>548</v>
      </c>
      <c r="AE10" s="204"/>
      <c r="AG10" s="205"/>
    </row>
    <row r="11" spans="1:33" ht="15" customHeight="1" outlineLevel="1">
      <c r="A11" s="193" t="str">
        <f>'Program Budget'!D449</f>
        <v>Key Personnel: Technical Director</v>
      </c>
      <c r="B11" s="194" t="str">
        <f>'Program Budget'!F449</f>
        <v>Month</v>
      </c>
      <c r="C11" s="198">
        <f>'Program Budget'!E449</f>
        <v>0</v>
      </c>
      <c r="D11" s="195">
        <f>'Program Budget'!G449</f>
        <v>4583.333333333333</v>
      </c>
      <c r="E11" s="196">
        <f>'Program Budget'!I449</f>
        <v>12</v>
      </c>
      <c r="F11" s="199">
        <f>'Program Budget'!H449</f>
        <v>0.15</v>
      </c>
      <c r="G11" s="198">
        <f t="shared" ref="G11:G38" si="0">D11*E11*F11</f>
        <v>8250</v>
      </c>
      <c r="H11" s="195">
        <f t="shared" ref="H11:H38" si="1">D11*1.05</f>
        <v>4812.5</v>
      </c>
      <c r="I11" s="196">
        <f>'Program Budget'!L449</f>
        <v>12</v>
      </c>
      <c r="J11" s="199">
        <f>'Program Budget'!K449</f>
        <v>0.05</v>
      </c>
      <c r="K11" s="198">
        <f t="shared" ref="K11:K38" si="2">H11*I11*J11</f>
        <v>2887.5</v>
      </c>
      <c r="L11" s="195">
        <f t="shared" ref="L11:L38" si="3">H11*1.05</f>
        <v>5053.125</v>
      </c>
      <c r="M11" s="196">
        <f>'Program Budget'!O449</f>
        <v>12</v>
      </c>
      <c r="N11" s="199">
        <f>'Program Budget'!N449</f>
        <v>0.05</v>
      </c>
      <c r="O11" s="198">
        <f t="shared" ref="O11:O38" si="4">L11*M11*N11</f>
        <v>3031.875</v>
      </c>
      <c r="P11" s="195">
        <f t="shared" ref="P11:P38" si="5">L11*1.05</f>
        <v>5305.78125</v>
      </c>
      <c r="Q11" s="196">
        <f>'Program Budget'!R449</f>
        <v>5</v>
      </c>
      <c r="R11" s="199">
        <f>'Program Budget'!Q449</f>
        <v>0.05</v>
      </c>
      <c r="S11" s="198">
        <f t="shared" ref="S11:S38" si="6">P11*Q11*R11</f>
        <v>1326.4453125</v>
      </c>
      <c r="T11" s="333">
        <f t="shared" ref="T11:T38" si="7">C11+G11+K11+O11+S11</f>
        <v>15495.8203125</v>
      </c>
      <c r="U11" s="201"/>
      <c r="V11" s="188"/>
      <c r="W11" s="202"/>
      <c r="X11" s="202"/>
      <c r="AB11" s="163">
        <v>180</v>
      </c>
      <c r="AC11" s="203" t="s">
        <v>547</v>
      </c>
      <c r="AD11" s="203" t="s">
        <v>548</v>
      </c>
      <c r="AE11" s="204"/>
      <c r="AG11" s="205"/>
    </row>
    <row r="12" spans="1:33" ht="15" customHeight="1" outlineLevel="1">
      <c r="A12" s="193" t="str">
        <f>'Program Budget'!D450</f>
        <v>Activity Lead Agribusiness Senior Specialist (Cacao)</v>
      </c>
      <c r="B12" s="194" t="str">
        <f>'Program Budget'!F450</f>
        <v>Month</v>
      </c>
      <c r="C12" s="198">
        <f>'Program Budget'!E450</f>
        <v>0</v>
      </c>
      <c r="D12" s="195">
        <f>'Program Budget'!G450</f>
        <v>2833.3333333333335</v>
      </c>
      <c r="E12" s="196">
        <f>'Program Budget'!I450</f>
        <v>12</v>
      </c>
      <c r="F12" s="199">
        <f>'Program Budget'!H450</f>
        <v>0.2</v>
      </c>
      <c r="G12" s="198">
        <f t="shared" si="0"/>
        <v>6800</v>
      </c>
      <c r="H12" s="195">
        <f t="shared" si="1"/>
        <v>2975.0000000000005</v>
      </c>
      <c r="I12" s="196">
        <f>'Program Budget'!L450</f>
        <v>12</v>
      </c>
      <c r="J12" s="199">
        <f>'Program Budget'!K450</f>
        <v>0</v>
      </c>
      <c r="K12" s="198">
        <f t="shared" si="2"/>
        <v>0</v>
      </c>
      <c r="L12" s="195">
        <f t="shared" si="3"/>
        <v>3123.7500000000005</v>
      </c>
      <c r="M12" s="196">
        <f>'Program Budget'!O450</f>
        <v>12</v>
      </c>
      <c r="N12" s="199">
        <f>'Program Budget'!N450</f>
        <v>0</v>
      </c>
      <c r="O12" s="198">
        <f t="shared" si="4"/>
        <v>0</v>
      </c>
      <c r="P12" s="195">
        <f t="shared" si="5"/>
        <v>3279.9375000000005</v>
      </c>
      <c r="Q12" s="196">
        <f>'Program Budget'!R450</f>
        <v>2</v>
      </c>
      <c r="R12" s="199">
        <f>'Program Budget'!Q450</f>
        <v>0</v>
      </c>
      <c r="S12" s="198">
        <f t="shared" si="6"/>
        <v>0</v>
      </c>
      <c r="T12" s="333">
        <f t="shared" si="7"/>
        <v>6800</v>
      </c>
      <c r="U12" s="201"/>
      <c r="V12" s="188"/>
      <c r="W12" s="202"/>
      <c r="X12" s="202"/>
      <c r="AB12" s="163">
        <v>180</v>
      </c>
      <c r="AC12" s="203" t="s">
        <v>547</v>
      </c>
      <c r="AD12" s="203" t="s">
        <v>548</v>
      </c>
      <c r="AE12" s="204"/>
      <c r="AG12" s="205"/>
    </row>
    <row r="13" spans="1:33" ht="15" customHeight="1" outlineLevel="1">
      <c r="A13" s="193" t="str">
        <f>'Program Budget'!D451</f>
        <v>Cacao Field Officer</v>
      </c>
      <c r="B13" s="194" t="str">
        <f>'Program Budget'!F451</f>
        <v>Month</v>
      </c>
      <c r="C13" s="198">
        <f>'Program Budget'!E451</f>
        <v>0</v>
      </c>
      <c r="D13" s="195">
        <f>'Program Budget'!G451</f>
        <v>1333.3333333333333</v>
      </c>
      <c r="E13" s="196">
        <f>'Program Budget'!I451</f>
        <v>12</v>
      </c>
      <c r="F13" s="199">
        <f>'Program Budget'!H451</f>
        <v>0</v>
      </c>
      <c r="G13" s="198">
        <f t="shared" si="0"/>
        <v>0</v>
      </c>
      <c r="H13" s="195">
        <f t="shared" si="1"/>
        <v>1400</v>
      </c>
      <c r="I13" s="196">
        <f>'Program Budget'!L451</f>
        <v>12</v>
      </c>
      <c r="J13" s="199">
        <f>'Program Budget'!K451</f>
        <v>0</v>
      </c>
      <c r="K13" s="198">
        <f t="shared" si="2"/>
        <v>0</v>
      </c>
      <c r="L13" s="195">
        <f t="shared" si="3"/>
        <v>1470</v>
      </c>
      <c r="M13" s="196">
        <f>'Program Budget'!O451</f>
        <v>12</v>
      </c>
      <c r="N13" s="199">
        <f>'Program Budget'!N451</f>
        <v>0</v>
      </c>
      <c r="O13" s="198">
        <f t="shared" si="4"/>
        <v>0</v>
      </c>
      <c r="P13" s="195">
        <f t="shared" si="5"/>
        <v>1543.5</v>
      </c>
      <c r="Q13" s="196">
        <f>'Program Budget'!R451</f>
        <v>0</v>
      </c>
      <c r="R13" s="199">
        <f>'Program Budget'!Q451</f>
        <v>0</v>
      </c>
      <c r="S13" s="198">
        <f t="shared" si="6"/>
        <v>0</v>
      </c>
      <c r="T13" s="333">
        <f t="shared" si="7"/>
        <v>0</v>
      </c>
      <c r="U13" s="201"/>
      <c r="V13" s="188"/>
      <c r="W13" s="202"/>
      <c r="X13" s="202"/>
      <c r="AB13" s="163"/>
      <c r="AC13" s="203"/>
      <c r="AD13" s="203"/>
      <c r="AE13" s="204"/>
      <c r="AG13" s="205"/>
    </row>
    <row r="14" spans="1:33" ht="15" customHeight="1" outlineLevel="1">
      <c r="A14" s="193" t="str">
        <f>'Program Budget'!D452</f>
        <v>Cacao &amp; Complementary Crop Technical Field Leader (2)</v>
      </c>
      <c r="B14" s="194" t="str">
        <f>'Program Budget'!F452</f>
        <v>Month</v>
      </c>
      <c r="C14" s="198">
        <f>'Program Budget'!E452</f>
        <v>0</v>
      </c>
      <c r="D14" s="195">
        <f>'Program Budget'!G452</f>
        <v>3500</v>
      </c>
      <c r="E14" s="196">
        <f>'Program Budget'!I452</f>
        <v>6</v>
      </c>
      <c r="F14" s="199">
        <f>'Program Budget'!H452</f>
        <v>0</v>
      </c>
      <c r="G14" s="198">
        <f t="shared" si="0"/>
        <v>0</v>
      </c>
      <c r="H14" s="195">
        <f t="shared" si="1"/>
        <v>3675</v>
      </c>
      <c r="I14" s="196">
        <f>'Program Budget'!L452</f>
        <v>12</v>
      </c>
      <c r="J14" s="199">
        <f>'Program Budget'!K452</f>
        <v>0</v>
      </c>
      <c r="K14" s="198">
        <f t="shared" si="2"/>
        <v>0</v>
      </c>
      <c r="L14" s="195">
        <f t="shared" si="3"/>
        <v>3858.75</v>
      </c>
      <c r="M14" s="196">
        <f>'Program Budget'!O452</f>
        <v>12</v>
      </c>
      <c r="N14" s="199">
        <f>'Program Budget'!N452</f>
        <v>0</v>
      </c>
      <c r="O14" s="198">
        <f t="shared" si="4"/>
        <v>0</v>
      </c>
      <c r="P14" s="195">
        <f t="shared" si="5"/>
        <v>4051.6875</v>
      </c>
      <c r="Q14" s="196">
        <f>'Program Budget'!R452</f>
        <v>0</v>
      </c>
      <c r="R14" s="199">
        <f>'Program Budget'!Q452</f>
        <v>0</v>
      </c>
      <c r="S14" s="198">
        <f t="shared" si="6"/>
        <v>0</v>
      </c>
      <c r="T14" s="333">
        <f t="shared" si="7"/>
        <v>0</v>
      </c>
      <c r="U14" s="201"/>
      <c r="V14" s="188"/>
      <c r="W14" s="202"/>
      <c r="X14" s="202"/>
      <c r="AB14" s="163"/>
      <c r="AC14" s="203"/>
      <c r="AD14" s="203"/>
      <c r="AE14" s="204"/>
      <c r="AG14" s="205"/>
    </row>
    <row r="15" spans="1:33" ht="15" customHeight="1" outlineLevel="1">
      <c r="A15" s="193" t="str">
        <f>'Program Budget'!D453</f>
        <v>Extension Agents (45 in Y5 and 25 in Y6)</v>
      </c>
      <c r="B15" s="194" t="str">
        <f>'Program Budget'!F453</f>
        <v>Month</v>
      </c>
      <c r="C15" s="198">
        <f>'Program Budget'!E453</f>
        <v>0</v>
      </c>
      <c r="D15" s="195">
        <f>'Program Budget'!G453</f>
        <v>1000</v>
      </c>
      <c r="E15" s="196">
        <f>'Program Budget'!I453</f>
        <v>12</v>
      </c>
      <c r="F15" s="199">
        <f>'Program Budget'!H453</f>
        <v>0</v>
      </c>
      <c r="G15" s="198">
        <f t="shared" si="0"/>
        <v>0</v>
      </c>
      <c r="H15" s="195">
        <f t="shared" si="1"/>
        <v>1050</v>
      </c>
      <c r="I15" s="196">
        <f>'Program Budget'!L453</f>
        <v>12</v>
      </c>
      <c r="J15" s="199">
        <f>'Program Budget'!K453</f>
        <v>0</v>
      </c>
      <c r="K15" s="198">
        <f t="shared" si="2"/>
        <v>0</v>
      </c>
      <c r="L15" s="195">
        <f t="shared" si="3"/>
        <v>1102.5</v>
      </c>
      <c r="M15" s="196">
        <f>'Program Budget'!O453</f>
        <v>0</v>
      </c>
      <c r="N15" s="199">
        <f>'Program Budget'!N453</f>
        <v>0</v>
      </c>
      <c r="O15" s="198">
        <f t="shared" si="4"/>
        <v>0</v>
      </c>
      <c r="P15" s="195">
        <f t="shared" si="5"/>
        <v>1157.625</v>
      </c>
      <c r="Q15" s="196">
        <f>'Program Budget'!R453</f>
        <v>0</v>
      </c>
      <c r="R15" s="199">
        <f>'Program Budget'!Q453</f>
        <v>0</v>
      </c>
      <c r="S15" s="198">
        <f t="shared" si="6"/>
        <v>0</v>
      </c>
      <c r="T15" s="333">
        <f t="shared" si="7"/>
        <v>0</v>
      </c>
      <c r="U15" s="201"/>
      <c r="V15" s="188"/>
      <c r="W15" s="202"/>
      <c r="X15" s="202"/>
      <c r="AB15" s="163"/>
      <c r="AC15" s="203"/>
      <c r="AD15" s="203"/>
      <c r="AE15" s="204"/>
      <c r="AG15" s="205"/>
    </row>
    <row r="16" spans="1:33" ht="15" customHeight="1" outlineLevel="1">
      <c r="A16" s="193" t="str">
        <f>'Program Budget'!D454</f>
        <v>Activity Lead Agribusiness Senior Specialist (Complementary Crop)</v>
      </c>
      <c r="B16" s="194" t="str">
        <f>'Program Budget'!F454</f>
        <v>Month</v>
      </c>
      <c r="C16" s="198">
        <f>'Program Budget'!E454</f>
        <v>24070.92</v>
      </c>
      <c r="D16" s="195">
        <f>'Program Budget'!G454</f>
        <v>2833.3333333333335</v>
      </c>
      <c r="E16" s="196">
        <f>'Program Budget'!I454</f>
        <v>12</v>
      </c>
      <c r="F16" s="199">
        <f>'Program Budget'!H454</f>
        <v>0</v>
      </c>
      <c r="G16" s="198">
        <f t="shared" si="0"/>
        <v>0</v>
      </c>
      <c r="H16" s="195">
        <f t="shared" si="1"/>
        <v>2975.0000000000005</v>
      </c>
      <c r="I16" s="196">
        <f>'Program Budget'!L454</f>
        <v>12</v>
      </c>
      <c r="J16" s="199">
        <f>'Program Budget'!K454</f>
        <v>0</v>
      </c>
      <c r="K16" s="198">
        <f t="shared" si="2"/>
        <v>0</v>
      </c>
      <c r="L16" s="195">
        <f t="shared" si="3"/>
        <v>3123.7500000000005</v>
      </c>
      <c r="M16" s="196">
        <f>'Program Budget'!O454</f>
        <v>12</v>
      </c>
      <c r="N16" s="199">
        <f>'Program Budget'!N454</f>
        <v>0</v>
      </c>
      <c r="O16" s="198">
        <f t="shared" si="4"/>
        <v>0</v>
      </c>
      <c r="P16" s="195">
        <f t="shared" si="5"/>
        <v>3279.9375000000005</v>
      </c>
      <c r="Q16" s="196">
        <f>'Program Budget'!R454</f>
        <v>0</v>
      </c>
      <c r="R16" s="199">
        <f>'Program Budget'!Q454</f>
        <v>0</v>
      </c>
      <c r="S16" s="198">
        <f t="shared" si="6"/>
        <v>0</v>
      </c>
      <c r="T16" s="333">
        <f t="shared" si="7"/>
        <v>24070.92</v>
      </c>
      <c r="U16" s="201"/>
      <c r="V16" s="188"/>
      <c r="W16" s="202"/>
      <c r="X16" s="202"/>
      <c r="AB16" s="163"/>
      <c r="AC16" s="203"/>
      <c r="AD16" s="203"/>
      <c r="AE16" s="204"/>
      <c r="AG16" s="205"/>
    </row>
    <row r="17" spans="1:33" ht="15" customHeight="1" outlineLevel="1">
      <c r="A17" s="193" t="str">
        <f>'Program Budget'!D455</f>
        <v>Complementary Crops Field Officer</v>
      </c>
      <c r="B17" s="194" t="str">
        <f>'Program Budget'!F455</f>
        <v>Month</v>
      </c>
      <c r="C17" s="198">
        <f>'Program Budget'!E455</f>
        <v>0</v>
      </c>
      <c r="D17" s="195">
        <f>'Program Budget'!G455</f>
        <v>0</v>
      </c>
      <c r="E17" s="196">
        <f>'Program Budget'!I455</f>
        <v>0</v>
      </c>
      <c r="F17" s="199">
        <f>'Program Budget'!H455</f>
        <v>0</v>
      </c>
      <c r="G17" s="198">
        <f t="shared" si="0"/>
        <v>0</v>
      </c>
      <c r="H17" s="195">
        <f t="shared" si="1"/>
        <v>0</v>
      </c>
      <c r="I17" s="196">
        <f>'Program Budget'!L455</f>
        <v>12</v>
      </c>
      <c r="J17" s="199">
        <f>'Program Budget'!K455</f>
        <v>0</v>
      </c>
      <c r="K17" s="198">
        <f t="shared" si="2"/>
        <v>0</v>
      </c>
      <c r="L17" s="195">
        <f t="shared" si="3"/>
        <v>0</v>
      </c>
      <c r="M17" s="196">
        <f>'Program Budget'!O455</f>
        <v>12</v>
      </c>
      <c r="N17" s="199">
        <f>'Program Budget'!N455</f>
        <v>0</v>
      </c>
      <c r="O17" s="198">
        <f t="shared" si="4"/>
        <v>0</v>
      </c>
      <c r="P17" s="195">
        <f t="shared" si="5"/>
        <v>0</v>
      </c>
      <c r="Q17" s="196">
        <f>'Program Budget'!R455</f>
        <v>0</v>
      </c>
      <c r="R17" s="199">
        <f>'Program Budget'!Q455</f>
        <v>0</v>
      </c>
      <c r="S17" s="198">
        <f t="shared" si="6"/>
        <v>0</v>
      </c>
      <c r="T17" s="333">
        <f t="shared" si="7"/>
        <v>0</v>
      </c>
      <c r="U17" s="201"/>
      <c r="V17" s="188"/>
      <c r="W17" s="202"/>
      <c r="X17" s="202"/>
      <c r="AB17" s="163"/>
      <c r="AC17" s="203"/>
      <c r="AD17" s="203"/>
      <c r="AE17" s="204"/>
      <c r="AG17" s="205"/>
    </row>
    <row r="18" spans="1:33" ht="15" customHeight="1" outlineLevel="1">
      <c r="A18" s="193" t="str">
        <f>'Program Budget'!D456</f>
        <v>EPSEAS Specialist</v>
      </c>
      <c r="B18" s="194" t="str">
        <f>'Program Budget'!F456</f>
        <v>Month</v>
      </c>
      <c r="C18" s="198">
        <f>'Program Budget'!E456</f>
        <v>0</v>
      </c>
      <c r="D18" s="195">
        <f>'Program Budget'!G456</f>
        <v>0</v>
      </c>
      <c r="E18" s="196">
        <f>'Program Budget'!I456</f>
        <v>0</v>
      </c>
      <c r="F18" s="199">
        <f>'Program Budget'!H456</f>
        <v>0</v>
      </c>
      <c r="G18" s="198">
        <f t="shared" si="0"/>
        <v>0</v>
      </c>
      <c r="H18" s="195">
        <f t="shared" si="1"/>
        <v>0</v>
      </c>
      <c r="I18" s="196">
        <f>'Program Budget'!L456</f>
        <v>12</v>
      </c>
      <c r="J18" s="199">
        <f>'Program Budget'!K456</f>
        <v>0</v>
      </c>
      <c r="K18" s="198">
        <f t="shared" si="2"/>
        <v>0</v>
      </c>
      <c r="L18" s="195">
        <f t="shared" si="3"/>
        <v>0</v>
      </c>
      <c r="M18" s="196">
        <f>'Program Budget'!O456</f>
        <v>12</v>
      </c>
      <c r="N18" s="199">
        <f>'Program Budget'!N456</f>
        <v>0</v>
      </c>
      <c r="O18" s="198">
        <f t="shared" si="4"/>
        <v>0</v>
      </c>
      <c r="P18" s="195">
        <f t="shared" si="5"/>
        <v>0</v>
      </c>
      <c r="Q18" s="196">
        <f>'Program Budget'!R456</f>
        <v>0</v>
      </c>
      <c r="R18" s="199">
        <f>'Program Budget'!Q456</f>
        <v>0</v>
      </c>
      <c r="S18" s="198">
        <f t="shared" si="6"/>
        <v>0</v>
      </c>
      <c r="T18" s="333">
        <f t="shared" si="7"/>
        <v>0</v>
      </c>
      <c r="U18" s="201"/>
      <c r="V18" s="188"/>
      <c r="W18" s="202"/>
      <c r="X18" s="202"/>
      <c r="AB18" s="163"/>
      <c r="AC18" s="203"/>
      <c r="AD18" s="203"/>
      <c r="AE18" s="204"/>
      <c r="AG18" s="205"/>
    </row>
    <row r="19" spans="1:33" ht="15" customHeight="1" outlineLevel="1">
      <c r="A19" s="193" t="str">
        <f>'Program Budget'!D457</f>
        <v>Extension Agents for EPSEAS (20 in Y6 and 25 in Y7)</v>
      </c>
      <c r="B19" s="194" t="str">
        <f>'Program Budget'!F457</f>
        <v>Month</v>
      </c>
      <c r="C19" s="198">
        <f>'Program Budget'!E457</f>
        <v>0</v>
      </c>
      <c r="D19" s="195">
        <f>'Program Budget'!G457</f>
        <v>1000</v>
      </c>
      <c r="E19" s="196">
        <f>'Program Budget'!I457</f>
        <v>0</v>
      </c>
      <c r="F19" s="199">
        <f>'Program Budget'!H457</f>
        <v>0</v>
      </c>
      <c r="G19" s="198">
        <f t="shared" si="0"/>
        <v>0</v>
      </c>
      <c r="H19" s="195">
        <f t="shared" si="1"/>
        <v>1050</v>
      </c>
      <c r="I19" s="196">
        <f>'Program Budget'!L457</f>
        <v>12</v>
      </c>
      <c r="J19" s="199">
        <f>'Program Budget'!K457</f>
        <v>0</v>
      </c>
      <c r="K19" s="198">
        <f t="shared" si="2"/>
        <v>0</v>
      </c>
      <c r="L19" s="195">
        <f t="shared" si="3"/>
        <v>1102.5</v>
      </c>
      <c r="M19" s="196">
        <f>'Program Budget'!O457</f>
        <v>12</v>
      </c>
      <c r="N19" s="199">
        <f>'Program Budget'!N457</f>
        <v>0</v>
      </c>
      <c r="O19" s="198">
        <f t="shared" si="4"/>
        <v>0</v>
      </c>
      <c r="P19" s="195">
        <f t="shared" si="5"/>
        <v>1157.625</v>
      </c>
      <c r="Q19" s="196">
        <f>'Program Budget'!R457</f>
        <v>0</v>
      </c>
      <c r="R19" s="199">
        <f>'Program Budget'!Q457</f>
        <v>0</v>
      </c>
      <c r="S19" s="198">
        <f t="shared" si="6"/>
        <v>0</v>
      </c>
      <c r="T19" s="333">
        <f t="shared" si="7"/>
        <v>0</v>
      </c>
      <c r="U19" s="201"/>
      <c r="V19" s="188"/>
      <c r="W19" s="202"/>
      <c r="X19" s="202"/>
      <c r="AB19" s="163"/>
      <c r="AC19" s="203"/>
      <c r="AD19" s="203"/>
      <c r="AE19" s="204"/>
      <c r="AG19" s="205"/>
    </row>
    <row r="20" spans="1:33" ht="15" customHeight="1" outlineLevel="1">
      <c r="A20" s="193" t="str">
        <f>'Program Budget'!D458</f>
        <v xml:space="preserve">Senior M&amp;E Director </v>
      </c>
      <c r="B20" s="194" t="str">
        <f>'Program Budget'!F458</f>
        <v>Month</v>
      </c>
      <c r="C20" s="198">
        <f>'Program Budget'!E458</f>
        <v>11046.99</v>
      </c>
      <c r="D20" s="195">
        <f>'Program Budget'!G458</f>
        <v>6250</v>
      </c>
      <c r="E20" s="196">
        <f>'Program Budget'!I458</f>
        <v>12</v>
      </c>
      <c r="F20" s="199">
        <f>'Program Budget'!H458</f>
        <v>0.2</v>
      </c>
      <c r="G20" s="198">
        <f t="shared" si="0"/>
        <v>15000</v>
      </c>
      <c r="H20" s="195">
        <f t="shared" si="1"/>
        <v>6562.5</v>
      </c>
      <c r="I20" s="196">
        <f>'Program Budget'!L458</f>
        <v>12</v>
      </c>
      <c r="J20" s="199">
        <f>'Program Budget'!K458</f>
        <v>0.19</v>
      </c>
      <c r="K20" s="198">
        <f t="shared" si="2"/>
        <v>14962.5</v>
      </c>
      <c r="L20" s="195">
        <f t="shared" si="3"/>
        <v>6890.625</v>
      </c>
      <c r="M20" s="196">
        <f>'Program Budget'!O458</f>
        <v>12</v>
      </c>
      <c r="N20" s="199">
        <f>'Program Budget'!N458</f>
        <v>0.19</v>
      </c>
      <c r="O20" s="198">
        <f t="shared" si="4"/>
        <v>15710.625</v>
      </c>
      <c r="P20" s="195">
        <f t="shared" si="5"/>
        <v>7235.15625</v>
      </c>
      <c r="Q20" s="196">
        <f>'Program Budget'!R458</f>
        <v>6</v>
      </c>
      <c r="R20" s="199">
        <f>'Program Budget'!Q458</f>
        <v>0.19</v>
      </c>
      <c r="S20" s="198">
        <f t="shared" si="6"/>
        <v>8248.078125</v>
      </c>
      <c r="T20" s="333">
        <f t="shared" si="7"/>
        <v>64968.193124999998</v>
      </c>
      <c r="U20" s="201"/>
      <c r="V20" s="188"/>
      <c r="W20" s="202"/>
      <c r="X20" s="202"/>
      <c r="AB20" s="163"/>
      <c r="AC20" s="203"/>
      <c r="AD20" s="203"/>
      <c r="AE20" s="204"/>
      <c r="AG20" s="205"/>
    </row>
    <row r="21" spans="1:33" ht="15" customHeight="1" outlineLevel="1">
      <c r="A21" s="193" t="str">
        <f>'Program Budget'!D459</f>
        <v>Senior M&amp;E Specialist</v>
      </c>
      <c r="B21" s="194" t="str">
        <f>'Program Budget'!F459</f>
        <v>Month</v>
      </c>
      <c r="C21" s="198">
        <f>'Program Budget'!E459</f>
        <v>7846.99</v>
      </c>
      <c r="D21" s="195">
        <f>'Program Budget'!G459</f>
        <v>2833.3333333333335</v>
      </c>
      <c r="E21" s="196">
        <f>'Program Budget'!I459</f>
        <v>12</v>
      </c>
      <c r="F21" s="199">
        <f>'Program Budget'!H459</f>
        <v>0.2</v>
      </c>
      <c r="G21" s="198">
        <f t="shared" si="0"/>
        <v>6800</v>
      </c>
      <c r="H21" s="195">
        <f t="shared" si="1"/>
        <v>2975.0000000000005</v>
      </c>
      <c r="I21" s="196">
        <f>'Program Budget'!L459</f>
        <v>12</v>
      </c>
      <c r="J21" s="199">
        <f>'Program Budget'!K459</f>
        <v>0.19</v>
      </c>
      <c r="K21" s="198">
        <f t="shared" si="2"/>
        <v>6783.0000000000018</v>
      </c>
      <c r="L21" s="195">
        <f t="shared" si="3"/>
        <v>3123.7500000000005</v>
      </c>
      <c r="M21" s="196">
        <f>'Program Budget'!O459</f>
        <v>12</v>
      </c>
      <c r="N21" s="199">
        <f>'Program Budget'!N459</f>
        <v>0.19</v>
      </c>
      <c r="O21" s="198">
        <f t="shared" si="4"/>
        <v>7122.1500000000015</v>
      </c>
      <c r="P21" s="195">
        <f t="shared" si="5"/>
        <v>3279.9375000000005</v>
      </c>
      <c r="Q21" s="196">
        <f>'Program Budget'!R459</f>
        <v>6</v>
      </c>
      <c r="R21" s="199">
        <f>'Program Budget'!Q459</f>
        <v>0.19</v>
      </c>
      <c r="S21" s="198">
        <f t="shared" si="6"/>
        <v>3739.1287500000008</v>
      </c>
      <c r="T21" s="333">
        <f t="shared" si="7"/>
        <v>32291.268750000003</v>
      </c>
      <c r="U21" s="201"/>
      <c r="V21" s="188"/>
      <c r="W21" s="202"/>
      <c r="X21" s="202"/>
      <c r="AB21" s="163"/>
      <c r="AC21" s="203"/>
      <c r="AD21" s="203"/>
      <c r="AE21" s="204"/>
      <c r="AG21" s="205"/>
    </row>
    <row r="22" spans="1:33" ht="15" customHeight="1" outlineLevel="1">
      <c r="A22" s="193" t="str">
        <f>'Program Budget'!D460</f>
        <v>M&amp;E Specialist</v>
      </c>
      <c r="B22" s="194" t="str">
        <f>'Program Budget'!F460</f>
        <v>Month</v>
      </c>
      <c r="C22" s="198">
        <f>'Program Budget'!E460</f>
        <v>4075.9949999999999</v>
      </c>
      <c r="D22" s="195">
        <f>'Program Budget'!G460</f>
        <v>2500</v>
      </c>
      <c r="E22" s="196">
        <f>'Program Budget'!I460</f>
        <v>12</v>
      </c>
      <c r="F22" s="199">
        <f>'Program Budget'!H460</f>
        <v>0.2</v>
      </c>
      <c r="G22" s="198">
        <f t="shared" si="0"/>
        <v>6000</v>
      </c>
      <c r="H22" s="195">
        <f t="shared" si="1"/>
        <v>2625</v>
      </c>
      <c r="I22" s="196">
        <f>'Program Budget'!L460</f>
        <v>12</v>
      </c>
      <c r="J22" s="199">
        <f>'Program Budget'!K460</f>
        <v>0.19</v>
      </c>
      <c r="K22" s="198">
        <f t="shared" si="2"/>
        <v>5985</v>
      </c>
      <c r="L22" s="195">
        <f t="shared" si="3"/>
        <v>2756.25</v>
      </c>
      <c r="M22" s="196">
        <f>'Program Budget'!O460</f>
        <v>12</v>
      </c>
      <c r="N22" s="199">
        <f>'Program Budget'!N460</f>
        <v>0.19</v>
      </c>
      <c r="O22" s="198">
        <f t="shared" si="4"/>
        <v>6284.25</v>
      </c>
      <c r="P22" s="195">
        <f t="shared" si="5"/>
        <v>2894.0625</v>
      </c>
      <c r="Q22" s="196">
        <f>'Program Budget'!R460</f>
        <v>3</v>
      </c>
      <c r="R22" s="199">
        <f>'Program Budget'!Q460</f>
        <v>0.19</v>
      </c>
      <c r="S22" s="198">
        <f t="shared" si="6"/>
        <v>1649.6156249999999</v>
      </c>
      <c r="T22" s="333">
        <f t="shared" si="7"/>
        <v>23994.860624999998</v>
      </c>
      <c r="U22" s="201"/>
      <c r="V22" s="188"/>
      <c r="W22" s="202"/>
      <c r="X22" s="202"/>
      <c r="AB22" s="163"/>
      <c r="AC22" s="203"/>
      <c r="AD22" s="203"/>
      <c r="AE22" s="204"/>
      <c r="AG22" s="205"/>
    </row>
    <row r="23" spans="1:33" ht="15" customHeight="1" outlineLevel="1">
      <c r="A23" s="193" t="str">
        <f>'Program Budget'!D461</f>
        <v>M&amp;E Officer</v>
      </c>
      <c r="B23" s="194" t="str">
        <f>'Program Budget'!F461</f>
        <v>Month</v>
      </c>
      <c r="C23" s="198">
        <f>'Program Budget'!E461</f>
        <v>4075.9949999999999</v>
      </c>
      <c r="D23" s="195">
        <f>'Program Budget'!G461</f>
        <v>1000</v>
      </c>
      <c r="E23" s="196">
        <f>'Program Budget'!I461</f>
        <v>12</v>
      </c>
      <c r="F23" s="199">
        <f>'Program Budget'!H461</f>
        <v>0.2</v>
      </c>
      <c r="G23" s="198">
        <f t="shared" si="0"/>
        <v>2400</v>
      </c>
      <c r="H23" s="195">
        <f t="shared" si="1"/>
        <v>1050</v>
      </c>
      <c r="I23" s="196">
        <f>'Program Budget'!L461</f>
        <v>12</v>
      </c>
      <c r="J23" s="199">
        <f>'Program Budget'!K461</f>
        <v>0.05</v>
      </c>
      <c r="K23" s="198">
        <f t="shared" si="2"/>
        <v>630</v>
      </c>
      <c r="L23" s="195">
        <f t="shared" si="3"/>
        <v>1102.5</v>
      </c>
      <c r="M23" s="196">
        <f>'Program Budget'!O461</f>
        <v>12</v>
      </c>
      <c r="N23" s="199">
        <f>'Program Budget'!N461</f>
        <v>0.05</v>
      </c>
      <c r="O23" s="198">
        <f t="shared" si="4"/>
        <v>661.5</v>
      </c>
      <c r="P23" s="195">
        <f t="shared" si="5"/>
        <v>1157.625</v>
      </c>
      <c r="Q23" s="196">
        <f>'Program Budget'!R461</f>
        <v>3</v>
      </c>
      <c r="R23" s="199">
        <f>'Program Budget'!Q461</f>
        <v>0.05</v>
      </c>
      <c r="S23" s="198">
        <f t="shared" si="6"/>
        <v>173.64375000000001</v>
      </c>
      <c r="T23" s="333">
        <f t="shared" si="7"/>
        <v>7941.1387500000001</v>
      </c>
      <c r="U23" s="201"/>
      <c r="V23" s="188"/>
      <c r="W23" s="202"/>
      <c r="X23" s="202"/>
      <c r="AB23" s="163"/>
      <c r="AC23" s="203"/>
      <c r="AD23" s="203"/>
      <c r="AE23" s="204"/>
      <c r="AG23" s="205"/>
    </row>
    <row r="24" spans="1:33" ht="15" customHeight="1" outlineLevel="1">
      <c r="A24" s="193" t="str">
        <f>'Program Budget'!D462</f>
        <v>Partnerships and Investment Director</v>
      </c>
      <c r="B24" s="194" t="str">
        <f>'Program Budget'!F462</f>
        <v>Month</v>
      </c>
      <c r="C24" s="198">
        <f>'Program Budget'!E462</f>
        <v>0</v>
      </c>
      <c r="D24" s="195">
        <f>'Program Budget'!G462</f>
        <v>4583.333333333333</v>
      </c>
      <c r="E24" s="196">
        <f>'Program Budget'!I462</f>
        <v>12</v>
      </c>
      <c r="F24" s="199">
        <f>'Program Budget'!H462</f>
        <v>0.2</v>
      </c>
      <c r="G24" s="198">
        <f t="shared" si="0"/>
        <v>11000</v>
      </c>
      <c r="H24" s="195">
        <f t="shared" si="1"/>
        <v>4812.5</v>
      </c>
      <c r="I24" s="196">
        <f>'Program Budget'!L462</f>
        <v>12</v>
      </c>
      <c r="J24" s="199">
        <f>'Program Budget'!K462</f>
        <v>0.05</v>
      </c>
      <c r="K24" s="198">
        <f t="shared" si="2"/>
        <v>2887.5</v>
      </c>
      <c r="L24" s="195">
        <f t="shared" si="3"/>
        <v>5053.125</v>
      </c>
      <c r="M24" s="196">
        <f>'Program Budget'!O462</f>
        <v>12</v>
      </c>
      <c r="N24" s="199">
        <f>'Program Budget'!N462</f>
        <v>0.05</v>
      </c>
      <c r="O24" s="198">
        <f t="shared" si="4"/>
        <v>3031.875</v>
      </c>
      <c r="P24" s="195">
        <f t="shared" si="5"/>
        <v>5305.78125</v>
      </c>
      <c r="Q24" s="196">
        <f>'Program Budget'!R462</f>
        <v>0</v>
      </c>
      <c r="R24" s="199">
        <f>'Program Budget'!Q462</f>
        <v>0.05</v>
      </c>
      <c r="S24" s="198">
        <f t="shared" si="6"/>
        <v>0</v>
      </c>
      <c r="T24" s="333">
        <f t="shared" si="7"/>
        <v>16919.375</v>
      </c>
      <c r="U24" s="201"/>
      <c r="V24" s="188"/>
      <c r="W24" s="202"/>
      <c r="X24" s="202"/>
      <c r="AB24" s="163"/>
      <c r="AC24" s="203"/>
      <c r="AD24" s="203"/>
      <c r="AE24" s="204"/>
      <c r="AG24" s="205"/>
    </row>
    <row r="25" spans="1:33" ht="15" customHeight="1" outlineLevel="1">
      <c r="A25" s="193" t="str">
        <f>'Program Budget'!D463</f>
        <v>Partnerships and Investment Specialist</v>
      </c>
      <c r="B25" s="194" t="str">
        <f>'Program Budget'!F463</f>
        <v>Month</v>
      </c>
      <c r="C25" s="198">
        <f>'Program Budget'!E463</f>
        <v>0</v>
      </c>
      <c r="D25" s="195">
        <f>'Program Budget'!G463</f>
        <v>1750</v>
      </c>
      <c r="E25" s="196">
        <f>'Program Budget'!I463</f>
        <v>12</v>
      </c>
      <c r="F25" s="199">
        <f>'Program Budget'!H463</f>
        <v>0.2</v>
      </c>
      <c r="G25" s="198">
        <f t="shared" si="0"/>
        <v>4200</v>
      </c>
      <c r="H25" s="195">
        <f t="shared" si="1"/>
        <v>1837.5</v>
      </c>
      <c r="I25" s="196">
        <f>'Program Budget'!L463</f>
        <v>12</v>
      </c>
      <c r="J25" s="199">
        <f>'Program Budget'!K463</f>
        <v>0.2</v>
      </c>
      <c r="K25" s="198">
        <f t="shared" si="2"/>
        <v>4410</v>
      </c>
      <c r="L25" s="195">
        <f t="shared" si="3"/>
        <v>1929.375</v>
      </c>
      <c r="M25" s="196">
        <f>'Program Budget'!O463</f>
        <v>12</v>
      </c>
      <c r="N25" s="199">
        <f>'Program Budget'!N463</f>
        <v>0.2</v>
      </c>
      <c r="O25" s="198">
        <f t="shared" si="4"/>
        <v>4630.5</v>
      </c>
      <c r="P25" s="195">
        <f t="shared" si="5"/>
        <v>2025.84375</v>
      </c>
      <c r="Q25" s="196">
        <f>'Program Budget'!R463</f>
        <v>0</v>
      </c>
      <c r="R25" s="199">
        <f>'Program Budget'!Q463</f>
        <v>0.2</v>
      </c>
      <c r="S25" s="198">
        <f t="shared" si="6"/>
        <v>0</v>
      </c>
      <c r="T25" s="333">
        <f t="shared" si="7"/>
        <v>13240.5</v>
      </c>
      <c r="U25" s="201"/>
      <c r="V25" s="188"/>
      <c r="W25" s="202"/>
      <c r="X25" s="202"/>
      <c r="AB25" s="163"/>
      <c r="AC25" s="203"/>
      <c r="AD25" s="203"/>
      <c r="AE25" s="204"/>
      <c r="AG25" s="205"/>
    </row>
    <row r="26" spans="1:33" ht="15" customHeight="1" outlineLevel="1">
      <c r="A26" s="193" t="str">
        <f>'Program Budget'!D464</f>
        <v>Organizational Strengthening Specialist</v>
      </c>
      <c r="B26" s="194" t="str">
        <f>'Program Budget'!F464</f>
        <v>Month</v>
      </c>
      <c r="C26" s="198">
        <f>'Program Budget'!E464</f>
        <v>0</v>
      </c>
      <c r="D26" s="195">
        <f>'Program Budget'!G464</f>
        <v>1750</v>
      </c>
      <c r="E26" s="196">
        <f>'Program Budget'!I464</f>
        <v>12</v>
      </c>
      <c r="F26" s="199">
        <f>'Program Budget'!H464</f>
        <v>0.2</v>
      </c>
      <c r="G26" s="198">
        <f t="shared" si="0"/>
        <v>4200</v>
      </c>
      <c r="H26" s="195">
        <f t="shared" si="1"/>
        <v>1837.5</v>
      </c>
      <c r="I26" s="196">
        <f>'Program Budget'!L464</f>
        <v>12</v>
      </c>
      <c r="J26" s="199">
        <f>'Program Budget'!K464</f>
        <v>0</v>
      </c>
      <c r="K26" s="198">
        <f t="shared" si="2"/>
        <v>0</v>
      </c>
      <c r="L26" s="195">
        <f t="shared" si="3"/>
        <v>1929.375</v>
      </c>
      <c r="M26" s="196">
        <f>'Program Budget'!O464</f>
        <v>12</v>
      </c>
      <c r="N26" s="199">
        <f>'Program Budget'!N464</f>
        <v>0</v>
      </c>
      <c r="O26" s="198">
        <f t="shared" si="4"/>
        <v>0</v>
      </c>
      <c r="P26" s="195">
        <f t="shared" si="5"/>
        <v>2025.84375</v>
      </c>
      <c r="Q26" s="196">
        <f>'Program Budget'!R464</f>
        <v>0</v>
      </c>
      <c r="R26" s="199">
        <f>'Program Budget'!Q464</f>
        <v>0</v>
      </c>
      <c r="S26" s="198">
        <f t="shared" si="6"/>
        <v>0</v>
      </c>
      <c r="T26" s="333">
        <f t="shared" si="7"/>
        <v>4200</v>
      </c>
      <c r="U26" s="201"/>
      <c r="V26" s="188"/>
      <c r="W26" s="202"/>
      <c r="X26" s="202"/>
      <c r="AB26" s="163"/>
      <c r="AC26" s="203"/>
      <c r="AD26" s="203"/>
      <c r="AE26" s="204"/>
      <c r="AG26" s="205"/>
    </row>
    <row r="27" spans="1:33" ht="15" customHeight="1" outlineLevel="1">
      <c r="A27" s="193" t="str">
        <f>'Program Budget'!D465</f>
        <v>Value Chain Strengthening Director</v>
      </c>
      <c r="B27" s="194" t="str">
        <f>'Program Budget'!F465</f>
        <v>Month</v>
      </c>
      <c r="C27" s="198">
        <f>'Program Budget'!E465</f>
        <v>0</v>
      </c>
      <c r="D27" s="195">
        <f>'Program Budget'!G465</f>
        <v>0</v>
      </c>
      <c r="E27" s="196">
        <f>'Program Budget'!I465</f>
        <v>12</v>
      </c>
      <c r="F27" s="199">
        <f>'Program Budget'!H465</f>
        <v>0.2</v>
      </c>
      <c r="G27" s="198">
        <f t="shared" si="0"/>
        <v>0</v>
      </c>
      <c r="H27" s="195">
        <f t="shared" si="1"/>
        <v>0</v>
      </c>
      <c r="I27" s="196">
        <f>'Program Budget'!L465</f>
        <v>12</v>
      </c>
      <c r="J27" s="199">
        <f>'Program Budget'!K465</f>
        <v>0.4</v>
      </c>
      <c r="K27" s="198">
        <f t="shared" si="2"/>
        <v>0</v>
      </c>
      <c r="L27" s="195">
        <f t="shared" si="3"/>
        <v>0</v>
      </c>
      <c r="M27" s="196">
        <f>'Program Budget'!O465</f>
        <v>12</v>
      </c>
      <c r="N27" s="199">
        <f>'Program Budget'!N465</f>
        <v>0.4</v>
      </c>
      <c r="O27" s="198">
        <f t="shared" si="4"/>
        <v>0</v>
      </c>
      <c r="P27" s="195">
        <f t="shared" si="5"/>
        <v>0</v>
      </c>
      <c r="Q27" s="196">
        <f>'Program Budget'!R465</f>
        <v>4</v>
      </c>
      <c r="R27" s="199">
        <f>'Program Budget'!Q465</f>
        <v>0.4</v>
      </c>
      <c r="S27" s="198">
        <f t="shared" si="6"/>
        <v>0</v>
      </c>
      <c r="T27" s="333">
        <f t="shared" si="7"/>
        <v>0</v>
      </c>
      <c r="U27" s="201"/>
      <c r="V27" s="188"/>
      <c r="W27" s="202"/>
      <c r="X27" s="202"/>
      <c r="AB27" s="163"/>
      <c r="AC27" s="203"/>
      <c r="AD27" s="203"/>
      <c r="AE27" s="204"/>
      <c r="AG27" s="205"/>
    </row>
    <row r="28" spans="1:33" ht="15" customHeight="1" outlineLevel="1">
      <c r="A28" s="193" t="str">
        <f>'Program Budget'!D466</f>
        <v>Communications Specialist</v>
      </c>
      <c r="B28" s="194" t="str">
        <f>'Program Budget'!F466</f>
        <v>Month</v>
      </c>
      <c r="C28" s="198">
        <f>'Program Budget'!E466</f>
        <v>0</v>
      </c>
      <c r="D28" s="195">
        <f>'Program Budget'!G466</f>
        <v>1750</v>
      </c>
      <c r="E28" s="196">
        <f>'Program Budget'!I466</f>
        <v>12</v>
      </c>
      <c r="F28" s="199">
        <f>'Program Budget'!H466</f>
        <v>0.2</v>
      </c>
      <c r="G28" s="198">
        <f t="shared" si="0"/>
        <v>4200</v>
      </c>
      <c r="H28" s="195">
        <f t="shared" si="1"/>
        <v>1837.5</v>
      </c>
      <c r="I28" s="196">
        <f>'Program Budget'!L466</f>
        <v>12</v>
      </c>
      <c r="J28" s="199">
        <f>'Program Budget'!K466</f>
        <v>0.18</v>
      </c>
      <c r="K28" s="198">
        <f t="shared" si="2"/>
        <v>3969</v>
      </c>
      <c r="L28" s="195">
        <f t="shared" si="3"/>
        <v>1929.375</v>
      </c>
      <c r="M28" s="196">
        <f>'Program Budget'!O466</f>
        <v>12</v>
      </c>
      <c r="N28" s="199">
        <f>'Program Budget'!N466</f>
        <v>0.18</v>
      </c>
      <c r="O28" s="198">
        <f t="shared" si="4"/>
        <v>4167.45</v>
      </c>
      <c r="P28" s="195">
        <f t="shared" si="5"/>
        <v>2025.84375</v>
      </c>
      <c r="Q28" s="196">
        <f>'Program Budget'!R466</f>
        <v>0</v>
      </c>
      <c r="R28" s="199">
        <f>'Program Budget'!Q466</f>
        <v>0.18</v>
      </c>
      <c r="S28" s="198">
        <f t="shared" si="6"/>
        <v>0</v>
      </c>
      <c r="T28" s="333">
        <f t="shared" si="7"/>
        <v>12336.45</v>
      </c>
      <c r="U28" s="201"/>
      <c r="V28" s="188"/>
      <c r="W28" s="202"/>
      <c r="X28" s="202"/>
      <c r="AB28" s="163"/>
      <c r="AC28" s="203"/>
      <c r="AD28" s="203"/>
      <c r="AE28" s="204"/>
      <c r="AG28" s="205"/>
    </row>
    <row r="29" spans="1:33" ht="15" customHeight="1" outlineLevel="1">
      <c r="A29" s="193" t="str">
        <f>'Program Budget'!D467</f>
        <v>Value Chain Specialist</v>
      </c>
      <c r="B29" s="194" t="str">
        <f>'Program Budget'!F467</f>
        <v>Month</v>
      </c>
      <c r="C29" s="198">
        <f>'Program Budget'!E467</f>
        <v>0</v>
      </c>
      <c r="D29" s="195">
        <f>'Program Budget'!G467</f>
        <v>2500</v>
      </c>
      <c r="E29" s="196">
        <f>'Program Budget'!I467</f>
        <v>12</v>
      </c>
      <c r="F29" s="199">
        <f>'Program Budget'!H467</f>
        <v>0.2</v>
      </c>
      <c r="G29" s="198">
        <f t="shared" si="0"/>
        <v>6000</v>
      </c>
      <c r="H29" s="195">
        <f t="shared" si="1"/>
        <v>2625</v>
      </c>
      <c r="I29" s="196">
        <f>'Program Budget'!L467</f>
        <v>12</v>
      </c>
      <c r="J29" s="199">
        <f>'Program Budget'!K467</f>
        <v>0.5</v>
      </c>
      <c r="K29" s="198">
        <f t="shared" si="2"/>
        <v>15750</v>
      </c>
      <c r="L29" s="195">
        <f t="shared" si="3"/>
        <v>2756.25</v>
      </c>
      <c r="M29" s="196">
        <f>'Program Budget'!O467</f>
        <v>12</v>
      </c>
      <c r="N29" s="199">
        <f>'Program Budget'!N467</f>
        <v>0.5</v>
      </c>
      <c r="O29" s="198">
        <f t="shared" si="4"/>
        <v>16537.5</v>
      </c>
      <c r="P29" s="195">
        <f t="shared" si="5"/>
        <v>2894.0625</v>
      </c>
      <c r="Q29" s="196">
        <f>'Program Budget'!R467</f>
        <v>0</v>
      </c>
      <c r="R29" s="199">
        <f>'Program Budget'!Q467</f>
        <v>0.5</v>
      </c>
      <c r="S29" s="198">
        <f t="shared" si="6"/>
        <v>0</v>
      </c>
      <c r="T29" s="333">
        <f t="shared" si="7"/>
        <v>38287.5</v>
      </c>
      <c r="U29" s="201"/>
      <c r="V29" s="188"/>
      <c r="W29" s="202"/>
      <c r="X29" s="202"/>
      <c r="AB29" s="163"/>
      <c r="AC29" s="203"/>
      <c r="AD29" s="203"/>
      <c r="AE29" s="204"/>
      <c r="AG29" s="205"/>
    </row>
    <row r="30" spans="1:33" ht="15" customHeight="1" outlineLevel="1">
      <c r="A30" s="193" t="str">
        <f>'Program Budget'!D468</f>
        <v>Contracts &amp; Compliance Director</v>
      </c>
      <c r="B30" s="194" t="str">
        <f>'Program Budget'!F468</f>
        <v>Month</v>
      </c>
      <c r="C30" s="198">
        <f>'Program Budget'!E468</f>
        <v>10665.25</v>
      </c>
      <c r="D30" s="195">
        <f>'Program Budget'!G468</f>
        <v>4583.333333333333</v>
      </c>
      <c r="E30" s="196">
        <f>'Program Budget'!I468</f>
        <v>12</v>
      </c>
      <c r="F30" s="199">
        <f>'Program Budget'!H468</f>
        <v>0.2</v>
      </c>
      <c r="G30" s="198">
        <f t="shared" si="0"/>
        <v>11000</v>
      </c>
      <c r="H30" s="195">
        <f t="shared" si="1"/>
        <v>4812.5</v>
      </c>
      <c r="I30" s="196">
        <f>'Program Budget'!L468</f>
        <v>12</v>
      </c>
      <c r="J30" s="199">
        <f>'Program Budget'!K468</f>
        <v>0.18</v>
      </c>
      <c r="K30" s="198">
        <f t="shared" si="2"/>
        <v>10395</v>
      </c>
      <c r="L30" s="195">
        <f t="shared" si="3"/>
        <v>5053.125</v>
      </c>
      <c r="M30" s="196">
        <f>'Program Budget'!O468</f>
        <v>12</v>
      </c>
      <c r="N30" s="199">
        <f>'Program Budget'!N468</f>
        <v>0.18</v>
      </c>
      <c r="O30" s="198">
        <f t="shared" si="4"/>
        <v>10914.75</v>
      </c>
      <c r="P30" s="195">
        <f t="shared" si="5"/>
        <v>5305.78125</v>
      </c>
      <c r="Q30" s="196">
        <f>'Program Budget'!R468</f>
        <v>3</v>
      </c>
      <c r="R30" s="199">
        <f>'Program Budget'!Q468</f>
        <v>0.18</v>
      </c>
      <c r="S30" s="198">
        <f t="shared" si="6"/>
        <v>2865.1218749999998</v>
      </c>
      <c r="T30" s="333">
        <f t="shared" si="7"/>
        <v>45840.121874999997</v>
      </c>
      <c r="U30" s="201"/>
      <c r="V30" s="188"/>
      <c r="W30" s="202"/>
      <c r="X30" s="202"/>
      <c r="AB30" s="163"/>
      <c r="AC30" s="203"/>
      <c r="AD30" s="203"/>
      <c r="AE30" s="204"/>
      <c r="AG30" s="205"/>
    </row>
    <row r="31" spans="1:33" ht="15" customHeight="1" outlineLevel="1">
      <c r="A31" s="193" t="str">
        <f>'Program Budget'!D469</f>
        <v>Grants &amp; Procurement Specialist (2)</v>
      </c>
      <c r="B31" s="194" t="str">
        <f>'Program Budget'!F469</f>
        <v>Month</v>
      </c>
      <c r="C31" s="198">
        <f>'Program Budget'!E469</f>
        <v>0</v>
      </c>
      <c r="D31" s="195">
        <f>'Program Budget'!G469</f>
        <v>3500</v>
      </c>
      <c r="E31" s="196">
        <f>'Program Budget'!I469</f>
        <v>12</v>
      </c>
      <c r="F31" s="199">
        <f>'Program Budget'!H469</f>
        <v>0.05</v>
      </c>
      <c r="G31" s="198">
        <f t="shared" si="0"/>
        <v>2100</v>
      </c>
      <c r="H31" s="195">
        <f t="shared" si="1"/>
        <v>3675</v>
      </c>
      <c r="I31" s="196">
        <f>'Program Budget'!L469</f>
        <v>12</v>
      </c>
      <c r="J31" s="199">
        <f>'Program Budget'!K469</f>
        <v>0</v>
      </c>
      <c r="K31" s="198">
        <f t="shared" si="2"/>
        <v>0</v>
      </c>
      <c r="L31" s="195">
        <f t="shared" si="3"/>
        <v>3858.75</v>
      </c>
      <c r="M31" s="196">
        <f>'Program Budget'!O469</f>
        <v>12</v>
      </c>
      <c r="N31" s="199">
        <f>'Program Budget'!N469</f>
        <v>0</v>
      </c>
      <c r="O31" s="198">
        <f t="shared" si="4"/>
        <v>0</v>
      </c>
      <c r="P31" s="195">
        <f t="shared" si="5"/>
        <v>4051.6875</v>
      </c>
      <c r="Q31" s="196">
        <f>'Program Budget'!R469</f>
        <v>0</v>
      </c>
      <c r="R31" s="199">
        <f>'Program Budget'!Q469</f>
        <v>0</v>
      </c>
      <c r="S31" s="198">
        <f t="shared" si="6"/>
        <v>0</v>
      </c>
      <c r="T31" s="333">
        <f t="shared" si="7"/>
        <v>2100</v>
      </c>
      <c r="U31" s="201"/>
      <c r="V31" s="188"/>
      <c r="W31" s="202"/>
      <c r="X31" s="202"/>
      <c r="AB31" s="163"/>
      <c r="AC31" s="203"/>
      <c r="AD31" s="203"/>
      <c r="AE31" s="204"/>
      <c r="AG31" s="205"/>
    </row>
    <row r="32" spans="1:33" ht="15" customHeight="1" outlineLevel="1">
      <c r="A32" s="193" t="str">
        <f>'Program Budget'!D470</f>
        <v xml:space="preserve">F&amp;A Director </v>
      </c>
      <c r="B32" s="194" t="str">
        <f>'Program Budget'!F470</f>
        <v>Month</v>
      </c>
      <c r="C32" s="198">
        <f>'Program Budget'!E470</f>
        <v>6323.5</v>
      </c>
      <c r="D32" s="195">
        <f>'Program Budget'!G470</f>
        <v>5279.4</v>
      </c>
      <c r="E32" s="196">
        <f>'Program Budget'!I470</f>
        <v>12</v>
      </c>
      <c r="F32" s="199">
        <f>'Program Budget'!H470</f>
        <v>0.15</v>
      </c>
      <c r="G32" s="198">
        <f t="shared" si="0"/>
        <v>9502.9199999999983</v>
      </c>
      <c r="H32" s="195">
        <f t="shared" si="1"/>
        <v>5543.37</v>
      </c>
      <c r="I32" s="196">
        <f>'Program Budget'!L470</f>
        <v>12</v>
      </c>
      <c r="J32" s="199">
        <f>'Program Budget'!K470</f>
        <v>0.15</v>
      </c>
      <c r="K32" s="198">
        <f t="shared" si="2"/>
        <v>9978.0660000000007</v>
      </c>
      <c r="L32" s="195">
        <f t="shared" si="3"/>
        <v>5820.5385000000006</v>
      </c>
      <c r="M32" s="196">
        <f>'Program Budget'!O470</f>
        <v>12</v>
      </c>
      <c r="N32" s="199">
        <f>'Program Budget'!N470</f>
        <v>0.15</v>
      </c>
      <c r="O32" s="198">
        <f t="shared" si="4"/>
        <v>10476.969299999999</v>
      </c>
      <c r="P32" s="195">
        <f t="shared" si="5"/>
        <v>6111.5654250000007</v>
      </c>
      <c r="Q32" s="196">
        <f>'Program Budget'!R470</f>
        <v>6</v>
      </c>
      <c r="R32" s="199">
        <f>'Program Budget'!Q470</f>
        <v>0.15</v>
      </c>
      <c r="S32" s="198">
        <f t="shared" si="6"/>
        <v>5500.4088825000008</v>
      </c>
      <c r="T32" s="333">
        <f t="shared" si="7"/>
        <v>41781.864182499994</v>
      </c>
      <c r="U32" s="201"/>
      <c r="V32" s="188"/>
      <c r="W32" s="202"/>
      <c r="X32" s="202"/>
      <c r="AB32" s="163"/>
      <c r="AC32" s="203"/>
      <c r="AD32" s="203"/>
      <c r="AE32" s="204"/>
      <c r="AG32" s="205"/>
    </row>
    <row r="33" spans="1:33" ht="15" customHeight="1" outlineLevel="1">
      <c r="A33" s="193" t="str">
        <f>'Program Budget'!D471</f>
        <v>Accounting &amp; Finance Specialist</v>
      </c>
      <c r="B33" s="194" t="str">
        <f>'Program Budget'!F471</f>
        <v>Month</v>
      </c>
      <c r="C33" s="198">
        <f>'Program Budget'!E471</f>
        <v>0</v>
      </c>
      <c r="D33" s="195">
        <f>'Program Budget'!G471</f>
        <v>1750</v>
      </c>
      <c r="E33" s="196">
        <f>'Program Budget'!I471</f>
        <v>12</v>
      </c>
      <c r="F33" s="199">
        <f>'Program Budget'!H471</f>
        <v>0.2</v>
      </c>
      <c r="G33" s="198">
        <f t="shared" si="0"/>
        <v>4200</v>
      </c>
      <c r="H33" s="195">
        <f t="shared" si="1"/>
        <v>1837.5</v>
      </c>
      <c r="I33" s="196">
        <f>'Program Budget'!L471</f>
        <v>12</v>
      </c>
      <c r="J33" s="199">
        <f>'Program Budget'!K471</f>
        <v>0.16</v>
      </c>
      <c r="K33" s="198">
        <f t="shared" si="2"/>
        <v>3528</v>
      </c>
      <c r="L33" s="195">
        <f t="shared" si="3"/>
        <v>1929.375</v>
      </c>
      <c r="M33" s="196">
        <f>'Program Budget'!O471</f>
        <v>12</v>
      </c>
      <c r="N33" s="199">
        <f>'Program Budget'!N471</f>
        <v>0.16</v>
      </c>
      <c r="O33" s="198">
        <f t="shared" si="4"/>
        <v>3704.4</v>
      </c>
      <c r="P33" s="195">
        <f t="shared" si="5"/>
        <v>2025.84375</v>
      </c>
      <c r="Q33" s="196">
        <f>'Program Budget'!R471</f>
        <v>3</v>
      </c>
      <c r="R33" s="199">
        <f>'Program Budget'!Q471</f>
        <v>0.16</v>
      </c>
      <c r="S33" s="198">
        <f t="shared" si="6"/>
        <v>972.40499999999997</v>
      </c>
      <c r="T33" s="333">
        <f t="shared" si="7"/>
        <v>12404.805</v>
      </c>
      <c r="U33" s="201"/>
      <c r="V33" s="188"/>
      <c r="W33" s="202"/>
      <c r="X33" s="202"/>
      <c r="AB33" s="163"/>
      <c r="AC33" s="203"/>
      <c r="AD33" s="203"/>
      <c r="AE33" s="204"/>
      <c r="AG33" s="205"/>
    </row>
    <row r="34" spans="1:33" ht="15" customHeight="1" outlineLevel="1">
      <c r="A34" s="193" t="str">
        <f>'Program Budget'!D472</f>
        <v xml:space="preserve">Accountant </v>
      </c>
      <c r="B34" s="194" t="str">
        <f>'Program Budget'!F472</f>
        <v>Month</v>
      </c>
      <c r="C34" s="198">
        <f>'Program Budget'!E472</f>
        <v>0</v>
      </c>
      <c r="D34" s="195">
        <f>'Program Budget'!G472</f>
        <v>1750</v>
      </c>
      <c r="E34" s="196">
        <f>'Program Budget'!I472</f>
        <v>12</v>
      </c>
      <c r="F34" s="199">
        <f>'Program Budget'!H472</f>
        <v>0.2</v>
      </c>
      <c r="G34" s="198">
        <f t="shared" si="0"/>
        <v>4200</v>
      </c>
      <c r="H34" s="195">
        <f t="shared" si="1"/>
        <v>1837.5</v>
      </c>
      <c r="I34" s="196">
        <f>'Program Budget'!L472</f>
        <v>12</v>
      </c>
      <c r="J34" s="199">
        <f>'Program Budget'!K472</f>
        <v>0.16</v>
      </c>
      <c r="K34" s="198">
        <f t="shared" si="2"/>
        <v>3528</v>
      </c>
      <c r="L34" s="195">
        <f t="shared" si="3"/>
        <v>1929.375</v>
      </c>
      <c r="M34" s="196">
        <f>'Program Budget'!O472</f>
        <v>12</v>
      </c>
      <c r="N34" s="199">
        <f>'Program Budget'!N472</f>
        <v>0.16</v>
      </c>
      <c r="O34" s="198">
        <f t="shared" si="4"/>
        <v>3704.4</v>
      </c>
      <c r="P34" s="195">
        <f t="shared" si="5"/>
        <v>2025.84375</v>
      </c>
      <c r="Q34" s="196">
        <f>'Program Budget'!R472</f>
        <v>5</v>
      </c>
      <c r="R34" s="199">
        <f>'Program Budget'!Q472</f>
        <v>0.16</v>
      </c>
      <c r="S34" s="198">
        <f t="shared" si="6"/>
        <v>1620.675</v>
      </c>
      <c r="T34" s="333">
        <f t="shared" si="7"/>
        <v>13053.074999999999</v>
      </c>
      <c r="U34" s="201"/>
      <c r="V34" s="188"/>
      <c r="W34" s="202"/>
      <c r="X34" s="202"/>
      <c r="AB34" s="163"/>
      <c r="AC34" s="203"/>
      <c r="AD34" s="203"/>
      <c r="AE34" s="204"/>
      <c r="AG34" s="205"/>
    </row>
    <row r="35" spans="1:33" ht="15" customHeight="1" outlineLevel="1">
      <c r="A35" s="193" t="str">
        <f>'Program Budget'!D473</f>
        <v>Finance &amp; Admin Coordinator - 50% LOE</v>
      </c>
      <c r="B35" s="194" t="str">
        <f>'Program Budget'!F473</f>
        <v>Month</v>
      </c>
      <c r="C35" s="198">
        <f>'Program Budget'!E473</f>
        <v>0</v>
      </c>
      <c r="D35" s="195">
        <f>'Program Budget'!G473</f>
        <v>2583.3333333333335</v>
      </c>
      <c r="E35" s="196">
        <f>'Program Budget'!I473</f>
        <v>12</v>
      </c>
      <c r="F35" s="199">
        <f>'Program Budget'!H473</f>
        <v>0.05</v>
      </c>
      <c r="G35" s="198">
        <f t="shared" si="0"/>
        <v>1550</v>
      </c>
      <c r="H35" s="195">
        <f t="shared" si="1"/>
        <v>2712.5000000000005</v>
      </c>
      <c r="I35" s="196">
        <f>'Program Budget'!L473</f>
        <v>12</v>
      </c>
      <c r="J35" s="199">
        <f>'Program Budget'!K473</f>
        <v>0.05</v>
      </c>
      <c r="K35" s="198">
        <f t="shared" si="2"/>
        <v>1627.5000000000005</v>
      </c>
      <c r="L35" s="195">
        <f t="shared" si="3"/>
        <v>2848.1250000000005</v>
      </c>
      <c r="M35" s="196">
        <f>'Program Budget'!O473</f>
        <v>12</v>
      </c>
      <c r="N35" s="199">
        <f>'Program Budget'!N473</f>
        <v>0.05</v>
      </c>
      <c r="O35" s="198">
        <f t="shared" si="4"/>
        <v>1708.8750000000005</v>
      </c>
      <c r="P35" s="195">
        <f t="shared" si="5"/>
        <v>2990.5312500000005</v>
      </c>
      <c r="Q35" s="196">
        <f>'Program Budget'!R473</f>
        <v>6</v>
      </c>
      <c r="R35" s="199">
        <f>'Program Budget'!Q473</f>
        <v>0.05</v>
      </c>
      <c r="S35" s="198">
        <f t="shared" si="6"/>
        <v>897.15937500000018</v>
      </c>
      <c r="T35" s="333">
        <f t="shared" si="7"/>
        <v>5783.5343750000011</v>
      </c>
      <c r="U35" s="201"/>
      <c r="V35" s="188"/>
      <c r="W35" s="202"/>
      <c r="X35" s="202"/>
      <c r="AB35" s="163">
        <v>180</v>
      </c>
      <c r="AC35" s="203" t="s">
        <v>547</v>
      </c>
      <c r="AD35" s="203" t="s">
        <v>548</v>
      </c>
      <c r="AE35" s="204"/>
      <c r="AG35" s="205"/>
    </row>
    <row r="36" spans="1:33" ht="15" customHeight="1" outlineLevel="1">
      <c r="A36" s="193" t="str">
        <f>'Program Budget'!D474</f>
        <v xml:space="preserve">Administrative Officer </v>
      </c>
      <c r="B36" s="194" t="str">
        <f>'Program Budget'!F474</f>
        <v>Month</v>
      </c>
      <c r="C36" s="198">
        <f>'Program Budget'!E474</f>
        <v>2041.08</v>
      </c>
      <c r="D36" s="195">
        <f>'Program Budget'!G474</f>
        <v>1000</v>
      </c>
      <c r="E36" s="196">
        <f>'Program Budget'!I474</f>
        <v>12</v>
      </c>
      <c r="F36" s="199">
        <f>'Program Budget'!H474</f>
        <v>0.2</v>
      </c>
      <c r="G36" s="198">
        <f t="shared" si="0"/>
        <v>2400</v>
      </c>
      <c r="H36" s="195">
        <f t="shared" si="1"/>
        <v>1050</v>
      </c>
      <c r="I36" s="196">
        <f>'Program Budget'!L474</f>
        <v>12</v>
      </c>
      <c r="J36" s="199">
        <f>'Program Budget'!K474</f>
        <v>0.1</v>
      </c>
      <c r="K36" s="198">
        <f t="shared" si="2"/>
        <v>1260</v>
      </c>
      <c r="L36" s="195">
        <f t="shared" si="3"/>
        <v>1102.5</v>
      </c>
      <c r="M36" s="196">
        <f>'Program Budget'!O474</f>
        <v>12</v>
      </c>
      <c r="N36" s="199">
        <f>'Program Budget'!N474</f>
        <v>0.1</v>
      </c>
      <c r="O36" s="198">
        <f t="shared" si="4"/>
        <v>1323</v>
      </c>
      <c r="P36" s="195">
        <f t="shared" si="5"/>
        <v>1157.625</v>
      </c>
      <c r="Q36" s="196">
        <f>'Program Budget'!R474</f>
        <v>3</v>
      </c>
      <c r="R36" s="199">
        <f>'Program Budget'!Q474</f>
        <v>0.1</v>
      </c>
      <c r="S36" s="198">
        <f t="shared" si="6"/>
        <v>347.28750000000002</v>
      </c>
      <c r="T36" s="333">
        <f t="shared" si="7"/>
        <v>7371.3675000000003</v>
      </c>
      <c r="U36" s="201"/>
      <c r="V36" s="188"/>
      <c r="W36" s="202"/>
      <c r="X36" s="202"/>
      <c r="AB36" s="163"/>
      <c r="AC36" s="203"/>
      <c r="AD36" s="203"/>
      <c r="AE36" s="204"/>
      <c r="AG36" s="205"/>
    </row>
    <row r="37" spans="1:33" ht="15" customHeight="1" outlineLevel="1">
      <c r="A37" s="193" t="str">
        <f>'Program Budget'!D475</f>
        <v>Human Resource Manager</v>
      </c>
      <c r="B37" s="194" t="str">
        <f>'Program Budget'!F475</f>
        <v>Month</v>
      </c>
      <c r="C37" s="198">
        <f>'Program Budget'!E475</f>
        <v>0</v>
      </c>
      <c r="D37" s="195">
        <f>'Program Budget'!G475</f>
        <v>1954.1666666666667</v>
      </c>
      <c r="E37" s="196">
        <f>'Program Budget'!I475</f>
        <v>12</v>
      </c>
      <c r="F37" s="199">
        <f>'Program Budget'!H475</f>
        <v>0.2</v>
      </c>
      <c r="G37" s="198">
        <f t="shared" si="0"/>
        <v>4690</v>
      </c>
      <c r="H37" s="195">
        <f t="shared" si="1"/>
        <v>2051.875</v>
      </c>
      <c r="I37" s="196">
        <f>'Program Budget'!L475</f>
        <v>12</v>
      </c>
      <c r="J37" s="199">
        <f>'Program Budget'!K475</f>
        <v>0.1</v>
      </c>
      <c r="K37" s="198">
        <f t="shared" si="2"/>
        <v>2462.25</v>
      </c>
      <c r="L37" s="195">
        <f t="shared" si="3"/>
        <v>2154.46875</v>
      </c>
      <c r="M37" s="196">
        <f>'Program Budget'!O475</f>
        <v>12</v>
      </c>
      <c r="N37" s="199">
        <f>'Program Budget'!N475</f>
        <v>0.1</v>
      </c>
      <c r="O37" s="198">
        <f t="shared" si="4"/>
        <v>2585.3625000000002</v>
      </c>
      <c r="P37" s="195">
        <f t="shared" si="5"/>
        <v>2262.1921875000003</v>
      </c>
      <c r="Q37" s="196">
        <f>'Program Budget'!R475</f>
        <v>6</v>
      </c>
      <c r="R37" s="199">
        <f>'Program Budget'!Q475</f>
        <v>0.1</v>
      </c>
      <c r="S37" s="198">
        <f t="shared" si="6"/>
        <v>1357.3153125000001</v>
      </c>
      <c r="T37" s="333">
        <f t="shared" si="7"/>
        <v>11094.9278125</v>
      </c>
      <c r="U37" s="201"/>
      <c r="V37" s="188"/>
      <c r="W37" s="202"/>
      <c r="X37" s="202"/>
      <c r="AB37" s="163"/>
      <c r="AC37" s="203"/>
      <c r="AD37" s="203"/>
      <c r="AE37" s="204"/>
      <c r="AG37" s="205"/>
    </row>
    <row r="38" spans="1:33" ht="15" customHeight="1" outlineLevel="1">
      <c r="A38" s="193" t="str">
        <f>'Program Budget'!D476</f>
        <v>Human Resource Specialist</v>
      </c>
      <c r="B38" s="194" t="str">
        <f>'Program Budget'!F476</f>
        <v>Month</v>
      </c>
      <c r="C38" s="198">
        <f>'Program Budget'!E476</f>
        <v>0</v>
      </c>
      <c r="D38" s="195">
        <f>'Program Budget'!G476</f>
        <v>1750</v>
      </c>
      <c r="E38" s="196">
        <f>'Program Budget'!I476</f>
        <v>12</v>
      </c>
      <c r="F38" s="199">
        <f>'Program Budget'!H476</f>
        <v>0.2</v>
      </c>
      <c r="G38" s="198">
        <f t="shared" si="0"/>
        <v>4200</v>
      </c>
      <c r="H38" s="195">
        <f t="shared" si="1"/>
        <v>1837.5</v>
      </c>
      <c r="I38" s="196">
        <f>'Program Budget'!L476</f>
        <v>12</v>
      </c>
      <c r="J38" s="199">
        <f>'Program Budget'!K476</f>
        <v>0.1</v>
      </c>
      <c r="K38" s="198">
        <f t="shared" si="2"/>
        <v>2205</v>
      </c>
      <c r="L38" s="195">
        <f t="shared" si="3"/>
        <v>1929.375</v>
      </c>
      <c r="M38" s="196">
        <f>'Program Budget'!O476</f>
        <v>12</v>
      </c>
      <c r="N38" s="199">
        <f>'Program Budget'!N476</f>
        <v>0.1</v>
      </c>
      <c r="O38" s="198">
        <f t="shared" si="4"/>
        <v>2315.25</v>
      </c>
      <c r="P38" s="195">
        <f t="shared" si="5"/>
        <v>2025.84375</v>
      </c>
      <c r="Q38" s="196">
        <f>'Program Budget'!R476</f>
        <v>3</v>
      </c>
      <c r="R38" s="199">
        <f>'Program Budget'!Q476</f>
        <v>0.1</v>
      </c>
      <c r="S38" s="198">
        <f t="shared" si="6"/>
        <v>607.75312500000007</v>
      </c>
      <c r="T38" s="335">
        <f t="shared" si="7"/>
        <v>9328.0031249999993</v>
      </c>
      <c r="U38" s="201"/>
      <c r="V38" s="188"/>
      <c r="W38" s="202"/>
      <c r="X38" s="202"/>
      <c r="AB38" s="163"/>
      <c r="AC38" s="203"/>
      <c r="AD38" s="203"/>
      <c r="AE38" s="204"/>
      <c r="AG38" s="205"/>
    </row>
    <row r="39" spans="1:33" ht="15" customHeight="1" outlineLevel="1">
      <c r="A39" s="208" t="s">
        <v>510</v>
      </c>
      <c r="B39" s="209"/>
      <c r="C39" s="222">
        <f>SUM(C10:C38)</f>
        <v>70146.720000000001</v>
      </c>
      <c r="D39" s="210"/>
      <c r="E39" s="211"/>
      <c r="F39" s="214"/>
      <c r="G39" s="222">
        <f>SUM(G10:G38)</f>
        <v>127692.92</v>
      </c>
      <c r="H39" s="210"/>
      <c r="I39" s="211"/>
      <c r="J39" s="212"/>
      <c r="K39" s="222">
        <f>SUM(K10:K38)</f>
        <v>102698.31600000001</v>
      </c>
      <c r="L39" s="210"/>
      <c r="M39" s="211"/>
      <c r="N39" s="214"/>
      <c r="O39" s="222">
        <f>SUM(O10:O38)</f>
        <v>107833.23179999999</v>
      </c>
      <c r="P39" s="210"/>
      <c r="Q39" s="211"/>
      <c r="R39" s="214"/>
      <c r="S39" s="222">
        <f>SUM(S10:S38)</f>
        <v>34514.350132499996</v>
      </c>
      <c r="T39" s="334">
        <f>C39+G39+K39+O39+S39</f>
        <v>442885.53793250001</v>
      </c>
      <c r="AB39" s="163"/>
      <c r="AC39" s="203"/>
      <c r="AD39" s="203"/>
    </row>
    <row r="40" spans="1:33" s="236" customFormat="1" ht="15" customHeight="1">
      <c r="A40" s="226" t="s">
        <v>513</v>
      </c>
      <c r="B40" s="227"/>
      <c r="C40" s="231">
        <f>C39+C8</f>
        <v>86898.72</v>
      </c>
      <c r="D40" s="228"/>
      <c r="E40" s="229"/>
      <c r="F40" s="232"/>
      <c r="G40" s="231">
        <f>G39+G8</f>
        <v>161892.91999999998</v>
      </c>
      <c r="H40" s="228"/>
      <c r="I40" s="229"/>
      <c r="J40" s="230"/>
      <c r="K40" s="231">
        <f>K39+K8</f>
        <v>136812.81599999999</v>
      </c>
      <c r="L40" s="228"/>
      <c r="M40" s="229"/>
      <c r="N40" s="232"/>
      <c r="O40" s="231">
        <f>O39+O8</f>
        <v>143653.45679999999</v>
      </c>
      <c r="P40" s="228"/>
      <c r="Q40" s="229"/>
      <c r="R40" s="232"/>
      <c r="S40" s="231">
        <f>S39+S8</f>
        <v>34514.350132499996</v>
      </c>
      <c r="T40" s="233">
        <f>+C40+G40+K40+O40+S40</f>
        <v>563772.2629325001</v>
      </c>
      <c r="U40" s="234"/>
      <c r="V40" s="234"/>
      <c r="W40" s="234"/>
      <c r="X40" s="234"/>
      <c r="Y40" s="234"/>
      <c r="Z40" s="235"/>
      <c r="AA40" s="235"/>
      <c r="AB40" s="234"/>
      <c r="AD40" s="236" t="s">
        <v>549</v>
      </c>
      <c r="AG40" s="235"/>
    </row>
    <row r="41" spans="1:33" s="189" customFormat="1" ht="15" customHeight="1" outlineLevel="1">
      <c r="A41" s="190" t="s">
        <v>514</v>
      </c>
      <c r="B41" s="191"/>
      <c r="C41" s="184"/>
      <c r="D41" s="181"/>
      <c r="E41" s="182"/>
      <c r="F41" s="185"/>
      <c r="G41" s="186"/>
      <c r="H41" s="181"/>
      <c r="I41" s="182"/>
      <c r="J41" s="183"/>
      <c r="K41" s="186"/>
      <c r="L41" s="181"/>
      <c r="M41" s="182"/>
      <c r="N41" s="185"/>
      <c r="O41" s="186"/>
      <c r="P41" s="181"/>
      <c r="Q41" s="182"/>
      <c r="R41" s="185"/>
      <c r="S41" s="186"/>
      <c r="T41" s="187"/>
      <c r="U41" s="157"/>
      <c r="V41" s="157"/>
      <c r="W41" s="157"/>
      <c r="X41" s="157"/>
      <c r="Y41" s="157"/>
      <c r="Z41" s="157"/>
      <c r="AA41" s="157"/>
      <c r="AB41" s="163"/>
      <c r="AG41" s="157"/>
    </row>
    <row r="42" spans="1:33" s="189" customFormat="1" ht="15" customHeight="1" outlineLevel="1">
      <c r="A42" s="237" t="s">
        <v>507</v>
      </c>
      <c r="B42" s="216" t="str">
        <f>'Program Budget'!F410</f>
        <v>%</v>
      </c>
      <c r="C42" s="198">
        <f>'Program Budget'!E483</f>
        <v>1004.85</v>
      </c>
      <c r="D42" s="343">
        <f>G8</f>
        <v>34200</v>
      </c>
      <c r="E42" s="218">
        <v>1</v>
      </c>
      <c r="F42" s="160">
        <f>'Program Budget'!G483</f>
        <v>0.56469999999999998</v>
      </c>
      <c r="G42" s="198">
        <f t="shared" ref="G42" si="8">D42*E42*F42</f>
        <v>19312.739999999998</v>
      </c>
      <c r="H42" s="343">
        <f>K8</f>
        <v>34114.5</v>
      </c>
      <c r="I42" s="218">
        <v>1</v>
      </c>
      <c r="J42" s="160">
        <f>F42</f>
        <v>0.56469999999999998</v>
      </c>
      <c r="K42" s="198">
        <f t="shared" ref="K42:K44" si="9">H42*I42*J42</f>
        <v>19264.458149999999</v>
      </c>
      <c r="L42" s="343">
        <f>O8</f>
        <v>35820.224999999999</v>
      </c>
      <c r="M42" s="218">
        <v>1</v>
      </c>
      <c r="N42" s="160">
        <f>J42</f>
        <v>0.56469999999999998</v>
      </c>
      <c r="O42" s="198">
        <f t="shared" ref="O42:O44" si="10">L42*M42*N42</f>
        <v>20227.681057499998</v>
      </c>
      <c r="P42" s="343">
        <f>S8</f>
        <v>0</v>
      </c>
      <c r="Q42" s="218">
        <v>1</v>
      </c>
      <c r="R42" s="160">
        <f>N42</f>
        <v>0.56469999999999998</v>
      </c>
      <c r="S42" s="198">
        <f t="shared" ref="S42:S44" si="11">P42*Q42*R42</f>
        <v>0</v>
      </c>
      <c r="T42" s="333">
        <f t="shared" ref="T42:T44" si="12">C42+G42+K42+O42+S42</f>
        <v>59809.729207499993</v>
      </c>
      <c r="U42" s="157"/>
      <c r="V42" s="157"/>
      <c r="W42" s="157"/>
      <c r="X42" s="157"/>
      <c r="Y42" s="157"/>
      <c r="Z42" s="157"/>
      <c r="AA42" s="157"/>
      <c r="AB42" s="163">
        <v>194</v>
      </c>
      <c r="AC42" s="203" t="s">
        <v>550</v>
      </c>
      <c r="AD42" s="203" t="s">
        <v>551</v>
      </c>
      <c r="AG42" s="157"/>
    </row>
    <row r="43" spans="1:33" s="189" customFormat="1" ht="15" customHeight="1" outlineLevel="1">
      <c r="A43" s="237" t="s">
        <v>515</v>
      </c>
      <c r="B43" s="216" t="str">
        <f>'Program Budget'!F407</f>
        <v>%</v>
      </c>
      <c r="C43" s="198">
        <f>'Program Budget'!E480</f>
        <v>2679.61</v>
      </c>
      <c r="D43" s="343">
        <f>G11+G10+G20+G24+G27+G30+G32</f>
        <v>63752.92</v>
      </c>
      <c r="E43" s="218">
        <v>1</v>
      </c>
      <c r="F43" s="160">
        <f>'Program Budget'!G480</f>
        <v>0.53864000000000001</v>
      </c>
      <c r="G43" s="198">
        <f>D43*E43*F43</f>
        <v>34339.872828799998</v>
      </c>
      <c r="H43" s="343">
        <f>K11+K10+K20+K24+K27+K30+K32</f>
        <v>50560.565999999999</v>
      </c>
      <c r="I43" s="218">
        <v>1</v>
      </c>
      <c r="J43" s="160">
        <f t="shared" ref="J43:J44" si="13">F43</f>
        <v>0.53864000000000001</v>
      </c>
      <c r="K43" s="198">
        <f t="shared" si="9"/>
        <v>27233.943270240001</v>
      </c>
      <c r="L43" s="343">
        <f>O11+O10+O20+O24+O27+O30+O32</f>
        <v>53088.594299999997</v>
      </c>
      <c r="M43" s="218">
        <v>1</v>
      </c>
      <c r="N43" s="160">
        <f t="shared" ref="N43:N44" si="14">J43</f>
        <v>0.53864000000000001</v>
      </c>
      <c r="O43" s="198">
        <f t="shared" si="10"/>
        <v>28595.640433752</v>
      </c>
      <c r="P43" s="343">
        <f>S11+S10+S20+S24+S27+S30+S32</f>
        <v>23149.366695000001</v>
      </c>
      <c r="Q43" s="218">
        <v>1</v>
      </c>
      <c r="R43" s="160">
        <f t="shared" ref="R43:R44" si="15">N43</f>
        <v>0.53864000000000001</v>
      </c>
      <c r="S43" s="198">
        <f t="shared" si="11"/>
        <v>12469.174876594801</v>
      </c>
      <c r="T43" s="335">
        <f t="shared" si="12"/>
        <v>105318.2414093868</v>
      </c>
      <c r="U43" s="157"/>
      <c r="V43" s="157"/>
      <c r="W43" s="157"/>
      <c r="X43" s="157"/>
      <c r="Y43" s="157"/>
      <c r="Z43" s="157"/>
      <c r="AA43" s="157"/>
      <c r="AB43" s="238">
        <v>197</v>
      </c>
      <c r="AC43" s="239" t="s">
        <v>552</v>
      </c>
      <c r="AD43" s="239" t="s">
        <v>553</v>
      </c>
      <c r="AG43" s="157"/>
    </row>
    <row r="44" spans="1:33" s="189" customFormat="1" ht="15" customHeight="1" outlineLevel="1">
      <c r="A44" s="237" t="s">
        <v>516</v>
      </c>
      <c r="B44" s="216" t="str">
        <f>'Program Budget'!F408</f>
        <v>%</v>
      </c>
      <c r="C44" s="198">
        <f>'Program Budget'!E481</f>
        <v>29438.93</v>
      </c>
      <c r="D44" s="343">
        <f>G39-D43</f>
        <v>63940</v>
      </c>
      <c r="E44" s="218">
        <v>1</v>
      </c>
      <c r="F44" s="160">
        <f>'Program Budget'!G481</f>
        <v>0.44863999999999998</v>
      </c>
      <c r="G44" s="198">
        <f>D44*E44*F44</f>
        <v>28686.0416</v>
      </c>
      <c r="H44" s="343">
        <f>K39-H43</f>
        <v>52137.750000000007</v>
      </c>
      <c r="I44" s="218">
        <v>1</v>
      </c>
      <c r="J44" s="160">
        <f t="shared" si="13"/>
        <v>0.44863999999999998</v>
      </c>
      <c r="K44" s="198">
        <f t="shared" si="9"/>
        <v>23391.080160000001</v>
      </c>
      <c r="L44" s="343">
        <f>O39-L43</f>
        <v>54744.637499999997</v>
      </c>
      <c r="M44" s="218">
        <v>1</v>
      </c>
      <c r="N44" s="160">
        <f t="shared" si="14"/>
        <v>0.44863999999999998</v>
      </c>
      <c r="O44" s="198">
        <f t="shared" si="10"/>
        <v>24560.634167999997</v>
      </c>
      <c r="P44" s="343">
        <f>S39-P43</f>
        <v>11364.983437499995</v>
      </c>
      <c r="Q44" s="218">
        <v>1</v>
      </c>
      <c r="R44" s="160">
        <f t="shared" si="15"/>
        <v>0.44863999999999998</v>
      </c>
      <c r="S44" s="198">
        <f t="shared" si="11"/>
        <v>5098.7861693999976</v>
      </c>
      <c r="T44" s="335">
        <f t="shared" si="12"/>
        <v>111175.47209739999</v>
      </c>
      <c r="U44" s="157"/>
      <c r="V44" s="157"/>
      <c r="W44" s="157"/>
      <c r="X44" s="157"/>
      <c r="Y44" s="157"/>
      <c r="Z44" s="157"/>
      <c r="AA44" s="157"/>
      <c r="AB44" s="238">
        <v>197</v>
      </c>
      <c r="AC44" s="239" t="s">
        <v>552</v>
      </c>
      <c r="AD44" s="239" t="s">
        <v>553</v>
      </c>
      <c r="AG44" s="157"/>
    </row>
    <row r="45" spans="1:33" ht="15" customHeight="1" outlineLevel="1">
      <c r="A45" s="208" t="s">
        <v>518</v>
      </c>
      <c r="B45" s="209"/>
      <c r="C45" s="213">
        <f>SUM(C42:C44)</f>
        <v>33123.39</v>
      </c>
      <c r="D45" s="210"/>
      <c r="E45" s="211"/>
      <c r="F45" s="214"/>
      <c r="G45" s="213">
        <f>SUM(G42:G44)</f>
        <v>82338.6544288</v>
      </c>
      <c r="H45" s="210"/>
      <c r="I45" s="211"/>
      <c r="J45" s="212"/>
      <c r="K45" s="213">
        <f>SUM(K42:K44)</f>
        <v>69889.481580239997</v>
      </c>
      <c r="L45" s="210"/>
      <c r="M45" s="211"/>
      <c r="N45" s="214"/>
      <c r="O45" s="213">
        <f>SUM(O42:O44)</f>
        <v>73383.955659251995</v>
      </c>
      <c r="P45" s="210"/>
      <c r="Q45" s="211"/>
      <c r="R45" s="214"/>
      <c r="S45" s="213">
        <f>SUM(S42:S44)</f>
        <v>17567.961045994798</v>
      </c>
      <c r="T45" s="334">
        <f>+C45+G45+K45+O45+S45</f>
        <v>276303.44271428679</v>
      </c>
      <c r="AB45" s="163"/>
      <c r="AC45" s="203"/>
      <c r="AD45" s="203"/>
    </row>
    <row r="46" spans="1:33" s="189" customFormat="1" ht="15" customHeight="1" outlineLevel="1">
      <c r="A46" s="190" t="s">
        <v>519</v>
      </c>
      <c r="B46" s="247"/>
      <c r="C46" s="248"/>
      <c r="D46" s="217"/>
      <c r="E46" s="218"/>
      <c r="F46" s="161"/>
      <c r="G46" s="221"/>
      <c r="H46" s="217"/>
      <c r="I46" s="218"/>
      <c r="J46" s="160"/>
      <c r="K46" s="221"/>
      <c r="L46" s="217"/>
      <c r="M46" s="218"/>
      <c r="N46" s="161"/>
      <c r="O46" s="221"/>
      <c r="P46" s="217"/>
      <c r="Q46" s="218"/>
      <c r="R46" s="161"/>
      <c r="S46" s="221"/>
      <c r="T46" s="333">
        <f>+C46+G46+K46+O46+S46</f>
        <v>0</v>
      </c>
      <c r="U46" s="157"/>
      <c r="V46" s="157"/>
      <c r="W46" s="157"/>
      <c r="X46" s="157"/>
      <c r="Y46" s="157"/>
      <c r="Z46" s="157"/>
      <c r="AA46" s="157"/>
      <c r="AB46" s="163"/>
      <c r="AC46" s="203"/>
      <c r="AD46" s="203" t="s">
        <v>549</v>
      </c>
      <c r="AG46" s="157"/>
    </row>
    <row r="47" spans="1:33" s="189" customFormat="1" ht="15" customHeight="1" outlineLevel="1">
      <c r="A47" s="193" t="str">
        <f>'Program Budget'!D482</f>
        <v>Post (Hardship) Differential for Chief of Party</v>
      </c>
      <c r="B47" s="216" t="str">
        <f>'Program Budget'!F482</f>
        <v>%</v>
      </c>
      <c r="C47" s="198">
        <f>'Program Budget'!E482</f>
        <v>371.76</v>
      </c>
      <c r="D47" s="344">
        <f>G8</f>
        <v>34200</v>
      </c>
      <c r="E47" s="159">
        <v>1</v>
      </c>
      <c r="F47" s="161">
        <f>'Program Budget'!G482</f>
        <v>0.15</v>
      </c>
      <c r="G47" s="198">
        <f>D47*E47*F47</f>
        <v>5130</v>
      </c>
      <c r="H47" s="344">
        <f>K8</f>
        <v>34114.5</v>
      </c>
      <c r="I47" s="159">
        <v>1</v>
      </c>
      <c r="J47" s="160">
        <f>F47</f>
        <v>0.15</v>
      </c>
      <c r="K47" s="198">
        <f>H47*I47*J47</f>
        <v>5117.1750000000002</v>
      </c>
      <c r="L47" s="344">
        <f>O8</f>
        <v>35820.224999999999</v>
      </c>
      <c r="M47" s="159">
        <v>1</v>
      </c>
      <c r="N47" s="161">
        <f>J47</f>
        <v>0.15</v>
      </c>
      <c r="O47" s="198">
        <f>L47*M47*N47</f>
        <v>5373.0337499999996</v>
      </c>
      <c r="P47" s="344">
        <f>S8</f>
        <v>0</v>
      </c>
      <c r="Q47" s="159">
        <v>1</v>
      </c>
      <c r="R47" s="161">
        <f>N47</f>
        <v>0.15</v>
      </c>
      <c r="S47" s="198">
        <f>P47*Q47*R47</f>
        <v>0</v>
      </c>
      <c r="T47" s="337">
        <f t="shared" ref="T47" si="16">C47+G47+K47+O47+S47</f>
        <v>15991.96875</v>
      </c>
      <c r="U47" s="157"/>
      <c r="V47" s="157"/>
      <c r="W47" s="157"/>
      <c r="X47" s="157"/>
      <c r="Y47" s="157"/>
      <c r="Z47" s="157"/>
      <c r="AA47" s="157"/>
      <c r="AB47" s="163"/>
      <c r="AC47" s="207"/>
      <c r="AD47" s="207"/>
      <c r="AG47" s="157"/>
    </row>
    <row r="48" spans="1:33" ht="15" customHeight="1" outlineLevel="1">
      <c r="A48" s="208" t="s">
        <v>520</v>
      </c>
      <c r="B48" s="209"/>
      <c r="C48" s="213">
        <f>SUM(C47:C47)</f>
        <v>371.76</v>
      </c>
      <c r="D48" s="210"/>
      <c r="E48" s="211"/>
      <c r="F48" s="214"/>
      <c r="G48" s="213">
        <f>SUM(G47:G47)</f>
        <v>5130</v>
      </c>
      <c r="H48" s="210"/>
      <c r="I48" s="211"/>
      <c r="J48" s="212"/>
      <c r="K48" s="213">
        <f>SUM(K47:K47)</f>
        <v>5117.1750000000002</v>
      </c>
      <c r="L48" s="210"/>
      <c r="M48" s="211"/>
      <c r="N48" s="214"/>
      <c r="O48" s="213">
        <f>SUM(O47:O47)</f>
        <v>5373.0337499999996</v>
      </c>
      <c r="P48" s="210"/>
      <c r="Q48" s="211"/>
      <c r="R48" s="214"/>
      <c r="S48" s="213">
        <f>SUM(S47:S47)</f>
        <v>0</v>
      </c>
      <c r="T48" s="334">
        <f>C48+G48+K48+O48+S48</f>
        <v>15991.96875</v>
      </c>
      <c r="AB48" s="163"/>
      <c r="AC48" s="203"/>
      <c r="AD48" s="203"/>
    </row>
    <row r="49" spans="1:33" s="258" customFormat="1" ht="18.3" outlineLevel="1">
      <c r="A49" s="249" t="s">
        <v>521</v>
      </c>
      <c r="B49" s="250"/>
      <c r="C49" s="254">
        <f>C48+C45</f>
        <v>33495.15</v>
      </c>
      <c r="D49" s="251"/>
      <c r="E49" s="252"/>
      <c r="F49" s="255"/>
      <c r="G49" s="254">
        <f>G48+G45</f>
        <v>87468.6544288</v>
      </c>
      <c r="H49" s="251"/>
      <c r="I49" s="252"/>
      <c r="J49" s="253"/>
      <c r="K49" s="254">
        <f>K48+K45</f>
        <v>75006.65658024</v>
      </c>
      <c r="L49" s="251"/>
      <c r="M49" s="252"/>
      <c r="N49" s="255"/>
      <c r="O49" s="254">
        <f>O48+O45</f>
        <v>78756.989409251997</v>
      </c>
      <c r="P49" s="251"/>
      <c r="Q49" s="252"/>
      <c r="R49" s="255"/>
      <c r="S49" s="254">
        <f>S48+S45</f>
        <v>17567.961045994798</v>
      </c>
      <c r="T49" s="233">
        <f>+C49+G49+K49+O49+S49</f>
        <v>292295.41146428679</v>
      </c>
      <c r="U49" s="235"/>
      <c r="V49" s="235"/>
      <c r="W49" s="235"/>
      <c r="X49" s="235"/>
      <c r="Y49" s="235"/>
      <c r="Z49" s="235"/>
      <c r="AA49" s="235"/>
      <c r="AB49" s="234">
        <v>287</v>
      </c>
      <c r="AC49" s="256" t="s">
        <v>558</v>
      </c>
      <c r="AD49" s="256" t="s">
        <v>559</v>
      </c>
      <c r="AE49" s="257"/>
      <c r="AG49" s="235"/>
    </row>
    <row r="50" spans="1:33" s="260" customFormat="1" ht="15.6" outlineLevel="1">
      <c r="A50" s="190" t="s">
        <v>523</v>
      </c>
      <c r="B50" s="191"/>
      <c r="C50" s="198"/>
      <c r="D50" s="158"/>
      <c r="E50" s="159"/>
      <c r="F50" s="185"/>
      <c r="G50" s="198"/>
      <c r="H50" s="158"/>
      <c r="I50" s="159"/>
      <c r="J50" s="183"/>
      <c r="K50" s="198"/>
      <c r="L50" s="158"/>
      <c r="M50" s="159"/>
      <c r="N50" s="185"/>
      <c r="O50" s="198"/>
      <c r="P50" s="158"/>
      <c r="Q50" s="159"/>
      <c r="R50" s="185"/>
      <c r="S50" s="198"/>
      <c r="T50" s="333"/>
      <c r="U50" s="157"/>
      <c r="V50" s="157"/>
      <c r="W50" s="157"/>
      <c r="X50" s="157"/>
      <c r="Y50" s="157"/>
      <c r="Z50" s="157"/>
      <c r="AA50" s="157"/>
      <c r="AB50" s="163"/>
      <c r="AC50" s="203"/>
      <c r="AD50" s="203"/>
      <c r="AE50" s="259"/>
      <c r="AG50" s="157"/>
    </row>
    <row r="51" spans="1:33" ht="15" customHeight="1" outlineLevel="1">
      <c r="A51" s="193" t="str">
        <f>'Program Budget'!D496</f>
        <v>Local Transportation to Bogota for Business Plan Presentation to ANDEAN</v>
      </c>
      <c r="B51" s="194" t="str">
        <f>'Program Budget'!F496</f>
        <v>Trip</v>
      </c>
      <c r="C51" s="198">
        <f>'Program Budget'!E496</f>
        <v>2024</v>
      </c>
      <c r="D51" s="195">
        <f>'Program Budget'!G496</f>
        <v>100</v>
      </c>
      <c r="E51" s="196">
        <f>'Program Budget'!I496</f>
        <v>0</v>
      </c>
      <c r="F51" s="197">
        <v>0</v>
      </c>
      <c r="G51" s="198">
        <f>D51*E51*F51</f>
        <v>0</v>
      </c>
      <c r="H51" s="195">
        <f t="shared" ref="H51" si="17">D51*1.04</f>
        <v>104</v>
      </c>
      <c r="I51" s="196">
        <f>'Program Budget'!L496</f>
        <v>0</v>
      </c>
      <c r="J51" s="197">
        <v>0</v>
      </c>
      <c r="K51" s="198">
        <f>H51*I51*J51</f>
        <v>0</v>
      </c>
      <c r="L51" s="195">
        <f t="shared" ref="L51" si="18">H51*1.04</f>
        <v>108.16</v>
      </c>
      <c r="M51" s="196">
        <f>'Program Budget'!O496</f>
        <v>0</v>
      </c>
      <c r="N51" s="197">
        <v>0</v>
      </c>
      <c r="O51" s="198">
        <f>L51*M51*N51</f>
        <v>0</v>
      </c>
      <c r="P51" s="195">
        <f t="shared" ref="P51" si="19">L51*1.04</f>
        <v>112.4864</v>
      </c>
      <c r="Q51" s="196">
        <f>'Program Budget'!R496</f>
        <v>0</v>
      </c>
      <c r="R51" s="197">
        <v>0</v>
      </c>
      <c r="S51" s="198">
        <f>P51*Q51*R51</f>
        <v>0</v>
      </c>
      <c r="T51" s="333">
        <f>C51+G51+K51+O51+S51</f>
        <v>2024</v>
      </c>
      <c r="U51" s="201"/>
      <c r="V51" s="188"/>
      <c r="W51" s="202"/>
      <c r="X51" s="202"/>
      <c r="AB51" s="163">
        <v>180</v>
      </c>
      <c r="AC51" s="203" t="s">
        <v>547</v>
      </c>
      <c r="AD51" s="203" t="s">
        <v>548</v>
      </c>
      <c r="AE51" s="204"/>
      <c r="AG51" s="205"/>
    </row>
    <row r="52" spans="1:33" s="260" customFormat="1" ht="15.6" outlineLevel="1">
      <c r="A52" s="190" t="s">
        <v>525</v>
      </c>
      <c r="B52" s="216"/>
      <c r="C52" s="198"/>
      <c r="D52" s="158"/>
      <c r="E52" s="159"/>
      <c r="F52" s="161"/>
      <c r="G52" s="198"/>
      <c r="H52" s="158"/>
      <c r="I52" s="159"/>
      <c r="J52" s="160"/>
      <c r="K52" s="198"/>
      <c r="L52" s="158"/>
      <c r="M52" s="159"/>
      <c r="N52" s="161"/>
      <c r="O52" s="198"/>
      <c r="P52" s="158"/>
      <c r="Q52" s="159"/>
      <c r="R52" s="161"/>
      <c r="S52" s="198"/>
      <c r="T52" s="333"/>
      <c r="U52" s="157"/>
      <c r="V52" s="157"/>
      <c r="W52" s="157"/>
      <c r="X52" s="157"/>
      <c r="Y52" s="157"/>
      <c r="Z52" s="157"/>
      <c r="AA52" s="157"/>
      <c r="AB52" s="163"/>
      <c r="AC52" s="203"/>
      <c r="AD52" s="203"/>
      <c r="AE52" s="259"/>
      <c r="AG52" s="157"/>
    </row>
    <row r="53" spans="1:33" ht="15" customHeight="1" outlineLevel="1">
      <c r="A53" s="193" t="str">
        <f>'Program Budget'!D497</f>
        <v>Lodging and M&amp;IE in Bogota for Business Plan Presentation to ANDEAN</v>
      </c>
      <c r="B53" s="194" t="str">
        <f>'Program Budget'!F497</f>
        <v>Day</v>
      </c>
      <c r="C53" s="198">
        <f>'Program Budget'!E497</f>
        <v>1680</v>
      </c>
      <c r="D53" s="195">
        <f>'Program Budget'!G497</f>
        <v>100</v>
      </c>
      <c r="E53" s="196">
        <f>'Program Budget'!I497</f>
        <v>0</v>
      </c>
      <c r="F53" s="197">
        <v>0</v>
      </c>
      <c r="G53" s="198">
        <f>D53*E53*F53</f>
        <v>0</v>
      </c>
      <c r="H53" s="195">
        <f t="shared" ref="H53" si="20">D53*1.04</f>
        <v>104</v>
      </c>
      <c r="I53" s="196">
        <f>'Program Budget'!L497</f>
        <v>0</v>
      </c>
      <c r="J53" s="197">
        <v>0</v>
      </c>
      <c r="K53" s="198">
        <f>H53*I53*J53</f>
        <v>0</v>
      </c>
      <c r="L53" s="195">
        <f t="shared" ref="L53" si="21">H53*1.04</f>
        <v>108.16</v>
      </c>
      <c r="M53" s="196">
        <f>'Program Budget'!O497</f>
        <v>0</v>
      </c>
      <c r="N53" s="197">
        <v>0</v>
      </c>
      <c r="O53" s="198">
        <f>L53*M53*N53</f>
        <v>0</v>
      </c>
      <c r="P53" s="195">
        <f t="shared" ref="P53" si="22">L53*1.04</f>
        <v>112.4864</v>
      </c>
      <c r="Q53" s="196">
        <f>'Program Budget'!R497</f>
        <v>0</v>
      </c>
      <c r="R53" s="197">
        <v>0</v>
      </c>
      <c r="S53" s="198">
        <f>P53*Q53*R53</f>
        <v>0</v>
      </c>
      <c r="T53" s="333">
        <f>C53+G53+K53+O53+S53</f>
        <v>1680</v>
      </c>
      <c r="U53" s="201"/>
      <c r="V53" s="188"/>
      <c r="W53" s="202"/>
      <c r="X53" s="202"/>
      <c r="AB53" s="163">
        <v>180</v>
      </c>
      <c r="AC53" s="203" t="s">
        <v>547</v>
      </c>
      <c r="AD53" s="203" t="s">
        <v>548</v>
      </c>
      <c r="AE53" s="204"/>
      <c r="AG53" s="205"/>
    </row>
    <row r="54" spans="1:33" outlineLevel="1">
      <c r="A54" s="325"/>
      <c r="B54" s="216"/>
      <c r="C54" s="198"/>
      <c r="G54" s="198"/>
      <c r="K54" s="198"/>
      <c r="O54" s="198"/>
      <c r="S54" s="198"/>
      <c r="T54" s="200"/>
      <c r="AB54" s="163"/>
      <c r="AC54" s="203"/>
      <c r="AD54" s="203"/>
    </row>
    <row r="55" spans="1:33" ht="18.3">
      <c r="A55" s="261" t="s">
        <v>526</v>
      </c>
      <c r="B55" s="227"/>
      <c r="C55" s="231">
        <f>SUM(C51:C54)</f>
        <v>3704</v>
      </c>
      <c r="D55" s="228"/>
      <c r="E55" s="262"/>
      <c r="F55" s="232"/>
      <c r="G55" s="231">
        <f>SUM(G51:G54)</f>
        <v>0</v>
      </c>
      <c r="H55" s="228"/>
      <c r="I55" s="262"/>
      <c r="J55" s="263"/>
      <c r="K55" s="231">
        <f>SUM(K51:K54)</f>
        <v>0</v>
      </c>
      <c r="L55" s="228"/>
      <c r="M55" s="262"/>
      <c r="N55" s="232"/>
      <c r="O55" s="231">
        <f>SUM(O51:O54)</f>
        <v>0</v>
      </c>
      <c r="P55" s="228"/>
      <c r="Q55" s="262"/>
      <c r="R55" s="232"/>
      <c r="S55" s="231">
        <f>SUM(S51:S54)</f>
        <v>0</v>
      </c>
      <c r="T55" s="233">
        <f>+C55+G55+K55+O55+S55</f>
        <v>3704</v>
      </c>
      <c r="U55" s="163"/>
      <c r="V55" s="163"/>
      <c r="W55" s="163"/>
      <c r="X55" s="163"/>
      <c r="Y55" s="163"/>
      <c r="AB55" s="163"/>
      <c r="AC55" s="189"/>
      <c r="AD55" s="189" t="s">
        <v>549</v>
      </c>
      <c r="AE55" s="189"/>
    </row>
    <row r="56" spans="1:33" ht="15.6" outlineLevel="1">
      <c r="A56" s="190" t="s">
        <v>55</v>
      </c>
      <c r="B56" s="264"/>
      <c r="C56" s="248"/>
      <c r="E56" s="265"/>
      <c r="F56" s="267"/>
      <c r="G56" s="221"/>
      <c r="I56" s="265"/>
      <c r="J56" s="266"/>
      <c r="K56" s="221"/>
      <c r="M56" s="265"/>
      <c r="N56" s="267"/>
      <c r="O56" s="221"/>
      <c r="Q56" s="265"/>
      <c r="R56" s="267"/>
      <c r="S56" s="221"/>
      <c r="T56" s="200"/>
      <c r="AB56" s="163"/>
      <c r="AC56" s="203"/>
      <c r="AD56" s="268"/>
    </row>
    <row r="57" spans="1:33" ht="15.6" outlineLevel="1">
      <c r="A57" s="269" t="str">
        <f>'Program Budget'!D487</f>
        <v>Incubator/Accelerator Partnerships</v>
      </c>
      <c r="B57" s="194" t="str">
        <f>'Program Budget'!F487</f>
        <v>Contract</v>
      </c>
      <c r="C57" s="198">
        <f>'Program Budget'!E487</f>
        <v>0</v>
      </c>
      <c r="D57" s="195">
        <f>'Program Budget'!G487</f>
        <v>74500</v>
      </c>
      <c r="E57" s="196">
        <f>'Program Budget'!I487</f>
        <v>1</v>
      </c>
      <c r="F57" s="197">
        <v>1</v>
      </c>
      <c r="G57" s="198">
        <f>D57*E57*F57</f>
        <v>74500</v>
      </c>
      <c r="H57" s="195">
        <f>D57</f>
        <v>74500</v>
      </c>
      <c r="I57" s="196">
        <f>'Program Budget'!L487</f>
        <v>0</v>
      </c>
      <c r="J57" s="197">
        <v>0</v>
      </c>
      <c r="K57" s="198">
        <f>H57*I57*J57</f>
        <v>0</v>
      </c>
      <c r="L57" s="195">
        <f>H57</f>
        <v>74500</v>
      </c>
      <c r="M57" s="196">
        <f>'Program Budget'!O487</f>
        <v>0</v>
      </c>
      <c r="N57" s="197">
        <v>0</v>
      </c>
      <c r="O57" s="198">
        <f>L57*M57*N57</f>
        <v>0</v>
      </c>
      <c r="P57" s="195">
        <f>L57</f>
        <v>74500</v>
      </c>
      <c r="Q57" s="196">
        <f>'Program Budget'!R487</f>
        <v>0</v>
      </c>
      <c r="R57" s="197">
        <v>0</v>
      </c>
      <c r="S57" s="198">
        <f>P57*Q57*R57</f>
        <v>0</v>
      </c>
      <c r="T57" s="333">
        <f>C57+G57+K57+O57+S57</f>
        <v>74500</v>
      </c>
      <c r="AB57" s="163"/>
      <c r="AC57" s="203"/>
      <c r="AD57" s="268"/>
    </row>
    <row r="58" spans="1:33" ht="15.6" outlineLevel="1">
      <c r="A58" s="269" t="str">
        <f>'Program Budget'!D488</f>
        <v xml:space="preserve">Consultant for Farmer Segmentation as Bankability Tool </v>
      </c>
      <c r="B58" s="194" t="str">
        <f>'Program Budget'!F488</f>
        <v>Month</v>
      </c>
      <c r="C58" s="198">
        <f>'Program Budget'!E488</f>
        <v>0</v>
      </c>
      <c r="D58" s="195">
        <f>'Program Budget'!G488</f>
        <v>5000</v>
      </c>
      <c r="E58" s="196">
        <f>'Program Budget'!I488</f>
        <v>2</v>
      </c>
      <c r="F58" s="197">
        <v>1</v>
      </c>
      <c r="G58" s="198">
        <f>D58*E58*F58</f>
        <v>10000</v>
      </c>
      <c r="H58" s="195">
        <f>D58</f>
        <v>5000</v>
      </c>
      <c r="I58" s="196">
        <f>'Program Budget'!L488</f>
        <v>0</v>
      </c>
      <c r="J58" s="197">
        <v>1</v>
      </c>
      <c r="K58" s="198">
        <f>H58*I58*J58</f>
        <v>0</v>
      </c>
      <c r="L58" s="195">
        <f>H58</f>
        <v>5000</v>
      </c>
      <c r="M58" s="196">
        <f>'Program Budget'!O488</f>
        <v>0</v>
      </c>
      <c r="N58" s="197">
        <v>1</v>
      </c>
      <c r="O58" s="198">
        <f>L58*M58*N58</f>
        <v>0</v>
      </c>
      <c r="P58" s="195">
        <f>L58</f>
        <v>5000</v>
      </c>
      <c r="Q58" s="196">
        <f>'Program Budget'!R488</f>
        <v>0</v>
      </c>
      <c r="R58" s="197">
        <v>0</v>
      </c>
      <c r="S58" s="198">
        <f>P58*Q58*R58</f>
        <v>0</v>
      </c>
      <c r="T58" s="333">
        <f>C58+G58+K58+O58+S58</f>
        <v>10000</v>
      </c>
      <c r="AB58" s="163"/>
      <c r="AC58" s="203"/>
      <c r="AD58" s="268"/>
    </row>
    <row r="59" spans="1:33" outlineLevel="1">
      <c r="A59" s="326"/>
      <c r="B59" s="216"/>
      <c r="C59" s="198"/>
      <c r="D59" s="270"/>
      <c r="E59" s="271"/>
      <c r="F59" s="160"/>
      <c r="G59" s="198"/>
      <c r="H59" s="270"/>
      <c r="I59" s="271"/>
      <c r="K59" s="198"/>
      <c r="L59" s="270"/>
      <c r="M59" s="271"/>
      <c r="N59" s="160"/>
      <c r="O59" s="198"/>
      <c r="P59" s="270"/>
      <c r="Q59" s="271"/>
      <c r="R59" s="160"/>
      <c r="S59" s="198"/>
      <c r="T59" s="272"/>
      <c r="AB59" s="163"/>
      <c r="AC59" s="203"/>
      <c r="AD59" s="268"/>
    </row>
    <row r="60" spans="1:33" ht="18.3" outlineLevel="1">
      <c r="A60" s="261" t="s">
        <v>527</v>
      </c>
      <c r="B60" s="227"/>
      <c r="C60" s="231">
        <f>SUM(C57:C59)</f>
        <v>0</v>
      </c>
      <c r="D60" s="228"/>
      <c r="E60" s="262"/>
      <c r="F60" s="232"/>
      <c r="G60" s="231">
        <f>SUM(G57:G59)</f>
        <v>84500</v>
      </c>
      <c r="H60" s="228"/>
      <c r="I60" s="262"/>
      <c r="J60" s="263"/>
      <c r="K60" s="231">
        <f>SUM(K57:K59)</f>
        <v>0</v>
      </c>
      <c r="L60" s="228"/>
      <c r="M60" s="262"/>
      <c r="N60" s="232"/>
      <c r="O60" s="231">
        <f>SUM(O57:O59)</f>
        <v>0</v>
      </c>
      <c r="P60" s="228"/>
      <c r="Q60" s="262"/>
      <c r="R60" s="232"/>
      <c r="S60" s="231">
        <f>SUM(S57:S59)</f>
        <v>0</v>
      </c>
      <c r="T60" s="233">
        <f>+C60+G60+K60+O60+S60</f>
        <v>84500</v>
      </c>
      <c r="AB60" s="163"/>
      <c r="AC60" s="203"/>
      <c r="AD60" s="268"/>
    </row>
    <row r="61" spans="1:33" ht="15.6" outlineLevel="1">
      <c r="A61" s="190" t="s">
        <v>528</v>
      </c>
      <c r="B61" s="273"/>
      <c r="C61" s="198"/>
      <c r="E61" s="265"/>
      <c r="G61" s="200"/>
      <c r="I61" s="265"/>
      <c r="K61" s="200"/>
      <c r="M61" s="265"/>
      <c r="O61" s="200"/>
      <c r="Q61" s="265"/>
      <c r="S61" s="200"/>
      <c r="T61" s="200"/>
      <c r="AB61" s="163"/>
    </row>
    <row r="62" spans="1:33" outlineLevel="1">
      <c r="A62" s="193" t="s">
        <v>458</v>
      </c>
      <c r="B62" s="216"/>
      <c r="C62" s="198">
        <v>0</v>
      </c>
      <c r="E62" s="274"/>
      <c r="F62" s="160"/>
      <c r="G62" s="198">
        <f t="shared" ref="G62" si="23">D62*E62*F62</f>
        <v>0</v>
      </c>
      <c r="I62" s="274"/>
      <c r="K62" s="198">
        <f t="shared" ref="K62" si="24">H62*I62*J62</f>
        <v>0</v>
      </c>
      <c r="M62" s="274"/>
      <c r="N62" s="160"/>
      <c r="O62" s="198">
        <f t="shared" ref="O62" si="25">L62*M62*N62</f>
        <v>0</v>
      </c>
      <c r="Q62" s="274"/>
      <c r="R62" s="160"/>
      <c r="S62" s="198">
        <f t="shared" ref="S62" si="26">P62*Q62*R62</f>
        <v>0</v>
      </c>
      <c r="T62" s="200">
        <f t="shared" ref="T62" si="27">C62+G62+K62+O62+S62</f>
        <v>0</v>
      </c>
      <c r="AB62" s="163">
        <v>298</v>
      </c>
      <c r="AC62" s="203" t="s">
        <v>577</v>
      </c>
      <c r="AD62" s="203" t="s">
        <v>578</v>
      </c>
    </row>
    <row r="63" spans="1:33" outlineLevel="1">
      <c r="A63" s="193"/>
      <c r="B63" s="216"/>
      <c r="C63" s="198"/>
      <c r="E63" s="274"/>
      <c r="F63" s="160"/>
      <c r="G63" s="198"/>
      <c r="I63" s="274"/>
      <c r="K63" s="198"/>
      <c r="M63" s="274"/>
      <c r="N63" s="160"/>
      <c r="O63" s="198"/>
      <c r="Q63" s="274"/>
      <c r="R63" s="160"/>
      <c r="S63" s="198"/>
      <c r="T63" s="200"/>
      <c r="AB63" s="163"/>
      <c r="AC63" s="203"/>
      <c r="AD63" s="203"/>
    </row>
    <row r="64" spans="1:33" ht="18.3" outlineLevel="1">
      <c r="A64" s="261" t="s">
        <v>529</v>
      </c>
      <c r="B64" s="227"/>
      <c r="C64" s="231">
        <f>SUM(C62:C63)</f>
        <v>0</v>
      </c>
      <c r="D64" s="228"/>
      <c r="E64" s="262"/>
      <c r="F64" s="232"/>
      <c r="G64" s="231">
        <f>SUM(G62:G63)</f>
        <v>0</v>
      </c>
      <c r="H64" s="228"/>
      <c r="I64" s="262"/>
      <c r="J64" s="263"/>
      <c r="K64" s="231">
        <f>SUM(K62:K63)</f>
        <v>0</v>
      </c>
      <c r="L64" s="228"/>
      <c r="M64" s="262"/>
      <c r="N64" s="232"/>
      <c r="O64" s="231">
        <f>SUM(O62:O63)</f>
        <v>0</v>
      </c>
      <c r="P64" s="228"/>
      <c r="Q64" s="262"/>
      <c r="R64" s="232"/>
      <c r="S64" s="231">
        <f>SUM(S62:S63)</f>
        <v>0</v>
      </c>
      <c r="T64" s="233">
        <f>+C64+G64+K64+O64+S64</f>
        <v>0</v>
      </c>
      <c r="AB64" s="163"/>
      <c r="AC64" s="203"/>
      <c r="AD64" s="268"/>
    </row>
    <row r="65" spans="1:30" ht="15.6" outlineLevel="1">
      <c r="A65" s="190" t="s">
        <v>33</v>
      </c>
      <c r="B65" s="216"/>
      <c r="C65" s="198"/>
      <c r="E65" s="265"/>
      <c r="F65" s="160"/>
      <c r="G65" s="198"/>
      <c r="I65" s="265"/>
      <c r="K65" s="198"/>
      <c r="M65" s="265"/>
      <c r="N65" s="160"/>
      <c r="O65" s="198"/>
      <c r="Q65" s="265"/>
      <c r="R65" s="160"/>
      <c r="S65" s="198"/>
      <c r="T65" s="200"/>
      <c r="AB65" s="163"/>
      <c r="AC65" s="203"/>
      <c r="AD65" s="203"/>
    </row>
    <row r="66" spans="1:30" outlineLevel="1">
      <c r="A66" s="193" t="s">
        <v>458</v>
      </c>
      <c r="B66" s="216"/>
      <c r="C66" s="198"/>
      <c r="E66" s="265"/>
      <c r="F66" s="160"/>
      <c r="G66" s="198"/>
      <c r="I66" s="265"/>
      <c r="K66" s="198"/>
      <c r="M66" s="265"/>
      <c r="N66" s="160"/>
      <c r="O66" s="198"/>
      <c r="Q66" s="265"/>
      <c r="R66" s="160"/>
      <c r="S66" s="198"/>
      <c r="T66" s="200"/>
      <c r="AB66" s="163"/>
      <c r="AC66" s="203"/>
      <c r="AD66" s="203"/>
    </row>
    <row r="67" spans="1:30" ht="18.3" outlineLevel="1">
      <c r="A67" s="261" t="s">
        <v>530</v>
      </c>
      <c r="B67" s="227"/>
      <c r="C67" s="231">
        <f>SUM(C63:C63)</f>
        <v>0</v>
      </c>
      <c r="D67" s="228"/>
      <c r="E67" s="262"/>
      <c r="F67" s="232"/>
      <c r="G67" s="231">
        <f>SUM(G63:G63)</f>
        <v>0</v>
      </c>
      <c r="H67" s="228"/>
      <c r="I67" s="262"/>
      <c r="J67" s="263"/>
      <c r="K67" s="231">
        <f>SUM(K63:K63)</f>
        <v>0</v>
      </c>
      <c r="L67" s="228"/>
      <c r="M67" s="262"/>
      <c r="N67" s="232"/>
      <c r="O67" s="231">
        <f>SUM(O63:O63)</f>
        <v>0</v>
      </c>
      <c r="P67" s="228"/>
      <c r="Q67" s="262"/>
      <c r="R67" s="232"/>
      <c r="S67" s="231">
        <f>SUM(S63:S63)</f>
        <v>0</v>
      </c>
      <c r="T67" s="233">
        <f>+C67+G67+K67+O67+S67</f>
        <v>0</v>
      </c>
      <c r="AB67" s="163">
        <v>236</v>
      </c>
      <c r="AC67" s="203" t="s">
        <v>566</v>
      </c>
      <c r="AD67" s="268" t="s">
        <v>567</v>
      </c>
    </row>
    <row r="68" spans="1:30" ht="15.6" outlineLevel="1">
      <c r="A68" s="190" t="s">
        <v>34</v>
      </c>
      <c r="B68" s="264"/>
      <c r="C68" s="248"/>
      <c r="E68" s="265"/>
      <c r="F68" s="267"/>
      <c r="G68" s="221"/>
      <c r="I68" s="265"/>
      <c r="J68" s="266"/>
      <c r="K68" s="221"/>
      <c r="M68" s="265"/>
      <c r="N68" s="267"/>
      <c r="O68" s="221"/>
      <c r="Q68" s="265"/>
      <c r="R68" s="267"/>
      <c r="S68" s="221"/>
      <c r="T68" s="200"/>
      <c r="AB68" s="163">
        <v>236</v>
      </c>
      <c r="AC68" s="203" t="s">
        <v>566</v>
      </c>
      <c r="AD68" s="268" t="s">
        <v>567</v>
      </c>
    </row>
    <row r="69" spans="1:30" ht="15.6" outlineLevel="1">
      <c r="A69" s="269" t="str">
        <f>'Program Budget'!D492</f>
        <v>Communication &amp; Promotional Fees for Grant RFA</v>
      </c>
      <c r="B69" s="194" t="str">
        <f>'Program Budget'!F492</f>
        <v>Unit</v>
      </c>
      <c r="C69" s="198">
        <f>'Program Budget'!E492</f>
        <v>0</v>
      </c>
      <c r="D69" s="195">
        <f>'Program Budget'!G492</f>
        <v>500</v>
      </c>
      <c r="E69" s="196">
        <f>'Program Budget'!I492</f>
        <v>0</v>
      </c>
      <c r="F69" s="197">
        <v>0</v>
      </c>
      <c r="G69" s="198">
        <f>D69*E69*F69</f>
        <v>0</v>
      </c>
      <c r="H69" s="195">
        <f>D69</f>
        <v>500</v>
      </c>
      <c r="I69" s="196">
        <f>'Program Budget'!L492</f>
        <v>0</v>
      </c>
      <c r="J69" s="197">
        <v>0</v>
      </c>
      <c r="K69" s="198">
        <f>H69*I69*J69</f>
        <v>0</v>
      </c>
      <c r="L69" s="195">
        <f>H69</f>
        <v>500</v>
      </c>
      <c r="M69" s="196">
        <f>'Program Budget'!O492</f>
        <v>0</v>
      </c>
      <c r="N69" s="197">
        <v>0</v>
      </c>
      <c r="O69" s="198">
        <f>L69*M69*N69</f>
        <v>0</v>
      </c>
      <c r="P69" s="195">
        <f>L69</f>
        <v>500</v>
      </c>
      <c r="Q69" s="196">
        <f>'Program Budget'!R492</f>
        <v>0</v>
      </c>
      <c r="R69" s="197">
        <v>0</v>
      </c>
      <c r="S69" s="198">
        <f>P69*Q69*R69</f>
        <v>0</v>
      </c>
      <c r="T69" s="333">
        <f>C69+G69+K69+O69+S69</f>
        <v>0</v>
      </c>
      <c r="AB69" s="163"/>
      <c r="AC69" s="203"/>
      <c r="AD69" s="268"/>
    </row>
    <row r="70" spans="1:30" outlineLevel="1">
      <c r="A70" s="193"/>
      <c r="B70" s="216"/>
      <c r="C70" s="198"/>
      <c r="E70" s="265"/>
      <c r="F70" s="160"/>
      <c r="G70" s="198"/>
      <c r="I70" s="265"/>
      <c r="K70" s="198"/>
      <c r="M70" s="265"/>
      <c r="N70" s="160"/>
      <c r="O70" s="198"/>
      <c r="Q70" s="265"/>
      <c r="R70" s="160"/>
      <c r="S70" s="198"/>
      <c r="T70" s="200"/>
      <c r="AB70" s="163"/>
      <c r="AC70" s="203"/>
      <c r="AD70" s="203"/>
    </row>
    <row r="71" spans="1:30" ht="18.3" outlineLevel="1">
      <c r="A71" s="261" t="s">
        <v>531</v>
      </c>
      <c r="B71" s="227"/>
      <c r="C71" s="231">
        <f>SUM(C69:C70)</f>
        <v>0</v>
      </c>
      <c r="D71" s="228"/>
      <c r="E71" s="262"/>
      <c r="F71" s="232"/>
      <c r="G71" s="231">
        <f>SUM(G69:G70)</f>
        <v>0</v>
      </c>
      <c r="H71" s="228"/>
      <c r="I71" s="262"/>
      <c r="J71" s="263"/>
      <c r="K71" s="231">
        <f>SUM(K69:K70)</f>
        <v>0</v>
      </c>
      <c r="L71" s="228"/>
      <c r="M71" s="262"/>
      <c r="N71" s="232"/>
      <c r="O71" s="231">
        <f>SUM(O69:O70)</f>
        <v>0</v>
      </c>
      <c r="P71" s="228"/>
      <c r="Q71" s="262"/>
      <c r="R71" s="232"/>
      <c r="S71" s="231">
        <f>SUM(S69:S70)</f>
        <v>0</v>
      </c>
      <c r="T71" s="231">
        <f>SUM(T69:T70)</f>
        <v>0</v>
      </c>
      <c r="AB71" s="163"/>
      <c r="AC71" s="203"/>
      <c r="AD71" s="268"/>
    </row>
    <row r="72" spans="1:30" ht="15.6" outlineLevel="1">
      <c r="A72" s="276" t="s">
        <v>532</v>
      </c>
      <c r="B72" s="216"/>
      <c r="C72" s="248"/>
      <c r="D72" s="277"/>
      <c r="E72" s="278"/>
      <c r="G72" s="221"/>
      <c r="H72" s="277"/>
      <c r="I72" s="278"/>
      <c r="K72" s="221"/>
      <c r="L72" s="277"/>
      <c r="M72" s="278"/>
      <c r="O72" s="221"/>
      <c r="P72" s="277"/>
      <c r="Q72" s="278"/>
      <c r="S72" s="221"/>
      <c r="T72" s="200"/>
      <c r="AB72" s="163"/>
      <c r="AC72" s="203"/>
      <c r="AD72" s="268"/>
    </row>
    <row r="73" spans="1:30" ht="15.6" outlineLevel="1">
      <c r="A73" s="190" t="s">
        <v>249</v>
      </c>
      <c r="B73" s="216"/>
      <c r="C73" s="198"/>
      <c r="D73" s="277"/>
      <c r="E73" s="278"/>
      <c r="F73" s="160"/>
      <c r="G73" s="198"/>
      <c r="H73" s="277"/>
      <c r="I73" s="278"/>
      <c r="K73" s="198"/>
      <c r="L73" s="277"/>
      <c r="M73" s="278"/>
      <c r="N73" s="160"/>
      <c r="O73" s="198"/>
      <c r="P73" s="277"/>
      <c r="Q73" s="278"/>
      <c r="R73" s="160"/>
      <c r="S73" s="198"/>
      <c r="T73" s="200"/>
      <c r="AB73" s="163"/>
      <c r="AC73" s="203"/>
      <c r="AD73" s="268"/>
    </row>
    <row r="74" spans="1:30" ht="15.6" outlineLevel="1">
      <c r="A74" s="269" t="str">
        <f>'Program Budget'!D502</f>
        <v>Niche Cacao and Complimentary Crop Entrepreneurship Grants</v>
      </c>
      <c r="B74" s="194" t="str">
        <f>'Program Budget'!F502</f>
        <v>Grant</v>
      </c>
      <c r="C74" s="198">
        <f>'Program Budget'!E502</f>
        <v>16000</v>
      </c>
      <c r="D74" s="195">
        <f>'Program Budget'!G502</f>
        <v>13000</v>
      </c>
      <c r="E74" s="196">
        <f>'Program Budget'!I502</f>
        <v>0</v>
      </c>
      <c r="F74" s="197">
        <v>0</v>
      </c>
      <c r="G74" s="198">
        <f t="shared" ref="G74" si="28">D74*E74*F74</f>
        <v>0</v>
      </c>
      <c r="H74" s="195">
        <f>D74</f>
        <v>13000</v>
      </c>
      <c r="I74" s="196">
        <f>'Program Budget'!L502</f>
        <v>0</v>
      </c>
      <c r="J74" s="197">
        <v>0</v>
      </c>
      <c r="K74" s="198">
        <f t="shared" ref="K74" si="29">H74*I74*J74</f>
        <v>0</v>
      </c>
      <c r="L74" s="195">
        <f>H74</f>
        <v>13000</v>
      </c>
      <c r="M74" s="196">
        <f>'Program Budget'!O502</f>
        <v>0</v>
      </c>
      <c r="N74" s="197">
        <v>0</v>
      </c>
      <c r="O74" s="198">
        <f t="shared" ref="O74" si="30">L74*M74*N74</f>
        <v>0</v>
      </c>
      <c r="P74" s="195">
        <f>L74</f>
        <v>13000</v>
      </c>
      <c r="Q74" s="196">
        <f>'Program Budget'!R502</f>
        <v>0</v>
      </c>
      <c r="R74" s="197">
        <v>0</v>
      </c>
      <c r="S74" s="198">
        <f t="shared" ref="S74" si="31">P74*Q74*R74</f>
        <v>0</v>
      </c>
      <c r="T74" s="333">
        <f t="shared" ref="T74" si="32">C74+G74+K74+O74+S74</f>
        <v>16000</v>
      </c>
      <c r="AB74" s="163"/>
      <c r="AC74" s="203"/>
      <c r="AD74" s="268"/>
    </row>
    <row r="75" spans="1:30" ht="15.6" outlineLevel="1">
      <c r="A75" s="190" t="s">
        <v>362</v>
      </c>
      <c r="B75" s="194"/>
      <c r="C75" s="198"/>
      <c r="D75" s="195"/>
      <c r="E75" s="196"/>
      <c r="F75" s="197"/>
      <c r="G75" s="198"/>
      <c r="H75" s="195"/>
      <c r="I75" s="196"/>
      <c r="J75" s="197"/>
      <c r="K75" s="198"/>
      <c r="L75" s="195"/>
      <c r="M75" s="196"/>
      <c r="N75" s="197"/>
      <c r="O75" s="198"/>
      <c r="P75" s="195"/>
      <c r="Q75" s="196"/>
      <c r="R75" s="197"/>
      <c r="S75" s="198"/>
      <c r="T75" s="333"/>
      <c r="AB75" s="163"/>
      <c r="AC75" s="203"/>
      <c r="AD75" s="268"/>
    </row>
    <row r="76" spans="1:30" ht="15.6" outlineLevel="1">
      <c r="A76" s="269" t="str">
        <f>'Program Budget'!D504</f>
        <v>Expand Cacao Crop Insurance Coverage (Cacao Seguro) - Policy Cost</v>
      </c>
      <c r="B76" s="194" t="str">
        <f>'Program Budget'!F504</f>
        <v>Unit</v>
      </c>
      <c r="C76" s="198">
        <f>'Program Budget'!E504</f>
        <v>66151.959999999992</v>
      </c>
      <c r="D76" s="195">
        <f>'Program Budget'!G504</f>
        <v>45000</v>
      </c>
      <c r="E76" s="196">
        <f>'Program Budget'!I504</f>
        <v>1</v>
      </c>
      <c r="F76" s="197">
        <v>1</v>
      </c>
      <c r="G76" s="198">
        <f t="shared" ref="G76" si="33">D76*E76*F76</f>
        <v>45000</v>
      </c>
      <c r="H76" s="195">
        <f>D76</f>
        <v>45000</v>
      </c>
      <c r="I76" s="196">
        <f>'Program Budget'!L504</f>
        <v>0.5</v>
      </c>
      <c r="J76" s="197">
        <v>1</v>
      </c>
      <c r="K76" s="198">
        <f t="shared" ref="K76" si="34">H76*I76*J76</f>
        <v>22500</v>
      </c>
      <c r="L76" s="195">
        <f>H76</f>
        <v>45000</v>
      </c>
      <c r="M76" s="196">
        <f>'Program Budget'!O504</f>
        <v>0.25</v>
      </c>
      <c r="N76" s="197">
        <v>1</v>
      </c>
      <c r="O76" s="198">
        <f t="shared" ref="O76" si="35">L76*M76*N76</f>
        <v>11250</v>
      </c>
      <c r="P76" s="195">
        <f>L76</f>
        <v>45000</v>
      </c>
      <c r="Q76" s="196">
        <f>'Program Budget'!R504</f>
        <v>0</v>
      </c>
      <c r="R76" s="197">
        <v>0</v>
      </c>
      <c r="S76" s="198">
        <f t="shared" ref="S76" si="36">P76*Q76*R76</f>
        <v>0</v>
      </c>
      <c r="T76" s="333">
        <f t="shared" ref="T76" si="37">C76+G76+K76+O76+S76</f>
        <v>144901.96</v>
      </c>
      <c r="AB76" s="163"/>
      <c r="AC76" s="203"/>
      <c r="AD76" s="268"/>
    </row>
    <row r="77" spans="1:30" ht="15.6" outlineLevel="1">
      <c r="A77" s="281"/>
      <c r="B77" s="241"/>
      <c r="C77" s="245"/>
      <c r="D77" s="279"/>
      <c r="E77" s="280"/>
      <c r="F77" s="244"/>
      <c r="G77" s="245"/>
      <c r="H77" s="279"/>
      <c r="I77" s="280"/>
      <c r="J77" s="244"/>
      <c r="K77" s="245"/>
      <c r="L77" s="279"/>
      <c r="M77" s="280"/>
      <c r="N77" s="244"/>
      <c r="O77" s="245"/>
      <c r="P77" s="279"/>
      <c r="Q77" s="280"/>
      <c r="R77" s="244"/>
      <c r="S77" s="245"/>
      <c r="T77" s="200"/>
      <c r="AB77" s="163"/>
      <c r="AC77" s="203"/>
      <c r="AD77" s="268"/>
    </row>
    <row r="78" spans="1:30" ht="18.3" outlineLevel="1">
      <c r="A78" s="282" t="s">
        <v>537</v>
      </c>
      <c r="B78" s="227"/>
      <c r="C78" s="254">
        <f>SUM(C73:C76)</f>
        <v>82151.959999999992</v>
      </c>
      <c r="D78" s="251"/>
      <c r="E78" s="252"/>
      <c r="F78" s="255"/>
      <c r="G78" s="254">
        <f>SUM(G73:G76)</f>
        <v>45000</v>
      </c>
      <c r="H78" s="251"/>
      <c r="I78" s="252"/>
      <c r="J78" s="283"/>
      <c r="K78" s="254">
        <f>SUM(K73:K76)</f>
        <v>22500</v>
      </c>
      <c r="L78" s="251"/>
      <c r="M78" s="252"/>
      <c r="N78" s="255"/>
      <c r="O78" s="254">
        <f>SUM(O73:O76)</f>
        <v>11250</v>
      </c>
      <c r="P78" s="251"/>
      <c r="Q78" s="252"/>
      <c r="R78" s="255"/>
      <c r="S78" s="254">
        <f>SUM(S73:S76)</f>
        <v>0</v>
      </c>
      <c r="T78" s="233">
        <f>+C78+G78+K78+O78+S78</f>
        <v>160901.96</v>
      </c>
      <c r="AB78" s="163">
        <v>250</v>
      </c>
      <c r="AC78" s="203" t="s">
        <v>569</v>
      </c>
      <c r="AD78" s="268" t="s">
        <v>570</v>
      </c>
    </row>
    <row r="79" spans="1:30" ht="15.6" outlineLevel="1">
      <c r="A79" s="284"/>
      <c r="B79" s="239"/>
      <c r="C79" s="198"/>
      <c r="D79" s="277"/>
      <c r="E79" s="278"/>
      <c r="G79" s="200"/>
      <c r="H79" s="277"/>
      <c r="I79" s="278"/>
      <c r="K79" s="200"/>
      <c r="L79" s="277"/>
      <c r="M79" s="278"/>
      <c r="O79" s="200"/>
      <c r="P79" s="277"/>
      <c r="Q79" s="278"/>
      <c r="S79" s="200"/>
      <c r="T79" s="200"/>
      <c r="AB79" s="163">
        <v>317</v>
      </c>
      <c r="AC79" s="203" t="s">
        <v>571</v>
      </c>
      <c r="AD79" s="268" t="s">
        <v>572</v>
      </c>
    </row>
    <row r="80" spans="1:30" ht="18.3" outlineLevel="1">
      <c r="A80" s="285" t="s">
        <v>538</v>
      </c>
      <c r="B80" s="286"/>
      <c r="C80" s="290">
        <f>C40+C49+C55+C67+C71+C60+C78+C64</f>
        <v>206249.83</v>
      </c>
      <c r="D80" s="287"/>
      <c r="E80" s="288"/>
      <c r="F80" s="291"/>
      <c r="G80" s="290">
        <f>G40+G49+G55+G67+G71+G60+G78+G64</f>
        <v>378861.57442879997</v>
      </c>
      <c r="H80" s="287"/>
      <c r="I80" s="288"/>
      <c r="J80" s="289"/>
      <c r="K80" s="290">
        <f>K40+K49+K55+K67+K71+K60+K78+K64</f>
        <v>234319.47258023999</v>
      </c>
      <c r="L80" s="287"/>
      <c r="M80" s="288"/>
      <c r="N80" s="291"/>
      <c r="O80" s="290">
        <f>O40+O49+O55+O67+O71+O60+O78+O64</f>
        <v>233660.446209252</v>
      </c>
      <c r="P80" s="287"/>
      <c r="Q80" s="288"/>
      <c r="R80" s="291"/>
      <c r="S80" s="290">
        <f>S40+S49+S55+S67+S71+S60+S78+S64</f>
        <v>52082.311178494798</v>
      </c>
      <c r="T80" s="290">
        <f>T40+T49+T55+T67+T71+T60+T78+T64</f>
        <v>1105173.6343967868</v>
      </c>
      <c r="U80" s="157">
        <f>SUM(G80,K80,O80,S80)</f>
        <v>898923.80439678673</v>
      </c>
      <c r="AB80" s="163">
        <v>318</v>
      </c>
      <c r="AC80" s="203" t="s">
        <v>573</v>
      </c>
      <c r="AD80" s="268" t="s">
        <v>574</v>
      </c>
    </row>
    <row r="81" spans="1:30">
      <c r="A81" s="329"/>
      <c r="B81" s="239"/>
      <c r="C81" s="198"/>
      <c r="D81" s="277"/>
      <c r="E81" s="278"/>
      <c r="G81" s="200"/>
      <c r="H81" s="277"/>
      <c r="I81" s="278"/>
      <c r="K81" s="200"/>
      <c r="L81" s="277"/>
      <c r="M81" s="278"/>
      <c r="O81" s="200"/>
      <c r="P81" s="277"/>
      <c r="Q81" s="278"/>
      <c r="S81" s="200"/>
      <c r="T81" s="200"/>
    </row>
    <row r="82" spans="1:30" ht="20.399999999999999">
      <c r="A82" s="292" t="s">
        <v>59</v>
      </c>
      <c r="B82" s="293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3"/>
    </row>
    <row r="83" spans="1:30" ht="15" customHeight="1">
      <c r="A83" s="295" t="s">
        <v>60</v>
      </c>
      <c r="B83" s="349" t="s">
        <v>132</v>
      </c>
      <c r="C83" s="198">
        <v>0</v>
      </c>
      <c r="D83" s="195">
        <v>0</v>
      </c>
      <c r="E83" s="196">
        <v>1</v>
      </c>
      <c r="F83" s="197">
        <v>0.2828</v>
      </c>
      <c r="G83" s="198">
        <f>D83*E83*F83</f>
        <v>0</v>
      </c>
      <c r="H83" s="195">
        <v>0</v>
      </c>
      <c r="I83" s="196">
        <v>1</v>
      </c>
      <c r="J83" s="197">
        <v>0.2828</v>
      </c>
      <c r="K83" s="198">
        <f>H83*I83*J83</f>
        <v>0</v>
      </c>
      <c r="L83" s="195">
        <v>0</v>
      </c>
      <c r="M83" s="196">
        <v>1</v>
      </c>
      <c r="N83" s="197">
        <v>0.2828</v>
      </c>
      <c r="O83" s="198">
        <f>L83*M83*N83</f>
        <v>0</v>
      </c>
      <c r="P83" s="195">
        <v>0</v>
      </c>
      <c r="Q83" s="196">
        <v>1</v>
      </c>
      <c r="R83" s="197">
        <v>0.2828</v>
      </c>
      <c r="S83" s="198">
        <f>P83*Q83*R83</f>
        <v>0</v>
      </c>
      <c r="T83" s="333">
        <f>C83+G83+K83+O83+S83</f>
        <v>0</v>
      </c>
    </row>
    <row r="84" spans="1:30" ht="15" customHeight="1">
      <c r="A84" s="295" t="s">
        <v>61</v>
      </c>
      <c r="B84" s="349" t="s">
        <v>132</v>
      </c>
      <c r="C84" s="198">
        <v>60152.412133402329</v>
      </c>
      <c r="D84" s="351">
        <f>G80</f>
        <v>378861.57442879997</v>
      </c>
      <c r="E84" s="196">
        <v>1</v>
      </c>
      <c r="F84" s="197">
        <v>0.2828</v>
      </c>
      <c r="G84" s="198">
        <f>D84*E84*F84</f>
        <v>107142.05324846462</v>
      </c>
      <c r="H84" s="195">
        <f>K80</f>
        <v>234319.47258023999</v>
      </c>
      <c r="I84" s="196">
        <v>1</v>
      </c>
      <c r="J84" s="197">
        <v>0.2828</v>
      </c>
      <c r="K84" s="198">
        <f>H84*I84*J84</f>
        <v>66265.546845691875</v>
      </c>
      <c r="L84" s="195">
        <f>O80</f>
        <v>233660.446209252</v>
      </c>
      <c r="M84" s="196">
        <v>1</v>
      </c>
      <c r="N84" s="197">
        <v>0.2828</v>
      </c>
      <c r="O84" s="198">
        <f>L84*M84*N84</f>
        <v>66079.17418797646</v>
      </c>
      <c r="P84" s="195">
        <f>S80</f>
        <v>52082.311178494798</v>
      </c>
      <c r="Q84" s="196">
        <v>1</v>
      </c>
      <c r="R84" s="197">
        <v>0.2828</v>
      </c>
      <c r="S84" s="198">
        <f>P84*Q84*R84</f>
        <v>14728.877601278329</v>
      </c>
      <c r="T84" s="333">
        <f>C84+G84+K84+O84+S84</f>
        <v>314368.06401681359</v>
      </c>
    </row>
    <row r="85" spans="1:30">
      <c r="A85" s="297"/>
      <c r="B85" s="239"/>
      <c r="C85" s="198"/>
      <c r="D85" s="270"/>
      <c r="E85" s="298"/>
      <c r="F85" s="199"/>
      <c r="G85" s="198"/>
      <c r="H85" s="270"/>
      <c r="I85" s="298"/>
      <c r="J85" s="299"/>
      <c r="K85" s="198"/>
      <c r="L85" s="270"/>
      <c r="M85" s="298"/>
      <c r="N85" s="199"/>
      <c r="O85" s="198"/>
      <c r="P85" s="270"/>
      <c r="Q85" s="298"/>
      <c r="R85" s="199"/>
      <c r="S85" s="198"/>
      <c r="T85" s="200"/>
    </row>
    <row r="86" spans="1:30" ht="18.3">
      <c r="A86" s="285" t="s">
        <v>539</v>
      </c>
      <c r="B86" s="286"/>
      <c r="C86" s="290">
        <f>SUM(C83:C85)</f>
        <v>60152.412133402329</v>
      </c>
      <c r="D86" s="287"/>
      <c r="E86" s="288"/>
      <c r="F86" s="291"/>
      <c r="G86" s="290">
        <f>SUM(G83:G85)</f>
        <v>107142.05324846462</v>
      </c>
      <c r="H86" s="287"/>
      <c r="I86" s="288"/>
      <c r="J86" s="289"/>
      <c r="K86" s="290">
        <f>SUM(K83:K85)</f>
        <v>66265.546845691875</v>
      </c>
      <c r="L86" s="287"/>
      <c r="M86" s="288"/>
      <c r="N86" s="291"/>
      <c r="O86" s="290">
        <f>SUM(O83:O85)</f>
        <v>66079.17418797646</v>
      </c>
      <c r="P86" s="287"/>
      <c r="Q86" s="288"/>
      <c r="R86" s="291"/>
      <c r="S86" s="290">
        <f>SUM(S83:S85)</f>
        <v>14728.877601278329</v>
      </c>
      <c r="T86" s="290">
        <f>SUM(T83:T85)</f>
        <v>314368.06401681359</v>
      </c>
      <c r="U86" s="157">
        <f>SUM(G86,K86,O86,S86)</f>
        <v>254215.65188341131</v>
      </c>
    </row>
    <row r="87" spans="1:30">
      <c r="A87" s="245"/>
      <c r="B87" s="300"/>
      <c r="C87" s="245"/>
      <c r="D87" s="279"/>
      <c r="E87" s="301"/>
      <c r="F87" s="303"/>
      <c r="G87" s="245"/>
      <c r="H87" s="279"/>
      <c r="I87" s="301"/>
      <c r="J87" s="302"/>
      <c r="K87" s="245"/>
      <c r="L87" s="279"/>
      <c r="M87" s="301"/>
      <c r="N87" s="303"/>
      <c r="O87" s="245"/>
      <c r="P87" s="279"/>
      <c r="Q87" s="301"/>
      <c r="R87" s="303"/>
      <c r="S87" s="245"/>
      <c r="T87" s="206"/>
    </row>
    <row r="88" spans="1:30" ht="18.3">
      <c r="A88" s="304" t="s">
        <v>540</v>
      </c>
      <c r="B88" s="305"/>
      <c r="C88" s="309">
        <f>C80+C86</f>
        <v>266402.24213340232</v>
      </c>
      <c r="D88" s="306"/>
      <c r="E88" s="307"/>
      <c r="F88" s="310"/>
      <c r="G88" s="309">
        <f>G80+G86</f>
        <v>486003.62767726462</v>
      </c>
      <c r="H88" s="306"/>
      <c r="I88" s="307"/>
      <c r="J88" s="308"/>
      <c r="K88" s="309">
        <f>K80+K86</f>
        <v>300585.01942593185</v>
      </c>
      <c r="L88" s="306"/>
      <c r="M88" s="307"/>
      <c r="N88" s="310"/>
      <c r="O88" s="309">
        <f>O80+O86</f>
        <v>299739.62039722846</v>
      </c>
      <c r="P88" s="306"/>
      <c r="Q88" s="307"/>
      <c r="R88" s="310"/>
      <c r="S88" s="309">
        <f>S80+S86</f>
        <v>66811.188779773132</v>
      </c>
      <c r="T88" s="311">
        <f>C88+G88+K88+O88+S88</f>
        <v>1419541.6984136004</v>
      </c>
    </row>
    <row r="89" spans="1:30" ht="15.6" outlineLevel="1">
      <c r="A89" s="269" t="str">
        <f>'Program Budget'!D513</f>
        <v>Seguros Bolivar - Expand Cacao Parametric Insurance Coverage - Policy Cost</v>
      </c>
      <c r="B89" s="194" t="str">
        <f>'Program Budget'!F513</f>
        <v>Unit</v>
      </c>
      <c r="C89" s="198">
        <f>'Program Budget'!E513</f>
        <v>434189.75</v>
      </c>
      <c r="D89" s="195">
        <f>'Program Budget'!G513</f>
        <v>100000</v>
      </c>
      <c r="E89" s="196">
        <f>'Program Budget'!I513</f>
        <v>0</v>
      </c>
      <c r="F89" s="197">
        <v>1</v>
      </c>
      <c r="G89" s="198">
        <f t="shared" ref="G89" si="38">D89*E89*F89</f>
        <v>0</v>
      </c>
      <c r="H89" s="195">
        <f t="shared" ref="H89" si="39">D89</f>
        <v>100000</v>
      </c>
      <c r="I89" s="196">
        <f>'Program Budget'!L513</f>
        <v>1</v>
      </c>
      <c r="J89" s="197">
        <v>1</v>
      </c>
      <c r="K89" s="198">
        <f t="shared" ref="K89" si="40">H89*I89*J89</f>
        <v>100000</v>
      </c>
      <c r="L89" s="195">
        <f t="shared" ref="L89" si="41">H89</f>
        <v>100000</v>
      </c>
      <c r="M89" s="196">
        <f>'Program Budget'!O513</f>
        <v>0.5</v>
      </c>
      <c r="N89" s="197">
        <v>1</v>
      </c>
      <c r="O89" s="198">
        <f t="shared" ref="O89" si="42">L89*M89*N89</f>
        <v>50000</v>
      </c>
      <c r="P89" s="195">
        <f t="shared" ref="P89" si="43">L89</f>
        <v>100000</v>
      </c>
      <c r="Q89" s="196">
        <f>'Program Budget'!R513</f>
        <v>0</v>
      </c>
      <c r="R89" s="197">
        <v>1</v>
      </c>
      <c r="S89" s="198">
        <f t="shared" ref="S89" si="44">P89*Q89*R89</f>
        <v>0</v>
      </c>
      <c r="T89" s="333">
        <f t="shared" ref="T89" si="45">C89+G89+K89+O89+S89</f>
        <v>584189.75</v>
      </c>
      <c r="AB89" s="163"/>
      <c r="AC89" s="207"/>
      <c r="AD89" s="207"/>
    </row>
    <row r="90" spans="1:30" ht="18.3">
      <c r="A90" s="304" t="s">
        <v>541</v>
      </c>
      <c r="B90" s="305"/>
      <c r="C90" s="309">
        <f>SUM(C88:C89)</f>
        <v>700591.99213340227</v>
      </c>
      <c r="D90" s="306"/>
      <c r="E90" s="307"/>
      <c r="F90" s="310"/>
      <c r="G90" s="309">
        <f>SUM(G88:G89)</f>
        <v>486003.62767726462</v>
      </c>
      <c r="H90" s="306"/>
      <c r="I90" s="307"/>
      <c r="J90" s="308"/>
      <c r="K90" s="309">
        <f>SUM(K88:K89)</f>
        <v>400585.01942593185</v>
      </c>
      <c r="L90" s="306"/>
      <c r="M90" s="307"/>
      <c r="N90" s="310"/>
      <c r="O90" s="309">
        <f>SUM(O88:O89)</f>
        <v>349739.62039722846</v>
      </c>
      <c r="P90" s="306"/>
      <c r="Q90" s="307"/>
      <c r="R90" s="310"/>
      <c r="S90" s="309">
        <f>SUM(S88:S89)</f>
        <v>66811.188779773132</v>
      </c>
      <c r="T90" s="311">
        <f>C90+G90+K90+O90+S90</f>
        <v>2003731.4484136004</v>
      </c>
    </row>
    <row r="91" spans="1:30">
      <c r="A91" s="194"/>
      <c r="B91" s="194"/>
      <c r="T91" s="200"/>
    </row>
    <row r="92" spans="1:30" ht="31.2">
      <c r="A92" s="316" t="s">
        <v>542</v>
      </c>
      <c r="B92" s="317"/>
      <c r="C92" s="321"/>
      <c r="D92" s="318"/>
      <c r="E92" s="319"/>
      <c r="F92" s="322"/>
      <c r="G92" s="323"/>
      <c r="H92" s="318"/>
      <c r="I92" s="319"/>
      <c r="J92" s="320"/>
      <c r="K92" s="323"/>
      <c r="L92" s="318"/>
      <c r="M92" s="319"/>
      <c r="N92" s="322"/>
      <c r="O92" s="323"/>
      <c r="P92" s="318"/>
      <c r="Q92" s="319"/>
      <c r="R92" s="322"/>
      <c r="S92" s="323"/>
      <c r="T92" s="323"/>
    </row>
  </sheetData>
  <mergeCells count="8">
    <mergeCell ref="P2:S2"/>
    <mergeCell ref="T2:T3"/>
    <mergeCell ref="A2:A3"/>
    <mergeCell ref="B2:B3"/>
    <mergeCell ref="C2:C3"/>
    <mergeCell ref="D2:G2"/>
    <mergeCell ref="H2:K2"/>
    <mergeCell ref="L2:O2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87" max="1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CCF7-D569-45F9-91EC-0D9C6421BFBE}">
  <sheetPr>
    <tabColor theme="6" tint="0.39997558519241921"/>
    <pageSetUpPr fitToPage="1"/>
  </sheetPr>
  <dimension ref="A1:AG99"/>
  <sheetViews>
    <sheetView showOutlineSymbols="0" showWhiteSpace="0" zoomScale="70" zoomScaleNormal="70" workbookViewId="0">
      <pane xSplit="2" ySplit="3" topLeftCell="C63" activePane="bottomRight" state="frozen"/>
      <selection pane="topRight"/>
      <selection pane="bottomLeft"/>
      <selection pane="bottomRight" activeCell="G82" sqref="G82"/>
    </sheetView>
  </sheetViews>
  <sheetFormatPr defaultColWidth="8.71875" defaultRowHeight="14.4" outlineLevelRow="1" outlineLevelCol="1"/>
  <cols>
    <col min="1" max="1" width="61" style="157" customWidth="1"/>
    <col min="2" max="2" width="13" style="157" customWidth="1"/>
    <col min="3" max="3" width="15.1640625" style="157" customWidth="1"/>
    <col min="4" max="4" width="15.1640625" style="158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158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158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158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158" customWidth="1"/>
    <col min="21" max="21" width="9.5546875" style="157" bestFit="1" customWidth="1"/>
    <col min="22" max="22" width="10.1640625" style="157" bestFit="1" customWidth="1"/>
    <col min="23" max="23" width="10.83203125" style="157" customWidth="1"/>
    <col min="24" max="24" width="8.83203125" style="157" customWidth="1"/>
    <col min="25" max="25" width="10.83203125" style="157" customWidth="1"/>
    <col min="26" max="26" width="4.83203125" style="157" customWidth="1"/>
    <col min="27" max="27" width="4.83203125" style="157" hidden="1" customWidth="1"/>
    <col min="28" max="28" width="7" style="162" hidden="1" customWidth="1"/>
    <col min="29" max="29" width="19.1640625" style="157" hidden="1" customWidth="1"/>
    <col min="30" max="30" width="34" style="157" hidden="1" customWidth="1"/>
    <col min="31" max="31" width="9.83203125" style="157" hidden="1" customWidth="1"/>
    <col min="32" max="32" width="9.83203125" style="157" customWidth="1"/>
    <col min="33" max="33" width="14.1640625" style="157" customWidth="1"/>
    <col min="34" max="261" width="8.83203125" style="157"/>
    <col min="262" max="262" width="38.1640625" style="157" customWidth="1"/>
    <col min="263" max="263" width="23.44140625" style="157" bestFit="1" customWidth="1"/>
    <col min="264" max="265" width="9.1640625" style="157" customWidth="1"/>
    <col min="266" max="266" width="11.1640625" style="157" bestFit="1" customWidth="1"/>
    <col min="267" max="267" width="14.44140625" style="157" bestFit="1" customWidth="1"/>
    <col min="268" max="268" width="8.1640625" style="157" customWidth="1"/>
    <col min="269" max="269" width="10.83203125" style="157" bestFit="1" customWidth="1"/>
    <col min="270" max="270" width="12.1640625" style="157" bestFit="1" customWidth="1"/>
    <col min="271" max="271" width="9.1640625" style="157" customWidth="1"/>
    <col min="272" max="272" width="10.83203125" style="157" bestFit="1" customWidth="1"/>
    <col min="273" max="273" width="12.1640625" style="157" bestFit="1" customWidth="1"/>
    <col min="274" max="274" width="8" style="157" customWidth="1"/>
    <col min="275" max="275" width="10.83203125" style="157" bestFit="1" customWidth="1"/>
    <col min="276" max="276" width="12.1640625" style="157" bestFit="1" customWidth="1"/>
    <col min="277" max="277" width="8.1640625" style="157" bestFit="1" customWidth="1"/>
    <col min="278" max="278" width="10.83203125" style="157" bestFit="1" customWidth="1"/>
    <col min="279" max="279" width="12.1640625" style="157" bestFit="1" customWidth="1"/>
    <col min="280" max="280" width="18.1640625" style="157" bestFit="1" customWidth="1"/>
    <col min="281" max="281" width="10.83203125" style="157" bestFit="1" customWidth="1"/>
    <col min="282" max="517" width="8.83203125" style="157"/>
    <col min="518" max="518" width="38.1640625" style="157" customWidth="1"/>
    <col min="519" max="519" width="23.44140625" style="157" bestFit="1" customWidth="1"/>
    <col min="520" max="521" width="9.1640625" style="157" customWidth="1"/>
    <col min="522" max="522" width="11.1640625" style="157" bestFit="1" customWidth="1"/>
    <col min="523" max="523" width="14.44140625" style="157" bestFit="1" customWidth="1"/>
    <col min="524" max="524" width="8.1640625" style="157" customWidth="1"/>
    <col min="525" max="525" width="10.83203125" style="157" bestFit="1" customWidth="1"/>
    <col min="526" max="526" width="12.1640625" style="157" bestFit="1" customWidth="1"/>
    <col min="527" max="527" width="9.1640625" style="157" customWidth="1"/>
    <col min="528" max="528" width="10.83203125" style="157" bestFit="1" customWidth="1"/>
    <col min="529" max="529" width="12.1640625" style="157" bestFit="1" customWidth="1"/>
    <col min="530" max="530" width="8" style="157" customWidth="1"/>
    <col min="531" max="531" width="10.83203125" style="157" bestFit="1" customWidth="1"/>
    <col min="532" max="532" width="12.1640625" style="157" bestFit="1" customWidth="1"/>
    <col min="533" max="533" width="8.1640625" style="157" bestFit="1" customWidth="1"/>
    <col min="534" max="534" width="10.83203125" style="157" bestFit="1" customWidth="1"/>
    <col min="535" max="535" width="12.1640625" style="157" bestFit="1" customWidth="1"/>
    <col min="536" max="536" width="18.1640625" style="157" bestFit="1" customWidth="1"/>
    <col min="537" max="537" width="10.83203125" style="157" bestFit="1" customWidth="1"/>
    <col min="538" max="773" width="8.83203125" style="157"/>
    <col min="774" max="774" width="38.1640625" style="157" customWidth="1"/>
    <col min="775" max="775" width="23.44140625" style="157" bestFit="1" customWidth="1"/>
    <col min="776" max="777" width="9.1640625" style="157" customWidth="1"/>
    <col min="778" max="778" width="11.1640625" style="157" bestFit="1" customWidth="1"/>
    <col min="779" max="779" width="14.44140625" style="157" bestFit="1" customWidth="1"/>
    <col min="780" max="780" width="8.1640625" style="157" customWidth="1"/>
    <col min="781" max="781" width="10.83203125" style="157" bestFit="1" customWidth="1"/>
    <col min="782" max="782" width="12.1640625" style="157" bestFit="1" customWidth="1"/>
    <col min="783" max="783" width="9.1640625" style="157" customWidth="1"/>
    <col min="784" max="784" width="10.83203125" style="157" bestFit="1" customWidth="1"/>
    <col min="785" max="785" width="12.1640625" style="157" bestFit="1" customWidth="1"/>
    <col min="786" max="786" width="8" style="157" customWidth="1"/>
    <col min="787" max="787" width="10.83203125" style="157" bestFit="1" customWidth="1"/>
    <col min="788" max="788" width="12.1640625" style="157" bestFit="1" customWidth="1"/>
    <col min="789" max="789" width="8.1640625" style="157" bestFit="1" customWidth="1"/>
    <col min="790" max="790" width="10.83203125" style="157" bestFit="1" customWidth="1"/>
    <col min="791" max="791" width="12.1640625" style="157" bestFit="1" customWidth="1"/>
    <col min="792" max="792" width="18.1640625" style="157" bestFit="1" customWidth="1"/>
    <col min="793" max="793" width="10.83203125" style="157" bestFit="1" customWidth="1"/>
    <col min="794" max="1029" width="8.83203125" style="157"/>
    <col min="1030" max="1030" width="38.1640625" style="157" customWidth="1"/>
    <col min="1031" max="1031" width="23.44140625" style="157" bestFit="1" customWidth="1"/>
    <col min="1032" max="1033" width="9.1640625" style="157" customWidth="1"/>
    <col min="1034" max="1034" width="11.1640625" style="157" bestFit="1" customWidth="1"/>
    <col min="1035" max="1035" width="14.44140625" style="157" bestFit="1" customWidth="1"/>
    <col min="1036" max="1036" width="8.1640625" style="157" customWidth="1"/>
    <col min="1037" max="1037" width="10.83203125" style="157" bestFit="1" customWidth="1"/>
    <col min="1038" max="1038" width="12.1640625" style="157" bestFit="1" customWidth="1"/>
    <col min="1039" max="1039" width="9.1640625" style="157" customWidth="1"/>
    <col min="1040" max="1040" width="10.83203125" style="157" bestFit="1" customWidth="1"/>
    <col min="1041" max="1041" width="12.1640625" style="157" bestFit="1" customWidth="1"/>
    <col min="1042" max="1042" width="8" style="157" customWidth="1"/>
    <col min="1043" max="1043" width="10.83203125" style="157" bestFit="1" customWidth="1"/>
    <col min="1044" max="1044" width="12.1640625" style="157" bestFit="1" customWidth="1"/>
    <col min="1045" max="1045" width="8.1640625" style="157" bestFit="1" customWidth="1"/>
    <col min="1046" max="1046" width="10.83203125" style="157" bestFit="1" customWidth="1"/>
    <col min="1047" max="1047" width="12.1640625" style="157" bestFit="1" customWidth="1"/>
    <col min="1048" max="1048" width="18.1640625" style="157" bestFit="1" customWidth="1"/>
    <col min="1049" max="1049" width="10.83203125" style="157" bestFit="1" customWidth="1"/>
    <col min="1050" max="1285" width="8.83203125" style="157"/>
    <col min="1286" max="1286" width="38.1640625" style="157" customWidth="1"/>
    <col min="1287" max="1287" width="23.44140625" style="157" bestFit="1" customWidth="1"/>
    <col min="1288" max="1289" width="9.1640625" style="157" customWidth="1"/>
    <col min="1290" max="1290" width="11.1640625" style="157" bestFit="1" customWidth="1"/>
    <col min="1291" max="1291" width="14.44140625" style="157" bestFit="1" customWidth="1"/>
    <col min="1292" max="1292" width="8.1640625" style="157" customWidth="1"/>
    <col min="1293" max="1293" width="10.83203125" style="157" bestFit="1" customWidth="1"/>
    <col min="1294" max="1294" width="12.1640625" style="157" bestFit="1" customWidth="1"/>
    <col min="1295" max="1295" width="9.1640625" style="157" customWidth="1"/>
    <col min="1296" max="1296" width="10.83203125" style="157" bestFit="1" customWidth="1"/>
    <col min="1297" max="1297" width="12.1640625" style="157" bestFit="1" customWidth="1"/>
    <col min="1298" max="1298" width="8" style="157" customWidth="1"/>
    <col min="1299" max="1299" width="10.83203125" style="157" bestFit="1" customWidth="1"/>
    <col min="1300" max="1300" width="12.1640625" style="157" bestFit="1" customWidth="1"/>
    <col min="1301" max="1301" width="8.1640625" style="157" bestFit="1" customWidth="1"/>
    <col min="1302" max="1302" width="10.83203125" style="157" bestFit="1" customWidth="1"/>
    <col min="1303" max="1303" width="12.1640625" style="157" bestFit="1" customWidth="1"/>
    <col min="1304" max="1304" width="18.1640625" style="157" bestFit="1" customWidth="1"/>
    <col min="1305" max="1305" width="10.83203125" style="157" bestFit="1" customWidth="1"/>
    <col min="1306" max="1541" width="8.83203125" style="157"/>
    <col min="1542" max="1542" width="38.1640625" style="157" customWidth="1"/>
    <col min="1543" max="1543" width="23.44140625" style="157" bestFit="1" customWidth="1"/>
    <col min="1544" max="1545" width="9.1640625" style="157" customWidth="1"/>
    <col min="1546" max="1546" width="11.1640625" style="157" bestFit="1" customWidth="1"/>
    <col min="1547" max="1547" width="14.44140625" style="157" bestFit="1" customWidth="1"/>
    <col min="1548" max="1548" width="8.1640625" style="157" customWidth="1"/>
    <col min="1549" max="1549" width="10.83203125" style="157" bestFit="1" customWidth="1"/>
    <col min="1550" max="1550" width="12.1640625" style="157" bestFit="1" customWidth="1"/>
    <col min="1551" max="1551" width="9.1640625" style="157" customWidth="1"/>
    <col min="1552" max="1552" width="10.83203125" style="157" bestFit="1" customWidth="1"/>
    <col min="1553" max="1553" width="12.1640625" style="157" bestFit="1" customWidth="1"/>
    <col min="1554" max="1554" width="8" style="157" customWidth="1"/>
    <col min="1555" max="1555" width="10.83203125" style="157" bestFit="1" customWidth="1"/>
    <col min="1556" max="1556" width="12.1640625" style="157" bestFit="1" customWidth="1"/>
    <col min="1557" max="1557" width="8.1640625" style="157" bestFit="1" customWidth="1"/>
    <col min="1558" max="1558" width="10.83203125" style="157" bestFit="1" customWidth="1"/>
    <col min="1559" max="1559" width="12.1640625" style="157" bestFit="1" customWidth="1"/>
    <col min="1560" max="1560" width="18.1640625" style="157" bestFit="1" customWidth="1"/>
    <col min="1561" max="1561" width="10.83203125" style="157" bestFit="1" customWidth="1"/>
    <col min="1562" max="1797" width="8.83203125" style="157"/>
    <col min="1798" max="1798" width="38.1640625" style="157" customWidth="1"/>
    <col min="1799" max="1799" width="23.44140625" style="157" bestFit="1" customWidth="1"/>
    <col min="1800" max="1801" width="9.1640625" style="157" customWidth="1"/>
    <col min="1802" max="1802" width="11.1640625" style="157" bestFit="1" customWidth="1"/>
    <col min="1803" max="1803" width="14.44140625" style="157" bestFit="1" customWidth="1"/>
    <col min="1804" max="1804" width="8.1640625" style="157" customWidth="1"/>
    <col min="1805" max="1805" width="10.83203125" style="157" bestFit="1" customWidth="1"/>
    <col min="1806" max="1806" width="12.1640625" style="157" bestFit="1" customWidth="1"/>
    <col min="1807" max="1807" width="9.1640625" style="157" customWidth="1"/>
    <col min="1808" max="1808" width="10.83203125" style="157" bestFit="1" customWidth="1"/>
    <col min="1809" max="1809" width="12.1640625" style="157" bestFit="1" customWidth="1"/>
    <col min="1810" max="1810" width="8" style="157" customWidth="1"/>
    <col min="1811" max="1811" width="10.83203125" style="157" bestFit="1" customWidth="1"/>
    <col min="1812" max="1812" width="12.1640625" style="157" bestFit="1" customWidth="1"/>
    <col min="1813" max="1813" width="8.1640625" style="157" bestFit="1" customWidth="1"/>
    <col min="1814" max="1814" width="10.83203125" style="157" bestFit="1" customWidth="1"/>
    <col min="1815" max="1815" width="12.1640625" style="157" bestFit="1" customWidth="1"/>
    <col min="1816" max="1816" width="18.1640625" style="157" bestFit="1" customWidth="1"/>
    <col min="1817" max="1817" width="10.83203125" style="157" bestFit="1" customWidth="1"/>
    <col min="1818" max="2053" width="8.83203125" style="157"/>
    <col min="2054" max="2054" width="38.1640625" style="157" customWidth="1"/>
    <col min="2055" max="2055" width="23.44140625" style="157" bestFit="1" customWidth="1"/>
    <col min="2056" max="2057" width="9.1640625" style="157" customWidth="1"/>
    <col min="2058" max="2058" width="11.1640625" style="157" bestFit="1" customWidth="1"/>
    <col min="2059" max="2059" width="14.44140625" style="157" bestFit="1" customWidth="1"/>
    <col min="2060" max="2060" width="8.1640625" style="157" customWidth="1"/>
    <col min="2061" max="2061" width="10.83203125" style="157" bestFit="1" customWidth="1"/>
    <col min="2062" max="2062" width="12.1640625" style="157" bestFit="1" customWidth="1"/>
    <col min="2063" max="2063" width="9.1640625" style="157" customWidth="1"/>
    <col min="2064" max="2064" width="10.83203125" style="157" bestFit="1" customWidth="1"/>
    <col min="2065" max="2065" width="12.1640625" style="157" bestFit="1" customWidth="1"/>
    <col min="2066" max="2066" width="8" style="157" customWidth="1"/>
    <col min="2067" max="2067" width="10.83203125" style="157" bestFit="1" customWidth="1"/>
    <col min="2068" max="2068" width="12.1640625" style="157" bestFit="1" customWidth="1"/>
    <col min="2069" max="2069" width="8.1640625" style="157" bestFit="1" customWidth="1"/>
    <col min="2070" max="2070" width="10.83203125" style="157" bestFit="1" customWidth="1"/>
    <col min="2071" max="2071" width="12.1640625" style="157" bestFit="1" customWidth="1"/>
    <col min="2072" max="2072" width="18.1640625" style="157" bestFit="1" customWidth="1"/>
    <col min="2073" max="2073" width="10.83203125" style="157" bestFit="1" customWidth="1"/>
    <col min="2074" max="2309" width="8.83203125" style="157"/>
    <col min="2310" max="2310" width="38.1640625" style="157" customWidth="1"/>
    <col min="2311" max="2311" width="23.44140625" style="157" bestFit="1" customWidth="1"/>
    <col min="2312" max="2313" width="9.1640625" style="157" customWidth="1"/>
    <col min="2314" max="2314" width="11.1640625" style="157" bestFit="1" customWidth="1"/>
    <col min="2315" max="2315" width="14.44140625" style="157" bestFit="1" customWidth="1"/>
    <col min="2316" max="2316" width="8.1640625" style="157" customWidth="1"/>
    <col min="2317" max="2317" width="10.83203125" style="157" bestFit="1" customWidth="1"/>
    <col min="2318" max="2318" width="12.1640625" style="157" bestFit="1" customWidth="1"/>
    <col min="2319" max="2319" width="9.1640625" style="157" customWidth="1"/>
    <col min="2320" max="2320" width="10.83203125" style="157" bestFit="1" customWidth="1"/>
    <col min="2321" max="2321" width="12.1640625" style="157" bestFit="1" customWidth="1"/>
    <col min="2322" max="2322" width="8" style="157" customWidth="1"/>
    <col min="2323" max="2323" width="10.83203125" style="157" bestFit="1" customWidth="1"/>
    <col min="2324" max="2324" width="12.1640625" style="157" bestFit="1" customWidth="1"/>
    <col min="2325" max="2325" width="8.1640625" style="157" bestFit="1" customWidth="1"/>
    <col min="2326" max="2326" width="10.83203125" style="157" bestFit="1" customWidth="1"/>
    <col min="2327" max="2327" width="12.1640625" style="157" bestFit="1" customWidth="1"/>
    <col min="2328" max="2328" width="18.1640625" style="157" bestFit="1" customWidth="1"/>
    <col min="2329" max="2329" width="10.83203125" style="157" bestFit="1" customWidth="1"/>
    <col min="2330" max="2565" width="8.83203125" style="157"/>
    <col min="2566" max="2566" width="38.1640625" style="157" customWidth="1"/>
    <col min="2567" max="2567" width="23.44140625" style="157" bestFit="1" customWidth="1"/>
    <col min="2568" max="2569" width="9.1640625" style="157" customWidth="1"/>
    <col min="2570" max="2570" width="11.1640625" style="157" bestFit="1" customWidth="1"/>
    <col min="2571" max="2571" width="14.44140625" style="157" bestFit="1" customWidth="1"/>
    <col min="2572" max="2572" width="8.1640625" style="157" customWidth="1"/>
    <col min="2573" max="2573" width="10.83203125" style="157" bestFit="1" customWidth="1"/>
    <col min="2574" max="2574" width="12.1640625" style="157" bestFit="1" customWidth="1"/>
    <col min="2575" max="2575" width="9.1640625" style="157" customWidth="1"/>
    <col min="2576" max="2576" width="10.83203125" style="157" bestFit="1" customWidth="1"/>
    <col min="2577" max="2577" width="12.1640625" style="157" bestFit="1" customWidth="1"/>
    <col min="2578" max="2578" width="8" style="157" customWidth="1"/>
    <col min="2579" max="2579" width="10.83203125" style="157" bestFit="1" customWidth="1"/>
    <col min="2580" max="2580" width="12.1640625" style="157" bestFit="1" customWidth="1"/>
    <col min="2581" max="2581" width="8.1640625" style="157" bestFit="1" customWidth="1"/>
    <col min="2582" max="2582" width="10.83203125" style="157" bestFit="1" customWidth="1"/>
    <col min="2583" max="2583" width="12.1640625" style="157" bestFit="1" customWidth="1"/>
    <col min="2584" max="2584" width="18.1640625" style="157" bestFit="1" customWidth="1"/>
    <col min="2585" max="2585" width="10.83203125" style="157" bestFit="1" customWidth="1"/>
    <col min="2586" max="2821" width="8.83203125" style="157"/>
    <col min="2822" max="2822" width="38.1640625" style="157" customWidth="1"/>
    <col min="2823" max="2823" width="23.44140625" style="157" bestFit="1" customWidth="1"/>
    <col min="2824" max="2825" width="9.1640625" style="157" customWidth="1"/>
    <col min="2826" max="2826" width="11.1640625" style="157" bestFit="1" customWidth="1"/>
    <col min="2827" max="2827" width="14.44140625" style="157" bestFit="1" customWidth="1"/>
    <col min="2828" max="2828" width="8.1640625" style="157" customWidth="1"/>
    <col min="2829" max="2829" width="10.83203125" style="157" bestFit="1" customWidth="1"/>
    <col min="2830" max="2830" width="12.1640625" style="157" bestFit="1" customWidth="1"/>
    <col min="2831" max="2831" width="9.1640625" style="157" customWidth="1"/>
    <col min="2832" max="2832" width="10.83203125" style="157" bestFit="1" customWidth="1"/>
    <col min="2833" max="2833" width="12.1640625" style="157" bestFit="1" customWidth="1"/>
    <col min="2834" max="2834" width="8" style="157" customWidth="1"/>
    <col min="2835" max="2835" width="10.83203125" style="157" bestFit="1" customWidth="1"/>
    <col min="2836" max="2836" width="12.1640625" style="157" bestFit="1" customWidth="1"/>
    <col min="2837" max="2837" width="8.1640625" style="157" bestFit="1" customWidth="1"/>
    <col min="2838" max="2838" width="10.83203125" style="157" bestFit="1" customWidth="1"/>
    <col min="2839" max="2839" width="12.1640625" style="157" bestFit="1" customWidth="1"/>
    <col min="2840" max="2840" width="18.1640625" style="157" bestFit="1" customWidth="1"/>
    <col min="2841" max="2841" width="10.83203125" style="157" bestFit="1" customWidth="1"/>
    <col min="2842" max="3077" width="8.83203125" style="157"/>
    <col min="3078" max="3078" width="38.1640625" style="157" customWidth="1"/>
    <col min="3079" max="3079" width="23.44140625" style="157" bestFit="1" customWidth="1"/>
    <col min="3080" max="3081" width="9.1640625" style="157" customWidth="1"/>
    <col min="3082" max="3082" width="11.1640625" style="157" bestFit="1" customWidth="1"/>
    <col min="3083" max="3083" width="14.44140625" style="157" bestFit="1" customWidth="1"/>
    <col min="3084" max="3084" width="8.1640625" style="157" customWidth="1"/>
    <col min="3085" max="3085" width="10.83203125" style="157" bestFit="1" customWidth="1"/>
    <col min="3086" max="3086" width="12.1640625" style="157" bestFit="1" customWidth="1"/>
    <col min="3087" max="3087" width="9.1640625" style="157" customWidth="1"/>
    <col min="3088" max="3088" width="10.83203125" style="157" bestFit="1" customWidth="1"/>
    <col min="3089" max="3089" width="12.1640625" style="157" bestFit="1" customWidth="1"/>
    <col min="3090" max="3090" width="8" style="157" customWidth="1"/>
    <col min="3091" max="3091" width="10.83203125" style="157" bestFit="1" customWidth="1"/>
    <col min="3092" max="3092" width="12.1640625" style="157" bestFit="1" customWidth="1"/>
    <col min="3093" max="3093" width="8.1640625" style="157" bestFit="1" customWidth="1"/>
    <col min="3094" max="3094" width="10.83203125" style="157" bestFit="1" customWidth="1"/>
    <col min="3095" max="3095" width="12.1640625" style="157" bestFit="1" customWidth="1"/>
    <col min="3096" max="3096" width="18.1640625" style="157" bestFit="1" customWidth="1"/>
    <col min="3097" max="3097" width="10.83203125" style="157" bestFit="1" customWidth="1"/>
    <col min="3098" max="3333" width="8.83203125" style="157"/>
    <col min="3334" max="3334" width="38.1640625" style="157" customWidth="1"/>
    <col min="3335" max="3335" width="23.44140625" style="157" bestFit="1" customWidth="1"/>
    <col min="3336" max="3337" width="9.1640625" style="157" customWidth="1"/>
    <col min="3338" max="3338" width="11.1640625" style="157" bestFit="1" customWidth="1"/>
    <col min="3339" max="3339" width="14.44140625" style="157" bestFit="1" customWidth="1"/>
    <col min="3340" max="3340" width="8.1640625" style="157" customWidth="1"/>
    <col min="3341" max="3341" width="10.83203125" style="157" bestFit="1" customWidth="1"/>
    <col min="3342" max="3342" width="12.1640625" style="157" bestFit="1" customWidth="1"/>
    <col min="3343" max="3343" width="9.1640625" style="157" customWidth="1"/>
    <col min="3344" max="3344" width="10.83203125" style="157" bestFit="1" customWidth="1"/>
    <col min="3345" max="3345" width="12.1640625" style="157" bestFit="1" customWidth="1"/>
    <col min="3346" max="3346" width="8" style="157" customWidth="1"/>
    <col min="3347" max="3347" width="10.83203125" style="157" bestFit="1" customWidth="1"/>
    <col min="3348" max="3348" width="12.1640625" style="157" bestFit="1" customWidth="1"/>
    <col min="3349" max="3349" width="8.1640625" style="157" bestFit="1" customWidth="1"/>
    <col min="3350" max="3350" width="10.83203125" style="157" bestFit="1" customWidth="1"/>
    <col min="3351" max="3351" width="12.1640625" style="157" bestFit="1" customWidth="1"/>
    <col min="3352" max="3352" width="18.1640625" style="157" bestFit="1" customWidth="1"/>
    <col min="3353" max="3353" width="10.83203125" style="157" bestFit="1" customWidth="1"/>
    <col min="3354" max="3589" width="8.83203125" style="157"/>
    <col min="3590" max="3590" width="38.1640625" style="157" customWidth="1"/>
    <col min="3591" max="3591" width="23.44140625" style="157" bestFit="1" customWidth="1"/>
    <col min="3592" max="3593" width="9.1640625" style="157" customWidth="1"/>
    <col min="3594" max="3594" width="11.1640625" style="157" bestFit="1" customWidth="1"/>
    <col min="3595" max="3595" width="14.44140625" style="157" bestFit="1" customWidth="1"/>
    <col min="3596" max="3596" width="8.1640625" style="157" customWidth="1"/>
    <col min="3597" max="3597" width="10.83203125" style="157" bestFit="1" customWidth="1"/>
    <col min="3598" max="3598" width="12.1640625" style="157" bestFit="1" customWidth="1"/>
    <col min="3599" max="3599" width="9.1640625" style="157" customWidth="1"/>
    <col min="3600" max="3600" width="10.83203125" style="157" bestFit="1" customWidth="1"/>
    <col min="3601" max="3601" width="12.1640625" style="157" bestFit="1" customWidth="1"/>
    <col min="3602" max="3602" width="8" style="157" customWidth="1"/>
    <col min="3603" max="3603" width="10.83203125" style="157" bestFit="1" customWidth="1"/>
    <col min="3604" max="3604" width="12.1640625" style="157" bestFit="1" customWidth="1"/>
    <col min="3605" max="3605" width="8.1640625" style="157" bestFit="1" customWidth="1"/>
    <col min="3606" max="3606" width="10.83203125" style="157" bestFit="1" customWidth="1"/>
    <col min="3607" max="3607" width="12.1640625" style="157" bestFit="1" customWidth="1"/>
    <col min="3608" max="3608" width="18.1640625" style="157" bestFit="1" customWidth="1"/>
    <col min="3609" max="3609" width="10.83203125" style="157" bestFit="1" customWidth="1"/>
    <col min="3610" max="3845" width="8.83203125" style="157"/>
    <col min="3846" max="3846" width="38.1640625" style="157" customWidth="1"/>
    <col min="3847" max="3847" width="23.44140625" style="157" bestFit="1" customWidth="1"/>
    <col min="3848" max="3849" width="9.1640625" style="157" customWidth="1"/>
    <col min="3850" max="3850" width="11.1640625" style="157" bestFit="1" customWidth="1"/>
    <col min="3851" max="3851" width="14.44140625" style="157" bestFit="1" customWidth="1"/>
    <col min="3852" max="3852" width="8.1640625" style="157" customWidth="1"/>
    <col min="3853" max="3853" width="10.83203125" style="157" bestFit="1" customWidth="1"/>
    <col min="3854" max="3854" width="12.1640625" style="157" bestFit="1" customWidth="1"/>
    <col min="3855" max="3855" width="9.1640625" style="157" customWidth="1"/>
    <col min="3856" max="3856" width="10.83203125" style="157" bestFit="1" customWidth="1"/>
    <col min="3857" max="3857" width="12.1640625" style="157" bestFit="1" customWidth="1"/>
    <col min="3858" max="3858" width="8" style="157" customWidth="1"/>
    <col min="3859" max="3859" width="10.83203125" style="157" bestFit="1" customWidth="1"/>
    <col min="3860" max="3860" width="12.1640625" style="157" bestFit="1" customWidth="1"/>
    <col min="3861" max="3861" width="8.1640625" style="157" bestFit="1" customWidth="1"/>
    <col min="3862" max="3862" width="10.83203125" style="157" bestFit="1" customWidth="1"/>
    <col min="3863" max="3863" width="12.1640625" style="157" bestFit="1" customWidth="1"/>
    <col min="3864" max="3864" width="18.1640625" style="157" bestFit="1" customWidth="1"/>
    <col min="3865" max="3865" width="10.83203125" style="157" bestFit="1" customWidth="1"/>
    <col min="3866" max="4101" width="8.83203125" style="157"/>
    <col min="4102" max="4102" width="38.1640625" style="157" customWidth="1"/>
    <col min="4103" max="4103" width="23.44140625" style="157" bestFit="1" customWidth="1"/>
    <col min="4104" max="4105" width="9.1640625" style="157" customWidth="1"/>
    <col min="4106" max="4106" width="11.1640625" style="157" bestFit="1" customWidth="1"/>
    <col min="4107" max="4107" width="14.44140625" style="157" bestFit="1" customWidth="1"/>
    <col min="4108" max="4108" width="8.1640625" style="157" customWidth="1"/>
    <col min="4109" max="4109" width="10.83203125" style="157" bestFit="1" customWidth="1"/>
    <col min="4110" max="4110" width="12.1640625" style="157" bestFit="1" customWidth="1"/>
    <col min="4111" max="4111" width="9.1640625" style="157" customWidth="1"/>
    <col min="4112" max="4112" width="10.83203125" style="157" bestFit="1" customWidth="1"/>
    <col min="4113" max="4113" width="12.1640625" style="157" bestFit="1" customWidth="1"/>
    <col min="4114" max="4114" width="8" style="157" customWidth="1"/>
    <col min="4115" max="4115" width="10.83203125" style="157" bestFit="1" customWidth="1"/>
    <col min="4116" max="4116" width="12.1640625" style="157" bestFit="1" customWidth="1"/>
    <col min="4117" max="4117" width="8.1640625" style="157" bestFit="1" customWidth="1"/>
    <col min="4118" max="4118" width="10.83203125" style="157" bestFit="1" customWidth="1"/>
    <col min="4119" max="4119" width="12.1640625" style="157" bestFit="1" customWidth="1"/>
    <col min="4120" max="4120" width="18.1640625" style="157" bestFit="1" customWidth="1"/>
    <col min="4121" max="4121" width="10.83203125" style="157" bestFit="1" customWidth="1"/>
    <col min="4122" max="4357" width="8.83203125" style="157"/>
    <col min="4358" max="4358" width="38.1640625" style="157" customWidth="1"/>
    <col min="4359" max="4359" width="23.44140625" style="157" bestFit="1" customWidth="1"/>
    <col min="4360" max="4361" width="9.1640625" style="157" customWidth="1"/>
    <col min="4362" max="4362" width="11.1640625" style="157" bestFit="1" customWidth="1"/>
    <col min="4363" max="4363" width="14.44140625" style="157" bestFit="1" customWidth="1"/>
    <col min="4364" max="4364" width="8.1640625" style="157" customWidth="1"/>
    <col min="4365" max="4365" width="10.83203125" style="157" bestFit="1" customWidth="1"/>
    <col min="4366" max="4366" width="12.1640625" style="157" bestFit="1" customWidth="1"/>
    <col min="4367" max="4367" width="9.1640625" style="157" customWidth="1"/>
    <col min="4368" max="4368" width="10.83203125" style="157" bestFit="1" customWidth="1"/>
    <col min="4369" max="4369" width="12.1640625" style="157" bestFit="1" customWidth="1"/>
    <col min="4370" max="4370" width="8" style="157" customWidth="1"/>
    <col min="4371" max="4371" width="10.83203125" style="157" bestFit="1" customWidth="1"/>
    <col min="4372" max="4372" width="12.1640625" style="157" bestFit="1" customWidth="1"/>
    <col min="4373" max="4373" width="8.1640625" style="157" bestFit="1" customWidth="1"/>
    <col min="4374" max="4374" width="10.83203125" style="157" bestFit="1" customWidth="1"/>
    <col min="4375" max="4375" width="12.1640625" style="157" bestFit="1" customWidth="1"/>
    <col min="4376" max="4376" width="18.1640625" style="157" bestFit="1" customWidth="1"/>
    <col min="4377" max="4377" width="10.83203125" style="157" bestFit="1" customWidth="1"/>
    <col min="4378" max="4613" width="8.83203125" style="157"/>
    <col min="4614" max="4614" width="38.1640625" style="157" customWidth="1"/>
    <col min="4615" max="4615" width="23.44140625" style="157" bestFit="1" customWidth="1"/>
    <col min="4616" max="4617" width="9.1640625" style="157" customWidth="1"/>
    <col min="4618" max="4618" width="11.1640625" style="157" bestFit="1" customWidth="1"/>
    <col min="4619" max="4619" width="14.44140625" style="157" bestFit="1" customWidth="1"/>
    <col min="4620" max="4620" width="8.1640625" style="157" customWidth="1"/>
    <col min="4621" max="4621" width="10.83203125" style="157" bestFit="1" customWidth="1"/>
    <col min="4622" max="4622" width="12.1640625" style="157" bestFit="1" customWidth="1"/>
    <col min="4623" max="4623" width="9.1640625" style="157" customWidth="1"/>
    <col min="4624" max="4624" width="10.83203125" style="157" bestFit="1" customWidth="1"/>
    <col min="4625" max="4625" width="12.1640625" style="157" bestFit="1" customWidth="1"/>
    <col min="4626" max="4626" width="8" style="157" customWidth="1"/>
    <col min="4627" max="4627" width="10.83203125" style="157" bestFit="1" customWidth="1"/>
    <col min="4628" max="4628" width="12.1640625" style="157" bestFit="1" customWidth="1"/>
    <col min="4629" max="4629" width="8.1640625" style="157" bestFit="1" customWidth="1"/>
    <col min="4630" max="4630" width="10.83203125" style="157" bestFit="1" customWidth="1"/>
    <col min="4631" max="4631" width="12.1640625" style="157" bestFit="1" customWidth="1"/>
    <col min="4632" max="4632" width="18.1640625" style="157" bestFit="1" customWidth="1"/>
    <col min="4633" max="4633" width="10.83203125" style="157" bestFit="1" customWidth="1"/>
    <col min="4634" max="4869" width="8.83203125" style="157"/>
    <col min="4870" max="4870" width="38.1640625" style="157" customWidth="1"/>
    <col min="4871" max="4871" width="23.44140625" style="157" bestFit="1" customWidth="1"/>
    <col min="4872" max="4873" width="9.1640625" style="157" customWidth="1"/>
    <col min="4874" max="4874" width="11.1640625" style="157" bestFit="1" customWidth="1"/>
    <col min="4875" max="4875" width="14.44140625" style="157" bestFit="1" customWidth="1"/>
    <col min="4876" max="4876" width="8.1640625" style="157" customWidth="1"/>
    <col min="4877" max="4877" width="10.83203125" style="157" bestFit="1" customWidth="1"/>
    <col min="4878" max="4878" width="12.1640625" style="157" bestFit="1" customWidth="1"/>
    <col min="4879" max="4879" width="9.1640625" style="157" customWidth="1"/>
    <col min="4880" max="4880" width="10.83203125" style="157" bestFit="1" customWidth="1"/>
    <col min="4881" max="4881" width="12.1640625" style="157" bestFit="1" customWidth="1"/>
    <col min="4882" max="4882" width="8" style="157" customWidth="1"/>
    <col min="4883" max="4883" width="10.83203125" style="157" bestFit="1" customWidth="1"/>
    <col min="4884" max="4884" width="12.1640625" style="157" bestFit="1" customWidth="1"/>
    <col min="4885" max="4885" width="8.1640625" style="157" bestFit="1" customWidth="1"/>
    <col min="4886" max="4886" width="10.83203125" style="157" bestFit="1" customWidth="1"/>
    <col min="4887" max="4887" width="12.1640625" style="157" bestFit="1" customWidth="1"/>
    <col min="4888" max="4888" width="18.1640625" style="157" bestFit="1" customWidth="1"/>
    <col min="4889" max="4889" width="10.83203125" style="157" bestFit="1" customWidth="1"/>
    <col min="4890" max="5125" width="8.83203125" style="157"/>
    <col min="5126" max="5126" width="38.1640625" style="157" customWidth="1"/>
    <col min="5127" max="5127" width="23.44140625" style="157" bestFit="1" customWidth="1"/>
    <col min="5128" max="5129" width="9.1640625" style="157" customWidth="1"/>
    <col min="5130" max="5130" width="11.1640625" style="157" bestFit="1" customWidth="1"/>
    <col min="5131" max="5131" width="14.44140625" style="157" bestFit="1" customWidth="1"/>
    <col min="5132" max="5132" width="8.1640625" style="157" customWidth="1"/>
    <col min="5133" max="5133" width="10.83203125" style="157" bestFit="1" customWidth="1"/>
    <col min="5134" max="5134" width="12.1640625" style="157" bestFit="1" customWidth="1"/>
    <col min="5135" max="5135" width="9.1640625" style="157" customWidth="1"/>
    <col min="5136" max="5136" width="10.83203125" style="157" bestFit="1" customWidth="1"/>
    <col min="5137" max="5137" width="12.1640625" style="157" bestFit="1" customWidth="1"/>
    <col min="5138" max="5138" width="8" style="157" customWidth="1"/>
    <col min="5139" max="5139" width="10.83203125" style="157" bestFit="1" customWidth="1"/>
    <col min="5140" max="5140" width="12.1640625" style="157" bestFit="1" customWidth="1"/>
    <col min="5141" max="5141" width="8.1640625" style="157" bestFit="1" customWidth="1"/>
    <col min="5142" max="5142" width="10.83203125" style="157" bestFit="1" customWidth="1"/>
    <col min="5143" max="5143" width="12.1640625" style="157" bestFit="1" customWidth="1"/>
    <col min="5144" max="5144" width="18.1640625" style="157" bestFit="1" customWidth="1"/>
    <col min="5145" max="5145" width="10.83203125" style="157" bestFit="1" customWidth="1"/>
    <col min="5146" max="5381" width="8.83203125" style="157"/>
    <col min="5382" max="5382" width="38.1640625" style="157" customWidth="1"/>
    <col min="5383" max="5383" width="23.44140625" style="157" bestFit="1" customWidth="1"/>
    <col min="5384" max="5385" width="9.1640625" style="157" customWidth="1"/>
    <col min="5386" max="5386" width="11.1640625" style="157" bestFit="1" customWidth="1"/>
    <col min="5387" max="5387" width="14.44140625" style="157" bestFit="1" customWidth="1"/>
    <col min="5388" max="5388" width="8.1640625" style="157" customWidth="1"/>
    <col min="5389" max="5389" width="10.83203125" style="157" bestFit="1" customWidth="1"/>
    <col min="5390" max="5390" width="12.1640625" style="157" bestFit="1" customWidth="1"/>
    <col min="5391" max="5391" width="9.1640625" style="157" customWidth="1"/>
    <col min="5392" max="5392" width="10.83203125" style="157" bestFit="1" customWidth="1"/>
    <col min="5393" max="5393" width="12.1640625" style="157" bestFit="1" customWidth="1"/>
    <col min="5394" max="5394" width="8" style="157" customWidth="1"/>
    <col min="5395" max="5395" width="10.83203125" style="157" bestFit="1" customWidth="1"/>
    <col min="5396" max="5396" width="12.1640625" style="157" bestFit="1" customWidth="1"/>
    <col min="5397" max="5397" width="8.1640625" style="157" bestFit="1" customWidth="1"/>
    <col min="5398" max="5398" width="10.83203125" style="157" bestFit="1" customWidth="1"/>
    <col min="5399" max="5399" width="12.1640625" style="157" bestFit="1" customWidth="1"/>
    <col min="5400" max="5400" width="18.1640625" style="157" bestFit="1" customWidth="1"/>
    <col min="5401" max="5401" width="10.83203125" style="157" bestFit="1" customWidth="1"/>
    <col min="5402" max="5637" width="8.83203125" style="157"/>
    <col min="5638" max="5638" width="38.1640625" style="157" customWidth="1"/>
    <col min="5639" max="5639" width="23.44140625" style="157" bestFit="1" customWidth="1"/>
    <col min="5640" max="5641" width="9.1640625" style="157" customWidth="1"/>
    <col min="5642" max="5642" width="11.1640625" style="157" bestFit="1" customWidth="1"/>
    <col min="5643" max="5643" width="14.44140625" style="157" bestFit="1" customWidth="1"/>
    <col min="5644" max="5644" width="8.1640625" style="157" customWidth="1"/>
    <col min="5645" max="5645" width="10.83203125" style="157" bestFit="1" customWidth="1"/>
    <col min="5646" max="5646" width="12.1640625" style="157" bestFit="1" customWidth="1"/>
    <col min="5647" max="5647" width="9.1640625" style="157" customWidth="1"/>
    <col min="5648" max="5648" width="10.83203125" style="157" bestFit="1" customWidth="1"/>
    <col min="5649" max="5649" width="12.1640625" style="157" bestFit="1" customWidth="1"/>
    <col min="5650" max="5650" width="8" style="157" customWidth="1"/>
    <col min="5651" max="5651" width="10.83203125" style="157" bestFit="1" customWidth="1"/>
    <col min="5652" max="5652" width="12.1640625" style="157" bestFit="1" customWidth="1"/>
    <col min="5653" max="5653" width="8.1640625" style="157" bestFit="1" customWidth="1"/>
    <col min="5654" max="5654" width="10.83203125" style="157" bestFit="1" customWidth="1"/>
    <col min="5655" max="5655" width="12.1640625" style="157" bestFit="1" customWidth="1"/>
    <col min="5656" max="5656" width="18.1640625" style="157" bestFit="1" customWidth="1"/>
    <col min="5657" max="5657" width="10.83203125" style="157" bestFit="1" customWidth="1"/>
    <col min="5658" max="5893" width="8.83203125" style="157"/>
    <col min="5894" max="5894" width="38.1640625" style="157" customWidth="1"/>
    <col min="5895" max="5895" width="23.44140625" style="157" bestFit="1" customWidth="1"/>
    <col min="5896" max="5897" width="9.1640625" style="157" customWidth="1"/>
    <col min="5898" max="5898" width="11.1640625" style="157" bestFit="1" customWidth="1"/>
    <col min="5899" max="5899" width="14.44140625" style="157" bestFit="1" customWidth="1"/>
    <col min="5900" max="5900" width="8.1640625" style="157" customWidth="1"/>
    <col min="5901" max="5901" width="10.83203125" style="157" bestFit="1" customWidth="1"/>
    <col min="5902" max="5902" width="12.1640625" style="157" bestFit="1" customWidth="1"/>
    <col min="5903" max="5903" width="9.1640625" style="157" customWidth="1"/>
    <col min="5904" max="5904" width="10.83203125" style="157" bestFit="1" customWidth="1"/>
    <col min="5905" max="5905" width="12.1640625" style="157" bestFit="1" customWidth="1"/>
    <col min="5906" max="5906" width="8" style="157" customWidth="1"/>
    <col min="5907" max="5907" width="10.83203125" style="157" bestFit="1" customWidth="1"/>
    <col min="5908" max="5908" width="12.1640625" style="157" bestFit="1" customWidth="1"/>
    <col min="5909" max="5909" width="8.1640625" style="157" bestFit="1" customWidth="1"/>
    <col min="5910" max="5910" width="10.83203125" style="157" bestFit="1" customWidth="1"/>
    <col min="5911" max="5911" width="12.1640625" style="157" bestFit="1" customWidth="1"/>
    <col min="5912" max="5912" width="18.1640625" style="157" bestFit="1" customWidth="1"/>
    <col min="5913" max="5913" width="10.83203125" style="157" bestFit="1" customWidth="1"/>
    <col min="5914" max="6149" width="8.83203125" style="157"/>
    <col min="6150" max="6150" width="38.1640625" style="157" customWidth="1"/>
    <col min="6151" max="6151" width="23.44140625" style="157" bestFit="1" customWidth="1"/>
    <col min="6152" max="6153" width="9.1640625" style="157" customWidth="1"/>
    <col min="6154" max="6154" width="11.1640625" style="157" bestFit="1" customWidth="1"/>
    <col min="6155" max="6155" width="14.44140625" style="157" bestFit="1" customWidth="1"/>
    <col min="6156" max="6156" width="8.1640625" style="157" customWidth="1"/>
    <col min="6157" max="6157" width="10.83203125" style="157" bestFit="1" customWidth="1"/>
    <col min="6158" max="6158" width="12.1640625" style="157" bestFit="1" customWidth="1"/>
    <col min="6159" max="6159" width="9.1640625" style="157" customWidth="1"/>
    <col min="6160" max="6160" width="10.83203125" style="157" bestFit="1" customWidth="1"/>
    <col min="6161" max="6161" width="12.1640625" style="157" bestFit="1" customWidth="1"/>
    <col min="6162" max="6162" width="8" style="157" customWidth="1"/>
    <col min="6163" max="6163" width="10.83203125" style="157" bestFit="1" customWidth="1"/>
    <col min="6164" max="6164" width="12.1640625" style="157" bestFit="1" customWidth="1"/>
    <col min="6165" max="6165" width="8.1640625" style="157" bestFit="1" customWidth="1"/>
    <col min="6166" max="6166" width="10.83203125" style="157" bestFit="1" customWidth="1"/>
    <col min="6167" max="6167" width="12.1640625" style="157" bestFit="1" customWidth="1"/>
    <col min="6168" max="6168" width="18.1640625" style="157" bestFit="1" customWidth="1"/>
    <col min="6169" max="6169" width="10.83203125" style="157" bestFit="1" customWidth="1"/>
    <col min="6170" max="6405" width="8.83203125" style="157"/>
    <col min="6406" max="6406" width="38.1640625" style="157" customWidth="1"/>
    <col min="6407" max="6407" width="23.44140625" style="157" bestFit="1" customWidth="1"/>
    <col min="6408" max="6409" width="9.1640625" style="157" customWidth="1"/>
    <col min="6410" max="6410" width="11.1640625" style="157" bestFit="1" customWidth="1"/>
    <col min="6411" max="6411" width="14.44140625" style="157" bestFit="1" customWidth="1"/>
    <col min="6412" max="6412" width="8.1640625" style="157" customWidth="1"/>
    <col min="6413" max="6413" width="10.83203125" style="157" bestFit="1" customWidth="1"/>
    <col min="6414" max="6414" width="12.1640625" style="157" bestFit="1" customWidth="1"/>
    <col min="6415" max="6415" width="9.1640625" style="157" customWidth="1"/>
    <col min="6416" max="6416" width="10.83203125" style="157" bestFit="1" customWidth="1"/>
    <col min="6417" max="6417" width="12.1640625" style="157" bestFit="1" customWidth="1"/>
    <col min="6418" max="6418" width="8" style="157" customWidth="1"/>
    <col min="6419" max="6419" width="10.83203125" style="157" bestFit="1" customWidth="1"/>
    <col min="6420" max="6420" width="12.1640625" style="157" bestFit="1" customWidth="1"/>
    <col min="6421" max="6421" width="8.1640625" style="157" bestFit="1" customWidth="1"/>
    <col min="6422" max="6422" width="10.83203125" style="157" bestFit="1" customWidth="1"/>
    <col min="6423" max="6423" width="12.1640625" style="157" bestFit="1" customWidth="1"/>
    <col min="6424" max="6424" width="18.1640625" style="157" bestFit="1" customWidth="1"/>
    <col min="6425" max="6425" width="10.83203125" style="157" bestFit="1" customWidth="1"/>
    <col min="6426" max="6661" width="8.83203125" style="157"/>
    <col min="6662" max="6662" width="38.1640625" style="157" customWidth="1"/>
    <col min="6663" max="6663" width="23.44140625" style="157" bestFit="1" customWidth="1"/>
    <col min="6664" max="6665" width="9.1640625" style="157" customWidth="1"/>
    <col min="6666" max="6666" width="11.1640625" style="157" bestFit="1" customWidth="1"/>
    <col min="6667" max="6667" width="14.44140625" style="157" bestFit="1" customWidth="1"/>
    <col min="6668" max="6668" width="8.1640625" style="157" customWidth="1"/>
    <col min="6669" max="6669" width="10.83203125" style="157" bestFit="1" customWidth="1"/>
    <col min="6670" max="6670" width="12.1640625" style="157" bestFit="1" customWidth="1"/>
    <col min="6671" max="6671" width="9.1640625" style="157" customWidth="1"/>
    <col min="6672" max="6672" width="10.83203125" style="157" bestFit="1" customWidth="1"/>
    <col min="6673" max="6673" width="12.1640625" style="157" bestFit="1" customWidth="1"/>
    <col min="6674" max="6674" width="8" style="157" customWidth="1"/>
    <col min="6675" max="6675" width="10.83203125" style="157" bestFit="1" customWidth="1"/>
    <col min="6676" max="6676" width="12.1640625" style="157" bestFit="1" customWidth="1"/>
    <col min="6677" max="6677" width="8.1640625" style="157" bestFit="1" customWidth="1"/>
    <col min="6678" max="6678" width="10.83203125" style="157" bestFit="1" customWidth="1"/>
    <col min="6679" max="6679" width="12.1640625" style="157" bestFit="1" customWidth="1"/>
    <col min="6680" max="6680" width="18.1640625" style="157" bestFit="1" customWidth="1"/>
    <col min="6681" max="6681" width="10.83203125" style="157" bestFit="1" customWidth="1"/>
    <col min="6682" max="6917" width="8.83203125" style="157"/>
    <col min="6918" max="6918" width="38.1640625" style="157" customWidth="1"/>
    <col min="6919" max="6919" width="23.44140625" style="157" bestFit="1" customWidth="1"/>
    <col min="6920" max="6921" width="9.1640625" style="157" customWidth="1"/>
    <col min="6922" max="6922" width="11.1640625" style="157" bestFit="1" customWidth="1"/>
    <col min="6923" max="6923" width="14.44140625" style="157" bestFit="1" customWidth="1"/>
    <col min="6924" max="6924" width="8.1640625" style="157" customWidth="1"/>
    <col min="6925" max="6925" width="10.83203125" style="157" bestFit="1" customWidth="1"/>
    <col min="6926" max="6926" width="12.1640625" style="157" bestFit="1" customWidth="1"/>
    <col min="6927" max="6927" width="9.1640625" style="157" customWidth="1"/>
    <col min="6928" max="6928" width="10.83203125" style="157" bestFit="1" customWidth="1"/>
    <col min="6929" max="6929" width="12.1640625" style="157" bestFit="1" customWidth="1"/>
    <col min="6930" max="6930" width="8" style="157" customWidth="1"/>
    <col min="6931" max="6931" width="10.83203125" style="157" bestFit="1" customWidth="1"/>
    <col min="6932" max="6932" width="12.1640625" style="157" bestFit="1" customWidth="1"/>
    <col min="6933" max="6933" width="8.1640625" style="157" bestFit="1" customWidth="1"/>
    <col min="6934" max="6934" width="10.83203125" style="157" bestFit="1" customWidth="1"/>
    <col min="6935" max="6935" width="12.1640625" style="157" bestFit="1" customWidth="1"/>
    <col min="6936" max="6936" width="18.1640625" style="157" bestFit="1" customWidth="1"/>
    <col min="6937" max="6937" width="10.83203125" style="157" bestFit="1" customWidth="1"/>
    <col min="6938" max="7173" width="8.83203125" style="157"/>
    <col min="7174" max="7174" width="38.1640625" style="157" customWidth="1"/>
    <col min="7175" max="7175" width="23.44140625" style="157" bestFit="1" customWidth="1"/>
    <col min="7176" max="7177" width="9.1640625" style="157" customWidth="1"/>
    <col min="7178" max="7178" width="11.1640625" style="157" bestFit="1" customWidth="1"/>
    <col min="7179" max="7179" width="14.44140625" style="157" bestFit="1" customWidth="1"/>
    <col min="7180" max="7180" width="8.1640625" style="157" customWidth="1"/>
    <col min="7181" max="7181" width="10.83203125" style="157" bestFit="1" customWidth="1"/>
    <col min="7182" max="7182" width="12.1640625" style="157" bestFit="1" customWidth="1"/>
    <col min="7183" max="7183" width="9.1640625" style="157" customWidth="1"/>
    <col min="7184" max="7184" width="10.83203125" style="157" bestFit="1" customWidth="1"/>
    <col min="7185" max="7185" width="12.1640625" style="157" bestFit="1" customWidth="1"/>
    <col min="7186" max="7186" width="8" style="157" customWidth="1"/>
    <col min="7187" max="7187" width="10.83203125" style="157" bestFit="1" customWidth="1"/>
    <col min="7188" max="7188" width="12.1640625" style="157" bestFit="1" customWidth="1"/>
    <col min="7189" max="7189" width="8.1640625" style="157" bestFit="1" customWidth="1"/>
    <col min="7190" max="7190" width="10.83203125" style="157" bestFit="1" customWidth="1"/>
    <col min="7191" max="7191" width="12.1640625" style="157" bestFit="1" customWidth="1"/>
    <col min="7192" max="7192" width="18.1640625" style="157" bestFit="1" customWidth="1"/>
    <col min="7193" max="7193" width="10.83203125" style="157" bestFit="1" customWidth="1"/>
    <col min="7194" max="7429" width="8.83203125" style="157"/>
    <col min="7430" max="7430" width="38.1640625" style="157" customWidth="1"/>
    <col min="7431" max="7431" width="23.44140625" style="157" bestFit="1" customWidth="1"/>
    <col min="7432" max="7433" width="9.1640625" style="157" customWidth="1"/>
    <col min="7434" max="7434" width="11.1640625" style="157" bestFit="1" customWidth="1"/>
    <col min="7435" max="7435" width="14.44140625" style="157" bestFit="1" customWidth="1"/>
    <col min="7436" max="7436" width="8.1640625" style="157" customWidth="1"/>
    <col min="7437" max="7437" width="10.83203125" style="157" bestFit="1" customWidth="1"/>
    <col min="7438" max="7438" width="12.1640625" style="157" bestFit="1" customWidth="1"/>
    <col min="7439" max="7439" width="9.1640625" style="157" customWidth="1"/>
    <col min="7440" max="7440" width="10.83203125" style="157" bestFit="1" customWidth="1"/>
    <col min="7441" max="7441" width="12.1640625" style="157" bestFit="1" customWidth="1"/>
    <col min="7442" max="7442" width="8" style="157" customWidth="1"/>
    <col min="7443" max="7443" width="10.83203125" style="157" bestFit="1" customWidth="1"/>
    <col min="7444" max="7444" width="12.1640625" style="157" bestFit="1" customWidth="1"/>
    <col min="7445" max="7445" width="8.1640625" style="157" bestFit="1" customWidth="1"/>
    <col min="7446" max="7446" width="10.83203125" style="157" bestFit="1" customWidth="1"/>
    <col min="7447" max="7447" width="12.1640625" style="157" bestFit="1" customWidth="1"/>
    <col min="7448" max="7448" width="18.1640625" style="157" bestFit="1" customWidth="1"/>
    <col min="7449" max="7449" width="10.83203125" style="157" bestFit="1" customWidth="1"/>
    <col min="7450" max="7685" width="8.83203125" style="157"/>
    <col min="7686" max="7686" width="38.1640625" style="157" customWidth="1"/>
    <col min="7687" max="7687" width="23.44140625" style="157" bestFit="1" customWidth="1"/>
    <col min="7688" max="7689" width="9.1640625" style="157" customWidth="1"/>
    <col min="7690" max="7690" width="11.1640625" style="157" bestFit="1" customWidth="1"/>
    <col min="7691" max="7691" width="14.44140625" style="157" bestFit="1" customWidth="1"/>
    <col min="7692" max="7692" width="8.1640625" style="157" customWidth="1"/>
    <col min="7693" max="7693" width="10.83203125" style="157" bestFit="1" customWidth="1"/>
    <col min="7694" max="7694" width="12.1640625" style="157" bestFit="1" customWidth="1"/>
    <col min="7695" max="7695" width="9.1640625" style="157" customWidth="1"/>
    <col min="7696" max="7696" width="10.83203125" style="157" bestFit="1" customWidth="1"/>
    <col min="7697" max="7697" width="12.1640625" style="157" bestFit="1" customWidth="1"/>
    <col min="7698" max="7698" width="8" style="157" customWidth="1"/>
    <col min="7699" max="7699" width="10.83203125" style="157" bestFit="1" customWidth="1"/>
    <col min="7700" max="7700" width="12.1640625" style="157" bestFit="1" customWidth="1"/>
    <col min="7701" max="7701" width="8.1640625" style="157" bestFit="1" customWidth="1"/>
    <col min="7702" max="7702" width="10.83203125" style="157" bestFit="1" customWidth="1"/>
    <col min="7703" max="7703" width="12.1640625" style="157" bestFit="1" customWidth="1"/>
    <col min="7704" max="7704" width="18.1640625" style="157" bestFit="1" customWidth="1"/>
    <col min="7705" max="7705" width="10.83203125" style="157" bestFit="1" customWidth="1"/>
    <col min="7706" max="7941" width="8.83203125" style="157"/>
    <col min="7942" max="7942" width="38.1640625" style="157" customWidth="1"/>
    <col min="7943" max="7943" width="23.44140625" style="157" bestFit="1" customWidth="1"/>
    <col min="7944" max="7945" width="9.1640625" style="157" customWidth="1"/>
    <col min="7946" max="7946" width="11.1640625" style="157" bestFit="1" customWidth="1"/>
    <col min="7947" max="7947" width="14.44140625" style="157" bestFit="1" customWidth="1"/>
    <col min="7948" max="7948" width="8.1640625" style="157" customWidth="1"/>
    <col min="7949" max="7949" width="10.83203125" style="157" bestFit="1" customWidth="1"/>
    <col min="7950" max="7950" width="12.1640625" style="157" bestFit="1" customWidth="1"/>
    <col min="7951" max="7951" width="9.1640625" style="157" customWidth="1"/>
    <col min="7952" max="7952" width="10.83203125" style="157" bestFit="1" customWidth="1"/>
    <col min="7953" max="7953" width="12.1640625" style="157" bestFit="1" customWidth="1"/>
    <col min="7954" max="7954" width="8" style="157" customWidth="1"/>
    <col min="7955" max="7955" width="10.83203125" style="157" bestFit="1" customWidth="1"/>
    <col min="7956" max="7956" width="12.1640625" style="157" bestFit="1" customWidth="1"/>
    <col min="7957" max="7957" width="8.1640625" style="157" bestFit="1" customWidth="1"/>
    <col min="7958" max="7958" width="10.83203125" style="157" bestFit="1" customWidth="1"/>
    <col min="7959" max="7959" width="12.1640625" style="157" bestFit="1" customWidth="1"/>
    <col min="7960" max="7960" width="18.1640625" style="157" bestFit="1" customWidth="1"/>
    <col min="7961" max="7961" width="10.83203125" style="157" bestFit="1" customWidth="1"/>
    <col min="7962" max="8197" width="8.83203125" style="157"/>
    <col min="8198" max="8198" width="38.1640625" style="157" customWidth="1"/>
    <col min="8199" max="8199" width="23.44140625" style="157" bestFit="1" customWidth="1"/>
    <col min="8200" max="8201" width="9.1640625" style="157" customWidth="1"/>
    <col min="8202" max="8202" width="11.1640625" style="157" bestFit="1" customWidth="1"/>
    <col min="8203" max="8203" width="14.44140625" style="157" bestFit="1" customWidth="1"/>
    <col min="8204" max="8204" width="8.1640625" style="157" customWidth="1"/>
    <col min="8205" max="8205" width="10.83203125" style="157" bestFit="1" customWidth="1"/>
    <col min="8206" max="8206" width="12.1640625" style="157" bestFit="1" customWidth="1"/>
    <col min="8207" max="8207" width="9.1640625" style="157" customWidth="1"/>
    <col min="8208" max="8208" width="10.83203125" style="157" bestFit="1" customWidth="1"/>
    <col min="8209" max="8209" width="12.1640625" style="157" bestFit="1" customWidth="1"/>
    <col min="8210" max="8210" width="8" style="157" customWidth="1"/>
    <col min="8211" max="8211" width="10.83203125" style="157" bestFit="1" customWidth="1"/>
    <col min="8212" max="8212" width="12.1640625" style="157" bestFit="1" customWidth="1"/>
    <col min="8213" max="8213" width="8.1640625" style="157" bestFit="1" customWidth="1"/>
    <col min="8214" max="8214" width="10.83203125" style="157" bestFit="1" customWidth="1"/>
    <col min="8215" max="8215" width="12.1640625" style="157" bestFit="1" customWidth="1"/>
    <col min="8216" max="8216" width="18.1640625" style="157" bestFit="1" customWidth="1"/>
    <col min="8217" max="8217" width="10.83203125" style="157" bestFit="1" customWidth="1"/>
    <col min="8218" max="8453" width="8.83203125" style="157"/>
    <col min="8454" max="8454" width="38.1640625" style="157" customWidth="1"/>
    <col min="8455" max="8455" width="23.44140625" style="157" bestFit="1" customWidth="1"/>
    <col min="8456" max="8457" width="9.1640625" style="157" customWidth="1"/>
    <col min="8458" max="8458" width="11.1640625" style="157" bestFit="1" customWidth="1"/>
    <col min="8459" max="8459" width="14.44140625" style="157" bestFit="1" customWidth="1"/>
    <col min="8460" max="8460" width="8.1640625" style="157" customWidth="1"/>
    <col min="8461" max="8461" width="10.83203125" style="157" bestFit="1" customWidth="1"/>
    <col min="8462" max="8462" width="12.1640625" style="157" bestFit="1" customWidth="1"/>
    <col min="8463" max="8463" width="9.1640625" style="157" customWidth="1"/>
    <col min="8464" max="8464" width="10.83203125" style="157" bestFit="1" customWidth="1"/>
    <col min="8465" max="8465" width="12.1640625" style="157" bestFit="1" customWidth="1"/>
    <col min="8466" max="8466" width="8" style="157" customWidth="1"/>
    <col min="8467" max="8467" width="10.83203125" style="157" bestFit="1" customWidth="1"/>
    <col min="8468" max="8468" width="12.1640625" style="157" bestFit="1" customWidth="1"/>
    <col min="8469" max="8469" width="8.1640625" style="157" bestFit="1" customWidth="1"/>
    <col min="8470" max="8470" width="10.83203125" style="157" bestFit="1" customWidth="1"/>
    <col min="8471" max="8471" width="12.1640625" style="157" bestFit="1" customWidth="1"/>
    <col min="8472" max="8472" width="18.1640625" style="157" bestFit="1" customWidth="1"/>
    <col min="8473" max="8473" width="10.83203125" style="157" bestFit="1" customWidth="1"/>
    <col min="8474" max="8709" width="8.83203125" style="157"/>
    <col min="8710" max="8710" width="38.1640625" style="157" customWidth="1"/>
    <col min="8711" max="8711" width="23.44140625" style="157" bestFit="1" customWidth="1"/>
    <col min="8712" max="8713" width="9.1640625" style="157" customWidth="1"/>
    <col min="8714" max="8714" width="11.1640625" style="157" bestFit="1" customWidth="1"/>
    <col min="8715" max="8715" width="14.44140625" style="157" bestFit="1" customWidth="1"/>
    <col min="8716" max="8716" width="8.1640625" style="157" customWidth="1"/>
    <col min="8717" max="8717" width="10.83203125" style="157" bestFit="1" customWidth="1"/>
    <col min="8718" max="8718" width="12.1640625" style="157" bestFit="1" customWidth="1"/>
    <col min="8719" max="8719" width="9.1640625" style="157" customWidth="1"/>
    <col min="8720" max="8720" width="10.83203125" style="157" bestFit="1" customWidth="1"/>
    <col min="8721" max="8721" width="12.1640625" style="157" bestFit="1" customWidth="1"/>
    <col min="8722" max="8722" width="8" style="157" customWidth="1"/>
    <col min="8723" max="8723" width="10.83203125" style="157" bestFit="1" customWidth="1"/>
    <col min="8724" max="8724" width="12.1640625" style="157" bestFit="1" customWidth="1"/>
    <col min="8725" max="8725" width="8.1640625" style="157" bestFit="1" customWidth="1"/>
    <col min="8726" max="8726" width="10.83203125" style="157" bestFit="1" customWidth="1"/>
    <col min="8727" max="8727" width="12.1640625" style="157" bestFit="1" customWidth="1"/>
    <col min="8728" max="8728" width="18.1640625" style="157" bestFit="1" customWidth="1"/>
    <col min="8729" max="8729" width="10.83203125" style="157" bestFit="1" customWidth="1"/>
    <col min="8730" max="8965" width="8.83203125" style="157"/>
    <col min="8966" max="8966" width="38.1640625" style="157" customWidth="1"/>
    <col min="8967" max="8967" width="23.44140625" style="157" bestFit="1" customWidth="1"/>
    <col min="8968" max="8969" width="9.1640625" style="157" customWidth="1"/>
    <col min="8970" max="8970" width="11.1640625" style="157" bestFit="1" customWidth="1"/>
    <col min="8971" max="8971" width="14.44140625" style="157" bestFit="1" customWidth="1"/>
    <col min="8972" max="8972" width="8.1640625" style="157" customWidth="1"/>
    <col min="8973" max="8973" width="10.83203125" style="157" bestFit="1" customWidth="1"/>
    <col min="8974" max="8974" width="12.1640625" style="157" bestFit="1" customWidth="1"/>
    <col min="8975" max="8975" width="9.1640625" style="157" customWidth="1"/>
    <col min="8976" max="8976" width="10.83203125" style="157" bestFit="1" customWidth="1"/>
    <col min="8977" max="8977" width="12.1640625" style="157" bestFit="1" customWidth="1"/>
    <col min="8978" max="8978" width="8" style="157" customWidth="1"/>
    <col min="8979" max="8979" width="10.83203125" style="157" bestFit="1" customWidth="1"/>
    <col min="8980" max="8980" width="12.1640625" style="157" bestFit="1" customWidth="1"/>
    <col min="8981" max="8981" width="8.1640625" style="157" bestFit="1" customWidth="1"/>
    <col min="8982" max="8982" width="10.83203125" style="157" bestFit="1" customWidth="1"/>
    <col min="8983" max="8983" width="12.1640625" style="157" bestFit="1" customWidth="1"/>
    <col min="8984" max="8984" width="18.1640625" style="157" bestFit="1" customWidth="1"/>
    <col min="8985" max="8985" width="10.83203125" style="157" bestFit="1" customWidth="1"/>
    <col min="8986" max="9221" width="8.83203125" style="157"/>
    <col min="9222" max="9222" width="38.1640625" style="157" customWidth="1"/>
    <col min="9223" max="9223" width="23.44140625" style="157" bestFit="1" customWidth="1"/>
    <col min="9224" max="9225" width="9.1640625" style="157" customWidth="1"/>
    <col min="9226" max="9226" width="11.1640625" style="157" bestFit="1" customWidth="1"/>
    <col min="9227" max="9227" width="14.44140625" style="157" bestFit="1" customWidth="1"/>
    <col min="9228" max="9228" width="8.1640625" style="157" customWidth="1"/>
    <col min="9229" max="9229" width="10.83203125" style="157" bestFit="1" customWidth="1"/>
    <col min="9230" max="9230" width="12.1640625" style="157" bestFit="1" customWidth="1"/>
    <col min="9231" max="9231" width="9.1640625" style="157" customWidth="1"/>
    <col min="9232" max="9232" width="10.83203125" style="157" bestFit="1" customWidth="1"/>
    <col min="9233" max="9233" width="12.1640625" style="157" bestFit="1" customWidth="1"/>
    <col min="9234" max="9234" width="8" style="157" customWidth="1"/>
    <col min="9235" max="9235" width="10.83203125" style="157" bestFit="1" customWidth="1"/>
    <col min="9236" max="9236" width="12.1640625" style="157" bestFit="1" customWidth="1"/>
    <col min="9237" max="9237" width="8.1640625" style="157" bestFit="1" customWidth="1"/>
    <col min="9238" max="9238" width="10.83203125" style="157" bestFit="1" customWidth="1"/>
    <col min="9239" max="9239" width="12.1640625" style="157" bestFit="1" customWidth="1"/>
    <col min="9240" max="9240" width="18.1640625" style="157" bestFit="1" customWidth="1"/>
    <col min="9241" max="9241" width="10.83203125" style="157" bestFit="1" customWidth="1"/>
    <col min="9242" max="9477" width="8.83203125" style="157"/>
    <col min="9478" max="9478" width="38.1640625" style="157" customWidth="1"/>
    <col min="9479" max="9479" width="23.44140625" style="157" bestFit="1" customWidth="1"/>
    <col min="9480" max="9481" width="9.1640625" style="157" customWidth="1"/>
    <col min="9482" max="9482" width="11.1640625" style="157" bestFit="1" customWidth="1"/>
    <col min="9483" max="9483" width="14.44140625" style="157" bestFit="1" customWidth="1"/>
    <col min="9484" max="9484" width="8.1640625" style="157" customWidth="1"/>
    <col min="9485" max="9485" width="10.83203125" style="157" bestFit="1" customWidth="1"/>
    <col min="9486" max="9486" width="12.1640625" style="157" bestFit="1" customWidth="1"/>
    <col min="9487" max="9487" width="9.1640625" style="157" customWidth="1"/>
    <col min="9488" max="9488" width="10.83203125" style="157" bestFit="1" customWidth="1"/>
    <col min="9489" max="9489" width="12.1640625" style="157" bestFit="1" customWidth="1"/>
    <col min="9490" max="9490" width="8" style="157" customWidth="1"/>
    <col min="9491" max="9491" width="10.83203125" style="157" bestFit="1" customWidth="1"/>
    <col min="9492" max="9492" width="12.1640625" style="157" bestFit="1" customWidth="1"/>
    <col min="9493" max="9493" width="8.1640625" style="157" bestFit="1" customWidth="1"/>
    <col min="9494" max="9494" width="10.83203125" style="157" bestFit="1" customWidth="1"/>
    <col min="9495" max="9495" width="12.1640625" style="157" bestFit="1" customWidth="1"/>
    <col min="9496" max="9496" width="18.1640625" style="157" bestFit="1" customWidth="1"/>
    <col min="9497" max="9497" width="10.83203125" style="157" bestFit="1" customWidth="1"/>
    <col min="9498" max="9733" width="8.83203125" style="157"/>
    <col min="9734" max="9734" width="38.1640625" style="157" customWidth="1"/>
    <col min="9735" max="9735" width="23.44140625" style="157" bestFit="1" customWidth="1"/>
    <col min="9736" max="9737" width="9.1640625" style="157" customWidth="1"/>
    <col min="9738" max="9738" width="11.1640625" style="157" bestFit="1" customWidth="1"/>
    <col min="9739" max="9739" width="14.44140625" style="157" bestFit="1" customWidth="1"/>
    <col min="9740" max="9740" width="8.1640625" style="157" customWidth="1"/>
    <col min="9741" max="9741" width="10.83203125" style="157" bestFit="1" customWidth="1"/>
    <col min="9742" max="9742" width="12.1640625" style="157" bestFit="1" customWidth="1"/>
    <col min="9743" max="9743" width="9.1640625" style="157" customWidth="1"/>
    <col min="9744" max="9744" width="10.83203125" style="157" bestFit="1" customWidth="1"/>
    <col min="9745" max="9745" width="12.1640625" style="157" bestFit="1" customWidth="1"/>
    <col min="9746" max="9746" width="8" style="157" customWidth="1"/>
    <col min="9747" max="9747" width="10.83203125" style="157" bestFit="1" customWidth="1"/>
    <col min="9748" max="9748" width="12.1640625" style="157" bestFit="1" customWidth="1"/>
    <col min="9749" max="9749" width="8.1640625" style="157" bestFit="1" customWidth="1"/>
    <col min="9750" max="9750" width="10.83203125" style="157" bestFit="1" customWidth="1"/>
    <col min="9751" max="9751" width="12.1640625" style="157" bestFit="1" customWidth="1"/>
    <col min="9752" max="9752" width="18.1640625" style="157" bestFit="1" customWidth="1"/>
    <col min="9753" max="9753" width="10.83203125" style="157" bestFit="1" customWidth="1"/>
    <col min="9754" max="9989" width="8.83203125" style="157"/>
    <col min="9990" max="9990" width="38.1640625" style="157" customWidth="1"/>
    <col min="9991" max="9991" width="23.44140625" style="157" bestFit="1" customWidth="1"/>
    <col min="9992" max="9993" width="9.1640625" style="157" customWidth="1"/>
    <col min="9994" max="9994" width="11.1640625" style="157" bestFit="1" customWidth="1"/>
    <col min="9995" max="9995" width="14.44140625" style="157" bestFit="1" customWidth="1"/>
    <col min="9996" max="9996" width="8.1640625" style="157" customWidth="1"/>
    <col min="9997" max="9997" width="10.83203125" style="157" bestFit="1" customWidth="1"/>
    <col min="9998" max="9998" width="12.1640625" style="157" bestFit="1" customWidth="1"/>
    <col min="9999" max="9999" width="9.1640625" style="157" customWidth="1"/>
    <col min="10000" max="10000" width="10.83203125" style="157" bestFit="1" customWidth="1"/>
    <col min="10001" max="10001" width="12.1640625" style="157" bestFit="1" customWidth="1"/>
    <col min="10002" max="10002" width="8" style="157" customWidth="1"/>
    <col min="10003" max="10003" width="10.83203125" style="157" bestFit="1" customWidth="1"/>
    <col min="10004" max="10004" width="12.1640625" style="157" bestFit="1" customWidth="1"/>
    <col min="10005" max="10005" width="8.1640625" style="157" bestFit="1" customWidth="1"/>
    <col min="10006" max="10006" width="10.83203125" style="157" bestFit="1" customWidth="1"/>
    <col min="10007" max="10007" width="12.1640625" style="157" bestFit="1" customWidth="1"/>
    <col min="10008" max="10008" width="18.1640625" style="157" bestFit="1" customWidth="1"/>
    <col min="10009" max="10009" width="10.83203125" style="157" bestFit="1" customWidth="1"/>
    <col min="10010" max="10245" width="8.83203125" style="157"/>
    <col min="10246" max="10246" width="38.1640625" style="157" customWidth="1"/>
    <col min="10247" max="10247" width="23.44140625" style="157" bestFit="1" customWidth="1"/>
    <col min="10248" max="10249" width="9.1640625" style="157" customWidth="1"/>
    <col min="10250" max="10250" width="11.1640625" style="157" bestFit="1" customWidth="1"/>
    <col min="10251" max="10251" width="14.44140625" style="157" bestFit="1" customWidth="1"/>
    <col min="10252" max="10252" width="8.1640625" style="157" customWidth="1"/>
    <col min="10253" max="10253" width="10.83203125" style="157" bestFit="1" customWidth="1"/>
    <col min="10254" max="10254" width="12.1640625" style="157" bestFit="1" customWidth="1"/>
    <col min="10255" max="10255" width="9.1640625" style="157" customWidth="1"/>
    <col min="10256" max="10256" width="10.83203125" style="157" bestFit="1" customWidth="1"/>
    <col min="10257" max="10257" width="12.1640625" style="157" bestFit="1" customWidth="1"/>
    <col min="10258" max="10258" width="8" style="157" customWidth="1"/>
    <col min="10259" max="10259" width="10.83203125" style="157" bestFit="1" customWidth="1"/>
    <col min="10260" max="10260" width="12.1640625" style="157" bestFit="1" customWidth="1"/>
    <col min="10261" max="10261" width="8.1640625" style="157" bestFit="1" customWidth="1"/>
    <col min="10262" max="10262" width="10.83203125" style="157" bestFit="1" customWidth="1"/>
    <col min="10263" max="10263" width="12.1640625" style="157" bestFit="1" customWidth="1"/>
    <col min="10264" max="10264" width="18.1640625" style="157" bestFit="1" customWidth="1"/>
    <col min="10265" max="10265" width="10.83203125" style="157" bestFit="1" customWidth="1"/>
    <col min="10266" max="10501" width="8.83203125" style="157"/>
    <col min="10502" max="10502" width="38.1640625" style="157" customWidth="1"/>
    <col min="10503" max="10503" width="23.44140625" style="157" bestFit="1" customWidth="1"/>
    <col min="10504" max="10505" width="9.1640625" style="157" customWidth="1"/>
    <col min="10506" max="10506" width="11.1640625" style="157" bestFit="1" customWidth="1"/>
    <col min="10507" max="10507" width="14.44140625" style="157" bestFit="1" customWidth="1"/>
    <col min="10508" max="10508" width="8.1640625" style="157" customWidth="1"/>
    <col min="10509" max="10509" width="10.83203125" style="157" bestFit="1" customWidth="1"/>
    <col min="10510" max="10510" width="12.1640625" style="157" bestFit="1" customWidth="1"/>
    <col min="10511" max="10511" width="9.1640625" style="157" customWidth="1"/>
    <col min="10512" max="10512" width="10.83203125" style="157" bestFit="1" customWidth="1"/>
    <col min="10513" max="10513" width="12.1640625" style="157" bestFit="1" customWidth="1"/>
    <col min="10514" max="10514" width="8" style="157" customWidth="1"/>
    <col min="10515" max="10515" width="10.83203125" style="157" bestFit="1" customWidth="1"/>
    <col min="10516" max="10516" width="12.1640625" style="157" bestFit="1" customWidth="1"/>
    <col min="10517" max="10517" width="8.1640625" style="157" bestFit="1" customWidth="1"/>
    <col min="10518" max="10518" width="10.83203125" style="157" bestFit="1" customWidth="1"/>
    <col min="10519" max="10519" width="12.1640625" style="157" bestFit="1" customWidth="1"/>
    <col min="10520" max="10520" width="18.1640625" style="157" bestFit="1" customWidth="1"/>
    <col min="10521" max="10521" width="10.83203125" style="157" bestFit="1" customWidth="1"/>
    <col min="10522" max="10757" width="8.83203125" style="157"/>
    <col min="10758" max="10758" width="38.1640625" style="157" customWidth="1"/>
    <col min="10759" max="10759" width="23.44140625" style="157" bestFit="1" customWidth="1"/>
    <col min="10760" max="10761" width="9.1640625" style="157" customWidth="1"/>
    <col min="10762" max="10762" width="11.1640625" style="157" bestFit="1" customWidth="1"/>
    <col min="10763" max="10763" width="14.44140625" style="157" bestFit="1" customWidth="1"/>
    <col min="10764" max="10764" width="8.1640625" style="157" customWidth="1"/>
    <col min="10765" max="10765" width="10.83203125" style="157" bestFit="1" customWidth="1"/>
    <col min="10766" max="10766" width="12.1640625" style="157" bestFit="1" customWidth="1"/>
    <col min="10767" max="10767" width="9.1640625" style="157" customWidth="1"/>
    <col min="10768" max="10768" width="10.83203125" style="157" bestFit="1" customWidth="1"/>
    <col min="10769" max="10769" width="12.1640625" style="157" bestFit="1" customWidth="1"/>
    <col min="10770" max="10770" width="8" style="157" customWidth="1"/>
    <col min="10771" max="10771" width="10.83203125" style="157" bestFit="1" customWidth="1"/>
    <col min="10772" max="10772" width="12.1640625" style="157" bestFit="1" customWidth="1"/>
    <col min="10773" max="10773" width="8.1640625" style="157" bestFit="1" customWidth="1"/>
    <col min="10774" max="10774" width="10.83203125" style="157" bestFit="1" customWidth="1"/>
    <col min="10775" max="10775" width="12.1640625" style="157" bestFit="1" customWidth="1"/>
    <col min="10776" max="10776" width="18.1640625" style="157" bestFit="1" customWidth="1"/>
    <col min="10777" max="10777" width="10.83203125" style="157" bestFit="1" customWidth="1"/>
    <col min="10778" max="11013" width="8.83203125" style="157"/>
    <col min="11014" max="11014" width="38.1640625" style="157" customWidth="1"/>
    <col min="11015" max="11015" width="23.44140625" style="157" bestFit="1" customWidth="1"/>
    <col min="11016" max="11017" width="9.1640625" style="157" customWidth="1"/>
    <col min="11018" max="11018" width="11.1640625" style="157" bestFit="1" customWidth="1"/>
    <col min="11019" max="11019" width="14.44140625" style="157" bestFit="1" customWidth="1"/>
    <col min="11020" max="11020" width="8.1640625" style="157" customWidth="1"/>
    <col min="11021" max="11021" width="10.83203125" style="157" bestFit="1" customWidth="1"/>
    <col min="11022" max="11022" width="12.1640625" style="157" bestFit="1" customWidth="1"/>
    <col min="11023" max="11023" width="9.1640625" style="157" customWidth="1"/>
    <col min="11024" max="11024" width="10.83203125" style="157" bestFit="1" customWidth="1"/>
    <col min="11025" max="11025" width="12.1640625" style="157" bestFit="1" customWidth="1"/>
    <col min="11026" max="11026" width="8" style="157" customWidth="1"/>
    <col min="11027" max="11027" width="10.83203125" style="157" bestFit="1" customWidth="1"/>
    <col min="11028" max="11028" width="12.1640625" style="157" bestFit="1" customWidth="1"/>
    <col min="11029" max="11029" width="8.1640625" style="157" bestFit="1" customWidth="1"/>
    <col min="11030" max="11030" width="10.83203125" style="157" bestFit="1" customWidth="1"/>
    <col min="11031" max="11031" width="12.1640625" style="157" bestFit="1" customWidth="1"/>
    <col min="11032" max="11032" width="18.1640625" style="157" bestFit="1" customWidth="1"/>
    <col min="11033" max="11033" width="10.83203125" style="157" bestFit="1" customWidth="1"/>
    <col min="11034" max="11269" width="8.83203125" style="157"/>
    <col min="11270" max="11270" width="38.1640625" style="157" customWidth="1"/>
    <col min="11271" max="11271" width="23.44140625" style="157" bestFit="1" customWidth="1"/>
    <col min="11272" max="11273" width="9.1640625" style="157" customWidth="1"/>
    <col min="11274" max="11274" width="11.1640625" style="157" bestFit="1" customWidth="1"/>
    <col min="11275" max="11275" width="14.44140625" style="157" bestFit="1" customWidth="1"/>
    <col min="11276" max="11276" width="8.1640625" style="157" customWidth="1"/>
    <col min="11277" max="11277" width="10.83203125" style="157" bestFit="1" customWidth="1"/>
    <col min="11278" max="11278" width="12.1640625" style="157" bestFit="1" customWidth="1"/>
    <col min="11279" max="11279" width="9.1640625" style="157" customWidth="1"/>
    <col min="11280" max="11280" width="10.83203125" style="157" bestFit="1" customWidth="1"/>
    <col min="11281" max="11281" width="12.1640625" style="157" bestFit="1" customWidth="1"/>
    <col min="11282" max="11282" width="8" style="157" customWidth="1"/>
    <col min="11283" max="11283" width="10.83203125" style="157" bestFit="1" customWidth="1"/>
    <col min="11284" max="11284" width="12.1640625" style="157" bestFit="1" customWidth="1"/>
    <col min="11285" max="11285" width="8.1640625" style="157" bestFit="1" customWidth="1"/>
    <col min="11286" max="11286" width="10.83203125" style="157" bestFit="1" customWidth="1"/>
    <col min="11287" max="11287" width="12.1640625" style="157" bestFit="1" customWidth="1"/>
    <col min="11288" max="11288" width="18.1640625" style="157" bestFit="1" customWidth="1"/>
    <col min="11289" max="11289" width="10.83203125" style="157" bestFit="1" customWidth="1"/>
    <col min="11290" max="11525" width="8.83203125" style="157"/>
    <col min="11526" max="11526" width="38.1640625" style="157" customWidth="1"/>
    <col min="11527" max="11527" width="23.44140625" style="157" bestFit="1" customWidth="1"/>
    <col min="11528" max="11529" width="9.1640625" style="157" customWidth="1"/>
    <col min="11530" max="11530" width="11.1640625" style="157" bestFit="1" customWidth="1"/>
    <col min="11531" max="11531" width="14.44140625" style="157" bestFit="1" customWidth="1"/>
    <col min="11532" max="11532" width="8.1640625" style="157" customWidth="1"/>
    <col min="11533" max="11533" width="10.83203125" style="157" bestFit="1" customWidth="1"/>
    <col min="11534" max="11534" width="12.1640625" style="157" bestFit="1" customWidth="1"/>
    <col min="11535" max="11535" width="9.1640625" style="157" customWidth="1"/>
    <col min="11536" max="11536" width="10.83203125" style="157" bestFit="1" customWidth="1"/>
    <col min="11537" max="11537" width="12.1640625" style="157" bestFit="1" customWidth="1"/>
    <col min="11538" max="11538" width="8" style="157" customWidth="1"/>
    <col min="11539" max="11539" width="10.83203125" style="157" bestFit="1" customWidth="1"/>
    <col min="11540" max="11540" width="12.1640625" style="157" bestFit="1" customWidth="1"/>
    <col min="11541" max="11541" width="8.1640625" style="157" bestFit="1" customWidth="1"/>
    <col min="11542" max="11542" width="10.83203125" style="157" bestFit="1" customWidth="1"/>
    <col min="11543" max="11543" width="12.1640625" style="157" bestFit="1" customWidth="1"/>
    <col min="11544" max="11544" width="18.1640625" style="157" bestFit="1" customWidth="1"/>
    <col min="11545" max="11545" width="10.83203125" style="157" bestFit="1" customWidth="1"/>
    <col min="11546" max="11781" width="8.83203125" style="157"/>
    <col min="11782" max="11782" width="38.1640625" style="157" customWidth="1"/>
    <col min="11783" max="11783" width="23.44140625" style="157" bestFit="1" customWidth="1"/>
    <col min="11784" max="11785" width="9.1640625" style="157" customWidth="1"/>
    <col min="11786" max="11786" width="11.1640625" style="157" bestFit="1" customWidth="1"/>
    <col min="11787" max="11787" width="14.44140625" style="157" bestFit="1" customWidth="1"/>
    <col min="11788" max="11788" width="8.1640625" style="157" customWidth="1"/>
    <col min="11789" max="11789" width="10.83203125" style="157" bestFit="1" customWidth="1"/>
    <col min="11790" max="11790" width="12.1640625" style="157" bestFit="1" customWidth="1"/>
    <col min="11791" max="11791" width="9.1640625" style="157" customWidth="1"/>
    <col min="11792" max="11792" width="10.83203125" style="157" bestFit="1" customWidth="1"/>
    <col min="11793" max="11793" width="12.1640625" style="157" bestFit="1" customWidth="1"/>
    <col min="11794" max="11794" width="8" style="157" customWidth="1"/>
    <col min="11795" max="11795" width="10.83203125" style="157" bestFit="1" customWidth="1"/>
    <col min="11796" max="11796" width="12.1640625" style="157" bestFit="1" customWidth="1"/>
    <col min="11797" max="11797" width="8.1640625" style="157" bestFit="1" customWidth="1"/>
    <col min="11798" max="11798" width="10.83203125" style="157" bestFit="1" customWidth="1"/>
    <col min="11799" max="11799" width="12.1640625" style="157" bestFit="1" customWidth="1"/>
    <col min="11800" max="11800" width="18.1640625" style="157" bestFit="1" customWidth="1"/>
    <col min="11801" max="11801" width="10.83203125" style="157" bestFit="1" customWidth="1"/>
    <col min="11802" max="12037" width="8.83203125" style="157"/>
    <col min="12038" max="12038" width="38.1640625" style="157" customWidth="1"/>
    <col min="12039" max="12039" width="23.44140625" style="157" bestFit="1" customWidth="1"/>
    <col min="12040" max="12041" width="9.1640625" style="157" customWidth="1"/>
    <col min="12042" max="12042" width="11.1640625" style="157" bestFit="1" customWidth="1"/>
    <col min="12043" max="12043" width="14.44140625" style="157" bestFit="1" customWidth="1"/>
    <col min="12044" max="12044" width="8.1640625" style="157" customWidth="1"/>
    <col min="12045" max="12045" width="10.83203125" style="157" bestFit="1" customWidth="1"/>
    <col min="12046" max="12046" width="12.1640625" style="157" bestFit="1" customWidth="1"/>
    <col min="12047" max="12047" width="9.1640625" style="157" customWidth="1"/>
    <col min="12048" max="12048" width="10.83203125" style="157" bestFit="1" customWidth="1"/>
    <col min="12049" max="12049" width="12.1640625" style="157" bestFit="1" customWidth="1"/>
    <col min="12050" max="12050" width="8" style="157" customWidth="1"/>
    <col min="12051" max="12051" width="10.83203125" style="157" bestFit="1" customWidth="1"/>
    <col min="12052" max="12052" width="12.1640625" style="157" bestFit="1" customWidth="1"/>
    <col min="12053" max="12053" width="8.1640625" style="157" bestFit="1" customWidth="1"/>
    <col min="12054" max="12054" width="10.83203125" style="157" bestFit="1" customWidth="1"/>
    <col min="12055" max="12055" width="12.1640625" style="157" bestFit="1" customWidth="1"/>
    <col min="12056" max="12056" width="18.1640625" style="157" bestFit="1" customWidth="1"/>
    <col min="12057" max="12057" width="10.83203125" style="157" bestFit="1" customWidth="1"/>
    <col min="12058" max="12293" width="8.83203125" style="157"/>
    <col min="12294" max="12294" width="38.1640625" style="157" customWidth="1"/>
    <col min="12295" max="12295" width="23.44140625" style="157" bestFit="1" customWidth="1"/>
    <col min="12296" max="12297" width="9.1640625" style="157" customWidth="1"/>
    <col min="12298" max="12298" width="11.1640625" style="157" bestFit="1" customWidth="1"/>
    <col min="12299" max="12299" width="14.44140625" style="157" bestFit="1" customWidth="1"/>
    <col min="12300" max="12300" width="8.1640625" style="157" customWidth="1"/>
    <col min="12301" max="12301" width="10.83203125" style="157" bestFit="1" customWidth="1"/>
    <col min="12302" max="12302" width="12.1640625" style="157" bestFit="1" customWidth="1"/>
    <col min="12303" max="12303" width="9.1640625" style="157" customWidth="1"/>
    <col min="12304" max="12304" width="10.83203125" style="157" bestFit="1" customWidth="1"/>
    <col min="12305" max="12305" width="12.1640625" style="157" bestFit="1" customWidth="1"/>
    <col min="12306" max="12306" width="8" style="157" customWidth="1"/>
    <col min="12307" max="12307" width="10.83203125" style="157" bestFit="1" customWidth="1"/>
    <col min="12308" max="12308" width="12.1640625" style="157" bestFit="1" customWidth="1"/>
    <col min="12309" max="12309" width="8.1640625" style="157" bestFit="1" customWidth="1"/>
    <col min="12310" max="12310" width="10.83203125" style="157" bestFit="1" customWidth="1"/>
    <col min="12311" max="12311" width="12.1640625" style="157" bestFit="1" customWidth="1"/>
    <col min="12312" max="12312" width="18.1640625" style="157" bestFit="1" customWidth="1"/>
    <col min="12313" max="12313" width="10.83203125" style="157" bestFit="1" customWidth="1"/>
    <col min="12314" max="12549" width="8.83203125" style="157"/>
    <col min="12550" max="12550" width="38.1640625" style="157" customWidth="1"/>
    <col min="12551" max="12551" width="23.44140625" style="157" bestFit="1" customWidth="1"/>
    <col min="12552" max="12553" width="9.1640625" style="157" customWidth="1"/>
    <col min="12554" max="12554" width="11.1640625" style="157" bestFit="1" customWidth="1"/>
    <col min="12555" max="12555" width="14.44140625" style="157" bestFit="1" customWidth="1"/>
    <col min="12556" max="12556" width="8.1640625" style="157" customWidth="1"/>
    <col min="12557" max="12557" width="10.83203125" style="157" bestFit="1" customWidth="1"/>
    <col min="12558" max="12558" width="12.1640625" style="157" bestFit="1" customWidth="1"/>
    <col min="12559" max="12559" width="9.1640625" style="157" customWidth="1"/>
    <col min="12560" max="12560" width="10.83203125" style="157" bestFit="1" customWidth="1"/>
    <col min="12561" max="12561" width="12.1640625" style="157" bestFit="1" customWidth="1"/>
    <col min="12562" max="12562" width="8" style="157" customWidth="1"/>
    <col min="12563" max="12563" width="10.83203125" style="157" bestFit="1" customWidth="1"/>
    <col min="12564" max="12564" width="12.1640625" style="157" bestFit="1" customWidth="1"/>
    <col min="12565" max="12565" width="8.1640625" style="157" bestFit="1" customWidth="1"/>
    <col min="12566" max="12566" width="10.83203125" style="157" bestFit="1" customWidth="1"/>
    <col min="12567" max="12567" width="12.1640625" style="157" bestFit="1" customWidth="1"/>
    <col min="12568" max="12568" width="18.1640625" style="157" bestFit="1" customWidth="1"/>
    <col min="12569" max="12569" width="10.83203125" style="157" bestFit="1" customWidth="1"/>
    <col min="12570" max="12805" width="8.83203125" style="157"/>
    <col min="12806" max="12806" width="38.1640625" style="157" customWidth="1"/>
    <col min="12807" max="12807" width="23.44140625" style="157" bestFit="1" customWidth="1"/>
    <col min="12808" max="12809" width="9.1640625" style="157" customWidth="1"/>
    <col min="12810" max="12810" width="11.1640625" style="157" bestFit="1" customWidth="1"/>
    <col min="12811" max="12811" width="14.44140625" style="157" bestFit="1" customWidth="1"/>
    <col min="12812" max="12812" width="8.1640625" style="157" customWidth="1"/>
    <col min="12813" max="12813" width="10.83203125" style="157" bestFit="1" customWidth="1"/>
    <col min="12814" max="12814" width="12.1640625" style="157" bestFit="1" customWidth="1"/>
    <col min="12815" max="12815" width="9.1640625" style="157" customWidth="1"/>
    <col min="12816" max="12816" width="10.83203125" style="157" bestFit="1" customWidth="1"/>
    <col min="12817" max="12817" width="12.1640625" style="157" bestFit="1" customWidth="1"/>
    <col min="12818" max="12818" width="8" style="157" customWidth="1"/>
    <col min="12819" max="12819" width="10.83203125" style="157" bestFit="1" customWidth="1"/>
    <col min="12820" max="12820" width="12.1640625" style="157" bestFit="1" customWidth="1"/>
    <col min="12821" max="12821" width="8.1640625" style="157" bestFit="1" customWidth="1"/>
    <col min="12822" max="12822" width="10.83203125" style="157" bestFit="1" customWidth="1"/>
    <col min="12823" max="12823" width="12.1640625" style="157" bestFit="1" customWidth="1"/>
    <col min="12824" max="12824" width="18.1640625" style="157" bestFit="1" customWidth="1"/>
    <col min="12825" max="12825" width="10.83203125" style="157" bestFit="1" customWidth="1"/>
    <col min="12826" max="13061" width="8.83203125" style="157"/>
    <col min="13062" max="13062" width="38.1640625" style="157" customWidth="1"/>
    <col min="13063" max="13063" width="23.44140625" style="157" bestFit="1" customWidth="1"/>
    <col min="13064" max="13065" width="9.1640625" style="157" customWidth="1"/>
    <col min="13066" max="13066" width="11.1640625" style="157" bestFit="1" customWidth="1"/>
    <col min="13067" max="13067" width="14.44140625" style="157" bestFit="1" customWidth="1"/>
    <col min="13068" max="13068" width="8.1640625" style="157" customWidth="1"/>
    <col min="13069" max="13069" width="10.83203125" style="157" bestFit="1" customWidth="1"/>
    <col min="13070" max="13070" width="12.1640625" style="157" bestFit="1" customWidth="1"/>
    <col min="13071" max="13071" width="9.1640625" style="157" customWidth="1"/>
    <col min="13072" max="13072" width="10.83203125" style="157" bestFit="1" customWidth="1"/>
    <col min="13073" max="13073" width="12.1640625" style="157" bestFit="1" customWidth="1"/>
    <col min="13074" max="13074" width="8" style="157" customWidth="1"/>
    <col min="13075" max="13075" width="10.83203125" style="157" bestFit="1" customWidth="1"/>
    <col min="13076" max="13076" width="12.1640625" style="157" bestFit="1" customWidth="1"/>
    <col min="13077" max="13077" width="8.1640625" style="157" bestFit="1" customWidth="1"/>
    <col min="13078" max="13078" width="10.83203125" style="157" bestFit="1" customWidth="1"/>
    <col min="13079" max="13079" width="12.1640625" style="157" bestFit="1" customWidth="1"/>
    <col min="13080" max="13080" width="18.1640625" style="157" bestFit="1" customWidth="1"/>
    <col min="13081" max="13081" width="10.83203125" style="157" bestFit="1" customWidth="1"/>
    <col min="13082" max="13317" width="8.83203125" style="157"/>
    <col min="13318" max="13318" width="38.1640625" style="157" customWidth="1"/>
    <col min="13319" max="13319" width="23.44140625" style="157" bestFit="1" customWidth="1"/>
    <col min="13320" max="13321" width="9.1640625" style="157" customWidth="1"/>
    <col min="13322" max="13322" width="11.1640625" style="157" bestFit="1" customWidth="1"/>
    <col min="13323" max="13323" width="14.44140625" style="157" bestFit="1" customWidth="1"/>
    <col min="13324" max="13324" width="8.1640625" style="157" customWidth="1"/>
    <col min="13325" max="13325" width="10.83203125" style="157" bestFit="1" customWidth="1"/>
    <col min="13326" max="13326" width="12.1640625" style="157" bestFit="1" customWidth="1"/>
    <col min="13327" max="13327" width="9.1640625" style="157" customWidth="1"/>
    <col min="13328" max="13328" width="10.83203125" style="157" bestFit="1" customWidth="1"/>
    <col min="13329" max="13329" width="12.1640625" style="157" bestFit="1" customWidth="1"/>
    <col min="13330" max="13330" width="8" style="157" customWidth="1"/>
    <col min="13331" max="13331" width="10.83203125" style="157" bestFit="1" customWidth="1"/>
    <col min="13332" max="13332" width="12.1640625" style="157" bestFit="1" customWidth="1"/>
    <col min="13333" max="13333" width="8.1640625" style="157" bestFit="1" customWidth="1"/>
    <col min="13334" max="13334" width="10.83203125" style="157" bestFit="1" customWidth="1"/>
    <col min="13335" max="13335" width="12.1640625" style="157" bestFit="1" customWidth="1"/>
    <col min="13336" max="13336" width="18.1640625" style="157" bestFit="1" customWidth="1"/>
    <col min="13337" max="13337" width="10.83203125" style="157" bestFit="1" customWidth="1"/>
    <col min="13338" max="13573" width="8.83203125" style="157"/>
    <col min="13574" max="13574" width="38.1640625" style="157" customWidth="1"/>
    <col min="13575" max="13575" width="23.44140625" style="157" bestFit="1" customWidth="1"/>
    <col min="13576" max="13577" width="9.1640625" style="157" customWidth="1"/>
    <col min="13578" max="13578" width="11.1640625" style="157" bestFit="1" customWidth="1"/>
    <col min="13579" max="13579" width="14.44140625" style="157" bestFit="1" customWidth="1"/>
    <col min="13580" max="13580" width="8.1640625" style="157" customWidth="1"/>
    <col min="13581" max="13581" width="10.83203125" style="157" bestFit="1" customWidth="1"/>
    <col min="13582" max="13582" width="12.1640625" style="157" bestFit="1" customWidth="1"/>
    <col min="13583" max="13583" width="9.1640625" style="157" customWidth="1"/>
    <col min="13584" max="13584" width="10.83203125" style="157" bestFit="1" customWidth="1"/>
    <col min="13585" max="13585" width="12.1640625" style="157" bestFit="1" customWidth="1"/>
    <col min="13586" max="13586" width="8" style="157" customWidth="1"/>
    <col min="13587" max="13587" width="10.83203125" style="157" bestFit="1" customWidth="1"/>
    <col min="13588" max="13588" width="12.1640625" style="157" bestFit="1" customWidth="1"/>
    <col min="13589" max="13589" width="8.1640625" style="157" bestFit="1" customWidth="1"/>
    <col min="13590" max="13590" width="10.83203125" style="157" bestFit="1" customWidth="1"/>
    <col min="13591" max="13591" width="12.1640625" style="157" bestFit="1" customWidth="1"/>
    <col min="13592" max="13592" width="18.1640625" style="157" bestFit="1" customWidth="1"/>
    <col min="13593" max="13593" width="10.83203125" style="157" bestFit="1" customWidth="1"/>
    <col min="13594" max="13829" width="8.83203125" style="157"/>
    <col min="13830" max="13830" width="38.1640625" style="157" customWidth="1"/>
    <col min="13831" max="13831" width="23.44140625" style="157" bestFit="1" customWidth="1"/>
    <col min="13832" max="13833" width="9.1640625" style="157" customWidth="1"/>
    <col min="13834" max="13834" width="11.1640625" style="157" bestFit="1" customWidth="1"/>
    <col min="13835" max="13835" width="14.44140625" style="157" bestFit="1" customWidth="1"/>
    <col min="13836" max="13836" width="8.1640625" style="157" customWidth="1"/>
    <col min="13837" max="13837" width="10.83203125" style="157" bestFit="1" customWidth="1"/>
    <col min="13838" max="13838" width="12.1640625" style="157" bestFit="1" customWidth="1"/>
    <col min="13839" max="13839" width="9.1640625" style="157" customWidth="1"/>
    <col min="13840" max="13840" width="10.83203125" style="157" bestFit="1" customWidth="1"/>
    <col min="13841" max="13841" width="12.1640625" style="157" bestFit="1" customWidth="1"/>
    <col min="13842" max="13842" width="8" style="157" customWidth="1"/>
    <col min="13843" max="13843" width="10.83203125" style="157" bestFit="1" customWidth="1"/>
    <col min="13844" max="13844" width="12.1640625" style="157" bestFit="1" customWidth="1"/>
    <col min="13845" max="13845" width="8.1640625" style="157" bestFit="1" customWidth="1"/>
    <col min="13846" max="13846" width="10.83203125" style="157" bestFit="1" customWidth="1"/>
    <col min="13847" max="13847" width="12.1640625" style="157" bestFit="1" customWidth="1"/>
    <col min="13848" max="13848" width="18.1640625" style="157" bestFit="1" customWidth="1"/>
    <col min="13849" max="13849" width="10.83203125" style="157" bestFit="1" customWidth="1"/>
    <col min="13850" max="14085" width="8.83203125" style="157"/>
    <col min="14086" max="14086" width="38.1640625" style="157" customWidth="1"/>
    <col min="14087" max="14087" width="23.44140625" style="157" bestFit="1" customWidth="1"/>
    <col min="14088" max="14089" width="9.1640625" style="157" customWidth="1"/>
    <col min="14090" max="14090" width="11.1640625" style="157" bestFit="1" customWidth="1"/>
    <col min="14091" max="14091" width="14.44140625" style="157" bestFit="1" customWidth="1"/>
    <col min="14092" max="14092" width="8.1640625" style="157" customWidth="1"/>
    <col min="14093" max="14093" width="10.83203125" style="157" bestFit="1" customWidth="1"/>
    <col min="14094" max="14094" width="12.1640625" style="157" bestFit="1" customWidth="1"/>
    <col min="14095" max="14095" width="9.1640625" style="157" customWidth="1"/>
    <col min="14096" max="14096" width="10.83203125" style="157" bestFit="1" customWidth="1"/>
    <col min="14097" max="14097" width="12.1640625" style="157" bestFit="1" customWidth="1"/>
    <col min="14098" max="14098" width="8" style="157" customWidth="1"/>
    <col min="14099" max="14099" width="10.83203125" style="157" bestFit="1" customWidth="1"/>
    <col min="14100" max="14100" width="12.1640625" style="157" bestFit="1" customWidth="1"/>
    <col min="14101" max="14101" width="8.1640625" style="157" bestFit="1" customWidth="1"/>
    <col min="14102" max="14102" width="10.83203125" style="157" bestFit="1" customWidth="1"/>
    <col min="14103" max="14103" width="12.1640625" style="157" bestFit="1" customWidth="1"/>
    <col min="14104" max="14104" width="18.1640625" style="157" bestFit="1" customWidth="1"/>
    <col min="14105" max="14105" width="10.83203125" style="157" bestFit="1" customWidth="1"/>
    <col min="14106" max="14341" width="8.83203125" style="157"/>
    <col min="14342" max="14342" width="38.1640625" style="157" customWidth="1"/>
    <col min="14343" max="14343" width="23.44140625" style="157" bestFit="1" customWidth="1"/>
    <col min="14344" max="14345" width="9.1640625" style="157" customWidth="1"/>
    <col min="14346" max="14346" width="11.1640625" style="157" bestFit="1" customWidth="1"/>
    <col min="14347" max="14347" width="14.44140625" style="157" bestFit="1" customWidth="1"/>
    <col min="14348" max="14348" width="8.1640625" style="157" customWidth="1"/>
    <col min="14349" max="14349" width="10.83203125" style="157" bestFit="1" customWidth="1"/>
    <col min="14350" max="14350" width="12.1640625" style="157" bestFit="1" customWidth="1"/>
    <col min="14351" max="14351" width="9.1640625" style="157" customWidth="1"/>
    <col min="14352" max="14352" width="10.83203125" style="157" bestFit="1" customWidth="1"/>
    <col min="14353" max="14353" width="12.1640625" style="157" bestFit="1" customWidth="1"/>
    <col min="14354" max="14354" width="8" style="157" customWidth="1"/>
    <col min="14355" max="14355" width="10.83203125" style="157" bestFit="1" customWidth="1"/>
    <col min="14356" max="14356" width="12.1640625" style="157" bestFit="1" customWidth="1"/>
    <col min="14357" max="14357" width="8.1640625" style="157" bestFit="1" customWidth="1"/>
    <col min="14358" max="14358" width="10.83203125" style="157" bestFit="1" customWidth="1"/>
    <col min="14359" max="14359" width="12.1640625" style="157" bestFit="1" customWidth="1"/>
    <col min="14360" max="14360" width="18.1640625" style="157" bestFit="1" customWidth="1"/>
    <col min="14361" max="14361" width="10.83203125" style="157" bestFit="1" customWidth="1"/>
    <col min="14362" max="14597" width="8.83203125" style="157"/>
    <col min="14598" max="14598" width="38.1640625" style="157" customWidth="1"/>
    <col min="14599" max="14599" width="23.44140625" style="157" bestFit="1" customWidth="1"/>
    <col min="14600" max="14601" width="9.1640625" style="157" customWidth="1"/>
    <col min="14602" max="14602" width="11.1640625" style="157" bestFit="1" customWidth="1"/>
    <col min="14603" max="14603" width="14.44140625" style="157" bestFit="1" customWidth="1"/>
    <col min="14604" max="14604" width="8.1640625" style="157" customWidth="1"/>
    <col min="14605" max="14605" width="10.83203125" style="157" bestFit="1" customWidth="1"/>
    <col min="14606" max="14606" width="12.1640625" style="157" bestFit="1" customWidth="1"/>
    <col min="14607" max="14607" width="9.1640625" style="157" customWidth="1"/>
    <col min="14608" max="14608" width="10.83203125" style="157" bestFit="1" customWidth="1"/>
    <col min="14609" max="14609" width="12.1640625" style="157" bestFit="1" customWidth="1"/>
    <col min="14610" max="14610" width="8" style="157" customWidth="1"/>
    <col min="14611" max="14611" width="10.83203125" style="157" bestFit="1" customWidth="1"/>
    <col min="14612" max="14612" width="12.1640625" style="157" bestFit="1" customWidth="1"/>
    <col min="14613" max="14613" width="8.1640625" style="157" bestFit="1" customWidth="1"/>
    <col min="14614" max="14614" width="10.83203125" style="157" bestFit="1" customWidth="1"/>
    <col min="14615" max="14615" width="12.1640625" style="157" bestFit="1" customWidth="1"/>
    <col min="14616" max="14616" width="18.1640625" style="157" bestFit="1" customWidth="1"/>
    <col min="14617" max="14617" width="10.83203125" style="157" bestFit="1" customWidth="1"/>
    <col min="14618" max="14853" width="8.83203125" style="157"/>
    <col min="14854" max="14854" width="38.1640625" style="157" customWidth="1"/>
    <col min="14855" max="14855" width="23.44140625" style="157" bestFit="1" customWidth="1"/>
    <col min="14856" max="14857" width="9.1640625" style="157" customWidth="1"/>
    <col min="14858" max="14858" width="11.1640625" style="157" bestFit="1" customWidth="1"/>
    <col min="14859" max="14859" width="14.44140625" style="157" bestFit="1" customWidth="1"/>
    <col min="14860" max="14860" width="8.1640625" style="157" customWidth="1"/>
    <col min="14861" max="14861" width="10.83203125" style="157" bestFit="1" customWidth="1"/>
    <col min="14862" max="14862" width="12.1640625" style="157" bestFit="1" customWidth="1"/>
    <col min="14863" max="14863" width="9.1640625" style="157" customWidth="1"/>
    <col min="14864" max="14864" width="10.83203125" style="157" bestFit="1" customWidth="1"/>
    <col min="14865" max="14865" width="12.1640625" style="157" bestFit="1" customWidth="1"/>
    <col min="14866" max="14866" width="8" style="157" customWidth="1"/>
    <col min="14867" max="14867" width="10.83203125" style="157" bestFit="1" customWidth="1"/>
    <col min="14868" max="14868" width="12.1640625" style="157" bestFit="1" customWidth="1"/>
    <col min="14869" max="14869" width="8.1640625" style="157" bestFit="1" customWidth="1"/>
    <col min="14870" max="14870" width="10.83203125" style="157" bestFit="1" customWidth="1"/>
    <col min="14871" max="14871" width="12.1640625" style="157" bestFit="1" customWidth="1"/>
    <col min="14872" max="14872" width="18.1640625" style="157" bestFit="1" customWidth="1"/>
    <col min="14873" max="14873" width="10.83203125" style="157" bestFit="1" customWidth="1"/>
    <col min="14874" max="15109" width="8.83203125" style="157"/>
    <col min="15110" max="15110" width="38.1640625" style="157" customWidth="1"/>
    <col min="15111" max="15111" width="23.44140625" style="157" bestFit="1" customWidth="1"/>
    <col min="15112" max="15113" width="9.1640625" style="157" customWidth="1"/>
    <col min="15114" max="15114" width="11.1640625" style="157" bestFit="1" customWidth="1"/>
    <col min="15115" max="15115" width="14.44140625" style="157" bestFit="1" customWidth="1"/>
    <col min="15116" max="15116" width="8.1640625" style="157" customWidth="1"/>
    <col min="15117" max="15117" width="10.83203125" style="157" bestFit="1" customWidth="1"/>
    <col min="15118" max="15118" width="12.1640625" style="157" bestFit="1" customWidth="1"/>
    <col min="15119" max="15119" width="9.1640625" style="157" customWidth="1"/>
    <col min="15120" max="15120" width="10.83203125" style="157" bestFit="1" customWidth="1"/>
    <col min="15121" max="15121" width="12.1640625" style="157" bestFit="1" customWidth="1"/>
    <col min="15122" max="15122" width="8" style="157" customWidth="1"/>
    <col min="15123" max="15123" width="10.83203125" style="157" bestFit="1" customWidth="1"/>
    <col min="15124" max="15124" width="12.1640625" style="157" bestFit="1" customWidth="1"/>
    <col min="15125" max="15125" width="8.1640625" style="157" bestFit="1" customWidth="1"/>
    <col min="15126" max="15126" width="10.83203125" style="157" bestFit="1" customWidth="1"/>
    <col min="15127" max="15127" width="12.1640625" style="157" bestFit="1" customWidth="1"/>
    <col min="15128" max="15128" width="18.1640625" style="157" bestFit="1" customWidth="1"/>
    <col min="15129" max="15129" width="10.83203125" style="157" bestFit="1" customWidth="1"/>
    <col min="15130" max="15365" width="8.83203125" style="157"/>
    <col min="15366" max="15366" width="38.1640625" style="157" customWidth="1"/>
    <col min="15367" max="15367" width="23.44140625" style="157" bestFit="1" customWidth="1"/>
    <col min="15368" max="15369" width="9.1640625" style="157" customWidth="1"/>
    <col min="15370" max="15370" width="11.1640625" style="157" bestFit="1" customWidth="1"/>
    <col min="15371" max="15371" width="14.44140625" style="157" bestFit="1" customWidth="1"/>
    <col min="15372" max="15372" width="8.1640625" style="157" customWidth="1"/>
    <col min="15373" max="15373" width="10.83203125" style="157" bestFit="1" customWidth="1"/>
    <col min="15374" max="15374" width="12.1640625" style="157" bestFit="1" customWidth="1"/>
    <col min="15375" max="15375" width="9.1640625" style="157" customWidth="1"/>
    <col min="15376" max="15376" width="10.83203125" style="157" bestFit="1" customWidth="1"/>
    <col min="15377" max="15377" width="12.1640625" style="157" bestFit="1" customWidth="1"/>
    <col min="15378" max="15378" width="8" style="157" customWidth="1"/>
    <col min="15379" max="15379" width="10.83203125" style="157" bestFit="1" customWidth="1"/>
    <col min="15380" max="15380" width="12.1640625" style="157" bestFit="1" customWidth="1"/>
    <col min="15381" max="15381" width="8.1640625" style="157" bestFit="1" customWidth="1"/>
    <col min="15382" max="15382" width="10.83203125" style="157" bestFit="1" customWidth="1"/>
    <col min="15383" max="15383" width="12.1640625" style="157" bestFit="1" customWidth="1"/>
    <col min="15384" max="15384" width="18.1640625" style="157" bestFit="1" customWidth="1"/>
    <col min="15385" max="15385" width="10.83203125" style="157" bestFit="1" customWidth="1"/>
    <col min="15386" max="15621" width="8.83203125" style="157"/>
    <col min="15622" max="15622" width="38.1640625" style="157" customWidth="1"/>
    <col min="15623" max="15623" width="23.44140625" style="157" bestFit="1" customWidth="1"/>
    <col min="15624" max="15625" width="9.1640625" style="157" customWidth="1"/>
    <col min="15626" max="15626" width="11.1640625" style="157" bestFit="1" customWidth="1"/>
    <col min="15627" max="15627" width="14.44140625" style="157" bestFit="1" customWidth="1"/>
    <col min="15628" max="15628" width="8.1640625" style="157" customWidth="1"/>
    <col min="15629" max="15629" width="10.83203125" style="157" bestFit="1" customWidth="1"/>
    <col min="15630" max="15630" width="12.1640625" style="157" bestFit="1" customWidth="1"/>
    <col min="15631" max="15631" width="9.1640625" style="157" customWidth="1"/>
    <col min="15632" max="15632" width="10.83203125" style="157" bestFit="1" customWidth="1"/>
    <col min="15633" max="15633" width="12.1640625" style="157" bestFit="1" customWidth="1"/>
    <col min="15634" max="15634" width="8" style="157" customWidth="1"/>
    <col min="15635" max="15635" width="10.83203125" style="157" bestFit="1" customWidth="1"/>
    <col min="15636" max="15636" width="12.1640625" style="157" bestFit="1" customWidth="1"/>
    <col min="15637" max="15637" width="8.1640625" style="157" bestFit="1" customWidth="1"/>
    <col min="15638" max="15638" width="10.83203125" style="157" bestFit="1" customWidth="1"/>
    <col min="15639" max="15639" width="12.1640625" style="157" bestFit="1" customWidth="1"/>
    <col min="15640" max="15640" width="18.1640625" style="157" bestFit="1" customWidth="1"/>
    <col min="15641" max="15641" width="10.83203125" style="157" bestFit="1" customWidth="1"/>
    <col min="15642" max="15877" width="8.83203125" style="157"/>
    <col min="15878" max="15878" width="38.1640625" style="157" customWidth="1"/>
    <col min="15879" max="15879" width="23.44140625" style="157" bestFit="1" customWidth="1"/>
    <col min="15880" max="15881" width="9.1640625" style="157" customWidth="1"/>
    <col min="15882" max="15882" width="11.1640625" style="157" bestFit="1" customWidth="1"/>
    <col min="15883" max="15883" width="14.44140625" style="157" bestFit="1" customWidth="1"/>
    <col min="15884" max="15884" width="8.1640625" style="157" customWidth="1"/>
    <col min="15885" max="15885" width="10.83203125" style="157" bestFit="1" customWidth="1"/>
    <col min="15886" max="15886" width="12.1640625" style="157" bestFit="1" customWidth="1"/>
    <col min="15887" max="15887" width="9.1640625" style="157" customWidth="1"/>
    <col min="15888" max="15888" width="10.83203125" style="157" bestFit="1" customWidth="1"/>
    <col min="15889" max="15889" width="12.1640625" style="157" bestFit="1" customWidth="1"/>
    <col min="15890" max="15890" width="8" style="157" customWidth="1"/>
    <col min="15891" max="15891" width="10.83203125" style="157" bestFit="1" customWidth="1"/>
    <col min="15892" max="15892" width="12.1640625" style="157" bestFit="1" customWidth="1"/>
    <col min="15893" max="15893" width="8.1640625" style="157" bestFit="1" customWidth="1"/>
    <col min="15894" max="15894" width="10.83203125" style="157" bestFit="1" customWidth="1"/>
    <col min="15895" max="15895" width="12.1640625" style="157" bestFit="1" customWidth="1"/>
    <col min="15896" max="15896" width="18.1640625" style="157" bestFit="1" customWidth="1"/>
    <col min="15897" max="15897" width="10.83203125" style="157" bestFit="1" customWidth="1"/>
    <col min="15898" max="16133" width="8.83203125" style="157"/>
    <col min="16134" max="16134" width="38.1640625" style="157" customWidth="1"/>
    <col min="16135" max="16135" width="23.44140625" style="157" bestFit="1" customWidth="1"/>
    <col min="16136" max="16137" width="9.1640625" style="157" customWidth="1"/>
    <col min="16138" max="16138" width="11.1640625" style="157" bestFit="1" customWidth="1"/>
    <col min="16139" max="16139" width="14.44140625" style="157" bestFit="1" customWidth="1"/>
    <col min="16140" max="16140" width="8.1640625" style="157" customWidth="1"/>
    <col min="16141" max="16141" width="10.83203125" style="157" bestFit="1" customWidth="1"/>
    <col min="16142" max="16142" width="12.1640625" style="157" bestFit="1" customWidth="1"/>
    <col min="16143" max="16143" width="9.1640625" style="157" customWidth="1"/>
    <col min="16144" max="16144" width="10.83203125" style="157" bestFit="1" customWidth="1"/>
    <col min="16145" max="16145" width="12.1640625" style="157" bestFit="1" customWidth="1"/>
    <col min="16146" max="16146" width="8" style="157" customWidth="1"/>
    <col min="16147" max="16147" width="10.83203125" style="157" bestFit="1" customWidth="1"/>
    <col min="16148" max="16148" width="12.1640625" style="157" bestFit="1" customWidth="1"/>
    <col min="16149" max="16149" width="8.1640625" style="157" bestFit="1" customWidth="1"/>
    <col min="16150" max="16150" width="10.83203125" style="157" bestFit="1" customWidth="1"/>
    <col min="16151" max="16151" width="12.1640625" style="157" bestFit="1" customWidth="1"/>
    <col min="16152" max="16152" width="18.1640625" style="157" bestFit="1" customWidth="1"/>
    <col min="16153" max="16153" width="10.83203125" style="157" bestFit="1" customWidth="1"/>
    <col min="16154" max="16384" width="8.83203125" style="157"/>
  </cols>
  <sheetData>
    <row r="1" spans="1:33" ht="14.7" thickBot="1"/>
    <row r="2" spans="1:33" ht="23.5" customHeight="1">
      <c r="A2" s="658" t="s">
        <v>499</v>
      </c>
      <c r="B2" s="652" t="s">
        <v>500</v>
      </c>
      <c r="C2" s="660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48" t="s">
        <v>502</v>
      </c>
      <c r="AB2" s="163"/>
    </row>
    <row r="3" spans="1:33" ht="47.95" customHeight="1">
      <c r="A3" s="659"/>
      <c r="B3" s="653"/>
      <c r="C3" s="662"/>
      <c r="D3" s="164" t="s">
        <v>503</v>
      </c>
      <c r="E3" s="165" t="s">
        <v>504</v>
      </c>
      <c r="F3" s="167" t="s">
        <v>505</v>
      </c>
      <c r="G3" s="168" t="s">
        <v>502</v>
      </c>
      <c r="H3" s="164" t="s">
        <v>503</v>
      </c>
      <c r="I3" s="165" t="s">
        <v>504</v>
      </c>
      <c r="J3" s="166" t="s">
        <v>505</v>
      </c>
      <c r="K3" s="168" t="s">
        <v>502</v>
      </c>
      <c r="L3" s="164" t="s">
        <v>503</v>
      </c>
      <c r="M3" s="165" t="s">
        <v>504</v>
      </c>
      <c r="N3" s="167" t="s">
        <v>505</v>
      </c>
      <c r="O3" s="168" t="s">
        <v>502</v>
      </c>
      <c r="P3" s="164" t="s">
        <v>503</v>
      </c>
      <c r="Q3" s="165" t="s">
        <v>504</v>
      </c>
      <c r="R3" s="167" t="s">
        <v>505</v>
      </c>
      <c r="S3" s="168" t="s">
        <v>502</v>
      </c>
      <c r="T3" s="649"/>
      <c r="AB3" s="163"/>
      <c r="AC3" s="157" t="s">
        <v>543</v>
      </c>
    </row>
    <row r="4" spans="1:33" ht="20.399999999999999">
      <c r="A4" s="324" t="s">
        <v>506</v>
      </c>
      <c r="B4" s="169"/>
      <c r="C4" s="169"/>
      <c r="D4" s="170"/>
      <c r="E4" s="171"/>
      <c r="F4" s="174"/>
      <c r="G4" s="175"/>
      <c r="H4" s="170"/>
      <c r="I4" s="171"/>
      <c r="J4" s="172"/>
      <c r="K4" s="175"/>
      <c r="L4" s="176"/>
      <c r="M4" s="171"/>
      <c r="N4" s="174"/>
      <c r="O4" s="175"/>
      <c r="P4" s="176"/>
      <c r="Q4" s="171"/>
      <c r="R4" s="174"/>
      <c r="S4" s="177"/>
      <c r="T4" s="175"/>
      <c r="AB4" s="178" t="s">
        <v>544</v>
      </c>
      <c r="AC4" s="178" t="s">
        <v>545</v>
      </c>
      <c r="AD4" s="178" t="s">
        <v>546</v>
      </c>
    </row>
    <row r="5" spans="1:33" s="189" customFormat="1" ht="15" customHeight="1" outlineLevel="1">
      <c r="A5" s="179" t="s">
        <v>53</v>
      </c>
      <c r="B5" s="180"/>
      <c r="C5" s="184"/>
      <c r="D5" s="181"/>
      <c r="E5" s="182"/>
      <c r="F5" s="185"/>
      <c r="G5" s="186"/>
      <c r="H5" s="181"/>
      <c r="I5" s="182"/>
      <c r="J5" s="183"/>
      <c r="K5" s="186"/>
      <c r="L5" s="181"/>
      <c r="M5" s="182"/>
      <c r="N5" s="185"/>
      <c r="O5" s="186"/>
      <c r="P5" s="181"/>
      <c r="Q5" s="182"/>
      <c r="R5" s="185"/>
      <c r="S5" s="186"/>
      <c r="T5" s="187"/>
      <c r="U5" s="188"/>
      <c r="V5" s="157"/>
      <c r="W5" s="157"/>
      <c r="X5" s="157"/>
      <c r="Y5" s="157"/>
      <c r="Z5" s="157"/>
      <c r="AA5" s="157"/>
      <c r="AB5" s="163"/>
    </row>
    <row r="6" spans="1:33" s="189" customFormat="1" ht="15.6" outlineLevel="1">
      <c r="A6" s="190" t="s">
        <v>507</v>
      </c>
      <c r="B6" s="191"/>
      <c r="C6" s="184"/>
      <c r="D6" s="181"/>
      <c r="E6" s="182"/>
      <c r="F6" s="185"/>
      <c r="G6" s="186"/>
      <c r="H6" s="181"/>
      <c r="I6" s="182"/>
      <c r="J6" s="183"/>
      <c r="K6" s="186"/>
      <c r="L6" s="181"/>
      <c r="M6" s="182"/>
      <c r="N6" s="185"/>
      <c r="O6" s="186"/>
      <c r="P6" s="181"/>
      <c r="Q6" s="182"/>
      <c r="R6" s="185"/>
      <c r="S6" s="186"/>
      <c r="T6" s="332"/>
      <c r="U6" s="192"/>
      <c r="V6" s="157"/>
      <c r="W6" s="157"/>
      <c r="X6" s="157"/>
      <c r="Y6" s="157"/>
      <c r="Z6" s="157"/>
      <c r="AA6" s="157"/>
      <c r="AB6" s="163"/>
    </row>
    <row r="7" spans="1:33" ht="15" customHeight="1" outlineLevel="1">
      <c r="A7" s="193" t="str">
        <f>'Program Budget'!D521</f>
        <v>Key Personnel: Chief of Party</v>
      </c>
      <c r="B7" s="194" t="str">
        <f>'Program Budget'!F521</f>
        <v>Month</v>
      </c>
      <c r="C7" s="198">
        <f>'Program Budget'!E521</f>
        <v>14211</v>
      </c>
      <c r="D7" s="195">
        <f>'Program Budget'!G521</f>
        <v>14250</v>
      </c>
      <c r="E7" s="196">
        <f>'Program Budget'!I521</f>
        <v>12</v>
      </c>
      <c r="F7" s="199">
        <f>'Program Budget'!H521</f>
        <v>0.1</v>
      </c>
      <c r="G7" s="198">
        <f>D7*E7*F7</f>
        <v>17100</v>
      </c>
      <c r="H7" s="195">
        <f>D7*1.05</f>
        <v>14962.5</v>
      </c>
      <c r="I7" s="196">
        <f>'Program Budget'!L521</f>
        <v>12</v>
      </c>
      <c r="J7" s="199">
        <f>'Program Budget'!K521</f>
        <v>0</v>
      </c>
      <c r="K7" s="198">
        <f>H7*I7*J7</f>
        <v>0</v>
      </c>
      <c r="L7" s="195">
        <f>H7*1.05</f>
        <v>15710.625</v>
      </c>
      <c r="M7" s="196">
        <f>'Program Budget'!O521</f>
        <v>12</v>
      </c>
      <c r="N7" s="199">
        <f>'Program Budget'!N521</f>
        <v>0</v>
      </c>
      <c r="O7" s="198">
        <f>L7*M7*N7</f>
        <v>0</v>
      </c>
      <c r="P7" s="195">
        <f>L7*1.05</f>
        <v>16496.15625</v>
      </c>
      <c r="Q7" s="196">
        <f>'Program Budget'!R521</f>
        <v>0</v>
      </c>
      <c r="R7" s="199">
        <f>'Program Budget'!Q521</f>
        <v>0</v>
      </c>
      <c r="S7" s="198">
        <f>P7*Q7*R7</f>
        <v>0</v>
      </c>
      <c r="T7" s="335">
        <f>C7+G7+K7+O7+S7</f>
        <v>31311</v>
      </c>
      <c r="U7" s="201"/>
      <c r="V7" s="188"/>
      <c r="W7" s="202"/>
      <c r="X7" s="202"/>
      <c r="AB7" s="163">
        <v>180</v>
      </c>
      <c r="AC7" s="203" t="s">
        <v>547</v>
      </c>
      <c r="AD7" s="203" t="s">
        <v>548</v>
      </c>
      <c r="AE7" s="204"/>
      <c r="AG7" s="205"/>
    </row>
    <row r="8" spans="1:33" ht="15" customHeight="1" outlineLevel="1">
      <c r="A8" s="208" t="s">
        <v>508</v>
      </c>
      <c r="B8" s="209"/>
      <c r="C8" s="213">
        <f>SUM(C7:C7)</f>
        <v>14211</v>
      </c>
      <c r="D8" s="210"/>
      <c r="E8" s="211"/>
      <c r="F8" s="214"/>
      <c r="G8" s="213">
        <f>SUM(G7:G7)</f>
        <v>17100</v>
      </c>
      <c r="H8" s="210"/>
      <c r="I8" s="211"/>
      <c r="J8" s="212"/>
      <c r="K8" s="213">
        <f>SUM(K7:K7)</f>
        <v>0</v>
      </c>
      <c r="L8" s="210"/>
      <c r="M8" s="211"/>
      <c r="N8" s="214"/>
      <c r="O8" s="213">
        <f>SUM(O7:O7)</f>
        <v>0</v>
      </c>
      <c r="P8" s="210"/>
      <c r="Q8" s="211"/>
      <c r="R8" s="214"/>
      <c r="S8" s="213">
        <f>SUM(S7:S7)</f>
        <v>0</v>
      </c>
      <c r="T8" s="334">
        <f>+C8+G8+K8+O8+S8</f>
        <v>31311</v>
      </c>
      <c r="AB8" s="163"/>
      <c r="AC8" s="203"/>
      <c r="AD8" s="203" t="s">
        <v>549</v>
      </c>
    </row>
    <row r="9" spans="1:33" ht="15" customHeight="1" outlineLevel="1">
      <c r="A9" s="190" t="s">
        <v>576</v>
      </c>
      <c r="B9" s="216"/>
      <c r="C9" s="198"/>
      <c r="D9" s="217"/>
      <c r="E9" s="218"/>
      <c r="F9" s="220"/>
      <c r="G9" s="200"/>
      <c r="H9" s="217"/>
      <c r="I9" s="218"/>
      <c r="J9" s="219"/>
      <c r="K9" s="200"/>
      <c r="L9" s="217"/>
      <c r="M9" s="218"/>
      <c r="N9" s="220"/>
      <c r="O9" s="200"/>
      <c r="P9" s="217"/>
      <c r="Q9" s="218"/>
      <c r="R9" s="220"/>
      <c r="S9" s="200"/>
      <c r="T9" s="350"/>
      <c r="U9" s="192"/>
      <c r="AB9" s="163"/>
      <c r="AC9" s="203"/>
      <c r="AD9" s="203" t="s">
        <v>549</v>
      </c>
      <c r="AG9" s="205"/>
    </row>
    <row r="10" spans="1:33" ht="15" customHeight="1" outlineLevel="1">
      <c r="A10" s="193" t="str">
        <f>'Program Budget'!D522</f>
        <v>Deputy Chief of Party / Value Chain Strengthening Director</v>
      </c>
      <c r="B10" s="194" t="str">
        <f>'Program Budget'!F522</f>
        <v>Month</v>
      </c>
      <c r="C10" s="198">
        <f>'Program Budget'!E522</f>
        <v>0</v>
      </c>
      <c r="D10" s="195">
        <f>'Program Budget'!G522</f>
        <v>5000</v>
      </c>
      <c r="E10" s="196">
        <f>'Program Budget'!I522</f>
        <v>12</v>
      </c>
      <c r="F10" s="199">
        <f>'Program Budget'!H522</f>
        <v>0.1</v>
      </c>
      <c r="G10" s="198">
        <f>D10*E10*F10</f>
        <v>6000</v>
      </c>
      <c r="H10" s="195">
        <f>D10*1.05</f>
        <v>5250</v>
      </c>
      <c r="I10" s="196">
        <f>'Program Budget'!L522</f>
        <v>12</v>
      </c>
      <c r="J10" s="199">
        <f>'Program Budget'!K522</f>
        <v>0</v>
      </c>
      <c r="K10" s="198">
        <f>H10*I10*J10</f>
        <v>0</v>
      </c>
      <c r="L10" s="195">
        <f>H10*1.05</f>
        <v>5512.5</v>
      </c>
      <c r="M10" s="196">
        <f>'Program Budget'!O522</f>
        <v>12</v>
      </c>
      <c r="N10" s="199">
        <f>'Program Budget'!N522</f>
        <v>0</v>
      </c>
      <c r="O10" s="198">
        <f>L10*M10*N10</f>
        <v>0</v>
      </c>
      <c r="P10" s="195">
        <f>L10*1.05</f>
        <v>5788.125</v>
      </c>
      <c r="Q10" s="196">
        <f>'Program Budget'!R522</f>
        <v>6</v>
      </c>
      <c r="R10" s="199">
        <f>'Program Budget'!Q522</f>
        <v>0</v>
      </c>
      <c r="S10" s="198">
        <f>P10*Q10*R10</f>
        <v>0</v>
      </c>
      <c r="T10" s="333">
        <f>C10+G10+K10+O10+S10</f>
        <v>6000</v>
      </c>
      <c r="U10" s="201"/>
      <c r="V10" s="188"/>
      <c r="W10" s="202"/>
      <c r="X10" s="202"/>
      <c r="AB10" s="163">
        <v>180</v>
      </c>
      <c r="AC10" s="203" t="s">
        <v>547</v>
      </c>
      <c r="AD10" s="203" t="s">
        <v>548</v>
      </c>
      <c r="AE10" s="204"/>
      <c r="AG10" s="205"/>
    </row>
    <row r="11" spans="1:33" ht="15" customHeight="1" outlineLevel="1">
      <c r="A11" s="193" t="str">
        <f>'Program Budget'!D523</f>
        <v>Key Personnel: Technical Director</v>
      </c>
      <c r="B11" s="194" t="str">
        <f>'Program Budget'!F523</f>
        <v>Month</v>
      </c>
      <c r="C11" s="198">
        <f>'Program Budget'!E523</f>
        <v>38097.96</v>
      </c>
      <c r="D11" s="195">
        <f>'Program Budget'!G523</f>
        <v>4583.333333333333</v>
      </c>
      <c r="E11" s="196">
        <f>'Program Budget'!I523</f>
        <v>12</v>
      </c>
      <c r="F11" s="199">
        <f>'Program Budget'!H523</f>
        <v>0.15</v>
      </c>
      <c r="G11" s="198">
        <f t="shared" ref="G11:G38" si="0">D11*E11*F11</f>
        <v>8250</v>
      </c>
      <c r="H11" s="195">
        <f t="shared" ref="H11:H38" si="1">D11*1.05</f>
        <v>4812.5</v>
      </c>
      <c r="I11" s="196">
        <f>'Program Budget'!L523</f>
        <v>12</v>
      </c>
      <c r="J11" s="199">
        <f>'Program Budget'!K523</f>
        <v>0</v>
      </c>
      <c r="K11" s="198">
        <f t="shared" ref="K11:K38" si="2">H11*I11*J11</f>
        <v>0</v>
      </c>
      <c r="L11" s="195">
        <f t="shared" ref="L11:L38" si="3">H11*1.05</f>
        <v>5053.125</v>
      </c>
      <c r="M11" s="196">
        <f>'Program Budget'!O523</f>
        <v>12</v>
      </c>
      <c r="N11" s="199">
        <f>'Program Budget'!N523</f>
        <v>0</v>
      </c>
      <c r="O11" s="198">
        <f t="shared" ref="O11:O38" si="4">L11*M11*N11</f>
        <v>0</v>
      </c>
      <c r="P11" s="195">
        <f t="shared" ref="P11:P38" si="5">L11*1.05</f>
        <v>5305.78125</v>
      </c>
      <c r="Q11" s="196">
        <f>'Program Budget'!R523</f>
        <v>5</v>
      </c>
      <c r="R11" s="199">
        <f>'Program Budget'!Q523</f>
        <v>0</v>
      </c>
      <c r="S11" s="198">
        <f t="shared" ref="S11:S38" si="6">P11*Q11*R11</f>
        <v>0</v>
      </c>
      <c r="T11" s="333">
        <f t="shared" ref="T11:T38" si="7">C11+G11+K11+O11+S11</f>
        <v>46347.96</v>
      </c>
      <c r="U11" s="201"/>
      <c r="V11" s="188"/>
      <c r="W11" s="202"/>
      <c r="X11" s="202"/>
      <c r="AB11" s="163">
        <v>180</v>
      </c>
      <c r="AC11" s="203" t="s">
        <v>547</v>
      </c>
      <c r="AD11" s="203" t="s">
        <v>548</v>
      </c>
      <c r="AE11" s="204"/>
      <c r="AG11" s="205"/>
    </row>
    <row r="12" spans="1:33" ht="15" customHeight="1" outlineLevel="1">
      <c r="A12" s="193" t="str">
        <f>'Program Budget'!D524</f>
        <v>Activity Lead Agribusiness Senior Specialist (Cacao)</v>
      </c>
      <c r="B12" s="194" t="str">
        <f>'Program Budget'!F524</f>
        <v>Month</v>
      </c>
      <c r="C12" s="198">
        <f>'Program Budget'!E524</f>
        <v>0</v>
      </c>
      <c r="D12" s="195">
        <f>'Program Budget'!G524</f>
        <v>2833.3333333333335</v>
      </c>
      <c r="E12" s="196">
        <f>'Program Budget'!I524</f>
        <v>12</v>
      </c>
      <c r="F12" s="199">
        <f>'Program Budget'!H524</f>
        <v>0.1</v>
      </c>
      <c r="G12" s="198">
        <f t="shared" si="0"/>
        <v>3400</v>
      </c>
      <c r="H12" s="195">
        <f t="shared" si="1"/>
        <v>2975.0000000000005</v>
      </c>
      <c r="I12" s="196">
        <f>'Program Budget'!L524</f>
        <v>12</v>
      </c>
      <c r="J12" s="199">
        <f>'Program Budget'!K524</f>
        <v>0</v>
      </c>
      <c r="K12" s="198">
        <f t="shared" si="2"/>
        <v>0</v>
      </c>
      <c r="L12" s="195">
        <f t="shared" si="3"/>
        <v>3123.7500000000005</v>
      </c>
      <c r="M12" s="196">
        <f>'Program Budget'!O524</f>
        <v>12</v>
      </c>
      <c r="N12" s="199">
        <f>'Program Budget'!N524</f>
        <v>0</v>
      </c>
      <c r="O12" s="198">
        <f t="shared" si="4"/>
        <v>0</v>
      </c>
      <c r="P12" s="195">
        <f t="shared" si="5"/>
        <v>3279.9375000000005</v>
      </c>
      <c r="Q12" s="196">
        <f>'Program Budget'!R524</f>
        <v>2</v>
      </c>
      <c r="R12" s="199">
        <f>'Program Budget'!Q524</f>
        <v>0</v>
      </c>
      <c r="S12" s="198">
        <f t="shared" si="6"/>
        <v>0</v>
      </c>
      <c r="T12" s="333">
        <f t="shared" si="7"/>
        <v>3400</v>
      </c>
      <c r="U12" s="201"/>
      <c r="V12" s="188"/>
      <c r="W12" s="202"/>
      <c r="X12" s="202"/>
      <c r="AB12" s="163">
        <v>180</v>
      </c>
      <c r="AC12" s="203" t="s">
        <v>547</v>
      </c>
      <c r="AD12" s="203" t="s">
        <v>548</v>
      </c>
      <c r="AE12" s="204"/>
      <c r="AG12" s="205"/>
    </row>
    <row r="13" spans="1:33" ht="15" customHeight="1" outlineLevel="1">
      <c r="A13" s="193" t="str">
        <f>'Program Budget'!D525</f>
        <v>Cacao Field Officer</v>
      </c>
      <c r="B13" s="194" t="str">
        <f>'Program Budget'!F525</f>
        <v>Month</v>
      </c>
      <c r="C13" s="198">
        <f>'Program Budget'!E525</f>
        <v>0</v>
      </c>
      <c r="D13" s="195">
        <f>'Program Budget'!G525</f>
        <v>1333.3333333333333</v>
      </c>
      <c r="E13" s="196">
        <f>'Program Budget'!I525</f>
        <v>12</v>
      </c>
      <c r="F13" s="199">
        <f>'Program Budget'!H525</f>
        <v>0</v>
      </c>
      <c r="G13" s="198">
        <f t="shared" si="0"/>
        <v>0</v>
      </c>
      <c r="H13" s="195">
        <f t="shared" si="1"/>
        <v>1400</v>
      </c>
      <c r="I13" s="196">
        <f>'Program Budget'!L525</f>
        <v>12</v>
      </c>
      <c r="J13" s="199">
        <f>'Program Budget'!K525</f>
        <v>0</v>
      </c>
      <c r="K13" s="198">
        <f t="shared" si="2"/>
        <v>0</v>
      </c>
      <c r="L13" s="195">
        <f t="shared" si="3"/>
        <v>1470</v>
      </c>
      <c r="M13" s="196">
        <f>'Program Budget'!O525</f>
        <v>12</v>
      </c>
      <c r="N13" s="199">
        <f>'Program Budget'!N525</f>
        <v>0</v>
      </c>
      <c r="O13" s="198">
        <f t="shared" si="4"/>
        <v>0</v>
      </c>
      <c r="P13" s="195">
        <f t="shared" si="5"/>
        <v>1543.5</v>
      </c>
      <c r="Q13" s="196">
        <f>'Program Budget'!R525</f>
        <v>0</v>
      </c>
      <c r="R13" s="199">
        <f>'Program Budget'!Q525</f>
        <v>0</v>
      </c>
      <c r="S13" s="198">
        <f t="shared" si="6"/>
        <v>0</v>
      </c>
      <c r="T13" s="333">
        <f t="shared" si="7"/>
        <v>0</v>
      </c>
      <c r="U13" s="201"/>
      <c r="V13" s="188"/>
      <c r="W13" s="202"/>
      <c r="X13" s="202"/>
      <c r="AB13" s="163"/>
      <c r="AC13" s="203"/>
      <c r="AD13" s="203"/>
      <c r="AE13" s="204"/>
      <c r="AG13" s="205"/>
    </row>
    <row r="14" spans="1:33" ht="15" customHeight="1" outlineLevel="1">
      <c r="A14" s="193" t="str">
        <f>'Program Budget'!D526</f>
        <v>Cacao &amp; Complementary Crop Technical Field Leader (2)</v>
      </c>
      <c r="B14" s="194" t="str">
        <f>'Program Budget'!F526</f>
        <v>Month</v>
      </c>
      <c r="C14" s="198">
        <f>'Program Budget'!E526</f>
        <v>0</v>
      </c>
      <c r="D14" s="195">
        <f>'Program Budget'!G526</f>
        <v>3500</v>
      </c>
      <c r="E14" s="196">
        <f>'Program Budget'!I526</f>
        <v>6</v>
      </c>
      <c r="F14" s="199">
        <f>'Program Budget'!H526</f>
        <v>0</v>
      </c>
      <c r="G14" s="198">
        <f t="shared" si="0"/>
        <v>0</v>
      </c>
      <c r="H14" s="195">
        <f t="shared" si="1"/>
        <v>3675</v>
      </c>
      <c r="I14" s="196">
        <f>'Program Budget'!L526</f>
        <v>12</v>
      </c>
      <c r="J14" s="199">
        <f>'Program Budget'!K526</f>
        <v>0</v>
      </c>
      <c r="K14" s="198">
        <f t="shared" si="2"/>
        <v>0</v>
      </c>
      <c r="L14" s="195">
        <f t="shared" si="3"/>
        <v>3858.75</v>
      </c>
      <c r="M14" s="196">
        <f>'Program Budget'!O526</f>
        <v>12</v>
      </c>
      <c r="N14" s="199">
        <f>'Program Budget'!N526</f>
        <v>0</v>
      </c>
      <c r="O14" s="198">
        <f t="shared" si="4"/>
        <v>0</v>
      </c>
      <c r="P14" s="195">
        <f t="shared" si="5"/>
        <v>4051.6875</v>
      </c>
      <c r="Q14" s="196">
        <f>'Program Budget'!R526</f>
        <v>0</v>
      </c>
      <c r="R14" s="199">
        <f>'Program Budget'!Q526</f>
        <v>0</v>
      </c>
      <c r="S14" s="198">
        <f t="shared" si="6"/>
        <v>0</v>
      </c>
      <c r="T14" s="333">
        <f t="shared" si="7"/>
        <v>0</v>
      </c>
      <c r="U14" s="201"/>
      <c r="V14" s="188"/>
      <c r="W14" s="202"/>
      <c r="X14" s="202"/>
      <c r="AB14" s="163"/>
      <c r="AC14" s="203"/>
      <c r="AD14" s="203"/>
      <c r="AE14" s="204"/>
      <c r="AG14" s="205"/>
    </row>
    <row r="15" spans="1:33" ht="15" customHeight="1" outlineLevel="1">
      <c r="A15" s="193" t="str">
        <f>'Program Budget'!D527</f>
        <v>Extension Agents (45 in Y5 and 25 in Y6)</v>
      </c>
      <c r="B15" s="194" t="str">
        <f>'Program Budget'!F527</f>
        <v>Month</v>
      </c>
      <c r="C15" s="198">
        <f>'Program Budget'!E527</f>
        <v>0</v>
      </c>
      <c r="D15" s="195">
        <f>'Program Budget'!G527</f>
        <v>1000</v>
      </c>
      <c r="E15" s="196">
        <f>'Program Budget'!I527</f>
        <v>12</v>
      </c>
      <c r="F15" s="199">
        <f>'Program Budget'!H527</f>
        <v>0</v>
      </c>
      <c r="G15" s="198">
        <f t="shared" si="0"/>
        <v>0</v>
      </c>
      <c r="H15" s="195">
        <f t="shared" si="1"/>
        <v>1050</v>
      </c>
      <c r="I15" s="196">
        <f>'Program Budget'!L527</f>
        <v>12</v>
      </c>
      <c r="J15" s="199">
        <f>'Program Budget'!K527</f>
        <v>0</v>
      </c>
      <c r="K15" s="198">
        <f t="shared" si="2"/>
        <v>0</v>
      </c>
      <c r="L15" s="195">
        <f t="shared" si="3"/>
        <v>1102.5</v>
      </c>
      <c r="M15" s="196">
        <f>'Program Budget'!O527</f>
        <v>0</v>
      </c>
      <c r="N15" s="199">
        <f>'Program Budget'!N527</f>
        <v>0</v>
      </c>
      <c r="O15" s="198">
        <f t="shared" si="4"/>
        <v>0</v>
      </c>
      <c r="P15" s="195">
        <f t="shared" si="5"/>
        <v>1157.625</v>
      </c>
      <c r="Q15" s="196">
        <f>'Program Budget'!R527</f>
        <v>0</v>
      </c>
      <c r="R15" s="199">
        <f>'Program Budget'!Q527</f>
        <v>0</v>
      </c>
      <c r="S15" s="198">
        <f t="shared" si="6"/>
        <v>0</v>
      </c>
      <c r="T15" s="333">
        <f t="shared" si="7"/>
        <v>0</v>
      </c>
      <c r="U15" s="201"/>
      <c r="V15" s="188"/>
      <c r="W15" s="202"/>
      <c r="X15" s="202"/>
      <c r="AB15" s="163"/>
      <c r="AC15" s="203"/>
      <c r="AD15" s="203"/>
      <c r="AE15" s="204"/>
      <c r="AG15" s="205"/>
    </row>
    <row r="16" spans="1:33" ht="15" customHeight="1" outlineLevel="1">
      <c r="A16" s="193" t="str">
        <f>'Program Budget'!D528</f>
        <v>Activity Lead Agribusiness Senior Specialist (Complementary Crop)</v>
      </c>
      <c r="B16" s="194" t="str">
        <f>'Program Budget'!F528</f>
        <v>Month</v>
      </c>
      <c r="C16" s="198">
        <f>'Program Budget'!E528</f>
        <v>0</v>
      </c>
      <c r="D16" s="195">
        <f>'Program Budget'!G528</f>
        <v>2833.3333333333335</v>
      </c>
      <c r="E16" s="196">
        <f>'Program Budget'!I528</f>
        <v>12</v>
      </c>
      <c r="F16" s="199">
        <f>'Program Budget'!H528</f>
        <v>0</v>
      </c>
      <c r="G16" s="198">
        <f t="shared" si="0"/>
        <v>0</v>
      </c>
      <c r="H16" s="195">
        <f t="shared" si="1"/>
        <v>2975.0000000000005</v>
      </c>
      <c r="I16" s="196">
        <f>'Program Budget'!L528</f>
        <v>12</v>
      </c>
      <c r="J16" s="199">
        <f>'Program Budget'!K528</f>
        <v>0</v>
      </c>
      <c r="K16" s="198">
        <f t="shared" si="2"/>
        <v>0</v>
      </c>
      <c r="L16" s="195">
        <f t="shared" si="3"/>
        <v>3123.7500000000005</v>
      </c>
      <c r="M16" s="196">
        <f>'Program Budget'!O528</f>
        <v>12</v>
      </c>
      <c r="N16" s="199">
        <f>'Program Budget'!N528</f>
        <v>0</v>
      </c>
      <c r="O16" s="198">
        <f t="shared" si="4"/>
        <v>0</v>
      </c>
      <c r="P16" s="195">
        <f t="shared" si="5"/>
        <v>3279.9375000000005</v>
      </c>
      <c r="Q16" s="196">
        <f>'Program Budget'!R528</f>
        <v>0</v>
      </c>
      <c r="R16" s="199">
        <f>'Program Budget'!Q528</f>
        <v>0</v>
      </c>
      <c r="S16" s="198">
        <f t="shared" si="6"/>
        <v>0</v>
      </c>
      <c r="T16" s="333">
        <f t="shared" si="7"/>
        <v>0</v>
      </c>
      <c r="U16" s="201"/>
      <c r="V16" s="188"/>
      <c r="W16" s="202"/>
      <c r="X16" s="202"/>
      <c r="AB16" s="163"/>
      <c r="AC16" s="203"/>
      <c r="AD16" s="203"/>
      <c r="AE16" s="204"/>
      <c r="AG16" s="205"/>
    </row>
    <row r="17" spans="1:33" ht="15" customHeight="1" outlineLevel="1">
      <c r="A17" s="193" t="str">
        <f>'Program Budget'!D529</f>
        <v>Complementary Crops Field Officer</v>
      </c>
      <c r="B17" s="194" t="str">
        <f>'Program Budget'!F529</f>
        <v>Month</v>
      </c>
      <c r="C17" s="198">
        <f>'Program Budget'!E529</f>
        <v>0</v>
      </c>
      <c r="D17" s="195">
        <f>'Program Budget'!G529</f>
        <v>0</v>
      </c>
      <c r="E17" s="196">
        <f>'Program Budget'!I529</f>
        <v>0</v>
      </c>
      <c r="F17" s="199">
        <f>'Program Budget'!H529</f>
        <v>0</v>
      </c>
      <c r="G17" s="198">
        <f t="shared" si="0"/>
        <v>0</v>
      </c>
      <c r="H17" s="195">
        <f t="shared" si="1"/>
        <v>0</v>
      </c>
      <c r="I17" s="196">
        <f>'Program Budget'!L529</f>
        <v>12</v>
      </c>
      <c r="J17" s="199">
        <f>'Program Budget'!K529</f>
        <v>0</v>
      </c>
      <c r="K17" s="198">
        <f t="shared" si="2"/>
        <v>0</v>
      </c>
      <c r="L17" s="195">
        <f t="shared" si="3"/>
        <v>0</v>
      </c>
      <c r="M17" s="196">
        <f>'Program Budget'!O529</f>
        <v>12</v>
      </c>
      <c r="N17" s="199">
        <f>'Program Budget'!N529</f>
        <v>0</v>
      </c>
      <c r="O17" s="198">
        <f t="shared" si="4"/>
        <v>0</v>
      </c>
      <c r="P17" s="195">
        <f t="shared" si="5"/>
        <v>0</v>
      </c>
      <c r="Q17" s="196">
        <f>'Program Budget'!R529</f>
        <v>0</v>
      </c>
      <c r="R17" s="199">
        <f>'Program Budget'!Q529</f>
        <v>0</v>
      </c>
      <c r="S17" s="198">
        <f t="shared" si="6"/>
        <v>0</v>
      </c>
      <c r="T17" s="333">
        <f t="shared" si="7"/>
        <v>0</v>
      </c>
      <c r="U17" s="201"/>
      <c r="V17" s="188"/>
      <c r="W17" s="202"/>
      <c r="X17" s="202"/>
      <c r="AB17" s="163"/>
      <c r="AC17" s="203"/>
      <c r="AD17" s="203"/>
      <c r="AE17" s="204"/>
      <c r="AG17" s="205"/>
    </row>
    <row r="18" spans="1:33" ht="15" customHeight="1" outlineLevel="1">
      <c r="A18" s="193" t="str">
        <f>'Program Budget'!D530</f>
        <v>EPSEAS Specialist</v>
      </c>
      <c r="B18" s="194" t="str">
        <f>'Program Budget'!F530</f>
        <v>Month</v>
      </c>
      <c r="C18" s="198">
        <f>'Program Budget'!E530</f>
        <v>0</v>
      </c>
      <c r="D18" s="195">
        <f>'Program Budget'!G530</f>
        <v>0</v>
      </c>
      <c r="E18" s="196">
        <f>'Program Budget'!I530</f>
        <v>0</v>
      </c>
      <c r="F18" s="199">
        <f>'Program Budget'!H530</f>
        <v>0</v>
      </c>
      <c r="G18" s="198">
        <f t="shared" si="0"/>
        <v>0</v>
      </c>
      <c r="H18" s="195">
        <f t="shared" si="1"/>
        <v>0</v>
      </c>
      <c r="I18" s="196">
        <f>'Program Budget'!L530</f>
        <v>12</v>
      </c>
      <c r="J18" s="199">
        <f>'Program Budget'!K530</f>
        <v>0</v>
      </c>
      <c r="K18" s="198">
        <f t="shared" si="2"/>
        <v>0</v>
      </c>
      <c r="L18" s="195">
        <f t="shared" si="3"/>
        <v>0</v>
      </c>
      <c r="M18" s="196">
        <f>'Program Budget'!O530</f>
        <v>12</v>
      </c>
      <c r="N18" s="199">
        <f>'Program Budget'!N530</f>
        <v>0</v>
      </c>
      <c r="O18" s="198">
        <f t="shared" si="4"/>
        <v>0</v>
      </c>
      <c r="P18" s="195">
        <f t="shared" si="5"/>
        <v>0</v>
      </c>
      <c r="Q18" s="196">
        <f>'Program Budget'!R530</f>
        <v>0</v>
      </c>
      <c r="R18" s="199">
        <f>'Program Budget'!Q530</f>
        <v>0</v>
      </c>
      <c r="S18" s="198">
        <f t="shared" si="6"/>
        <v>0</v>
      </c>
      <c r="T18" s="333">
        <f t="shared" si="7"/>
        <v>0</v>
      </c>
      <c r="U18" s="201"/>
      <c r="V18" s="188"/>
      <c r="W18" s="202"/>
      <c r="X18" s="202"/>
      <c r="AB18" s="163"/>
      <c r="AC18" s="203"/>
      <c r="AD18" s="203"/>
      <c r="AE18" s="204"/>
      <c r="AG18" s="205"/>
    </row>
    <row r="19" spans="1:33" ht="15" customHeight="1" outlineLevel="1">
      <c r="A19" s="193" t="str">
        <f>'Program Budget'!D531</f>
        <v>Extension Agents for EPSEAS (20 in Y6 and 25 in Y7)</v>
      </c>
      <c r="B19" s="194" t="str">
        <f>'Program Budget'!F531</f>
        <v>Month</v>
      </c>
      <c r="C19" s="198">
        <f>'Program Budget'!E531</f>
        <v>0</v>
      </c>
      <c r="D19" s="195">
        <f>'Program Budget'!G531</f>
        <v>1000</v>
      </c>
      <c r="E19" s="196">
        <f>'Program Budget'!I531</f>
        <v>0</v>
      </c>
      <c r="F19" s="199">
        <f>'Program Budget'!H531</f>
        <v>0</v>
      </c>
      <c r="G19" s="198">
        <f t="shared" si="0"/>
        <v>0</v>
      </c>
      <c r="H19" s="195">
        <f t="shared" si="1"/>
        <v>1050</v>
      </c>
      <c r="I19" s="196">
        <f>'Program Budget'!L531</f>
        <v>12</v>
      </c>
      <c r="J19" s="199">
        <f>'Program Budget'!K531</f>
        <v>0</v>
      </c>
      <c r="K19" s="198">
        <f t="shared" si="2"/>
        <v>0</v>
      </c>
      <c r="L19" s="195">
        <f t="shared" si="3"/>
        <v>1102.5</v>
      </c>
      <c r="M19" s="196">
        <f>'Program Budget'!O531</f>
        <v>12</v>
      </c>
      <c r="N19" s="199">
        <f>'Program Budget'!N531</f>
        <v>0</v>
      </c>
      <c r="O19" s="198">
        <f t="shared" si="4"/>
        <v>0</v>
      </c>
      <c r="P19" s="195">
        <f t="shared" si="5"/>
        <v>1157.625</v>
      </c>
      <c r="Q19" s="196">
        <f>'Program Budget'!R531</f>
        <v>0</v>
      </c>
      <c r="R19" s="199">
        <f>'Program Budget'!Q531</f>
        <v>0</v>
      </c>
      <c r="S19" s="198">
        <f t="shared" si="6"/>
        <v>0</v>
      </c>
      <c r="T19" s="333">
        <f t="shared" si="7"/>
        <v>0</v>
      </c>
      <c r="U19" s="201"/>
      <c r="V19" s="188"/>
      <c r="W19" s="202"/>
      <c r="X19" s="202"/>
      <c r="AB19" s="163"/>
      <c r="AC19" s="203"/>
      <c r="AD19" s="203"/>
      <c r="AE19" s="204"/>
      <c r="AG19" s="205"/>
    </row>
    <row r="20" spans="1:33" ht="15" customHeight="1" outlineLevel="1">
      <c r="A20" s="193" t="str">
        <f>'Program Budget'!D532</f>
        <v xml:space="preserve">Senior M&amp;E Director </v>
      </c>
      <c r="B20" s="194" t="str">
        <f>'Program Budget'!F532</f>
        <v>Month</v>
      </c>
      <c r="C20" s="198">
        <f>'Program Budget'!E532</f>
        <v>11501.44</v>
      </c>
      <c r="D20" s="195">
        <f>'Program Budget'!G532</f>
        <v>6250</v>
      </c>
      <c r="E20" s="196">
        <f>'Program Budget'!I532</f>
        <v>12</v>
      </c>
      <c r="F20" s="199">
        <f>'Program Budget'!H532</f>
        <v>0.1</v>
      </c>
      <c r="G20" s="198">
        <f t="shared" si="0"/>
        <v>7500</v>
      </c>
      <c r="H20" s="195">
        <f t="shared" si="1"/>
        <v>6562.5</v>
      </c>
      <c r="I20" s="196">
        <f>'Program Budget'!L532</f>
        <v>12</v>
      </c>
      <c r="J20" s="199">
        <f>'Program Budget'!K532</f>
        <v>0</v>
      </c>
      <c r="K20" s="198">
        <f t="shared" si="2"/>
        <v>0</v>
      </c>
      <c r="L20" s="195">
        <f t="shared" si="3"/>
        <v>6890.625</v>
      </c>
      <c r="M20" s="196">
        <f>'Program Budget'!O532</f>
        <v>12</v>
      </c>
      <c r="N20" s="199">
        <f>'Program Budget'!N532</f>
        <v>0</v>
      </c>
      <c r="O20" s="198">
        <f t="shared" si="4"/>
        <v>0</v>
      </c>
      <c r="P20" s="195">
        <f t="shared" si="5"/>
        <v>7235.15625</v>
      </c>
      <c r="Q20" s="196">
        <f>'Program Budget'!R532</f>
        <v>6</v>
      </c>
      <c r="R20" s="199">
        <f>'Program Budget'!Q532</f>
        <v>0</v>
      </c>
      <c r="S20" s="198">
        <f t="shared" si="6"/>
        <v>0</v>
      </c>
      <c r="T20" s="333">
        <f t="shared" si="7"/>
        <v>19001.440000000002</v>
      </c>
      <c r="U20" s="201"/>
      <c r="V20" s="188"/>
      <c r="W20" s="202"/>
      <c r="X20" s="202"/>
      <c r="AB20" s="163"/>
      <c r="AC20" s="203"/>
      <c r="AD20" s="203"/>
      <c r="AE20" s="204"/>
      <c r="AG20" s="205"/>
    </row>
    <row r="21" spans="1:33" ht="15" customHeight="1" outlineLevel="1">
      <c r="A21" s="193" t="str">
        <f>'Program Budget'!D533</f>
        <v>Senior M&amp;E Specialist</v>
      </c>
      <c r="B21" s="194" t="str">
        <f>'Program Budget'!F533</f>
        <v>Month</v>
      </c>
      <c r="C21" s="198">
        <f>'Program Budget'!E533</f>
        <v>5566.44</v>
      </c>
      <c r="D21" s="195">
        <f>'Program Budget'!G533</f>
        <v>2833.3333333333335</v>
      </c>
      <c r="E21" s="196">
        <f>'Program Budget'!I533</f>
        <v>12</v>
      </c>
      <c r="F21" s="199">
        <f>'Program Budget'!H533</f>
        <v>0.1</v>
      </c>
      <c r="G21" s="198">
        <f t="shared" si="0"/>
        <v>3400</v>
      </c>
      <c r="H21" s="195">
        <f t="shared" si="1"/>
        <v>2975.0000000000005</v>
      </c>
      <c r="I21" s="196">
        <f>'Program Budget'!L533</f>
        <v>12</v>
      </c>
      <c r="J21" s="199">
        <f>'Program Budget'!K533</f>
        <v>0</v>
      </c>
      <c r="K21" s="198">
        <f t="shared" si="2"/>
        <v>0</v>
      </c>
      <c r="L21" s="195">
        <f t="shared" si="3"/>
        <v>3123.7500000000005</v>
      </c>
      <c r="M21" s="196">
        <f>'Program Budget'!O533</f>
        <v>12</v>
      </c>
      <c r="N21" s="199">
        <f>'Program Budget'!N533</f>
        <v>0</v>
      </c>
      <c r="O21" s="198">
        <f t="shared" si="4"/>
        <v>0</v>
      </c>
      <c r="P21" s="195">
        <f t="shared" si="5"/>
        <v>3279.9375000000005</v>
      </c>
      <c r="Q21" s="196">
        <f>'Program Budget'!R533</f>
        <v>6</v>
      </c>
      <c r="R21" s="199">
        <f>'Program Budget'!Q533</f>
        <v>0</v>
      </c>
      <c r="S21" s="198">
        <f t="shared" si="6"/>
        <v>0</v>
      </c>
      <c r="T21" s="333">
        <f t="shared" si="7"/>
        <v>8966.4399999999987</v>
      </c>
      <c r="U21" s="201"/>
      <c r="V21" s="188"/>
      <c r="W21" s="202"/>
      <c r="X21" s="202"/>
      <c r="AB21" s="163"/>
      <c r="AC21" s="203"/>
      <c r="AD21" s="203"/>
      <c r="AE21" s="204"/>
      <c r="AG21" s="205"/>
    </row>
    <row r="22" spans="1:33" ht="15" customHeight="1" outlineLevel="1">
      <c r="A22" s="193" t="str">
        <f>'Program Budget'!D534</f>
        <v>M&amp;E Specialist</v>
      </c>
      <c r="B22" s="194" t="str">
        <f>'Program Budget'!F534</f>
        <v>Month</v>
      </c>
      <c r="C22" s="198">
        <f>'Program Budget'!E534</f>
        <v>0</v>
      </c>
      <c r="D22" s="195">
        <f>'Program Budget'!G534</f>
        <v>2500</v>
      </c>
      <c r="E22" s="196">
        <f>'Program Budget'!I534</f>
        <v>12</v>
      </c>
      <c r="F22" s="199">
        <f>'Program Budget'!H534</f>
        <v>0.1</v>
      </c>
      <c r="G22" s="198">
        <f t="shared" si="0"/>
        <v>3000</v>
      </c>
      <c r="H22" s="195">
        <f t="shared" si="1"/>
        <v>2625</v>
      </c>
      <c r="I22" s="196">
        <f>'Program Budget'!L534</f>
        <v>12</v>
      </c>
      <c r="J22" s="199">
        <f>'Program Budget'!K534</f>
        <v>0</v>
      </c>
      <c r="K22" s="198">
        <f t="shared" si="2"/>
        <v>0</v>
      </c>
      <c r="L22" s="195">
        <f t="shared" si="3"/>
        <v>2756.25</v>
      </c>
      <c r="M22" s="196">
        <f>'Program Budget'!O534</f>
        <v>12</v>
      </c>
      <c r="N22" s="199">
        <f>'Program Budget'!N534</f>
        <v>0</v>
      </c>
      <c r="O22" s="198">
        <f t="shared" si="4"/>
        <v>0</v>
      </c>
      <c r="P22" s="195">
        <f t="shared" si="5"/>
        <v>2894.0625</v>
      </c>
      <c r="Q22" s="196">
        <f>'Program Budget'!R534</f>
        <v>3</v>
      </c>
      <c r="R22" s="199">
        <f>'Program Budget'!Q534</f>
        <v>0</v>
      </c>
      <c r="S22" s="198">
        <f t="shared" si="6"/>
        <v>0</v>
      </c>
      <c r="T22" s="333">
        <f t="shared" si="7"/>
        <v>3000</v>
      </c>
      <c r="U22" s="201"/>
      <c r="V22" s="188"/>
      <c r="W22" s="202"/>
      <c r="X22" s="202"/>
      <c r="AB22" s="163"/>
      <c r="AC22" s="203"/>
      <c r="AD22" s="203"/>
      <c r="AE22" s="204"/>
      <c r="AG22" s="205"/>
    </row>
    <row r="23" spans="1:33" ht="15" customHeight="1" outlineLevel="1">
      <c r="A23" s="193" t="str">
        <f>'Program Budget'!D535</f>
        <v>M&amp;E Officer</v>
      </c>
      <c r="B23" s="194" t="str">
        <f>'Program Budget'!F535</f>
        <v>Month</v>
      </c>
      <c r="C23" s="198">
        <f>'Program Budget'!E535</f>
        <v>4631.4399999999996</v>
      </c>
      <c r="D23" s="195">
        <f>'Program Budget'!G535</f>
        <v>1000</v>
      </c>
      <c r="E23" s="196">
        <f>'Program Budget'!I535</f>
        <v>12</v>
      </c>
      <c r="F23" s="199">
        <f>'Program Budget'!H535</f>
        <v>0.1</v>
      </c>
      <c r="G23" s="198">
        <f t="shared" si="0"/>
        <v>1200</v>
      </c>
      <c r="H23" s="195">
        <f t="shared" si="1"/>
        <v>1050</v>
      </c>
      <c r="I23" s="196">
        <f>'Program Budget'!L535</f>
        <v>12</v>
      </c>
      <c r="J23" s="199">
        <f>'Program Budget'!K535</f>
        <v>0</v>
      </c>
      <c r="K23" s="198">
        <f t="shared" si="2"/>
        <v>0</v>
      </c>
      <c r="L23" s="195">
        <f t="shared" si="3"/>
        <v>1102.5</v>
      </c>
      <c r="M23" s="196">
        <f>'Program Budget'!O535</f>
        <v>12</v>
      </c>
      <c r="N23" s="199">
        <f>'Program Budget'!N535</f>
        <v>0</v>
      </c>
      <c r="O23" s="198">
        <f t="shared" si="4"/>
        <v>0</v>
      </c>
      <c r="P23" s="195">
        <f t="shared" si="5"/>
        <v>1157.625</v>
      </c>
      <c r="Q23" s="196">
        <f>'Program Budget'!R535</f>
        <v>3</v>
      </c>
      <c r="R23" s="199">
        <f>'Program Budget'!Q535</f>
        <v>0</v>
      </c>
      <c r="S23" s="198">
        <f t="shared" si="6"/>
        <v>0</v>
      </c>
      <c r="T23" s="333">
        <f t="shared" si="7"/>
        <v>5831.44</v>
      </c>
      <c r="U23" s="201"/>
      <c r="V23" s="188"/>
      <c r="W23" s="202"/>
      <c r="X23" s="202"/>
      <c r="AB23" s="163"/>
      <c r="AC23" s="203"/>
      <c r="AD23" s="203"/>
      <c r="AE23" s="204"/>
      <c r="AG23" s="205"/>
    </row>
    <row r="24" spans="1:33" ht="15" customHeight="1" outlineLevel="1">
      <c r="A24" s="193" t="str">
        <f>'Program Budget'!D536</f>
        <v>Partnerships and Investment Director</v>
      </c>
      <c r="B24" s="194" t="str">
        <f>'Program Budget'!F536</f>
        <v>Month</v>
      </c>
      <c r="C24" s="198">
        <f>'Program Budget'!E536</f>
        <v>0</v>
      </c>
      <c r="D24" s="195">
        <f>'Program Budget'!G536</f>
        <v>4583.333333333333</v>
      </c>
      <c r="E24" s="196">
        <f>'Program Budget'!I536</f>
        <v>12</v>
      </c>
      <c r="F24" s="199">
        <f>'Program Budget'!H536</f>
        <v>0.1</v>
      </c>
      <c r="G24" s="198">
        <f t="shared" si="0"/>
        <v>5500</v>
      </c>
      <c r="H24" s="195">
        <f t="shared" si="1"/>
        <v>4812.5</v>
      </c>
      <c r="I24" s="196">
        <f>'Program Budget'!L536</f>
        <v>12</v>
      </c>
      <c r="J24" s="199">
        <f>'Program Budget'!K536</f>
        <v>0</v>
      </c>
      <c r="K24" s="198">
        <f t="shared" si="2"/>
        <v>0</v>
      </c>
      <c r="L24" s="195">
        <f t="shared" si="3"/>
        <v>5053.125</v>
      </c>
      <c r="M24" s="196">
        <f>'Program Budget'!O536</f>
        <v>12</v>
      </c>
      <c r="N24" s="199">
        <f>'Program Budget'!N536</f>
        <v>0</v>
      </c>
      <c r="O24" s="198">
        <f t="shared" si="4"/>
        <v>0</v>
      </c>
      <c r="P24" s="195">
        <f t="shared" si="5"/>
        <v>5305.78125</v>
      </c>
      <c r="Q24" s="196">
        <f>'Program Budget'!R536</f>
        <v>0</v>
      </c>
      <c r="R24" s="199">
        <f>'Program Budget'!Q536</f>
        <v>0</v>
      </c>
      <c r="S24" s="198">
        <f t="shared" si="6"/>
        <v>0</v>
      </c>
      <c r="T24" s="333">
        <f t="shared" si="7"/>
        <v>5500</v>
      </c>
      <c r="U24" s="201"/>
      <c r="V24" s="188"/>
      <c r="W24" s="202"/>
      <c r="X24" s="202"/>
      <c r="AB24" s="163"/>
      <c r="AC24" s="203"/>
      <c r="AD24" s="203"/>
      <c r="AE24" s="204"/>
      <c r="AG24" s="205"/>
    </row>
    <row r="25" spans="1:33" ht="15" customHeight="1" outlineLevel="1">
      <c r="A25" s="193" t="str">
        <f>'Program Budget'!D537</f>
        <v>Partnerships and Investment Specialist</v>
      </c>
      <c r="B25" s="194" t="str">
        <f>'Program Budget'!F537</f>
        <v>Month</v>
      </c>
      <c r="C25" s="198">
        <f>'Program Budget'!E537</f>
        <v>0</v>
      </c>
      <c r="D25" s="195">
        <f>'Program Budget'!G537</f>
        <v>1750</v>
      </c>
      <c r="E25" s="196">
        <f>'Program Budget'!I537</f>
        <v>12</v>
      </c>
      <c r="F25" s="199">
        <f>'Program Budget'!H537</f>
        <v>0.1</v>
      </c>
      <c r="G25" s="198">
        <f t="shared" si="0"/>
        <v>2100</v>
      </c>
      <c r="H25" s="195">
        <f t="shared" si="1"/>
        <v>1837.5</v>
      </c>
      <c r="I25" s="196">
        <f>'Program Budget'!L537</f>
        <v>12</v>
      </c>
      <c r="J25" s="199">
        <f>'Program Budget'!K537</f>
        <v>0</v>
      </c>
      <c r="K25" s="198">
        <f t="shared" si="2"/>
        <v>0</v>
      </c>
      <c r="L25" s="195">
        <f t="shared" si="3"/>
        <v>1929.375</v>
      </c>
      <c r="M25" s="196">
        <f>'Program Budget'!O537</f>
        <v>12</v>
      </c>
      <c r="N25" s="199">
        <f>'Program Budget'!N537</f>
        <v>0</v>
      </c>
      <c r="O25" s="198">
        <f t="shared" si="4"/>
        <v>0</v>
      </c>
      <c r="P25" s="195">
        <f t="shared" si="5"/>
        <v>2025.84375</v>
      </c>
      <c r="Q25" s="196">
        <f>'Program Budget'!R537</f>
        <v>0</v>
      </c>
      <c r="R25" s="199">
        <f>'Program Budget'!Q537</f>
        <v>0</v>
      </c>
      <c r="S25" s="198">
        <f t="shared" si="6"/>
        <v>0</v>
      </c>
      <c r="T25" s="333">
        <f t="shared" si="7"/>
        <v>2100</v>
      </c>
      <c r="U25" s="201"/>
      <c r="V25" s="188"/>
      <c r="W25" s="202"/>
      <c r="X25" s="202"/>
      <c r="AB25" s="163"/>
      <c r="AC25" s="203"/>
      <c r="AD25" s="203"/>
      <c r="AE25" s="204"/>
      <c r="AG25" s="205"/>
    </row>
    <row r="26" spans="1:33" ht="15" customHeight="1" outlineLevel="1">
      <c r="A26" s="193" t="str">
        <f>'Program Budget'!D538</f>
        <v>Organizational Strengthening Specialist</v>
      </c>
      <c r="B26" s="194" t="str">
        <f>'Program Budget'!F538</f>
        <v>Month</v>
      </c>
      <c r="C26" s="198">
        <f>'Program Budget'!E538</f>
        <v>0</v>
      </c>
      <c r="D26" s="195">
        <f>'Program Budget'!G538</f>
        <v>1750</v>
      </c>
      <c r="E26" s="196">
        <f>'Program Budget'!I538</f>
        <v>12</v>
      </c>
      <c r="F26" s="199">
        <f>'Program Budget'!H538</f>
        <v>0.1</v>
      </c>
      <c r="G26" s="198">
        <f t="shared" si="0"/>
        <v>2100</v>
      </c>
      <c r="H26" s="195">
        <f t="shared" si="1"/>
        <v>1837.5</v>
      </c>
      <c r="I26" s="196">
        <f>'Program Budget'!L538</f>
        <v>12</v>
      </c>
      <c r="J26" s="199">
        <f>'Program Budget'!K538</f>
        <v>0</v>
      </c>
      <c r="K26" s="198">
        <f t="shared" si="2"/>
        <v>0</v>
      </c>
      <c r="L26" s="195">
        <f t="shared" si="3"/>
        <v>1929.375</v>
      </c>
      <c r="M26" s="196">
        <f>'Program Budget'!O538</f>
        <v>12</v>
      </c>
      <c r="N26" s="199">
        <f>'Program Budget'!N538</f>
        <v>0</v>
      </c>
      <c r="O26" s="198">
        <f t="shared" si="4"/>
        <v>0</v>
      </c>
      <c r="P26" s="195">
        <f t="shared" si="5"/>
        <v>2025.84375</v>
      </c>
      <c r="Q26" s="196">
        <f>'Program Budget'!R538</f>
        <v>0</v>
      </c>
      <c r="R26" s="199">
        <f>'Program Budget'!Q538</f>
        <v>0</v>
      </c>
      <c r="S26" s="198">
        <f t="shared" si="6"/>
        <v>0</v>
      </c>
      <c r="T26" s="333">
        <f t="shared" si="7"/>
        <v>2100</v>
      </c>
      <c r="U26" s="201"/>
      <c r="V26" s="188"/>
      <c r="W26" s="202"/>
      <c r="X26" s="202"/>
      <c r="AB26" s="163"/>
      <c r="AC26" s="203"/>
      <c r="AD26" s="203"/>
      <c r="AE26" s="204"/>
      <c r="AG26" s="205"/>
    </row>
    <row r="27" spans="1:33" ht="15" customHeight="1" outlineLevel="1">
      <c r="A27" s="193" t="str">
        <f>'Program Budget'!D539</f>
        <v>Value Chain Strengthening Director</v>
      </c>
      <c r="B27" s="194" t="str">
        <f>'Program Budget'!F539</f>
        <v>Month</v>
      </c>
      <c r="C27" s="198">
        <f>'Program Budget'!E539</f>
        <v>0</v>
      </c>
      <c r="D27" s="195">
        <f>'Program Budget'!G539</f>
        <v>0</v>
      </c>
      <c r="E27" s="196">
        <f>'Program Budget'!I539</f>
        <v>12</v>
      </c>
      <c r="F27" s="199">
        <f>'Program Budget'!H539</f>
        <v>0.1</v>
      </c>
      <c r="G27" s="198">
        <f t="shared" si="0"/>
        <v>0</v>
      </c>
      <c r="H27" s="195">
        <f t="shared" si="1"/>
        <v>0</v>
      </c>
      <c r="I27" s="196">
        <f>'Program Budget'!L539</f>
        <v>12</v>
      </c>
      <c r="J27" s="199">
        <f>'Program Budget'!K539</f>
        <v>0</v>
      </c>
      <c r="K27" s="198">
        <f t="shared" si="2"/>
        <v>0</v>
      </c>
      <c r="L27" s="195">
        <f t="shared" si="3"/>
        <v>0</v>
      </c>
      <c r="M27" s="196">
        <f>'Program Budget'!O539</f>
        <v>12</v>
      </c>
      <c r="N27" s="199">
        <f>'Program Budget'!N539</f>
        <v>0</v>
      </c>
      <c r="O27" s="198">
        <f t="shared" si="4"/>
        <v>0</v>
      </c>
      <c r="P27" s="195">
        <f t="shared" si="5"/>
        <v>0</v>
      </c>
      <c r="Q27" s="196">
        <f>'Program Budget'!R539</f>
        <v>4</v>
      </c>
      <c r="R27" s="199">
        <f>'Program Budget'!Q539</f>
        <v>0</v>
      </c>
      <c r="S27" s="198">
        <f t="shared" si="6"/>
        <v>0</v>
      </c>
      <c r="T27" s="333">
        <f t="shared" si="7"/>
        <v>0</v>
      </c>
      <c r="U27" s="201"/>
      <c r="V27" s="188"/>
      <c r="W27" s="202"/>
      <c r="X27" s="202"/>
      <c r="AB27" s="163"/>
      <c r="AC27" s="203"/>
      <c r="AD27" s="203"/>
      <c r="AE27" s="204"/>
      <c r="AG27" s="205"/>
    </row>
    <row r="28" spans="1:33" ht="15" customHeight="1" outlineLevel="1">
      <c r="A28" s="193" t="str">
        <f>'Program Budget'!D540</f>
        <v>Communications Specialist</v>
      </c>
      <c r="B28" s="194" t="str">
        <f>'Program Budget'!F540</f>
        <v>Month</v>
      </c>
      <c r="C28" s="198">
        <f>'Program Budget'!E540</f>
        <v>0</v>
      </c>
      <c r="D28" s="195">
        <f>'Program Budget'!G540</f>
        <v>1750</v>
      </c>
      <c r="E28" s="196">
        <f>'Program Budget'!I540</f>
        <v>12</v>
      </c>
      <c r="F28" s="199">
        <f>'Program Budget'!H540</f>
        <v>0.1</v>
      </c>
      <c r="G28" s="198">
        <f t="shared" si="0"/>
        <v>2100</v>
      </c>
      <c r="H28" s="195">
        <f t="shared" si="1"/>
        <v>1837.5</v>
      </c>
      <c r="I28" s="196">
        <f>'Program Budget'!L540</f>
        <v>12</v>
      </c>
      <c r="J28" s="199">
        <f>'Program Budget'!K540</f>
        <v>0</v>
      </c>
      <c r="K28" s="198">
        <f t="shared" si="2"/>
        <v>0</v>
      </c>
      <c r="L28" s="195">
        <f t="shared" si="3"/>
        <v>1929.375</v>
      </c>
      <c r="M28" s="196">
        <f>'Program Budget'!O540</f>
        <v>12</v>
      </c>
      <c r="N28" s="199">
        <f>'Program Budget'!N540</f>
        <v>0</v>
      </c>
      <c r="O28" s="198">
        <f t="shared" si="4"/>
        <v>0</v>
      </c>
      <c r="P28" s="195">
        <f t="shared" si="5"/>
        <v>2025.84375</v>
      </c>
      <c r="Q28" s="196">
        <f>'Program Budget'!R540</f>
        <v>0</v>
      </c>
      <c r="R28" s="199">
        <f>'Program Budget'!Q540</f>
        <v>0</v>
      </c>
      <c r="S28" s="198">
        <f t="shared" si="6"/>
        <v>0</v>
      </c>
      <c r="T28" s="333">
        <f t="shared" si="7"/>
        <v>2100</v>
      </c>
      <c r="U28" s="201"/>
      <c r="V28" s="188"/>
      <c r="W28" s="202"/>
      <c r="X28" s="202"/>
      <c r="AB28" s="163"/>
      <c r="AC28" s="203"/>
      <c r="AD28" s="203"/>
      <c r="AE28" s="204"/>
      <c r="AG28" s="205"/>
    </row>
    <row r="29" spans="1:33" ht="15" customHeight="1" outlineLevel="1">
      <c r="A29" s="193" t="str">
        <f>'Program Budget'!D541</f>
        <v>Value Chain Specialist</v>
      </c>
      <c r="B29" s="194" t="str">
        <f>'Program Budget'!F541</f>
        <v>Month</v>
      </c>
      <c r="C29" s="198">
        <f>'Program Budget'!E541</f>
        <v>0</v>
      </c>
      <c r="D29" s="195">
        <f>'Program Budget'!G541</f>
        <v>2500</v>
      </c>
      <c r="E29" s="196">
        <f>'Program Budget'!I541</f>
        <v>12</v>
      </c>
      <c r="F29" s="199">
        <f>'Program Budget'!H541</f>
        <v>0.1</v>
      </c>
      <c r="G29" s="198">
        <f t="shared" si="0"/>
        <v>3000</v>
      </c>
      <c r="H29" s="195">
        <f t="shared" si="1"/>
        <v>2625</v>
      </c>
      <c r="I29" s="196">
        <f>'Program Budget'!L541</f>
        <v>12</v>
      </c>
      <c r="J29" s="199">
        <f>'Program Budget'!K541</f>
        <v>0</v>
      </c>
      <c r="K29" s="198">
        <f t="shared" si="2"/>
        <v>0</v>
      </c>
      <c r="L29" s="195">
        <f t="shared" si="3"/>
        <v>2756.25</v>
      </c>
      <c r="M29" s="196">
        <f>'Program Budget'!O541</f>
        <v>12</v>
      </c>
      <c r="N29" s="199">
        <f>'Program Budget'!N541</f>
        <v>0</v>
      </c>
      <c r="O29" s="198">
        <f t="shared" si="4"/>
        <v>0</v>
      </c>
      <c r="P29" s="195">
        <f t="shared" si="5"/>
        <v>2894.0625</v>
      </c>
      <c r="Q29" s="196">
        <f>'Program Budget'!R541</f>
        <v>0</v>
      </c>
      <c r="R29" s="199">
        <f>'Program Budget'!Q541</f>
        <v>0</v>
      </c>
      <c r="S29" s="198">
        <f t="shared" si="6"/>
        <v>0</v>
      </c>
      <c r="T29" s="333">
        <f t="shared" si="7"/>
        <v>3000</v>
      </c>
      <c r="U29" s="201"/>
      <c r="V29" s="188"/>
      <c r="W29" s="202"/>
      <c r="X29" s="202"/>
      <c r="AB29" s="163"/>
      <c r="AC29" s="203"/>
      <c r="AD29" s="203"/>
      <c r="AE29" s="204"/>
      <c r="AG29" s="205"/>
    </row>
    <row r="30" spans="1:33" ht="15" customHeight="1" outlineLevel="1">
      <c r="A30" s="193" t="str">
        <f>'Program Budget'!D542</f>
        <v>Contracts &amp; Compliance Director</v>
      </c>
      <c r="B30" s="194" t="str">
        <f>'Program Budget'!F542</f>
        <v>Month</v>
      </c>
      <c r="C30" s="198">
        <f>'Program Budget'!E542</f>
        <v>6817.71</v>
      </c>
      <c r="D30" s="195">
        <f>'Program Budget'!G542</f>
        <v>4583.333333333333</v>
      </c>
      <c r="E30" s="196">
        <f>'Program Budget'!I542</f>
        <v>12</v>
      </c>
      <c r="F30" s="199">
        <f>'Program Budget'!H542</f>
        <v>0.1</v>
      </c>
      <c r="G30" s="198">
        <f t="shared" si="0"/>
        <v>5500</v>
      </c>
      <c r="H30" s="195">
        <f t="shared" si="1"/>
        <v>4812.5</v>
      </c>
      <c r="I30" s="196">
        <f>'Program Budget'!L542</f>
        <v>12</v>
      </c>
      <c r="J30" s="199">
        <f>'Program Budget'!K542</f>
        <v>0</v>
      </c>
      <c r="K30" s="198">
        <f t="shared" si="2"/>
        <v>0</v>
      </c>
      <c r="L30" s="195">
        <f t="shared" si="3"/>
        <v>5053.125</v>
      </c>
      <c r="M30" s="196">
        <f>'Program Budget'!O542</f>
        <v>12</v>
      </c>
      <c r="N30" s="199">
        <f>'Program Budget'!N542</f>
        <v>0</v>
      </c>
      <c r="O30" s="198">
        <f t="shared" si="4"/>
        <v>0</v>
      </c>
      <c r="P30" s="195">
        <f t="shared" si="5"/>
        <v>5305.78125</v>
      </c>
      <c r="Q30" s="196">
        <f>'Program Budget'!R542</f>
        <v>3</v>
      </c>
      <c r="R30" s="199">
        <f>'Program Budget'!Q542</f>
        <v>0</v>
      </c>
      <c r="S30" s="198">
        <f t="shared" si="6"/>
        <v>0</v>
      </c>
      <c r="T30" s="333">
        <f t="shared" si="7"/>
        <v>12317.71</v>
      </c>
      <c r="U30" s="201"/>
      <c r="V30" s="188"/>
      <c r="W30" s="202"/>
      <c r="X30" s="202"/>
      <c r="AB30" s="163"/>
      <c r="AC30" s="203"/>
      <c r="AD30" s="203"/>
      <c r="AE30" s="204"/>
      <c r="AG30" s="205"/>
    </row>
    <row r="31" spans="1:33" ht="15" customHeight="1" outlineLevel="1">
      <c r="A31" s="193" t="str">
        <f>'Program Budget'!D543</f>
        <v>Grants &amp; Procurement Specialist (2)</v>
      </c>
      <c r="B31" s="194" t="str">
        <f>'Program Budget'!F543</f>
        <v>Month</v>
      </c>
      <c r="C31" s="198">
        <f>'Program Budget'!E543</f>
        <v>0</v>
      </c>
      <c r="D31" s="195">
        <f>'Program Budget'!G543</f>
        <v>3500</v>
      </c>
      <c r="E31" s="196">
        <f>'Program Budget'!I543</f>
        <v>12</v>
      </c>
      <c r="F31" s="199">
        <f>'Program Budget'!H543</f>
        <v>0.05</v>
      </c>
      <c r="G31" s="198">
        <f t="shared" si="0"/>
        <v>2100</v>
      </c>
      <c r="H31" s="195">
        <f t="shared" si="1"/>
        <v>3675</v>
      </c>
      <c r="I31" s="196">
        <f>'Program Budget'!L543</f>
        <v>12</v>
      </c>
      <c r="J31" s="199">
        <f>'Program Budget'!K543</f>
        <v>0</v>
      </c>
      <c r="K31" s="198">
        <f t="shared" si="2"/>
        <v>0</v>
      </c>
      <c r="L31" s="195">
        <f t="shared" si="3"/>
        <v>3858.75</v>
      </c>
      <c r="M31" s="196">
        <f>'Program Budget'!O543</f>
        <v>12</v>
      </c>
      <c r="N31" s="199">
        <f>'Program Budget'!N543</f>
        <v>0</v>
      </c>
      <c r="O31" s="198">
        <f t="shared" si="4"/>
        <v>0</v>
      </c>
      <c r="P31" s="195">
        <f t="shared" si="5"/>
        <v>4051.6875</v>
      </c>
      <c r="Q31" s="196">
        <f>'Program Budget'!R543</f>
        <v>0</v>
      </c>
      <c r="R31" s="199">
        <f>'Program Budget'!Q543</f>
        <v>0</v>
      </c>
      <c r="S31" s="198">
        <f t="shared" si="6"/>
        <v>0</v>
      </c>
      <c r="T31" s="333">
        <f t="shared" si="7"/>
        <v>2100</v>
      </c>
      <c r="U31" s="201"/>
      <c r="V31" s="188"/>
      <c r="W31" s="202"/>
      <c r="X31" s="202"/>
      <c r="AB31" s="163"/>
      <c r="AC31" s="203"/>
      <c r="AD31" s="203"/>
      <c r="AE31" s="204"/>
      <c r="AG31" s="205"/>
    </row>
    <row r="32" spans="1:33" ht="15" customHeight="1" outlineLevel="1">
      <c r="A32" s="193" t="str">
        <f>'Program Budget'!D544</f>
        <v xml:space="preserve">F&amp;A Director </v>
      </c>
      <c r="B32" s="194" t="str">
        <f>'Program Budget'!F544</f>
        <v>Month</v>
      </c>
      <c r="C32" s="198">
        <f>'Program Budget'!E544</f>
        <v>5283.22</v>
      </c>
      <c r="D32" s="195">
        <f>'Program Budget'!G544</f>
        <v>5279.4</v>
      </c>
      <c r="E32" s="196">
        <f>'Program Budget'!I544</f>
        <v>12</v>
      </c>
      <c r="F32" s="199">
        <f>'Program Budget'!H544</f>
        <v>0.1</v>
      </c>
      <c r="G32" s="198">
        <f t="shared" si="0"/>
        <v>6335.28</v>
      </c>
      <c r="H32" s="195">
        <f t="shared" si="1"/>
        <v>5543.37</v>
      </c>
      <c r="I32" s="196">
        <f>'Program Budget'!L544</f>
        <v>12</v>
      </c>
      <c r="J32" s="199">
        <f>'Program Budget'!K544</f>
        <v>0</v>
      </c>
      <c r="K32" s="198">
        <f t="shared" si="2"/>
        <v>0</v>
      </c>
      <c r="L32" s="195">
        <f t="shared" si="3"/>
        <v>5820.5385000000006</v>
      </c>
      <c r="M32" s="196">
        <f>'Program Budget'!O544</f>
        <v>12</v>
      </c>
      <c r="N32" s="199">
        <f>'Program Budget'!N544</f>
        <v>0</v>
      </c>
      <c r="O32" s="198">
        <f t="shared" si="4"/>
        <v>0</v>
      </c>
      <c r="P32" s="195">
        <f t="shared" si="5"/>
        <v>6111.5654250000007</v>
      </c>
      <c r="Q32" s="196">
        <f>'Program Budget'!R544</f>
        <v>6</v>
      </c>
      <c r="R32" s="199">
        <f>'Program Budget'!Q544</f>
        <v>0</v>
      </c>
      <c r="S32" s="198">
        <f t="shared" si="6"/>
        <v>0</v>
      </c>
      <c r="T32" s="333">
        <f t="shared" si="7"/>
        <v>11618.5</v>
      </c>
      <c r="U32" s="201"/>
      <c r="V32" s="188"/>
      <c r="W32" s="202"/>
      <c r="X32" s="202"/>
      <c r="AB32" s="163"/>
      <c r="AC32" s="203"/>
      <c r="AD32" s="203"/>
      <c r="AE32" s="204"/>
      <c r="AG32" s="205"/>
    </row>
    <row r="33" spans="1:33" ht="15" customHeight="1" outlineLevel="1">
      <c r="A33" s="193" t="str">
        <f>'Program Budget'!D545</f>
        <v>Accounting &amp; Finance Specialist</v>
      </c>
      <c r="B33" s="194" t="str">
        <f>'Program Budget'!F545</f>
        <v>Month</v>
      </c>
      <c r="C33" s="198">
        <f>'Program Budget'!E545</f>
        <v>0</v>
      </c>
      <c r="D33" s="195">
        <f>'Program Budget'!G545</f>
        <v>1750</v>
      </c>
      <c r="E33" s="196">
        <f>'Program Budget'!I545</f>
        <v>12</v>
      </c>
      <c r="F33" s="199">
        <f>'Program Budget'!H545</f>
        <v>0.1</v>
      </c>
      <c r="G33" s="198">
        <f t="shared" si="0"/>
        <v>2100</v>
      </c>
      <c r="H33" s="195">
        <f t="shared" si="1"/>
        <v>1837.5</v>
      </c>
      <c r="I33" s="196">
        <f>'Program Budget'!L545</f>
        <v>12</v>
      </c>
      <c r="J33" s="199">
        <f>'Program Budget'!K545</f>
        <v>0</v>
      </c>
      <c r="K33" s="198">
        <f t="shared" si="2"/>
        <v>0</v>
      </c>
      <c r="L33" s="195">
        <f t="shared" si="3"/>
        <v>1929.375</v>
      </c>
      <c r="M33" s="196">
        <f>'Program Budget'!O545</f>
        <v>12</v>
      </c>
      <c r="N33" s="199">
        <f>'Program Budget'!N545</f>
        <v>0</v>
      </c>
      <c r="O33" s="198">
        <f t="shared" si="4"/>
        <v>0</v>
      </c>
      <c r="P33" s="195">
        <f t="shared" si="5"/>
        <v>2025.84375</v>
      </c>
      <c r="Q33" s="196">
        <f>'Program Budget'!R545</f>
        <v>3</v>
      </c>
      <c r="R33" s="199">
        <f>'Program Budget'!Q545</f>
        <v>0</v>
      </c>
      <c r="S33" s="198">
        <f t="shared" si="6"/>
        <v>0</v>
      </c>
      <c r="T33" s="333">
        <f t="shared" si="7"/>
        <v>2100</v>
      </c>
      <c r="U33" s="201"/>
      <c r="V33" s="188"/>
      <c r="W33" s="202"/>
      <c r="X33" s="202"/>
      <c r="AB33" s="163"/>
      <c r="AC33" s="203"/>
      <c r="AD33" s="203"/>
      <c r="AE33" s="204"/>
      <c r="AG33" s="205"/>
    </row>
    <row r="34" spans="1:33" ht="15" customHeight="1" outlineLevel="1">
      <c r="A34" s="193" t="str">
        <f>'Program Budget'!D546</f>
        <v xml:space="preserve">Accountant </v>
      </c>
      <c r="B34" s="194" t="str">
        <f>'Program Budget'!F546</f>
        <v>Month</v>
      </c>
      <c r="C34" s="198">
        <f>'Program Budget'!E546</f>
        <v>0</v>
      </c>
      <c r="D34" s="195">
        <f>'Program Budget'!G546</f>
        <v>1750</v>
      </c>
      <c r="E34" s="196">
        <f>'Program Budget'!I546</f>
        <v>12</v>
      </c>
      <c r="F34" s="199">
        <f>'Program Budget'!H546</f>
        <v>0.1</v>
      </c>
      <c r="G34" s="198">
        <f t="shared" si="0"/>
        <v>2100</v>
      </c>
      <c r="H34" s="195">
        <f t="shared" si="1"/>
        <v>1837.5</v>
      </c>
      <c r="I34" s="196">
        <f>'Program Budget'!L546</f>
        <v>12</v>
      </c>
      <c r="J34" s="199">
        <f>'Program Budget'!K546</f>
        <v>0</v>
      </c>
      <c r="K34" s="198">
        <f t="shared" si="2"/>
        <v>0</v>
      </c>
      <c r="L34" s="195">
        <f t="shared" si="3"/>
        <v>1929.375</v>
      </c>
      <c r="M34" s="196">
        <f>'Program Budget'!O546</f>
        <v>12</v>
      </c>
      <c r="N34" s="199">
        <f>'Program Budget'!N546</f>
        <v>0</v>
      </c>
      <c r="O34" s="198">
        <f t="shared" si="4"/>
        <v>0</v>
      </c>
      <c r="P34" s="195">
        <f t="shared" si="5"/>
        <v>2025.84375</v>
      </c>
      <c r="Q34" s="196">
        <f>'Program Budget'!R546</f>
        <v>5</v>
      </c>
      <c r="R34" s="199">
        <f>'Program Budget'!Q546</f>
        <v>0</v>
      </c>
      <c r="S34" s="198">
        <f t="shared" si="6"/>
        <v>0</v>
      </c>
      <c r="T34" s="333">
        <f t="shared" si="7"/>
        <v>2100</v>
      </c>
      <c r="U34" s="201"/>
      <c r="V34" s="188"/>
      <c r="W34" s="202"/>
      <c r="X34" s="202"/>
      <c r="AB34" s="163"/>
      <c r="AC34" s="203"/>
      <c r="AD34" s="203"/>
      <c r="AE34" s="204"/>
      <c r="AG34" s="205"/>
    </row>
    <row r="35" spans="1:33" ht="15" customHeight="1" outlineLevel="1">
      <c r="A35" s="193" t="str">
        <f>'Program Budget'!D547</f>
        <v>Finance &amp; Admin Coordinator - 50% LOE</v>
      </c>
      <c r="B35" s="194" t="str">
        <f>'Program Budget'!F547</f>
        <v>Month</v>
      </c>
      <c r="C35" s="198">
        <f>'Program Budget'!E547</f>
        <v>0</v>
      </c>
      <c r="D35" s="195">
        <f>'Program Budget'!G547</f>
        <v>2583.3333333333335</v>
      </c>
      <c r="E35" s="196">
        <f>'Program Budget'!I547</f>
        <v>12</v>
      </c>
      <c r="F35" s="199">
        <f>'Program Budget'!H547</f>
        <v>0.05</v>
      </c>
      <c r="G35" s="198">
        <f t="shared" si="0"/>
        <v>1550</v>
      </c>
      <c r="H35" s="195">
        <f t="shared" si="1"/>
        <v>2712.5000000000005</v>
      </c>
      <c r="I35" s="196">
        <f>'Program Budget'!L547</f>
        <v>12</v>
      </c>
      <c r="J35" s="199">
        <f>'Program Budget'!K547</f>
        <v>0</v>
      </c>
      <c r="K35" s="198">
        <f t="shared" si="2"/>
        <v>0</v>
      </c>
      <c r="L35" s="195">
        <f t="shared" si="3"/>
        <v>2848.1250000000005</v>
      </c>
      <c r="M35" s="196">
        <f>'Program Budget'!O547</f>
        <v>12</v>
      </c>
      <c r="N35" s="199">
        <f>'Program Budget'!N547</f>
        <v>0</v>
      </c>
      <c r="O35" s="198">
        <f t="shared" si="4"/>
        <v>0</v>
      </c>
      <c r="P35" s="195">
        <f t="shared" si="5"/>
        <v>2990.5312500000005</v>
      </c>
      <c r="Q35" s="196">
        <f>'Program Budget'!R547</f>
        <v>6</v>
      </c>
      <c r="R35" s="199">
        <f>'Program Budget'!Q547</f>
        <v>0</v>
      </c>
      <c r="S35" s="198">
        <f t="shared" si="6"/>
        <v>0</v>
      </c>
      <c r="T35" s="333">
        <f t="shared" si="7"/>
        <v>1550</v>
      </c>
      <c r="U35" s="201"/>
      <c r="V35" s="188"/>
      <c r="W35" s="202"/>
      <c r="X35" s="202"/>
      <c r="AB35" s="163">
        <v>180</v>
      </c>
      <c r="AC35" s="203" t="s">
        <v>547</v>
      </c>
      <c r="AD35" s="203" t="s">
        <v>548</v>
      </c>
      <c r="AE35" s="204"/>
      <c r="AG35" s="205"/>
    </row>
    <row r="36" spans="1:33" ht="15" customHeight="1" outlineLevel="1">
      <c r="A36" s="193" t="str">
        <f>'Program Budget'!D548</f>
        <v xml:space="preserve">Administrative Officer </v>
      </c>
      <c r="B36" s="194" t="str">
        <f>'Program Budget'!F548</f>
        <v>Month</v>
      </c>
      <c r="C36" s="198">
        <f>'Program Budget'!E548</f>
        <v>2936.37</v>
      </c>
      <c r="D36" s="195">
        <f>'Program Budget'!G548</f>
        <v>1000</v>
      </c>
      <c r="E36" s="196">
        <f>'Program Budget'!I548</f>
        <v>12</v>
      </c>
      <c r="F36" s="199">
        <f>'Program Budget'!H548</f>
        <v>0.1</v>
      </c>
      <c r="G36" s="198">
        <f t="shared" si="0"/>
        <v>1200</v>
      </c>
      <c r="H36" s="195">
        <f t="shared" si="1"/>
        <v>1050</v>
      </c>
      <c r="I36" s="196">
        <f>'Program Budget'!L548</f>
        <v>12</v>
      </c>
      <c r="J36" s="199">
        <f>'Program Budget'!K548</f>
        <v>0</v>
      </c>
      <c r="K36" s="198">
        <f t="shared" si="2"/>
        <v>0</v>
      </c>
      <c r="L36" s="195">
        <f t="shared" si="3"/>
        <v>1102.5</v>
      </c>
      <c r="M36" s="196">
        <f>'Program Budget'!O548</f>
        <v>12</v>
      </c>
      <c r="N36" s="199">
        <f>'Program Budget'!N548</f>
        <v>0</v>
      </c>
      <c r="O36" s="198">
        <f t="shared" si="4"/>
        <v>0</v>
      </c>
      <c r="P36" s="195">
        <f t="shared" si="5"/>
        <v>1157.625</v>
      </c>
      <c r="Q36" s="196">
        <f>'Program Budget'!R548</f>
        <v>3</v>
      </c>
      <c r="R36" s="199">
        <f>'Program Budget'!Q548</f>
        <v>0</v>
      </c>
      <c r="S36" s="198">
        <f t="shared" si="6"/>
        <v>0</v>
      </c>
      <c r="T36" s="333">
        <f t="shared" si="7"/>
        <v>4136.37</v>
      </c>
      <c r="U36" s="201"/>
      <c r="V36" s="188"/>
      <c r="W36" s="202"/>
      <c r="X36" s="202"/>
      <c r="AB36" s="163"/>
      <c r="AC36" s="203"/>
      <c r="AD36" s="203"/>
      <c r="AE36" s="204"/>
      <c r="AG36" s="205"/>
    </row>
    <row r="37" spans="1:33" ht="15" customHeight="1" outlineLevel="1">
      <c r="A37" s="193" t="str">
        <f>'Program Budget'!D549</f>
        <v>Human Resource Manager</v>
      </c>
      <c r="B37" s="194" t="str">
        <f>'Program Budget'!F549</f>
        <v>Month</v>
      </c>
      <c r="C37" s="198">
        <f>'Program Budget'!E549</f>
        <v>0</v>
      </c>
      <c r="D37" s="195">
        <f>'Program Budget'!G549</f>
        <v>1954.1666666666667</v>
      </c>
      <c r="E37" s="196">
        <f>'Program Budget'!I549</f>
        <v>12</v>
      </c>
      <c r="F37" s="199">
        <f>'Program Budget'!H549</f>
        <v>0.1</v>
      </c>
      <c r="G37" s="198">
        <f t="shared" si="0"/>
        <v>2345</v>
      </c>
      <c r="H37" s="195">
        <f t="shared" si="1"/>
        <v>2051.875</v>
      </c>
      <c r="I37" s="196">
        <f>'Program Budget'!L549</f>
        <v>12</v>
      </c>
      <c r="J37" s="199">
        <f>'Program Budget'!K549</f>
        <v>0</v>
      </c>
      <c r="K37" s="198">
        <f t="shared" si="2"/>
        <v>0</v>
      </c>
      <c r="L37" s="195">
        <f t="shared" si="3"/>
        <v>2154.46875</v>
      </c>
      <c r="M37" s="196">
        <f>'Program Budget'!O549</f>
        <v>12</v>
      </c>
      <c r="N37" s="199">
        <f>'Program Budget'!N549</f>
        <v>0</v>
      </c>
      <c r="O37" s="198">
        <f t="shared" si="4"/>
        <v>0</v>
      </c>
      <c r="P37" s="195">
        <f t="shared" si="5"/>
        <v>2262.1921875000003</v>
      </c>
      <c r="Q37" s="196">
        <f>'Program Budget'!R549</f>
        <v>6</v>
      </c>
      <c r="R37" s="199">
        <f>'Program Budget'!Q549</f>
        <v>0</v>
      </c>
      <c r="S37" s="198">
        <f t="shared" si="6"/>
        <v>0</v>
      </c>
      <c r="T37" s="333">
        <f t="shared" si="7"/>
        <v>2345</v>
      </c>
      <c r="U37" s="201"/>
      <c r="V37" s="188"/>
      <c r="W37" s="202"/>
      <c r="X37" s="202"/>
      <c r="AB37" s="163"/>
      <c r="AC37" s="203"/>
      <c r="AD37" s="203"/>
      <c r="AE37" s="204"/>
      <c r="AG37" s="205"/>
    </row>
    <row r="38" spans="1:33" ht="15" customHeight="1" outlineLevel="1">
      <c r="A38" s="193" t="str">
        <f>'Program Budget'!D550</f>
        <v>Human Resource Specialist</v>
      </c>
      <c r="B38" s="194" t="str">
        <f>'Program Budget'!F550</f>
        <v>Month</v>
      </c>
      <c r="C38" s="198">
        <f>'Program Budget'!E550</f>
        <v>0</v>
      </c>
      <c r="D38" s="195">
        <f>'Program Budget'!G550</f>
        <v>1750</v>
      </c>
      <c r="E38" s="196">
        <f>'Program Budget'!I550</f>
        <v>12</v>
      </c>
      <c r="F38" s="199">
        <f>'Program Budget'!H550</f>
        <v>0.1</v>
      </c>
      <c r="G38" s="198">
        <f t="shared" si="0"/>
        <v>2100</v>
      </c>
      <c r="H38" s="195">
        <f t="shared" si="1"/>
        <v>1837.5</v>
      </c>
      <c r="I38" s="196">
        <f>'Program Budget'!L550</f>
        <v>12</v>
      </c>
      <c r="J38" s="199">
        <f>'Program Budget'!K550</f>
        <v>0</v>
      </c>
      <c r="K38" s="198">
        <f t="shared" si="2"/>
        <v>0</v>
      </c>
      <c r="L38" s="195">
        <f t="shared" si="3"/>
        <v>1929.375</v>
      </c>
      <c r="M38" s="196">
        <f>'Program Budget'!O550</f>
        <v>12</v>
      </c>
      <c r="N38" s="199">
        <f>'Program Budget'!N550</f>
        <v>0</v>
      </c>
      <c r="O38" s="198">
        <f t="shared" si="4"/>
        <v>0</v>
      </c>
      <c r="P38" s="195">
        <f t="shared" si="5"/>
        <v>2025.84375</v>
      </c>
      <c r="Q38" s="196">
        <f>'Program Budget'!R550</f>
        <v>3</v>
      </c>
      <c r="R38" s="199">
        <f>'Program Budget'!Q550</f>
        <v>0</v>
      </c>
      <c r="S38" s="198">
        <f t="shared" si="6"/>
        <v>0</v>
      </c>
      <c r="T38" s="335">
        <f t="shared" si="7"/>
        <v>2100</v>
      </c>
      <c r="U38" s="201"/>
      <c r="V38" s="188"/>
      <c r="W38" s="202"/>
      <c r="X38" s="202"/>
      <c r="AB38" s="163"/>
      <c r="AC38" s="203"/>
      <c r="AD38" s="203"/>
      <c r="AE38" s="204"/>
      <c r="AG38" s="205"/>
    </row>
    <row r="39" spans="1:33" ht="15" customHeight="1" outlineLevel="1">
      <c r="A39" s="208" t="s">
        <v>510</v>
      </c>
      <c r="B39" s="209"/>
      <c r="C39" s="222">
        <f>SUM(C10:C38)</f>
        <v>74834.58</v>
      </c>
      <c r="D39" s="210"/>
      <c r="E39" s="211"/>
      <c r="F39" s="214"/>
      <c r="G39" s="222">
        <f>SUM(G10:G38)</f>
        <v>72880.28</v>
      </c>
      <c r="H39" s="210"/>
      <c r="I39" s="211"/>
      <c r="J39" s="212"/>
      <c r="K39" s="222">
        <f>SUM(K10:K38)</f>
        <v>0</v>
      </c>
      <c r="L39" s="210"/>
      <c r="M39" s="211"/>
      <c r="N39" s="214"/>
      <c r="O39" s="222">
        <f>SUM(O10:O38)</f>
        <v>0</v>
      </c>
      <c r="P39" s="210"/>
      <c r="Q39" s="211"/>
      <c r="R39" s="214"/>
      <c r="S39" s="222">
        <f>SUM(S10:S38)</f>
        <v>0</v>
      </c>
      <c r="T39" s="334">
        <f>C39+G39+K39+O39+S39</f>
        <v>147714.85999999999</v>
      </c>
      <c r="AB39" s="163"/>
      <c r="AC39" s="203"/>
      <c r="AD39" s="203"/>
    </row>
    <row r="40" spans="1:33" s="236" customFormat="1" ht="15" customHeight="1">
      <c r="A40" s="226" t="s">
        <v>513</v>
      </c>
      <c r="B40" s="227"/>
      <c r="C40" s="231">
        <f>C39+C8</f>
        <v>89045.58</v>
      </c>
      <c r="D40" s="228"/>
      <c r="E40" s="229"/>
      <c r="F40" s="232"/>
      <c r="G40" s="231">
        <f>G39+G8</f>
        <v>89980.28</v>
      </c>
      <c r="H40" s="228"/>
      <c r="I40" s="229"/>
      <c r="J40" s="230"/>
      <c r="K40" s="231">
        <f>K39+K8</f>
        <v>0</v>
      </c>
      <c r="L40" s="228"/>
      <c r="M40" s="229"/>
      <c r="N40" s="232"/>
      <c r="O40" s="231">
        <f>O39+O8</f>
        <v>0</v>
      </c>
      <c r="P40" s="228"/>
      <c r="Q40" s="229"/>
      <c r="R40" s="232"/>
      <c r="S40" s="231">
        <f>S39+S8</f>
        <v>0</v>
      </c>
      <c r="T40" s="233">
        <f>+C40+G40+K40+O40+S40</f>
        <v>179025.86</v>
      </c>
      <c r="U40" s="234"/>
      <c r="V40" s="234"/>
      <c r="W40" s="234"/>
      <c r="X40" s="234"/>
      <c r="Y40" s="234"/>
      <c r="Z40" s="235"/>
      <c r="AA40" s="235"/>
      <c r="AB40" s="234"/>
      <c r="AD40" s="236" t="s">
        <v>549</v>
      </c>
      <c r="AG40" s="235"/>
    </row>
    <row r="41" spans="1:33" s="189" customFormat="1" ht="15" customHeight="1" outlineLevel="1">
      <c r="A41" s="190" t="s">
        <v>514</v>
      </c>
      <c r="B41" s="191"/>
      <c r="C41" s="184"/>
      <c r="D41" s="181"/>
      <c r="E41" s="182"/>
      <c r="F41" s="185"/>
      <c r="G41" s="186"/>
      <c r="H41" s="181"/>
      <c r="I41" s="182"/>
      <c r="J41" s="183"/>
      <c r="K41" s="186"/>
      <c r="L41" s="181"/>
      <c r="M41" s="182"/>
      <c r="N41" s="185"/>
      <c r="O41" s="186"/>
      <c r="P41" s="181"/>
      <c r="Q41" s="182"/>
      <c r="R41" s="185"/>
      <c r="S41" s="186"/>
      <c r="T41" s="187"/>
      <c r="U41" s="157"/>
      <c r="V41" s="157"/>
      <c r="W41" s="157"/>
      <c r="X41" s="157"/>
      <c r="Y41" s="157"/>
      <c r="Z41" s="157"/>
      <c r="AA41" s="157"/>
      <c r="AB41" s="163"/>
      <c r="AG41" s="157"/>
    </row>
    <row r="42" spans="1:33" s="189" customFormat="1" ht="15" customHeight="1" outlineLevel="1">
      <c r="A42" s="237" t="str">
        <f>'Program Budget'!D557</f>
        <v>Fringe Benefits Package for Chief of Party</v>
      </c>
      <c r="B42" s="216" t="str">
        <f>'Program Budget'!F557</f>
        <v>%</v>
      </c>
      <c r="C42" s="198">
        <f>'Program Budget'!E557</f>
        <v>1045.8499999999999</v>
      </c>
      <c r="D42" s="343">
        <f>G8</f>
        <v>17100</v>
      </c>
      <c r="E42" s="218">
        <v>1</v>
      </c>
      <c r="F42" s="160">
        <f>'Program Budget'!G557</f>
        <v>0.56469999999999998</v>
      </c>
      <c r="G42" s="198">
        <f t="shared" ref="G42" si="8">D42*E42*F42</f>
        <v>9656.369999999999</v>
      </c>
      <c r="H42" s="343">
        <f>K8</f>
        <v>0</v>
      </c>
      <c r="I42" s="218">
        <v>1</v>
      </c>
      <c r="J42" s="160">
        <f>F42</f>
        <v>0.56469999999999998</v>
      </c>
      <c r="K42" s="198">
        <f t="shared" ref="K42:K44" si="9">H42*I42*J42</f>
        <v>0</v>
      </c>
      <c r="L42" s="343">
        <f>O8</f>
        <v>0</v>
      </c>
      <c r="M42" s="218">
        <v>1</v>
      </c>
      <c r="N42" s="160">
        <f>J42</f>
        <v>0.56469999999999998</v>
      </c>
      <c r="O42" s="198">
        <f t="shared" ref="O42:O44" si="10">L42*M42*N42</f>
        <v>0</v>
      </c>
      <c r="P42" s="343">
        <f>S8</f>
        <v>0</v>
      </c>
      <c r="Q42" s="218">
        <v>1</v>
      </c>
      <c r="R42" s="160">
        <f>N42</f>
        <v>0.56469999999999998</v>
      </c>
      <c r="S42" s="198">
        <f t="shared" ref="S42:S44" si="11">P42*Q42*R42</f>
        <v>0</v>
      </c>
      <c r="T42" s="333">
        <f t="shared" ref="T42:T44" si="12">C42+G42+K42+O42+S42</f>
        <v>10702.22</v>
      </c>
      <c r="U42" s="157"/>
      <c r="V42" s="157"/>
      <c r="W42" s="157"/>
      <c r="X42" s="157"/>
      <c r="Y42" s="157"/>
      <c r="Z42" s="157"/>
      <c r="AA42" s="157"/>
      <c r="AB42" s="163">
        <v>194</v>
      </c>
      <c r="AC42" s="203" t="s">
        <v>550</v>
      </c>
      <c r="AD42" s="203" t="s">
        <v>551</v>
      </c>
      <c r="AG42" s="157"/>
    </row>
    <row r="43" spans="1:33" s="189" customFormat="1" ht="15" customHeight="1" outlineLevel="1">
      <c r="A43" s="237" t="s">
        <v>515</v>
      </c>
      <c r="B43" s="216" t="str">
        <f>'Program Budget'!F554</f>
        <v>%</v>
      </c>
      <c r="C43" s="198">
        <f>'Program Budget'!E554</f>
        <v>2788.93</v>
      </c>
      <c r="D43" s="343">
        <f>G11+G10+G20+G24+G27+G30+G32</f>
        <v>39085.279999999999</v>
      </c>
      <c r="E43" s="218">
        <v>1</v>
      </c>
      <c r="F43" s="160">
        <f>'Program Budget'!G554</f>
        <v>0.53864000000000001</v>
      </c>
      <c r="G43" s="198">
        <f>D43*E43*F43</f>
        <v>21052.8952192</v>
      </c>
      <c r="H43" s="343">
        <f>K11+K10+K20+K24+K27+K30+K32</f>
        <v>0</v>
      </c>
      <c r="I43" s="218">
        <v>1</v>
      </c>
      <c r="J43" s="160">
        <f t="shared" ref="J43:J44" si="13">F43</f>
        <v>0.53864000000000001</v>
      </c>
      <c r="K43" s="198">
        <f t="shared" si="9"/>
        <v>0</v>
      </c>
      <c r="L43" s="343">
        <f>O11+O10+O20+O24+O27+O30+O32</f>
        <v>0</v>
      </c>
      <c r="M43" s="218">
        <v>1</v>
      </c>
      <c r="N43" s="160">
        <f t="shared" ref="N43:N44" si="14">J43</f>
        <v>0.53864000000000001</v>
      </c>
      <c r="O43" s="198">
        <f t="shared" si="10"/>
        <v>0</v>
      </c>
      <c r="P43" s="343">
        <f>S11+S10+S20+S24+S27+S30+S32</f>
        <v>0</v>
      </c>
      <c r="Q43" s="218">
        <v>1</v>
      </c>
      <c r="R43" s="160">
        <f t="shared" ref="R43:R44" si="15">N43</f>
        <v>0.53864000000000001</v>
      </c>
      <c r="S43" s="198">
        <f t="shared" si="11"/>
        <v>0</v>
      </c>
      <c r="T43" s="335">
        <f t="shared" si="12"/>
        <v>23841.8252192</v>
      </c>
      <c r="U43" s="157"/>
      <c r="V43" s="157"/>
      <c r="W43" s="157"/>
      <c r="X43" s="157"/>
      <c r="Y43" s="157"/>
      <c r="Z43" s="157"/>
      <c r="AA43" s="157"/>
      <c r="AB43" s="238">
        <v>197</v>
      </c>
      <c r="AC43" s="239" t="s">
        <v>552</v>
      </c>
      <c r="AD43" s="239" t="s">
        <v>553</v>
      </c>
      <c r="AG43" s="157"/>
    </row>
    <row r="44" spans="1:33" s="189" customFormat="1" ht="15" customHeight="1" outlineLevel="1">
      <c r="A44" s="237" t="s">
        <v>516</v>
      </c>
      <c r="B44" s="216" t="str">
        <f>'Program Budget'!F555</f>
        <v>%</v>
      </c>
      <c r="C44" s="198">
        <f>'Program Budget'!E555</f>
        <v>30752.91</v>
      </c>
      <c r="D44" s="343">
        <f>G39-D43</f>
        <v>33795</v>
      </c>
      <c r="E44" s="218">
        <v>1</v>
      </c>
      <c r="F44" s="160">
        <f>'Program Budget'!G555</f>
        <v>0.44863999999999998</v>
      </c>
      <c r="G44" s="198">
        <f>D44*E44*F44</f>
        <v>15161.7888</v>
      </c>
      <c r="H44" s="343">
        <f>K39-H43</f>
        <v>0</v>
      </c>
      <c r="I44" s="218">
        <v>1</v>
      </c>
      <c r="J44" s="160">
        <f t="shared" si="13"/>
        <v>0.44863999999999998</v>
      </c>
      <c r="K44" s="198">
        <f t="shared" si="9"/>
        <v>0</v>
      </c>
      <c r="L44" s="343">
        <f>O39-L43</f>
        <v>0</v>
      </c>
      <c r="M44" s="218">
        <v>1</v>
      </c>
      <c r="N44" s="160">
        <f t="shared" si="14"/>
        <v>0.44863999999999998</v>
      </c>
      <c r="O44" s="198">
        <f t="shared" si="10"/>
        <v>0</v>
      </c>
      <c r="P44" s="343">
        <f>S39-P43</f>
        <v>0</v>
      </c>
      <c r="Q44" s="218">
        <v>1</v>
      </c>
      <c r="R44" s="160">
        <f t="shared" si="15"/>
        <v>0.44863999999999998</v>
      </c>
      <c r="S44" s="198">
        <f t="shared" si="11"/>
        <v>0</v>
      </c>
      <c r="T44" s="335">
        <f t="shared" si="12"/>
        <v>45914.698799999998</v>
      </c>
      <c r="U44" s="157"/>
      <c r="V44" s="157"/>
      <c r="W44" s="157"/>
      <c r="X44" s="157"/>
      <c r="Y44" s="157"/>
      <c r="Z44" s="157"/>
      <c r="AA44" s="157"/>
      <c r="AB44" s="238">
        <v>197</v>
      </c>
      <c r="AC44" s="239" t="s">
        <v>552</v>
      </c>
      <c r="AD44" s="239" t="s">
        <v>553</v>
      </c>
      <c r="AG44" s="157"/>
    </row>
    <row r="45" spans="1:33" ht="15" customHeight="1" outlineLevel="1">
      <c r="A45" s="208" t="s">
        <v>518</v>
      </c>
      <c r="B45" s="209"/>
      <c r="C45" s="213">
        <f>SUM(C42:C44)</f>
        <v>34587.69</v>
      </c>
      <c r="D45" s="210"/>
      <c r="E45" s="211"/>
      <c r="F45" s="214"/>
      <c r="G45" s="213">
        <f>SUM(G42:G44)</f>
        <v>45871.054019199997</v>
      </c>
      <c r="H45" s="210"/>
      <c r="I45" s="211"/>
      <c r="J45" s="212"/>
      <c r="K45" s="213">
        <f>SUM(K42:K44)</f>
        <v>0</v>
      </c>
      <c r="L45" s="210"/>
      <c r="M45" s="211"/>
      <c r="N45" s="214"/>
      <c r="O45" s="213">
        <f>SUM(O42:O44)</f>
        <v>0</v>
      </c>
      <c r="P45" s="210"/>
      <c r="Q45" s="211"/>
      <c r="R45" s="214"/>
      <c r="S45" s="213">
        <f>SUM(S42:S44)</f>
        <v>0</v>
      </c>
      <c r="T45" s="334">
        <f>+C45+G45+K45+O45+S45</f>
        <v>80458.744019200007</v>
      </c>
      <c r="AB45" s="163"/>
      <c r="AC45" s="203"/>
      <c r="AD45" s="203"/>
    </row>
    <row r="46" spans="1:33" s="189" customFormat="1" ht="15" customHeight="1" outlineLevel="1">
      <c r="A46" s="190" t="s">
        <v>519</v>
      </c>
      <c r="B46" s="247"/>
      <c r="C46" s="248"/>
      <c r="D46" s="217"/>
      <c r="E46" s="218"/>
      <c r="F46" s="161"/>
      <c r="G46" s="221"/>
      <c r="H46" s="217"/>
      <c r="I46" s="218"/>
      <c r="J46" s="160"/>
      <c r="K46" s="221"/>
      <c r="L46" s="217"/>
      <c r="M46" s="218"/>
      <c r="N46" s="161"/>
      <c r="O46" s="221"/>
      <c r="P46" s="217"/>
      <c r="Q46" s="218"/>
      <c r="R46" s="161"/>
      <c r="S46" s="221"/>
      <c r="T46" s="333">
        <f>+C46+G46+K46+O46+S46</f>
        <v>0</v>
      </c>
      <c r="U46" s="157"/>
      <c r="V46" s="157"/>
      <c r="W46" s="157"/>
      <c r="X46" s="157"/>
      <c r="Y46" s="157"/>
      <c r="Z46" s="157"/>
      <c r="AA46" s="157"/>
      <c r="AB46" s="163"/>
      <c r="AC46" s="203"/>
      <c r="AD46" s="203" t="s">
        <v>549</v>
      </c>
      <c r="AG46" s="157"/>
    </row>
    <row r="47" spans="1:33" s="189" customFormat="1" ht="15" customHeight="1" outlineLevel="1">
      <c r="A47" s="193" t="str">
        <f>'Program Budget'!D556</f>
        <v>Post (Hardship) Differential for Chief of Party</v>
      </c>
      <c r="B47" s="216" t="str">
        <f>'Program Budget'!F556</f>
        <v>%</v>
      </c>
      <c r="C47" s="198">
        <f>'Program Budget'!E556</f>
        <v>273.99</v>
      </c>
      <c r="D47" s="344">
        <f>G8</f>
        <v>17100</v>
      </c>
      <c r="E47" s="159">
        <v>1</v>
      </c>
      <c r="F47" s="161">
        <f>'Program Budget'!G556</f>
        <v>0.15</v>
      </c>
      <c r="G47" s="198">
        <f>D47*E47*F47</f>
        <v>2565</v>
      </c>
      <c r="H47" s="344">
        <f>K8</f>
        <v>0</v>
      </c>
      <c r="I47" s="159">
        <v>1</v>
      </c>
      <c r="J47" s="160">
        <f>F47</f>
        <v>0.15</v>
      </c>
      <c r="K47" s="198">
        <f>H47*I47*J47</f>
        <v>0</v>
      </c>
      <c r="L47" s="344">
        <f>O8</f>
        <v>0</v>
      </c>
      <c r="M47" s="159">
        <v>1</v>
      </c>
      <c r="N47" s="161">
        <f>J47</f>
        <v>0.15</v>
      </c>
      <c r="O47" s="198">
        <f>L47*M47*N47</f>
        <v>0</v>
      </c>
      <c r="P47" s="344">
        <f>S8</f>
        <v>0</v>
      </c>
      <c r="Q47" s="159">
        <v>1</v>
      </c>
      <c r="R47" s="161">
        <f>N47</f>
        <v>0.15</v>
      </c>
      <c r="S47" s="198">
        <f>P47*Q47*R47</f>
        <v>0</v>
      </c>
      <c r="T47" s="337">
        <f t="shared" ref="T47" si="16">C47+G47+K47+O47+S47</f>
        <v>2838.99</v>
      </c>
      <c r="U47" s="157"/>
      <c r="V47" s="157"/>
      <c r="W47" s="157"/>
      <c r="X47" s="157"/>
      <c r="Y47" s="157"/>
      <c r="Z47" s="157"/>
      <c r="AA47" s="157"/>
      <c r="AB47" s="163"/>
      <c r="AC47" s="207"/>
      <c r="AD47" s="207"/>
      <c r="AG47" s="157"/>
    </row>
    <row r="48" spans="1:33" ht="15" customHeight="1" outlineLevel="1">
      <c r="A48" s="208" t="s">
        <v>520</v>
      </c>
      <c r="B48" s="209"/>
      <c r="C48" s="213">
        <f>SUM(C47:C47)</f>
        <v>273.99</v>
      </c>
      <c r="D48" s="210"/>
      <c r="E48" s="211"/>
      <c r="F48" s="214"/>
      <c r="G48" s="213">
        <f>SUM(G47:G47)</f>
        <v>2565</v>
      </c>
      <c r="H48" s="210"/>
      <c r="I48" s="211"/>
      <c r="J48" s="212"/>
      <c r="K48" s="213">
        <f>SUM(K47:K47)</f>
        <v>0</v>
      </c>
      <c r="L48" s="210"/>
      <c r="M48" s="211"/>
      <c r="N48" s="214"/>
      <c r="O48" s="213">
        <f>SUM(O47:O47)</f>
        <v>0</v>
      </c>
      <c r="P48" s="210"/>
      <c r="Q48" s="211"/>
      <c r="R48" s="214"/>
      <c r="S48" s="213">
        <f>SUM(S47:S47)</f>
        <v>0</v>
      </c>
      <c r="T48" s="334">
        <f>C48+G48+K48+O48+S48</f>
        <v>2838.99</v>
      </c>
      <c r="AB48" s="163"/>
      <c r="AC48" s="203"/>
      <c r="AD48" s="203"/>
    </row>
    <row r="49" spans="1:33" s="258" customFormat="1" ht="18.3" outlineLevel="1">
      <c r="A49" s="249" t="s">
        <v>521</v>
      </c>
      <c r="B49" s="250"/>
      <c r="C49" s="254">
        <f>C48+C45</f>
        <v>34861.68</v>
      </c>
      <c r="D49" s="251"/>
      <c r="E49" s="252"/>
      <c r="F49" s="255"/>
      <c r="G49" s="254">
        <f>G48+G45</f>
        <v>48436.054019199997</v>
      </c>
      <c r="H49" s="251"/>
      <c r="I49" s="252"/>
      <c r="J49" s="253"/>
      <c r="K49" s="254">
        <f>K48+K45</f>
        <v>0</v>
      </c>
      <c r="L49" s="251"/>
      <c r="M49" s="252"/>
      <c r="N49" s="255"/>
      <c r="O49" s="254">
        <f>O48+O45</f>
        <v>0</v>
      </c>
      <c r="P49" s="251"/>
      <c r="Q49" s="252"/>
      <c r="R49" s="255"/>
      <c r="S49" s="254">
        <f>S48+S45</f>
        <v>0</v>
      </c>
      <c r="T49" s="233">
        <f>+C49+G49+K49+O49+S49</f>
        <v>83297.734019199997</v>
      </c>
      <c r="U49" s="235"/>
      <c r="V49" s="235"/>
      <c r="W49" s="235"/>
      <c r="X49" s="235"/>
      <c r="Y49" s="235"/>
      <c r="Z49" s="235"/>
      <c r="AA49" s="235"/>
      <c r="AB49" s="234">
        <v>287</v>
      </c>
      <c r="AC49" s="256" t="s">
        <v>558</v>
      </c>
      <c r="AD49" s="256" t="s">
        <v>559</v>
      </c>
      <c r="AE49" s="257"/>
      <c r="AG49" s="235"/>
    </row>
    <row r="50" spans="1:33" s="260" customFormat="1" ht="15.6" outlineLevel="1">
      <c r="A50" s="441" t="s">
        <v>522</v>
      </c>
      <c r="B50" s="191"/>
      <c r="C50" s="198"/>
      <c r="D50" s="330"/>
      <c r="E50" s="159"/>
      <c r="F50" s="185"/>
      <c r="G50" s="198"/>
      <c r="H50" s="330"/>
      <c r="I50" s="159"/>
      <c r="J50" s="183"/>
      <c r="K50" s="198"/>
      <c r="L50" s="330"/>
      <c r="M50" s="159"/>
      <c r="N50" s="185"/>
      <c r="O50" s="198"/>
      <c r="P50" s="330"/>
      <c r="Q50" s="159"/>
      <c r="R50" s="185"/>
      <c r="S50" s="198"/>
      <c r="T50" s="333"/>
    </row>
    <row r="51" spans="1:33" ht="15" customHeight="1" outlineLevel="1">
      <c r="A51" s="193" t="str">
        <f>'Program Budget'!D579</f>
        <v>International Airfare for Young Agriculture Entrepreneur International Exchange</v>
      </c>
      <c r="B51" s="194" t="str">
        <f>'Program Budget'!F579</f>
        <v>Trip</v>
      </c>
      <c r="C51" s="198">
        <f>'Program Budget'!E579</f>
        <v>19061.169999999998</v>
      </c>
      <c r="D51" s="195">
        <f>'Program Budget'!G579</f>
        <v>2000</v>
      </c>
      <c r="E51" s="196">
        <f>'Program Budget'!I579</f>
        <v>11</v>
      </c>
      <c r="F51" s="197">
        <v>1</v>
      </c>
      <c r="G51" s="198">
        <f>D51*E51*F51</f>
        <v>22000</v>
      </c>
      <c r="H51" s="195">
        <f t="shared" ref="H51" si="17">D51*1.04</f>
        <v>2080</v>
      </c>
      <c r="I51" s="196">
        <f>'Program Budget'!L579</f>
        <v>0</v>
      </c>
      <c r="J51" s="197">
        <v>0</v>
      </c>
      <c r="K51" s="198">
        <f>H51*I51*J51</f>
        <v>0</v>
      </c>
      <c r="L51" s="195">
        <f t="shared" ref="L51" si="18">H51*1.04</f>
        <v>2163.2000000000003</v>
      </c>
      <c r="M51" s="196">
        <f>'Program Budget'!O579</f>
        <v>0</v>
      </c>
      <c r="N51" s="197">
        <v>0</v>
      </c>
      <c r="O51" s="198">
        <f>L51*M51*N51</f>
        <v>0</v>
      </c>
      <c r="P51" s="195">
        <f t="shared" ref="P51" si="19">L51*1.04</f>
        <v>2249.7280000000005</v>
      </c>
      <c r="Q51" s="196">
        <f>'Program Budget'!R579</f>
        <v>0</v>
      </c>
      <c r="R51" s="197">
        <v>0</v>
      </c>
      <c r="S51" s="198">
        <f>P51*Q51*R51</f>
        <v>0</v>
      </c>
      <c r="T51" s="333">
        <f>C51+G51+K51+O51+S51</f>
        <v>41061.17</v>
      </c>
      <c r="U51" s="201"/>
      <c r="V51" s="188"/>
      <c r="W51" s="202"/>
      <c r="X51" s="202"/>
      <c r="AB51" s="163"/>
      <c r="AC51" s="203"/>
      <c r="AD51" s="203"/>
      <c r="AE51" s="204"/>
      <c r="AG51" s="205"/>
    </row>
    <row r="52" spans="1:33" s="260" customFormat="1" ht="15.6" outlineLevel="1">
      <c r="A52" s="190" t="s">
        <v>523</v>
      </c>
      <c r="B52" s="191"/>
      <c r="C52" s="198"/>
      <c r="D52" s="158"/>
      <c r="E52" s="159"/>
      <c r="F52" s="185"/>
      <c r="G52" s="198"/>
      <c r="H52" s="158"/>
      <c r="I52" s="159"/>
      <c r="J52" s="183"/>
      <c r="K52" s="198"/>
      <c r="L52" s="158"/>
      <c r="M52" s="159"/>
      <c r="N52" s="185"/>
      <c r="O52" s="198"/>
      <c r="P52" s="158"/>
      <c r="Q52" s="159"/>
      <c r="R52" s="185"/>
      <c r="S52" s="198"/>
      <c r="T52" s="333"/>
      <c r="U52" s="157"/>
      <c r="V52" s="157"/>
      <c r="W52" s="157"/>
      <c r="X52" s="157"/>
      <c r="Y52" s="157"/>
      <c r="Z52" s="157"/>
      <c r="AA52" s="157"/>
      <c r="AB52" s="163"/>
      <c r="AC52" s="203"/>
      <c r="AD52" s="203"/>
      <c r="AE52" s="259"/>
      <c r="AG52" s="157"/>
    </row>
    <row r="53" spans="1:33" ht="15" customHeight="1" outlineLevel="1">
      <c r="A53" s="193" t="str">
        <f>'Program Budget'!D573</f>
        <v>Student Local Transportation -Bogota -Business Plan Presentation to RCP</v>
      </c>
      <c r="B53" s="194" t="str">
        <f>'Program Budget'!F573</f>
        <v>Trip</v>
      </c>
      <c r="C53" s="198">
        <f>'Program Budget'!E573</f>
        <v>0</v>
      </c>
      <c r="D53" s="195">
        <f>'Program Budget'!G573</f>
        <v>100</v>
      </c>
      <c r="E53" s="196">
        <f>'Program Budget'!I573</f>
        <v>0</v>
      </c>
      <c r="F53" s="197">
        <v>0</v>
      </c>
      <c r="G53" s="198">
        <f>D53*E53*F53</f>
        <v>0</v>
      </c>
      <c r="H53" s="195">
        <f t="shared" ref="H53" si="20">D53*1.04</f>
        <v>104</v>
      </c>
      <c r="I53" s="196">
        <f>'Program Budget'!L573</f>
        <v>0</v>
      </c>
      <c r="J53" s="197">
        <v>0</v>
      </c>
      <c r="K53" s="198">
        <f>H53*I53*J53</f>
        <v>0</v>
      </c>
      <c r="L53" s="195">
        <f t="shared" ref="L53" si="21">H53*1.04</f>
        <v>108.16</v>
      </c>
      <c r="M53" s="196">
        <f>'Program Budget'!O573</f>
        <v>0</v>
      </c>
      <c r="N53" s="197">
        <v>0</v>
      </c>
      <c r="O53" s="198">
        <f>L53*M53*N53</f>
        <v>0</v>
      </c>
      <c r="P53" s="195">
        <f t="shared" ref="P53" si="22">L53*1.04</f>
        <v>112.4864</v>
      </c>
      <c r="Q53" s="196">
        <f>'Program Budget'!R573</f>
        <v>0</v>
      </c>
      <c r="R53" s="197">
        <v>0</v>
      </c>
      <c r="S53" s="198">
        <f>P53*Q53*R53</f>
        <v>0</v>
      </c>
      <c r="T53" s="333">
        <f>C53+G53+K53+O53+S53</f>
        <v>0</v>
      </c>
      <c r="U53" s="201"/>
      <c r="V53" s="188"/>
      <c r="W53" s="202"/>
      <c r="X53" s="202"/>
      <c r="AB53" s="163">
        <v>180</v>
      </c>
      <c r="AC53" s="203" t="s">
        <v>547</v>
      </c>
      <c r="AD53" s="203" t="s">
        <v>548</v>
      </c>
      <c r="AE53" s="204"/>
      <c r="AG53" s="205"/>
    </row>
    <row r="54" spans="1:33" ht="15" customHeight="1" outlineLevel="1">
      <c r="A54" s="193" t="str">
        <f>'Program Budget'!D576</f>
        <v>Student Local Transportation -Bogota -Business Plan Presentation to ANDEAN</v>
      </c>
      <c r="B54" s="194" t="str">
        <f>'Program Budget'!F576</f>
        <v>Trip</v>
      </c>
      <c r="C54" s="198">
        <f>'Program Budget'!E576</f>
        <v>0</v>
      </c>
      <c r="D54" s="195">
        <f>'Program Budget'!G576</f>
        <v>100</v>
      </c>
      <c r="E54" s="196">
        <f>'Program Budget'!I576</f>
        <v>0</v>
      </c>
      <c r="F54" s="197">
        <v>0</v>
      </c>
      <c r="G54" s="198">
        <f>D54*E54*F54</f>
        <v>0</v>
      </c>
      <c r="H54" s="195">
        <f t="shared" ref="H54:H55" si="23">D54*1.04</f>
        <v>104</v>
      </c>
      <c r="I54" s="196">
        <f>'Program Budget'!L576</f>
        <v>0</v>
      </c>
      <c r="J54" s="197">
        <v>0</v>
      </c>
      <c r="K54" s="198">
        <f>H54*I54*J54</f>
        <v>0</v>
      </c>
      <c r="L54" s="195">
        <f t="shared" ref="L54:L55" si="24">H54*1.04</f>
        <v>108.16</v>
      </c>
      <c r="M54" s="196">
        <f>'Program Budget'!O576</f>
        <v>0</v>
      </c>
      <c r="N54" s="197">
        <v>0</v>
      </c>
      <c r="O54" s="198">
        <f>L54*M54*N54</f>
        <v>0</v>
      </c>
      <c r="P54" s="195">
        <f t="shared" ref="P54:P55" si="25">L54*1.04</f>
        <v>112.4864</v>
      </c>
      <c r="Q54" s="196">
        <f>'Program Budget'!R576</f>
        <v>0</v>
      </c>
      <c r="R54" s="197">
        <v>0</v>
      </c>
      <c r="S54" s="198">
        <f>P54*Q54*R54</f>
        <v>0</v>
      </c>
      <c r="T54" s="333">
        <f>C54+G54+K54+O54+S54</f>
        <v>0</v>
      </c>
      <c r="U54" s="201"/>
      <c r="V54" s="188"/>
      <c r="W54" s="202"/>
      <c r="X54" s="202"/>
      <c r="AB54" s="163"/>
      <c r="AC54" s="203"/>
      <c r="AD54" s="203"/>
      <c r="AE54" s="204"/>
      <c r="AG54" s="205"/>
    </row>
    <row r="55" spans="1:33" ht="15" customHeight="1" outlineLevel="1">
      <c r="A55" s="193" t="str">
        <f>'Program Budget'!D581</f>
        <v>Local Transportation for Young Agriculture Entrepreneur International Exchange</v>
      </c>
      <c r="B55" s="194" t="str">
        <f>'Program Budget'!F581</f>
        <v>Day</v>
      </c>
      <c r="C55" s="198">
        <f>'Program Budget'!E581</f>
        <v>4511.6899999999996</v>
      </c>
      <c r="D55" s="195">
        <f>'Program Budget'!G581</f>
        <v>25</v>
      </c>
      <c r="E55" s="196">
        <f>'Program Budget'!I581</f>
        <v>154</v>
      </c>
      <c r="F55" s="197">
        <v>1</v>
      </c>
      <c r="G55" s="198">
        <f>D55*E55*F55</f>
        <v>3850</v>
      </c>
      <c r="H55" s="195">
        <f t="shared" si="23"/>
        <v>26</v>
      </c>
      <c r="I55" s="196">
        <f>'Program Budget'!L581</f>
        <v>0</v>
      </c>
      <c r="J55" s="197">
        <v>0</v>
      </c>
      <c r="K55" s="198">
        <f>H55*I55*J55</f>
        <v>0</v>
      </c>
      <c r="L55" s="195">
        <f t="shared" si="24"/>
        <v>27.04</v>
      </c>
      <c r="M55" s="196">
        <f>'Program Budget'!O581</f>
        <v>0</v>
      </c>
      <c r="N55" s="197">
        <v>0</v>
      </c>
      <c r="O55" s="198">
        <f>L55*M55*N55</f>
        <v>0</v>
      </c>
      <c r="P55" s="195">
        <f t="shared" si="25"/>
        <v>28.121600000000001</v>
      </c>
      <c r="Q55" s="196">
        <f>'Program Budget'!R581</f>
        <v>0</v>
      </c>
      <c r="R55" s="197">
        <v>0</v>
      </c>
      <c r="S55" s="198">
        <f>P55*Q55*R55</f>
        <v>0</v>
      </c>
      <c r="T55" s="333">
        <f>C55+G55+K55+O55+S55</f>
        <v>8361.6899999999987</v>
      </c>
      <c r="U55" s="201"/>
      <c r="V55" s="188"/>
      <c r="W55" s="202"/>
      <c r="X55" s="202"/>
      <c r="AB55" s="163"/>
      <c r="AC55" s="203"/>
      <c r="AD55" s="203"/>
      <c r="AE55" s="204"/>
      <c r="AG55" s="205"/>
    </row>
    <row r="56" spans="1:33" s="260" customFormat="1" ht="15.6" outlineLevel="1">
      <c r="A56" s="190" t="s">
        <v>525</v>
      </c>
      <c r="B56" s="216"/>
      <c r="C56" s="198"/>
      <c r="D56" s="158"/>
      <c r="E56" s="159"/>
      <c r="F56" s="161"/>
      <c r="G56" s="198"/>
      <c r="H56" s="158"/>
      <c r="I56" s="159"/>
      <c r="J56" s="160"/>
      <c r="K56" s="198"/>
      <c r="L56" s="158"/>
      <c r="M56" s="159"/>
      <c r="N56" s="161"/>
      <c r="O56" s="198"/>
      <c r="P56" s="158"/>
      <c r="Q56" s="159"/>
      <c r="R56" s="161"/>
      <c r="S56" s="198"/>
      <c r="T56" s="333"/>
      <c r="U56" s="157"/>
      <c r="V56" s="157"/>
      <c r="W56" s="157"/>
      <c r="X56" s="157"/>
      <c r="Y56" s="157"/>
      <c r="Z56" s="157"/>
      <c r="AA56" s="157"/>
      <c r="AB56" s="163"/>
      <c r="AC56" s="203"/>
      <c r="AD56" s="203"/>
      <c r="AE56" s="259"/>
      <c r="AG56" s="157"/>
    </row>
    <row r="57" spans="1:33" ht="15" customHeight="1" outlineLevel="1">
      <c r="A57" s="193" t="str">
        <f>'Program Budget'!D574</f>
        <v>Student Lodging and M&amp;IE - Bogota - Business Plan Presentation to RCP</v>
      </c>
      <c r="B57" s="194" t="str">
        <f>'Program Budget'!F574</f>
        <v>Day</v>
      </c>
      <c r="C57" s="198">
        <f>'Program Budget'!E574</f>
        <v>3864.88</v>
      </c>
      <c r="D57" s="195">
        <f>'Program Budget'!G574</f>
        <v>100</v>
      </c>
      <c r="E57" s="196">
        <f>'Program Budget'!I574</f>
        <v>0</v>
      </c>
      <c r="F57" s="197">
        <v>0</v>
      </c>
      <c r="G57" s="198">
        <f>D57*E57*F57</f>
        <v>0</v>
      </c>
      <c r="H57" s="195">
        <f t="shared" ref="H57:H59" si="26">D57*1.04</f>
        <v>104</v>
      </c>
      <c r="I57" s="196">
        <f>'Program Budget'!L574</f>
        <v>0</v>
      </c>
      <c r="J57" s="197">
        <v>0</v>
      </c>
      <c r="K57" s="198">
        <f>H57*I57*J57</f>
        <v>0</v>
      </c>
      <c r="L57" s="195">
        <f t="shared" ref="L57:L59" si="27">H57*1.04</f>
        <v>108.16</v>
      </c>
      <c r="M57" s="196">
        <f>'Program Budget'!O574</f>
        <v>0</v>
      </c>
      <c r="N57" s="197">
        <v>0</v>
      </c>
      <c r="O57" s="198">
        <f>L57*M57*N57</f>
        <v>0</v>
      </c>
      <c r="P57" s="195">
        <f t="shared" ref="P57:P58" si="28">L57*1.04</f>
        <v>112.4864</v>
      </c>
      <c r="Q57" s="196">
        <f>'Program Budget'!R574</f>
        <v>0</v>
      </c>
      <c r="R57" s="197">
        <v>0</v>
      </c>
      <c r="S57" s="198">
        <f>P57*Q57*R57</f>
        <v>0</v>
      </c>
      <c r="T57" s="333">
        <f>C57+G57+K57+O57+S57</f>
        <v>3864.88</v>
      </c>
      <c r="U57" s="201"/>
      <c r="V57" s="188"/>
      <c r="W57" s="202"/>
      <c r="X57" s="202"/>
      <c r="AB57" s="163">
        <v>180</v>
      </c>
      <c r="AC57" s="203" t="s">
        <v>547</v>
      </c>
      <c r="AD57" s="203" t="s">
        <v>548</v>
      </c>
      <c r="AE57" s="204"/>
      <c r="AG57" s="205"/>
    </row>
    <row r="58" spans="1:33" ht="15" customHeight="1" outlineLevel="1">
      <c r="A58" s="193" t="str">
        <f>'Program Budget'!D580</f>
        <v>Lodging M&amp;IE for Young Agriculture Entrepreneur International Exchange</v>
      </c>
      <c r="B58" s="194" t="str">
        <f>'Program Budget'!F580</f>
        <v>Day</v>
      </c>
      <c r="C58" s="198">
        <f>'Program Budget'!E580</f>
        <v>19247.39</v>
      </c>
      <c r="D58" s="195">
        <f>'Program Budget'!G580</f>
        <v>100</v>
      </c>
      <c r="E58" s="196">
        <f>'Program Budget'!I580</f>
        <v>154</v>
      </c>
      <c r="F58" s="197">
        <v>1</v>
      </c>
      <c r="G58" s="198">
        <f>D58*E58*F58</f>
        <v>15400</v>
      </c>
      <c r="H58" s="195">
        <f t="shared" si="26"/>
        <v>104</v>
      </c>
      <c r="I58" s="196">
        <f>'Program Budget'!L580</f>
        <v>0</v>
      </c>
      <c r="J58" s="197">
        <v>0</v>
      </c>
      <c r="K58" s="198">
        <f>H58*I58*J58</f>
        <v>0</v>
      </c>
      <c r="L58" s="195">
        <f t="shared" si="27"/>
        <v>108.16</v>
      </c>
      <c r="M58" s="196">
        <f>'Program Budget'!O580</f>
        <v>0</v>
      </c>
      <c r="N58" s="197">
        <v>0</v>
      </c>
      <c r="O58" s="198">
        <f>L58*M58*N58</f>
        <v>0</v>
      </c>
      <c r="P58" s="195">
        <f t="shared" si="28"/>
        <v>112.4864</v>
      </c>
      <c r="Q58" s="196">
        <f>'Program Budget'!R580</f>
        <v>0</v>
      </c>
      <c r="R58" s="197">
        <v>0</v>
      </c>
      <c r="S58" s="198">
        <f>P58*Q58*R58</f>
        <v>0</v>
      </c>
      <c r="T58" s="333">
        <f>C58+G58+K58+O58+S58</f>
        <v>34647.39</v>
      </c>
      <c r="U58" s="201"/>
      <c r="V58" s="188"/>
      <c r="W58" s="202"/>
      <c r="X58" s="202"/>
      <c r="AB58" s="163"/>
      <c r="AC58" s="203"/>
      <c r="AD58" s="203"/>
      <c r="AE58" s="204"/>
      <c r="AG58" s="205"/>
    </row>
    <row r="59" spans="1:33" ht="15" customHeight="1" outlineLevel="1">
      <c r="A59" s="193" t="str">
        <f>'Program Budget'!D582</f>
        <v>Other Travel Related Expenses for Young Agriculture Entrepreneur International Exchange</v>
      </c>
      <c r="B59" s="194" t="str">
        <f>'Program Budget'!F582</f>
        <v>Trip</v>
      </c>
      <c r="C59" s="198">
        <f>'Program Budget'!E582</f>
        <v>919.07</v>
      </c>
      <c r="D59" s="195">
        <f>'Program Budget'!G582</f>
        <v>25</v>
      </c>
      <c r="E59" s="196">
        <f>'Program Budget'!I582</f>
        <v>11</v>
      </c>
      <c r="F59" s="197">
        <v>1</v>
      </c>
      <c r="G59" s="198">
        <f>D59*E59*F59</f>
        <v>275</v>
      </c>
      <c r="H59" s="195">
        <f t="shared" si="26"/>
        <v>26</v>
      </c>
      <c r="I59" s="196">
        <f>'Program Budget'!L582</f>
        <v>0</v>
      </c>
      <c r="J59" s="197">
        <v>0</v>
      </c>
      <c r="K59" s="198">
        <f>H59*I59*J59</f>
        <v>0</v>
      </c>
      <c r="L59" s="195">
        <f t="shared" si="27"/>
        <v>27.04</v>
      </c>
      <c r="M59" s="196">
        <f>'Program Budget'!O582</f>
        <v>0</v>
      </c>
      <c r="N59" s="197">
        <v>0</v>
      </c>
      <c r="O59" s="198">
        <f>L59*M59*N59</f>
        <v>0</v>
      </c>
      <c r="P59" s="195">
        <f>L59*1.04</f>
        <v>28.121600000000001</v>
      </c>
      <c r="Q59" s="196">
        <f>'Program Budget'!R582</f>
        <v>0</v>
      </c>
      <c r="R59" s="197">
        <v>0</v>
      </c>
      <c r="S59" s="198">
        <f>P59*Q59*R59</f>
        <v>0</v>
      </c>
      <c r="T59" s="333">
        <f>C59+G59+K59+O59+S59</f>
        <v>1194.0700000000002</v>
      </c>
      <c r="U59" s="201"/>
      <c r="V59" s="188"/>
      <c r="W59" s="202"/>
      <c r="X59" s="202"/>
      <c r="AB59" s="163"/>
      <c r="AC59" s="203"/>
      <c r="AD59" s="203"/>
      <c r="AE59" s="204"/>
      <c r="AG59" s="205"/>
    </row>
    <row r="60" spans="1:33" outlineLevel="1">
      <c r="A60" s="325"/>
      <c r="B60" s="216"/>
      <c r="C60" s="198"/>
      <c r="G60" s="198"/>
      <c r="K60" s="198"/>
      <c r="O60" s="198"/>
      <c r="S60" s="198"/>
      <c r="T60" s="200"/>
      <c r="AB60" s="163"/>
      <c r="AC60" s="203"/>
      <c r="AD60" s="203"/>
    </row>
    <row r="61" spans="1:33" ht="18.3">
      <c r="A61" s="261" t="s">
        <v>526</v>
      </c>
      <c r="B61" s="227"/>
      <c r="C61" s="231">
        <f>SUM(C51:C60)</f>
        <v>47604.2</v>
      </c>
      <c r="D61" s="228"/>
      <c r="E61" s="262"/>
      <c r="F61" s="232"/>
      <c r="G61" s="231">
        <f>SUM(G51:G60)</f>
        <v>41525</v>
      </c>
      <c r="H61" s="228"/>
      <c r="I61" s="262"/>
      <c r="J61" s="263"/>
      <c r="K61" s="231">
        <f>SUM(K51:K60)</f>
        <v>0</v>
      </c>
      <c r="L61" s="228"/>
      <c r="M61" s="262"/>
      <c r="N61" s="232"/>
      <c r="O61" s="231">
        <f>SUM(O51:O60)</f>
        <v>0</v>
      </c>
      <c r="P61" s="228"/>
      <c r="Q61" s="262"/>
      <c r="R61" s="232"/>
      <c r="S61" s="231">
        <f>SUM(S51:S60)</f>
        <v>0</v>
      </c>
      <c r="T61" s="231">
        <f>SUM(T51:T60)</f>
        <v>89129.200000000012</v>
      </c>
      <c r="U61" s="163"/>
      <c r="V61" s="163"/>
      <c r="W61" s="163"/>
      <c r="X61" s="163"/>
      <c r="Y61" s="163"/>
      <c r="AB61" s="163"/>
      <c r="AC61" s="189"/>
      <c r="AD61" s="189" t="s">
        <v>549</v>
      </c>
      <c r="AE61" s="189"/>
    </row>
    <row r="62" spans="1:33" ht="15.6" outlineLevel="1">
      <c r="A62" s="190" t="s">
        <v>55</v>
      </c>
      <c r="B62" s="264"/>
      <c r="C62" s="248"/>
      <c r="E62" s="265"/>
      <c r="F62" s="267"/>
      <c r="G62" s="221"/>
      <c r="I62" s="265"/>
      <c r="J62" s="266"/>
      <c r="K62" s="221"/>
      <c r="M62" s="265"/>
      <c r="N62" s="267"/>
      <c r="O62" s="221"/>
      <c r="Q62" s="265"/>
      <c r="R62" s="267"/>
      <c r="S62" s="221"/>
      <c r="T62" s="200"/>
      <c r="AB62" s="163"/>
      <c r="AC62" s="203"/>
      <c r="AD62" s="268"/>
    </row>
    <row r="63" spans="1:33" ht="15.6" outlineLevel="1">
      <c r="A63" s="269" t="str">
        <f>'Program Budget'!D561</f>
        <v>Youth Logistics/Travel Coordinator Consultant</v>
      </c>
      <c r="B63" s="194" t="str">
        <f>'Program Budget'!F561</f>
        <v>Month</v>
      </c>
      <c r="C63" s="198">
        <f>'Program Budget'!E561</f>
        <v>526.33000000000004</v>
      </c>
      <c r="D63" s="195">
        <f>'Program Budget'!G561</f>
        <v>3750</v>
      </c>
      <c r="E63" s="196">
        <f>'Program Budget'!I561</f>
        <v>2</v>
      </c>
      <c r="F63" s="197">
        <v>1</v>
      </c>
      <c r="G63" s="198">
        <f>D63*E63*F63</f>
        <v>7500</v>
      </c>
      <c r="H63" s="195">
        <f>D63</f>
        <v>3750</v>
      </c>
      <c r="I63" s="196">
        <f>'Program Budget'!L561</f>
        <v>0</v>
      </c>
      <c r="J63" s="197">
        <v>0</v>
      </c>
      <c r="K63" s="198">
        <f>H63*I63*J63</f>
        <v>0</v>
      </c>
      <c r="L63" s="195">
        <f>H63</f>
        <v>3750</v>
      </c>
      <c r="M63" s="196">
        <f>'Program Budget'!O561</f>
        <v>0</v>
      </c>
      <c r="N63" s="197">
        <v>0</v>
      </c>
      <c r="O63" s="198">
        <f>L63*M63*N63</f>
        <v>0</v>
      </c>
      <c r="P63" s="195">
        <f>L63</f>
        <v>3750</v>
      </c>
      <c r="Q63" s="196">
        <f>'Program Budget'!R561</f>
        <v>0</v>
      </c>
      <c r="R63" s="197">
        <v>0</v>
      </c>
      <c r="S63" s="198">
        <f>P63*Q63*R63</f>
        <v>0</v>
      </c>
      <c r="T63" s="333">
        <f>C63+G63+K63+O63+S63</f>
        <v>8026.33</v>
      </c>
      <c r="AB63" s="163"/>
      <c r="AC63" s="203"/>
      <c r="AD63" s="268"/>
    </row>
    <row r="64" spans="1:33" ht="15.6" outlineLevel="1">
      <c r="A64" s="269" t="str">
        <f>'Program Budget'!D562</f>
        <v>New Partnerships with Youth Organizations/Networks/Youth Incubators</v>
      </c>
      <c r="B64" s="194" t="str">
        <f>'Program Budget'!F562</f>
        <v>Contract</v>
      </c>
      <c r="C64" s="198">
        <f>'Program Budget'!E562</f>
        <v>38063.69</v>
      </c>
      <c r="D64" s="195">
        <f>'Program Budget'!G562</f>
        <v>52369</v>
      </c>
      <c r="E64" s="196">
        <f>'Program Budget'!I562</f>
        <v>1</v>
      </c>
      <c r="F64" s="197">
        <v>1</v>
      </c>
      <c r="G64" s="198">
        <f>D64*E64*F64</f>
        <v>52369</v>
      </c>
      <c r="H64" s="195">
        <f>D64</f>
        <v>52369</v>
      </c>
      <c r="I64" s="196">
        <f>'Program Budget'!L562</f>
        <v>0</v>
      </c>
      <c r="J64" s="197">
        <v>0</v>
      </c>
      <c r="K64" s="198">
        <f>H64*I64*J64</f>
        <v>0</v>
      </c>
      <c r="L64" s="195">
        <f>H64</f>
        <v>52369</v>
      </c>
      <c r="M64" s="196">
        <f>'Program Budget'!O562</f>
        <v>0</v>
      </c>
      <c r="N64" s="197">
        <v>0</v>
      </c>
      <c r="O64" s="198">
        <f>L64*M64*N64</f>
        <v>0</v>
      </c>
      <c r="P64" s="195">
        <f>L64</f>
        <v>52369</v>
      </c>
      <c r="Q64" s="196">
        <f>'Program Budget'!R562</f>
        <v>0</v>
      </c>
      <c r="R64" s="197">
        <v>0</v>
      </c>
      <c r="S64" s="198">
        <f>P64*Q64*R64</f>
        <v>0</v>
      </c>
      <c r="T64" s="333">
        <f>C64+G64+K64+O64+S64</f>
        <v>90432.69</v>
      </c>
      <c r="AB64" s="163"/>
      <c r="AC64" s="203"/>
      <c r="AD64" s="268"/>
    </row>
    <row r="65" spans="1:30" outlineLevel="1">
      <c r="A65" s="326"/>
      <c r="B65" s="216"/>
      <c r="C65" s="198"/>
      <c r="D65" s="270"/>
      <c r="E65" s="271"/>
      <c r="F65" s="160"/>
      <c r="G65" s="198"/>
      <c r="H65" s="270"/>
      <c r="I65" s="271"/>
      <c r="K65" s="198"/>
      <c r="L65" s="270"/>
      <c r="M65" s="271"/>
      <c r="N65" s="160"/>
      <c r="O65" s="198"/>
      <c r="P65" s="270"/>
      <c r="Q65" s="271"/>
      <c r="R65" s="160"/>
      <c r="S65" s="198"/>
      <c r="T65" s="272"/>
      <c r="AB65" s="163"/>
      <c r="AC65" s="203"/>
      <c r="AD65" s="268"/>
    </row>
    <row r="66" spans="1:30" ht="18.3" outlineLevel="1">
      <c r="A66" s="261" t="s">
        <v>527</v>
      </c>
      <c r="B66" s="227"/>
      <c r="C66" s="231">
        <f>SUM(C63:C65)</f>
        <v>38590.020000000004</v>
      </c>
      <c r="D66" s="228"/>
      <c r="E66" s="262"/>
      <c r="F66" s="232"/>
      <c r="G66" s="231">
        <f>SUM(G63:G65)</f>
        <v>59869</v>
      </c>
      <c r="H66" s="228"/>
      <c r="I66" s="262"/>
      <c r="J66" s="263"/>
      <c r="K66" s="231">
        <f>SUM(K63:K65)</f>
        <v>0</v>
      </c>
      <c r="L66" s="228"/>
      <c r="M66" s="262"/>
      <c r="N66" s="232"/>
      <c r="O66" s="231">
        <f>SUM(O63:O65)</f>
        <v>0</v>
      </c>
      <c r="P66" s="228"/>
      <c r="Q66" s="262"/>
      <c r="R66" s="232"/>
      <c r="S66" s="231">
        <f>SUM(S63:S65)</f>
        <v>0</v>
      </c>
      <c r="T66" s="233">
        <f>+C66+G66+K66+O66+S66</f>
        <v>98459.02</v>
      </c>
      <c r="AB66" s="163"/>
      <c r="AC66" s="203"/>
      <c r="AD66" s="268"/>
    </row>
    <row r="67" spans="1:30" ht="15.6" outlineLevel="1">
      <c r="A67" s="190" t="s">
        <v>528</v>
      </c>
      <c r="B67" s="273"/>
      <c r="C67" s="198"/>
      <c r="E67" s="265"/>
      <c r="G67" s="200"/>
      <c r="I67" s="265"/>
      <c r="K67" s="200"/>
      <c r="M67" s="265"/>
      <c r="O67" s="200"/>
      <c r="Q67" s="265"/>
      <c r="S67" s="200"/>
      <c r="T67" s="200"/>
      <c r="AB67" s="163"/>
    </row>
    <row r="68" spans="1:30" outlineLevel="1">
      <c r="A68" s="193" t="s">
        <v>458</v>
      </c>
      <c r="B68" s="216"/>
      <c r="C68" s="198">
        <v>0</v>
      </c>
      <c r="E68" s="274"/>
      <c r="F68" s="160"/>
      <c r="G68" s="198">
        <f t="shared" ref="G68" si="29">D68*E68*F68</f>
        <v>0</v>
      </c>
      <c r="I68" s="274"/>
      <c r="K68" s="198">
        <f t="shared" ref="K68" si="30">H68*I68*J68</f>
        <v>0</v>
      </c>
      <c r="M68" s="274"/>
      <c r="N68" s="160"/>
      <c r="O68" s="198">
        <f t="shared" ref="O68" si="31">L68*M68*N68</f>
        <v>0</v>
      </c>
      <c r="Q68" s="274"/>
      <c r="R68" s="160"/>
      <c r="S68" s="198">
        <f t="shared" ref="S68" si="32">P68*Q68*R68</f>
        <v>0</v>
      </c>
      <c r="T68" s="200">
        <f t="shared" ref="T68" si="33">C68+G68+K68+O68+S68</f>
        <v>0</v>
      </c>
      <c r="AB68" s="163">
        <v>298</v>
      </c>
      <c r="AC68" s="203" t="s">
        <v>577</v>
      </c>
      <c r="AD68" s="203" t="s">
        <v>578</v>
      </c>
    </row>
    <row r="69" spans="1:30" outlineLevel="1">
      <c r="A69" s="193"/>
      <c r="B69" s="216"/>
      <c r="C69" s="198"/>
      <c r="E69" s="274"/>
      <c r="F69" s="160"/>
      <c r="G69" s="198"/>
      <c r="I69" s="274"/>
      <c r="K69" s="198"/>
      <c r="M69" s="274"/>
      <c r="N69" s="160"/>
      <c r="O69" s="198"/>
      <c r="Q69" s="274"/>
      <c r="R69" s="160"/>
      <c r="S69" s="198"/>
      <c r="T69" s="200"/>
      <c r="AB69" s="163"/>
      <c r="AC69" s="203"/>
      <c r="AD69" s="203"/>
    </row>
    <row r="70" spans="1:30" ht="18.3" outlineLevel="1">
      <c r="A70" s="261" t="s">
        <v>529</v>
      </c>
      <c r="B70" s="227"/>
      <c r="C70" s="231">
        <f>SUM(C68:C69)</f>
        <v>0</v>
      </c>
      <c r="D70" s="228"/>
      <c r="E70" s="262"/>
      <c r="F70" s="232"/>
      <c r="G70" s="231">
        <f>SUM(G68:G69)</f>
        <v>0</v>
      </c>
      <c r="H70" s="228"/>
      <c r="I70" s="262"/>
      <c r="J70" s="263"/>
      <c r="K70" s="231">
        <f>SUM(K68:K69)</f>
        <v>0</v>
      </c>
      <c r="L70" s="228"/>
      <c r="M70" s="262"/>
      <c r="N70" s="232"/>
      <c r="O70" s="231">
        <f>SUM(O68:O69)</f>
        <v>0</v>
      </c>
      <c r="P70" s="228"/>
      <c r="Q70" s="262"/>
      <c r="R70" s="232"/>
      <c r="S70" s="231">
        <f>SUM(S68:S69)</f>
        <v>0</v>
      </c>
      <c r="T70" s="233">
        <f>+C70+G70+K70+O70+S70</f>
        <v>0</v>
      </c>
      <c r="AB70" s="163"/>
      <c r="AC70" s="203"/>
      <c r="AD70" s="268"/>
    </row>
    <row r="71" spans="1:30" ht="15.6" outlineLevel="1">
      <c r="A71" s="190" t="s">
        <v>33</v>
      </c>
      <c r="B71" s="216"/>
      <c r="C71" s="198"/>
      <c r="E71" s="265"/>
      <c r="F71" s="160"/>
      <c r="G71" s="198"/>
      <c r="I71" s="265"/>
      <c r="K71" s="198"/>
      <c r="M71" s="265"/>
      <c r="N71" s="160"/>
      <c r="O71" s="198"/>
      <c r="Q71" s="265"/>
      <c r="R71" s="160"/>
      <c r="S71" s="198"/>
      <c r="T71" s="200"/>
      <c r="AB71" s="163"/>
      <c r="AC71" s="203"/>
      <c r="AD71" s="203"/>
    </row>
    <row r="72" spans="1:30" outlineLevel="1">
      <c r="A72" s="193" t="s">
        <v>458</v>
      </c>
      <c r="B72" s="216"/>
      <c r="C72" s="198"/>
      <c r="E72" s="265"/>
      <c r="F72" s="160"/>
      <c r="G72" s="198"/>
      <c r="I72" s="265"/>
      <c r="K72" s="198"/>
      <c r="M72" s="265"/>
      <c r="N72" s="160"/>
      <c r="O72" s="198"/>
      <c r="Q72" s="265"/>
      <c r="R72" s="160"/>
      <c r="S72" s="198"/>
      <c r="T72" s="200"/>
      <c r="AB72" s="163"/>
      <c r="AC72" s="203"/>
      <c r="AD72" s="203"/>
    </row>
    <row r="73" spans="1:30" ht="18.3" outlineLevel="1">
      <c r="A73" s="261" t="s">
        <v>530</v>
      </c>
      <c r="B73" s="227"/>
      <c r="C73" s="231">
        <f>SUM(C69:C69)</f>
        <v>0</v>
      </c>
      <c r="D73" s="228"/>
      <c r="E73" s="262"/>
      <c r="F73" s="232"/>
      <c r="G73" s="231">
        <f>SUM(G69:G69)</f>
        <v>0</v>
      </c>
      <c r="H73" s="228"/>
      <c r="I73" s="262"/>
      <c r="J73" s="263"/>
      <c r="K73" s="231">
        <f>SUM(K69:K69)</f>
        <v>0</v>
      </c>
      <c r="L73" s="228"/>
      <c r="M73" s="262"/>
      <c r="N73" s="232"/>
      <c r="O73" s="231">
        <f>SUM(O69:O69)</f>
        <v>0</v>
      </c>
      <c r="P73" s="228"/>
      <c r="Q73" s="262"/>
      <c r="R73" s="232"/>
      <c r="S73" s="231">
        <f>SUM(S69:S69)</f>
        <v>0</v>
      </c>
      <c r="T73" s="233">
        <f>+C73+G73+K73+O73+S73</f>
        <v>0</v>
      </c>
      <c r="AB73" s="163">
        <v>236</v>
      </c>
      <c r="AC73" s="203" t="s">
        <v>566</v>
      </c>
      <c r="AD73" s="268" t="s">
        <v>567</v>
      </c>
    </row>
    <row r="74" spans="1:30" ht="15.6" outlineLevel="1">
      <c r="A74" s="190" t="s">
        <v>34</v>
      </c>
      <c r="B74" s="264"/>
      <c r="C74" s="248"/>
      <c r="E74" s="265"/>
      <c r="F74" s="267"/>
      <c r="G74" s="221"/>
      <c r="I74" s="265"/>
      <c r="J74" s="266"/>
      <c r="K74" s="221"/>
      <c r="M74" s="265"/>
      <c r="N74" s="267"/>
      <c r="O74" s="221"/>
      <c r="Q74" s="265"/>
      <c r="R74" s="267"/>
      <c r="S74" s="221"/>
      <c r="T74" s="200"/>
      <c r="AB74" s="163">
        <v>236</v>
      </c>
      <c r="AC74" s="203" t="s">
        <v>566</v>
      </c>
      <c r="AD74" s="268" t="s">
        <v>567</v>
      </c>
    </row>
    <row r="75" spans="1:30" ht="15.6" outlineLevel="1">
      <c r="A75" s="269" t="str">
        <f>'Program Budget'!D566</f>
        <v>Pre-Trip Orientation for Young Agriculture Entrepreneur (Room Rental &amp; Food)</v>
      </c>
      <c r="B75" s="194" t="str">
        <f>'Program Budget'!F566</f>
        <v>Day</v>
      </c>
      <c r="C75" s="198">
        <f>'Program Budget'!E566</f>
        <v>2300</v>
      </c>
      <c r="D75" s="195">
        <f>'Program Budget'!G566</f>
        <v>400</v>
      </c>
      <c r="E75" s="196">
        <f>'Program Budget'!I566</f>
        <v>2</v>
      </c>
      <c r="F75" s="197">
        <v>1</v>
      </c>
      <c r="G75" s="198">
        <f>D75*E75*F75</f>
        <v>800</v>
      </c>
      <c r="H75" s="195">
        <f>D75</f>
        <v>400</v>
      </c>
      <c r="I75" s="196">
        <f>'Program Budget'!L566</f>
        <v>0</v>
      </c>
      <c r="J75" s="197">
        <v>0</v>
      </c>
      <c r="K75" s="198">
        <f>H75*I75*J75</f>
        <v>0</v>
      </c>
      <c r="L75" s="195">
        <f>H75</f>
        <v>400</v>
      </c>
      <c r="M75" s="196">
        <f>'Program Budget'!O566</f>
        <v>0</v>
      </c>
      <c r="N75" s="197">
        <v>0</v>
      </c>
      <c r="O75" s="198">
        <f>L75*M75*N75</f>
        <v>0</v>
      </c>
      <c r="P75" s="195">
        <f>L75</f>
        <v>400</v>
      </c>
      <c r="Q75" s="196">
        <f>'Program Budget'!R566</f>
        <v>0</v>
      </c>
      <c r="R75" s="197">
        <v>0</v>
      </c>
      <c r="S75" s="198">
        <f>P75*Q75*R75</f>
        <v>0</v>
      </c>
      <c r="T75" s="333">
        <f>C75+G75+K75+O75+S75</f>
        <v>3100</v>
      </c>
      <c r="AB75" s="163"/>
      <c r="AC75" s="203"/>
      <c r="AD75" s="268"/>
    </row>
    <row r="76" spans="1:30" ht="15.6" outlineLevel="1">
      <c r="A76" s="269" t="str">
        <f>'Program Budget'!D567</f>
        <v>Post-Trip Debrief for Young Agriculture Entrepreneur (Room Rental &amp; Food)</v>
      </c>
      <c r="B76" s="194" t="str">
        <f>'Program Budget'!F567</f>
        <v>Day</v>
      </c>
      <c r="C76" s="198">
        <f>'Program Budget'!E567</f>
        <v>2300</v>
      </c>
      <c r="D76" s="195">
        <f>'Program Budget'!G567</f>
        <v>400</v>
      </c>
      <c r="E76" s="196">
        <f>'Program Budget'!I567</f>
        <v>4</v>
      </c>
      <c r="F76" s="197">
        <v>1</v>
      </c>
      <c r="G76" s="198">
        <f>D76*E76*F76</f>
        <v>1600</v>
      </c>
      <c r="H76" s="195">
        <f>D76</f>
        <v>400</v>
      </c>
      <c r="I76" s="196">
        <f>'Program Budget'!L567</f>
        <v>0</v>
      </c>
      <c r="J76" s="197">
        <v>0</v>
      </c>
      <c r="K76" s="198">
        <f>H76*I76*J76</f>
        <v>0</v>
      </c>
      <c r="L76" s="195">
        <f>H76</f>
        <v>400</v>
      </c>
      <c r="M76" s="196">
        <f>'Program Budget'!O567</f>
        <v>0</v>
      </c>
      <c r="N76" s="197">
        <v>0</v>
      </c>
      <c r="O76" s="198">
        <f>L76*M76*N76</f>
        <v>0</v>
      </c>
      <c r="P76" s="195">
        <f>L76</f>
        <v>400</v>
      </c>
      <c r="Q76" s="196">
        <f>'Program Budget'!R567</f>
        <v>0</v>
      </c>
      <c r="R76" s="197">
        <v>0</v>
      </c>
      <c r="S76" s="198">
        <f>P76*Q76*R76</f>
        <v>0</v>
      </c>
      <c r="T76" s="333">
        <f>C76+G76+K76+O76+S76</f>
        <v>3900</v>
      </c>
      <c r="AB76" s="163"/>
      <c r="AC76" s="203"/>
      <c r="AD76" s="268"/>
    </row>
    <row r="77" spans="1:30" ht="15.6" outlineLevel="1">
      <c r="A77" s="269" t="str">
        <f>'Program Budget'!D568</f>
        <v>Communication &amp; Promotional Fees for Grant RFAs</v>
      </c>
      <c r="B77" s="194" t="str">
        <f>'Program Budget'!F568</f>
        <v>Unit</v>
      </c>
      <c r="C77" s="198">
        <f>'Program Budget'!E568</f>
        <v>3000</v>
      </c>
      <c r="D77" s="195">
        <f>'Program Budget'!G568</f>
        <v>500</v>
      </c>
      <c r="E77" s="196">
        <f>'Program Budget'!I568</f>
        <v>2</v>
      </c>
      <c r="F77" s="197">
        <v>1</v>
      </c>
      <c r="G77" s="198">
        <f>D77*E77*F77</f>
        <v>1000</v>
      </c>
      <c r="H77" s="195">
        <f>D77</f>
        <v>500</v>
      </c>
      <c r="I77" s="196">
        <f>'Program Budget'!L568</f>
        <v>0</v>
      </c>
      <c r="J77" s="197">
        <v>0</v>
      </c>
      <c r="K77" s="198">
        <f>H77*I77*J77</f>
        <v>0</v>
      </c>
      <c r="L77" s="195">
        <f>H77</f>
        <v>500</v>
      </c>
      <c r="M77" s="196">
        <f>'Program Budget'!O568</f>
        <v>0</v>
      </c>
      <c r="N77" s="197">
        <v>0</v>
      </c>
      <c r="O77" s="198">
        <f>L77*M77*N77</f>
        <v>0</v>
      </c>
      <c r="P77" s="195">
        <f>L77</f>
        <v>500</v>
      </c>
      <c r="Q77" s="196">
        <f>'Program Budget'!R568</f>
        <v>0</v>
      </c>
      <c r="R77" s="197">
        <v>0</v>
      </c>
      <c r="S77" s="198">
        <f>P77*Q77*R77</f>
        <v>0</v>
      </c>
      <c r="T77" s="333">
        <f>C77+G77+K77+O77+S77</f>
        <v>4000</v>
      </c>
      <c r="AB77" s="163"/>
      <c r="AC77" s="203"/>
      <c r="AD77" s="268"/>
    </row>
    <row r="78" spans="1:30" outlineLevel="1">
      <c r="A78" s="193"/>
      <c r="B78" s="216"/>
      <c r="C78" s="198"/>
      <c r="E78" s="265"/>
      <c r="F78" s="160"/>
      <c r="G78" s="198"/>
      <c r="I78" s="265"/>
      <c r="K78" s="198"/>
      <c r="M78" s="265"/>
      <c r="N78" s="160"/>
      <c r="O78" s="198"/>
      <c r="Q78" s="265"/>
      <c r="R78" s="160"/>
      <c r="S78" s="198"/>
      <c r="T78" s="200"/>
      <c r="AB78" s="163"/>
      <c r="AC78" s="203"/>
      <c r="AD78" s="203"/>
    </row>
    <row r="79" spans="1:30" ht="18.3" outlineLevel="1">
      <c r="A79" s="261" t="s">
        <v>531</v>
      </c>
      <c r="B79" s="227"/>
      <c r="C79" s="231">
        <f>SUM(C75:C78)</f>
        <v>7600</v>
      </c>
      <c r="D79" s="228"/>
      <c r="E79" s="262"/>
      <c r="F79" s="232"/>
      <c r="G79" s="231">
        <f>SUM(G75:G78)</f>
        <v>3400</v>
      </c>
      <c r="H79" s="228"/>
      <c r="I79" s="262"/>
      <c r="J79" s="263"/>
      <c r="K79" s="231">
        <f>SUM(K75:K78)</f>
        <v>0</v>
      </c>
      <c r="L79" s="228"/>
      <c r="M79" s="262"/>
      <c r="N79" s="232"/>
      <c r="O79" s="231">
        <f>SUM(O75:O78)</f>
        <v>0</v>
      </c>
      <c r="P79" s="228"/>
      <c r="Q79" s="262"/>
      <c r="R79" s="232"/>
      <c r="S79" s="231">
        <f>SUM(S75:S78)</f>
        <v>0</v>
      </c>
      <c r="T79" s="231">
        <f>SUM(T75:T78)</f>
        <v>11000</v>
      </c>
      <c r="AB79" s="163"/>
      <c r="AC79" s="203"/>
      <c r="AD79" s="268"/>
    </row>
    <row r="80" spans="1:30" ht="15.6" outlineLevel="1">
      <c r="A80" s="276" t="s">
        <v>532</v>
      </c>
      <c r="B80" s="216"/>
      <c r="C80" s="248"/>
      <c r="D80" s="277"/>
      <c r="E80" s="278"/>
      <c r="G80" s="221"/>
      <c r="H80" s="277"/>
      <c r="I80" s="278"/>
      <c r="K80" s="221"/>
      <c r="L80" s="277"/>
      <c r="M80" s="278"/>
      <c r="O80" s="221"/>
      <c r="P80" s="277"/>
      <c r="Q80" s="278"/>
      <c r="S80" s="221"/>
      <c r="T80" s="200"/>
      <c r="AB80" s="163"/>
      <c r="AC80" s="203"/>
      <c r="AD80" s="268"/>
    </row>
    <row r="81" spans="1:30" ht="15.6" outlineLevel="1">
      <c r="A81" s="190" t="s">
        <v>249</v>
      </c>
      <c r="B81" s="216"/>
      <c r="C81" s="198"/>
      <c r="D81" s="277"/>
      <c r="E81" s="278"/>
      <c r="F81" s="160"/>
      <c r="G81" s="198"/>
      <c r="H81" s="277"/>
      <c r="I81" s="278"/>
      <c r="K81" s="198"/>
      <c r="L81" s="277"/>
      <c r="M81" s="278"/>
      <c r="N81" s="160"/>
      <c r="O81" s="198"/>
      <c r="P81" s="277"/>
      <c r="Q81" s="278"/>
      <c r="R81" s="160"/>
      <c r="S81" s="198"/>
      <c r="T81" s="200"/>
      <c r="AB81" s="163"/>
      <c r="AC81" s="203"/>
      <c r="AD81" s="268"/>
    </row>
    <row r="82" spans="1:30" ht="15.6" outlineLevel="1">
      <c r="A82" s="269" t="str">
        <f>'Program Budget'!D587</f>
        <v>Niche Cacao and Underutilized Value Chain Market Research Grants</v>
      </c>
      <c r="B82" s="194" t="str">
        <f>'Program Budget'!F587</f>
        <v>Grant</v>
      </c>
      <c r="C82" s="198">
        <f>'Program Budget'!E587</f>
        <v>19300</v>
      </c>
      <c r="D82" s="195">
        <f>'Program Budget'!G587</f>
        <v>10000</v>
      </c>
      <c r="E82" s="196">
        <f>'Program Budget'!I587</f>
        <v>1</v>
      </c>
      <c r="F82" s="197">
        <v>0</v>
      </c>
      <c r="G82" s="198">
        <v>181413</v>
      </c>
      <c r="H82" s="195">
        <f>D82</f>
        <v>10000</v>
      </c>
      <c r="I82" s="196">
        <f>'Program Budget'!L587</f>
        <v>0</v>
      </c>
      <c r="J82" s="197">
        <v>0</v>
      </c>
      <c r="K82" s="198">
        <f t="shared" ref="K82" si="34">H82*I82*J82</f>
        <v>0</v>
      </c>
      <c r="L82" s="195">
        <f>H82</f>
        <v>10000</v>
      </c>
      <c r="M82" s="196">
        <f>'Program Budget'!O587</f>
        <v>0</v>
      </c>
      <c r="N82" s="197">
        <v>0</v>
      </c>
      <c r="O82" s="198">
        <f t="shared" ref="O82" si="35">L82*M82*N82</f>
        <v>0</v>
      </c>
      <c r="P82" s="195">
        <f>L82</f>
        <v>10000</v>
      </c>
      <c r="Q82" s="196">
        <f>'Program Budget'!R587</f>
        <v>0</v>
      </c>
      <c r="R82" s="197">
        <v>0</v>
      </c>
      <c r="S82" s="198">
        <f t="shared" ref="S82" si="36">P82*Q82*R82</f>
        <v>0</v>
      </c>
      <c r="T82" s="333">
        <f t="shared" ref="T82" si="37">C82+G82+K82+O82+S82</f>
        <v>200713</v>
      </c>
      <c r="AB82" s="163"/>
      <c r="AC82" s="203"/>
      <c r="AD82" s="268"/>
    </row>
    <row r="83" spans="1:30" ht="15.6" outlineLevel="1">
      <c r="A83" s="269" t="str">
        <f>'Program Budget'!D588</f>
        <v>Youth Agribusiness Impact Investing Grants</v>
      </c>
      <c r="B83" s="194" t="str">
        <f>'Program Budget'!F588</f>
        <v>Grant</v>
      </c>
      <c r="C83" s="198">
        <f>'Program Budget'!E588</f>
        <v>38000</v>
      </c>
      <c r="D83" s="195">
        <f>'Program Budget'!G588</f>
        <v>30000</v>
      </c>
      <c r="E83" s="196">
        <f>'Program Budget'!I588</f>
        <v>4</v>
      </c>
      <c r="F83" s="197">
        <v>1</v>
      </c>
      <c r="G83" s="198">
        <f t="shared" ref="G83" si="38">D83*E83*F83</f>
        <v>120000</v>
      </c>
      <c r="H83" s="195">
        <f>D83</f>
        <v>30000</v>
      </c>
      <c r="I83" s="196">
        <f>'Program Budget'!L588</f>
        <v>0</v>
      </c>
      <c r="J83" s="197">
        <v>0</v>
      </c>
      <c r="K83" s="198">
        <f t="shared" ref="K83" si="39">H83*I83*J83</f>
        <v>0</v>
      </c>
      <c r="L83" s="195">
        <f>H83</f>
        <v>30000</v>
      </c>
      <c r="M83" s="196">
        <f>'Program Budget'!O588</f>
        <v>0</v>
      </c>
      <c r="N83" s="197">
        <v>0</v>
      </c>
      <c r="O83" s="198">
        <f t="shared" ref="O83" si="40">L83*M83*N83</f>
        <v>0</v>
      </c>
      <c r="P83" s="195">
        <f>L83</f>
        <v>30000</v>
      </c>
      <c r="Q83" s="196">
        <f>'Program Budget'!R588</f>
        <v>0</v>
      </c>
      <c r="R83" s="197">
        <v>0</v>
      </c>
      <c r="S83" s="198">
        <f t="shared" ref="S83" si="41">P83*Q83*R83</f>
        <v>0</v>
      </c>
      <c r="T83" s="333">
        <f t="shared" ref="T83" si="42">C83+G83+K83+O83+S83</f>
        <v>158000</v>
      </c>
      <c r="AB83" s="163"/>
      <c r="AC83" s="203"/>
      <c r="AD83" s="268"/>
    </row>
    <row r="84" spans="1:30" ht="15.6" outlineLevel="1">
      <c r="A84" s="281"/>
      <c r="B84" s="241"/>
      <c r="C84" s="245"/>
      <c r="D84" s="279"/>
      <c r="E84" s="280"/>
      <c r="F84" s="244"/>
      <c r="G84" s="245"/>
      <c r="H84" s="279"/>
      <c r="I84" s="280"/>
      <c r="J84" s="244"/>
      <c r="K84" s="245"/>
      <c r="L84" s="279"/>
      <c r="M84" s="280"/>
      <c r="N84" s="244"/>
      <c r="O84" s="245"/>
      <c r="P84" s="279"/>
      <c r="Q84" s="280"/>
      <c r="R84" s="244"/>
      <c r="S84" s="245"/>
      <c r="T84" s="200"/>
      <c r="AB84" s="163"/>
      <c r="AC84" s="203"/>
      <c r="AD84" s="268"/>
    </row>
    <row r="85" spans="1:30" ht="18.3" outlineLevel="1">
      <c r="A85" s="282" t="s">
        <v>537</v>
      </c>
      <c r="B85" s="227"/>
      <c r="C85" s="254">
        <f>SUM(C81:C83)</f>
        <v>57300</v>
      </c>
      <c r="D85" s="251"/>
      <c r="E85" s="252"/>
      <c r="F85" s="255"/>
      <c r="G85" s="254">
        <f>SUM(G81:G83)</f>
        <v>301413</v>
      </c>
      <c r="H85" s="251"/>
      <c r="I85" s="252"/>
      <c r="J85" s="283"/>
      <c r="K85" s="254">
        <f>SUM(K81:K83)</f>
        <v>0</v>
      </c>
      <c r="L85" s="251"/>
      <c r="M85" s="252"/>
      <c r="N85" s="255"/>
      <c r="O85" s="254">
        <f>SUM(O81:O83)</f>
        <v>0</v>
      </c>
      <c r="P85" s="251"/>
      <c r="Q85" s="252"/>
      <c r="R85" s="255"/>
      <c r="S85" s="254">
        <f>SUM(S81:S83)</f>
        <v>0</v>
      </c>
      <c r="T85" s="233">
        <f>+C85+G85+K85+O85+S85</f>
        <v>358713</v>
      </c>
      <c r="AB85" s="163">
        <v>250</v>
      </c>
      <c r="AC85" s="203" t="s">
        <v>569</v>
      </c>
      <c r="AD85" s="268" t="s">
        <v>570</v>
      </c>
    </row>
    <row r="86" spans="1:30" ht="15.6" outlineLevel="1">
      <c r="A86" s="284"/>
      <c r="B86" s="239"/>
      <c r="C86" s="198"/>
      <c r="D86" s="277"/>
      <c r="E86" s="278"/>
      <c r="G86" s="200"/>
      <c r="H86" s="277"/>
      <c r="I86" s="278"/>
      <c r="K86" s="200"/>
      <c r="L86" s="277"/>
      <c r="M86" s="278"/>
      <c r="O86" s="200"/>
      <c r="P86" s="277"/>
      <c r="Q86" s="278"/>
      <c r="S86" s="200"/>
      <c r="T86" s="200"/>
      <c r="AB86" s="163">
        <v>317</v>
      </c>
      <c r="AC86" s="203" t="s">
        <v>571</v>
      </c>
      <c r="AD86" s="268" t="s">
        <v>572</v>
      </c>
    </row>
    <row r="87" spans="1:30" ht="18.3" outlineLevel="1">
      <c r="A87" s="285" t="s">
        <v>538</v>
      </c>
      <c r="B87" s="286"/>
      <c r="C87" s="290">
        <f>C40+C49+C61+C73+C79+C66+C85+C70</f>
        <v>275001.48000000004</v>
      </c>
      <c r="D87" s="287"/>
      <c r="E87" s="288"/>
      <c r="F87" s="291"/>
      <c r="G87" s="290">
        <f>G40+G49+G61+G73+G79+G66+G85+G70</f>
        <v>544623.33401919995</v>
      </c>
      <c r="H87" s="287"/>
      <c r="I87" s="288"/>
      <c r="J87" s="289"/>
      <c r="K87" s="290">
        <f>K40+K49+K61+K73+K79+K66+K85+K70</f>
        <v>0</v>
      </c>
      <c r="L87" s="287"/>
      <c r="M87" s="288"/>
      <c r="N87" s="291"/>
      <c r="O87" s="290">
        <f>O40+O49+O61+O73+O79+O66+O85+O70</f>
        <v>0</v>
      </c>
      <c r="P87" s="287"/>
      <c r="Q87" s="288"/>
      <c r="R87" s="291"/>
      <c r="S87" s="290">
        <f>S40+S49+S61+S73+S79+S66+S85+S70</f>
        <v>0</v>
      </c>
      <c r="T87" s="290">
        <f>T40+T49+T61+T73+T79+T66+T85+T70</f>
        <v>819624.81401919993</v>
      </c>
      <c r="U87" s="157">
        <f>SUM(G87)</f>
        <v>544623.33401919995</v>
      </c>
      <c r="AB87" s="163">
        <v>318</v>
      </c>
      <c r="AC87" s="203" t="s">
        <v>573</v>
      </c>
      <c r="AD87" s="268" t="s">
        <v>574</v>
      </c>
    </row>
    <row r="88" spans="1:30">
      <c r="A88" s="329"/>
      <c r="B88" s="239"/>
      <c r="C88" s="198"/>
      <c r="D88" s="277"/>
      <c r="E88" s="278"/>
      <c r="G88" s="200"/>
      <c r="H88" s="277"/>
      <c r="I88" s="278"/>
      <c r="K88" s="200"/>
      <c r="L88" s="277"/>
      <c r="M88" s="278"/>
      <c r="O88" s="200"/>
      <c r="P88" s="277"/>
      <c r="Q88" s="278"/>
      <c r="S88" s="200"/>
      <c r="T88" s="200"/>
    </row>
    <row r="89" spans="1:30" ht="20.399999999999999">
      <c r="A89" s="292" t="s">
        <v>59</v>
      </c>
      <c r="B89" s="293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3"/>
    </row>
    <row r="90" spans="1:30" ht="15" customHeight="1">
      <c r="A90" s="295" t="s">
        <v>60</v>
      </c>
      <c r="B90" s="349" t="s">
        <v>132</v>
      </c>
      <c r="C90" s="198">
        <v>0</v>
      </c>
      <c r="D90" s="195">
        <v>0</v>
      </c>
      <c r="E90" s="196">
        <v>1</v>
      </c>
      <c r="F90" s="197">
        <v>0.2828</v>
      </c>
      <c r="G90" s="198">
        <f>D90*E90*F90</f>
        <v>0</v>
      </c>
      <c r="H90" s="195">
        <v>0</v>
      </c>
      <c r="I90" s="196">
        <v>1</v>
      </c>
      <c r="J90" s="197">
        <v>0.2828</v>
      </c>
      <c r="K90" s="198">
        <f>H90*I90*J90</f>
        <v>0</v>
      </c>
      <c r="L90" s="195">
        <v>0</v>
      </c>
      <c r="M90" s="196">
        <v>1</v>
      </c>
      <c r="N90" s="197">
        <v>0.2828</v>
      </c>
      <c r="O90" s="198">
        <f>L90*M90*N90</f>
        <v>0</v>
      </c>
      <c r="P90" s="195">
        <v>0</v>
      </c>
      <c r="Q90" s="196">
        <v>1</v>
      </c>
      <c r="R90" s="197">
        <v>0.2828</v>
      </c>
      <c r="S90" s="198">
        <f>P90*Q90*R90</f>
        <v>0</v>
      </c>
      <c r="T90" s="333">
        <f>C90+G90+K90+O90+S90</f>
        <v>0</v>
      </c>
    </row>
    <row r="91" spans="1:30" ht="15" customHeight="1">
      <c r="A91" s="295" t="s">
        <v>61</v>
      </c>
      <c r="B91" s="349" t="s">
        <v>132</v>
      </c>
      <c r="C91" s="198">
        <v>80203.71699631997</v>
      </c>
      <c r="D91" s="351">
        <f>G87</f>
        <v>544623.33401919995</v>
      </c>
      <c r="E91" s="196">
        <v>1</v>
      </c>
      <c r="F91" s="197">
        <v>0.2828</v>
      </c>
      <c r="G91" s="198">
        <f>D91*E91*F91</f>
        <v>154019.47886062975</v>
      </c>
      <c r="H91" s="195">
        <f>K87</f>
        <v>0</v>
      </c>
      <c r="I91" s="196">
        <v>1</v>
      </c>
      <c r="J91" s="197">
        <v>0.2828</v>
      </c>
      <c r="K91" s="198">
        <f>H91*I91*J91</f>
        <v>0</v>
      </c>
      <c r="L91" s="195">
        <f>O87</f>
        <v>0</v>
      </c>
      <c r="M91" s="196">
        <v>1</v>
      </c>
      <c r="N91" s="197">
        <v>0.2828</v>
      </c>
      <c r="O91" s="198">
        <f>L91*M91*N91</f>
        <v>0</v>
      </c>
      <c r="P91" s="195">
        <f>S87</f>
        <v>0</v>
      </c>
      <c r="Q91" s="196">
        <v>1</v>
      </c>
      <c r="R91" s="197">
        <v>0.2828</v>
      </c>
      <c r="S91" s="198">
        <f>P91*Q91*R91</f>
        <v>0</v>
      </c>
      <c r="T91" s="333">
        <f>C91+G91+K91+O91+S91</f>
        <v>234223.19585694972</v>
      </c>
    </row>
    <row r="92" spans="1:30">
      <c r="A92" s="297"/>
      <c r="B92" s="239"/>
      <c r="C92" s="198"/>
      <c r="D92" s="270"/>
      <c r="E92" s="298"/>
      <c r="F92" s="199"/>
      <c r="G92" s="198"/>
      <c r="H92" s="270"/>
      <c r="I92" s="298"/>
      <c r="J92" s="299"/>
      <c r="K92" s="198"/>
      <c r="L92" s="270"/>
      <c r="M92" s="298"/>
      <c r="N92" s="199"/>
      <c r="O92" s="198"/>
      <c r="P92" s="270"/>
      <c r="Q92" s="298"/>
      <c r="R92" s="199"/>
      <c r="S92" s="198"/>
      <c r="T92" s="200"/>
    </row>
    <row r="93" spans="1:30" ht="18.3">
      <c r="A93" s="285" t="s">
        <v>539</v>
      </c>
      <c r="B93" s="286"/>
      <c r="C93" s="290">
        <f>SUM(C90:C92)</f>
        <v>80203.71699631997</v>
      </c>
      <c r="D93" s="287"/>
      <c r="E93" s="288"/>
      <c r="F93" s="291"/>
      <c r="G93" s="290">
        <f>SUM(G90:G92)</f>
        <v>154019.47886062975</v>
      </c>
      <c r="H93" s="287"/>
      <c r="I93" s="288"/>
      <c r="J93" s="289"/>
      <c r="K93" s="290">
        <f>SUM(K90:K92)</f>
        <v>0</v>
      </c>
      <c r="L93" s="287"/>
      <c r="M93" s="288"/>
      <c r="N93" s="291"/>
      <c r="O93" s="290">
        <f>SUM(O90:O92)</f>
        <v>0</v>
      </c>
      <c r="P93" s="287"/>
      <c r="Q93" s="288"/>
      <c r="R93" s="291"/>
      <c r="S93" s="290">
        <f>SUM(S90:S92)</f>
        <v>0</v>
      </c>
      <c r="T93" s="290">
        <f>SUM(T90:T92)</f>
        <v>234223.19585694972</v>
      </c>
      <c r="U93" s="157">
        <f>G93</f>
        <v>154019.47886062975</v>
      </c>
    </row>
    <row r="94" spans="1:30">
      <c r="A94" s="245"/>
      <c r="B94" s="300"/>
      <c r="C94" s="245"/>
      <c r="D94" s="279"/>
      <c r="E94" s="301"/>
      <c r="F94" s="303"/>
      <c r="G94" s="245"/>
      <c r="H94" s="279"/>
      <c r="I94" s="301"/>
      <c r="J94" s="302"/>
      <c r="K94" s="245"/>
      <c r="L94" s="279"/>
      <c r="M94" s="301"/>
      <c r="N94" s="303"/>
      <c r="O94" s="245"/>
      <c r="P94" s="279"/>
      <c r="Q94" s="301"/>
      <c r="R94" s="303"/>
      <c r="S94" s="245"/>
      <c r="T94" s="206"/>
    </row>
    <row r="95" spans="1:30" ht="18.3">
      <c r="A95" s="304" t="s">
        <v>540</v>
      </c>
      <c r="B95" s="305"/>
      <c r="C95" s="309">
        <f>C87+C93</f>
        <v>355205.19699632004</v>
      </c>
      <c r="D95" s="306"/>
      <c r="E95" s="307"/>
      <c r="F95" s="310"/>
      <c r="G95" s="309">
        <f>G87+G93</f>
        <v>698642.81287982967</v>
      </c>
      <c r="H95" s="306"/>
      <c r="I95" s="307"/>
      <c r="J95" s="308"/>
      <c r="K95" s="309">
        <f>K87+K93</f>
        <v>0</v>
      </c>
      <c r="L95" s="306"/>
      <c r="M95" s="307"/>
      <c r="N95" s="310"/>
      <c r="O95" s="309">
        <f>O87+O93</f>
        <v>0</v>
      </c>
      <c r="P95" s="306"/>
      <c r="Q95" s="307"/>
      <c r="R95" s="310"/>
      <c r="S95" s="309">
        <f>S87+S93</f>
        <v>0</v>
      </c>
      <c r="T95" s="311">
        <f>C95+G95+K95+O95+S95</f>
        <v>1053848.0098761497</v>
      </c>
    </row>
    <row r="96" spans="1:30" ht="15.6">
      <c r="A96" s="312" t="s">
        <v>575</v>
      </c>
      <c r="B96" s="313"/>
      <c r="C96" s="245">
        <f>'Program Budget'!U596</f>
        <v>0</v>
      </c>
      <c r="D96" s="242"/>
      <c r="E96" s="314"/>
      <c r="F96" s="315"/>
      <c r="G96" s="245">
        <f t="shared" ref="G96" si="43">D96*E96*F96</f>
        <v>0</v>
      </c>
      <c r="H96" s="242"/>
      <c r="I96" s="314"/>
      <c r="J96" s="244"/>
      <c r="K96" s="245">
        <f t="shared" ref="K96" si="44">H96*I96*J96</f>
        <v>0</v>
      </c>
      <c r="L96" s="242"/>
      <c r="M96" s="314"/>
      <c r="N96" s="315"/>
      <c r="O96" s="245">
        <f t="shared" ref="O96" si="45">L96*M96*N96</f>
        <v>0</v>
      </c>
      <c r="P96" s="242"/>
      <c r="Q96" s="314"/>
      <c r="R96" s="315"/>
      <c r="S96" s="245">
        <f t="shared" ref="S96" si="46">P96*Q96*R96</f>
        <v>0</v>
      </c>
      <c r="T96" s="335">
        <f>C96+G96+K96+O96+S96</f>
        <v>0</v>
      </c>
    </row>
    <row r="97" spans="1:20" ht="18.3">
      <c r="A97" s="304" t="s">
        <v>541</v>
      </c>
      <c r="B97" s="305"/>
      <c r="C97" s="309">
        <f>SUM(C95:C96)</f>
        <v>355205.19699632004</v>
      </c>
      <c r="D97" s="306"/>
      <c r="E97" s="307"/>
      <c r="F97" s="310"/>
      <c r="G97" s="309">
        <f>SUM(G95:G96)</f>
        <v>698642.81287982967</v>
      </c>
      <c r="H97" s="306"/>
      <c r="I97" s="307"/>
      <c r="J97" s="308"/>
      <c r="K97" s="309">
        <f>SUM(K95:K96)</f>
        <v>0</v>
      </c>
      <c r="L97" s="306"/>
      <c r="M97" s="307"/>
      <c r="N97" s="310"/>
      <c r="O97" s="309">
        <f>SUM(O95:O96)</f>
        <v>0</v>
      </c>
      <c r="P97" s="306"/>
      <c r="Q97" s="307"/>
      <c r="R97" s="310"/>
      <c r="S97" s="309">
        <f>SUM(S95:S96)</f>
        <v>0</v>
      </c>
      <c r="T97" s="311">
        <f>C97+G97+K97+O97+S97</f>
        <v>1053848.0098761497</v>
      </c>
    </row>
    <row r="98" spans="1:20">
      <c r="A98" s="194"/>
      <c r="B98" s="194"/>
      <c r="T98" s="200"/>
    </row>
    <row r="99" spans="1:20" ht="31.2">
      <c r="A99" s="316" t="s">
        <v>542</v>
      </c>
      <c r="B99" s="317"/>
      <c r="C99" s="321"/>
      <c r="D99" s="318"/>
      <c r="E99" s="319"/>
      <c r="F99" s="322"/>
      <c r="G99" s="323"/>
      <c r="H99" s="318"/>
      <c r="I99" s="319"/>
      <c r="J99" s="320"/>
      <c r="K99" s="323"/>
      <c r="L99" s="318"/>
      <c r="M99" s="319"/>
      <c r="N99" s="322"/>
      <c r="O99" s="323"/>
      <c r="P99" s="318"/>
      <c r="Q99" s="319"/>
      <c r="R99" s="322"/>
      <c r="S99" s="323"/>
      <c r="T99" s="323"/>
    </row>
  </sheetData>
  <mergeCells count="8">
    <mergeCell ref="P2:S2"/>
    <mergeCell ref="T2:T3"/>
    <mergeCell ref="A2:A3"/>
    <mergeCell ref="B2:B3"/>
    <mergeCell ref="C2:C3"/>
    <mergeCell ref="D2:G2"/>
    <mergeCell ref="H2:K2"/>
    <mergeCell ref="L2:O2"/>
  </mergeCells>
  <printOptions horizontalCentered="1"/>
  <pageMargins left="0.25" right="0.25" top="0.75" bottom="0.75" header="0.3" footer="0.3"/>
  <pageSetup scale="32" orientation="landscape" r:id="rId1"/>
  <headerFooter alignWithMargins="0"/>
  <rowBreaks count="1" manualBreakCount="1">
    <brk id="94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7B5D-A478-437E-B467-13346F4718C0}">
  <sheetPr>
    <tabColor theme="6" tint="0.39997558519241921"/>
    <pageSetUpPr fitToPage="1"/>
  </sheetPr>
  <dimension ref="A1:AG96"/>
  <sheetViews>
    <sheetView showOutlineSymbols="0" showWhiteSpace="0" zoomScale="70" zoomScaleNormal="70" workbookViewId="0">
      <pane xSplit="2" ySplit="3" topLeftCell="C78" activePane="bottomRight" state="frozen"/>
      <selection pane="topRight"/>
      <selection pane="bottomLeft"/>
      <selection pane="bottomRight" activeCell="E87" sqref="E87"/>
    </sheetView>
  </sheetViews>
  <sheetFormatPr defaultColWidth="8.71875" defaultRowHeight="14.4" outlineLevelRow="1" outlineLevelCol="1"/>
  <cols>
    <col min="1" max="1" width="61.1640625" style="157" customWidth="1"/>
    <col min="2" max="2" width="13" style="157" customWidth="1"/>
    <col min="3" max="3" width="15.1640625" style="157" customWidth="1"/>
    <col min="4" max="4" width="15.1640625" style="158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158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158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158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158" customWidth="1"/>
    <col min="21" max="22" width="10.1640625" style="157" bestFit="1" customWidth="1"/>
    <col min="23" max="23" width="10.83203125" style="157" customWidth="1"/>
    <col min="24" max="24" width="8.83203125" style="157" customWidth="1"/>
    <col min="25" max="25" width="10.83203125" style="157" customWidth="1"/>
    <col min="26" max="26" width="4.83203125" style="157" customWidth="1"/>
    <col min="27" max="27" width="4.83203125" style="157" hidden="1" customWidth="1"/>
    <col min="28" max="28" width="7" style="162" hidden="1" customWidth="1"/>
    <col min="29" max="29" width="19.1640625" style="157" hidden="1" customWidth="1"/>
    <col min="30" max="30" width="34" style="157" hidden="1" customWidth="1"/>
    <col min="31" max="31" width="9.83203125" style="157" hidden="1" customWidth="1"/>
    <col min="32" max="32" width="9.83203125" style="157" customWidth="1"/>
    <col min="33" max="33" width="14.1640625" style="157" customWidth="1"/>
    <col min="34" max="261" width="8.83203125" style="157"/>
    <col min="262" max="262" width="38.1640625" style="157" customWidth="1"/>
    <col min="263" max="263" width="23.44140625" style="157" bestFit="1" customWidth="1"/>
    <col min="264" max="265" width="9.1640625" style="157" customWidth="1"/>
    <col min="266" max="266" width="11.1640625" style="157" bestFit="1" customWidth="1"/>
    <col min="267" max="267" width="14.44140625" style="157" bestFit="1" customWidth="1"/>
    <col min="268" max="268" width="8.1640625" style="157" customWidth="1"/>
    <col min="269" max="269" width="10.83203125" style="157" bestFit="1" customWidth="1"/>
    <col min="270" max="270" width="12.1640625" style="157" bestFit="1" customWidth="1"/>
    <col min="271" max="271" width="9.1640625" style="157" customWidth="1"/>
    <col min="272" max="272" width="10.83203125" style="157" bestFit="1" customWidth="1"/>
    <col min="273" max="273" width="12.1640625" style="157" bestFit="1" customWidth="1"/>
    <col min="274" max="274" width="8" style="157" customWidth="1"/>
    <col min="275" max="275" width="10.83203125" style="157" bestFit="1" customWidth="1"/>
    <col min="276" max="276" width="12.1640625" style="157" bestFit="1" customWidth="1"/>
    <col min="277" max="277" width="8.1640625" style="157" bestFit="1" customWidth="1"/>
    <col min="278" max="278" width="10.83203125" style="157" bestFit="1" customWidth="1"/>
    <col min="279" max="279" width="12.1640625" style="157" bestFit="1" customWidth="1"/>
    <col min="280" max="280" width="18.1640625" style="157" bestFit="1" customWidth="1"/>
    <col min="281" max="281" width="10.83203125" style="157" bestFit="1" customWidth="1"/>
    <col min="282" max="517" width="8.83203125" style="157"/>
    <col min="518" max="518" width="38.1640625" style="157" customWidth="1"/>
    <col min="519" max="519" width="23.44140625" style="157" bestFit="1" customWidth="1"/>
    <col min="520" max="521" width="9.1640625" style="157" customWidth="1"/>
    <col min="522" max="522" width="11.1640625" style="157" bestFit="1" customWidth="1"/>
    <col min="523" max="523" width="14.44140625" style="157" bestFit="1" customWidth="1"/>
    <col min="524" max="524" width="8.1640625" style="157" customWidth="1"/>
    <col min="525" max="525" width="10.83203125" style="157" bestFit="1" customWidth="1"/>
    <col min="526" max="526" width="12.1640625" style="157" bestFit="1" customWidth="1"/>
    <col min="527" max="527" width="9.1640625" style="157" customWidth="1"/>
    <col min="528" max="528" width="10.83203125" style="157" bestFit="1" customWidth="1"/>
    <col min="529" max="529" width="12.1640625" style="157" bestFit="1" customWidth="1"/>
    <col min="530" max="530" width="8" style="157" customWidth="1"/>
    <col min="531" max="531" width="10.83203125" style="157" bestFit="1" customWidth="1"/>
    <col min="532" max="532" width="12.1640625" style="157" bestFit="1" customWidth="1"/>
    <col min="533" max="533" width="8.1640625" style="157" bestFit="1" customWidth="1"/>
    <col min="534" max="534" width="10.83203125" style="157" bestFit="1" customWidth="1"/>
    <col min="535" max="535" width="12.1640625" style="157" bestFit="1" customWidth="1"/>
    <col min="536" max="536" width="18.1640625" style="157" bestFit="1" customWidth="1"/>
    <col min="537" max="537" width="10.83203125" style="157" bestFit="1" customWidth="1"/>
    <col min="538" max="773" width="8.83203125" style="157"/>
    <col min="774" max="774" width="38.1640625" style="157" customWidth="1"/>
    <col min="775" max="775" width="23.44140625" style="157" bestFit="1" customWidth="1"/>
    <col min="776" max="777" width="9.1640625" style="157" customWidth="1"/>
    <col min="778" max="778" width="11.1640625" style="157" bestFit="1" customWidth="1"/>
    <col min="779" max="779" width="14.44140625" style="157" bestFit="1" customWidth="1"/>
    <col min="780" max="780" width="8.1640625" style="157" customWidth="1"/>
    <col min="781" max="781" width="10.83203125" style="157" bestFit="1" customWidth="1"/>
    <col min="782" max="782" width="12.1640625" style="157" bestFit="1" customWidth="1"/>
    <col min="783" max="783" width="9.1640625" style="157" customWidth="1"/>
    <col min="784" max="784" width="10.83203125" style="157" bestFit="1" customWidth="1"/>
    <col min="785" max="785" width="12.1640625" style="157" bestFit="1" customWidth="1"/>
    <col min="786" max="786" width="8" style="157" customWidth="1"/>
    <col min="787" max="787" width="10.83203125" style="157" bestFit="1" customWidth="1"/>
    <col min="788" max="788" width="12.1640625" style="157" bestFit="1" customWidth="1"/>
    <col min="789" max="789" width="8.1640625" style="157" bestFit="1" customWidth="1"/>
    <col min="790" max="790" width="10.83203125" style="157" bestFit="1" customWidth="1"/>
    <col min="791" max="791" width="12.1640625" style="157" bestFit="1" customWidth="1"/>
    <col min="792" max="792" width="18.1640625" style="157" bestFit="1" customWidth="1"/>
    <col min="793" max="793" width="10.83203125" style="157" bestFit="1" customWidth="1"/>
    <col min="794" max="1029" width="8.83203125" style="157"/>
    <col min="1030" max="1030" width="38.1640625" style="157" customWidth="1"/>
    <col min="1031" max="1031" width="23.44140625" style="157" bestFit="1" customWidth="1"/>
    <col min="1032" max="1033" width="9.1640625" style="157" customWidth="1"/>
    <col min="1034" max="1034" width="11.1640625" style="157" bestFit="1" customWidth="1"/>
    <col min="1035" max="1035" width="14.44140625" style="157" bestFit="1" customWidth="1"/>
    <col min="1036" max="1036" width="8.1640625" style="157" customWidth="1"/>
    <col min="1037" max="1037" width="10.83203125" style="157" bestFit="1" customWidth="1"/>
    <col min="1038" max="1038" width="12.1640625" style="157" bestFit="1" customWidth="1"/>
    <col min="1039" max="1039" width="9.1640625" style="157" customWidth="1"/>
    <col min="1040" max="1040" width="10.83203125" style="157" bestFit="1" customWidth="1"/>
    <col min="1041" max="1041" width="12.1640625" style="157" bestFit="1" customWidth="1"/>
    <col min="1042" max="1042" width="8" style="157" customWidth="1"/>
    <col min="1043" max="1043" width="10.83203125" style="157" bestFit="1" customWidth="1"/>
    <col min="1044" max="1044" width="12.1640625" style="157" bestFit="1" customWidth="1"/>
    <col min="1045" max="1045" width="8.1640625" style="157" bestFit="1" customWidth="1"/>
    <col min="1046" max="1046" width="10.83203125" style="157" bestFit="1" customWidth="1"/>
    <col min="1047" max="1047" width="12.1640625" style="157" bestFit="1" customWidth="1"/>
    <col min="1048" max="1048" width="18.1640625" style="157" bestFit="1" customWidth="1"/>
    <col min="1049" max="1049" width="10.83203125" style="157" bestFit="1" customWidth="1"/>
    <col min="1050" max="1285" width="8.83203125" style="157"/>
    <col min="1286" max="1286" width="38.1640625" style="157" customWidth="1"/>
    <col min="1287" max="1287" width="23.44140625" style="157" bestFit="1" customWidth="1"/>
    <col min="1288" max="1289" width="9.1640625" style="157" customWidth="1"/>
    <col min="1290" max="1290" width="11.1640625" style="157" bestFit="1" customWidth="1"/>
    <col min="1291" max="1291" width="14.44140625" style="157" bestFit="1" customWidth="1"/>
    <col min="1292" max="1292" width="8.1640625" style="157" customWidth="1"/>
    <col min="1293" max="1293" width="10.83203125" style="157" bestFit="1" customWidth="1"/>
    <col min="1294" max="1294" width="12.1640625" style="157" bestFit="1" customWidth="1"/>
    <col min="1295" max="1295" width="9.1640625" style="157" customWidth="1"/>
    <col min="1296" max="1296" width="10.83203125" style="157" bestFit="1" customWidth="1"/>
    <col min="1297" max="1297" width="12.1640625" style="157" bestFit="1" customWidth="1"/>
    <col min="1298" max="1298" width="8" style="157" customWidth="1"/>
    <col min="1299" max="1299" width="10.83203125" style="157" bestFit="1" customWidth="1"/>
    <col min="1300" max="1300" width="12.1640625" style="157" bestFit="1" customWidth="1"/>
    <col min="1301" max="1301" width="8.1640625" style="157" bestFit="1" customWidth="1"/>
    <col min="1302" max="1302" width="10.83203125" style="157" bestFit="1" customWidth="1"/>
    <col min="1303" max="1303" width="12.1640625" style="157" bestFit="1" customWidth="1"/>
    <col min="1304" max="1304" width="18.1640625" style="157" bestFit="1" customWidth="1"/>
    <col min="1305" max="1305" width="10.83203125" style="157" bestFit="1" customWidth="1"/>
    <col min="1306" max="1541" width="8.83203125" style="157"/>
    <col min="1542" max="1542" width="38.1640625" style="157" customWidth="1"/>
    <col min="1543" max="1543" width="23.44140625" style="157" bestFit="1" customWidth="1"/>
    <col min="1544" max="1545" width="9.1640625" style="157" customWidth="1"/>
    <col min="1546" max="1546" width="11.1640625" style="157" bestFit="1" customWidth="1"/>
    <col min="1547" max="1547" width="14.44140625" style="157" bestFit="1" customWidth="1"/>
    <col min="1548" max="1548" width="8.1640625" style="157" customWidth="1"/>
    <col min="1549" max="1549" width="10.83203125" style="157" bestFit="1" customWidth="1"/>
    <col min="1550" max="1550" width="12.1640625" style="157" bestFit="1" customWidth="1"/>
    <col min="1551" max="1551" width="9.1640625" style="157" customWidth="1"/>
    <col min="1552" max="1552" width="10.83203125" style="157" bestFit="1" customWidth="1"/>
    <col min="1553" max="1553" width="12.1640625" style="157" bestFit="1" customWidth="1"/>
    <col min="1554" max="1554" width="8" style="157" customWidth="1"/>
    <col min="1555" max="1555" width="10.83203125" style="157" bestFit="1" customWidth="1"/>
    <col min="1556" max="1556" width="12.1640625" style="157" bestFit="1" customWidth="1"/>
    <col min="1557" max="1557" width="8.1640625" style="157" bestFit="1" customWidth="1"/>
    <col min="1558" max="1558" width="10.83203125" style="157" bestFit="1" customWidth="1"/>
    <col min="1559" max="1559" width="12.1640625" style="157" bestFit="1" customWidth="1"/>
    <col min="1560" max="1560" width="18.1640625" style="157" bestFit="1" customWidth="1"/>
    <col min="1561" max="1561" width="10.83203125" style="157" bestFit="1" customWidth="1"/>
    <col min="1562" max="1797" width="8.83203125" style="157"/>
    <col min="1798" max="1798" width="38.1640625" style="157" customWidth="1"/>
    <col min="1799" max="1799" width="23.44140625" style="157" bestFit="1" customWidth="1"/>
    <col min="1800" max="1801" width="9.1640625" style="157" customWidth="1"/>
    <col min="1802" max="1802" width="11.1640625" style="157" bestFit="1" customWidth="1"/>
    <col min="1803" max="1803" width="14.44140625" style="157" bestFit="1" customWidth="1"/>
    <col min="1804" max="1804" width="8.1640625" style="157" customWidth="1"/>
    <col min="1805" max="1805" width="10.83203125" style="157" bestFit="1" customWidth="1"/>
    <col min="1806" max="1806" width="12.1640625" style="157" bestFit="1" customWidth="1"/>
    <col min="1807" max="1807" width="9.1640625" style="157" customWidth="1"/>
    <col min="1808" max="1808" width="10.83203125" style="157" bestFit="1" customWidth="1"/>
    <col min="1809" max="1809" width="12.1640625" style="157" bestFit="1" customWidth="1"/>
    <col min="1810" max="1810" width="8" style="157" customWidth="1"/>
    <col min="1811" max="1811" width="10.83203125" style="157" bestFit="1" customWidth="1"/>
    <col min="1812" max="1812" width="12.1640625" style="157" bestFit="1" customWidth="1"/>
    <col min="1813" max="1813" width="8.1640625" style="157" bestFit="1" customWidth="1"/>
    <col min="1814" max="1814" width="10.83203125" style="157" bestFit="1" customWidth="1"/>
    <col min="1815" max="1815" width="12.1640625" style="157" bestFit="1" customWidth="1"/>
    <col min="1816" max="1816" width="18.1640625" style="157" bestFit="1" customWidth="1"/>
    <col min="1817" max="1817" width="10.83203125" style="157" bestFit="1" customWidth="1"/>
    <col min="1818" max="2053" width="8.83203125" style="157"/>
    <col min="2054" max="2054" width="38.1640625" style="157" customWidth="1"/>
    <col min="2055" max="2055" width="23.44140625" style="157" bestFit="1" customWidth="1"/>
    <col min="2056" max="2057" width="9.1640625" style="157" customWidth="1"/>
    <col min="2058" max="2058" width="11.1640625" style="157" bestFit="1" customWidth="1"/>
    <col min="2059" max="2059" width="14.44140625" style="157" bestFit="1" customWidth="1"/>
    <col min="2060" max="2060" width="8.1640625" style="157" customWidth="1"/>
    <col min="2061" max="2061" width="10.83203125" style="157" bestFit="1" customWidth="1"/>
    <col min="2062" max="2062" width="12.1640625" style="157" bestFit="1" customWidth="1"/>
    <col min="2063" max="2063" width="9.1640625" style="157" customWidth="1"/>
    <col min="2064" max="2064" width="10.83203125" style="157" bestFit="1" customWidth="1"/>
    <col min="2065" max="2065" width="12.1640625" style="157" bestFit="1" customWidth="1"/>
    <col min="2066" max="2066" width="8" style="157" customWidth="1"/>
    <col min="2067" max="2067" width="10.83203125" style="157" bestFit="1" customWidth="1"/>
    <col min="2068" max="2068" width="12.1640625" style="157" bestFit="1" customWidth="1"/>
    <col min="2069" max="2069" width="8.1640625" style="157" bestFit="1" customWidth="1"/>
    <col min="2070" max="2070" width="10.83203125" style="157" bestFit="1" customWidth="1"/>
    <col min="2071" max="2071" width="12.1640625" style="157" bestFit="1" customWidth="1"/>
    <col min="2072" max="2072" width="18.1640625" style="157" bestFit="1" customWidth="1"/>
    <col min="2073" max="2073" width="10.83203125" style="157" bestFit="1" customWidth="1"/>
    <col min="2074" max="2309" width="8.83203125" style="157"/>
    <col min="2310" max="2310" width="38.1640625" style="157" customWidth="1"/>
    <col min="2311" max="2311" width="23.44140625" style="157" bestFit="1" customWidth="1"/>
    <col min="2312" max="2313" width="9.1640625" style="157" customWidth="1"/>
    <col min="2314" max="2314" width="11.1640625" style="157" bestFit="1" customWidth="1"/>
    <col min="2315" max="2315" width="14.44140625" style="157" bestFit="1" customWidth="1"/>
    <col min="2316" max="2316" width="8.1640625" style="157" customWidth="1"/>
    <col min="2317" max="2317" width="10.83203125" style="157" bestFit="1" customWidth="1"/>
    <col min="2318" max="2318" width="12.1640625" style="157" bestFit="1" customWidth="1"/>
    <col min="2319" max="2319" width="9.1640625" style="157" customWidth="1"/>
    <col min="2320" max="2320" width="10.83203125" style="157" bestFit="1" customWidth="1"/>
    <col min="2321" max="2321" width="12.1640625" style="157" bestFit="1" customWidth="1"/>
    <col min="2322" max="2322" width="8" style="157" customWidth="1"/>
    <col min="2323" max="2323" width="10.83203125" style="157" bestFit="1" customWidth="1"/>
    <col min="2324" max="2324" width="12.1640625" style="157" bestFit="1" customWidth="1"/>
    <col min="2325" max="2325" width="8.1640625" style="157" bestFit="1" customWidth="1"/>
    <col min="2326" max="2326" width="10.83203125" style="157" bestFit="1" customWidth="1"/>
    <col min="2327" max="2327" width="12.1640625" style="157" bestFit="1" customWidth="1"/>
    <col min="2328" max="2328" width="18.1640625" style="157" bestFit="1" customWidth="1"/>
    <col min="2329" max="2329" width="10.83203125" style="157" bestFit="1" customWidth="1"/>
    <col min="2330" max="2565" width="8.83203125" style="157"/>
    <col min="2566" max="2566" width="38.1640625" style="157" customWidth="1"/>
    <col min="2567" max="2567" width="23.44140625" style="157" bestFit="1" customWidth="1"/>
    <col min="2568" max="2569" width="9.1640625" style="157" customWidth="1"/>
    <col min="2570" max="2570" width="11.1640625" style="157" bestFit="1" customWidth="1"/>
    <col min="2571" max="2571" width="14.44140625" style="157" bestFit="1" customWidth="1"/>
    <col min="2572" max="2572" width="8.1640625" style="157" customWidth="1"/>
    <col min="2573" max="2573" width="10.83203125" style="157" bestFit="1" customWidth="1"/>
    <col min="2574" max="2574" width="12.1640625" style="157" bestFit="1" customWidth="1"/>
    <col min="2575" max="2575" width="9.1640625" style="157" customWidth="1"/>
    <col min="2576" max="2576" width="10.83203125" style="157" bestFit="1" customWidth="1"/>
    <col min="2577" max="2577" width="12.1640625" style="157" bestFit="1" customWidth="1"/>
    <col min="2578" max="2578" width="8" style="157" customWidth="1"/>
    <col min="2579" max="2579" width="10.83203125" style="157" bestFit="1" customWidth="1"/>
    <col min="2580" max="2580" width="12.1640625" style="157" bestFit="1" customWidth="1"/>
    <col min="2581" max="2581" width="8.1640625" style="157" bestFit="1" customWidth="1"/>
    <col min="2582" max="2582" width="10.83203125" style="157" bestFit="1" customWidth="1"/>
    <col min="2583" max="2583" width="12.1640625" style="157" bestFit="1" customWidth="1"/>
    <col min="2584" max="2584" width="18.1640625" style="157" bestFit="1" customWidth="1"/>
    <col min="2585" max="2585" width="10.83203125" style="157" bestFit="1" customWidth="1"/>
    <col min="2586" max="2821" width="8.83203125" style="157"/>
    <col min="2822" max="2822" width="38.1640625" style="157" customWidth="1"/>
    <col min="2823" max="2823" width="23.44140625" style="157" bestFit="1" customWidth="1"/>
    <col min="2824" max="2825" width="9.1640625" style="157" customWidth="1"/>
    <col min="2826" max="2826" width="11.1640625" style="157" bestFit="1" customWidth="1"/>
    <col min="2827" max="2827" width="14.44140625" style="157" bestFit="1" customWidth="1"/>
    <col min="2828" max="2828" width="8.1640625" style="157" customWidth="1"/>
    <col min="2829" max="2829" width="10.83203125" style="157" bestFit="1" customWidth="1"/>
    <col min="2830" max="2830" width="12.1640625" style="157" bestFit="1" customWidth="1"/>
    <col min="2831" max="2831" width="9.1640625" style="157" customWidth="1"/>
    <col min="2832" max="2832" width="10.83203125" style="157" bestFit="1" customWidth="1"/>
    <col min="2833" max="2833" width="12.1640625" style="157" bestFit="1" customWidth="1"/>
    <col min="2834" max="2834" width="8" style="157" customWidth="1"/>
    <col min="2835" max="2835" width="10.83203125" style="157" bestFit="1" customWidth="1"/>
    <col min="2836" max="2836" width="12.1640625" style="157" bestFit="1" customWidth="1"/>
    <col min="2837" max="2837" width="8.1640625" style="157" bestFit="1" customWidth="1"/>
    <col min="2838" max="2838" width="10.83203125" style="157" bestFit="1" customWidth="1"/>
    <col min="2839" max="2839" width="12.1640625" style="157" bestFit="1" customWidth="1"/>
    <col min="2840" max="2840" width="18.1640625" style="157" bestFit="1" customWidth="1"/>
    <col min="2841" max="2841" width="10.83203125" style="157" bestFit="1" customWidth="1"/>
    <col min="2842" max="3077" width="8.83203125" style="157"/>
    <col min="3078" max="3078" width="38.1640625" style="157" customWidth="1"/>
    <col min="3079" max="3079" width="23.44140625" style="157" bestFit="1" customWidth="1"/>
    <col min="3080" max="3081" width="9.1640625" style="157" customWidth="1"/>
    <col min="3082" max="3082" width="11.1640625" style="157" bestFit="1" customWidth="1"/>
    <col min="3083" max="3083" width="14.44140625" style="157" bestFit="1" customWidth="1"/>
    <col min="3084" max="3084" width="8.1640625" style="157" customWidth="1"/>
    <col min="3085" max="3085" width="10.83203125" style="157" bestFit="1" customWidth="1"/>
    <col min="3086" max="3086" width="12.1640625" style="157" bestFit="1" customWidth="1"/>
    <col min="3087" max="3087" width="9.1640625" style="157" customWidth="1"/>
    <col min="3088" max="3088" width="10.83203125" style="157" bestFit="1" customWidth="1"/>
    <col min="3089" max="3089" width="12.1640625" style="157" bestFit="1" customWidth="1"/>
    <col min="3090" max="3090" width="8" style="157" customWidth="1"/>
    <col min="3091" max="3091" width="10.83203125" style="157" bestFit="1" customWidth="1"/>
    <col min="3092" max="3092" width="12.1640625" style="157" bestFit="1" customWidth="1"/>
    <col min="3093" max="3093" width="8.1640625" style="157" bestFit="1" customWidth="1"/>
    <col min="3094" max="3094" width="10.83203125" style="157" bestFit="1" customWidth="1"/>
    <col min="3095" max="3095" width="12.1640625" style="157" bestFit="1" customWidth="1"/>
    <col min="3096" max="3096" width="18.1640625" style="157" bestFit="1" customWidth="1"/>
    <col min="3097" max="3097" width="10.83203125" style="157" bestFit="1" customWidth="1"/>
    <col min="3098" max="3333" width="8.83203125" style="157"/>
    <col min="3334" max="3334" width="38.1640625" style="157" customWidth="1"/>
    <col min="3335" max="3335" width="23.44140625" style="157" bestFit="1" customWidth="1"/>
    <col min="3336" max="3337" width="9.1640625" style="157" customWidth="1"/>
    <col min="3338" max="3338" width="11.1640625" style="157" bestFit="1" customWidth="1"/>
    <col min="3339" max="3339" width="14.44140625" style="157" bestFit="1" customWidth="1"/>
    <col min="3340" max="3340" width="8.1640625" style="157" customWidth="1"/>
    <col min="3341" max="3341" width="10.83203125" style="157" bestFit="1" customWidth="1"/>
    <col min="3342" max="3342" width="12.1640625" style="157" bestFit="1" customWidth="1"/>
    <col min="3343" max="3343" width="9.1640625" style="157" customWidth="1"/>
    <col min="3344" max="3344" width="10.83203125" style="157" bestFit="1" customWidth="1"/>
    <col min="3345" max="3345" width="12.1640625" style="157" bestFit="1" customWidth="1"/>
    <col min="3346" max="3346" width="8" style="157" customWidth="1"/>
    <col min="3347" max="3347" width="10.83203125" style="157" bestFit="1" customWidth="1"/>
    <col min="3348" max="3348" width="12.1640625" style="157" bestFit="1" customWidth="1"/>
    <col min="3349" max="3349" width="8.1640625" style="157" bestFit="1" customWidth="1"/>
    <col min="3350" max="3350" width="10.83203125" style="157" bestFit="1" customWidth="1"/>
    <col min="3351" max="3351" width="12.1640625" style="157" bestFit="1" customWidth="1"/>
    <col min="3352" max="3352" width="18.1640625" style="157" bestFit="1" customWidth="1"/>
    <col min="3353" max="3353" width="10.83203125" style="157" bestFit="1" customWidth="1"/>
    <col min="3354" max="3589" width="8.83203125" style="157"/>
    <col min="3590" max="3590" width="38.1640625" style="157" customWidth="1"/>
    <col min="3591" max="3591" width="23.44140625" style="157" bestFit="1" customWidth="1"/>
    <col min="3592" max="3593" width="9.1640625" style="157" customWidth="1"/>
    <col min="3594" max="3594" width="11.1640625" style="157" bestFit="1" customWidth="1"/>
    <col min="3595" max="3595" width="14.44140625" style="157" bestFit="1" customWidth="1"/>
    <col min="3596" max="3596" width="8.1640625" style="157" customWidth="1"/>
    <col min="3597" max="3597" width="10.83203125" style="157" bestFit="1" customWidth="1"/>
    <col min="3598" max="3598" width="12.1640625" style="157" bestFit="1" customWidth="1"/>
    <col min="3599" max="3599" width="9.1640625" style="157" customWidth="1"/>
    <col min="3600" max="3600" width="10.83203125" style="157" bestFit="1" customWidth="1"/>
    <col min="3601" max="3601" width="12.1640625" style="157" bestFit="1" customWidth="1"/>
    <col min="3602" max="3602" width="8" style="157" customWidth="1"/>
    <col min="3603" max="3603" width="10.83203125" style="157" bestFit="1" customWidth="1"/>
    <col min="3604" max="3604" width="12.1640625" style="157" bestFit="1" customWidth="1"/>
    <col min="3605" max="3605" width="8.1640625" style="157" bestFit="1" customWidth="1"/>
    <col min="3606" max="3606" width="10.83203125" style="157" bestFit="1" customWidth="1"/>
    <col min="3607" max="3607" width="12.1640625" style="157" bestFit="1" customWidth="1"/>
    <col min="3608" max="3608" width="18.1640625" style="157" bestFit="1" customWidth="1"/>
    <col min="3609" max="3609" width="10.83203125" style="157" bestFit="1" customWidth="1"/>
    <col min="3610" max="3845" width="8.83203125" style="157"/>
    <col min="3846" max="3846" width="38.1640625" style="157" customWidth="1"/>
    <col min="3847" max="3847" width="23.44140625" style="157" bestFit="1" customWidth="1"/>
    <col min="3848" max="3849" width="9.1640625" style="157" customWidth="1"/>
    <col min="3850" max="3850" width="11.1640625" style="157" bestFit="1" customWidth="1"/>
    <col min="3851" max="3851" width="14.44140625" style="157" bestFit="1" customWidth="1"/>
    <col min="3852" max="3852" width="8.1640625" style="157" customWidth="1"/>
    <col min="3853" max="3853" width="10.83203125" style="157" bestFit="1" customWidth="1"/>
    <col min="3854" max="3854" width="12.1640625" style="157" bestFit="1" customWidth="1"/>
    <col min="3855" max="3855" width="9.1640625" style="157" customWidth="1"/>
    <col min="3856" max="3856" width="10.83203125" style="157" bestFit="1" customWidth="1"/>
    <col min="3857" max="3857" width="12.1640625" style="157" bestFit="1" customWidth="1"/>
    <col min="3858" max="3858" width="8" style="157" customWidth="1"/>
    <col min="3859" max="3859" width="10.83203125" style="157" bestFit="1" customWidth="1"/>
    <col min="3860" max="3860" width="12.1640625" style="157" bestFit="1" customWidth="1"/>
    <col min="3861" max="3861" width="8.1640625" style="157" bestFit="1" customWidth="1"/>
    <col min="3862" max="3862" width="10.83203125" style="157" bestFit="1" customWidth="1"/>
    <col min="3863" max="3863" width="12.1640625" style="157" bestFit="1" customWidth="1"/>
    <col min="3864" max="3864" width="18.1640625" style="157" bestFit="1" customWidth="1"/>
    <col min="3865" max="3865" width="10.83203125" style="157" bestFit="1" customWidth="1"/>
    <col min="3866" max="4101" width="8.83203125" style="157"/>
    <col min="4102" max="4102" width="38.1640625" style="157" customWidth="1"/>
    <col min="4103" max="4103" width="23.44140625" style="157" bestFit="1" customWidth="1"/>
    <col min="4104" max="4105" width="9.1640625" style="157" customWidth="1"/>
    <col min="4106" max="4106" width="11.1640625" style="157" bestFit="1" customWidth="1"/>
    <col min="4107" max="4107" width="14.44140625" style="157" bestFit="1" customWidth="1"/>
    <col min="4108" max="4108" width="8.1640625" style="157" customWidth="1"/>
    <col min="4109" max="4109" width="10.83203125" style="157" bestFit="1" customWidth="1"/>
    <col min="4110" max="4110" width="12.1640625" style="157" bestFit="1" customWidth="1"/>
    <col min="4111" max="4111" width="9.1640625" style="157" customWidth="1"/>
    <col min="4112" max="4112" width="10.83203125" style="157" bestFit="1" customWidth="1"/>
    <col min="4113" max="4113" width="12.1640625" style="157" bestFit="1" customWidth="1"/>
    <col min="4114" max="4114" width="8" style="157" customWidth="1"/>
    <col min="4115" max="4115" width="10.83203125" style="157" bestFit="1" customWidth="1"/>
    <col min="4116" max="4116" width="12.1640625" style="157" bestFit="1" customWidth="1"/>
    <col min="4117" max="4117" width="8.1640625" style="157" bestFit="1" customWidth="1"/>
    <col min="4118" max="4118" width="10.83203125" style="157" bestFit="1" customWidth="1"/>
    <col min="4119" max="4119" width="12.1640625" style="157" bestFit="1" customWidth="1"/>
    <col min="4120" max="4120" width="18.1640625" style="157" bestFit="1" customWidth="1"/>
    <col min="4121" max="4121" width="10.83203125" style="157" bestFit="1" customWidth="1"/>
    <col min="4122" max="4357" width="8.83203125" style="157"/>
    <col min="4358" max="4358" width="38.1640625" style="157" customWidth="1"/>
    <col min="4359" max="4359" width="23.44140625" style="157" bestFit="1" customWidth="1"/>
    <col min="4360" max="4361" width="9.1640625" style="157" customWidth="1"/>
    <col min="4362" max="4362" width="11.1640625" style="157" bestFit="1" customWidth="1"/>
    <col min="4363" max="4363" width="14.44140625" style="157" bestFit="1" customWidth="1"/>
    <col min="4364" max="4364" width="8.1640625" style="157" customWidth="1"/>
    <col min="4365" max="4365" width="10.83203125" style="157" bestFit="1" customWidth="1"/>
    <col min="4366" max="4366" width="12.1640625" style="157" bestFit="1" customWidth="1"/>
    <col min="4367" max="4367" width="9.1640625" style="157" customWidth="1"/>
    <col min="4368" max="4368" width="10.83203125" style="157" bestFit="1" customWidth="1"/>
    <col min="4369" max="4369" width="12.1640625" style="157" bestFit="1" customWidth="1"/>
    <col min="4370" max="4370" width="8" style="157" customWidth="1"/>
    <col min="4371" max="4371" width="10.83203125" style="157" bestFit="1" customWidth="1"/>
    <col min="4372" max="4372" width="12.1640625" style="157" bestFit="1" customWidth="1"/>
    <col min="4373" max="4373" width="8.1640625" style="157" bestFit="1" customWidth="1"/>
    <col min="4374" max="4374" width="10.83203125" style="157" bestFit="1" customWidth="1"/>
    <col min="4375" max="4375" width="12.1640625" style="157" bestFit="1" customWidth="1"/>
    <col min="4376" max="4376" width="18.1640625" style="157" bestFit="1" customWidth="1"/>
    <col min="4377" max="4377" width="10.83203125" style="157" bestFit="1" customWidth="1"/>
    <col min="4378" max="4613" width="8.83203125" style="157"/>
    <col min="4614" max="4614" width="38.1640625" style="157" customWidth="1"/>
    <col min="4615" max="4615" width="23.44140625" style="157" bestFit="1" customWidth="1"/>
    <col min="4616" max="4617" width="9.1640625" style="157" customWidth="1"/>
    <col min="4618" max="4618" width="11.1640625" style="157" bestFit="1" customWidth="1"/>
    <col min="4619" max="4619" width="14.44140625" style="157" bestFit="1" customWidth="1"/>
    <col min="4620" max="4620" width="8.1640625" style="157" customWidth="1"/>
    <col min="4621" max="4621" width="10.83203125" style="157" bestFit="1" customWidth="1"/>
    <col min="4622" max="4622" width="12.1640625" style="157" bestFit="1" customWidth="1"/>
    <col min="4623" max="4623" width="9.1640625" style="157" customWidth="1"/>
    <col min="4624" max="4624" width="10.83203125" style="157" bestFit="1" customWidth="1"/>
    <col min="4625" max="4625" width="12.1640625" style="157" bestFit="1" customWidth="1"/>
    <col min="4626" max="4626" width="8" style="157" customWidth="1"/>
    <col min="4627" max="4627" width="10.83203125" style="157" bestFit="1" customWidth="1"/>
    <col min="4628" max="4628" width="12.1640625" style="157" bestFit="1" customWidth="1"/>
    <col min="4629" max="4629" width="8.1640625" style="157" bestFit="1" customWidth="1"/>
    <col min="4630" max="4630" width="10.83203125" style="157" bestFit="1" customWidth="1"/>
    <col min="4631" max="4631" width="12.1640625" style="157" bestFit="1" customWidth="1"/>
    <col min="4632" max="4632" width="18.1640625" style="157" bestFit="1" customWidth="1"/>
    <col min="4633" max="4633" width="10.83203125" style="157" bestFit="1" customWidth="1"/>
    <col min="4634" max="4869" width="8.83203125" style="157"/>
    <col min="4870" max="4870" width="38.1640625" style="157" customWidth="1"/>
    <col min="4871" max="4871" width="23.44140625" style="157" bestFit="1" customWidth="1"/>
    <col min="4872" max="4873" width="9.1640625" style="157" customWidth="1"/>
    <col min="4874" max="4874" width="11.1640625" style="157" bestFit="1" customWidth="1"/>
    <col min="4875" max="4875" width="14.44140625" style="157" bestFit="1" customWidth="1"/>
    <col min="4876" max="4876" width="8.1640625" style="157" customWidth="1"/>
    <col min="4877" max="4877" width="10.83203125" style="157" bestFit="1" customWidth="1"/>
    <col min="4878" max="4878" width="12.1640625" style="157" bestFit="1" customWidth="1"/>
    <col min="4879" max="4879" width="9.1640625" style="157" customWidth="1"/>
    <col min="4880" max="4880" width="10.83203125" style="157" bestFit="1" customWidth="1"/>
    <col min="4881" max="4881" width="12.1640625" style="157" bestFit="1" customWidth="1"/>
    <col min="4882" max="4882" width="8" style="157" customWidth="1"/>
    <col min="4883" max="4883" width="10.83203125" style="157" bestFit="1" customWidth="1"/>
    <col min="4884" max="4884" width="12.1640625" style="157" bestFit="1" customWidth="1"/>
    <col min="4885" max="4885" width="8.1640625" style="157" bestFit="1" customWidth="1"/>
    <col min="4886" max="4886" width="10.83203125" style="157" bestFit="1" customWidth="1"/>
    <col min="4887" max="4887" width="12.1640625" style="157" bestFit="1" customWidth="1"/>
    <col min="4888" max="4888" width="18.1640625" style="157" bestFit="1" customWidth="1"/>
    <col min="4889" max="4889" width="10.83203125" style="157" bestFit="1" customWidth="1"/>
    <col min="4890" max="5125" width="8.83203125" style="157"/>
    <col min="5126" max="5126" width="38.1640625" style="157" customWidth="1"/>
    <col min="5127" max="5127" width="23.44140625" style="157" bestFit="1" customWidth="1"/>
    <col min="5128" max="5129" width="9.1640625" style="157" customWidth="1"/>
    <col min="5130" max="5130" width="11.1640625" style="157" bestFit="1" customWidth="1"/>
    <col min="5131" max="5131" width="14.44140625" style="157" bestFit="1" customWidth="1"/>
    <col min="5132" max="5132" width="8.1640625" style="157" customWidth="1"/>
    <col min="5133" max="5133" width="10.83203125" style="157" bestFit="1" customWidth="1"/>
    <col min="5134" max="5134" width="12.1640625" style="157" bestFit="1" customWidth="1"/>
    <col min="5135" max="5135" width="9.1640625" style="157" customWidth="1"/>
    <col min="5136" max="5136" width="10.83203125" style="157" bestFit="1" customWidth="1"/>
    <col min="5137" max="5137" width="12.1640625" style="157" bestFit="1" customWidth="1"/>
    <col min="5138" max="5138" width="8" style="157" customWidth="1"/>
    <col min="5139" max="5139" width="10.83203125" style="157" bestFit="1" customWidth="1"/>
    <col min="5140" max="5140" width="12.1640625" style="157" bestFit="1" customWidth="1"/>
    <col min="5141" max="5141" width="8.1640625" style="157" bestFit="1" customWidth="1"/>
    <col min="5142" max="5142" width="10.83203125" style="157" bestFit="1" customWidth="1"/>
    <col min="5143" max="5143" width="12.1640625" style="157" bestFit="1" customWidth="1"/>
    <col min="5144" max="5144" width="18.1640625" style="157" bestFit="1" customWidth="1"/>
    <col min="5145" max="5145" width="10.83203125" style="157" bestFit="1" customWidth="1"/>
    <col min="5146" max="5381" width="8.83203125" style="157"/>
    <col min="5382" max="5382" width="38.1640625" style="157" customWidth="1"/>
    <col min="5383" max="5383" width="23.44140625" style="157" bestFit="1" customWidth="1"/>
    <col min="5384" max="5385" width="9.1640625" style="157" customWidth="1"/>
    <col min="5386" max="5386" width="11.1640625" style="157" bestFit="1" customWidth="1"/>
    <col min="5387" max="5387" width="14.44140625" style="157" bestFit="1" customWidth="1"/>
    <col min="5388" max="5388" width="8.1640625" style="157" customWidth="1"/>
    <col min="5389" max="5389" width="10.83203125" style="157" bestFit="1" customWidth="1"/>
    <col min="5390" max="5390" width="12.1640625" style="157" bestFit="1" customWidth="1"/>
    <col min="5391" max="5391" width="9.1640625" style="157" customWidth="1"/>
    <col min="5392" max="5392" width="10.83203125" style="157" bestFit="1" customWidth="1"/>
    <col min="5393" max="5393" width="12.1640625" style="157" bestFit="1" customWidth="1"/>
    <col min="5394" max="5394" width="8" style="157" customWidth="1"/>
    <col min="5395" max="5395" width="10.83203125" style="157" bestFit="1" customWidth="1"/>
    <col min="5396" max="5396" width="12.1640625" style="157" bestFit="1" customWidth="1"/>
    <col min="5397" max="5397" width="8.1640625" style="157" bestFit="1" customWidth="1"/>
    <col min="5398" max="5398" width="10.83203125" style="157" bestFit="1" customWidth="1"/>
    <col min="5399" max="5399" width="12.1640625" style="157" bestFit="1" customWidth="1"/>
    <col min="5400" max="5400" width="18.1640625" style="157" bestFit="1" customWidth="1"/>
    <col min="5401" max="5401" width="10.83203125" style="157" bestFit="1" customWidth="1"/>
    <col min="5402" max="5637" width="8.83203125" style="157"/>
    <col min="5638" max="5638" width="38.1640625" style="157" customWidth="1"/>
    <col min="5639" max="5639" width="23.44140625" style="157" bestFit="1" customWidth="1"/>
    <col min="5640" max="5641" width="9.1640625" style="157" customWidth="1"/>
    <col min="5642" max="5642" width="11.1640625" style="157" bestFit="1" customWidth="1"/>
    <col min="5643" max="5643" width="14.44140625" style="157" bestFit="1" customWidth="1"/>
    <col min="5644" max="5644" width="8.1640625" style="157" customWidth="1"/>
    <col min="5645" max="5645" width="10.83203125" style="157" bestFit="1" customWidth="1"/>
    <col min="5646" max="5646" width="12.1640625" style="157" bestFit="1" customWidth="1"/>
    <col min="5647" max="5647" width="9.1640625" style="157" customWidth="1"/>
    <col min="5648" max="5648" width="10.83203125" style="157" bestFit="1" customWidth="1"/>
    <col min="5649" max="5649" width="12.1640625" style="157" bestFit="1" customWidth="1"/>
    <col min="5650" max="5650" width="8" style="157" customWidth="1"/>
    <col min="5651" max="5651" width="10.83203125" style="157" bestFit="1" customWidth="1"/>
    <col min="5652" max="5652" width="12.1640625" style="157" bestFit="1" customWidth="1"/>
    <col min="5653" max="5653" width="8.1640625" style="157" bestFit="1" customWidth="1"/>
    <col min="5654" max="5654" width="10.83203125" style="157" bestFit="1" customWidth="1"/>
    <col min="5655" max="5655" width="12.1640625" style="157" bestFit="1" customWidth="1"/>
    <col min="5656" max="5656" width="18.1640625" style="157" bestFit="1" customWidth="1"/>
    <col min="5657" max="5657" width="10.83203125" style="157" bestFit="1" customWidth="1"/>
    <col min="5658" max="5893" width="8.83203125" style="157"/>
    <col min="5894" max="5894" width="38.1640625" style="157" customWidth="1"/>
    <col min="5895" max="5895" width="23.44140625" style="157" bestFit="1" customWidth="1"/>
    <col min="5896" max="5897" width="9.1640625" style="157" customWidth="1"/>
    <col min="5898" max="5898" width="11.1640625" style="157" bestFit="1" customWidth="1"/>
    <col min="5899" max="5899" width="14.44140625" style="157" bestFit="1" customWidth="1"/>
    <col min="5900" max="5900" width="8.1640625" style="157" customWidth="1"/>
    <col min="5901" max="5901" width="10.83203125" style="157" bestFit="1" customWidth="1"/>
    <col min="5902" max="5902" width="12.1640625" style="157" bestFit="1" customWidth="1"/>
    <col min="5903" max="5903" width="9.1640625" style="157" customWidth="1"/>
    <col min="5904" max="5904" width="10.83203125" style="157" bestFit="1" customWidth="1"/>
    <col min="5905" max="5905" width="12.1640625" style="157" bestFit="1" customWidth="1"/>
    <col min="5906" max="5906" width="8" style="157" customWidth="1"/>
    <col min="5907" max="5907" width="10.83203125" style="157" bestFit="1" customWidth="1"/>
    <col min="5908" max="5908" width="12.1640625" style="157" bestFit="1" customWidth="1"/>
    <col min="5909" max="5909" width="8.1640625" style="157" bestFit="1" customWidth="1"/>
    <col min="5910" max="5910" width="10.83203125" style="157" bestFit="1" customWidth="1"/>
    <col min="5911" max="5911" width="12.1640625" style="157" bestFit="1" customWidth="1"/>
    <col min="5912" max="5912" width="18.1640625" style="157" bestFit="1" customWidth="1"/>
    <col min="5913" max="5913" width="10.83203125" style="157" bestFit="1" customWidth="1"/>
    <col min="5914" max="6149" width="8.83203125" style="157"/>
    <col min="6150" max="6150" width="38.1640625" style="157" customWidth="1"/>
    <col min="6151" max="6151" width="23.44140625" style="157" bestFit="1" customWidth="1"/>
    <col min="6152" max="6153" width="9.1640625" style="157" customWidth="1"/>
    <col min="6154" max="6154" width="11.1640625" style="157" bestFit="1" customWidth="1"/>
    <col min="6155" max="6155" width="14.44140625" style="157" bestFit="1" customWidth="1"/>
    <col min="6156" max="6156" width="8.1640625" style="157" customWidth="1"/>
    <col min="6157" max="6157" width="10.83203125" style="157" bestFit="1" customWidth="1"/>
    <col min="6158" max="6158" width="12.1640625" style="157" bestFit="1" customWidth="1"/>
    <col min="6159" max="6159" width="9.1640625" style="157" customWidth="1"/>
    <col min="6160" max="6160" width="10.83203125" style="157" bestFit="1" customWidth="1"/>
    <col min="6161" max="6161" width="12.1640625" style="157" bestFit="1" customWidth="1"/>
    <col min="6162" max="6162" width="8" style="157" customWidth="1"/>
    <col min="6163" max="6163" width="10.83203125" style="157" bestFit="1" customWidth="1"/>
    <col min="6164" max="6164" width="12.1640625" style="157" bestFit="1" customWidth="1"/>
    <col min="6165" max="6165" width="8.1640625" style="157" bestFit="1" customWidth="1"/>
    <col min="6166" max="6166" width="10.83203125" style="157" bestFit="1" customWidth="1"/>
    <col min="6167" max="6167" width="12.1640625" style="157" bestFit="1" customWidth="1"/>
    <col min="6168" max="6168" width="18.1640625" style="157" bestFit="1" customWidth="1"/>
    <col min="6169" max="6169" width="10.83203125" style="157" bestFit="1" customWidth="1"/>
    <col min="6170" max="6405" width="8.83203125" style="157"/>
    <col min="6406" max="6406" width="38.1640625" style="157" customWidth="1"/>
    <col min="6407" max="6407" width="23.44140625" style="157" bestFit="1" customWidth="1"/>
    <col min="6408" max="6409" width="9.1640625" style="157" customWidth="1"/>
    <col min="6410" max="6410" width="11.1640625" style="157" bestFit="1" customWidth="1"/>
    <col min="6411" max="6411" width="14.44140625" style="157" bestFit="1" customWidth="1"/>
    <col min="6412" max="6412" width="8.1640625" style="157" customWidth="1"/>
    <col min="6413" max="6413" width="10.83203125" style="157" bestFit="1" customWidth="1"/>
    <col min="6414" max="6414" width="12.1640625" style="157" bestFit="1" customWidth="1"/>
    <col min="6415" max="6415" width="9.1640625" style="157" customWidth="1"/>
    <col min="6416" max="6416" width="10.83203125" style="157" bestFit="1" customWidth="1"/>
    <col min="6417" max="6417" width="12.1640625" style="157" bestFit="1" customWidth="1"/>
    <col min="6418" max="6418" width="8" style="157" customWidth="1"/>
    <col min="6419" max="6419" width="10.83203125" style="157" bestFit="1" customWidth="1"/>
    <col min="6420" max="6420" width="12.1640625" style="157" bestFit="1" customWidth="1"/>
    <col min="6421" max="6421" width="8.1640625" style="157" bestFit="1" customWidth="1"/>
    <col min="6422" max="6422" width="10.83203125" style="157" bestFit="1" customWidth="1"/>
    <col min="6423" max="6423" width="12.1640625" style="157" bestFit="1" customWidth="1"/>
    <col min="6424" max="6424" width="18.1640625" style="157" bestFit="1" customWidth="1"/>
    <col min="6425" max="6425" width="10.83203125" style="157" bestFit="1" customWidth="1"/>
    <col min="6426" max="6661" width="8.83203125" style="157"/>
    <col min="6662" max="6662" width="38.1640625" style="157" customWidth="1"/>
    <col min="6663" max="6663" width="23.44140625" style="157" bestFit="1" customWidth="1"/>
    <col min="6664" max="6665" width="9.1640625" style="157" customWidth="1"/>
    <col min="6666" max="6666" width="11.1640625" style="157" bestFit="1" customWidth="1"/>
    <col min="6667" max="6667" width="14.44140625" style="157" bestFit="1" customWidth="1"/>
    <col min="6668" max="6668" width="8.1640625" style="157" customWidth="1"/>
    <col min="6669" max="6669" width="10.83203125" style="157" bestFit="1" customWidth="1"/>
    <col min="6670" max="6670" width="12.1640625" style="157" bestFit="1" customWidth="1"/>
    <col min="6671" max="6671" width="9.1640625" style="157" customWidth="1"/>
    <col min="6672" max="6672" width="10.83203125" style="157" bestFit="1" customWidth="1"/>
    <col min="6673" max="6673" width="12.1640625" style="157" bestFit="1" customWidth="1"/>
    <col min="6674" max="6674" width="8" style="157" customWidth="1"/>
    <col min="6675" max="6675" width="10.83203125" style="157" bestFit="1" customWidth="1"/>
    <col min="6676" max="6676" width="12.1640625" style="157" bestFit="1" customWidth="1"/>
    <col min="6677" max="6677" width="8.1640625" style="157" bestFit="1" customWidth="1"/>
    <col min="6678" max="6678" width="10.83203125" style="157" bestFit="1" customWidth="1"/>
    <col min="6679" max="6679" width="12.1640625" style="157" bestFit="1" customWidth="1"/>
    <col min="6680" max="6680" width="18.1640625" style="157" bestFit="1" customWidth="1"/>
    <col min="6681" max="6681" width="10.83203125" style="157" bestFit="1" customWidth="1"/>
    <col min="6682" max="6917" width="8.83203125" style="157"/>
    <col min="6918" max="6918" width="38.1640625" style="157" customWidth="1"/>
    <col min="6919" max="6919" width="23.44140625" style="157" bestFit="1" customWidth="1"/>
    <col min="6920" max="6921" width="9.1640625" style="157" customWidth="1"/>
    <col min="6922" max="6922" width="11.1640625" style="157" bestFit="1" customWidth="1"/>
    <col min="6923" max="6923" width="14.44140625" style="157" bestFit="1" customWidth="1"/>
    <col min="6924" max="6924" width="8.1640625" style="157" customWidth="1"/>
    <col min="6925" max="6925" width="10.83203125" style="157" bestFit="1" customWidth="1"/>
    <col min="6926" max="6926" width="12.1640625" style="157" bestFit="1" customWidth="1"/>
    <col min="6927" max="6927" width="9.1640625" style="157" customWidth="1"/>
    <col min="6928" max="6928" width="10.83203125" style="157" bestFit="1" customWidth="1"/>
    <col min="6929" max="6929" width="12.1640625" style="157" bestFit="1" customWidth="1"/>
    <col min="6930" max="6930" width="8" style="157" customWidth="1"/>
    <col min="6931" max="6931" width="10.83203125" style="157" bestFit="1" customWidth="1"/>
    <col min="6932" max="6932" width="12.1640625" style="157" bestFit="1" customWidth="1"/>
    <col min="6933" max="6933" width="8.1640625" style="157" bestFit="1" customWidth="1"/>
    <col min="6934" max="6934" width="10.83203125" style="157" bestFit="1" customWidth="1"/>
    <col min="6935" max="6935" width="12.1640625" style="157" bestFit="1" customWidth="1"/>
    <col min="6936" max="6936" width="18.1640625" style="157" bestFit="1" customWidth="1"/>
    <col min="6937" max="6937" width="10.83203125" style="157" bestFit="1" customWidth="1"/>
    <col min="6938" max="7173" width="8.83203125" style="157"/>
    <col min="7174" max="7174" width="38.1640625" style="157" customWidth="1"/>
    <col min="7175" max="7175" width="23.44140625" style="157" bestFit="1" customWidth="1"/>
    <col min="7176" max="7177" width="9.1640625" style="157" customWidth="1"/>
    <col min="7178" max="7178" width="11.1640625" style="157" bestFit="1" customWidth="1"/>
    <col min="7179" max="7179" width="14.44140625" style="157" bestFit="1" customWidth="1"/>
    <col min="7180" max="7180" width="8.1640625" style="157" customWidth="1"/>
    <col min="7181" max="7181" width="10.83203125" style="157" bestFit="1" customWidth="1"/>
    <col min="7182" max="7182" width="12.1640625" style="157" bestFit="1" customWidth="1"/>
    <col min="7183" max="7183" width="9.1640625" style="157" customWidth="1"/>
    <col min="7184" max="7184" width="10.83203125" style="157" bestFit="1" customWidth="1"/>
    <col min="7185" max="7185" width="12.1640625" style="157" bestFit="1" customWidth="1"/>
    <col min="7186" max="7186" width="8" style="157" customWidth="1"/>
    <col min="7187" max="7187" width="10.83203125" style="157" bestFit="1" customWidth="1"/>
    <col min="7188" max="7188" width="12.1640625" style="157" bestFit="1" customWidth="1"/>
    <col min="7189" max="7189" width="8.1640625" style="157" bestFit="1" customWidth="1"/>
    <col min="7190" max="7190" width="10.83203125" style="157" bestFit="1" customWidth="1"/>
    <col min="7191" max="7191" width="12.1640625" style="157" bestFit="1" customWidth="1"/>
    <col min="7192" max="7192" width="18.1640625" style="157" bestFit="1" customWidth="1"/>
    <col min="7193" max="7193" width="10.83203125" style="157" bestFit="1" customWidth="1"/>
    <col min="7194" max="7429" width="8.83203125" style="157"/>
    <col min="7430" max="7430" width="38.1640625" style="157" customWidth="1"/>
    <col min="7431" max="7431" width="23.44140625" style="157" bestFit="1" customWidth="1"/>
    <col min="7432" max="7433" width="9.1640625" style="157" customWidth="1"/>
    <col min="7434" max="7434" width="11.1640625" style="157" bestFit="1" customWidth="1"/>
    <col min="7435" max="7435" width="14.44140625" style="157" bestFit="1" customWidth="1"/>
    <col min="7436" max="7436" width="8.1640625" style="157" customWidth="1"/>
    <col min="7437" max="7437" width="10.83203125" style="157" bestFit="1" customWidth="1"/>
    <col min="7438" max="7438" width="12.1640625" style="157" bestFit="1" customWidth="1"/>
    <col min="7439" max="7439" width="9.1640625" style="157" customWidth="1"/>
    <col min="7440" max="7440" width="10.83203125" style="157" bestFit="1" customWidth="1"/>
    <col min="7441" max="7441" width="12.1640625" style="157" bestFit="1" customWidth="1"/>
    <col min="7442" max="7442" width="8" style="157" customWidth="1"/>
    <col min="7443" max="7443" width="10.83203125" style="157" bestFit="1" customWidth="1"/>
    <col min="7444" max="7444" width="12.1640625" style="157" bestFit="1" customWidth="1"/>
    <col min="7445" max="7445" width="8.1640625" style="157" bestFit="1" customWidth="1"/>
    <col min="7446" max="7446" width="10.83203125" style="157" bestFit="1" customWidth="1"/>
    <col min="7447" max="7447" width="12.1640625" style="157" bestFit="1" customWidth="1"/>
    <col min="7448" max="7448" width="18.1640625" style="157" bestFit="1" customWidth="1"/>
    <col min="7449" max="7449" width="10.83203125" style="157" bestFit="1" customWidth="1"/>
    <col min="7450" max="7685" width="8.83203125" style="157"/>
    <col min="7686" max="7686" width="38.1640625" style="157" customWidth="1"/>
    <col min="7687" max="7687" width="23.44140625" style="157" bestFit="1" customWidth="1"/>
    <col min="7688" max="7689" width="9.1640625" style="157" customWidth="1"/>
    <col min="7690" max="7690" width="11.1640625" style="157" bestFit="1" customWidth="1"/>
    <col min="7691" max="7691" width="14.44140625" style="157" bestFit="1" customWidth="1"/>
    <col min="7692" max="7692" width="8.1640625" style="157" customWidth="1"/>
    <col min="7693" max="7693" width="10.83203125" style="157" bestFit="1" customWidth="1"/>
    <col min="7694" max="7694" width="12.1640625" style="157" bestFit="1" customWidth="1"/>
    <col min="7695" max="7695" width="9.1640625" style="157" customWidth="1"/>
    <col min="7696" max="7696" width="10.83203125" style="157" bestFit="1" customWidth="1"/>
    <col min="7697" max="7697" width="12.1640625" style="157" bestFit="1" customWidth="1"/>
    <col min="7698" max="7698" width="8" style="157" customWidth="1"/>
    <col min="7699" max="7699" width="10.83203125" style="157" bestFit="1" customWidth="1"/>
    <col min="7700" max="7700" width="12.1640625" style="157" bestFit="1" customWidth="1"/>
    <col min="7701" max="7701" width="8.1640625" style="157" bestFit="1" customWidth="1"/>
    <col min="7702" max="7702" width="10.83203125" style="157" bestFit="1" customWidth="1"/>
    <col min="7703" max="7703" width="12.1640625" style="157" bestFit="1" customWidth="1"/>
    <col min="7704" max="7704" width="18.1640625" style="157" bestFit="1" customWidth="1"/>
    <col min="7705" max="7705" width="10.83203125" style="157" bestFit="1" customWidth="1"/>
    <col min="7706" max="7941" width="8.83203125" style="157"/>
    <col min="7942" max="7942" width="38.1640625" style="157" customWidth="1"/>
    <col min="7943" max="7943" width="23.44140625" style="157" bestFit="1" customWidth="1"/>
    <col min="7944" max="7945" width="9.1640625" style="157" customWidth="1"/>
    <col min="7946" max="7946" width="11.1640625" style="157" bestFit="1" customWidth="1"/>
    <col min="7947" max="7947" width="14.44140625" style="157" bestFit="1" customWidth="1"/>
    <col min="7948" max="7948" width="8.1640625" style="157" customWidth="1"/>
    <col min="7949" max="7949" width="10.83203125" style="157" bestFit="1" customWidth="1"/>
    <col min="7950" max="7950" width="12.1640625" style="157" bestFit="1" customWidth="1"/>
    <col min="7951" max="7951" width="9.1640625" style="157" customWidth="1"/>
    <col min="7952" max="7952" width="10.83203125" style="157" bestFit="1" customWidth="1"/>
    <col min="7953" max="7953" width="12.1640625" style="157" bestFit="1" customWidth="1"/>
    <col min="7954" max="7954" width="8" style="157" customWidth="1"/>
    <col min="7955" max="7955" width="10.83203125" style="157" bestFit="1" customWidth="1"/>
    <col min="7956" max="7956" width="12.1640625" style="157" bestFit="1" customWidth="1"/>
    <col min="7957" max="7957" width="8.1640625" style="157" bestFit="1" customWidth="1"/>
    <col min="7958" max="7958" width="10.83203125" style="157" bestFit="1" customWidth="1"/>
    <col min="7959" max="7959" width="12.1640625" style="157" bestFit="1" customWidth="1"/>
    <col min="7960" max="7960" width="18.1640625" style="157" bestFit="1" customWidth="1"/>
    <col min="7961" max="7961" width="10.83203125" style="157" bestFit="1" customWidth="1"/>
    <col min="7962" max="8197" width="8.83203125" style="157"/>
    <col min="8198" max="8198" width="38.1640625" style="157" customWidth="1"/>
    <col min="8199" max="8199" width="23.44140625" style="157" bestFit="1" customWidth="1"/>
    <col min="8200" max="8201" width="9.1640625" style="157" customWidth="1"/>
    <col min="8202" max="8202" width="11.1640625" style="157" bestFit="1" customWidth="1"/>
    <col min="8203" max="8203" width="14.44140625" style="157" bestFit="1" customWidth="1"/>
    <col min="8204" max="8204" width="8.1640625" style="157" customWidth="1"/>
    <col min="8205" max="8205" width="10.83203125" style="157" bestFit="1" customWidth="1"/>
    <col min="8206" max="8206" width="12.1640625" style="157" bestFit="1" customWidth="1"/>
    <col min="8207" max="8207" width="9.1640625" style="157" customWidth="1"/>
    <col min="8208" max="8208" width="10.83203125" style="157" bestFit="1" customWidth="1"/>
    <col min="8209" max="8209" width="12.1640625" style="157" bestFit="1" customWidth="1"/>
    <col min="8210" max="8210" width="8" style="157" customWidth="1"/>
    <col min="8211" max="8211" width="10.83203125" style="157" bestFit="1" customWidth="1"/>
    <col min="8212" max="8212" width="12.1640625" style="157" bestFit="1" customWidth="1"/>
    <col min="8213" max="8213" width="8.1640625" style="157" bestFit="1" customWidth="1"/>
    <col min="8214" max="8214" width="10.83203125" style="157" bestFit="1" customWidth="1"/>
    <col min="8215" max="8215" width="12.1640625" style="157" bestFit="1" customWidth="1"/>
    <col min="8216" max="8216" width="18.1640625" style="157" bestFit="1" customWidth="1"/>
    <col min="8217" max="8217" width="10.83203125" style="157" bestFit="1" customWidth="1"/>
    <col min="8218" max="8453" width="8.83203125" style="157"/>
    <col min="8454" max="8454" width="38.1640625" style="157" customWidth="1"/>
    <col min="8455" max="8455" width="23.44140625" style="157" bestFit="1" customWidth="1"/>
    <col min="8456" max="8457" width="9.1640625" style="157" customWidth="1"/>
    <col min="8458" max="8458" width="11.1640625" style="157" bestFit="1" customWidth="1"/>
    <col min="8459" max="8459" width="14.44140625" style="157" bestFit="1" customWidth="1"/>
    <col min="8460" max="8460" width="8.1640625" style="157" customWidth="1"/>
    <col min="8461" max="8461" width="10.83203125" style="157" bestFit="1" customWidth="1"/>
    <col min="8462" max="8462" width="12.1640625" style="157" bestFit="1" customWidth="1"/>
    <col min="8463" max="8463" width="9.1640625" style="157" customWidth="1"/>
    <col min="8464" max="8464" width="10.83203125" style="157" bestFit="1" customWidth="1"/>
    <col min="8465" max="8465" width="12.1640625" style="157" bestFit="1" customWidth="1"/>
    <col min="8466" max="8466" width="8" style="157" customWidth="1"/>
    <col min="8467" max="8467" width="10.83203125" style="157" bestFit="1" customWidth="1"/>
    <col min="8468" max="8468" width="12.1640625" style="157" bestFit="1" customWidth="1"/>
    <col min="8469" max="8469" width="8.1640625" style="157" bestFit="1" customWidth="1"/>
    <col min="8470" max="8470" width="10.83203125" style="157" bestFit="1" customWidth="1"/>
    <col min="8471" max="8471" width="12.1640625" style="157" bestFit="1" customWidth="1"/>
    <col min="8472" max="8472" width="18.1640625" style="157" bestFit="1" customWidth="1"/>
    <col min="8473" max="8473" width="10.83203125" style="157" bestFit="1" customWidth="1"/>
    <col min="8474" max="8709" width="8.83203125" style="157"/>
    <col min="8710" max="8710" width="38.1640625" style="157" customWidth="1"/>
    <col min="8711" max="8711" width="23.44140625" style="157" bestFit="1" customWidth="1"/>
    <col min="8712" max="8713" width="9.1640625" style="157" customWidth="1"/>
    <col min="8714" max="8714" width="11.1640625" style="157" bestFit="1" customWidth="1"/>
    <col min="8715" max="8715" width="14.44140625" style="157" bestFit="1" customWidth="1"/>
    <col min="8716" max="8716" width="8.1640625" style="157" customWidth="1"/>
    <col min="8717" max="8717" width="10.83203125" style="157" bestFit="1" customWidth="1"/>
    <col min="8718" max="8718" width="12.1640625" style="157" bestFit="1" customWidth="1"/>
    <col min="8719" max="8719" width="9.1640625" style="157" customWidth="1"/>
    <col min="8720" max="8720" width="10.83203125" style="157" bestFit="1" customWidth="1"/>
    <col min="8721" max="8721" width="12.1640625" style="157" bestFit="1" customWidth="1"/>
    <col min="8722" max="8722" width="8" style="157" customWidth="1"/>
    <col min="8723" max="8723" width="10.83203125" style="157" bestFit="1" customWidth="1"/>
    <col min="8724" max="8724" width="12.1640625" style="157" bestFit="1" customWidth="1"/>
    <col min="8725" max="8725" width="8.1640625" style="157" bestFit="1" customWidth="1"/>
    <col min="8726" max="8726" width="10.83203125" style="157" bestFit="1" customWidth="1"/>
    <col min="8727" max="8727" width="12.1640625" style="157" bestFit="1" customWidth="1"/>
    <col min="8728" max="8728" width="18.1640625" style="157" bestFit="1" customWidth="1"/>
    <col min="8729" max="8729" width="10.83203125" style="157" bestFit="1" customWidth="1"/>
    <col min="8730" max="8965" width="8.83203125" style="157"/>
    <col min="8966" max="8966" width="38.1640625" style="157" customWidth="1"/>
    <col min="8967" max="8967" width="23.44140625" style="157" bestFit="1" customWidth="1"/>
    <col min="8968" max="8969" width="9.1640625" style="157" customWidth="1"/>
    <col min="8970" max="8970" width="11.1640625" style="157" bestFit="1" customWidth="1"/>
    <col min="8971" max="8971" width="14.44140625" style="157" bestFit="1" customWidth="1"/>
    <col min="8972" max="8972" width="8.1640625" style="157" customWidth="1"/>
    <col min="8973" max="8973" width="10.83203125" style="157" bestFit="1" customWidth="1"/>
    <col min="8974" max="8974" width="12.1640625" style="157" bestFit="1" customWidth="1"/>
    <col min="8975" max="8975" width="9.1640625" style="157" customWidth="1"/>
    <col min="8976" max="8976" width="10.83203125" style="157" bestFit="1" customWidth="1"/>
    <col min="8977" max="8977" width="12.1640625" style="157" bestFit="1" customWidth="1"/>
    <col min="8978" max="8978" width="8" style="157" customWidth="1"/>
    <col min="8979" max="8979" width="10.83203125" style="157" bestFit="1" customWidth="1"/>
    <col min="8980" max="8980" width="12.1640625" style="157" bestFit="1" customWidth="1"/>
    <col min="8981" max="8981" width="8.1640625" style="157" bestFit="1" customWidth="1"/>
    <col min="8982" max="8982" width="10.83203125" style="157" bestFit="1" customWidth="1"/>
    <col min="8983" max="8983" width="12.1640625" style="157" bestFit="1" customWidth="1"/>
    <col min="8984" max="8984" width="18.1640625" style="157" bestFit="1" customWidth="1"/>
    <col min="8985" max="8985" width="10.83203125" style="157" bestFit="1" customWidth="1"/>
    <col min="8986" max="9221" width="8.83203125" style="157"/>
    <col min="9222" max="9222" width="38.1640625" style="157" customWidth="1"/>
    <col min="9223" max="9223" width="23.44140625" style="157" bestFit="1" customWidth="1"/>
    <col min="9224" max="9225" width="9.1640625" style="157" customWidth="1"/>
    <col min="9226" max="9226" width="11.1640625" style="157" bestFit="1" customWidth="1"/>
    <col min="9227" max="9227" width="14.44140625" style="157" bestFit="1" customWidth="1"/>
    <col min="9228" max="9228" width="8.1640625" style="157" customWidth="1"/>
    <col min="9229" max="9229" width="10.83203125" style="157" bestFit="1" customWidth="1"/>
    <col min="9230" max="9230" width="12.1640625" style="157" bestFit="1" customWidth="1"/>
    <col min="9231" max="9231" width="9.1640625" style="157" customWidth="1"/>
    <col min="9232" max="9232" width="10.83203125" style="157" bestFit="1" customWidth="1"/>
    <col min="9233" max="9233" width="12.1640625" style="157" bestFit="1" customWidth="1"/>
    <col min="9234" max="9234" width="8" style="157" customWidth="1"/>
    <col min="9235" max="9235" width="10.83203125" style="157" bestFit="1" customWidth="1"/>
    <col min="9236" max="9236" width="12.1640625" style="157" bestFit="1" customWidth="1"/>
    <col min="9237" max="9237" width="8.1640625" style="157" bestFit="1" customWidth="1"/>
    <col min="9238" max="9238" width="10.83203125" style="157" bestFit="1" customWidth="1"/>
    <col min="9239" max="9239" width="12.1640625" style="157" bestFit="1" customWidth="1"/>
    <col min="9240" max="9240" width="18.1640625" style="157" bestFit="1" customWidth="1"/>
    <col min="9241" max="9241" width="10.83203125" style="157" bestFit="1" customWidth="1"/>
    <col min="9242" max="9477" width="8.83203125" style="157"/>
    <col min="9478" max="9478" width="38.1640625" style="157" customWidth="1"/>
    <col min="9479" max="9479" width="23.44140625" style="157" bestFit="1" customWidth="1"/>
    <col min="9480" max="9481" width="9.1640625" style="157" customWidth="1"/>
    <col min="9482" max="9482" width="11.1640625" style="157" bestFit="1" customWidth="1"/>
    <col min="9483" max="9483" width="14.44140625" style="157" bestFit="1" customWidth="1"/>
    <col min="9484" max="9484" width="8.1640625" style="157" customWidth="1"/>
    <col min="9485" max="9485" width="10.83203125" style="157" bestFit="1" customWidth="1"/>
    <col min="9486" max="9486" width="12.1640625" style="157" bestFit="1" customWidth="1"/>
    <col min="9487" max="9487" width="9.1640625" style="157" customWidth="1"/>
    <col min="9488" max="9488" width="10.83203125" style="157" bestFit="1" customWidth="1"/>
    <col min="9489" max="9489" width="12.1640625" style="157" bestFit="1" customWidth="1"/>
    <col min="9490" max="9490" width="8" style="157" customWidth="1"/>
    <col min="9491" max="9491" width="10.83203125" style="157" bestFit="1" customWidth="1"/>
    <col min="9492" max="9492" width="12.1640625" style="157" bestFit="1" customWidth="1"/>
    <col min="9493" max="9493" width="8.1640625" style="157" bestFit="1" customWidth="1"/>
    <col min="9494" max="9494" width="10.83203125" style="157" bestFit="1" customWidth="1"/>
    <col min="9495" max="9495" width="12.1640625" style="157" bestFit="1" customWidth="1"/>
    <col min="9496" max="9496" width="18.1640625" style="157" bestFit="1" customWidth="1"/>
    <col min="9497" max="9497" width="10.83203125" style="157" bestFit="1" customWidth="1"/>
    <col min="9498" max="9733" width="8.83203125" style="157"/>
    <col min="9734" max="9734" width="38.1640625" style="157" customWidth="1"/>
    <col min="9735" max="9735" width="23.44140625" style="157" bestFit="1" customWidth="1"/>
    <col min="9736" max="9737" width="9.1640625" style="157" customWidth="1"/>
    <col min="9738" max="9738" width="11.1640625" style="157" bestFit="1" customWidth="1"/>
    <col min="9739" max="9739" width="14.44140625" style="157" bestFit="1" customWidth="1"/>
    <col min="9740" max="9740" width="8.1640625" style="157" customWidth="1"/>
    <col min="9741" max="9741" width="10.83203125" style="157" bestFit="1" customWidth="1"/>
    <col min="9742" max="9742" width="12.1640625" style="157" bestFit="1" customWidth="1"/>
    <col min="9743" max="9743" width="9.1640625" style="157" customWidth="1"/>
    <col min="9744" max="9744" width="10.83203125" style="157" bestFit="1" customWidth="1"/>
    <col min="9745" max="9745" width="12.1640625" style="157" bestFit="1" customWidth="1"/>
    <col min="9746" max="9746" width="8" style="157" customWidth="1"/>
    <col min="9747" max="9747" width="10.83203125" style="157" bestFit="1" customWidth="1"/>
    <col min="9748" max="9748" width="12.1640625" style="157" bestFit="1" customWidth="1"/>
    <col min="9749" max="9749" width="8.1640625" style="157" bestFit="1" customWidth="1"/>
    <col min="9750" max="9750" width="10.83203125" style="157" bestFit="1" customWidth="1"/>
    <col min="9751" max="9751" width="12.1640625" style="157" bestFit="1" customWidth="1"/>
    <col min="9752" max="9752" width="18.1640625" style="157" bestFit="1" customWidth="1"/>
    <col min="9753" max="9753" width="10.83203125" style="157" bestFit="1" customWidth="1"/>
    <col min="9754" max="9989" width="8.83203125" style="157"/>
    <col min="9990" max="9990" width="38.1640625" style="157" customWidth="1"/>
    <col min="9991" max="9991" width="23.44140625" style="157" bestFit="1" customWidth="1"/>
    <col min="9992" max="9993" width="9.1640625" style="157" customWidth="1"/>
    <col min="9994" max="9994" width="11.1640625" style="157" bestFit="1" customWidth="1"/>
    <col min="9995" max="9995" width="14.44140625" style="157" bestFit="1" customWidth="1"/>
    <col min="9996" max="9996" width="8.1640625" style="157" customWidth="1"/>
    <col min="9997" max="9997" width="10.83203125" style="157" bestFit="1" customWidth="1"/>
    <col min="9998" max="9998" width="12.1640625" style="157" bestFit="1" customWidth="1"/>
    <col min="9999" max="9999" width="9.1640625" style="157" customWidth="1"/>
    <col min="10000" max="10000" width="10.83203125" style="157" bestFit="1" customWidth="1"/>
    <col min="10001" max="10001" width="12.1640625" style="157" bestFit="1" customWidth="1"/>
    <col min="10002" max="10002" width="8" style="157" customWidth="1"/>
    <col min="10003" max="10003" width="10.83203125" style="157" bestFit="1" customWidth="1"/>
    <col min="10004" max="10004" width="12.1640625" style="157" bestFit="1" customWidth="1"/>
    <col min="10005" max="10005" width="8.1640625" style="157" bestFit="1" customWidth="1"/>
    <col min="10006" max="10006" width="10.83203125" style="157" bestFit="1" customWidth="1"/>
    <col min="10007" max="10007" width="12.1640625" style="157" bestFit="1" customWidth="1"/>
    <col min="10008" max="10008" width="18.1640625" style="157" bestFit="1" customWidth="1"/>
    <col min="10009" max="10009" width="10.83203125" style="157" bestFit="1" customWidth="1"/>
    <col min="10010" max="10245" width="8.83203125" style="157"/>
    <col min="10246" max="10246" width="38.1640625" style="157" customWidth="1"/>
    <col min="10247" max="10247" width="23.44140625" style="157" bestFit="1" customWidth="1"/>
    <col min="10248" max="10249" width="9.1640625" style="157" customWidth="1"/>
    <col min="10250" max="10250" width="11.1640625" style="157" bestFit="1" customWidth="1"/>
    <col min="10251" max="10251" width="14.44140625" style="157" bestFit="1" customWidth="1"/>
    <col min="10252" max="10252" width="8.1640625" style="157" customWidth="1"/>
    <col min="10253" max="10253" width="10.83203125" style="157" bestFit="1" customWidth="1"/>
    <col min="10254" max="10254" width="12.1640625" style="157" bestFit="1" customWidth="1"/>
    <col min="10255" max="10255" width="9.1640625" style="157" customWidth="1"/>
    <col min="10256" max="10256" width="10.83203125" style="157" bestFit="1" customWidth="1"/>
    <col min="10257" max="10257" width="12.1640625" style="157" bestFit="1" customWidth="1"/>
    <col min="10258" max="10258" width="8" style="157" customWidth="1"/>
    <col min="10259" max="10259" width="10.83203125" style="157" bestFit="1" customWidth="1"/>
    <col min="10260" max="10260" width="12.1640625" style="157" bestFit="1" customWidth="1"/>
    <col min="10261" max="10261" width="8.1640625" style="157" bestFit="1" customWidth="1"/>
    <col min="10262" max="10262" width="10.83203125" style="157" bestFit="1" customWidth="1"/>
    <col min="10263" max="10263" width="12.1640625" style="157" bestFit="1" customWidth="1"/>
    <col min="10264" max="10264" width="18.1640625" style="157" bestFit="1" customWidth="1"/>
    <col min="10265" max="10265" width="10.83203125" style="157" bestFit="1" customWidth="1"/>
    <col min="10266" max="10501" width="8.83203125" style="157"/>
    <col min="10502" max="10502" width="38.1640625" style="157" customWidth="1"/>
    <col min="10503" max="10503" width="23.44140625" style="157" bestFit="1" customWidth="1"/>
    <col min="10504" max="10505" width="9.1640625" style="157" customWidth="1"/>
    <col min="10506" max="10506" width="11.1640625" style="157" bestFit="1" customWidth="1"/>
    <col min="10507" max="10507" width="14.44140625" style="157" bestFit="1" customWidth="1"/>
    <col min="10508" max="10508" width="8.1640625" style="157" customWidth="1"/>
    <col min="10509" max="10509" width="10.83203125" style="157" bestFit="1" customWidth="1"/>
    <col min="10510" max="10510" width="12.1640625" style="157" bestFit="1" customWidth="1"/>
    <col min="10511" max="10511" width="9.1640625" style="157" customWidth="1"/>
    <col min="10512" max="10512" width="10.83203125" style="157" bestFit="1" customWidth="1"/>
    <col min="10513" max="10513" width="12.1640625" style="157" bestFit="1" customWidth="1"/>
    <col min="10514" max="10514" width="8" style="157" customWidth="1"/>
    <col min="10515" max="10515" width="10.83203125" style="157" bestFit="1" customWidth="1"/>
    <col min="10516" max="10516" width="12.1640625" style="157" bestFit="1" customWidth="1"/>
    <col min="10517" max="10517" width="8.1640625" style="157" bestFit="1" customWidth="1"/>
    <col min="10518" max="10518" width="10.83203125" style="157" bestFit="1" customWidth="1"/>
    <col min="10519" max="10519" width="12.1640625" style="157" bestFit="1" customWidth="1"/>
    <col min="10520" max="10520" width="18.1640625" style="157" bestFit="1" customWidth="1"/>
    <col min="10521" max="10521" width="10.83203125" style="157" bestFit="1" customWidth="1"/>
    <col min="10522" max="10757" width="8.83203125" style="157"/>
    <col min="10758" max="10758" width="38.1640625" style="157" customWidth="1"/>
    <col min="10759" max="10759" width="23.44140625" style="157" bestFit="1" customWidth="1"/>
    <col min="10760" max="10761" width="9.1640625" style="157" customWidth="1"/>
    <col min="10762" max="10762" width="11.1640625" style="157" bestFit="1" customWidth="1"/>
    <col min="10763" max="10763" width="14.44140625" style="157" bestFit="1" customWidth="1"/>
    <col min="10764" max="10764" width="8.1640625" style="157" customWidth="1"/>
    <col min="10765" max="10765" width="10.83203125" style="157" bestFit="1" customWidth="1"/>
    <col min="10766" max="10766" width="12.1640625" style="157" bestFit="1" customWidth="1"/>
    <col min="10767" max="10767" width="9.1640625" style="157" customWidth="1"/>
    <col min="10768" max="10768" width="10.83203125" style="157" bestFit="1" customWidth="1"/>
    <col min="10769" max="10769" width="12.1640625" style="157" bestFit="1" customWidth="1"/>
    <col min="10770" max="10770" width="8" style="157" customWidth="1"/>
    <col min="10771" max="10771" width="10.83203125" style="157" bestFit="1" customWidth="1"/>
    <col min="10772" max="10772" width="12.1640625" style="157" bestFit="1" customWidth="1"/>
    <col min="10773" max="10773" width="8.1640625" style="157" bestFit="1" customWidth="1"/>
    <col min="10774" max="10774" width="10.83203125" style="157" bestFit="1" customWidth="1"/>
    <col min="10775" max="10775" width="12.1640625" style="157" bestFit="1" customWidth="1"/>
    <col min="10776" max="10776" width="18.1640625" style="157" bestFit="1" customWidth="1"/>
    <col min="10777" max="10777" width="10.83203125" style="157" bestFit="1" customWidth="1"/>
    <col min="10778" max="11013" width="8.83203125" style="157"/>
    <col min="11014" max="11014" width="38.1640625" style="157" customWidth="1"/>
    <col min="11015" max="11015" width="23.44140625" style="157" bestFit="1" customWidth="1"/>
    <col min="11016" max="11017" width="9.1640625" style="157" customWidth="1"/>
    <col min="11018" max="11018" width="11.1640625" style="157" bestFit="1" customWidth="1"/>
    <col min="11019" max="11019" width="14.44140625" style="157" bestFit="1" customWidth="1"/>
    <col min="11020" max="11020" width="8.1640625" style="157" customWidth="1"/>
    <col min="11021" max="11021" width="10.83203125" style="157" bestFit="1" customWidth="1"/>
    <col min="11022" max="11022" width="12.1640625" style="157" bestFit="1" customWidth="1"/>
    <col min="11023" max="11023" width="9.1640625" style="157" customWidth="1"/>
    <col min="11024" max="11024" width="10.83203125" style="157" bestFit="1" customWidth="1"/>
    <col min="11025" max="11025" width="12.1640625" style="157" bestFit="1" customWidth="1"/>
    <col min="11026" max="11026" width="8" style="157" customWidth="1"/>
    <col min="11027" max="11027" width="10.83203125" style="157" bestFit="1" customWidth="1"/>
    <col min="11028" max="11028" width="12.1640625" style="157" bestFit="1" customWidth="1"/>
    <col min="11029" max="11029" width="8.1640625" style="157" bestFit="1" customWidth="1"/>
    <col min="11030" max="11030" width="10.83203125" style="157" bestFit="1" customWidth="1"/>
    <col min="11031" max="11031" width="12.1640625" style="157" bestFit="1" customWidth="1"/>
    <col min="11032" max="11032" width="18.1640625" style="157" bestFit="1" customWidth="1"/>
    <col min="11033" max="11033" width="10.83203125" style="157" bestFit="1" customWidth="1"/>
    <col min="11034" max="11269" width="8.83203125" style="157"/>
    <col min="11270" max="11270" width="38.1640625" style="157" customWidth="1"/>
    <col min="11271" max="11271" width="23.44140625" style="157" bestFit="1" customWidth="1"/>
    <col min="11272" max="11273" width="9.1640625" style="157" customWidth="1"/>
    <col min="11274" max="11274" width="11.1640625" style="157" bestFit="1" customWidth="1"/>
    <col min="11275" max="11275" width="14.44140625" style="157" bestFit="1" customWidth="1"/>
    <col min="11276" max="11276" width="8.1640625" style="157" customWidth="1"/>
    <col min="11277" max="11277" width="10.83203125" style="157" bestFit="1" customWidth="1"/>
    <col min="11278" max="11278" width="12.1640625" style="157" bestFit="1" customWidth="1"/>
    <col min="11279" max="11279" width="9.1640625" style="157" customWidth="1"/>
    <col min="11280" max="11280" width="10.83203125" style="157" bestFit="1" customWidth="1"/>
    <col min="11281" max="11281" width="12.1640625" style="157" bestFit="1" customWidth="1"/>
    <col min="11282" max="11282" width="8" style="157" customWidth="1"/>
    <col min="11283" max="11283" width="10.83203125" style="157" bestFit="1" customWidth="1"/>
    <col min="11284" max="11284" width="12.1640625" style="157" bestFit="1" customWidth="1"/>
    <col min="11285" max="11285" width="8.1640625" style="157" bestFit="1" customWidth="1"/>
    <col min="11286" max="11286" width="10.83203125" style="157" bestFit="1" customWidth="1"/>
    <col min="11287" max="11287" width="12.1640625" style="157" bestFit="1" customWidth="1"/>
    <col min="11288" max="11288" width="18.1640625" style="157" bestFit="1" customWidth="1"/>
    <col min="11289" max="11289" width="10.83203125" style="157" bestFit="1" customWidth="1"/>
    <col min="11290" max="11525" width="8.83203125" style="157"/>
    <col min="11526" max="11526" width="38.1640625" style="157" customWidth="1"/>
    <col min="11527" max="11527" width="23.44140625" style="157" bestFit="1" customWidth="1"/>
    <col min="11528" max="11529" width="9.1640625" style="157" customWidth="1"/>
    <col min="11530" max="11530" width="11.1640625" style="157" bestFit="1" customWidth="1"/>
    <col min="11531" max="11531" width="14.44140625" style="157" bestFit="1" customWidth="1"/>
    <col min="11532" max="11532" width="8.1640625" style="157" customWidth="1"/>
    <col min="11533" max="11533" width="10.83203125" style="157" bestFit="1" customWidth="1"/>
    <col min="11534" max="11534" width="12.1640625" style="157" bestFit="1" customWidth="1"/>
    <col min="11535" max="11535" width="9.1640625" style="157" customWidth="1"/>
    <col min="11536" max="11536" width="10.83203125" style="157" bestFit="1" customWidth="1"/>
    <col min="11537" max="11537" width="12.1640625" style="157" bestFit="1" customWidth="1"/>
    <col min="11538" max="11538" width="8" style="157" customWidth="1"/>
    <col min="11539" max="11539" width="10.83203125" style="157" bestFit="1" customWidth="1"/>
    <col min="11540" max="11540" width="12.1640625" style="157" bestFit="1" customWidth="1"/>
    <col min="11541" max="11541" width="8.1640625" style="157" bestFit="1" customWidth="1"/>
    <col min="11542" max="11542" width="10.83203125" style="157" bestFit="1" customWidth="1"/>
    <col min="11543" max="11543" width="12.1640625" style="157" bestFit="1" customWidth="1"/>
    <col min="11544" max="11544" width="18.1640625" style="157" bestFit="1" customWidth="1"/>
    <col min="11545" max="11545" width="10.83203125" style="157" bestFit="1" customWidth="1"/>
    <col min="11546" max="11781" width="8.83203125" style="157"/>
    <col min="11782" max="11782" width="38.1640625" style="157" customWidth="1"/>
    <col min="11783" max="11783" width="23.44140625" style="157" bestFit="1" customWidth="1"/>
    <col min="11784" max="11785" width="9.1640625" style="157" customWidth="1"/>
    <col min="11786" max="11786" width="11.1640625" style="157" bestFit="1" customWidth="1"/>
    <col min="11787" max="11787" width="14.44140625" style="157" bestFit="1" customWidth="1"/>
    <col min="11788" max="11788" width="8.1640625" style="157" customWidth="1"/>
    <col min="11789" max="11789" width="10.83203125" style="157" bestFit="1" customWidth="1"/>
    <col min="11790" max="11790" width="12.1640625" style="157" bestFit="1" customWidth="1"/>
    <col min="11791" max="11791" width="9.1640625" style="157" customWidth="1"/>
    <col min="11792" max="11792" width="10.83203125" style="157" bestFit="1" customWidth="1"/>
    <col min="11793" max="11793" width="12.1640625" style="157" bestFit="1" customWidth="1"/>
    <col min="11794" max="11794" width="8" style="157" customWidth="1"/>
    <col min="11795" max="11795" width="10.83203125" style="157" bestFit="1" customWidth="1"/>
    <col min="11796" max="11796" width="12.1640625" style="157" bestFit="1" customWidth="1"/>
    <col min="11797" max="11797" width="8.1640625" style="157" bestFit="1" customWidth="1"/>
    <col min="11798" max="11798" width="10.83203125" style="157" bestFit="1" customWidth="1"/>
    <col min="11799" max="11799" width="12.1640625" style="157" bestFit="1" customWidth="1"/>
    <col min="11800" max="11800" width="18.1640625" style="157" bestFit="1" customWidth="1"/>
    <col min="11801" max="11801" width="10.83203125" style="157" bestFit="1" customWidth="1"/>
    <col min="11802" max="12037" width="8.83203125" style="157"/>
    <col min="12038" max="12038" width="38.1640625" style="157" customWidth="1"/>
    <col min="12039" max="12039" width="23.44140625" style="157" bestFit="1" customWidth="1"/>
    <col min="12040" max="12041" width="9.1640625" style="157" customWidth="1"/>
    <col min="12042" max="12042" width="11.1640625" style="157" bestFit="1" customWidth="1"/>
    <col min="12043" max="12043" width="14.44140625" style="157" bestFit="1" customWidth="1"/>
    <col min="12044" max="12044" width="8.1640625" style="157" customWidth="1"/>
    <col min="12045" max="12045" width="10.83203125" style="157" bestFit="1" customWidth="1"/>
    <col min="12046" max="12046" width="12.1640625" style="157" bestFit="1" customWidth="1"/>
    <col min="12047" max="12047" width="9.1640625" style="157" customWidth="1"/>
    <col min="12048" max="12048" width="10.83203125" style="157" bestFit="1" customWidth="1"/>
    <col min="12049" max="12049" width="12.1640625" style="157" bestFit="1" customWidth="1"/>
    <col min="12050" max="12050" width="8" style="157" customWidth="1"/>
    <col min="12051" max="12051" width="10.83203125" style="157" bestFit="1" customWidth="1"/>
    <col min="12052" max="12052" width="12.1640625" style="157" bestFit="1" customWidth="1"/>
    <col min="12053" max="12053" width="8.1640625" style="157" bestFit="1" customWidth="1"/>
    <col min="12054" max="12054" width="10.83203125" style="157" bestFit="1" customWidth="1"/>
    <col min="12055" max="12055" width="12.1640625" style="157" bestFit="1" customWidth="1"/>
    <col min="12056" max="12056" width="18.1640625" style="157" bestFit="1" customWidth="1"/>
    <col min="12057" max="12057" width="10.83203125" style="157" bestFit="1" customWidth="1"/>
    <col min="12058" max="12293" width="8.83203125" style="157"/>
    <col min="12294" max="12294" width="38.1640625" style="157" customWidth="1"/>
    <col min="12295" max="12295" width="23.44140625" style="157" bestFit="1" customWidth="1"/>
    <col min="12296" max="12297" width="9.1640625" style="157" customWidth="1"/>
    <col min="12298" max="12298" width="11.1640625" style="157" bestFit="1" customWidth="1"/>
    <col min="12299" max="12299" width="14.44140625" style="157" bestFit="1" customWidth="1"/>
    <col min="12300" max="12300" width="8.1640625" style="157" customWidth="1"/>
    <col min="12301" max="12301" width="10.83203125" style="157" bestFit="1" customWidth="1"/>
    <col min="12302" max="12302" width="12.1640625" style="157" bestFit="1" customWidth="1"/>
    <col min="12303" max="12303" width="9.1640625" style="157" customWidth="1"/>
    <col min="12304" max="12304" width="10.83203125" style="157" bestFit="1" customWidth="1"/>
    <col min="12305" max="12305" width="12.1640625" style="157" bestFit="1" customWidth="1"/>
    <col min="12306" max="12306" width="8" style="157" customWidth="1"/>
    <col min="12307" max="12307" width="10.83203125" style="157" bestFit="1" customWidth="1"/>
    <col min="12308" max="12308" width="12.1640625" style="157" bestFit="1" customWidth="1"/>
    <col min="12309" max="12309" width="8.1640625" style="157" bestFit="1" customWidth="1"/>
    <col min="12310" max="12310" width="10.83203125" style="157" bestFit="1" customWidth="1"/>
    <col min="12311" max="12311" width="12.1640625" style="157" bestFit="1" customWidth="1"/>
    <col min="12312" max="12312" width="18.1640625" style="157" bestFit="1" customWidth="1"/>
    <col min="12313" max="12313" width="10.83203125" style="157" bestFit="1" customWidth="1"/>
    <col min="12314" max="12549" width="8.83203125" style="157"/>
    <col min="12550" max="12550" width="38.1640625" style="157" customWidth="1"/>
    <col min="12551" max="12551" width="23.44140625" style="157" bestFit="1" customWidth="1"/>
    <col min="12552" max="12553" width="9.1640625" style="157" customWidth="1"/>
    <col min="12554" max="12554" width="11.1640625" style="157" bestFit="1" customWidth="1"/>
    <col min="12555" max="12555" width="14.44140625" style="157" bestFit="1" customWidth="1"/>
    <col min="12556" max="12556" width="8.1640625" style="157" customWidth="1"/>
    <col min="12557" max="12557" width="10.83203125" style="157" bestFit="1" customWidth="1"/>
    <col min="12558" max="12558" width="12.1640625" style="157" bestFit="1" customWidth="1"/>
    <col min="12559" max="12559" width="9.1640625" style="157" customWidth="1"/>
    <col min="12560" max="12560" width="10.83203125" style="157" bestFit="1" customWidth="1"/>
    <col min="12561" max="12561" width="12.1640625" style="157" bestFit="1" customWidth="1"/>
    <col min="12562" max="12562" width="8" style="157" customWidth="1"/>
    <col min="12563" max="12563" width="10.83203125" style="157" bestFit="1" customWidth="1"/>
    <col min="12564" max="12564" width="12.1640625" style="157" bestFit="1" customWidth="1"/>
    <col min="12565" max="12565" width="8.1640625" style="157" bestFit="1" customWidth="1"/>
    <col min="12566" max="12566" width="10.83203125" style="157" bestFit="1" customWidth="1"/>
    <col min="12567" max="12567" width="12.1640625" style="157" bestFit="1" customWidth="1"/>
    <col min="12568" max="12568" width="18.1640625" style="157" bestFit="1" customWidth="1"/>
    <col min="12569" max="12569" width="10.83203125" style="157" bestFit="1" customWidth="1"/>
    <col min="12570" max="12805" width="8.83203125" style="157"/>
    <col min="12806" max="12806" width="38.1640625" style="157" customWidth="1"/>
    <col min="12807" max="12807" width="23.44140625" style="157" bestFit="1" customWidth="1"/>
    <col min="12808" max="12809" width="9.1640625" style="157" customWidth="1"/>
    <col min="12810" max="12810" width="11.1640625" style="157" bestFit="1" customWidth="1"/>
    <col min="12811" max="12811" width="14.44140625" style="157" bestFit="1" customWidth="1"/>
    <col min="12812" max="12812" width="8.1640625" style="157" customWidth="1"/>
    <col min="12813" max="12813" width="10.83203125" style="157" bestFit="1" customWidth="1"/>
    <col min="12814" max="12814" width="12.1640625" style="157" bestFit="1" customWidth="1"/>
    <col min="12815" max="12815" width="9.1640625" style="157" customWidth="1"/>
    <col min="12816" max="12816" width="10.83203125" style="157" bestFit="1" customWidth="1"/>
    <col min="12817" max="12817" width="12.1640625" style="157" bestFit="1" customWidth="1"/>
    <col min="12818" max="12818" width="8" style="157" customWidth="1"/>
    <col min="12819" max="12819" width="10.83203125" style="157" bestFit="1" customWidth="1"/>
    <col min="12820" max="12820" width="12.1640625" style="157" bestFit="1" customWidth="1"/>
    <col min="12821" max="12821" width="8.1640625" style="157" bestFit="1" customWidth="1"/>
    <col min="12822" max="12822" width="10.83203125" style="157" bestFit="1" customWidth="1"/>
    <col min="12823" max="12823" width="12.1640625" style="157" bestFit="1" customWidth="1"/>
    <col min="12824" max="12824" width="18.1640625" style="157" bestFit="1" customWidth="1"/>
    <col min="12825" max="12825" width="10.83203125" style="157" bestFit="1" customWidth="1"/>
    <col min="12826" max="13061" width="8.83203125" style="157"/>
    <col min="13062" max="13062" width="38.1640625" style="157" customWidth="1"/>
    <col min="13063" max="13063" width="23.44140625" style="157" bestFit="1" customWidth="1"/>
    <col min="13064" max="13065" width="9.1640625" style="157" customWidth="1"/>
    <col min="13066" max="13066" width="11.1640625" style="157" bestFit="1" customWidth="1"/>
    <col min="13067" max="13067" width="14.44140625" style="157" bestFit="1" customWidth="1"/>
    <col min="13068" max="13068" width="8.1640625" style="157" customWidth="1"/>
    <col min="13069" max="13069" width="10.83203125" style="157" bestFit="1" customWidth="1"/>
    <col min="13070" max="13070" width="12.1640625" style="157" bestFit="1" customWidth="1"/>
    <col min="13071" max="13071" width="9.1640625" style="157" customWidth="1"/>
    <col min="13072" max="13072" width="10.83203125" style="157" bestFit="1" customWidth="1"/>
    <col min="13073" max="13073" width="12.1640625" style="157" bestFit="1" customWidth="1"/>
    <col min="13074" max="13074" width="8" style="157" customWidth="1"/>
    <col min="13075" max="13075" width="10.83203125" style="157" bestFit="1" customWidth="1"/>
    <col min="13076" max="13076" width="12.1640625" style="157" bestFit="1" customWidth="1"/>
    <col min="13077" max="13077" width="8.1640625" style="157" bestFit="1" customWidth="1"/>
    <col min="13078" max="13078" width="10.83203125" style="157" bestFit="1" customWidth="1"/>
    <col min="13079" max="13079" width="12.1640625" style="157" bestFit="1" customWidth="1"/>
    <col min="13080" max="13080" width="18.1640625" style="157" bestFit="1" customWidth="1"/>
    <col min="13081" max="13081" width="10.83203125" style="157" bestFit="1" customWidth="1"/>
    <col min="13082" max="13317" width="8.83203125" style="157"/>
    <col min="13318" max="13318" width="38.1640625" style="157" customWidth="1"/>
    <col min="13319" max="13319" width="23.44140625" style="157" bestFit="1" customWidth="1"/>
    <col min="13320" max="13321" width="9.1640625" style="157" customWidth="1"/>
    <col min="13322" max="13322" width="11.1640625" style="157" bestFit="1" customWidth="1"/>
    <col min="13323" max="13323" width="14.44140625" style="157" bestFit="1" customWidth="1"/>
    <col min="13324" max="13324" width="8.1640625" style="157" customWidth="1"/>
    <col min="13325" max="13325" width="10.83203125" style="157" bestFit="1" customWidth="1"/>
    <col min="13326" max="13326" width="12.1640625" style="157" bestFit="1" customWidth="1"/>
    <col min="13327" max="13327" width="9.1640625" style="157" customWidth="1"/>
    <col min="13328" max="13328" width="10.83203125" style="157" bestFit="1" customWidth="1"/>
    <col min="13329" max="13329" width="12.1640625" style="157" bestFit="1" customWidth="1"/>
    <col min="13330" max="13330" width="8" style="157" customWidth="1"/>
    <col min="13331" max="13331" width="10.83203125" style="157" bestFit="1" customWidth="1"/>
    <col min="13332" max="13332" width="12.1640625" style="157" bestFit="1" customWidth="1"/>
    <col min="13333" max="13333" width="8.1640625" style="157" bestFit="1" customWidth="1"/>
    <col min="13334" max="13334" width="10.83203125" style="157" bestFit="1" customWidth="1"/>
    <col min="13335" max="13335" width="12.1640625" style="157" bestFit="1" customWidth="1"/>
    <col min="13336" max="13336" width="18.1640625" style="157" bestFit="1" customWidth="1"/>
    <col min="13337" max="13337" width="10.83203125" style="157" bestFit="1" customWidth="1"/>
    <col min="13338" max="13573" width="8.83203125" style="157"/>
    <col min="13574" max="13574" width="38.1640625" style="157" customWidth="1"/>
    <col min="13575" max="13575" width="23.44140625" style="157" bestFit="1" customWidth="1"/>
    <col min="13576" max="13577" width="9.1640625" style="157" customWidth="1"/>
    <col min="13578" max="13578" width="11.1640625" style="157" bestFit="1" customWidth="1"/>
    <col min="13579" max="13579" width="14.44140625" style="157" bestFit="1" customWidth="1"/>
    <col min="13580" max="13580" width="8.1640625" style="157" customWidth="1"/>
    <col min="13581" max="13581" width="10.83203125" style="157" bestFit="1" customWidth="1"/>
    <col min="13582" max="13582" width="12.1640625" style="157" bestFit="1" customWidth="1"/>
    <col min="13583" max="13583" width="9.1640625" style="157" customWidth="1"/>
    <col min="13584" max="13584" width="10.83203125" style="157" bestFit="1" customWidth="1"/>
    <col min="13585" max="13585" width="12.1640625" style="157" bestFit="1" customWidth="1"/>
    <col min="13586" max="13586" width="8" style="157" customWidth="1"/>
    <col min="13587" max="13587" width="10.83203125" style="157" bestFit="1" customWidth="1"/>
    <col min="13588" max="13588" width="12.1640625" style="157" bestFit="1" customWidth="1"/>
    <col min="13589" max="13589" width="8.1640625" style="157" bestFit="1" customWidth="1"/>
    <col min="13590" max="13590" width="10.83203125" style="157" bestFit="1" customWidth="1"/>
    <col min="13591" max="13591" width="12.1640625" style="157" bestFit="1" customWidth="1"/>
    <col min="13592" max="13592" width="18.1640625" style="157" bestFit="1" customWidth="1"/>
    <col min="13593" max="13593" width="10.83203125" style="157" bestFit="1" customWidth="1"/>
    <col min="13594" max="13829" width="8.83203125" style="157"/>
    <col min="13830" max="13830" width="38.1640625" style="157" customWidth="1"/>
    <col min="13831" max="13831" width="23.44140625" style="157" bestFit="1" customWidth="1"/>
    <col min="13832" max="13833" width="9.1640625" style="157" customWidth="1"/>
    <col min="13834" max="13834" width="11.1640625" style="157" bestFit="1" customWidth="1"/>
    <col min="13835" max="13835" width="14.44140625" style="157" bestFit="1" customWidth="1"/>
    <col min="13836" max="13836" width="8.1640625" style="157" customWidth="1"/>
    <col min="13837" max="13837" width="10.83203125" style="157" bestFit="1" customWidth="1"/>
    <col min="13838" max="13838" width="12.1640625" style="157" bestFit="1" customWidth="1"/>
    <col min="13839" max="13839" width="9.1640625" style="157" customWidth="1"/>
    <col min="13840" max="13840" width="10.83203125" style="157" bestFit="1" customWidth="1"/>
    <col min="13841" max="13841" width="12.1640625" style="157" bestFit="1" customWidth="1"/>
    <col min="13842" max="13842" width="8" style="157" customWidth="1"/>
    <col min="13843" max="13843" width="10.83203125" style="157" bestFit="1" customWidth="1"/>
    <col min="13844" max="13844" width="12.1640625" style="157" bestFit="1" customWidth="1"/>
    <col min="13845" max="13845" width="8.1640625" style="157" bestFit="1" customWidth="1"/>
    <col min="13846" max="13846" width="10.83203125" style="157" bestFit="1" customWidth="1"/>
    <col min="13847" max="13847" width="12.1640625" style="157" bestFit="1" customWidth="1"/>
    <col min="13848" max="13848" width="18.1640625" style="157" bestFit="1" customWidth="1"/>
    <col min="13849" max="13849" width="10.83203125" style="157" bestFit="1" customWidth="1"/>
    <col min="13850" max="14085" width="8.83203125" style="157"/>
    <col min="14086" max="14086" width="38.1640625" style="157" customWidth="1"/>
    <col min="14087" max="14087" width="23.44140625" style="157" bestFit="1" customWidth="1"/>
    <col min="14088" max="14089" width="9.1640625" style="157" customWidth="1"/>
    <col min="14090" max="14090" width="11.1640625" style="157" bestFit="1" customWidth="1"/>
    <col min="14091" max="14091" width="14.44140625" style="157" bestFit="1" customWidth="1"/>
    <col min="14092" max="14092" width="8.1640625" style="157" customWidth="1"/>
    <col min="14093" max="14093" width="10.83203125" style="157" bestFit="1" customWidth="1"/>
    <col min="14094" max="14094" width="12.1640625" style="157" bestFit="1" customWidth="1"/>
    <col min="14095" max="14095" width="9.1640625" style="157" customWidth="1"/>
    <col min="14096" max="14096" width="10.83203125" style="157" bestFit="1" customWidth="1"/>
    <col min="14097" max="14097" width="12.1640625" style="157" bestFit="1" customWidth="1"/>
    <col min="14098" max="14098" width="8" style="157" customWidth="1"/>
    <col min="14099" max="14099" width="10.83203125" style="157" bestFit="1" customWidth="1"/>
    <col min="14100" max="14100" width="12.1640625" style="157" bestFit="1" customWidth="1"/>
    <col min="14101" max="14101" width="8.1640625" style="157" bestFit="1" customWidth="1"/>
    <col min="14102" max="14102" width="10.83203125" style="157" bestFit="1" customWidth="1"/>
    <col min="14103" max="14103" width="12.1640625" style="157" bestFit="1" customWidth="1"/>
    <col min="14104" max="14104" width="18.1640625" style="157" bestFit="1" customWidth="1"/>
    <col min="14105" max="14105" width="10.83203125" style="157" bestFit="1" customWidth="1"/>
    <col min="14106" max="14341" width="8.83203125" style="157"/>
    <col min="14342" max="14342" width="38.1640625" style="157" customWidth="1"/>
    <col min="14343" max="14343" width="23.44140625" style="157" bestFit="1" customWidth="1"/>
    <col min="14344" max="14345" width="9.1640625" style="157" customWidth="1"/>
    <col min="14346" max="14346" width="11.1640625" style="157" bestFit="1" customWidth="1"/>
    <col min="14347" max="14347" width="14.44140625" style="157" bestFit="1" customWidth="1"/>
    <col min="14348" max="14348" width="8.1640625" style="157" customWidth="1"/>
    <col min="14349" max="14349" width="10.83203125" style="157" bestFit="1" customWidth="1"/>
    <col min="14350" max="14350" width="12.1640625" style="157" bestFit="1" customWidth="1"/>
    <col min="14351" max="14351" width="9.1640625" style="157" customWidth="1"/>
    <col min="14352" max="14352" width="10.83203125" style="157" bestFit="1" customWidth="1"/>
    <col min="14353" max="14353" width="12.1640625" style="157" bestFit="1" customWidth="1"/>
    <col min="14354" max="14354" width="8" style="157" customWidth="1"/>
    <col min="14355" max="14355" width="10.83203125" style="157" bestFit="1" customWidth="1"/>
    <col min="14356" max="14356" width="12.1640625" style="157" bestFit="1" customWidth="1"/>
    <col min="14357" max="14357" width="8.1640625" style="157" bestFit="1" customWidth="1"/>
    <col min="14358" max="14358" width="10.83203125" style="157" bestFit="1" customWidth="1"/>
    <col min="14359" max="14359" width="12.1640625" style="157" bestFit="1" customWidth="1"/>
    <col min="14360" max="14360" width="18.1640625" style="157" bestFit="1" customWidth="1"/>
    <col min="14361" max="14361" width="10.83203125" style="157" bestFit="1" customWidth="1"/>
    <col min="14362" max="14597" width="8.83203125" style="157"/>
    <col min="14598" max="14598" width="38.1640625" style="157" customWidth="1"/>
    <col min="14599" max="14599" width="23.44140625" style="157" bestFit="1" customWidth="1"/>
    <col min="14600" max="14601" width="9.1640625" style="157" customWidth="1"/>
    <col min="14602" max="14602" width="11.1640625" style="157" bestFit="1" customWidth="1"/>
    <col min="14603" max="14603" width="14.44140625" style="157" bestFit="1" customWidth="1"/>
    <col min="14604" max="14604" width="8.1640625" style="157" customWidth="1"/>
    <col min="14605" max="14605" width="10.83203125" style="157" bestFit="1" customWidth="1"/>
    <col min="14606" max="14606" width="12.1640625" style="157" bestFit="1" customWidth="1"/>
    <col min="14607" max="14607" width="9.1640625" style="157" customWidth="1"/>
    <col min="14608" max="14608" width="10.83203125" style="157" bestFit="1" customWidth="1"/>
    <col min="14609" max="14609" width="12.1640625" style="157" bestFit="1" customWidth="1"/>
    <col min="14610" max="14610" width="8" style="157" customWidth="1"/>
    <col min="14611" max="14611" width="10.83203125" style="157" bestFit="1" customWidth="1"/>
    <col min="14612" max="14612" width="12.1640625" style="157" bestFit="1" customWidth="1"/>
    <col min="14613" max="14613" width="8.1640625" style="157" bestFit="1" customWidth="1"/>
    <col min="14614" max="14614" width="10.83203125" style="157" bestFit="1" customWidth="1"/>
    <col min="14615" max="14615" width="12.1640625" style="157" bestFit="1" customWidth="1"/>
    <col min="14616" max="14616" width="18.1640625" style="157" bestFit="1" customWidth="1"/>
    <col min="14617" max="14617" width="10.83203125" style="157" bestFit="1" customWidth="1"/>
    <col min="14618" max="14853" width="8.83203125" style="157"/>
    <col min="14854" max="14854" width="38.1640625" style="157" customWidth="1"/>
    <col min="14855" max="14855" width="23.44140625" style="157" bestFit="1" customWidth="1"/>
    <col min="14856" max="14857" width="9.1640625" style="157" customWidth="1"/>
    <col min="14858" max="14858" width="11.1640625" style="157" bestFit="1" customWidth="1"/>
    <col min="14859" max="14859" width="14.44140625" style="157" bestFit="1" customWidth="1"/>
    <col min="14860" max="14860" width="8.1640625" style="157" customWidth="1"/>
    <col min="14861" max="14861" width="10.83203125" style="157" bestFit="1" customWidth="1"/>
    <col min="14862" max="14862" width="12.1640625" style="157" bestFit="1" customWidth="1"/>
    <col min="14863" max="14863" width="9.1640625" style="157" customWidth="1"/>
    <col min="14864" max="14864" width="10.83203125" style="157" bestFit="1" customWidth="1"/>
    <col min="14865" max="14865" width="12.1640625" style="157" bestFit="1" customWidth="1"/>
    <col min="14866" max="14866" width="8" style="157" customWidth="1"/>
    <col min="14867" max="14867" width="10.83203125" style="157" bestFit="1" customWidth="1"/>
    <col min="14868" max="14868" width="12.1640625" style="157" bestFit="1" customWidth="1"/>
    <col min="14869" max="14869" width="8.1640625" style="157" bestFit="1" customWidth="1"/>
    <col min="14870" max="14870" width="10.83203125" style="157" bestFit="1" customWidth="1"/>
    <col min="14871" max="14871" width="12.1640625" style="157" bestFit="1" customWidth="1"/>
    <col min="14872" max="14872" width="18.1640625" style="157" bestFit="1" customWidth="1"/>
    <col min="14873" max="14873" width="10.83203125" style="157" bestFit="1" customWidth="1"/>
    <col min="14874" max="15109" width="8.83203125" style="157"/>
    <col min="15110" max="15110" width="38.1640625" style="157" customWidth="1"/>
    <col min="15111" max="15111" width="23.44140625" style="157" bestFit="1" customWidth="1"/>
    <col min="15112" max="15113" width="9.1640625" style="157" customWidth="1"/>
    <col min="15114" max="15114" width="11.1640625" style="157" bestFit="1" customWidth="1"/>
    <col min="15115" max="15115" width="14.44140625" style="157" bestFit="1" customWidth="1"/>
    <col min="15116" max="15116" width="8.1640625" style="157" customWidth="1"/>
    <col min="15117" max="15117" width="10.83203125" style="157" bestFit="1" customWidth="1"/>
    <col min="15118" max="15118" width="12.1640625" style="157" bestFit="1" customWidth="1"/>
    <col min="15119" max="15119" width="9.1640625" style="157" customWidth="1"/>
    <col min="15120" max="15120" width="10.83203125" style="157" bestFit="1" customWidth="1"/>
    <col min="15121" max="15121" width="12.1640625" style="157" bestFit="1" customWidth="1"/>
    <col min="15122" max="15122" width="8" style="157" customWidth="1"/>
    <col min="15123" max="15123" width="10.83203125" style="157" bestFit="1" customWidth="1"/>
    <col min="15124" max="15124" width="12.1640625" style="157" bestFit="1" customWidth="1"/>
    <col min="15125" max="15125" width="8.1640625" style="157" bestFit="1" customWidth="1"/>
    <col min="15126" max="15126" width="10.83203125" style="157" bestFit="1" customWidth="1"/>
    <col min="15127" max="15127" width="12.1640625" style="157" bestFit="1" customWidth="1"/>
    <col min="15128" max="15128" width="18.1640625" style="157" bestFit="1" customWidth="1"/>
    <col min="15129" max="15129" width="10.83203125" style="157" bestFit="1" customWidth="1"/>
    <col min="15130" max="15365" width="8.83203125" style="157"/>
    <col min="15366" max="15366" width="38.1640625" style="157" customWidth="1"/>
    <col min="15367" max="15367" width="23.44140625" style="157" bestFit="1" customWidth="1"/>
    <col min="15368" max="15369" width="9.1640625" style="157" customWidth="1"/>
    <col min="15370" max="15370" width="11.1640625" style="157" bestFit="1" customWidth="1"/>
    <col min="15371" max="15371" width="14.44140625" style="157" bestFit="1" customWidth="1"/>
    <col min="15372" max="15372" width="8.1640625" style="157" customWidth="1"/>
    <col min="15373" max="15373" width="10.83203125" style="157" bestFit="1" customWidth="1"/>
    <col min="15374" max="15374" width="12.1640625" style="157" bestFit="1" customWidth="1"/>
    <col min="15375" max="15375" width="9.1640625" style="157" customWidth="1"/>
    <col min="15376" max="15376" width="10.83203125" style="157" bestFit="1" customWidth="1"/>
    <col min="15377" max="15377" width="12.1640625" style="157" bestFit="1" customWidth="1"/>
    <col min="15378" max="15378" width="8" style="157" customWidth="1"/>
    <col min="15379" max="15379" width="10.83203125" style="157" bestFit="1" customWidth="1"/>
    <col min="15380" max="15380" width="12.1640625" style="157" bestFit="1" customWidth="1"/>
    <col min="15381" max="15381" width="8.1640625" style="157" bestFit="1" customWidth="1"/>
    <col min="15382" max="15382" width="10.83203125" style="157" bestFit="1" customWidth="1"/>
    <col min="15383" max="15383" width="12.1640625" style="157" bestFit="1" customWidth="1"/>
    <col min="15384" max="15384" width="18.1640625" style="157" bestFit="1" customWidth="1"/>
    <col min="15385" max="15385" width="10.83203125" style="157" bestFit="1" customWidth="1"/>
    <col min="15386" max="15621" width="8.83203125" style="157"/>
    <col min="15622" max="15622" width="38.1640625" style="157" customWidth="1"/>
    <col min="15623" max="15623" width="23.44140625" style="157" bestFit="1" customWidth="1"/>
    <col min="15624" max="15625" width="9.1640625" style="157" customWidth="1"/>
    <col min="15626" max="15626" width="11.1640625" style="157" bestFit="1" customWidth="1"/>
    <col min="15627" max="15627" width="14.44140625" style="157" bestFit="1" customWidth="1"/>
    <col min="15628" max="15628" width="8.1640625" style="157" customWidth="1"/>
    <col min="15629" max="15629" width="10.83203125" style="157" bestFit="1" customWidth="1"/>
    <col min="15630" max="15630" width="12.1640625" style="157" bestFit="1" customWidth="1"/>
    <col min="15631" max="15631" width="9.1640625" style="157" customWidth="1"/>
    <col min="15632" max="15632" width="10.83203125" style="157" bestFit="1" customWidth="1"/>
    <col min="15633" max="15633" width="12.1640625" style="157" bestFit="1" customWidth="1"/>
    <col min="15634" max="15634" width="8" style="157" customWidth="1"/>
    <col min="15635" max="15635" width="10.83203125" style="157" bestFit="1" customWidth="1"/>
    <col min="15636" max="15636" width="12.1640625" style="157" bestFit="1" customWidth="1"/>
    <col min="15637" max="15637" width="8.1640625" style="157" bestFit="1" customWidth="1"/>
    <col min="15638" max="15638" width="10.83203125" style="157" bestFit="1" customWidth="1"/>
    <col min="15639" max="15639" width="12.1640625" style="157" bestFit="1" customWidth="1"/>
    <col min="15640" max="15640" width="18.1640625" style="157" bestFit="1" customWidth="1"/>
    <col min="15641" max="15641" width="10.83203125" style="157" bestFit="1" customWidth="1"/>
    <col min="15642" max="15877" width="8.83203125" style="157"/>
    <col min="15878" max="15878" width="38.1640625" style="157" customWidth="1"/>
    <col min="15879" max="15879" width="23.44140625" style="157" bestFit="1" customWidth="1"/>
    <col min="15880" max="15881" width="9.1640625" style="157" customWidth="1"/>
    <col min="15882" max="15882" width="11.1640625" style="157" bestFit="1" customWidth="1"/>
    <col min="15883" max="15883" width="14.44140625" style="157" bestFit="1" customWidth="1"/>
    <col min="15884" max="15884" width="8.1640625" style="157" customWidth="1"/>
    <col min="15885" max="15885" width="10.83203125" style="157" bestFit="1" customWidth="1"/>
    <col min="15886" max="15886" width="12.1640625" style="157" bestFit="1" customWidth="1"/>
    <col min="15887" max="15887" width="9.1640625" style="157" customWidth="1"/>
    <col min="15888" max="15888" width="10.83203125" style="157" bestFit="1" customWidth="1"/>
    <col min="15889" max="15889" width="12.1640625" style="157" bestFit="1" customWidth="1"/>
    <col min="15890" max="15890" width="8" style="157" customWidth="1"/>
    <col min="15891" max="15891" width="10.83203125" style="157" bestFit="1" customWidth="1"/>
    <col min="15892" max="15892" width="12.1640625" style="157" bestFit="1" customWidth="1"/>
    <col min="15893" max="15893" width="8.1640625" style="157" bestFit="1" customWidth="1"/>
    <col min="15894" max="15894" width="10.83203125" style="157" bestFit="1" customWidth="1"/>
    <col min="15895" max="15895" width="12.1640625" style="157" bestFit="1" customWidth="1"/>
    <col min="15896" max="15896" width="18.1640625" style="157" bestFit="1" customWidth="1"/>
    <col min="15897" max="15897" width="10.83203125" style="157" bestFit="1" customWidth="1"/>
    <col min="15898" max="16133" width="8.83203125" style="157"/>
    <col min="16134" max="16134" width="38.1640625" style="157" customWidth="1"/>
    <col min="16135" max="16135" width="23.44140625" style="157" bestFit="1" customWidth="1"/>
    <col min="16136" max="16137" width="9.1640625" style="157" customWidth="1"/>
    <col min="16138" max="16138" width="11.1640625" style="157" bestFit="1" customWidth="1"/>
    <col min="16139" max="16139" width="14.44140625" style="157" bestFit="1" customWidth="1"/>
    <col min="16140" max="16140" width="8.1640625" style="157" customWidth="1"/>
    <col min="16141" max="16141" width="10.83203125" style="157" bestFit="1" customWidth="1"/>
    <col min="16142" max="16142" width="12.1640625" style="157" bestFit="1" customWidth="1"/>
    <col min="16143" max="16143" width="9.1640625" style="157" customWidth="1"/>
    <col min="16144" max="16144" width="10.83203125" style="157" bestFit="1" customWidth="1"/>
    <col min="16145" max="16145" width="12.1640625" style="157" bestFit="1" customWidth="1"/>
    <col min="16146" max="16146" width="8" style="157" customWidth="1"/>
    <col min="16147" max="16147" width="10.83203125" style="157" bestFit="1" customWidth="1"/>
    <col min="16148" max="16148" width="12.1640625" style="157" bestFit="1" customWidth="1"/>
    <col min="16149" max="16149" width="8.1640625" style="157" bestFit="1" customWidth="1"/>
    <col min="16150" max="16150" width="10.83203125" style="157" bestFit="1" customWidth="1"/>
    <col min="16151" max="16151" width="12.1640625" style="157" bestFit="1" customWidth="1"/>
    <col min="16152" max="16152" width="18.1640625" style="157" bestFit="1" customWidth="1"/>
    <col min="16153" max="16153" width="10.83203125" style="157" bestFit="1" customWidth="1"/>
    <col min="16154" max="16384" width="8.83203125" style="157"/>
  </cols>
  <sheetData>
    <row r="1" spans="1:33" ht="14.7" thickBot="1"/>
    <row r="2" spans="1:33" ht="23.5" customHeight="1">
      <c r="A2" s="658" t="s">
        <v>499</v>
      </c>
      <c r="B2" s="652" t="s">
        <v>500</v>
      </c>
      <c r="C2" s="660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48" t="s">
        <v>502</v>
      </c>
      <c r="AB2" s="163"/>
    </row>
    <row r="3" spans="1:33" ht="47.95" customHeight="1">
      <c r="A3" s="659"/>
      <c r="B3" s="653"/>
      <c r="C3" s="662"/>
      <c r="D3" s="164" t="s">
        <v>503</v>
      </c>
      <c r="E3" s="165" t="s">
        <v>504</v>
      </c>
      <c r="F3" s="167" t="s">
        <v>505</v>
      </c>
      <c r="G3" s="168" t="s">
        <v>502</v>
      </c>
      <c r="H3" s="164" t="s">
        <v>503</v>
      </c>
      <c r="I3" s="165" t="s">
        <v>504</v>
      </c>
      <c r="J3" s="166" t="s">
        <v>505</v>
      </c>
      <c r="K3" s="168" t="s">
        <v>502</v>
      </c>
      <c r="L3" s="164" t="s">
        <v>503</v>
      </c>
      <c r="M3" s="165" t="s">
        <v>504</v>
      </c>
      <c r="N3" s="167" t="s">
        <v>505</v>
      </c>
      <c r="O3" s="168" t="s">
        <v>502</v>
      </c>
      <c r="P3" s="164" t="s">
        <v>503</v>
      </c>
      <c r="Q3" s="165" t="s">
        <v>504</v>
      </c>
      <c r="R3" s="167" t="s">
        <v>505</v>
      </c>
      <c r="S3" s="168" t="s">
        <v>502</v>
      </c>
      <c r="T3" s="649"/>
      <c r="AB3" s="163"/>
      <c r="AC3" s="157" t="s">
        <v>543</v>
      </c>
    </row>
    <row r="4" spans="1:33" ht="20.399999999999999">
      <c r="A4" s="324" t="s">
        <v>506</v>
      </c>
      <c r="B4" s="169"/>
      <c r="C4" s="169"/>
      <c r="D4" s="170"/>
      <c r="E4" s="171"/>
      <c r="F4" s="174"/>
      <c r="G4" s="175"/>
      <c r="H4" s="170"/>
      <c r="I4" s="171"/>
      <c r="J4" s="172"/>
      <c r="K4" s="175"/>
      <c r="L4" s="176"/>
      <c r="M4" s="171"/>
      <c r="N4" s="174"/>
      <c r="O4" s="175"/>
      <c r="P4" s="176"/>
      <c r="Q4" s="171"/>
      <c r="R4" s="174"/>
      <c r="S4" s="177"/>
      <c r="T4" s="175"/>
      <c r="AB4" s="178" t="s">
        <v>544</v>
      </c>
      <c r="AC4" s="178" t="s">
        <v>545</v>
      </c>
      <c r="AD4" s="178" t="s">
        <v>546</v>
      </c>
    </row>
    <row r="5" spans="1:33" s="189" customFormat="1" ht="15" customHeight="1" outlineLevel="1">
      <c r="A5" s="179" t="s">
        <v>53</v>
      </c>
      <c r="B5" s="180"/>
      <c r="C5" s="184"/>
      <c r="D5" s="181"/>
      <c r="E5" s="182"/>
      <c r="F5" s="185"/>
      <c r="G5" s="186"/>
      <c r="H5" s="181"/>
      <c r="I5" s="182"/>
      <c r="J5" s="183"/>
      <c r="K5" s="186"/>
      <c r="L5" s="181"/>
      <c r="M5" s="182"/>
      <c r="N5" s="185"/>
      <c r="O5" s="186"/>
      <c r="P5" s="181"/>
      <c r="Q5" s="182"/>
      <c r="R5" s="185"/>
      <c r="S5" s="186"/>
      <c r="T5" s="187"/>
      <c r="U5" s="188"/>
      <c r="V5" s="157"/>
      <c r="W5" s="157"/>
      <c r="X5" s="157"/>
      <c r="Y5" s="157"/>
      <c r="Z5" s="157"/>
      <c r="AA5" s="157"/>
      <c r="AB5" s="163"/>
    </row>
    <row r="6" spans="1:33" s="189" customFormat="1" ht="15.6" outlineLevel="1">
      <c r="A6" s="190" t="s">
        <v>507</v>
      </c>
      <c r="B6" s="191"/>
      <c r="C6" s="184"/>
      <c r="D6" s="181"/>
      <c r="E6" s="182"/>
      <c r="F6" s="185"/>
      <c r="G6" s="186"/>
      <c r="H6" s="181"/>
      <c r="I6" s="182"/>
      <c r="J6" s="183"/>
      <c r="K6" s="186"/>
      <c r="L6" s="181"/>
      <c r="M6" s="182"/>
      <c r="N6" s="185"/>
      <c r="O6" s="186"/>
      <c r="P6" s="181"/>
      <c r="Q6" s="182"/>
      <c r="R6" s="185"/>
      <c r="S6" s="186"/>
      <c r="T6" s="332"/>
      <c r="U6" s="192"/>
      <c r="V6" s="157"/>
      <c r="W6" s="157"/>
      <c r="X6" s="157"/>
      <c r="Y6" s="157"/>
      <c r="Z6" s="157"/>
      <c r="AA6" s="157"/>
      <c r="AB6" s="163"/>
    </row>
    <row r="7" spans="1:33" ht="15" customHeight="1" outlineLevel="1">
      <c r="A7" s="193" t="str">
        <f>'Program Budget'!D601</f>
        <v>Key Personnel: Chief of Party</v>
      </c>
      <c r="B7" s="194" t="str">
        <f>'Program Budget'!F601</f>
        <v>Month</v>
      </c>
      <c r="C7" s="198">
        <f>'Program Budget'!E601</f>
        <v>34561</v>
      </c>
      <c r="D7" s="195">
        <f>'Program Budget'!G601</f>
        <v>14250</v>
      </c>
      <c r="E7" s="196">
        <f>'Program Budget'!I601</f>
        <v>12</v>
      </c>
      <c r="F7" s="199">
        <f>'Program Budget'!H601</f>
        <v>0.1</v>
      </c>
      <c r="G7" s="198">
        <f>D7*E7*F7</f>
        <v>17100</v>
      </c>
      <c r="H7" s="195">
        <f>D7*1.05</f>
        <v>14962.5</v>
      </c>
      <c r="I7" s="196">
        <f>'Program Budget'!L601</f>
        <v>12</v>
      </c>
      <c r="J7" s="199">
        <f>'Program Budget'!K601</f>
        <v>0.19</v>
      </c>
      <c r="K7" s="198">
        <f>H7*I7*J7</f>
        <v>34114.5</v>
      </c>
      <c r="L7" s="195">
        <f>H7*1.05</f>
        <v>15710.625</v>
      </c>
      <c r="M7" s="196">
        <f>'Program Budget'!O601</f>
        <v>12</v>
      </c>
      <c r="N7" s="199">
        <f>'Program Budget'!N601</f>
        <v>0.19</v>
      </c>
      <c r="O7" s="198">
        <f>L7*M7*N7</f>
        <v>35820.224999999999</v>
      </c>
      <c r="P7" s="195">
        <f>L7*1.05</f>
        <v>16496.15625</v>
      </c>
      <c r="Q7" s="196">
        <f>'Program Budget'!R601</f>
        <v>0</v>
      </c>
      <c r="R7" s="199">
        <f>'Program Budget'!Q601</f>
        <v>0.19</v>
      </c>
      <c r="S7" s="198">
        <f>P7*Q7*R7</f>
        <v>0</v>
      </c>
      <c r="T7" s="335">
        <f>C7+G7+K7+O7+S7</f>
        <v>121595.72500000001</v>
      </c>
      <c r="U7" s="201"/>
      <c r="V7" s="188"/>
      <c r="W7" s="202"/>
      <c r="X7" s="202"/>
      <c r="AB7" s="163">
        <v>180</v>
      </c>
      <c r="AC7" s="203" t="s">
        <v>547</v>
      </c>
      <c r="AD7" s="203" t="s">
        <v>548</v>
      </c>
      <c r="AE7" s="204"/>
      <c r="AG7" s="205"/>
    </row>
    <row r="8" spans="1:33" ht="15" customHeight="1" outlineLevel="1">
      <c r="A8" s="208" t="s">
        <v>508</v>
      </c>
      <c r="B8" s="209"/>
      <c r="C8" s="213">
        <f>SUM(C7:C7)</f>
        <v>34561</v>
      </c>
      <c r="D8" s="210"/>
      <c r="E8" s="211"/>
      <c r="F8" s="214"/>
      <c r="G8" s="213">
        <f>SUM(G7:G7)</f>
        <v>17100</v>
      </c>
      <c r="H8" s="210"/>
      <c r="I8" s="211"/>
      <c r="J8" s="212"/>
      <c r="K8" s="213">
        <f>SUM(K7:K7)</f>
        <v>34114.5</v>
      </c>
      <c r="L8" s="210"/>
      <c r="M8" s="211"/>
      <c r="N8" s="214"/>
      <c r="O8" s="213">
        <f>SUM(O7:O7)</f>
        <v>35820.224999999999</v>
      </c>
      <c r="P8" s="210"/>
      <c r="Q8" s="211"/>
      <c r="R8" s="214"/>
      <c r="S8" s="213">
        <f>SUM(S7:S7)</f>
        <v>0</v>
      </c>
      <c r="T8" s="334">
        <f>+C8+G8+K8+O8+S8</f>
        <v>121595.72500000001</v>
      </c>
      <c r="AB8" s="163"/>
      <c r="AC8" s="203"/>
      <c r="AD8" s="203" t="s">
        <v>549</v>
      </c>
    </row>
    <row r="9" spans="1:33" ht="15" customHeight="1" outlineLevel="1">
      <c r="A9" s="190" t="s">
        <v>576</v>
      </c>
      <c r="B9" s="216"/>
      <c r="C9" s="198"/>
      <c r="D9" s="217"/>
      <c r="E9" s="218"/>
      <c r="F9" s="220"/>
      <c r="G9" s="200"/>
      <c r="H9" s="217"/>
      <c r="I9" s="218"/>
      <c r="J9" s="219"/>
      <c r="K9" s="200"/>
      <c r="L9" s="217"/>
      <c r="M9" s="218"/>
      <c r="N9" s="220"/>
      <c r="O9" s="200"/>
      <c r="P9" s="217"/>
      <c r="Q9" s="218"/>
      <c r="R9" s="220"/>
      <c r="S9" s="200"/>
      <c r="T9" s="350"/>
      <c r="U9" s="192"/>
      <c r="AB9" s="163"/>
      <c r="AC9" s="203"/>
      <c r="AD9" s="203" t="s">
        <v>549</v>
      </c>
      <c r="AG9" s="205"/>
    </row>
    <row r="10" spans="1:33" ht="15" customHeight="1" outlineLevel="1">
      <c r="A10" s="193" t="str">
        <f>'Program Budget'!D602</f>
        <v>Deputy Chief of Party / Value Chain Strengthening Director</v>
      </c>
      <c r="B10" s="194" t="str">
        <f>'Program Budget'!F602</f>
        <v>Month</v>
      </c>
      <c r="C10" s="198">
        <f>'Program Budget'!E602</f>
        <v>0</v>
      </c>
      <c r="D10" s="195">
        <f>'Program Budget'!G602</f>
        <v>5000</v>
      </c>
      <c r="E10" s="196">
        <f>'Program Budget'!I602</f>
        <v>12</v>
      </c>
      <c r="F10" s="199">
        <f>'Program Budget'!H602</f>
        <v>0.1</v>
      </c>
      <c r="G10" s="198">
        <f>D10*E10*F10</f>
        <v>6000</v>
      </c>
      <c r="H10" s="195">
        <f>D10*1.05</f>
        <v>5250</v>
      </c>
      <c r="I10" s="196">
        <f>'Program Budget'!L602</f>
        <v>12</v>
      </c>
      <c r="J10" s="199">
        <f>'Program Budget'!K602</f>
        <v>0.15</v>
      </c>
      <c r="K10" s="198">
        <f>H10*I10*J10</f>
        <v>9450</v>
      </c>
      <c r="L10" s="195">
        <f>H10*1.05</f>
        <v>5512.5</v>
      </c>
      <c r="M10" s="196">
        <f>'Program Budget'!O602</f>
        <v>12</v>
      </c>
      <c r="N10" s="199">
        <f>'Program Budget'!N602</f>
        <v>0.15</v>
      </c>
      <c r="O10" s="198">
        <f>L10*M10*N10</f>
        <v>9922.5</v>
      </c>
      <c r="P10" s="195">
        <f>L10*1.05</f>
        <v>5788.125</v>
      </c>
      <c r="Q10" s="196">
        <f>'Program Budget'!R602</f>
        <v>6</v>
      </c>
      <c r="R10" s="199">
        <f>'Program Budget'!Q602</f>
        <v>0.15</v>
      </c>
      <c r="S10" s="198">
        <f>P10*Q10*R10</f>
        <v>5209.3125</v>
      </c>
      <c r="T10" s="333">
        <f>C10+G10+K10+O10+S10</f>
        <v>30581.8125</v>
      </c>
      <c r="U10" s="201"/>
      <c r="V10" s="188"/>
      <c r="W10" s="202"/>
      <c r="X10" s="202"/>
      <c r="AB10" s="163">
        <v>180</v>
      </c>
      <c r="AC10" s="203" t="s">
        <v>547</v>
      </c>
      <c r="AD10" s="203" t="s">
        <v>548</v>
      </c>
      <c r="AE10" s="204"/>
      <c r="AG10" s="205"/>
    </row>
    <row r="11" spans="1:33" ht="15" customHeight="1" outlineLevel="1">
      <c r="A11" s="193" t="str">
        <f>'Program Budget'!D603</f>
        <v>Key Personnel: Technical Director</v>
      </c>
      <c r="B11" s="194" t="str">
        <f>'Program Budget'!F603</f>
        <v>Month</v>
      </c>
      <c r="C11" s="198">
        <f>'Program Budget'!E603</f>
        <v>16516</v>
      </c>
      <c r="D11" s="195">
        <f>'Program Budget'!G603</f>
        <v>4583.333333333333</v>
      </c>
      <c r="E11" s="196">
        <f>'Program Budget'!I603</f>
        <v>12</v>
      </c>
      <c r="F11" s="199">
        <f>'Program Budget'!H603</f>
        <v>0</v>
      </c>
      <c r="G11" s="198">
        <f t="shared" ref="G11:G38" si="0">D11*E11*F11</f>
        <v>0</v>
      </c>
      <c r="H11" s="195">
        <f t="shared" ref="H11:H38" si="1">D11*1.05</f>
        <v>4812.5</v>
      </c>
      <c r="I11" s="196">
        <f>'Program Budget'!L603</f>
        <v>12</v>
      </c>
      <c r="J11" s="199">
        <f>'Program Budget'!K603</f>
        <v>0</v>
      </c>
      <c r="K11" s="198">
        <f t="shared" ref="K11:K38" si="2">H11*I11*J11</f>
        <v>0</v>
      </c>
      <c r="L11" s="195">
        <f t="shared" ref="L11:L38" si="3">H11*1.05</f>
        <v>5053.125</v>
      </c>
      <c r="M11" s="196">
        <f>'Program Budget'!O603</f>
        <v>12</v>
      </c>
      <c r="N11" s="199">
        <f>'Program Budget'!N603</f>
        <v>0</v>
      </c>
      <c r="O11" s="198">
        <f t="shared" ref="O11:O38" si="4">L11*M11*N11</f>
        <v>0</v>
      </c>
      <c r="P11" s="195">
        <f t="shared" ref="P11:P38" si="5">L11*1.05</f>
        <v>5305.78125</v>
      </c>
      <c r="Q11" s="196">
        <f>'Program Budget'!R603</f>
        <v>5</v>
      </c>
      <c r="R11" s="199">
        <f>'Program Budget'!Q603</f>
        <v>0</v>
      </c>
      <c r="S11" s="198">
        <f t="shared" ref="S11:S38" si="6">P11*Q11*R11</f>
        <v>0</v>
      </c>
      <c r="T11" s="333">
        <f t="shared" ref="T11:T38" si="7">C11+G11+K11+O11+S11</f>
        <v>16516</v>
      </c>
      <c r="U11" s="201"/>
      <c r="V11" s="188"/>
      <c r="W11" s="202"/>
      <c r="X11" s="202"/>
      <c r="AB11" s="163">
        <v>180</v>
      </c>
      <c r="AC11" s="203" t="s">
        <v>547</v>
      </c>
      <c r="AD11" s="203" t="s">
        <v>548</v>
      </c>
      <c r="AE11" s="204"/>
      <c r="AG11" s="205"/>
    </row>
    <row r="12" spans="1:33" ht="15" customHeight="1" outlineLevel="1">
      <c r="A12" s="193" t="str">
        <f>'Program Budget'!D604</f>
        <v>Activity Lead Agribusiness Senior Specialist (Cacao)</v>
      </c>
      <c r="B12" s="194" t="str">
        <f>'Program Budget'!F604</f>
        <v>Month</v>
      </c>
      <c r="C12" s="198">
        <f>'Program Budget'!E604</f>
        <v>0</v>
      </c>
      <c r="D12" s="195">
        <f>'Program Budget'!G604</f>
        <v>2833.3333333333335</v>
      </c>
      <c r="E12" s="196">
        <f>'Program Budget'!I604</f>
        <v>12</v>
      </c>
      <c r="F12" s="199">
        <f>'Program Budget'!H604</f>
        <v>0.1</v>
      </c>
      <c r="G12" s="198">
        <f t="shared" si="0"/>
        <v>3400</v>
      </c>
      <c r="H12" s="195">
        <f t="shared" si="1"/>
        <v>2975.0000000000005</v>
      </c>
      <c r="I12" s="196">
        <f>'Program Budget'!L604</f>
        <v>12</v>
      </c>
      <c r="J12" s="199">
        <f>'Program Budget'!K604</f>
        <v>0</v>
      </c>
      <c r="K12" s="198">
        <f t="shared" si="2"/>
        <v>0</v>
      </c>
      <c r="L12" s="195">
        <f t="shared" si="3"/>
        <v>3123.7500000000005</v>
      </c>
      <c r="M12" s="196">
        <f>'Program Budget'!O604</f>
        <v>12</v>
      </c>
      <c r="N12" s="199">
        <f>'Program Budget'!N604</f>
        <v>0</v>
      </c>
      <c r="O12" s="198">
        <f t="shared" si="4"/>
        <v>0</v>
      </c>
      <c r="P12" s="195">
        <f t="shared" si="5"/>
        <v>3279.9375000000005</v>
      </c>
      <c r="Q12" s="196">
        <f>'Program Budget'!R604</f>
        <v>2</v>
      </c>
      <c r="R12" s="199">
        <f>'Program Budget'!Q604</f>
        <v>0</v>
      </c>
      <c r="S12" s="198">
        <f t="shared" si="6"/>
        <v>0</v>
      </c>
      <c r="T12" s="333">
        <f t="shared" si="7"/>
        <v>3400</v>
      </c>
      <c r="U12" s="201"/>
      <c r="V12" s="188"/>
      <c r="W12" s="202"/>
      <c r="X12" s="202"/>
      <c r="AB12" s="163">
        <v>180</v>
      </c>
      <c r="AC12" s="203" t="s">
        <v>547</v>
      </c>
      <c r="AD12" s="203" t="s">
        <v>548</v>
      </c>
      <c r="AE12" s="204"/>
      <c r="AG12" s="205"/>
    </row>
    <row r="13" spans="1:33" ht="15" customHeight="1" outlineLevel="1">
      <c r="A13" s="193" t="str">
        <f>'Program Budget'!D605</f>
        <v>Cacao Field Officer</v>
      </c>
      <c r="B13" s="194" t="str">
        <f>'Program Budget'!F605</f>
        <v>Month</v>
      </c>
      <c r="C13" s="198">
        <f>'Program Budget'!E605</f>
        <v>0</v>
      </c>
      <c r="D13" s="195">
        <f>'Program Budget'!G605</f>
        <v>1333.3333333333333</v>
      </c>
      <c r="E13" s="196">
        <f>'Program Budget'!I605</f>
        <v>12</v>
      </c>
      <c r="F13" s="199">
        <f>'Program Budget'!H605</f>
        <v>0</v>
      </c>
      <c r="G13" s="198">
        <f t="shared" si="0"/>
        <v>0</v>
      </c>
      <c r="H13" s="195">
        <f t="shared" si="1"/>
        <v>1400</v>
      </c>
      <c r="I13" s="196">
        <f>'Program Budget'!L605</f>
        <v>12</v>
      </c>
      <c r="J13" s="199">
        <f>'Program Budget'!K605</f>
        <v>0</v>
      </c>
      <c r="K13" s="198">
        <f t="shared" si="2"/>
        <v>0</v>
      </c>
      <c r="L13" s="195">
        <f t="shared" si="3"/>
        <v>1470</v>
      </c>
      <c r="M13" s="196">
        <f>'Program Budget'!O605</f>
        <v>12</v>
      </c>
      <c r="N13" s="199">
        <f>'Program Budget'!N605</f>
        <v>0</v>
      </c>
      <c r="O13" s="198">
        <f t="shared" si="4"/>
        <v>0</v>
      </c>
      <c r="P13" s="195">
        <f t="shared" si="5"/>
        <v>1543.5</v>
      </c>
      <c r="Q13" s="196">
        <f>'Program Budget'!R605</f>
        <v>0</v>
      </c>
      <c r="R13" s="199">
        <f>'Program Budget'!Q605</f>
        <v>0</v>
      </c>
      <c r="S13" s="198">
        <f t="shared" si="6"/>
        <v>0</v>
      </c>
      <c r="T13" s="333">
        <f t="shared" si="7"/>
        <v>0</v>
      </c>
      <c r="U13" s="201"/>
      <c r="V13" s="188"/>
      <c r="W13" s="202"/>
      <c r="X13" s="202"/>
      <c r="AB13" s="163"/>
      <c r="AC13" s="203"/>
      <c r="AD13" s="203"/>
      <c r="AE13" s="204"/>
      <c r="AG13" s="205"/>
    </row>
    <row r="14" spans="1:33" ht="15" customHeight="1" outlineLevel="1">
      <c r="A14" s="193" t="str">
        <f>'Program Budget'!D606</f>
        <v>Cacao &amp; Complementary Crop Technical Field Leader (2)</v>
      </c>
      <c r="B14" s="194" t="str">
        <f>'Program Budget'!F606</f>
        <v>Month</v>
      </c>
      <c r="C14" s="198">
        <f>'Program Budget'!E606</f>
        <v>0</v>
      </c>
      <c r="D14" s="195">
        <f>'Program Budget'!G606</f>
        <v>3500</v>
      </c>
      <c r="E14" s="196">
        <f>'Program Budget'!I606</f>
        <v>6</v>
      </c>
      <c r="F14" s="199">
        <f>'Program Budget'!H606</f>
        <v>0</v>
      </c>
      <c r="G14" s="198">
        <f t="shared" si="0"/>
        <v>0</v>
      </c>
      <c r="H14" s="195">
        <f t="shared" si="1"/>
        <v>3675</v>
      </c>
      <c r="I14" s="196">
        <f>'Program Budget'!L606</f>
        <v>12</v>
      </c>
      <c r="J14" s="199">
        <f>'Program Budget'!K606</f>
        <v>0</v>
      </c>
      <c r="K14" s="198">
        <f t="shared" si="2"/>
        <v>0</v>
      </c>
      <c r="L14" s="195">
        <f t="shared" si="3"/>
        <v>3858.75</v>
      </c>
      <c r="M14" s="196">
        <f>'Program Budget'!O606</f>
        <v>12</v>
      </c>
      <c r="N14" s="199">
        <f>'Program Budget'!N606</f>
        <v>0</v>
      </c>
      <c r="O14" s="198">
        <f t="shared" si="4"/>
        <v>0</v>
      </c>
      <c r="P14" s="195">
        <f t="shared" si="5"/>
        <v>4051.6875</v>
      </c>
      <c r="Q14" s="196">
        <f>'Program Budget'!R606</f>
        <v>0</v>
      </c>
      <c r="R14" s="199">
        <f>'Program Budget'!Q606</f>
        <v>0</v>
      </c>
      <c r="S14" s="198">
        <f t="shared" si="6"/>
        <v>0</v>
      </c>
      <c r="T14" s="333">
        <f t="shared" si="7"/>
        <v>0</v>
      </c>
      <c r="U14" s="201"/>
      <c r="V14" s="188"/>
      <c r="W14" s="202"/>
      <c r="X14" s="202"/>
      <c r="AB14" s="163"/>
      <c r="AC14" s="203"/>
      <c r="AD14" s="203"/>
      <c r="AE14" s="204"/>
      <c r="AG14" s="205"/>
    </row>
    <row r="15" spans="1:33" ht="15" customHeight="1" outlineLevel="1">
      <c r="A15" s="193" t="str">
        <f>'Program Budget'!D607</f>
        <v>Extension Agents (45 in Y5 and 25 in Y6)</v>
      </c>
      <c r="B15" s="194" t="str">
        <f>'Program Budget'!F607</f>
        <v>Month</v>
      </c>
      <c r="C15" s="198">
        <f>'Program Budget'!E607</f>
        <v>0</v>
      </c>
      <c r="D15" s="195">
        <f>'Program Budget'!G607</f>
        <v>1000</v>
      </c>
      <c r="E15" s="196">
        <f>'Program Budget'!I607</f>
        <v>12</v>
      </c>
      <c r="F15" s="199">
        <f>'Program Budget'!H607</f>
        <v>0</v>
      </c>
      <c r="G15" s="198">
        <f t="shared" si="0"/>
        <v>0</v>
      </c>
      <c r="H15" s="195">
        <f t="shared" si="1"/>
        <v>1050</v>
      </c>
      <c r="I15" s="196">
        <f>'Program Budget'!L607</f>
        <v>12</v>
      </c>
      <c r="J15" s="199">
        <f>'Program Budget'!K607</f>
        <v>0</v>
      </c>
      <c r="K15" s="198">
        <f t="shared" si="2"/>
        <v>0</v>
      </c>
      <c r="L15" s="195">
        <f t="shared" si="3"/>
        <v>1102.5</v>
      </c>
      <c r="M15" s="196">
        <f>'Program Budget'!O607</f>
        <v>0</v>
      </c>
      <c r="N15" s="199">
        <f>'Program Budget'!N607</f>
        <v>0</v>
      </c>
      <c r="O15" s="198">
        <f t="shared" si="4"/>
        <v>0</v>
      </c>
      <c r="P15" s="195">
        <f t="shared" si="5"/>
        <v>1157.625</v>
      </c>
      <c r="Q15" s="196">
        <f>'Program Budget'!R607</f>
        <v>0</v>
      </c>
      <c r="R15" s="199">
        <f>'Program Budget'!Q607</f>
        <v>0</v>
      </c>
      <c r="S15" s="198">
        <f t="shared" si="6"/>
        <v>0</v>
      </c>
      <c r="T15" s="333">
        <f t="shared" si="7"/>
        <v>0</v>
      </c>
      <c r="U15" s="201"/>
      <c r="V15" s="188"/>
      <c r="W15" s="202"/>
      <c r="X15" s="202"/>
      <c r="AB15" s="163"/>
      <c r="AC15" s="203"/>
      <c r="AD15" s="203"/>
      <c r="AE15" s="204"/>
      <c r="AG15" s="205"/>
    </row>
    <row r="16" spans="1:33" ht="15" customHeight="1" outlineLevel="1">
      <c r="A16" s="193" t="str">
        <f>'Program Budget'!D608</f>
        <v>Activity Lead Agribusiness Senior Specialist (Complementary Crop)</v>
      </c>
      <c r="B16" s="194" t="str">
        <f>'Program Budget'!F608</f>
        <v>Month</v>
      </c>
      <c r="C16" s="198">
        <f>'Program Budget'!E608</f>
        <v>0</v>
      </c>
      <c r="D16" s="195">
        <f>'Program Budget'!G608</f>
        <v>2833.3333333333335</v>
      </c>
      <c r="E16" s="196">
        <f>'Program Budget'!I608</f>
        <v>12</v>
      </c>
      <c r="F16" s="199">
        <f>'Program Budget'!H608</f>
        <v>0</v>
      </c>
      <c r="G16" s="198">
        <f t="shared" si="0"/>
        <v>0</v>
      </c>
      <c r="H16" s="195">
        <f t="shared" si="1"/>
        <v>2975.0000000000005</v>
      </c>
      <c r="I16" s="196">
        <f>'Program Budget'!L608</f>
        <v>12</v>
      </c>
      <c r="J16" s="199">
        <f>'Program Budget'!K608</f>
        <v>0</v>
      </c>
      <c r="K16" s="198">
        <f t="shared" si="2"/>
        <v>0</v>
      </c>
      <c r="L16" s="195">
        <f t="shared" si="3"/>
        <v>3123.7500000000005</v>
      </c>
      <c r="M16" s="196">
        <f>'Program Budget'!O608</f>
        <v>12</v>
      </c>
      <c r="N16" s="199">
        <f>'Program Budget'!N608</f>
        <v>0</v>
      </c>
      <c r="O16" s="198">
        <f t="shared" si="4"/>
        <v>0</v>
      </c>
      <c r="P16" s="195">
        <f t="shared" si="5"/>
        <v>3279.9375000000005</v>
      </c>
      <c r="Q16" s="196">
        <f>'Program Budget'!R608</f>
        <v>0</v>
      </c>
      <c r="R16" s="199">
        <f>'Program Budget'!Q608</f>
        <v>0</v>
      </c>
      <c r="S16" s="198">
        <f t="shared" si="6"/>
        <v>0</v>
      </c>
      <c r="T16" s="333">
        <f t="shared" si="7"/>
        <v>0</v>
      </c>
      <c r="U16" s="201"/>
      <c r="V16" s="188"/>
      <c r="W16" s="202"/>
      <c r="X16" s="202"/>
      <c r="AB16" s="163"/>
      <c r="AC16" s="203"/>
      <c r="AD16" s="203"/>
      <c r="AE16" s="204"/>
      <c r="AG16" s="205"/>
    </row>
    <row r="17" spans="1:33" ht="15" customHeight="1" outlineLevel="1">
      <c r="A17" s="193" t="str">
        <f>'Program Budget'!D609</f>
        <v>Complementary Crops Field Officer</v>
      </c>
      <c r="B17" s="194" t="str">
        <f>'Program Budget'!F609</f>
        <v>Month</v>
      </c>
      <c r="C17" s="198">
        <f>'Program Budget'!E609</f>
        <v>0</v>
      </c>
      <c r="D17" s="195">
        <f>'Program Budget'!G609</f>
        <v>0</v>
      </c>
      <c r="E17" s="196">
        <f>'Program Budget'!I609</f>
        <v>0</v>
      </c>
      <c r="F17" s="199">
        <f>'Program Budget'!H609</f>
        <v>0</v>
      </c>
      <c r="G17" s="198">
        <f t="shared" si="0"/>
        <v>0</v>
      </c>
      <c r="H17" s="195">
        <f t="shared" si="1"/>
        <v>0</v>
      </c>
      <c r="I17" s="196">
        <f>'Program Budget'!L609</f>
        <v>12</v>
      </c>
      <c r="J17" s="199">
        <f>'Program Budget'!K609</f>
        <v>0</v>
      </c>
      <c r="K17" s="198">
        <f t="shared" si="2"/>
        <v>0</v>
      </c>
      <c r="L17" s="195">
        <f t="shared" si="3"/>
        <v>0</v>
      </c>
      <c r="M17" s="196">
        <f>'Program Budget'!O609</f>
        <v>12</v>
      </c>
      <c r="N17" s="199">
        <f>'Program Budget'!N609</f>
        <v>0</v>
      </c>
      <c r="O17" s="198">
        <f t="shared" si="4"/>
        <v>0</v>
      </c>
      <c r="P17" s="195">
        <f t="shared" si="5"/>
        <v>0</v>
      </c>
      <c r="Q17" s="196">
        <f>'Program Budget'!R609</f>
        <v>0</v>
      </c>
      <c r="R17" s="199">
        <f>'Program Budget'!Q609</f>
        <v>0</v>
      </c>
      <c r="S17" s="198">
        <f t="shared" si="6"/>
        <v>0</v>
      </c>
      <c r="T17" s="333">
        <f t="shared" si="7"/>
        <v>0</v>
      </c>
      <c r="U17" s="201"/>
      <c r="V17" s="188"/>
      <c r="W17" s="202"/>
      <c r="X17" s="202"/>
      <c r="AB17" s="163"/>
      <c r="AC17" s="203"/>
      <c r="AD17" s="203"/>
      <c r="AE17" s="204"/>
      <c r="AG17" s="205"/>
    </row>
    <row r="18" spans="1:33" ht="15" customHeight="1" outlineLevel="1">
      <c r="A18" s="193" t="str">
        <f>'Program Budget'!D610</f>
        <v>EPSEAS Specialist</v>
      </c>
      <c r="B18" s="194" t="str">
        <f>'Program Budget'!F610</f>
        <v>Month</v>
      </c>
      <c r="C18" s="198">
        <f>'Program Budget'!E610</f>
        <v>0</v>
      </c>
      <c r="D18" s="195">
        <f>'Program Budget'!G610</f>
        <v>0</v>
      </c>
      <c r="E18" s="196">
        <f>'Program Budget'!I610</f>
        <v>0</v>
      </c>
      <c r="F18" s="199">
        <f>'Program Budget'!H610</f>
        <v>0</v>
      </c>
      <c r="G18" s="198">
        <f t="shared" si="0"/>
        <v>0</v>
      </c>
      <c r="H18" s="195">
        <f t="shared" si="1"/>
        <v>0</v>
      </c>
      <c r="I18" s="196">
        <f>'Program Budget'!L610</f>
        <v>12</v>
      </c>
      <c r="J18" s="199">
        <f>'Program Budget'!K610</f>
        <v>0</v>
      </c>
      <c r="K18" s="198">
        <f t="shared" si="2"/>
        <v>0</v>
      </c>
      <c r="L18" s="195">
        <f t="shared" si="3"/>
        <v>0</v>
      </c>
      <c r="M18" s="196">
        <f>'Program Budget'!O610</f>
        <v>12</v>
      </c>
      <c r="N18" s="199">
        <f>'Program Budget'!N610</f>
        <v>0</v>
      </c>
      <c r="O18" s="198">
        <f t="shared" si="4"/>
        <v>0</v>
      </c>
      <c r="P18" s="195">
        <f t="shared" si="5"/>
        <v>0</v>
      </c>
      <c r="Q18" s="196">
        <f>'Program Budget'!R610</f>
        <v>0</v>
      </c>
      <c r="R18" s="199">
        <f>'Program Budget'!Q610</f>
        <v>0</v>
      </c>
      <c r="S18" s="198">
        <f t="shared" si="6"/>
        <v>0</v>
      </c>
      <c r="T18" s="333">
        <f t="shared" si="7"/>
        <v>0</v>
      </c>
      <c r="U18" s="201"/>
      <c r="V18" s="188"/>
      <c r="W18" s="202"/>
      <c r="X18" s="202"/>
      <c r="AB18" s="163"/>
      <c r="AC18" s="203"/>
      <c r="AD18" s="203"/>
      <c r="AE18" s="204"/>
      <c r="AG18" s="205"/>
    </row>
    <row r="19" spans="1:33" ht="15" customHeight="1" outlineLevel="1">
      <c r="A19" s="193" t="str">
        <f>'Program Budget'!D611</f>
        <v>Extension Agents for EPSEAS (20 in Y6 and 25 in Y7)</v>
      </c>
      <c r="B19" s="194" t="str">
        <f>'Program Budget'!F611</f>
        <v>Month</v>
      </c>
      <c r="C19" s="198">
        <f>'Program Budget'!E611</f>
        <v>0</v>
      </c>
      <c r="D19" s="195">
        <f>'Program Budget'!G611</f>
        <v>1000</v>
      </c>
      <c r="E19" s="196">
        <f>'Program Budget'!I611</f>
        <v>0</v>
      </c>
      <c r="F19" s="199">
        <f>'Program Budget'!H611</f>
        <v>0</v>
      </c>
      <c r="G19" s="198">
        <f t="shared" si="0"/>
        <v>0</v>
      </c>
      <c r="H19" s="195">
        <f t="shared" si="1"/>
        <v>1050</v>
      </c>
      <c r="I19" s="196">
        <f>'Program Budget'!L611</f>
        <v>12</v>
      </c>
      <c r="J19" s="199">
        <f>'Program Budget'!K611</f>
        <v>0</v>
      </c>
      <c r="K19" s="198">
        <f t="shared" si="2"/>
        <v>0</v>
      </c>
      <c r="L19" s="195">
        <f t="shared" si="3"/>
        <v>1102.5</v>
      </c>
      <c r="M19" s="196">
        <f>'Program Budget'!O611</f>
        <v>12</v>
      </c>
      <c r="N19" s="199">
        <f>'Program Budget'!N611</f>
        <v>0</v>
      </c>
      <c r="O19" s="198">
        <f t="shared" si="4"/>
        <v>0</v>
      </c>
      <c r="P19" s="195">
        <f t="shared" si="5"/>
        <v>1157.625</v>
      </c>
      <c r="Q19" s="196">
        <f>'Program Budget'!R611</f>
        <v>0</v>
      </c>
      <c r="R19" s="199">
        <f>'Program Budget'!Q611</f>
        <v>0</v>
      </c>
      <c r="S19" s="198">
        <f t="shared" si="6"/>
        <v>0</v>
      </c>
      <c r="T19" s="333">
        <f t="shared" si="7"/>
        <v>0</v>
      </c>
      <c r="U19" s="201"/>
      <c r="V19" s="188"/>
      <c r="W19" s="202"/>
      <c r="X19" s="202"/>
      <c r="AB19" s="163"/>
      <c r="AC19" s="203"/>
      <c r="AD19" s="203"/>
      <c r="AE19" s="204"/>
      <c r="AG19" s="205"/>
    </row>
    <row r="20" spans="1:33" ht="15" customHeight="1" outlineLevel="1">
      <c r="A20" s="193" t="str">
        <f>'Program Budget'!D612</f>
        <v xml:space="preserve">Senior M&amp;E Director </v>
      </c>
      <c r="B20" s="194" t="str">
        <f>'Program Budget'!F612</f>
        <v>Month</v>
      </c>
      <c r="C20" s="198">
        <f>'Program Budget'!E612</f>
        <v>10119</v>
      </c>
      <c r="D20" s="195">
        <f>'Program Budget'!G612</f>
        <v>6250</v>
      </c>
      <c r="E20" s="196">
        <f>'Program Budget'!I612</f>
        <v>12</v>
      </c>
      <c r="F20" s="199">
        <f>'Program Budget'!H612</f>
        <v>0.1</v>
      </c>
      <c r="G20" s="198">
        <f t="shared" si="0"/>
        <v>7500</v>
      </c>
      <c r="H20" s="195">
        <f t="shared" si="1"/>
        <v>6562.5</v>
      </c>
      <c r="I20" s="196">
        <f>'Program Budget'!L612</f>
        <v>12</v>
      </c>
      <c r="J20" s="199">
        <f>'Program Budget'!K612</f>
        <v>0.19</v>
      </c>
      <c r="K20" s="198">
        <f t="shared" si="2"/>
        <v>14962.5</v>
      </c>
      <c r="L20" s="195">
        <f t="shared" si="3"/>
        <v>6890.625</v>
      </c>
      <c r="M20" s="196">
        <f>'Program Budget'!O612</f>
        <v>12</v>
      </c>
      <c r="N20" s="199">
        <f>'Program Budget'!N612</f>
        <v>0.19</v>
      </c>
      <c r="O20" s="198">
        <f t="shared" si="4"/>
        <v>15710.625</v>
      </c>
      <c r="P20" s="195">
        <f t="shared" si="5"/>
        <v>7235.15625</v>
      </c>
      <c r="Q20" s="196">
        <f>'Program Budget'!R612</f>
        <v>6</v>
      </c>
      <c r="R20" s="199">
        <f>'Program Budget'!Q612</f>
        <v>0.19</v>
      </c>
      <c r="S20" s="198">
        <f t="shared" si="6"/>
        <v>8248.078125</v>
      </c>
      <c r="T20" s="333">
        <f t="shared" si="7"/>
        <v>56540.203125</v>
      </c>
      <c r="U20" s="201"/>
      <c r="V20" s="188"/>
      <c r="W20" s="202"/>
      <c r="X20" s="202"/>
      <c r="AB20" s="163"/>
      <c r="AC20" s="203"/>
      <c r="AD20" s="203"/>
      <c r="AE20" s="204"/>
      <c r="AG20" s="205"/>
    </row>
    <row r="21" spans="1:33" ht="15" customHeight="1" outlineLevel="1">
      <c r="A21" s="193" t="str">
        <f>'Program Budget'!D613</f>
        <v>Senior M&amp;E Specialist</v>
      </c>
      <c r="B21" s="194" t="str">
        <f>'Program Budget'!F613</f>
        <v>Month</v>
      </c>
      <c r="C21" s="198">
        <f>'Program Budget'!E613</f>
        <v>9150</v>
      </c>
      <c r="D21" s="195">
        <f>'Program Budget'!G613</f>
        <v>2833.3333333333335</v>
      </c>
      <c r="E21" s="196">
        <f>'Program Budget'!I613</f>
        <v>12</v>
      </c>
      <c r="F21" s="199">
        <f>'Program Budget'!H613</f>
        <v>0.1</v>
      </c>
      <c r="G21" s="198">
        <f t="shared" si="0"/>
        <v>3400</v>
      </c>
      <c r="H21" s="195">
        <f t="shared" si="1"/>
        <v>2975.0000000000005</v>
      </c>
      <c r="I21" s="196">
        <f>'Program Budget'!L613</f>
        <v>12</v>
      </c>
      <c r="J21" s="199">
        <f>'Program Budget'!K613</f>
        <v>0.19</v>
      </c>
      <c r="K21" s="198">
        <f t="shared" si="2"/>
        <v>6783.0000000000018</v>
      </c>
      <c r="L21" s="195">
        <f t="shared" si="3"/>
        <v>3123.7500000000005</v>
      </c>
      <c r="M21" s="196">
        <f>'Program Budget'!O613</f>
        <v>12</v>
      </c>
      <c r="N21" s="199">
        <f>'Program Budget'!N613</f>
        <v>0.19</v>
      </c>
      <c r="O21" s="198">
        <f t="shared" si="4"/>
        <v>7122.1500000000015</v>
      </c>
      <c r="P21" s="195">
        <f t="shared" si="5"/>
        <v>3279.9375000000005</v>
      </c>
      <c r="Q21" s="196">
        <f>'Program Budget'!R613</f>
        <v>6</v>
      </c>
      <c r="R21" s="199">
        <f>'Program Budget'!Q613</f>
        <v>0.19</v>
      </c>
      <c r="S21" s="198">
        <f t="shared" si="6"/>
        <v>3739.1287500000008</v>
      </c>
      <c r="T21" s="333">
        <f t="shared" si="7"/>
        <v>30194.278750000001</v>
      </c>
      <c r="U21" s="201"/>
      <c r="V21" s="188"/>
      <c r="W21" s="202"/>
      <c r="X21" s="202"/>
      <c r="AB21" s="163"/>
      <c r="AC21" s="203"/>
      <c r="AD21" s="203"/>
      <c r="AE21" s="204"/>
      <c r="AG21" s="205"/>
    </row>
    <row r="22" spans="1:33" ht="15" customHeight="1" outlineLevel="1">
      <c r="A22" s="193" t="str">
        <f>'Program Budget'!D614</f>
        <v>M&amp;E Specialist</v>
      </c>
      <c r="B22" s="194" t="str">
        <f>'Program Budget'!F614</f>
        <v>Month</v>
      </c>
      <c r="C22" s="198">
        <f>'Program Budget'!E614</f>
        <v>9557</v>
      </c>
      <c r="D22" s="195">
        <f>'Program Budget'!G614</f>
        <v>2500</v>
      </c>
      <c r="E22" s="196">
        <f>'Program Budget'!I614</f>
        <v>12</v>
      </c>
      <c r="F22" s="199">
        <f>'Program Budget'!H614</f>
        <v>0.1</v>
      </c>
      <c r="G22" s="198">
        <f t="shared" si="0"/>
        <v>3000</v>
      </c>
      <c r="H22" s="195">
        <f t="shared" si="1"/>
        <v>2625</v>
      </c>
      <c r="I22" s="196">
        <f>'Program Budget'!L614</f>
        <v>12</v>
      </c>
      <c r="J22" s="199">
        <f>'Program Budget'!K614</f>
        <v>0.19</v>
      </c>
      <c r="K22" s="198">
        <f t="shared" si="2"/>
        <v>5985</v>
      </c>
      <c r="L22" s="195">
        <f t="shared" si="3"/>
        <v>2756.25</v>
      </c>
      <c r="M22" s="196">
        <f>'Program Budget'!O614</f>
        <v>12</v>
      </c>
      <c r="N22" s="199">
        <f>'Program Budget'!N614</f>
        <v>0.19</v>
      </c>
      <c r="O22" s="198">
        <f t="shared" si="4"/>
        <v>6284.25</v>
      </c>
      <c r="P22" s="195">
        <f t="shared" si="5"/>
        <v>2894.0625</v>
      </c>
      <c r="Q22" s="196">
        <f>'Program Budget'!R614</f>
        <v>3</v>
      </c>
      <c r="R22" s="199">
        <f>'Program Budget'!Q614</f>
        <v>0.19</v>
      </c>
      <c r="S22" s="198">
        <f t="shared" si="6"/>
        <v>1649.6156249999999</v>
      </c>
      <c r="T22" s="333">
        <f t="shared" si="7"/>
        <v>26475.865624999999</v>
      </c>
      <c r="U22" s="201"/>
      <c r="V22" s="188"/>
      <c r="W22" s="202"/>
      <c r="X22" s="202"/>
      <c r="AB22" s="163"/>
      <c r="AC22" s="203"/>
      <c r="AD22" s="203"/>
      <c r="AE22" s="204"/>
      <c r="AG22" s="205"/>
    </row>
    <row r="23" spans="1:33" ht="15" customHeight="1" outlineLevel="1">
      <c r="A23" s="193" t="str">
        <f>'Program Budget'!D615</f>
        <v>M&amp;E Officer</v>
      </c>
      <c r="B23" s="194" t="str">
        <f>'Program Budget'!F615</f>
        <v>Month</v>
      </c>
      <c r="C23" s="198">
        <f>'Program Budget'!E615</f>
        <v>0</v>
      </c>
      <c r="D23" s="195">
        <f>'Program Budget'!G615</f>
        <v>1000</v>
      </c>
      <c r="E23" s="196">
        <f>'Program Budget'!I615</f>
        <v>12</v>
      </c>
      <c r="F23" s="199">
        <f>'Program Budget'!H615</f>
        <v>0.1</v>
      </c>
      <c r="G23" s="198">
        <f t="shared" si="0"/>
        <v>1200</v>
      </c>
      <c r="H23" s="195">
        <f t="shared" si="1"/>
        <v>1050</v>
      </c>
      <c r="I23" s="196">
        <f>'Program Budget'!L615</f>
        <v>12</v>
      </c>
      <c r="J23" s="199">
        <f>'Program Budget'!K615</f>
        <v>0.05</v>
      </c>
      <c r="K23" s="198">
        <f t="shared" si="2"/>
        <v>630</v>
      </c>
      <c r="L23" s="195">
        <f t="shared" si="3"/>
        <v>1102.5</v>
      </c>
      <c r="M23" s="196">
        <f>'Program Budget'!O615</f>
        <v>12</v>
      </c>
      <c r="N23" s="199">
        <f>'Program Budget'!N615</f>
        <v>0.05</v>
      </c>
      <c r="O23" s="198">
        <f t="shared" si="4"/>
        <v>661.5</v>
      </c>
      <c r="P23" s="195">
        <f t="shared" si="5"/>
        <v>1157.625</v>
      </c>
      <c r="Q23" s="196">
        <f>'Program Budget'!R615</f>
        <v>3</v>
      </c>
      <c r="R23" s="199">
        <f>'Program Budget'!Q615</f>
        <v>0.05</v>
      </c>
      <c r="S23" s="198">
        <f t="shared" si="6"/>
        <v>173.64375000000001</v>
      </c>
      <c r="T23" s="333">
        <f t="shared" si="7"/>
        <v>2665.1437500000002</v>
      </c>
      <c r="U23" s="201"/>
      <c r="V23" s="188"/>
      <c r="W23" s="202"/>
      <c r="X23" s="202"/>
      <c r="AB23" s="163"/>
      <c r="AC23" s="203"/>
      <c r="AD23" s="203"/>
      <c r="AE23" s="204"/>
      <c r="AG23" s="205"/>
    </row>
    <row r="24" spans="1:33" ht="15" customHeight="1" outlineLevel="1">
      <c r="A24" s="193" t="str">
        <f>'Program Budget'!D616</f>
        <v>Partnerships and Investment Director</v>
      </c>
      <c r="B24" s="194" t="str">
        <f>'Program Budget'!F616</f>
        <v>Month</v>
      </c>
      <c r="C24" s="198">
        <f>'Program Budget'!E616</f>
        <v>0</v>
      </c>
      <c r="D24" s="195">
        <f>'Program Budget'!G616</f>
        <v>4583.333333333333</v>
      </c>
      <c r="E24" s="196">
        <f>'Program Budget'!I616</f>
        <v>12</v>
      </c>
      <c r="F24" s="199">
        <f>'Program Budget'!H616</f>
        <v>0.1</v>
      </c>
      <c r="G24" s="198">
        <f t="shared" si="0"/>
        <v>5500</v>
      </c>
      <c r="H24" s="195">
        <f t="shared" si="1"/>
        <v>4812.5</v>
      </c>
      <c r="I24" s="196">
        <f>'Program Budget'!L616</f>
        <v>12</v>
      </c>
      <c r="J24" s="199">
        <f>'Program Budget'!K616</f>
        <v>0.05</v>
      </c>
      <c r="K24" s="198">
        <f t="shared" si="2"/>
        <v>2887.5</v>
      </c>
      <c r="L24" s="195">
        <f t="shared" si="3"/>
        <v>5053.125</v>
      </c>
      <c r="M24" s="196">
        <f>'Program Budget'!O616</f>
        <v>12</v>
      </c>
      <c r="N24" s="199">
        <f>'Program Budget'!N616</f>
        <v>0.05</v>
      </c>
      <c r="O24" s="198">
        <f t="shared" si="4"/>
        <v>3031.875</v>
      </c>
      <c r="P24" s="195">
        <f t="shared" si="5"/>
        <v>5305.78125</v>
      </c>
      <c r="Q24" s="196">
        <f>'Program Budget'!R616</f>
        <v>0</v>
      </c>
      <c r="R24" s="199">
        <f>'Program Budget'!Q616</f>
        <v>0.05</v>
      </c>
      <c r="S24" s="198">
        <f t="shared" si="6"/>
        <v>0</v>
      </c>
      <c r="T24" s="333">
        <f t="shared" si="7"/>
        <v>11419.375</v>
      </c>
      <c r="U24" s="201"/>
      <c r="V24" s="188"/>
      <c r="W24" s="202"/>
      <c r="X24" s="202"/>
      <c r="AB24" s="163"/>
      <c r="AC24" s="203"/>
      <c r="AD24" s="203"/>
      <c r="AE24" s="204"/>
      <c r="AG24" s="205"/>
    </row>
    <row r="25" spans="1:33" ht="15" customHeight="1" outlineLevel="1">
      <c r="A25" s="193" t="str">
        <f>'Program Budget'!D617</f>
        <v>Partnerships and Investment Specialist</v>
      </c>
      <c r="B25" s="194" t="str">
        <f>'Program Budget'!F617</f>
        <v>Month</v>
      </c>
      <c r="C25" s="198">
        <f>'Program Budget'!E617</f>
        <v>0</v>
      </c>
      <c r="D25" s="195">
        <f>'Program Budget'!G617</f>
        <v>1750</v>
      </c>
      <c r="E25" s="196">
        <f>'Program Budget'!I617</f>
        <v>12</v>
      </c>
      <c r="F25" s="199">
        <f>'Program Budget'!H617</f>
        <v>0.1</v>
      </c>
      <c r="G25" s="198">
        <f t="shared" si="0"/>
        <v>2100</v>
      </c>
      <c r="H25" s="195">
        <f t="shared" si="1"/>
        <v>1837.5</v>
      </c>
      <c r="I25" s="196">
        <f>'Program Budget'!L617</f>
        <v>12</v>
      </c>
      <c r="J25" s="199">
        <f>'Program Budget'!K617</f>
        <v>0.2</v>
      </c>
      <c r="K25" s="198">
        <f t="shared" si="2"/>
        <v>4410</v>
      </c>
      <c r="L25" s="195">
        <f t="shared" si="3"/>
        <v>1929.375</v>
      </c>
      <c r="M25" s="196">
        <f>'Program Budget'!O617</f>
        <v>12</v>
      </c>
      <c r="N25" s="199">
        <f>'Program Budget'!N617</f>
        <v>0.2</v>
      </c>
      <c r="O25" s="198">
        <f t="shared" si="4"/>
        <v>4630.5</v>
      </c>
      <c r="P25" s="195">
        <f t="shared" si="5"/>
        <v>2025.84375</v>
      </c>
      <c r="Q25" s="196">
        <f>'Program Budget'!R617</f>
        <v>0</v>
      </c>
      <c r="R25" s="199">
        <f>'Program Budget'!Q617</f>
        <v>0.2</v>
      </c>
      <c r="S25" s="198">
        <f t="shared" si="6"/>
        <v>0</v>
      </c>
      <c r="T25" s="333">
        <f t="shared" si="7"/>
        <v>11140.5</v>
      </c>
      <c r="U25" s="201"/>
      <c r="V25" s="188"/>
      <c r="W25" s="202"/>
      <c r="X25" s="202"/>
      <c r="AB25" s="163"/>
      <c r="AC25" s="203"/>
      <c r="AD25" s="203"/>
      <c r="AE25" s="204"/>
      <c r="AG25" s="205"/>
    </row>
    <row r="26" spans="1:33" ht="15" customHeight="1" outlineLevel="1">
      <c r="A26" s="193" t="str">
        <f>'Program Budget'!D618</f>
        <v>Organizational Strengthening Specialist</v>
      </c>
      <c r="B26" s="194" t="str">
        <f>'Program Budget'!F618</f>
        <v>Month</v>
      </c>
      <c r="C26" s="198">
        <f>'Program Budget'!E618</f>
        <v>0</v>
      </c>
      <c r="D26" s="195">
        <f>'Program Budget'!G618</f>
        <v>1750</v>
      </c>
      <c r="E26" s="196">
        <f>'Program Budget'!I618</f>
        <v>12</v>
      </c>
      <c r="F26" s="199">
        <f>'Program Budget'!H618</f>
        <v>0.1</v>
      </c>
      <c r="G26" s="198">
        <f t="shared" si="0"/>
        <v>2100</v>
      </c>
      <c r="H26" s="195">
        <f t="shared" si="1"/>
        <v>1837.5</v>
      </c>
      <c r="I26" s="196">
        <f>'Program Budget'!L618</f>
        <v>12</v>
      </c>
      <c r="J26" s="199">
        <f>'Program Budget'!K618</f>
        <v>0</v>
      </c>
      <c r="K26" s="198">
        <f t="shared" si="2"/>
        <v>0</v>
      </c>
      <c r="L26" s="195">
        <f t="shared" si="3"/>
        <v>1929.375</v>
      </c>
      <c r="M26" s="196">
        <f>'Program Budget'!O618</f>
        <v>12</v>
      </c>
      <c r="N26" s="199">
        <f>'Program Budget'!N618</f>
        <v>0</v>
      </c>
      <c r="O26" s="198">
        <f t="shared" si="4"/>
        <v>0</v>
      </c>
      <c r="P26" s="195">
        <f t="shared" si="5"/>
        <v>2025.84375</v>
      </c>
      <c r="Q26" s="196">
        <f>'Program Budget'!R618</f>
        <v>0</v>
      </c>
      <c r="R26" s="199">
        <f>'Program Budget'!Q618</f>
        <v>0</v>
      </c>
      <c r="S26" s="198">
        <f t="shared" si="6"/>
        <v>0</v>
      </c>
      <c r="T26" s="333">
        <f t="shared" si="7"/>
        <v>2100</v>
      </c>
      <c r="U26" s="201"/>
      <c r="V26" s="188"/>
      <c r="W26" s="202"/>
      <c r="X26" s="202"/>
      <c r="AB26" s="163"/>
      <c r="AC26" s="203"/>
      <c r="AD26" s="203"/>
      <c r="AE26" s="204"/>
      <c r="AG26" s="205"/>
    </row>
    <row r="27" spans="1:33" ht="15" customHeight="1" outlineLevel="1">
      <c r="A27" s="193" t="str">
        <f>'Program Budget'!D619</f>
        <v>Value Chain Strengthening Director</v>
      </c>
      <c r="B27" s="194" t="str">
        <f>'Program Budget'!F619</f>
        <v>Month</v>
      </c>
      <c r="C27" s="198">
        <f>'Program Budget'!E619</f>
        <v>0</v>
      </c>
      <c r="D27" s="195">
        <f>'Program Budget'!G619</f>
        <v>0</v>
      </c>
      <c r="E27" s="196">
        <f>'Program Budget'!I619</f>
        <v>12</v>
      </c>
      <c r="F27" s="199">
        <f>'Program Budget'!H619</f>
        <v>0.1</v>
      </c>
      <c r="G27" s="198">
        <f t="shared" si="0"/>
        <v>0</v>
      </c>
      <c r="H27" s="195">
        <f t="shared" si="1"/>
        <v>0</v>
      </c>
      <c r="I27" s="196">
        <f>'Program Budget'!L619</f>
        <v>12</v>
      </c>
      <c r="J27" s="199">
        <f>'Program Budget'!K619</f>
        <v>0.4</v>
      </c>
      <c r="K27" s="198">
        <f t="shared" si="2"/>
        <v>0</v>
      </c>
      <c r="L27" s="195">
        <f t="shared" si="3"/>
        <v>0</v>
      </c>
      <c r="M27" s="196">
        <f>'Program Budget'!O619</f>
        <v>12</v>
      </c>
      <c r="N27" s="199">
        <f>'Program Budget'!N619</f>
        <v>0.4</v>
      </c>
      <c r="O27" s="198">
        <f t="shared" si="4"/>
        <v>0</v>
      </c>
      <c r="P27" s="195">
        <f t="shared" si="5"/>
        <v>0</v>
      </c>
      <c r="Q27" s="196">
        <f>'Program Budget'!R619</f>
        <v>4</v>
      </c>
      <c r="R27" s="199">
        <f>'Program Budget'!Q619</f>
        <v>0.4</v>
      </c>
      <c r="S27" s="198">
        <f t="shared" si="6"/>
        <v>0</v>
      </c>
      <c r="T27" s="333">
        <f t="shared" si="7"/>
        <v>0</v>
      </c>
      <c r="U27" s="201"/>
      <c r="V27" s="188"/>
      <c r="W27" s="202"/>
      <c r="X27" s="202"/>
      <c r="AB27" s="163"/>
      <c r="AC27" s="203"/>
      <c r="AD27" s="203"/>
      <c r="AE27" s="204"/>
      <c r="AG27" s="205"/>
    </row>
    <row r="28" spans="1:33" ht="15" customHeight="1" outlineLevel="1">
      <c r="A28" s="193" t="str">
        <f>'Program Budget'!D620</f>
        <v>Communications Specialist</v>
      </c>
      <c r="B28" s="194" t="str">
        <f>'Program Budget'!F620</f>
        <v>Month</v>
      </c>
      <c r="C28" s="198">
        <f>'Program Budget'!E620</f>
        <v>0</v>
      </c>
      <c r="D28" s="195">
        <f>'Program Budget'!G620</f>
        <v>1750</v>
      </c>
      <c r="E28" s="196">
        <f>'Program Budget'!I620</f>
        <v>12</v>
      </c>
      <c r="F28" s="199">
        <f>'Program Budget'!H620</f>
        <v>0.1</v>
      </c>
      <c r="G28" s="198">
        <f t="shared" si="0"/>
        <v>2100</v>
      </c>
      <c r="H28" s="195">
        <f t="shared" si="1"/>
        <v>1837.5</v>
      </c>
      <c r="I28" s="196">
        <f>'Program Budget'!L620</f>
        <v>12</v>
      </c>
      <c r="J28" s="199">
        <f>'Program Budget'!K620</f>
        <v>0.18</v>
      </c>
      <c r="K28" s="198">
        <f t="shared" si="2"/>
        <v>3969</v>
      </c>
      <c r="L28" s="195">
        <f t="shared" si="3"/>
        <v>1929.375</v>
      </c>
      <c r="M28" s="196">
        <f>'Program Budget'!O620</f>
        <v>12</v>
      </c>
      <c r="N28" s="199">
        <f>'Program Budget'!N620</f>
        <v>0.18</v>
      </c>
      <c r="O28" s="198">
        <f t="shared" si="4"/>
        <v>4167.45</v>
      </c>
      <c r="P28" s="195">
        <f t="shared" si="5"/>
        <v>2025.84375</v>
      </c>
      <c r="Q28" s="196">
        <f>'Program Budget'!R620</f>
        <v>0</v>
      </c>
      <c r="R28" s="199">
        <f>'Program Budget'!Q620</f>
        <v>0.18</v>
      </c>
      <c r="S28" s="198">
        <f t="shared" si="6"/>
        <v>0</v>
      </c>
      <c r="T28" s="333">
        <f t="shared" si="7"/>
        <v>10236.450000000001</v>
      </c>
      <c r="U28" s="201"/>
      <c r="V28" s="188"/>
      <c r="W28" s="202"/>
      <c r="X28" s="202"/>
      <c r="AB28" s="163"/>
      <c r="AC28" s="203"/>
      <c r="AD28" s="203"/>
      <c r="AE28" s="204"/>
      <c r="AG28" s="205"/>
    </row>
    <row r="29" spans="1:33" ht="15" customHeight="1" outlineLevel="1">
      <c r="A29" s="193" t="str">
        <f>'Program Budget'!D621</f>
        <v>Value Chain Specialist</v>
      </c>
      <c r="B29" s="194" t="str">
        <f>'Program Budget'!F621</f>
        <v>Month</v>
      </c>
      <c r="C29" s="198">
        <f>'Program Budget'!E621</f>
        <v>0</v>
      </c>
      <c r="D29" s="195">
        <f>'Program Budget'!G621</f>
        <v>2500</v>
      </c>
      <c r="E29" s="196">
        <f>'Program Budget'!I621</f>
        <v>12</v>
      </c>
      <c r="F29" s="199">
        <f>'Program Budget'!H621</f>
        <v>0.1</v>
      </c>
      <c r="G29" s="198">
        <f t="shared" si="0"/>
        <v>3000</v>
      </c>
      <c r="H29" s="195">
        <f t="shared" si="1"/>
        <v>2625</v>
      </c>
      <c r="I29" s="196">
        <f>'Program Budget'!L621</f>
        <v>12</v>
      </c>
      <c r="J29" s="199">
        <f>'Program Budget'!K621</f>
        <v>0.5</v>
      </c>
      <c r="K29" s="198">
        <f t="shared" si="2"/>
        <v>15750</v>
      </c>
      <c r="L29" s="195">
        <f t="shared" si="3"/>
        <v>2756.25</v>
      </c>
      <c r="M29" s="196">
        <f>'Program Budget'!O621</f>
        <v>12</v>
      </c>
      <c r="N29" s="199">
        <f>'Program Budget'!N621</f>
        <v>0.5</v>
      </c>
      <c r="O29" s="198">
        <f t="shared" si="4"/>
        <v>16537.5</v>
      </c>
      <c r="P29" s="195">
        <f t="shared" si="5"/>
        <v>2894.0625</v>
      </c>
      <c r="Q29" s="196">
        <f>'Program Budget'!R621</f>
        <v>0</v>
      </c>
      <c r="R29" s="199">
        <f>'Program Budget'!Q621</f>
        <v>0.5</v>
      </c>
      <c r="S29" s="198">
        <f t="shared" si="6"/>
        <v>0</v>
      </c>
      <c r="T29" s="333">
        <f t="shared" si="7"/>
        <v>35287.5</v>
      </c>
      <c r="U29" s="201"/>
      <c r="V29" s="188"/>
      <c r="W29" s="202"/>
      <c r="X29" s="202"/>
      <c r="AB29" s="163"/>
      <c r="AC29" s="203"/>
      <c r="AD29" s="203"/>
      <c r="AE29" s="204"/>
      <c r="AG29" s="205"/>
    </row>
    <row r="30" spans="1:33" ht="15" customHeight="1" outlineLevel="1">
      <c r="A30" s="193" t="str">
        <f>'Program Budget'!D622</f>
        <v>Contracts &amp; Compliance Director</v>
      </c>
      <c r="B30" s="194" t="str">
        <f>'Program Budget'!F622</f>
        <v>Month</v>
      </c>
      <c r="C30" s="198">
        <f>'Program Budget'!E622</f>
        <v>13803.8</v>
      </c>
      <c r="D30" s="195">
        <f>'Program Budget'!G622</f>
        <v>4583.333333333333</v>
      </c>
      <c r="E30" s="196">
        <f>'Program Budget'!I622</f>
        <v>12</v>
      </c>
      <c r="F30" s="199">
        <f>'Program Budget'!H622</f>
        <v>0.1</v>
      </c>
      <c r="G30" s="198">
        <f t="shared" si="0"/>
        <v>5500</v>
      </c>
      <c r="H30" s="195">
        <f t="shared" si="1"/>
        <v>4812.5</v>
      </c>
      <c r="I30" s="196">
        <f>'Program Budget'!L622</f>
        <v>12</v>
      </c>
      <c r="J30" s="199">
        <f>'Program Budget'!K622</f>
        <v>0.18</v>
      </c>
      <c r="K30" s="198">
        <f t="shared" si="2"/>
        <v>10395</v>
      </c>
      <c r="L30" s="195">
        <f t="shared" si="3"/>
        <v>5053.125</v>
      </c>
      <c r="M30" s="196">
        <f>'Program Budget'!O622</f>
        <v>12</v>
      </c>
      <c r="N30" s="199">
        <f>'Program Budget'!N622</f>
        <v>0.18</v>
      </c>
      <c r="O30" s="198">
        <f t="shared" si="4"/>
        <v>10914.75</v>
      </c>
      <c r="P30" s="195">
        <f t="shared" si="5"/>
        <v>5305.78125</v>
      </c>
      <c r="Q30" s="196">
        <f>'Program Budget'!R622</f>
        <v>3</v>
      </c>
      <c r="R30" s="199">
        <f>'Program Budget'!Q622</f>
        <v>0.18</v>
      </c>
      <c r="S30" s="198">
        <f t="shared" si="6"/>
        <v>2865.1218749999998</v>
      </c>
      <c r="T30" s="333">
        <f t="shared" si="7"/>
        <v>43478.671875</v>
      </c>
      <c r="U30" s="201"/>
      <c r="V30" s="188"/>
      <c r="W30" s="202"/>
      <c r="X30" s="202"/>
      <c r="AB30" s="163"/>
      <c r="AC30" s="203"/>
      <c r="AD30" s="203"/>
      <c r="AE30" s="204"/>
      <c r="AG30" s="205"/>
    </row>
    <row r="31" spans="1:33" ht="15" customHeight="1" outlineLevel="1">
      <c r="A31" s="193" t="str">
        <f>'Program Budget'!D623</f>
        <v>Grants &amp; Procurement Specialist (2)</v>
      </c>
      <c r="B31" s="194" t="str">
        <f>'Program Budget'!F623</f>
        <v>Month</v>
      </c>
      <c r="C31" s="198">
        <f>'Program Budget'!E623</f>
        <v>0</v>
      </c>
      <c r="D31" s="195">
        <f>'Program Budget'!G623</f>
        <v>3500</v>
      </c>
      <c r="E31" s="196">
        <f>'Program Budget'!I623</f>
        <v>12</v>
      </c>
      <c r="F31" s="199">
        <f>'Program Budget'!H623</f>
        <v>0.1</v>
      </c>
      <c r="G31" s="198">
        <f t="shared" si="0"/>
        <v>4200</v>
      </c>
      <c r="H31" s="195">
        <f t="shared" si="1"/>
        <v>3675</v>
      </c>
      <c r="I31" s="196">
        <f>'Program Budget'!L623</f>
        <v>12</v>
      </c>
      <c r="J31" s="199">
        <f>'Program Budget'!K623</f>
        <v>0.15</v>
      </c>
      <c r="K31" s="198">
        <f t="shared" si="2"/>
        <v>6615</v>
      </c>
      <c r="L31" s="195">
        <f t="shared" si="3"/>
        <v>3858.75</v>
      </c>
      <c r="M31" s="196">
        <f>'Program Budget'!O623</f>
        <v>12</v>
      </c>
      <c r="N31" s="199">
        <f>'Program Budget'!N623</f>
        <v>0.15</v>
      </c>
      <c r="O31" s="198">
        <f t="shared" si="4"/>
        <v>6945.75</v>
      </c>
      <c r="P31" s="195">
        <f t="shared" si="5"/>
        <v>4051.6875</v>
      </c>
      <c r="Q31" s="196">
        <f>'Program Budget'!R623</f>
        <v>0</v>
      </c>
      <c r="R31" s="199">
        <f>'Program Budget'!Q623</f>
        <v>0.15</v>
      </c>
      <c r="S31" s="198">
        <f t="shared" si="6"/>
        <v>0</v>
      </c>
      <c r="T31" s="333">
        <f t="shared" si="7"/>
        <v>17760.75</v>
      </c>
      <c r="U31" s="201"/>
      <c r="V31" s="188"/>
      <c r="W31" s="202"/>
      <c r="X31" s="202"/>
      <c r="AB31" s="163"/>
      <c r="AC31" s="203"/>
      <c r="AD31" s="203"/>
      <c r="AE31" s="204"/>
      <c r="AG31" s="205"/>
    </row>
    <row r="32" spans="1:33" ht="15" customHeight="1" outlineLevel="1">
      <c r="A32" s="193" t="str">
        <f>'Program Budget'!D624</f>
        <v xml:space="preserve">F&amp;A Director </v>
      </c>
      <c r="B32" s="194" t="str">
        <f>'Program Budget'!F624</f>
        <v>Month</v>
      </c>
      <c r="C32" s="198">
        <f>'Program Budget'!E624</f>
        <v>6045.6</v>
      </c>
      <c r="D32" s="195">
        <f>'Program Budget'!G624</f>
        <v>5279.4</v>
      </c>
      <c r="E32" s="196">
        <f>'Program Budget'!I624</f>
        <v>12</v>
      </c>
      <c r="F32" s="199">
        <f>'Program Budget'!H624</f>
        <v>0.1</v>
      </c>
      <c r="G32" s="198">
        <f t="shared" si="0"/>
        <v>6335.28</v>
      </c>
      <c r="H32" s="195">
        <f t="shared" si="1"/>
        <v>5543.37</v>
      </c>
      <c r="I32" s="196">
        <f>'Program Budget'!L624</f>
        <v>12</v>
      </c>
      <c r="J32" s="199">
        <f>'Program Budget'!K624</f>
        <v>0.15</v>
      </c>
      <c r="K32" s="198">
        <f t="shared" si="2"/>
        <v>9978.0660000000007</v>
      </c>
      <c r="L32" s="195">
        <f t="shared" si="3"/>
        <v>5820.5385000000006</v>
      </c>
      <c r="M32" s="196">
        <f>'Program Budget'!O624</f>
        <v>12</v>
      </c>
      <c r="N32" s="199">
        <f>'Program Budget'!N624</f>
        <v>0.15</v>
      </c>
      <c r="O32" s="198">
        <f t="shared" si="4"/>
        <v>10476.969299999999</v>
      </c>
      <c r="P32" s="195">
        <f t="shared" si="5"/>
        <v>6111.5654250000007</v>
      </c>
      <c r="Q32" s="196">
        <f>'Program Budget'!R624</f>
        <v>6</v>
      </c>
      <c r="R32" s="199">
        <f>'Program Budget'!Q624</f>
        <v>0.15</v>
      </c>
      <c r="S32" s="198">
        <f t="shared" si="6"/>
        <v>5500.4088825000008</v>
      </c>
      <c r="T32" s="333">
        <f t="shared" si="7"/>
        <v>38336.3241825</v>
      </c>
      <c r="U32" s="201"/>
      <c r="V32" s="188"/>
      <c r="W32" s="202"/>
      <c r="X32" s="202"/>
      <c r="AB32" s="163"/>
      <c r="AC32" s="203"/>
      <c r="AD32" s="203"/>
      <c r="AE32" s="204"/>
      <c r="AG32" s="205"/>
    </row>
    <row r="33" spans="1:33" ht="15" customHeight="1" outlineLevel="1">
      <c r="A33" s="193" t="str">
        <f>'Program Budget'!D625</f>
        <v>Accounting &amp; Finance Specialist</v>
      </c>
      <c r="B33" s="194" t="str">
        <f>'Program Budget'!F625</f>
        <v>Month</v>
      </c>
      <c r="C33" s="198">
        <f>'Program Budget'!E625</f>
        <v>0</v>
      </c>
      <c r="D33" s="195">
        <f>'Program Budget'!G625</f>
        <v>1750</v>
      </c>
      <c r="E33" s="196">
        <f>'Program Budget'!I625</f>
        <v>12</v>
      </c>
      <c r="F33" s="199">
        <f>'Program Budget'!H625</f>
        <v>0.1</v>
      </c>
      <c r="G33" s="198">
        <f t="shared" si="0"/>
        <v>2100</v>
      </c>
      <c r="H33" s="195">
        <f t="shared" si="1"/>
        <v>1837.5</v>
      </c>
      <c r="I33" s="196">
        <f>'Program Budget'!L625</f>
        <v>12</v>
      </c>
      <c r="J33" s="199">
        <f>'Program Budget'!K625</f>
        <v>0.16</v>
      </c>
      <c r="K33" s="198">
        <f t="shared" si="2"/>
        <v>3528</v>
      </c>
      <c r="L33" s="195">
        <f t="shared" si="3"/>
        <v>1929.375</v>
      </c>
      <c r="M33" s="196">
        <f>'Program Budget'!O625</f>
        <v>12</v>
      </c>
      <c r="N33" s="199">
        <f>'Program Budget'!N625</f>
        <v>0.16</v>
      </c>
      <c r="O33" s="198">
        <f t="shared" si="4"/>
        <v>3704.4</v>
      </c>
      <c r="P33" s="195">
        <f t="shared" si="5"/>
        <v>2025.84375</v>
      </c>
      <c r="Q33" s="196">
        <f>'Program Budget'!R625</f>
        <v>3</v>
      </c>
      <c r="R33" s="199">
        <f>'Program Budget'!Q625</f>
        <v>0.16</v>
      </c>
      <c r="S33" s="198">
        <f t="shared" si="6"/>
        <v>972.40499999999997</v>
      </c>
      <c r="T33" s="333">
        <f t="shared" si="7"/>
        <v>10304.805</v>
      </c>
      <c r="U33" s="201"/>
      <c r="V33" s="188"/>
      <c r="W33" s="202"/>
      <c r="X33" s="202"/>
      <c r="AB33" s="163"/>
      <c r="AC33" s="203"/>
      <c r="AD33" s="203"/>
      <c r="AE33" s="204"/>
      <c r="AG33" s="205"/>
    </row>
    <row r="34" spans="1:33" ht="15" customHeight="1" outlineLevel="1">
      <c r="A34" s="193" t="str">
        <f>'Program Budget'!D626</f>
        <v xml:space="preserve">Accountant </v>
      </c>
      <c r="B34" s="194" t="str">
        <f>'Program Budget'!F626</f>
        <v>Month</v>
      </c>
      <c r="C34" s="198">
        <f>'Program Budget'!E626</f>
        <v>0</v>
      </c>
      <c r="D34" s="195">
        <f>'Program Budget'!G626</f>
        <v>1750</v>
      </c>
      <c r="E34" s="196">
        <f>'Program Budget'!I626</f>
        <v>12</v>
      </c>
      <c r="F34" s="199">
        <f>'Program Budget'!H626</f>
        <v>0.1</v>
      </c>
      <c r="G34" s="198">
        <f t="shared" si="0"/>
        <v>2100</v>
      </c>
      <c r="H34" s="195">
        <f t="shared" si="1"/>
        <v>1837.5</v>
      </c>
      <c r="I34" s="196">
        <f>'Program Budget'!L626</f>
        <v>12</v>
      </c>
      <c r="J34" s="199">
        <f>'Program Budget'!K626</f>
        <v>0.16</v>
      </c>
      <c r="K34" s="198">
        <f t="shared" si="2"/>
        <v>3528</v>
      </c>
      <c r="L34" s="195">
        <f t="shared" si="3"/>
        <v>1929.375</v>
      </c>
      <c r="M34" s="196">
        <f>'Program Budget'!O626</f>
        <v>12</v>
      </c>
      <c r="N34" s="199">
        <f>'Program Budget'!N626</f>
        <v>0.16</v>
      </c>
      <c r="O34" s="198">
        <f t="shared" si="4"/>
        <v>3704.4</v>
      </c>
      <c r="P34" s="195">
        <f t="shared" si="5"/>
        <v>2025.84375</v>
      </c>
      <c r="Q34" s="196">
        <f>'Program Budget'!R626</f>
        <v>5</v>
      </c>
      <c r="R34" s="199">
        <f>'Program Budget'!Q626</f>
        <v>0.16</v>
      </c>
      <c r="S34" s="198">
        <f t="shared" si="6"/>
        <v>1620.675</v>
      </c>
      <c r="T34" s="333">
        <f t="shared" si="7"/>
        <v>10953.074999999999</v>
      </c>
      <c r="U34" s="201"/>
      <c r="V34" s="188"/>
      <c r="W34" s="202"/>
      <c r="X34" s="202"/>
      <c r="AB34" s="163"/>
      <c r="AC34" s="203"/>
      <c r="AD34" s="203"/>
      <c r="AE34" s="204"/>
      <c r="AG34" s="205"/>
    </row>
    <row r="35" spans="1:33" ht="15" customHeight="1" outlineLevel="1">
      <c r="A35" s="193" t="str">
        <f>'Program Budget'!D627</f>
        <v>Finance &amp; Admin Coordinator - 50% LOE</v>
      </c>
      <c r="B35" s="194" t="str">
        <f>'Program Budget'!F627</f>
        <v>Month</v>
      </c>
      <c r="C35" s="198">
        <f>'Program Budget'!E627</f>
        <v>0</v>
      </c>
      <c r="D35" s="195">
        <f>'Program Budget'!G627</f>
        <v>2583.3333333333335</v>
      </c>
      <c r="E35" s="196">
        <f>'Program Budget'!I627</f>
        <v>12</v>
      </c>
      <c r="F35" s="199">
        <f>'Program Budget'!H627</f>
        <v>0.05</v>
      </c>
      <c r="G35" s="198">
        <f t="shared" si="0"/>
        <v>1550</v>
      </c>
      <c r="H35" s="195">
        <f t="shared" si="1"/>
        <v>2712.5000000000005</v>
      </c>
      <c r="I35" s="196">
        <f>'Program Budget'!L627</f>
        <v>12</v>
      </c>
      <c r="J35" s="199">
        <f>'Program Budget'!K627</f>
        <v>0.05</v>
      </c>
      <c r="K35" s="198">
        <f t="shared" si="2"/>
        <v>1627.5000000000005</v>
      </c>
      <c r="L35" s="195">
        <f t="shared" si="3"/>
        <v>2848.1250000000005</v>
      </c>
      <c r="M35" s="196">
        <f>'Program Budget'!O627</f>
        <v>12</v>
      </c>
      <c r="N35" s="199">
        <f>'Program Budget'!N627</f>
        <v>0.05</v>
      </c>
      <c r="O35" s="198">
        <f t="shared" si="4"/>
        <v>1708.8750000000005</v>
      </c>
      <c r="P35" s="195">
        <f t="shared" si="5"/>
        <v>2990.5312500000005</v>
      </c>
      <c r="Q35" s="196">
        <f>'Program Budget'!R627</f>
        <v>6</v>
      </c>
      <c r="R35" s="199">
        <f>'Program Budget'!Q627</f>
        <v>0.05</v>
      </c>
      <c r="S35" s="198">
        <f t="shared" si="6"/>
        <v>897.15937500000018</v>
      </c>
      <c r="T35" s="333">
        <f t="shared" si="7"/>
        <v>5783.5343750000011</v>
      </c>
      <c r="U35" s="201"/>
      <c r="V35" s="188"/>
      <c r="W35" s="202"/>
      <c r="X35" s="202"/>
      <c r="AB35" s="163">
        <v>180</v>
      </c>
      <c r="AC35" s="203" t="s">
        <v>547</v>
      </c>
      <c r="AD35" s="203" t="s">
        <v>548</v>
      </c>
      <c r="AE35" s="204"/>
      <c r="AG35" s="205"/>
    </row>
    <row r="36" spans="1:33" ht="15" customHeight="1" outlineLevel="1">
      <c r="A36" s="193" t="str">
        <f>'Program Budget'!D628</f>
        <v xml:space="preserve">Administrative Officer </v>
      </c>
      <c r="B36" s="194" t="str">
        <f>'Program Budget'!F628</f>
        <v>Month</v>
      </c>
      <c r="C36" s="198">
        <f>'Program Budget'!E628</f>
        <v>9824.1</v>
      </c>
      <c r="D36" s="195">
        <f>'Program Budget'!G628</f>
        <v>1000</v>
      </c>
      <c r="E36" s="196">
        <f>'Program Budget'!I628</f>
        <v>12</v>
      </c>
      <c r="F36" s="199">
        <f>'Program Budget'!H628</f>
        <v>0.1</v>
      </c>
      <c r="G36" s="198">
        <f t="shared" si="0"/>
        <v>1200</v>
      </c>
      <c r="H36" s="195">
        <f t="shared" si="1"/>
        <v>1050</v>
      </c>
      <c r="I36" s="196">
        <f>'Program Budget'!L628</f>
        <v>12</v>
      </c>
      <c r="J36" s="199">
        <f>'Program Budget'!K628</f>
        <v>0.1</v>
      </c>
      <c r="K36" s="198">
        <f t="shared" si="2"/>
        <v>1260</v>
      </c>
      <c r="L36" s="195">
        <f t="shared" si="3"/>
        <v>1102.5</v>
      </c>
      <c r="M36" s="196">
        <f>'Program Budget'!O628</f>
        <v>12</v>
      </c>
      <c r="N36" s="199">
        <f>'Program Budget'!N628</f>
        <v>0.1</v>
      </c>
      <c r="O36" s="198">
        <f t="shared" si="4"/>
        <v>1323</v>
      </c>
      <c r="P36" s="195">
        <f t="shared" si="5"/>
        <v>1157.625</v>
      </c>
      <c r="Q36" s="196">
        <f>'Program Budget'!R628</f>
        <v>3</v>
      </c>
      <c r="R36" s="199">
        <f>'Program Budget'!Q628</f>
        <v>0.1</v>
      </c>
      <c r="S36" s="198">
        <f t="shared" si="6"/>
        <v>347.28750000000002</v>
      </c>
      <c r="T36" s="333">
        <f t="shared" si="7"/>
        <v>13954.387500000001</v>
      </c>
      <c r="U36" s="201"/>
      <c r="V36" s="188"/>
      <c r="W36" s="202"/>
      <c r="X36" s="202"/>
      <c r="AB36" s="163"/>
      <c r="AC36" s="203"/>
      <c r="AD36" s="203"/>
      <c r="AE36" s="204"/>
      <c r="AG36" s="205"/>
    </row>
    <row r="37" spans="1:33" ht="15" customHeight="1" outlineLevel="1">
      <c r="A37" s="193" t="str">
        <f>'Program Budget'!D629</f>
        <v>Human Resource Manager</v>
      </c>
      <c r="B37" s="194" t="str">
        <f>'Program Budget'!F629</f>
        <v>Month</v>
      </c>
      <c r="C37" s="198">
        <f>'Program Budget'!E629</f>
        <v>0</v>
      </c>
      <c r="D37" s="195">
        <f>'Program Budget'!G629</f>
        <v>1954.1666666666667</v>
      </c>
      <c r="E37" s="196">
        <f>'Program Budget'!I629</f>
        <v>12</v>
      </c>
      <c r="F37" s="199">
        <f>'Program Budget'!H629</f>
        <v>0.1</v>
      </c>
      <c r="G37" s="198">
        <f t="shared" si="0"/>
        <v>2345</v>
      </c>
      <c r="H37" s="195">
        <f t="shared" si="1"/>
        <v>2051.875</v>
      </c>
      <c r="I37" s="196">
        <f>'Program Budget'!L629</f>
        <v>12</v>
      </c>
      <c r="J37" s="199">
        <f>'Program Budget'!K629</f>
        <v>0.1</v>
      </c>
      <c r="K37" s="198">
        <f t="shared" si="2"/>
        <v>2462.25</v>
      </c>
      <c r="L37" s="195">
        <f t="shared" si="3"/>
        <v>2154.46875</v>
      </c>
      <c r="M37" s="196">
        <f>'Program Budget'!O629</f>
        <v>12</v>
      </c>
      <c r="N37" s="199">
        <f>'Program Budget'!N629</f>
        <v>0.1</v>
      </c>
      <c r="O37" s="198">
        <f t="shared" si="4"/>
        <v>2585.3625000000002</v>
      </c>
      <c r="P37" s="195">
        <f t="shared" si="5"/>
        <v>2262.1921875000003</v>
      </c>
      <c r="Q37" s="196">
        <f>'Program Budget'!R629</f>
        <v>6</v>
      </c>
      <c r="R37" s="199">
        <f>'Program Budget'!Q629</f>
        <v>0.1</v>
      </c>
      <c r="S37" s="198">
        <f t="shared" si="6"/>
        <v>1357.3153125000001</v>
      </c>
      <c r="T37" s="333">
        <f t="shared" si="7"/>
        <v>8749.9278125000001</v>
      </c>
      <c r="U37" s="201"/>
      <c r="V37" s="188"/>
      <c r="W37" s="202"/>
      <c r="X37" s="202"/>
      <c r="AB37" s="163"/>
      <c r="AC37" s="203"/>
      <c r="AD37" s="203"/>
      <c r="AE37" s="204"/>
      <c r="AG37" s="205"/>
    </row>
    <row r="38" spans="1:33" ht="15" customHeight="1" outlineLevel="1">
      <c r="A38" s="193" t="str">
        <f>'Program Budget'!D630</f>
        <v>Human Resource Specialist</v>
      </c>
      <c r="B38" s="194" t="str">
        <f>'Program Budget'!F630</f>
        <v>Month</v>
      </c>
      <c r="C38" s="198">
        <f>'Program Budget'!E630</f>
        <v>0</v>
      </c>
      <c r="D38" s="195">
        <f>'Program Budget'!G630</f>
        <v>1750</v>
      </c>
      <c r="E38" s="196">
        <f>'Program Budget'!I630</f>
        <v>12</v>
      </c>
      <c r="F38" s="199">
        <f>'Program Budget'!H630</f>
        <v>0.1</v>
      </c>
      <c r="G38" s="198">
        <f t="shared" si="0"/>
        <v>2100</v>
      </c>
      <c r="H38" s="195">
        <f t="shared" si="1"/>
        <v>1837.5</v>
      </c>
      <c r="I38" s="196">
        <f>'Program Budget'!L630</f>
        <v>12</v>
      </c>
      <c r="J38" s="199">
        <f>'Program Budget'!K630</f>
        <v>0.1</v>
      </c>
      <c r="K38" s="198">
        <f t="shared" si="2"/>
        <v>2205</v>
      </c>
      <c r="L38" s="195">
        <f t="shared" si="3"/>
        <v>1929.375</v>
      </c>
      <c r="M38" s="196">
        <f>'Program Budget'!O630</f>
        <v>12</v>
      </c>
      <c r="N38" s="199">
        <f>'Program Budget'!N630</f>
        <v>0.1</v>
      </c>
      <c r="O38" s="198">
        <f t="shared" si="4"/>
        <v>2315.25</v>
      </c>
      <c r="P38" s="195">
        <f t="shared" si="5"/>
        <v>2025.84375</v>
      </c>
      <c r="Q38" s="196">
        <f>'Program Budget'!R630</f>
        <v>3</v>
      </c>
      <c r="R38" s="199">
        <f>'Program Budget'!Q630</f>
        <v>0.1</v>
      </c>
      <c r="S38" s="198">
        <f t="shared" si="6"/>
        <v>607.75312500000007</v>
      </c>
      <c r="T38" s="335">
        <f t="shared" si="7"/>
        <v>7228.0031250000002</v>
      </c>
      <c r="U38" s="201"/>
      <c r="V38" s="188"/>
      <c r="W38" s="202"/>
      <c r="X38" s="202"/>
      <c r="AB38" s="163"/>
      <c r="AC38" s="203"/>
      <c r="AD38" s="203"/>
      <c r="AE38" s="204"/>
      <c r="AG38" s="205"/>
    </row>
    <row r="39" spans="1:33" ht="15" customHeight="1" outlineLevel="1">
      <c r="A39" s="208" t="s">
        <v>510</v>
      </c>
      <c r="B39" s="209"/>
      <c r="C39" s="222">
        <f>SUM(C10:C38)</f>
        <v>75015.5</v>
      </c>
      <c r="D39" s="210"/>
      <c r="E39" s="211"/>
      <c r="F39" s="214"/>
      <c r="G39" s="222">
        <f>SUM(G10:G38)</f>
        <v>66730.28</v>
      </c>
      <c r="H39" s="210"/>
      <c r="I39" s="211"/>
      <c r="J39" s="212"/>
      <c r="K39" s="222">
        <f>SUM(K10:K38)</f>
        <v>106425.81600000001</v>
      </c>
      <c r="L39" s="210"/>
      <c r="M39" s="211"/>
      <c r="N39" s="214"/>
      <c r="O39" s="222">
        <f>SUM(O10:O38)</f>
        <v>111747.10679999999</v>
      </c>
      <c r="P39" s="210"/>
      <c r="Q39" s="211"/>
      <c r="R39" s="214"/>
      <c r="S39" s="222">
        <f>SUM(S10:S38)</f>
        <v>33187.904819999996</v>
      </c>
      <c r="T39" s="334">
        <f>C39+G39+K39+O39+S39</f>
        <v>393106.60762000002</v>
      </c>
      <c r="AB39" s="163"/>
      <c r="AC39" s="203"/>
      <c r="AD39" s="203"/>
    </row>
    <row r="40" spans="1:33" s="236" customFormat="1" ht="15" customHeight="1">
      <c r="A40" s="226" t="s">
        <v>513</v>
      </c>
      <c r="B40" s="227"/>
      <c r="C40" s="231">
        <f>C39+C8</f>
        <v>109576.5</v>
      </c>
      <c r="D40" s="228"/>
      <c r="E40" s="229"/>
      <c r="F40" s="232"/>
      <c r="G40" s="231">
        <f>G39+G8</f>
        <v>83830.28</v>
      </c>
      <c r="H40" s="228"/>
      <c r="I40" s="229"/>
      <c r="J40" s="230"/>
      <c r="K40" s="231">
        <f>K39+K8</f>
        <v>140540.31599999999</v>
      </c>
      <c r="L40" s="228"/>
      <c r="M40" s="229"/>
      <c r="N40" s="232"/>
      <c r="O40" s="231">
        <f>O39+O8</f>
        <v>147567.33179999999</v>
      </c>
      <c r="P40" s="228"/>
      <c r="Q40" s="229"/>
      <c r="R40" s="232"/>
      <c r="S40" s="231">
        <f>S39+S8</f>
        <v>33187.904819999996</v>
      </c>
      <c r="T40" s="233">
        <f>+C40+G40+K40+O40+S40</f>
        <v>514702.33262</v>
      </c>
      <c r="U40" s="234"/>
      <c r="V40" s="234"/>
      <c r="W40" s="234"/>
      <c r="X40" s="234"/>
      <c r="Y40" s="234"/>
      <c r="Z40" s="235"/>
      <c r="AA40" s="235"/>
      <c r="AB40" s="234"/>
      <c r="AD40" s="236" t="s">
        <v>549</v>
      </c>
      <c r="AG40" s="235"/>
    </row>
    <row r="41" spans="1:33" s="189" customFormat="1" ht="15" customHeight="1" outlineLevel="1">
      <c r="A41" s="190" t="s">
        <v>514</v>
      </c>
      <c r="B41" s="191"/>
      <c r="C41" s="184"/>
      <c r="D41" s="181"/>
      <c r="E41" s="182"/>
      <c r="F41" s="185"/>
      <c r="G41" s="186"/>
      <c r="H41" s="181"/>
      <c r="I41" s="182"/>
      <c r="J41" s="183"/>
      <c r="K41" s="186"/>
      <c r="L41" s="181"/>
      <c r="M41" s="182"/>
      <c r="N41" s="185"/>
      <c r="O41" s="186"/>
      <c r="P41" s="181"/>
      <c r="Q41" s="182"/>
      <c r="R41" s="185"/>
      <c r="S41" s="186"/>
      <c r="T41" s="187"/>
      <c r="U41" s="157"/>
      <c r="V41" s="157"/>
      <c r="W41" s="157"/>
      <c r="X41" s="157"/>
      <c r="Y41" s="157"/>
      <c r="Z41" s="157"/>
      <c r="AA41" s="157"/>
      <c r="AB41" s="163"/>
      <c r="AG41" s="157"/>
    </row>
    <row r="42" spans="1:33" s="189" customFormat="1" ht="15" customHeight="1" outlineLevel="1">
      <c r="A42" s="237" t="str">
        <f>'Program Budget'!D637</f>
        <v>Fringe Benefits Package for Chief of Party</v>
      </c>
      <c r="B42" s="216" t="str">
        <f>'Program Budget'!F637</f>
        <v>%</v>
      </c>
      <c r="C42" s="198">
        <f>'Program Budget'!E637</f>
        <v>1303.3800000000001</v>
      </c>
      <c r="D42" s="343">
        <f>G8</f>
        <v>17100</v>
      </c>
      <c r="E42" s="218">
        <v>1</v>
      </c>
      <c r="F42" s="160">
        <f>'Program Budget'!G637</f>
        <v>0.56469999999999998</v>
      </c>
      <c r="G42" s="198">
        <f t="shared" ref="G42" si="8">D42*E42*F42</f>
        <v>9656.369999999999</v>
      </c>
      <c r="H42" s="343">
        <f>K8</f>
        <v>34114.5</v>
      </c>
      <c r="I42" s="218">
        <v>1</v>
      </c>
      <c r="J42" s="160">
        <f>F42</f>
        <v>0.56469999999999998</v>
      </c>
      <c r="K42" s="198">
        <f t="shared" ref="K42:K44" si="9">H42*I42*J42</f>
        <v>19264.458149999999</v>
      </c>
      <c r="L42" s="343">
        <f>O8</f>
        <v>35820.224999999999</v>
      </c>
      <c r="M42" s="218">
        <v>1</v>
      </c>
      <c r="N42" s="160">
        <f>J42</f>
        <v>0.56469999999999998</v>
      </c>
      <c r="O42" s="198">
        <f t="shared" ref="O42:O44" si="10">L42*M42*N42</f>
        <v>20227.681057499998</v>
      </c>
      <c r="P42" s="343">
        <f>S8</f>
        <v>0</v>
      </c>
      <c r="Q42" s="218">
        <v>1</v>
      </c>
      <c r="R42" s="160">
        <f>N42</f>
        <v>0.56469999999999998</v>
      </c>
      <c r="S42" s="198">
        <f t="shared" ref="S42:S44" si="11">P42*Q42*R42</f>
        <v>0</v>
      </c>
      <c r="T42" s="333">
        <f t="shared" ref="T42:T44" si="12">C42+G42+K42+O42+S42</f>
        <v>50451.889207499997</v>
      </c>
      <c r="U42" s="157"/>
      <c r="V42" s="157"/>
      <c r="W42" s="157"/>
      <c r="X42" s="157"/>
      <c r="Y42" s="157"/>
      <c r="Z42" s="157"/>
      <c r="AA42" s="157"/>
      <c r="AB42" s="163">
        <v>194</v>
      </c>
      <c r="AC42" s="203" t="s">
        <v>550</v>
      </c>
      <c r="AD42" s="203" t="s">
        <v>551</v>
      </c>
      <c r="AG42" s="157"/>
    </row>
    <row r="43" spans="1:33" s="189" customFormat="1" ht="15" customHeight="1" outlineLevel="1">
      <c r="A43" s="237" t="s">
        <v>515</v>
      </c>
      <c r="B43" s="216" t="str">
        <f>'Program Budget'!F634</f>
        <v>%</v>
      </c>
      <c r="C43" s="198">
        <f>'Program Budget'!E634</f>
        <v>3475.69</v>
      </c>
      <c r="D43" s="343">
        <f>G11+G10+G20+G24+G27+G30+G32</f>
        <v>30835.279999999999</v>
      </c>
      <c r="E43" s="218">
        <v>1</v>
      </c>
      <c r="F43" s="160">
        <f>'Program Budget'!G634</f>
        <v>0.53864000000000001</v>
      </c>
      <c r="G43" s="198">
        <f>D43*E43*F43</f>
        <v>16609.115219200001</v>
      </c>
      <c r="H43" s="343">
        <f>K11+K10+K20+K24+K27+K30+K32</f>
        <v>47673.065999999999</v>
      </c>
      <c r="I43" s="218">
        <v>1</v>
      </c>
      <c r="J43" s="160">
        <f t="shared" ref="J43:J44" si="13">F43</f>
        <v>0.53864000000000001</v>
      </c>
      <c r="K43" s="198">
        <f t="shared" si="9"/>
        <v>25678.620270240001</v>
      </c>
      <c r="L43" s="343">
        <f>O11+O10+O20+O24+O27+O30+O32</f>
        <v>50056.719299999997</v>
      </c>
      <c r="M43" s="218">
        <v>1</v>
      </c>
      <c r="N43" s="160">
        <f t="shared" ref="N43:N44" si="14">J43</f>
        <v>0.53864000000000001</v>
      </c>
      <c r="O43" s="198">
        <f t="shared" si="10"/>
        <v>26962.551283752</v>
      </c>
      <c r="P43" s="343">
        <f>S11+S10+S20+S24+S27+S30+S32</f>
        <v>21822.921382500001</v>
      </c>
      <c r="Q43" s="218">
        <v>1</v>
      </c>
      <c r="R43" s="160">
        <f t="shared" ref="R43:R44" si="15">N43</f>
        <v>0.53864000000000001</v>
      </c>
      <c r="S43" s="198">
        <f t="shared" si="11"/>
        <v>11754.698373469801</v>
      </c>
      <c r="T43" s="335">
        <f t="shared" si="12"/>
        <v>84480.675146661801</v>
      </c>
      <c r="U43" s="157"/>
      <c r="V43" s="157"/>
      <c r="W43" s="157"/>
      <c r="X43" s="157"/>
      <c r="Y43" s="157"/>
      <c r="Z43" s="157"/>
      <c r="AA43" s="157"/>
      <c r="AB43" s="238">
        <v>197</v>
      </c>
      <c r="AC43" s="239" t="s">
        <v>552</v>
      </c>
      <c r="AD43" s="239" t="s">
        <v>553</v>
      </c>
      <c r="AG43" s="157"/>
    </row>
    <row r="44" spans="1:33" s="189" customFormat="1" ht="15" customHeight="1" outlineLevel="1">
      <c r="A44" s="237" t="s">
        <v>516</v>
      </c>
      <c r="B44" s="216" t="str">
        <f>'Program Budget'!F635</f>
        <v>%</v>
      </c>
      <c r="C44" s="198">
        <f>'Program Budget'!E635</f>
        <v>37609.050000000003</v>
      </c>
      <c r="D44" s="343">
        <f>G39-D43</f>
        <v>35895</v>
      </c>
      <c r="E44" s="218">
        <v>1</v>
      </c>
      <c r="F44" s="160">
        <f>'Program Budget'!G635</f>
        <v>0.44863999999999998</v>
      </c>
      <c r="G44" s="198">
        <f>D44*E44*F44</f>
        <v>16103.932799999999</v>
      </c>
      <c r="H44" s="343">
        <f>K39-H43</f>
        <v>58752.750000000007</v>
      </c>
      <c r="I44" s="218">
        <v>1</v>
      </c>
      <c r="J44" s="160">
        <f t="shared" si="13"/>
        <v>0.44863999999999998</v>
      </c>
      <c r="K44" s="198">
        <f t="shared" si="9"/>
        <v>26358.833760000001</v>
      </c>
      <c r="L44" s="343">
        <f>O39-L43</f>
        <v>61690.387499999997</v>
      </c>
      <c r="M44" s="218">
        <v>1</v>
      </c>
      <c r="N44" s="160">
        <f t="shared" si="14"/>
        <v>0.44863999999999998</v>
      </c>
      <c r="O44" s="198">
        <f t="shared" si="10"/>
        <v>27676.775447999997</v>
      </c>
      <c r="P44" s="343">
        <f>S39-P43</f>
        <v>11364.983437499995</v>
      </c>
      <c r="Q44" s="218">
        <v>1</v>
      </c>
      <c r="R44" s="160">
        <f t="shared" si="15"/>
        <v>0.44863999999999998</v>
      </c>
      <c r="S44" s="198">
        <f t="shared" si="11"/>
        <v>5098.7861693999976</v>
      </c>
      <c r="T44" s="335">
        <f t="shared" si="12"/>
        <v>112847.37817740001</v>
      </c>
      <c r="U44" s="157"/>
      <c r="V44" s="157"/>
      <c r="W44" s="157"/>
      <c r="X44" s="157"/>
      <c r="Y44" s="157"/>
      <c r="Z44" s="157"/>
      <c r="AA44" s="157"/>
      <c r="AB44" s="238">
        <v>197</v>
      </c>
      <c r="AC44" s="239" t="s">
        <v>552</v>
      </c>
      <c r="AD44" s="239" t="s">
        <v>553</v>
      </c>
      <c r="AG44" s="157"/>
    </row>
    <row r="45" spans="1:33" ht="15" customHeight="1" outlineLevel="1">
      <c r="A45" s="208" t="s">
        <v>518</v>
      </c>
      <c r="B45" s="209"/>
      <c r="C45" s="213">
        <f>SUM(C42:C44)</f>
        <v>42388.12</v>
      </c>
      <c r="D45" s="210"/>
      <c r="E45" s="211"/>
      <c r="F45" s="214"/>
      <c r="G45" s="213">
        <f>SUM(G42:G44)</f>
        <v>42369.418019199999</v>
      </c>
      <c r="H45" s="210"/>
      <c r="I45" s="211"/>
      <c r="J45" s="212"/>
      <c r="K45" s="213">
        <f>SUM(K42:K44)</f>
        <v>71301.912180240004</v>
      </c>
      <c r="L45" s="210"/>
      <c r="M45" s="211"/>
      <c r="N45" s="214"/>
      <c r="O45" s="213">
        <f>SUM(O42:O44)</f>
        <v>74867.007789251991</v>
      </c>
      <c r="P45" s="210"/>
      <c r="Q45" s="211"/>
      <c r="R45" s="214"/>
      <c r="S45" s="213">
        <f>SUM(S42:S44)</f>
        <v>16853.484542869799</v>
      </c>
      <c r="T45" s="334">
        <f>+C45+G45+K45+O45+S45</f>
        <v>247779.94253156177</v>
      </c>
      <c r="AB45" s="163"/>
      <c r="AC45" s="203"/>
      <c r="AD45" s="203"/>
    </row>
    <row r="46" spans="1:33" s="189" customFormat="1" ht="15" customHeight="1" outlineLevel="1">
      <c r="A46" s="190" t="s">
        <v>519</v>
      </c>
      <c r="B46" s="247"/>
      <c r="C46" s="248"/>
      <c r="D46" s="217"/>
      <c r="E46" s="218"/>
      <c r="F46" s="161"/>
      <c r="G46" s="221"/>
      <c r="H46" s="217"/>
      <c r="I46" s="218"/>
      <c r="J46" s="160"/>
      <c r="K46" s="221"/>
      <c r="L46" s="217"/>
      <c r="M46" s="218"/>
      <c r="N46" s="161"/>
      <c r="O46" s="221"/>
      <c r="P46" s="217"/>
      <c r="Q46" s="218"/>
      <c r="R46" s="161"/>
      <c r="S46" s="221"/>
      <c r="T46" s="333">
        <f>+C46+G46+K46+O46+S46</f>
        <v>0</v>
      </c>
      <c r="U46" s="157"/>
      <c r="V46" s="157"/>
      <c r="W46" s="157"/>
      <c r="X46" s="157"/>
      <c r="Y46" s="157"/>
      <c r="Z46" s="157"/>
      <c r="AA46" s="157"/>
      <c r="AB46" s="163"/>
      <c r="AC46" s="203"/>
      <c r="AD46" s="203" t="s">
        <v>549</v>
      </c>
      <c r="AG46" s="157"/>
    </row>
    <row r="47" spans="1:33" s="189" customFormat="1" ht="15" customHeight="1" outlineLevel="1">
      <c r="A47" s="193" t="str">
        <f>'Program Budget'!D636</f>
        <v>Post (Hardship) Differential for Chief of Party</v>
      </c>
      <c r="B47" s="216" t="str">
        <f>'Program Budget'!F636</f>
        <v>%</v>
      </c>
      <c r="C47" s="198">
        <f>'Program Budget'!E636</f>
        <v>1057.98</v>
      </c>
      <c r="D47" s="344">
        <f>G8</f>
        <v>17100</v>
      </c>
      <c r="E47" s="159">
        <v>1</v>
      </c>
      <c r="F47" s="161">
        <f>'Program Budget'!G636</f>
        <v>0.15</v>
      </c>
      <c r="G47" s="198">
        <f>D47*E47*F47</f>
        <v>2565</v>
      </c>
      <c r="H47" s="344">
        <f>K8</f>
        <v>34114.5</v>
      </c>
      <c r="I47" s="159">
        <v>1</v>
      </c>
      <c r="J47" s="160">
        <f>F47</f>
        <v>0.15</v>
      </c>
      <c r="K47" s="198">
        <f>H47*I47*J47</f>
        <v>5117.1750000000002</v>
      </c>
      <c r="L47" s="344">
        <f>O8</f>
        <v>35820.224999999999</v>
      </c>
      <c r="M47" s="159">
        <v>1</v>
      </c>
      <c r="N47" s="161">
        <f>J47</f>
        <v>0.15</v>
      </c>
      <c r="O47" s="198">
        <f>L47*M47*N47</f>
        <v>5373.0337499999996</v>
      </c>
      <c r="P47" s="344">
        <f>S8</f>
        <v>0</v>
      </c>
      <c r="Q47" s="159">
        <v>1</v>
      </c>
      <c r="R47" s="161">
        <f>N47</f>
        <v>0.15</v>
      </c>
      <c r="S47" s="198">
        <f>P47*Q47*R47</f>
        <v>0</v>
      </c>
      <c r="T47" s="337">
        <f t="shared" ref="T47" si="16">C47+G47+K47+O47+S47</f>
        <v>14113.188750000001</v>
      </c>
      <c r="U47" s="157"/>
      <c r="V47" s="157"/>
      <c r="W47" s="157"/>
      <c r="X47" s="157"/>
      <c r="Y47" s="157"/>
      <c r="Z47" s="157"/>
      <c r="AA47" s="157"/>
      <c r="AB47" s="163"/>
      <c r="AC47" s="207"/>
      <c r="AD47" s="207"/>
      <c r="AG47" s="157"/>
    </row>
    <row r="48" spans="1:33" ht="15" customHeight="1" outlineLevel="1">
      <c r="A48" s="208" t="s">
        <v>520</v>
      </c>
      <c r="B48" s="209"/>
      <c r="C48" s="213">
        <f>SUM(C47:C47)</f>
        <v>1057.98</v>
      </c>
      <c r="D48" s="210"/>
      <c r="E48" s="211"/>
      <c r="F48" s="214"/>
      <c r="G48" s="213">
        <f>SUM(G47:G47)</f>
        <v>2565</v>
      </c>
      <c r="H48" s="210"/>
      <c r="I48" s="211"/>
      <c r="J48" s="212"/>
      <c r="K48" s="213">
        <f>SUM(K47:K47)</f>
        <v>5117.1750000000002</v>
      </c>
      <c r="L48" s="210"/>
      <c r="M48" s="211"/>
      <c r="N48" s="214"/>
      <c r="O48" s="213">
        <f>SUM(O47:O47)</f>
        <v>5373.0337499999996</v>
      </c>
      <c r="P48" s="210"/>
      <c r="Q48" s="211"/>
      <c r="R48" s="214"/>
      <c r="S48" s="213">
        <f>SUM(S47:S47)</f>
        <v>0</v>
      </c>
      <c r="T48" s="334">
        <f>C48+G48+K48+O48+S48</f>
        <v>14113.188750000001</v>
      </c>
      <c r="AB48" s="163"/>
      <c r="AC48" s="203"/>
      <c r="AD48" s="203"/>
    </row>
    <row r="49" spans="1:33" s="258" customFormat="1" ht="18.3" outlineLevel="1">
      <c r="A49" s="249" t="s">
        <v>521</v>
      </c>
      <c r="B49" s="250"/>
      <c r="C49" s="254">
        <f>C48+C45</f>
        <v>43446.100000000006</v>
      </c>
      <c r="D49" s="251"/>
      <c r="E49" s="252"/>
      <c r="F49" s="255"/>
      <c r="G49" s="254">
        <f>G48+G45</f>
        <v>44934.418019199999</v>
      </c>
      <c r="H49" s="251"/>
      <c r="I49" s="252"/>
      <c r="J49" s="253"/>
      <c r="K49" s="254">
        <f>K48+K45</f>
        <v>76419.087180240007</v>
      </c>
      <c r="L49" s="251"/>
      <c r="M49" s="252"/>
      <c r="N49" s="255"/>
      <c r="O49" s="254">
        <f>O48+O45</f>
        <v>80240.041539251994</v>
      </c>
      <c r="P49" s="251"/>
      <c r="Q49" s="252"/>
      <c r="R49" s="255"/>
      <c r="S49" s="254">
        <f>S48+S45</f>
        <v>16853.484542869799</v>
      </c>
      <c r="T49" s="233">
        <f>+C49+G49+K49+O49+S49</f>
        <v>261893.1312815618</v>
      </c>
      <c r="U49" s="235"/>
      <c r="V49" s="235"/>
      <c r="W49" s="235"/>
      <c r="X49" s="235"/>
      <c r="Y49" s="235"/>
      <c r="Z49" s="235"/>
      <c r="AA49" s="235"/>
      <c r="AB49" s="234">
        <v>287</v>
      </c>
      <c r="AC49" s="256" t="s">
        <v>558</v>
      </c>
      <c r="AD49" s="256" t="s">
        <v>559</v>
      </c>
      <c r="AE49" s="257"/>
      <c r="AG49" s="235"/>
    </row>
    <row r="50" spans="1:33" s="260" customFormat="1" ht="15.6" outlineLevel="1">
      <c r="A50" s="441" t="s">
        <v>522</v>
      </c>
      <c r="B50" s="191"/>
      <c r="C50" s="198"/>
      <c r="D50" s="330"/>
      <c r="E50" s="159"/>
      <c r="F50" s="185"/>
      <c r="G50" s="198"/>
      <c r="H50" s="330"/>
      <c r="I50" s="159"/>
      <c r="J50" s="183"/>
      <c r="K50" s="198"/>
      <c r="L50" s="330"/>
      <c r="M50" s="159"/>
      <c r="N50" s="185"/>
      <c r="O50" s="198"/>
      <c r="P50" s="330"/>
      <c r="Q50" s="159"/>
      <c r="R50" s="185"/>
      <c r="S50" s="198"/>
      <c r="T50" s="333"/>
    </row>
    <row r="51" spans="1:33" ht="15" customHeight="1" outlineLevel="1">
      <c r="A51" s="193" t="str">
        <f>'Program Budget'!D647</f>
        <v>International &amp; Domestic Airfare for Conferences &amp; Forums</v>
      </c>
      <c r="B51" s="194" t="str">
        <f>'Program Budget'!F647</f>
        <v>Trip</v>
      </c>
      <c r="C51" s="198">
        <f>'Program Budget'!E647</f>
        <v>0</v>
      </c>
      <c r="D51" s="568">
        <f>'Program Budget'!G647</f>
        <v>1200</v>
      </c>
      <c r="E51" s="196">
        <f>'Program Budget'!I647</f>
        <v>2</v>
      </c>
      <c r="F51" s="197">
        <v>1</v>
      </c>
      <c r="G51" s="198">
        <f>D51*E51*F51</f>
        <v>2400</v>
      </c>
      <c r="H51" s="195">
        <f>D51*1.04</f>
        <v>1248</v>
      </c>
      <c r="I51" s="196">
        <f>'Program Budget'!L647</f>
        <v>2</v>
      </c>
      <c r="J51" s="197">
        <v>1</v>
      </c>
      <c r="K51" s="198">
        <f>H51*I51*J51</f>
        <v>2496</v>
      </c>
      <c r="L51" s="195">
        <f>H51*1.04</f>
        <v>1297.92</v>
      </c>
      <c r="M51" s="196">
        <f>'Program Budget'!O647</f>
        <v>2</v>
      </c>
      <c r="N51" s="197">
        <v>1</v>
      </c>
      <c r="O51" s="198">
        <f>L51*M51*N51</f>
        <v>2595.84</v>
      </c>
      <c r="P51" s="195">
        <f t="shared" ref="P51" si="17">L51*1.04</f>
        <v>1349.8368</v>
      </c>
      <c r="Q51" s="196">
        <f>'Program Budget'!R647</f>
        <v>2</v>
      </c>
      <c r="R51" s="197">
        <v>1</v>
      </c>
      <c r="S51" s="198">
        <f>P51*Q51*R51</f>
        <v>2699.6736000000001</v>
      </c>
      <c r="T51" s="333">
        <f>C51+G51+K51+O51+S51</f>
        <v>10191.5136</v>
      </c>
      <c r="U51" s="201"/>
      <c r="V51" s="188"/>
      <c r="W51" s="202"/>
      <c r="X51" s="202"/>
      <c r="AB51" s="163"/>
      <c r="AC51" s="203"/>
      <c r="AD51" s="203"/>
      <c r="AE51" s="204"/>
      <c r="AG51" s="205"/>
    </row>
    <row r="52" spans="1:33" s="260" customFormat="1" ht="15.6" outlineLevel="1">
      <c r="A52" s="190" t="s">
        <v>523</v>
      </c>
      <c r="B52" s="191"/>
      <c r="C52" s="198"/>
      <c r="D52" s="158"/>
      <c r="E52" s="159"/>
      <c r="F52" s="185"/>
      <c r="G52" s="198"/>
      <c r="H52" s="158"/>
      <c r="I52" s="159"/>
      <c r="J52" s="183"/>
      <c r="K52" s="198"/>
      <c r="L52" s="158"/>
      <c r="M52" s="159"/>
      <c r="N52" s="185"/>
      <c r="O52" s="198"/>
      <c r="P52" s="158"/>
      <c r="Q52" s="159"/>
      <c r="R52" s="185"/>
      <c r="S52" s="198"/>
      <c r="T52" s="333"/>
      <c r="U52" s="157"/>
      <c r="V52" s="157"/>
      <c r="W52" s="157"/>
      <c r="X52" s="157"/>
      <c r="Y52" s="157"/>
      <c r="Z52" s="157"/>
      <c r="AA52" s="157"/>
      <c r="AB52" s="163"/>
      <c r="AC52" s="203"/>
      <c r="AD52" s="203"/>
      <c r="AE52" s="259"/>
      <c r="AG52" s="157"/>
    </row>
    <row r="53" spans="1:33" ht="15" customHeight="1" outlineLevel="1">
      <c r="A53" s="193" t="str">
        <f>'Program Budget'!D645</f>
        <v xml:space="preserve">Local Travel for Meetings and Cacao Council </v>
      </c>
      <c r="B53" s="194" t="str">
        <f>'Program Budget'!F645</f>
        <v>Month</v>
      </c>
      <c r="C53" s="198">
        <f>'Program Budget'!E645</f>
        <v>12523.1</v>
      </c>
      <c r="D53" s="195">
        <f>'Program Budget'!G645</f>
        <v>200</v>
      </c>
      <c r="E53" s="196">
        <f>'Program Budget'!I645</f>
        <v>12</v>
      </c>
      <c r="F53" s="197">
        <v>1</v>
      </c>
      <c r="G53" s="198">
        <f>D53*E53*F53</f>
        <v>2400</v>
      </c>
      <c r="H53" s="195">
        <f t="shared" ref="H53:H55" si="18">D53*1.04</f>
        <v>208</v>
      </c>
      <c r="I53" s="196">
        <f>'Program Budget'!L645</f>
        <v>12</v>
      </c>
      <c r="J53" s="197">
        <v>1</v>
      </c>
      <c r="K53" s="198">
        <f>H53*I53*J53</f>
        <v>2496</v>
      </c>
      <c r="L53" s="195">
        <f t="shared" ref="L53:L55" si="19">H53*1.04</f>
        <v>216.32</v>
      </c>
      <c r="M53" s="196">
        <f>'Program Budget'!O645</f>
        <v>12</v>
      </c>
      <c r="N53" s="197">
        <v>1</v>
      </c>
      <c r="O53" s="198">
        <f>L53*M53*N53</f>
        <v>2595.84</v>
      </c>
      <c r="P53" s="195">
        <f t="shared" ref="P53:P55" si="20">L53*1.04</f>
        <v>224.97280000000001</v>
      </c>
      <c r="Q53" s="196">
        <f>'Program Budget'!R645</f>
        <v>4</v>
      </c>
      <c r="R53" s="197">
        <v>1</v>
      </c>
      <c r="S53" s="198">
        <f>P53*Q53*R53</f>
        <v>899.89120000000003</v>
      </c>
      <c r="T53" s="333">
        <f>C53+G53+K53+O53+S53</f>
        <v>20914.831200000001</v>
      </c>
      <c r="U53" s="201"/>
      <c r="V53" s="188"/>
      <c r="W53" s="202"/>
      <c r="X53" s="202"/>
      <c r="AB53" s="163">
        <v>180</v>
      </c>
      <c r="AC53" s="203" t="s">
        <v>547</v>
      </c>
      <c r="AD53" s="203" t="s">
        <v>548</v>
      </c>
      <c r="AE53" s="204"/>
      <c r="AG53" s="205"/>
    </row>
    <row r="54" spans="1:33" ht="15" customHeight="1" outlineLevel="1">
      <c r="A54" s="193" t="str">
        <f>'Program Budget'!D648</f>
        <v>Local Transportation for Conferences &amp; Forums</v>
      </c>
      <c r="B54" s="194" t="str">
        <f>'Program Budget'!F648</f>
        <v>Trip</v>
      </c>
      <c r="C54" s="198">
        <f>'Program Budget'!E648</f>
        <v>0</v>
      </c>
      <c r="D54" s="195">
        <f>'Program Budget'!G648</f>
        <v>300</v>
      </c>
      <c r="E54" s="196">
        <f>'Program Budget'!I648</f>
        <v>2</v>
      </c>
      <c r="F54" s="197">
        <v>1</v>
      </c>
      <c r="G54" s="198">
        <f>D54*E54*F54</f>
        <v>600</v>
      </c>
      <c r="H54" s="195">
        <f>D54*1.04</f>
        <v>312</v>
      </c>
      <c r="I54" s="196">
        <f>'Program Budget'!L648</f>
        <v>2</v>
      </c>
      <c r="J54" s="197">
        <v>1</v>
      </c>
      <c r="K54" s="198">
        <f>H54*I54*J54</f>
        <v>624</v>
      </c>
      <c r="L54" s="195">
        <f>H54*1.04</f>
        <v>324.48</v>
      </c>
      <c r="M54" s="196">
        <f>'Program Budget'!O648</f>
        <v>2</v>
      </c>
      <c r="N54" s="197">
        <v>1</v>
      </c>
      <c r="O54" s="198">
        <f>L54*M54*N54</f>
        <v>648.96</v>
      </c>
      <c r="P54" s="195">
        <f t="shared" ref="P54" si="21">L54*1.04</f>
        <v>337.45920000000001</v>
      </c>
      <c r="Q54" s="196">
        <f>'Program Budget'!R648</f>
        <v>2</v>
      </c>
      <c r="R54" s="197">
        <v>1</v>
      </c>
      <c r="S54" s="198">
        <f>P54*Q54*R54</f>
        <v>674.91840000000002</v>
      </c>
      <c r="T54" s="333">
        <f>C54+G54+K54+O54+S54</f>
        <v>2547.8784000000001</v>
      </c>
      <c r="U54" s="201"/>
      <c r="V54" s="188"/>
      <c r="W54" s="202"/>
      <c r="X54" s="202"/>
      <c r="AB54" s="163"/>
      <c r="AC54" s="203"/>
      <c r="AD54" s="203"/>
      <c r="AE54" s="204"/>
      <c r="AG54" s="205"/>
    </row>
    <row r="55" spans="1:33" ht="15" customHeight="1" outlineLevel="1">
      <c r="A55" s="193" t="str">
        <f>'Program Budget'!D651</f>
        <v>Colombia Young Producers Stipends for Exchange Trip</v>
      </c>
      <c r="B55" s="194" t="str">
        <f>'Program Budget'!F651</f>
        <v>Trip</v>
      </c>
      <c r="C55" s="198">
        <f>'Program Budget'!E651</f>
        <v>17263.260000000002</v>
      </c>
      <c r="D55" s="195">
        <f>'Program Budget'!G651</f>
        <v>10000</v>
      </c>
      <c r="E55" s="196">
        <f>'Program Budget'!I651</f>
        <v>0</v>
      </c>
      <c r="F55" s="197">
        <v>0</v>
      </c>
      <c r="G55" s="198">
        <f>D55*E55*F55</f>
        <v>0</v>
      </c>
      <c r="H55" s="195">
        <f t="shared" si="18"/>
        <v>10400</v>
      </c>
      <c r="I55" s="196">
        <f>'Program Budget'!L651</f>
        <v>5</v>
      </c>
      <c r="J55" s="197">
        <v>1</v>
      </c>
      <c r="K55" s="198">
        <f>H55*I55*J55</f>
        <v>52000</v>
      </c>
      <c r="L55" s="195">
        <f t="shared" si="19"/>
        <v>10816</v>
      </c>
      <c r="M55" s="196">
        <f>'Program Budget'!O651</f>
        <v>5</v>
      </c>
      <c r="N55" s="197">
        <v>1</v>
      </c>
      <c r="O55" s="198">
        <f>L55*M55*N55</f>
        <v>54080</v>
      </c>
      <c r="P55" s="195">
        <f t="shared" si="20"/>
        <v>11248.640000000001</v>
      </c>
      <c r="Q55" s="196">
        <f>'Program Budget'!R651</f>
        <v>0</v>
      </c>
      <c r="R55" s="197">
        <v>0</v>
      </c>
      <c r="S55" s="198">
        <f>P55*Q55*R55</f>
        <v>0</v>
      </c>
      <c r="T55" s="333">
        <f>C55+G55+K55+O55+S55</f>
        <v>123343.26000000001</v>
      </c>
      <c r="U55" s="201"/>
      <c r="V55" s="188"/>
      <c r="W55" s="202"/>
      <c r="X55" s="202"/>
      <c r="AB55" s="163"/>
      <c r="AC55" s="203"/>
      <c r="AD55" s="203"/>
      <c r="AE55" s="204"/>
      <c r="AG55" s="205"/>
    </row>
    <row r="56" spans="1:33" s="260" customFormat="1" ht="15.6" outlineLevel="1">
      <c r="A56" s="190" t="s">
        <v>525</v>
      </c>
      <c r="B56" s="216"/>
      <c r="C56" s="198"/>
      <c r="D56" s="158"/>
      <c r="E56" s="159"/>
      <c r="F56" s="161"/>
      <c r="G56" s="198"/>
      <c r="H56" s="158"/>
      <c r="I56" s="159"/>
      <c r="J56" s="160"/>
      <c r="K56" s="198"/>
      <c r="L56" s="158"/>
      <c r="M56" s="159"/>
      <c r="N56" s="161"/>
      <c r="O56" s="198"/>
      <c r="P56" s="158"/>
      <c r="Q56" s="159"/>
      <c r="R56" s="161"/>
      <c r="S56" s="198"/>
      <c r="T56" s="333"/>
      <c r="U56" s="157"/>
      <c r="V56" s="157"/>
      <c r="W56" s="157"/>
      <c r="X56" s="157"/>
      <c r="Y56" s="157"/>
      <c r="Z56" s="157"/>
      <c r="AA56" s="157"/>
      <c r="AB56" s="163"/>
      <c r="AC56" s="203"/>
      <c r="AD56" s="203"/>
      <c r="AE56" s="259"/>
      <c r="AG56" s="157"/>
    </row>
    <row r="57" spans="1:33" ht="15" customHeight="1" outlineLevel="1">
      <c r="A57" s="193" t="str">
        <f>'Program Budget'!D649</f>
        <v>Lodging &amp; M&amp;IE for Conferences &amp; Forums</v>
      </c>
      <c r="B57" s="194" t="str">
        <f>'Program Budget'!F649</f>
        <v>Day</v>
      </c>
      <c r="C57" s="198">
        <f>'Program Budget'!E649</f>
        <v>0</v>
      </c>
      <c r="D57" s="195">
        <f>'Program Budget'!G649</f>
        <v>349</v>
      </c>
      <c r="E57" s="196">
        <f>'Program Budget'!I649</f>
        <v>12</v>
      </c>
      <c r="F57" s="197">
        <v>1</v>
      </c>
      <c r="G57" s="198">
        <f>D57*E57*F57</f>
        <v>4188</v>
      </c>
      <c r="H57" s="195">
        <f t="shared" ref="H57" si="22">D57*1.04</f>
        <v>362.96000000000004</v>
      </c>
      <c r="I57" s="196">
        <f>'Program Budget'!L649</f>
        <v>12</v>
      </c>
      <c r="J57" s="197">
        <v>1</v>
      </c>
      <c r="K57" s="198">
        <f>H57*I57*J57</f>
        <v>4355.5200000000004</v>
      </c>
      <c r="L57" s="195">
        <f t="shared" ref="L57" si="23">H57*1.04</f>
        <v>377.47840000000008</v>
      </c>
      <c r="M57" s="196">
        <f>'Program Budget'!O649</f>
        <v>12</v>
      </c>
      <c r="N57" s="197">
        <v>1</v>
      </c>
      <c r="O57" s="198">
        <f>L57*M57*N57</f>
        <v>4529.7408000000014</v>
      </c>
      <c r="P57" s="195">
        <f t="shared" ref="P57" si="24">L57*1.04</f>
        <v>392.57753600000012</v>
      </c>
      <c r="Q57" s="196">
        <f>'Program Budget'!R649</f>
        <v>12</v>
      </c>
      <c r="R57" s="197">
        <v>1</v>
      </c>
      <c r="S57" s="198">
        <f>P57*Q57*R57</f>
        <v>4710.930432000001</v>
      </c>
      <c r="T57" s="333">
        <f>C57+G57+K57+O57+S57</f>
        <v>17784.191232000005</v>
      </c>
      <c r="U57" s="201"/>
      <c r="V57" s="188"/>
      <c r="W57" s="202"/>
      <c r="X57" s="202"/>
      <c r="AB57" s="163">
        <v>180</v>
      </c>
      <c r="AC57" s="203" t="s">
        <v>547</v>
      </c>
      <c r="AD57" s="203" t="s">
        <v>548</v>
      </c>
      <c r="AE57" s="204"/>
      <c r="AG57" s="205"/>
    </row>
    <row r="58" spans="1:33" outlineLevel="1">
      <c r="A58" s="325"/>
      <c r="B58" s="216"/>
      <c r="C58" s="198"/>
      <c r="G58" s="198"/>
      <c r="K58" s="198"/>
      <c r="O58" s="198"/>
      <c r="S58" s="198"/>
      <c r="T58" s="200"/>
      <c r="AB58" s="163"/>
      <c r="AC58" s="203"/>
      <c r="AD58" s="203"/>
    </row>
    <row r="59" spans="1:33" ht="18.3">
      <c r="A59" s="261" t="s">
        <v>526</v>
      </c>
      <c r="B59" s="227"/>
      <c r="C59" s="231">
        <f>SUM(C51:C58)</f>
        <v>29786.36</v>
      </c>
      <c r="D59" s="228"/>
      <c r="E59" s="262"/>
      <c r="F59" s="232"/>
      <c r="G59" s="231">
        <f>SUM(G51:G58)</f>
        <v>9588</v>
      </c>
      <c r="H59" s="228"/>
      <c r="I59" s="262"/>
      <c r="J59" s="263"/>
      <c r="K59" s="231">
        <f>SUM(K51:K58)</f>
        <v>61971.520000000004</v>
      </c>
      <c r="L59" s="228"/>
      <c r="M59" s="262"/>
      <c r="N59" s="232"/>
      <c r="O59" s="231">
        <f>SUM(O51:O58)</f>
        <v>64450.380799999999</v>
      </c>
      <c r="P59" s="228"/>
      <c r="Q59" s="262"/>
      <c r="R59" s="232"/>
      <c r="S59" s="231">
        <f>SUM(S51:S58)</f>
        <v>8985.4136320000016</v>
      </c>
      <c r="T59" s="231">
        <f>SUM(T51:T58)</f>
        <v>174781.67443200003</v>
      </c>
      <c r="U59" s="163"/>
      <c r="V59" s="163"/>
      <c r="W59" s="163"/>
      <c r="X59" s="163"/>
      <c r="Y59" s="163"/>
      <c r="AB59" s="163"/>
      <c r="AC59" s="189"/>
      <c r="AD59" s="189" t="s">
        <v>549</v>
      </c>
      <c r="AE59" s="189"/>
    </row>
    <row r="60" spans="1:33" ht="15.6" outlineLevel="1">
      <c r="A60" s="190" t="s">
        <v>55</v>
      </c>
      <c r="B60" s="264"/>
      <c r="C60" s="248"/>
      <c r="E60" s="265"/>
      <c r="F60" s="267"/>
      <c r="G60" s="221"/>
      <c r="I60" s="265"/>
      <c r="J60" s="266"/>
      <c r="K60" s="221"/>
      <c r="M60" s="265"/>
      <c r="N60" s="267"/>
      <c r="O60" s="221"/>
      <c r="Q60" s="265"/>
      <c r="R60" s="267"/>
      <c r="S60" s="221"/>
      <c r="T60" s="200"/>
      <c r="AB60" s="163"/>
      <c r="AC60" s="203"/>
      <c r="AD60" s="268"/>
    </row>
    <row r="61" spans="1:33" ht="15.6" outlineLevel="1">
      <c r="A61" s="269" t="str">
        <f>'Program Budget'!D641</f>
        <v xml:space="preserve">Contracted Technology Platform for Webinars &amp; Resources </v>
      </c>
      <c r="B61" s="194" t="str">
        <f>'Program Budget'!F641</f>
        <v>Year</v>
      </c>
      <c r="C61" s="198">
        <f>'Program Budget'!E641</f>
        <v>6977.05</v>
      </c>
      <c r="D61" s="195">
        <f>'Program Budget'!J641</f>
        <v>2500</v>
      </c>
      <c r="E61" s="196">
        <f>'Program Budget'!I641</f>
        <v>1</v>
      </c>
      <c r="F61" s="197">
        <v>1</v>
      </c>
      <c r="G61" s="198">
        <f>D61*E61*F61</f>
        <v>2500</v>
      </c>
      <c r="H61" s="195">
        <f>'Program Budget'!G641</f>
        <v>2500</v>
      </c>
      <c r="I61" s="196">
        <f>'Program Budget'!L641</f>
        <v>1</v>
      </c>
      <c r="J61" s="197">
        <v>1</v>
      </c>
      <c r="K61" s="198">
        <f>H61*I61*J61</f>
        <v>2500</v>
      </c>
      <c r="L61" s="195">
        <f>H61</f>
        <v>2500</v>
      </c>
      <c r="M61" s="196">
        <f>'Program Budget'!O641</f>
        <v>1</v>
      </c>
      <c r="N61" s="197">
        <v>1</v>
      </c>
      <c r="O61" s="198">
        <f>L61*M61*N61</f>
        <v>2500</v>
      </c>
      <c r="P61" s="195">
        <f>L61</f>
        <v>2500</v>
      </c>
      <c r="Q61" s="196">
        <f>'Program Budget'!R641</f>
        <v>0</v>
      </c>
      <c r="R61" s="197">
        <v>1</v>
      </c>
      <c r="S61" s="198">
        <f>P61*Q61*R61</f>
        <v>0</v>
      </c>
      <c r="T61" s="333">
        <f>C61+G61+K61+O61+S61</f>
        <v>14477.05</v>
      </c>
      <c r="AB61" s="163"/>
      <c r="AC61" s="203"/>
      <c r="AD61" s="268"/>
    </row>
    <row r="62" spans="1:33" outlineLevel="1">
      <c r="A62" s="326"/>
      <c r="B62" s="216"/>
      <c r="C62" s="198"/>
      <c r="D62" s="270"/>
      <c r="E62" s="271"/>
      <c r="F62" s="160"/>
      <c r="G62" s="198"/>
      <c r="H62" s="270"/>
      <c r="I62" s="271"/>
      <c r="K62" s="198"/>
      <c r="L62" s="270"/>
      <c r="M62" s="271"/>
      <c r="N62" s="160"/>
      <c r="O62" s="198"/>
      <c r="P62" s="270"/>
      <c r="Q62" s="271"/>
      <c r="R62" s="160"/>
      <c r="S62" s="198"/>
      <c r="T62" s="272"/>
      <c r="AB62" s="163"/>
      <c r="AC62" s="203"/>
      <c r="AD62" s="268"/>
    </row>
    <row r="63" spans="1:33" ht="18.3" outlineLevel="1">
      <c r="A63" s="261" t="s">
        <v>527</v>
      </c>
      <c r="B63" s="227"/>
      <c r="C63" s="231">
        <f>SUM(C61:C62)</f>
        <v>6977.05</v>
      </c>
      <c r="D63" s="228"/>
      <c r="E63" s="262"/>
      <c r="F63" s="232"/>
      <c r="G63" s="231">
        <f>SUM(G61:G62)</f>
        <v>2500</v>
      </c>
      <c r="H63" s="228"/>
      <c r="I63" s="262"/>
      <c r="J63" s="263"/>
      <c r="K63" s="231">
        <f>SUM(K61:K62)</f>
        <v>2500</v>
      </c>
      <c r="L63" s="228"/>
      <c r="M63" s="262"/>
      <c r="N63" s="232"/>
      <c r="O63" s="231">
        <f>SUM(O61:O62)</f>
        <v>2500</v>
      </c>
      <c r="P63" s="228"/>
      <c r="Q63" s="262"/>
      <c r="R63" s="232"/>
      <c r="S63" s="231">
        <f>SUM(S61:S62)</f>
        <v>0</v>
      </c>
      <c r="T63" s="233">
        <f>+C63+G63+K63+O63+S63</f>
        <v>14477.05</v>
      </c>
      <c r="AB63" s="163"/>
      <c r="AC63" s="203"/>
      <c r="AD63" s="268"/>
    </row>
    <row r="64" spans="1:33" ht="15.6" outlineLevel="1">
      <c r="A64" s="190" t="s">
        <v>528</v>
      </c>
      <c r="B64" s="273"/>
      <c r="C64" s="198"/>
      <c r="E64" s="265"/>
      <c r="G64" s="200"/>
      <c r="I64" s="265"/>
      <c r="K64" s="200"/>
      <c r="M64" s="265"/>
      <c r="O64" s="200"/>
      <c r="Q64" s="265"/>
      <c r="S64" s="200"/>
      <c r="T64" s="200"/>
      <c r="AB64" s="163"/>
    </row>
    <row r="65" spans="1:30" outlineLevel="1">
      <c r="A65" s="193" t="s">
        <v>458</v>
      </c>
      <c r="B65" s="216"/>
      <c r="C65" s="198">
        <v>0</v>
      </c>
      <c r="E65" s="274"/>
      <c r="F65" s="160"/>
      <c r="G65" s="198">
        <f t="shared" ref="G65" si="25">D65*E65*F65</f>
        <v>0</v>
      </c>
      <c r="I65" s="274"/>
      <c r="K65" s="198">
        <f t="shared" ref="K65" si="26">H65*I65*J65</f>
        <v>0</v>
      </c>
      <c r="M65" s="274"/>
      <c r="N65" s="160"/>
      <c r="O65" s="198">
        <f t="shared" ref="O65" si="27">L65*M65*N65</f>
        <v>0</v>
      </c>
      <c r="Q65" s="274"/>
      <c r="R65" s="160"/>
      <c r="S65" s="198">
        <f t="shared" ref="S65" si="28">P65*Q65*R65</f>
        <v>0</v>
      </c>
      <c r="T65" s="200">
        <f t="shared" ref="T65" si="29">C65+G65+K65+O65+S65</f>
        <v>0</v>
      </c>
      <c r="AB65" s="163">
        <v>298</v>
      </c>
      <c r="AC65" s="203" t="s">
        <v>577</v>
      </c>
      <c r="AD65" s="203" t="s">
        <v>578</v>
      </c>
    </row>
    <row r="66" spans="1:30" outlineLevel="1">
      <c r="A66" s="193"/>
      <c r="B66" s="216"/>
      <c r="C66" s="198"/>
      <c r="E66" s="274"/>
      <c r="F66" s="160"/>
      <c r="G66" s="198"/>
      <c r="I66" s="274"/>
      <c r="K66" s="198"/>
      <c r="M66" s="274"/>
      <c r="N66" s="160"/>
      <c r="O66" s="198"/>
      <c r="Q66" s="274"/>
      <c r="R66" s="160"/>
      <c r="S66" s="198"/>
      <c r="T66" s="200"/>
      <c r="AB66" s="163"/>
      <c r="AC66" s="203"/>
      <c r="AD66" s="203"/>
    </row>
    <row r="67" spans="1:30" ht="18.3" outlineLevel="1">
      <c r="A67" s="261" t="s">
        <v>529</v>
      </c>
      <c r="B67" s="227"/>
      <c r="C67" s="231">
        <f>SUM(C65:C66)</f>
        <v>0</v>
      </c>
      <c r="D67" s="228"/>
      <c r="E67" s="262"/>
      <c r="F67" s="232"/>
      <c r="G67" s="231">
        <f>SUM(G65:G66)</f>
        <v>0</v>
      </c>
      <c r="H67" s="228"/>
      <c r="I67" s="262"/>
      <c r="J67" s="263"/>
      <c r="K67" s="231">
        <f>SUM(K65:K66)</f>
        <v>0</v>
      </c>
      <c r="L67" s="228"/>
      <c r="M67" s="262"/>
      <c r="N67" s="232"/>
      <c r="O67" s="231">
        <f>SUM(O65:O66)</f>
        <v>0</v>
      </c>
      <c r="P67" s="228"/>
      <c r="Q67" s="262"/>
      <c r="R67" s="232"/>
      <c r="S67" s="231">
        <f>SUM(S65:S66)</f>
        <v>0</v>
      </c>
      <c r="T67" s="233">
        <f>+C67+G67+K67+O67+S67</f>
        <v>0</v>
      </c>
      <c r="AB67" s="163"/>
      <c r="AC67" s="203"/>
      <c r="AD67" s="268"/>
    </row>
    <row r="68" spans="1:30" ht="15.6" outlineLevel="1">
      <c r="A68" s="190" t="s">
        <v>33</v>
      </c>
      <c r="B68" s="216"/>
      <c r="C68" s="198"/>
      <c r="E68" s="265"/>
      <c r="F68" s="160"/>
      <c r="G68" s="198"/>
      <c r="I68" s="265"/>
      <c r="K68" s="198"/>
      <c r="M68" s="265"/>
      <c r="N68" s="160"/>
      <c r="O68" s="198"/>
      <c r="Q68" s="265"/>
      <c r="R68" s="160"/>
      <c r="S68" s="198"/>
      <c r="T68" s="200"/>
      <c r="AB68" s="163"/>
      <c r="AC68" s="203"/>
      <c r="AD68" s="203"/>
    </row>
    <row r="69" spans="1:30" outlineLevel="1">
      <c r="A69" s="193" t="s">
        <v>458</v>
      </c>
      <c r="B69" s="216"/>
      <c r="C69" s="198"/>
      <c r="E69" s="265"/>
      <c r="F69" s="160"/>
      <c r="G69" s="198"/>
      <c r="I69" s="265"/>
      <c r="K69" s="198"/>
      <c r="M69" s="265"/>
      <c r="N69" s="160"/>
      <c r="O69" s="198"/>
      <c r="Q69" s="265"/>
      <c r="R69" s="160"/>
      <c r="S69" s="198"/>
      <c r="T69" s="200"/>
      <c r="AB69" s="163"/>
      <c r="AC69" s="203"/>
      <c r="AD69" s="203"/>
    </row>
    <row r="70" spans="1:30" ht="18.3" outlineLevel="1">
      <c r="A70" s="261" t="s">
        <v>530</v>
      </c>
      <c r="B70" s="227"/>
      <c r="C70" s="231">
        <f>SUM(C66:C66)</f>
        <v>0</v>
      </c>
      <c r="D70" s="228"/>
      <c r="E70" s="262"/>
      <c r="F70" s="232"/>
      <c r="G70" s="231">
        <f>SUM(G66:G66)</f>
        <v>0</v>
      </c>
      <c r="H70" s="228"/>
      <c r="I70" s="262"/>
      <c r="J70" s="263"/>
      <c r="K70" s="231">
        <f>SUM(K66:K66)</f>
        <v>0</v>
      </c>
      <c r="L70" s="228"/>
      <c r="M70" s="262"/>
      <c r="N70" s="232"/>
      <c r="O70" s="231">
        <f>SUM(O66:O66)</f>
        <v>0</v>
      </c>
      <c r="P70" s="228"/>
      <c r="Q70" s="262"/>
      <c r="R70" s="232"/>
      <c r="S70" s="231">
        <f>SUM(S66:S66)</f>
        <v>0</v>
      </c>
      <c r="T70" s="233">
        <f>+C70+G70+K70+O70+S70</f>
        <v>0</v>
      </c>
      <c r="AB70" s="163">
        <v>236</v>
      </c>
      <c r="AC70" s="203" t="s">
        <v>566</v>
      </c>
      <c r="AD70" s="268" t="s">
        <v>567</v>
      </c>
    </row>
    <row r="71" spans="1:30" ht="15.6" outlineLevel="1">
      <c r="A71" s="190" t="s">
        <v>34</v>
      </c>
      <c r="B71" s="264"/>
      <c r="C71" s="248"/>
      <c r="E71" s="265"/>
      <c r="F71" s="267"/>
      <c r="G71" s="221"/>
      <c r="I71" s="265"/>
      <c r="J71" s="266"/>
      <c r="K71" s="221"/>
      <c r="M71" s="265"/>
      <c r="N71" s="267"/>
      <c r="O71" s="221"/>
      <c r="Q71" s="265"/>
      <c r="R71" s="267"/>
      <c r="S71" s="221"/>
      <c r="T71" s="200"/>
      <c r="AB71" s="163">
        <v>236</v>
      </c>
      <c r="AC71" s="203" t="s">
        <v>566</v>
      </c>
      <c r="AD71" s="268" t="s">
        <v>567</v>
      </c>
    </row>
    <row r="72" spans="1:30" outlineLevel="1">
      <c r="A72" s="193" t="s">
        <v>458</v>
      </c>
      <c r="B72" s="216"/>
      <c r="C72" s="198"/>
      <c r="E72" s="265"/>
      <c r="F72" s="160"/>
      <c r="G72" s="198"/>
      <c r="I72" s="265"/>
      <c r="K72" s="198"/>
      <c r="M72" s="265"/>
      <c r="N72" s="160"/>
      <c r="O72" s="198"/>
      <c r="Q72" s="265"/>
      <c r="R72" s="160"/>
      <c r="S72" s="198"/>
      <c r="T72" s="200"/>
      <c r="AB72" s="163"/>
      <c r="AC72" s="203"/>
      <c r="AD72" s="203"/>
    </row>
    <row r="73" spans="1:30" outlineLevel="1">
      <c r="A73" s="193"/>
      <c r="B73" s="216"/>
      <c r="C73" s="198"/>
      <c r="E73" s="265"/>
      <c r="F73" s="160"/>
      <c r="G73" s="198"/>
      <c r="I73" s="265"/>
      <c r="K73" s="198"/>
      <c r="M73" s="265"/>
      <c r="N73" s="160"/>
      <c r="O73" s="198"/>
      <c r="Q73" s="265"/>
      <c r="R73" s="160"/>
      <c r="S73" s="198"/>
      <c r="T73" s="200"/>
      <c r="AB73" s="163"/>
      <c r="AC73" s="203"/>
      <c r="AD73" s="203"/>
    </row>
    <row r="74" spans="1:30" ht="18.3" outlineLevel="1">
      <c r="A74" s="261" t="s">
        <v>531</v>
      </c>
      <c r="B74" s="227"/>
      <c r="C74" s="231">
        <f>SUM(C72:C73)</f>
        <v>0</v>
      </c>
      <c r="D74" s="228"/>
      <c r="E74" s="262"/>
      <c r="F74" s="232"/>
      <c r="G74" s="231">
        <f>SUM(G72:G73)</f>
        <v>0</v>
      </c>
      <c r="H74" s="228"/>
      <c r="I74" s="262"/>
      <c r="J74" s="263"/>
      <c r="K74" s="231">
        <f>SUM(K72:K73)</f>
        <v>0</v>
      </c>
      <c r="L74" s="228"/>
      <c r="M74" s="262"/>
      <c r="N74" s="232"/>
      <c r="O74" s="231">
        <f>SUM(O72:O73)</f>
        <v>0</v>
      </c>
      <c r="P74" s="228"/>
      <c r="Q74" s="262"/>
      <c r="R74" s="232"/>
      <c r="S74" s="231">
        <f>SUM(S72:S73)</f>
        <v>0</v>
      </c>
      <c r="T74" s="231">
        <f>SUM(T72:T73)</f>
        <v>0</v>
      </c>
      <c r="AB74" s="163"/>
      <c r="AC74" s="203"/>
      <c r="AD74" s="268"/>
    </row>
    <row r="75" spans="1:30" ht="15.6" outlineLevel="1">
      <c r="A75" s="276" t="s">
        <v>532</v>
      </c>
      <c r="B75" s="216"/>
      <c r="C75" s="248"/>
      <c r="D75" s="277"/>
      <c r="E75" s="278"/>
      <c r="G75" s="221"/>
      <c r="H75" s="277"/>
      <c r="I75" s="278"/>
      <c r="K75" s="221"/>
      <c r="L75" s="277"/>
      <c r="M75" s="278"/>
      <c r="O75" s="221"/>
      <c r="P75" s="277"/>
      <c r="Q75" s="278"/>
      <c r="S75" s="221"/>
      <c r="T75" s="200"/>
      <c r="AB75" s="163"/>
      <c r="AC75" s="203"/>
      <c r="AD75" s="268"/>
    </row>
    <row r="76" spans="1:30" ht="15.6" outlineLevel="1">
      <c r="A76" s="269" t="str">
        <f>'Program Budget'!D655</f>
        <v xml:space="preserve">RCP Events/Conferences </v>
      </c>
      <c r="B76" s="194" t="str">
        <f>'Program Budget'!F655</f>
        <v>Unit</v>
      </c>
      <c r="C76" s="198">
        <f>'Program Budget'!E655</f>
        <v>136396.82</v>
      </c>
      <c r="D76" s="195">
        <f>'Program Budget'!G655</f>
        <v>100000</v>
      </c>
      <c r="E76" s="196">
        <f>'Program Budget'!I655</f>
        <v>0.8</v>
      </c>
      <c r="F76" s="197">
        <v>1</v>
      </c>
      <c r="G76" s="198">
        <f t="shared" ref="G76" si="30">D76*E76*F76</f>
        <v>80000</v>
      </c>
      <c r="H76" s="195">
        <f>D76</f>
        <v>100000</v>
      </c>
      <c r="I76" s="196">
        <f>'Program Budget'!L655</f>
        <v>0.5</v>
      </c>
      <c r="J76" s="197">
        <v>1</v>
      </c>
      <c r="K76" s="198">
        <f t="shared" ref="K76" si="31">H76*I76*J76</f>
        <v>50000</v>
      </c>
      <c r="L76" s="195">
        <f>'Program Budget'!P655</f>
        <v>0</v>
      </c>
      <c r="M76" s="196">
        <f>'Program Budget'!O655</f>
        <v>0</v>
      </c>
      <c r="N76" s="197">
        <v>1</v>
      </c>
      <c r="O76" s="198">
        <f t="shared" ref="O76" si="32">L76*M76*N76</f>
        <v>0</v>
      </c>
      <c r="P76" s="195">
        <f>H76</f>
        <v>100000</v>
      </c>
      <c r="Q76" s="196">
        <f>'Program Budget'!R655</f>
        <v>0.25</v>
      </c>
      <c r="R76" s="197">
        <v>1</v>
      </c>
      <c r="S76" s="198">
        <f t="shared" ref="S76" si="33">P76*Q76*R76</f>
        <v>25000</v>
      </c>
      <c r="T76" s="333">
        <f t="shared" ref="T76" si="34">C76+G76+K76+O76+S76</f>
        <v>291396.82</v>
      </c>
      <c r="AB76" s="163"/>
      <c r="AC76" s="203"/>
      <c r="AD76" s="268"/>
    </row>
    <row r="77" spans="1:30" ht="15.6" outlineLevel="1">
      <c r="A77" s="269" t="str">
        <f>'Program Budget'!D656</f>
        <v>Booth for International Communities of Practices/Conferences/Forums on Cacao</v>
      </c>
      <c r="B77" s="194" t="str">
        <f>'Program Budget'!F656</f>
        <v>Booth</v>
      </c>
      <c r="C77" s="198">
        <f>'Program Budget'!E656</f>
        <v>0</v>
      </c>
      <c r="D77" s="195">
        <f>'Program Budget'!G656</f>
        <v>5000</v>
      </c>
      <c r="E77" s="196">
        <f>'Program Budget'!I656</f>
        <v>0</v>
      </c>
      <c r="F77" s="197">
        <v>1</v>
      </c>
      <c r="G77" s="198">
        <f t="shared" ref="G77:G78" si="35">D77*E77*F77</f>
        <v>0</v>
      </c>
      <c r="H77" s="195">
        <f>D77</f>
        <v>5000</v>
      </c>
      <c r="I77" s="196">
        <f>'Program Budget'!L656</f>
        <v>0</v>
      </c>
      <c r="J77" s="197">
        <v>1</v>
      </c>
      <c r="K77" s="198">
        <f t="shared" ref="K77:K78" si="36">H77*I77*J77</f>
        <v>0</v>
      </c>
      <c r="L77" s="195">
        <f>H77</f>
        <v>5000</v>
      </c>
      <c r="M77" s="196">
        <f>'Program Budget'!O656</f>
        <v>1</v>
      </c>
      <c r="N77" s="197">
        <v>1</v>
      </c>
      <c r="O77" s="198">
        <f t="shared" ref="O77:O78" si="37">L77*M77*N77</f>
        <v>5000</v>
      </c>
      <c r="P77" s="195">
        <f>L77</f>
        <v>5000</v>
      </c>
      <c r="Q77" s="196">
        <f>'Program Budget'!R656</f>
        <v>0</v>
      </c>
      <c r="R77" s="197">
        <v>0</v>
      </c>
      <c r="S77" s="198">
        <f t="shared" ref="S77:S78" si="38">P77*Q77*R77</f>
        <v>0</v>
      </c>
      <c r="T77" s="333">
        <f t="shared" ref="T77:T78" si="39">C77+G77+K77+O77+S77</f>
        <v>5000</v>
      </c>
      <c r="AB77" s="163"/>
      <c r="AC77" s="203"/>
      <c r="AD77" s="268"/>
    </row>
    <row r="78" spans="1:30" ht="15.6" outlineLevel="1">
      <c r="A78" s="269" t="str">
        <f>'Program Budget'!D657</f>
        <v>Registrations for International Communities of Practices/Conferences/Forums on Cacao</v>
      </c>
      <c r="B78" s="194" t="str">
        <f>'Program Budget'!F657</f>
        <v>Participant</v>
      </c>
      <c r="C78" s="198">
        <f>'Program Budget'!E657</f>
        <v>0</v>
      </c>
      <c r="D78" s="195">
        <f>'Program Budget'!G657</f>
        <v>1500</v>
      </c>
      <c r="E78" s="196">
        <f>'Program Budget'!I657</f>
        <v>2</v>
      </c>
      <c r="F78" s="197">
        <v>1</v>
      </c>
      <c r="G78" s="198">
        <f t="shared" si="35"/>
        <v>3000</v>
      </c>
      <c r="H78" s="195">
        <f>D78</f>
        <v>1500</v>
      </c>
      <c r="I78" s="196">
        <f>'Program Budget'!L657</f>
        <v>2</v>
      </c>
      <c r="J78" s="197">
        <v>1</v>
      </c>
      <c r="K78" s="198">
        <f t="shared" si="36"/>
        <v>3000</v>
      </c>
      <c r="L78" s="195">
        <f>H78</f>
        <v>1500</v>
      </c>
      <c r="M78" s="196">
        <f>'Program Budget'!O657</f>
        <v>2</v>
      </c>
      <c r="N78" s="197">
        <v>1</v>
      </c>
      <c r="O78" s="198">
        <f t="shared" si="37"/>
        <v>3000</v>
      </c>
      <c r="P78" s="195">
        <f>L78</f>
        <v>1500</v>
      </c>
      <c r="Q78" s="196">
        <f>'Program Budget'!R657</f>
        <v>2</v>
      </c>
      <c r="R78" s="197">
        <v>1</v>
      </c>
      <c r="S78" s="198">
        <f t="shared" si="38"/>
        <v>3000</v>
      </c>
      <c r="T78" s="333">
        <f t="shared" si="39"/>
        <v>12000</v>
      </c>
      <c r="AB78" s="163"/>
      <c r="AC78" s="203"/>
      <c r="AD78" s="268"/>
    </row>
    <row r="79" spans="1:30" ht="15.6" outlineLevel="1">
      <c r="A79" s="190" t="s">
        <v>249</v>
      </c>
      <c r="B79" s="194"/>
      <c r="C79" s="198"/>
      <c r="D79" s="195"/>
      <c r="E79" s="196"/>
      <c r="F79" s="197"/>
      <c r="G79" s="198"/>
      <c r="H79" s="195"/>
      <c r="I79" s="196"/>
      <c r="J79" s="197"/>
      <c r="K79" s="198"/>
      <c r="L79" s="195"/>
      <c r="M79" s="196"/>
      <c r="N79" s="197"/>
      <c r="O79" s="198"/>
      <c r="P79" s="195"/>
      <c r="Q79" s="196"/>
      <c r="R79" s="197"/>
      <c r="S79" s="198"/>
      <c r="T79" s="333"/>
      <c r="AB79" s="163"/>
      <c r="AC79" s="203"/>
      <c r="AD79" s="268"/>
    </row>
    <row r="80" spans="1:30" ht="15.6" outlineLevel="1">
      <c r="A80" s="269" t="str">
        <f>'Program Budget'!D659</f>
        <v>Community of Practice Initiative Grants</v>
      </c>
      <c r="B80" s="194" t="str">
        <f>'Program Budget'!F659</f>
        <v>Grant</v>
      </c>
      <c r="C80" s="198">
        <f>'Program Budget'!E659</f>
        <v>0</v>
      </c>
      <c r="D80" s="195">
        <f>'Program Budget'!G659</f>
        <v>10000</v>
      </c>
      <c r="E80" s="196">
        <f>'Program Budget'!I659</f>
        <v>0</v>
      </c>
      <c r="F80" s="197">
        <v>1</v>
      </c>
      <c r="G80" s="198">
        <f t="shared" ref="G80" si="40">D80*E80*F80</f>
        <v>0</v>
      </c>
      <c r="H80" s="195">
        <f>D80</f>
        <v>10000</v>
      </c>
      <c r="I80" s="196">
        <f>'Program Budget'!L659</f>
        <v>0</v>
      </c>
      <c r="J80" s="197">
        <v>1</v>
      </c>
      <c r="K80" s="198">
        <f t="shared" ref="K80" si="41">H80*I80*J80</f>
        <v>0</v>
      </c>
      <c r="L80" s="195">
        <f>H80</f>
        <v>10000</v>
      </c>
      <c r="M80" s="196">
        <f>'Program Budget'!O659</f>
        <v>0</v>
      </c>
      <c r="N80" s="197">
        <v>1</v>
      </c>
      <c r="O80" s="198">
        <f t="shared" ref="O80" si="42">L80*M80*N80</f>
        <v>0</v>
      </c>
      <c r="P80" s="195">
        <f>L80</f>
        <v>10000</v>
      </c>
      <c r="Q80" s="196">
        <f>'Program Budget'!R659</f>
        <v>0</v>
      </c>
      <c r="R80" s="197">
        <v>0</v>
      </c>
      <c r="S80" s="198">
        <f t="shared" ref="S80" si="43">P80*Q80*R80</f>
        <v>0</v>
      </c>
      <c r="T80" s="333">
        <f t="shared" ref="T80" si="44">C80+G80+K80+O80+S80</f>
        <v>0</v>
      </c>
      <c r="AB80" s="163"/>
      <c r="AC80" s="203"/>
      <c r="AD80" s="268"/>
    </row>
    <row r="81" spans="1:30" ht="15.6" outlineLevel="1">
      <c r="A81" s="281"/>
      <c r="B81" s="241"/>
      <c r="C81" s="245"/>
      <c r="D81" s="279"/>
      <c r="E81" s="280"/>
      <c r="F81" s="244"/>
      <c r="G81" s="245"/>
      <c r="H81" s="279"/>
      <c r="I81" s="280"/>
      <c r="J81" s="244"/>
      <c r="K81" s="245"/>
      <c r="L81" s="279"/>
      <c r="M81" s="280"/>
      <c r="N81" s="244"/>
      <c r="O81" s="245"/>
      <c r="P81" s="279"/>
      <c r="Q81" s="280"/>
      <c r="R81" s="244"/>
      <c r="S81" s="245"/>
      <c r="T81" s="200"/>
      <c r="AB81" s="163"/>
      <c r="AC81" s="203"/>
      <c r="AD81" s="268"/>
    </row>
    <row r="82" spans="1:30" ht="18.3" outlineLevel="1">
      <c r="A82" s="282" t="s">
        <v>537</v>
      </c>
      <c r="B82" s="227"/>
      <c r="C82" s="254">
        <f>SUM(C76:C80)</f>
        <v>136396.82</v>
      </c>
      <c r="D82" s="251"/>
      <c r="E82" s="252"/>
      <c r="F82" s="255"/>
      <c r="G82" s="254">
        <f>SUM(G76:G80)</f>
        <v>83000</v>
      </c>
      <c r="H82" s="251"/>
      <c r="I82" s="252"/>
      <c r="J82" s="283"/>
      <c r="K82" s="254">
        <f>SUM(K76:K80)</f>
        <v>53000</v>
      </c>
      <c r="L82" s="251"/>
      <c r="M82" s="252"/>
      <c r="N82" s="255"/>
      <c r="O82" s="254">
        <f>SUM(O76:O80)</f>
        <v>8000</v>
      </c>
      <c r="P82" s="251"/>
      <c r="Q82" s="252"/>
      <c r="R82" s="255"/>
      <c r="S82" s="254">
        <f>SUM(S76:S80)</f>
        <v>28000</v>
      </c>
      <c r="T82" s="233">
        <f>+C82+G82+K82+O82+S82</f>
        <v>308396.82</v>
      </c>
      <c r="AB82" s="163">
        <v>250</v>
      </c>
      <c r="AC82" s="203" t="s">
        <v>569</v>
      </c>
      <c r="AD82" s="268" t="s">
        <v>570</v>
      </c>
    </row>
    <row r="83" spans="1:30" ht="15.6" outlineLevel="1">
      <c r="A83" s="284"/>
      <c r="B83" s="239"/>
      <c r="C83" s="198"/>
      <c r="D83" s="277"/>
      <c r="E83" s="278"/>
      <c r="G83" s="200"/>
      <c r="H83" s="277"/>
      <c r="I83" s="278"/>
      <c r="K83" s="200"/>
      <c r="L83" s="277"/>
      <c r="M83" s="278"/>
      <c r="O83" s="200"/>
      <c r="P83" s="277"/>
      <c r="Q83" s="278"/>
      <c r="S83" s="200"/>
      <c r="T83" s="200"/>
      <c r="AB83" s="163">
        <v>317</v>
      </c>
      <c r="AC83" s="203" t="s">
        <v>571</v>
      </c>
      <c r="AD83" s="268" t="s">
        <v>572</v>
      </c>
    </row>
    <row r="84" spans="1:30" ht="18.3" outlineLevel="1">
      <c r="A84" s="285" t="s">
        <v>538</v>
      </c>
      <c r="B84" s="286"/>
      <c r="C84" s="290">
        <f>C40+C49+C59+C70+C74+C63+C82+C67</f>
        <v>326182.83</v>
      </c>
      <c r="D84" s="287"/>
      <c r="E84" s="288"/>
      <c r="F84" s="291"/>
      <c r="G84" s="290">
        <f>G40+G49+G59+G70+G74+G63+G82+G67</f>
        <v>223852.6980192</v>
      </c>
      <c r="H84" s="287"/>
      <c r="I84" s="288"/>
      <c r="J84" s="289"/>
      <c r="K84" s="290">
        <f>K40+K49+K59+K70+K74+K63+K82+K67</f>
        <v>334430.92318024003</v>
      </c>
      <c r="L84" s="287"/>
      <c r="M84" s="288"/>
      <c r="N84" s="291"/>
      <c r="O84" s="290">
        <f>O40+O49+O59+O70+O74+O63+O82+O67</f>
        <v>302757.75413925195</v>
      </c>
      <c r="P84" s="287"/>
      <c r="Q84" s="288"/>
      <c r="R84" s="291"/>
      <c r="S84" s="290">
        <f>S40+S49+S59+S70+S74+S63+S82+S67</f>
        <v>87026.802994869795</v>
      </c>
      <c r="T84" s="290">
        <f>T40+T49+T59+T70+T74+T63+T82+T67</f>
        <v>1274251.0083335619</v>
      </c>
      <c r="U84" s="157">
        <f>SUM(G84,K84,O84,S84)</f>
        <v>948068.17833356175</v>
      </c>
      <c r="AB84" s="163">
        <v>318</v>
      </c>
      <c r="AC84" s="203" t="s">
        <v>573</v>
      </c>
      <c r="AD84" s="268" t="s">
        <v>574</v>
      </c>
    </row>
    <row r="85" spans="1:30">
      <c r="A85" s="329"/>
      <c r="B85" s="239"/>
      <c r="C85" s="198"/>
      <c r="D85" s="277"/>
      <c r="E85" s="278"/>
      <c r="G85" s="200"/>
      <c r="H85" s="277"/>
      <c r="I85" s="278"/>
      <c r="K85" s="200"/>
      <c r="L85" s="277"/>
      <c r="M85" s="278"/>
      <c r="O85" s="200"/>
      <c r="P85" s="277"/>
      <c r="Q85" s="278"/>
      <c r="S85" s="200"/>
      <c r="T85" s="200"/>
    </row>
    <row r="86" spans="1:30" ht="20.399999999999999">
      <c r="A86" s="292" t="s">
        <v>59</v>
      </c>
      <c r="B86" s="293"/>
      <c r="C86" s="294"/>
      <c r="D86" s="294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3"/>
    </row>
    <row r="87" spans="1:30" ht="15" customHeight="1">
      <c r="A87" s="295" t="s">
        <v>60</v>
      </c>
      <c r="B87" s="349" t="s">
        <v>132</v>
      </c>
      <c r="C87" s="198">
        <v>0</v>
      </c>
      <c r="D87" s="195">
        <v>0</v>
      </c>
      <c r="E87" s="196">
        <v>1</v>
      </c>
      <c r="F87" s="197">
        <v>0.2828</v>
      </c>
      <c r="G87" s="198">
        <f>D87*E87*F87</f>
        <v>0</v>
      </c>
      <c r="H87" s="195">
        <v>0</v>
      </c>
      <c r="I87" s="196">
        <v>1</v>
      </c>
      <c r="J87" s="197">
        <v>0.2828</v>
      </c>
      <c r="K87" s="198">
        <f>H87*I87*J87</f>
        <v>0</v>
      </c>
      <c r="L87" s="195">
        <v>0</v>
      </c>
      <c r="M87" s="196">
        <v>1</v>
      </c>
      <c r="N87" s="197">
        <v>0.2828</v>
      </c>
      <c r="O87" s="198">
        <f>L87*M87*N87</f>
        <v>0</v>
      </c>
      <c r="P87" s="195">
        <v>0</v>
      </c>
      <c r="Q87" s="196">
        <v>1</v>
      </c>
      <c r="R87" s="197">
        <v>0.2828</v>
      </c>
      <c r="S87" s="198">
        <f>P87*Q87*R87</f>
        <v>0</v>
      </c>
      <c r="T87" s="333">
        <f>C87+G87+K87+O87+S87</f>
        <v>0</v>
      </c>
    </row>
    <row r="88" spans="1:30" ht="15" customHeight="1">
      <c r="A88" s="295" t="s">
        <v>61</v>
      </c>
      <c r="B88" s="349" t="s">
        <v>132</v>
      </c>
      <c r="C88" s="198">
        <v>95130.669875491527</v>
      </c>
      <c r="D88" s="351">
        <f>G84</f>
        <v>223852.6980192</v>
      </c>
      <c r="E88" s="196">
        <v>1</v>
      </c>
      <c r="F88" s="197">
        <v>0.2828</v>
      </c>
      <c r="G88" s="198">
        <f>D88*E88*F88</f>
        <v>63305.542999829762</v>
      </c>
      <c r="H88" s="195">
        <f>K84</f>
        <v>334430.92318024003</v>
      </c>
      <c r="I88" s="196">
        <v>1</v>
      </c>
      <c r="J88" s="197">
        <v>0.2828</v>
      </c>
      <c r="K88" s="198">
        <f>H88*I88*J88</f>
        <v>94577.06507537188</v>
      </c>
      <c r="L88" s="195">
        <f>O84</f>
        <v>302757.75413925195</v>
      </c>
      <c r="M88" s="196">
        <v>1</v>
      </c>
      <c r="N88" s="197">
        <v>0.2828</v>
      </c>
      <c r="O88" s="198">
        <f>L88*M88*N88</f>
        <v>85619.892870580443</v>
      </c>
      <c r="P88" s="195">
        <f>S84</f>
        <v>87026.802994869795</v>
      </c>
      <c r="Q88" s="196">
        <v>1</v>
      </c>
      <c r="R88" s="197">
        <v>0.2828</v>
      </c>
      <c r="S88" s="198">
        <f>P88*Q88*R88</f>
        <v>24611.179886949176</v>
      </c>
      <c r="T88" s="333">
        <f>C88+G88+K88+O88+S88</f>
        <v>363244.35070822277</v>
      </c>
    </row>
    <row r="89" spans="1:30">
      <c r="A89" s="297"/>
      <c r="B89" s="239"/>
      <c r="C89" s="198"/>
      <c r="D89" s="270"/>
      <c r="E89" s="298"/>
      <c r="F89" s="199"/>
      <c r="G89" s="198"/>
      <c r="H89" s="270"/>
      <c r="I89" s="298"/>
      <c r="J89" s="299"/>
      <c r="K89" s="198"/>
      <c r="L89" s="270"/>
      <c r="M89" s="298"/>
      <c r="N89" s="199"/>
      <c r="O89" s="198"/>
      <c r="P89" s="270"/>
      <c r="Q89" s="298"/>
      <c r="R89" s="199"/>
      <c r="S89" s="198"/>
      <c r="T89" s="200"/>
    </row>
    <row r="90" spans="1:30" ht="18.3">
      <c r="A90" s="285" t="s">
        <v>539</v>
      </c>
      <c r="B90" s="286"/>
      <c r="C90" s="290">
        <f>SUM(C87:C89)</f>
        <v>95130.669875491527</v>
      </c>
      <c r="D90" s="287"/>
      <c r="E90" s="288"/>
      <c r="F90" s="291"/>
      <c r="G90" s="290">
        <f>SUM(G87:G89)</f>
        <v>63305.542999829762</v>
      </c>
      <c r="H90" s="287"/>
      <c r="I90" s="288"/>
      <c r="J90" s="289"/>
      <c r="K90" s="290">
        <f>SUM(K87:K89)</f>
        <v>94577.06507537188</v>
      </c>
      <c r="L90" s="287"/>
      <c r="M90" s="288"/>
      <c r="N90" s="291"/>
      <c r="O90" s="290">
        <f>SUM(O87:O89)</f>
        <v>85619.892870580443</v>
      </c>
      <c r="P90" s="287"/>
      <c r="Q90" s="288"/>
      <c r="R90" s="291"/>
      <c r="S90" s="290">
        <f>SUM(S87:S89)</f>
        <v>24611.179886949176</v>
      </c>
      <c r="T90" s="290">
        <f>SUM(T87:T89)</f>
        <v>363244.35070822277</v>
      </c>
      <c r="U90" s="157">
        <f>SUM(G90,K90,O90,S90)</f>
        <v>268113.68083273125</v>
      </c>
    </row>
    <row r="91" spans="1:30">
      <c r="A91" s="245"/>
      <c r="B91" s="300"/>
      <c r="C91" s="245"/>
      <c r="D91" s="279"/>
      <c r="E91" s="301"/>
      <c r="F91" s="303"/>
      <c r="G91" s="245"/>
      <c r="H91" s="279"/>
      <c r="I91" s="301"/>
      <c r="J91" s="302"/>
      <c r="K91" s="245"/>
      <c r="L91" s="279"/>
      <c r="M91" s="301"/>
      <c r="N91" s="303"/>
      <c r="O91" s="245"/>
      <c r="P91" s="279"/>
      <c r="Q91" s="301"/>
      <c r="R91" s="303"/>
      <c r="S91" s="245"/>
      <c r="T91" s="206"/>
    </row>
    <row r="92" spans="1:30" ht="18.3">
      <c r="A92" s="304" t="s">
        <v>540</v>
      </c>
      <c r="B92" s="305"/>
      <c r="C92" s="309">
        <f>C84+C90</f>
        <v>421313.49987549154</v>
      </c>
      <c r="D92" s="306"/>
      <c r="E92" s="307"/>
      <c r="F92" s="310"/>
      <c r="G92" s="309">
        <f>G84+G90</f>
        <v>287158.24101902975</v>
      </c>
      <c r="H92" s="306"/>
      <c r="I92" s="307"/>
      <c r="J92" s="308"/>
      <c r="K92" s="309">
        <f>K84+K90</f>
        <v>429007.98825561191</v>
      </c>
      <c r="L92" s="306"/>
      <c r="M92" s="307"/>
      <c r="N92" s="310"/>
      <c r="O92" s="309">
        <f>O84+O90</f>
        <v>388377.64700983238</v>
      </c>
      <c r="P92" s="306"/>
      <c r="Q92" s="307"/>
      <c r="R92" s="310"/>
      <c r="S92" s="309">
        <f>S84+S90</f>
        <v>111637.98288181897</v>
      </c>
      <c r="T92" s="311">
        <f>C92+G92+K92+O92+S92</f>
        <v>1637495.3590417844</v>
      </c>
    </row>
    <row r="93" spans="1:30" ht="15.6">
      <c r="A93" s="312" t="s">
        <v>575</v>
      </c>
      <c r="B93" s="313"/>
      <c r="C93" s="245">
        <f>'Program Budget'!U666</f>
        <v>0</v>
      </c>
      <c r="D93" s="242"/>
      <c r="E93" s="314"/>
      <c r="F93" s="315"/>
      <c r="G93" s="245">
        <f t="shared" ref="G93" si="45">D93*E93*F93</f>
        <v>0</v>
      </c>
      <c r="H93" s="242"/>
      <c r="I93" s="314"/>
      <c r="J93" s="244"/>
      <c r="K93" s="245">
        <f t="shared" ref="K93" si="46">H93*I93*J93</f>
        <v>0</v>
      </c>
      <c r="L93" s="242"/>
      <c r="M93" s="314"/>
      <c r="N93" s="315"/>
      <c r="O93" s="245">
        <f t="shared" ref="O93" si="47">L93*M93*N93</f>
        <v>0</v>
      </c>
      <c r="P93" s="242"/>
      <c r="Q93" s="314"/>
      <c r="R93" s="315"/>
      <c r="S93" s="245">
        <f t="shared" ref="S93" si="48">P93*Q93*R93</f>
        <v>0</v>
      </c>
      <c r="T93" s="335">
        <f>C93+G93+K93+O93+S93</f>
        <v>0</v>
      </c>
    </row>
    <row r="94" spans="1:30" ht="18.3">
      <c r="A94" s="304" t="s">
        <v>541</v>
      </c>
      <c r="B94" s="305"/>
      <c r="C94" s="309">
        <f>SUM(C92:C93)</f>
        <v>421313.49987549154</v>
      </c>
      <c r="D94" s="306"/>
      <c r="E94" s="307"/>
      <c r="F94" s="310"/>
      <c r="G94" s="309">
        <f>SUM(G92:G93)</f>
        <v>287158.24101902975</v>
      </c>
      <c r="H94" s="306"/>
      <c r="I94" s="307"/>
      <c r="J94" s="308"/>
      <c r="K94" s="309">
        <f>SUM(K92:K93)</f>
        <v>429007.98825561191</v>
      </c>
      <c r="L94" s="306"/>
      <c r="M94" s="307"/>
      <c r="N94" s="310"/>
      <c r="O94" s="309">
        <f>SUM(O92:O93)</f>
        <v>388377.64700983238</v>
      </c>
      <c r="P94" s="306"/>
      <c r="Q94" s="307"/>
      <c r="R94" s="310"/>
      <c r="S94" s="309">
        <f>SUM(S92:S93)</f>
        <v>111637.98288181897</v>
      </c>
      <c r="T94" s="311">
        <f>C94+G94+K94+O94+S94</f>
        <v>1637495.3590417844</v>
      </c>
    </row>
    <row r="95" spans="1:30">
      <c r="A95" s="194"/>
      <c r="B95" s="194"/>
      <c r="T95" s="200"/>
    </row>
    <row r="96" spans="1:30" ht="31.2">
      <c r="A96" s="316" t="s">
        <v>542</v>
      </c>
      <c r="B96" s="317"/>
      <c r="C96" s="321"/>
      <c r="D96" s="318"/>
      <c r="E96" s="319"/>
      <c r="F96" s="322"/>
      <c r="G96" s="323"/>
      <c r="H96" s="318"/>
      <c r="I96" s="319"/>
      <c r="J96" s="320"/>
      <c r="K96" s="323"/>
      <c r="L96" s="318"/>
      <c r="M96" s="319"/>
      <c r="N96" s="322"/>
      <c r="O96" s="323"/>
      <c r="P96" s="318"/>
      <c r="Q96" s="319"/>
      <c r="R96" s="322"/>
      <c r="S96" s="323"/>
      <c r="T96" s="323"/>
    </row>
  </sheetData>
  <mergeCells count="8">
    <mergeCell ref="P2:S2"/>
    <mergeCell ref="T2:T3"/>
    <mergeCell ref="A2:A3"/>
    <mergeCell ref="B2:B3"/>
    <mergeCell ref="C2:C3"/>
    <mergeCell ref="D2:G2"/>
    <mergeCell ref="H2:K2"/>
    <mergeCell ref="L2:O2"/>
  </mergeCells>
  <printOptions horizontalCentered="1"/>
  <pageMargins left="0.25" right="0.25" top="0.75" bottom="0.75" header="0.3" footer="0.3"/>
  <pageSetup scale="33" orientation="landscape" r:id="rId1"/>
  <headerFooter alignWithMargins="0"/>
  <rowBreaks count="1" manualBreakCount="1">
    <brk id="91" max="1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B552-7502-4FB5-9D3E-F59638170D98}">
  <sheetPr>
    <tabColor theme="6" tint="0.39997558519241921"/>
    <pageSetUpPr fitToPage="1"/>
  </sheetPr>
  <dimension ref="A1:AG87"/>
  <sheetViews>
    <sheetView showOutlineSymbols="0" showWhiteSpace="0" zoomScale="70" zoomScaleNormal="70" workbookViewId="0">
      <pane xSplit="2" ySplit="3" topLeftCell="C4" activePane="bottomRight" state="frozen"/>
      <selection pane="topRight"/>
      <selection pane="bottomLeft"/>
      <selection pane="bottomRight" activeCell="D7" sqref="D7"/>
    </sheetView>
  </sheetViews>
  <sheetFormatPr defaultColWidth="8.71875" defaultRowHeight="14.4" outlineLevelRow="1" outlineLevelCol="1"/>
  <cols>
    <col min="1" max="1" width="61.1640625" style="157" customWidth="1"/>
    <col min="2" max="2" width="13" style="157" customWidth="1"/>
    <col min="3" max="3" width="35.5546875" style="157" customWidth="1"/>
    <col min="4" max="4" width="15.1640625" style="158" customWidth="1" outlineLevel="1"/>
    <col min="5" max="5" width="15.1640625" style="159" customWidth="1" outlineLevel="1"/>
    <col min="6" max="6" width="15.1640625" style="161" customWidth="1" outlineLevel="1"/>
    <col min="7" max="7" width="15.1640625" style="158" customWidth="1"/>
    <col min="8" max="8" width="15.1640625" style="158" customWidth="1" outlineLevel="1"/>
    <col min="9" max="9" width="15.1640625" style="159" customWidth="1" outlineLevel="1"/>
    <col min="10" max="10" width="15.1640625" style="160" customWidth="1" outlineLevel="1"/>
    <col min="11" max="11" width="15.1640625" style="158" customWidth="1"/>
    <col min="12" max="12" width="15.1640625" style="158" customWidth="1" outlineLevel="1"/>
    <col min="13" max="13" width="15.1640625" style="159" customWidth="1" outlineLevel="1"/>
    <col min="14" max="14" width="15.1640625" style="161" customWidth="1" outlineLevel="1"/>
    <col min="15" max="15" width="15.1640625" style="158" customWidth="1"/>
    <col min="16" max="16" width="15.1640625" style="158" customWidth="1" outlineLevel="1"/>
    <col min="17" max="17" width="15.1640625" style="159" customWidth="1" outlineLevel="1"/>
    <col min="18" max="18" width="15.1640625" style="161" customWidth="1" outlineLevel="1"/>
    <col min="19" max="19" width="16.1640625" style="158" customWidth="1"/>
    <col min="20" max="20" width="17.44140625" style="158" customWidth="1"/>
    <col min="21" max="21" width="11.83203125" style="157" bestFit="1" customWidth="1"/>
    <col min="22" max="22" width="12.5546875" style="157" bestFit="1" customWidth="1"/>
    <col min="23" max="23" width="10.83203125" style="157" customWidth="1"/>
    <col min="24" max="24" width="8.83203125" style="157" customWidth="1"/>
    <col min="25" max="25" width="10.83203125" style="157" customWidth="1"/>
    <col min="26" max="26" width="4.83203125" style="157" customWidth="1"/>
    <col min="27" max="27" width="4.83203125" style="157" hidden="1" customWidth="1"/>
    <col min="28" max="28" width="7" style="162" hidden="1" customWidth="1"/>
    <col min="29" max="29" width="19.1640625" style="157" hidden="1" customWidth="1"/>
    <col min="30" max="30" width="34" style="157" hidden="1" customWidth="1"/>
    <col min="31" max="31" width="9.83203125" style="157" hidden="1" customWidth="1"/>
    <col min="32" max="32" width="9.83203125" style="157" customWidth="1"/>
    <col min="33" max="33" width="14.1640625" style="157" customWidth="1"/>
    <col min="34" max="261" width="8.83203125" style="157"/>
    <col min="262" max="262" width="38.1640625" style="157" customWidth="1"/>
    <col min="263" max="263" width="23.44140625" style="157" bestFit="1" customWidth="1"/>
    <col min="264" max="265" width="9.1640625" style="157" customWidth="1"/>
    <col min="266" max="266" width="11.1640625" style="157" bestFit="1" customWidth="1"/>
    <col min="267" max="267" width="14.44140625" style="157" bestFit="1" customWidth="1"/>
    <col min="268" max="268" width="8.1640625" style="157" customWidth="1"/>
    <col min="269" max="269" width="10.83203125" style="157" bestFit="1" customWidth="1"/>
    <col min="270" max="270" width="12.1640625" style="157" bestFit="1" customWidth="1"/>
    <col min="271" max="271" width="9.1640625" style="157" customWidth="1"/>
    <col min="272" max="272" width="10.83203125" style="157" bestFit="1" customWidth="1"/>
    <col min="273" max="273" width="12.1640625" style="157" bestFit="1" customWidth="1"/>
    <col min="274" max="274" width="8" style="157" customWidth="1"/>
    <col min="275" max="275" width="10.83203125" style="157" bestFit="1" customWidth="1"/>
    <col min="276" max="276" width="12.1640625" style="157" bestFit="1" customWidth="1"/>
    <col min="277" max="277" width="8.1640625" style="157" bestFit="1" customWidth="1"/>
    <col min="278" max="278" width="10.83203125" style="157" bestFit="1" customWidth="1"/>
    <col min="279" max="279" width="12.1640625" style="157" bestFit="1" customWidth="1"/>
    <col min="280" max="280" width="18.1640625" style="157" bestFit="1" customWidth="1"/>
    <col min="281" max="281" width="10.83203125" style="157" bestFit="1" customWidth="1"/>
    <col min="282" max="517" width="8.83203125" style="157"/>
    <col min="518" max="518" width="38.1640625" style="157" customWidth="1"/>
    <col min="519" max="519" width="23.44140625" style="157" bestFit="1" customWidth="1"/>
    <col min="520" max="521" width="9.1640625" style="157" customWidth="1"/>
    <col min="522" max="522" width="11.1640625" style="157" bestFit="1" customWidth="1"/>
    <col min="523" max="523" width="14.44140625" style="157" bestFit="1" customWidth="1"/>
    <col min="524" max="524" width="8.1640625" style="157" customWidth="1"/>
    <col min="525" max="525" width="10.83203125" style="157" bestFit="1" customWidth="1"/>
    <col min="526" max="526" width="12.1640625" style="157" bestFit="1" customWidth="1"/>
    <col min="527" max="527" width="9.1640625" style="157" customWidth="1"/>
    <col min="528" max="528" width="10.83203125" style="157" bestFit="1" customWidth="1"/>
    <col min="529" max="529" width="12.1640625" style="157" bestFit="1" customWidth="1"/>
    <col min="530" max="530" width="8" style="157" customWidth="1"/>
    <col min="531" max="531" width="10.83203125" style="157" bestFit="1" customWidth="1"/>
    <col min="532" max="532" width="12.1640625" style="157" bestFit="1" customWidth="1"/>
    <col min="533" max="533" width="8.1640625" style="157" bestFit="1" customWidth="1"/>
    <col min="534" max="534" width="10.83203125" style="157" bestFit="1" customWidth="1"/>
    <col min="535" max="535" width="12.1640625" style="157" bestFit="1" customWidth="1"/>
    <col min="536" max="536" width="18.1640625" style="157" bestFit="1" customWidth="1"/>
    <col min="537" max="537" width="10.83203125" style="157" bestFit="1" customWidth="1"/>
    <col min="538" max="773" width="8.83203125" style="157"/>
    <col min="774" max="774" width="38.1640625" style="157" customWidth="1"/>
    <col min="775" max="775" width="23.44140625" style="157" bestFit="1" customWidth="1"/>
    <col min="776" max="777" width="9.1640625" style="157" customWidth="1"/>
    <col min="778" max="778" width="11.1640625" style="157" bestFit="1" customWidth="1"/>
    <col min="779" max="779" width="14.44140625" style="157" bestFit="1" customWidth="1"/>
    <col min="780" max="780" width="8.1640625" style="157" customWidth="1"/>
    <col min="781" max="781" width="10.83203125" style="157" bestFit="1" customWidth="1"/>
    <col min="782" max="782" width="12.1640625" style="157" bestFit="1" customWidth="1"/>
    <col min="783" max="783" width="9.1640625" style="157" customWidth="1"/>
    <col min="784" max="784" width="10.83203125" style="157" bestFit="1" customWidth="1"/>
    <col min="785" max="785" width="12.1640625" style="157" bestFit="1" customWidth="1"/>
    <col min="786" max="786" width="8" style="157" customWidth="1"/>
    <col min="787" max="787" width="10.83203125" style="157" bestFit="1" customWidth="1"/>
    <col min="788" max="788" width="12.1640625" style="157" bestFit="1" customWidth="1"/>
    <col min="789" max="789" width="8.1640625" style="157" bestFit="1" customWidth="1"/>
    <col min="790" max="790" width="10.83203125" style="157" bestFit="1" customWidth="1"/>
    <col min="791" max="791" width="12.1640625" style="157" bestFit="1" customWidth="1"/>
    <col min="792" max="792" width="18.1640625" style="157" bestFit="1" customWidth="1"/>
    <col min="793" max="793" width="10.83203125" style="157" bestFit="1" customWidth="1"/>
    <col min="794" max="1029" width="8.83203125" style="157"/>
    <col min="1030" max="1030" width="38.1640625" style="157" customWidth="1"/>
    <col min="1031" max="1031" width="23.44140625" style="157" bestFit="1" customWidth="1"/>
    <col min="1032" max="1033" width="9.1640625" style="157" customWidth="1"/>
    <col min="1034" max="1034" width="11.1640625" style="157" bestFit="1" customWidth="1"/>
    <col min="1035" max="1035" width="14.44140625" style="157" bestFit="1" customWidth="1"/>
    <col min="1036" max="1036" width="8.1640625" style="157" customWidth="1"/>
    <col min="1037" max="1037" width="10.83203125" style="157" bestFit="1" customWidth="1"/>
    <col min="1038" max="1038" width="12.1640625" style="157" bestFit="1" customWidth="1"/>
    <col min="1039" max="1039" width="9.1640625" style="157" customWidth="1"/>
    <col min="1040" max="1040" width="10.83203125" style="157" bestFit="1" customWidth="1"/>
    <col min="1041" max="1041" width="12.1640625" style="157" bestFit="1" customWidth="1"/>
    <col min="1042" max="1042" width="8" style="157" customWidth="1"/>
    <col min="1043" max="1043" width="10.83203125" style="157" bestFit="1" customWidth="1"/>
    <col min="1044" max="1044" width="12.1640625" style="157" bestFit="1" customWidth="1"/>
    <col min="1045" max="1045" width="8.1640625" style="157" bestFit="1" customWidth="1"/>
    <col min="1046" max="1046" width="10.83203125" style="157" bestFit="1" customWidth="1"/>
    <col min="1047" max="1047" width="12.1640625" style="157" bestFit="1" customWidth="1"/>
    <col min="1048" max="1048" width="18.1640625" style="157" bestFit="1" customWidth="1"/>
    <col min="1049" max="1049" width="10.83203125" style="157" bestFit="1" customWidth="1"/>
    <col min="1050" max="1285" width="8.83203125" style="157"/>
    <col min="1286" max="1286" width="38.1640625" style="157" customWidth="1"/>
    <col min="1287" max="1287" width="23.44140625" style="157" bestFit="1" customWidth="1"/>
    <col min="1288" max="1289" width="9.1640625" style="157" customWidth="1"/>
    <col min="1290" max="1290" width="11.1640625" style="157" bestFit="1" customWidth="1"/>
    <col min="1291" max="1291" width="14.44140625" style="157" bestFit="1" customWidth="1"/>
    <col min="1292" max="1292" width="8.1640625" style="157" customWidth="1"/>
    <col min="1293" max="1293" width="10.83203125" style="157" bestFit="1" customWidth="1"/>
    <col min="1294" max="1294" width="12.1640625" style="157" bestFit="1" customWidth="1"/>
    <col min="1295" max="1295" width="9.1640625" style="157" customWidth="1"/>
    <col min="1296" max="1296" width="10.83203125" style="157" bestFit="1" customWidth="1"/>
    <col min="1297" max="1297" width="12.1640625" style="157" bestFit="1" customWidth="1"/>
    <col min="1298" max="1298" width="8" style="157" customWidth="1"/>
    <col min="1299" max="1299" width="10.83203125" style="157" bestFit="1" customWidth="1"/>
    <col min="1300" max="1300" width="12.1640625" style="157" bestFit="1" customWidth="1"/>
    <col min="1301" max="1301" width="8.1640625" style="157" bestFit="1" customWidth="1"/>
    <col min="1302" max="1302" width="10.83203125" style="157" bestFit="1" customWidth="1"/>
    <col min="1303" max="1303" width="12.1640625" style="157" bestFit="1" customWidth="1"/>
    <col min="1304" max="1304" width="18.1640625" style="157" bestFit="1" customWidth="1"/>
    <col min="1305" max="1305" width="10.83203125" style="157" bestFit="1" customWidth="1"/>
    <col min="1306" max="1541" width="8.83203125" style="157"/>
    <col min="1542" max="1542" width="38.1640625" style="157" customWidth="1"/>
    <col min="1543" max="1543" width="23.44140625" style="157" bestFit="1" customWidth="1"/>
    <col min="1544" max="1545" width="9.1640625" style="157" customWidth="1"/>
    <col min="1546" max="1546" width="11.1640625" style="157" bestFit="1" customWidth="1"/>
    <col min="1547" max="1547" width="14.44140625" style="157" bestFit="1" customWidth="1"/>
    <col min="1548" max="1548" width="8.1640625" style="157" customWidth="1"/>
    <col min="1549" max="1549" width="10.83203125" style="157" bestFit="1" customWidth="1"/>
    <col min="1550" max="1550" width="12.1640625" style="157" bestFit="1" customWidth="1"/>
    <col min="1551" max="1551" width="9.1640625" style="157" customWidth="1"/>
    <col min="1552" max="1552" width="10.83203125" style="157" bestFit="1" customWidth="1"/>
    <col min="1553" max="1553" width="12.1640625" style="157" bestFit="1" customWidth="1"/>
    <col min="1554" max="1554" width="8" style="157" customWidth="1"/>
    <col min="1555" max="1555" width="10.83203125" style="157" bestFit="1" customWidth="1"/>
    <col min="1556" max="1556" width="12.1640625" style="157" bestFit="1" customWidth="1"/>
    <col min="1557" max="1557" width="8.1640625" style="157" bestFit="1" customWidth="1"/>
    <col min="1558" max="1558" width="10.83203125" style="157" bestFit="1" customWidth="1"/>
    <col min="1559" max="1559" width="12.1640625" style="157" bestFit="1" customWidth="1"/>
    <col min="1560" max="1560" width="18.1640625" style="157" bestFit="1" customWidth="1"/>
    <col min="1561" max="1561" width="10.83203125" style="157" bestFit="1" customWidth="1"/>
    <col min="1562" max="1797" width="8.83203125" style="157"/>
    <col min="1798" max="1798" width="38.1640625" style="157" customWidth="1"/>
    <col min="1799" max="1799" width="23.44140625" style="157" bestFit="1" customWidth="1"/>
    <col min="1800" max="1801" width="9.1640625" style="157" customWidth="1"/>
    <col min="1802" max="1802" width="11.1640625" style="157" bestFit="1" customWidth="1"/>
    <col min="1803" max="1803" width="14.44140625" style="157" bestFit="1" customWidth="1"/>
    <col min="1804" max="1804" width="8.1640625" style="157" customWidth="1"/>
    <col min="1805" max="1805" width="10.83203125" style="157" bestFit="1" customWidth="1"/>
    <col min="1806" max="1806" width="12.1640625" style="157" bestFit="1" customWidth="1"/>
    <col min="1807" max="1807" width="9.1640625" style="157" customWidth="1"/>
    <col min="1808" max="1808" width="10.83203125" style="157" bestFit="1" customWidth="1"/>
    <col min="1809" max="1809" width="12.1640625" style="157" bestFit="1" customWidth="1"/>
    <col min="1810" max="1810" width="8" style="157" customWidth="1"/>
    <col min="1811" max="1811" width="10.83203125" style="157" bestFit="1" customWidth="1"/>
    <col min="1812" max="1812" width="12.1640625" style="157" bestFit="1" customWidth="1"/>
    <col min="1813" max="1813" width="8.1640625" style="157" bestFit="1" customWidth="1"/>
    <col min="1814" max="1814" width="10.83203125" style="157" bestFit="1" customWidth="1"/>
    <col min="1815" max="1815" width="12.1640625" style="157" bestFit="1" customWidth="1"/>
    <col min="1816" max="1816" width="18.1640625" style="157" bestFit="1" customWidth="1"/>
    <col min="1817" max="1817" width="10.83203125" style="157" bestFit="1" customWidth="1"/>
    <col min="1818" max="2053" width="8.83203125" style="157"/>
    <col min="2054" max="2054" width="38.1640625" style="157" customWidth="1"/>
    <col min="2055" max="2055" width="23.44140625" style="157" bestFit="1" customWidth="1"/>
    <col min="2056" max="2057" width="9.1640625" style="157" customWidth="1"/>
    <col min="2058" max="2058" width="11.1640625" style="157" bestFit="1" customWidth="1"/>
    <col min="2059" max="2059" width="14.44140625" style="157" bestFit="1" customWidth="1"/>
    <col min="2060" max="2060" width="8.1640625" style="157" customWidth="1"/>
    <col min="2061" max="2061" width="10.83203125" style="157" bestFit="1" customWidth="1"/>
    <col min="2062" max="2062" width="12.1640625" style="157" bestFit="1" customWidth="1"/>
    <col min="2063" max="2063" width="9.1640625" style="157" customWidth="1"/>
    <col min="2064" max="2064" width="10.83203125" style="157" bestFit="1" customWidth="1"/>
    <col min="2065" max="2065" width="12.1640625" style="157" bestFit="1" customWidth="1"/>
    <col min="2066" max="2066" width="8" style="157" customWidth="1"/>
    <col min="2067" max="2067" width="10.83203125" style="157" bestFit="1" customWidth="1"/>
    <col min="2068" max="2068" width="12.1640625" style="157" bestFit="1" customWidth="1"/>
    <col min="2069" max="2069" width="8.1640625" style="157" bestFit="1" customWidth="1"/>
    <col min="2070" max="2070" width="10.83203125" style="157" bestFit="1" customWidth="1"/>
    <col min="2071" max="2071" width="12.1640625" style="157" bestFit="1" customWidth="1"/>
    <col min="2072" max="2072" width="18.1640625" style="157" bestFit="1" customWidth="1"/>
    <col min="2073" max="2073" width="10.83203125" style="157" bestFit="1" customWidth="1"/>
    <col min="2074" max="2309" width="8.83203125" style="157"/>
    <col min="2310" max="2310" width="38.1640625" style="157" customWidth="1"/>
    <col min="2311" max="2311" width="23.44140625" style="157" bestFit="1" customWidth="1"/>
    <col min="2312" max="2313" width="9.1640625" style="157" customWidth="1"/>
    <col min="2314" max="2314" width="11.1640625" style="157" bestFit="1" customWidth="1"/>
    <col min="2315" max="2315" width="14.44140625" style="157" bestFit="1" customWidth="1"/>
    <col min="2316" max="2316" width="8.1640625" style="157" customWidth="1"/>
    <col min="2317" max="2317" width="10.83203125" style="157" bestFit="1" customWidth="1"/>
    <col min="2318" max="2318" width="12.1640625" style="157" bestFit="1" customWidth="1"/>
    <col min="2319" max="2319" width="9.1640625" style="157" customWidth="1"/>
    <col min="2320" max="2320" width="10.83203125" style="157" bestFit="1" customWidth="1"/>
    <col min="2321" max="2321" width="12.1640625" style="157" bestFit="1" customWidth="1"/>
    <col min="2322" max="2322" width="8" style="157" customWidth="1"/>
    <col min="2323" max="2323" width="10.83203125" style="157" bestFit="1" customWidth="1"/>
    <col min="2324" max="2324" width="12.1640625" style="157" bestFit="1" customWidth="1"/>
    <col min="2325" max="2325" width="8.1640625" style="157" bestFit="1" customWidth="1"/>
    <col min="2326" max="2326" width="10.83203125" style="157" bestFit="1" customWidth="1"/>
    <col min="2327" max="2327" width="12.1640625" style="157" bestFit="1" customWidth="1"/>
    <col min="2328" max="2328" width="18.1640625" style="157" bestFit="1" customWidth="1"/>
    <col min="2329" max="2329" width="10.83203125" style="157" bestFit="1" customWidth="1"/>
    <col min="2330" max="2565" width="8.83203125" style="157"/>
    <col min="2566" max="2566" width="38.1640625" style="157" customWidth="1"/>
    <col min="2567" max="2567" width="23.44140625" style="157" bestFit="1" customWidth="1"/>
    <col min="2568" max="2569" width="9.1640625" style="157" customWidth="1"/>
    <col min="2570" max="2570" width="11.1640625" style="157" bestFit="1" customWidth="1"/>
    <col min="2571" max="2571" width="14.44140625" style="157" bestFit="1" customWidth="1"/>
    <col min="2572" max="2572" width="8.1640625" style="157" customWidth="1"/>
    <col min="2573" max="2573" width="10.83203125" style="157" bestFit="1" customWidth="1"/>
    <col min="2574" max="2574" width="12.1640625" style="157" bestFit="1" customWidth="1"/>
    <col min="2575" max="2575" width="9.1640625" style="157" customWidth="1"/>
    <col min="2576" max="2576" width="10.83203125" style="157" bestFit="1" customWidth="1"/>
    <col min="2577" max="2577" width="12.1640625" style="157" bestFit="1" customWidth="1"/>
    <col min="2578" max="2578" width="8" style="157" customWidth="1"/>
    <col min="2579" max="2579" width="10.83203125" style="157" bestFit="1" customWidth="1"/>
    <col min="2580" max="2580" width="12.1640625" style="157" bestFit="1" customWidth="1"/>
    <col min="2581" max="2581" width="8.1640625" style="157" bestFit="1" customWidth="1"/>
    <col min="2582" max="2582" width="10.83203125" style="157" bestFit="1" customWidth="1"/>
    <col min="2583" max="2583" width="12.1640625" style="157" bestFit="1" customWidth="1"/>
    <col min="2584" max="2584" width="18.1640625" style="157" bestFit="1" customWidth="1"/>
    <col min="2585" max="2585" width="10.83203125" style="157" bestFit="1" customWidth="1"/>
    <col min="2586" max="2821" width="8.83203125" style="157"/>
    <col min="2822" max="2822" width="38.1640625" style="157" customWidth="1"/>
    <col min="2823" max="2823" width="23.44140625" style="157" bestFit="1" customWidth="1"/>
    <col min="2824" max="2825" width="9.1640625" style="157" customWidth="1"/>
    <col min="2826" max="2826" width="11.1640625" style="157" bestFit="1" customWidth="1"/>
    <col min="2827" max="2827" width="14.44140625" style="157" bestFit="1" customWidth="1"/>
    <col min="2828" max="2828" width="8.1640625" style="157" customWidth="1"/>
    <col min="2829" max="2829" width="10.83203125" style="157" bestFit="1" customWidth="1"/>
    <col min="2830" max="2830" width="12.1640625" style="157" bestFit="1" customWidth="1"/>
    <col min="2831" max="2831" width="9.1640625" style="157" customWidth="1"/>
    <col min="2832" max="2832" width="10.83203125" style="157" bestFit="1" customWidth="1"/>
    <col min="2833" max="2833" width="12.1640625" style="157" bestFit="1" customWidth="1"/>
    <col min="2834" max="2834" width="8" style="157" customWidth="1"/>
    <col min="2835" max="2835" width="10.83203125" style="157" bestFit="1" customWidth="1"/>
    <col min="2836" max="2836" width="12.1640625" style="157" bestFit="1" customWidth="1"/>
    <col min="2837" max="2837" width="8.1640625" style="157" bestFit="1" customWidth="1"/>
    <col min="2838" max="2838" width="10.83203125" style="157" bestFit="1" customWidth="1"/>
    <col min="2839" max="2839" width="12.1640625" style="157" bestFit="1" customWidth="1"/>
    <col min="2840" max="2840" width="18.1640625" style="157" bestFit="1" customWidth="1"/>
    <col min="2841" max="2841" width="10.83203125" style="157" bestFit="1" customWidth="1"/>
    <col min="2842" max="3077" width="8.83203125" style="157"/>
    <col min="3078" max="3078" width="38.1640625" style="157" customWidth="1"/>
    <col min="3079" max="3079" width="23.44140625" style="157" bestFit="1" customWidth="1"/>
    <col min="3080" max="3081" width="9.1640625" style="157" customWidth="1"/>
    <col min="3082" max="3082" width="11.1640625" style="157" bestFit="1" customWidth="1"/>
    <col min="3083" max="3083" width="14.44140625" style="157" bestFit="1" customWidth="1"/>
    <col min="3084" max="3084" width="8.1640625" style="157" customWidth="1"/>
    <col min="3085" max="3085" width="10.83203125" style="157" bestFit="1" customWidth="1"/>
    <col min="3086" max="3086" width="12.1640625" style="157" bestFit="1" customWidth="1"/>
    <col min="3087" max="3087" width="9.1640625" style="157" customWidth="1"/>
    <col min="3088" max="3088" width="10.83203125" style="157" bestFit="1" customWidth="1"/>
    <col min="3089" max="3089" width="12.1640625" style="157" bestFit="1" customWidth="1"/>
    <col min="3090" max="3090" width="8" style="157" customWidth="1"/>
    <col min="3091" max="3091" width="10.83203125" style="157" bestFit="1" customWidth="1"/>
    <col min="3092" max="3092" width="12.1640625" style="157" bestFit="1" customWidth="1"/>
    <col min="3093" max="3093" width="8.1640625" style="157" bestFit="1" customWidth="1"/>
    <col min="3094" max="3094" width="10.83203125" style="157" bestFit="1" customWidth="1"/>
    <col min="3095" max="3095" width="12.1640625" style="157" bestFit="1" customWidth="1"/>
    <col min="3096" max="3096" width="18.1640625" style="157" bestFit="1" customWidth="1"/>
    <col min="3097" max="3097" width="10.83203125" style="157" bestFit="1" customWidth="1"/>
    <col min="3098" max="3333" width="8.83203125" style="157"/>
    <col min="3334" max="3334" width="38.1640625" style="157" customWidth="1"/>
    <col min="3335" max="3335" width="23.44140625" style="157" bestFit="1" customWidth="1"/>
    <col min="3336" max="3337" width="9.1640625" style="157" customWidth="1"/>
    <col min="3338" max="3338" width="11.1640625" style="157" bestFit="1" customWidth="1"/>
    <col min="3339" max="3339" width="14.44140625" style="157" bestFit="1" customWidth="1"/>
    <col min="3340" max="3340" width="8.1640625" style="157" customWidth="1"/>
    <col min="3341" max="3341" width="10.83203125" style="157" bestFit="1" customWidth="1"/>
    <col min="3342" max="3342" width="12.1640625" style="157" bestFit="1" customWidth="1"/>
    <col min="3343" max="3343" width="9.1640625" style="157" customWidth="1"/>
    <col min="3344" max="3344" width="10.83203125" style="157" bestFit="1" customWidth="1"/>
    <col min="3345" max="3345" width="12.1640625" style="157" bestFit="1" customWidth="1"/>
    <col min="3346" max="3346" width="8" style="157" customWidth="1"/>
    <col min="3347" max="3347" width="10.83203125" style="157" bestFit="1" customWidth="1"/>
    <col min="3348" max="3348" width="12.1640625" style="157" bestFit="1" customWidth="1"/>
    <col min="3349" max="3349" width="8.1640625" style="157" bestFit="1" customWidth="1"/>
    <col min="3350" max="3350" width="10.83203125" style="157" bestFit="1" customWidth="1"/>
    <col min="3351" max="3351" width="12.1640625" style="157" bestFit="1" customWidth="1"/>
    <col min="3352" max="3352" width="18.1640625" style="157" bestFit="1" customWidth="1"/>
    <col min="3353" max="3353" width="10.83203125" style="157" bestFit="1" customWidth="1"/>
    <col min="3354" max="3589" width="8.83203125" style="157"/>
    <col min="3590" max="3590" width="38.1640625" style="157" customWidth="1"/>
    <col min="3591" max="3591" width="23.44140625" style="157" bestFit="1" customWidth="1"/>
    <col min="3592" max="3593" width="9.1640625" style="157" customWidth="1"/>
    <col min="3594" max="3594" width="11.1640625" style="157" bestFit="1" customWidth="1"/>
    <col min="3595" max="3595" width="14.44140625" style="157" bestFit="1" customWidth="1"/>
    <col min="3596" max="3596" width="8.1640625" style="157" customWidth="1"/>
    <col min="3597" max="3597" width="10.83203125" style="157" bestFit="1" customWidth="1"/>
    <col min="3598" max="3598" width="12.1640625" style="157" bestFit="1" customWidth="1"/>
    <col min="3599" max="3599" width="9.1640625" style="157" customWidth="1"/>
    <col min="3600" max="3600" width="10.83203125" style="157" bestFit="1" customWidth="1"/>
    <col min="3601" max="3601" width="12.1640625" style="157" bestFit="1" customWidth="1"/>
    <col min="3602" max="3602" width="8" style="157" customWidth="1"/>
    <col min="3603" max="3603" width="10.83203125" style="157" bestFit="1" customWidth="1"/>
    <col min="3604" max="3604" width="12.1640625" style="157" bestFit="1" customWidth="1"/>
    <col min="3605" max="3605" width="8.1640625" style="157" bestFit="1" customWidth="1"/>
    <col min="3606" max="3606" width="10.83203125" style="157" bestFit="1" customWidth="1"/>
    <col min="3607" max="3607" width="12.1640625" style="157" bestFit="1" customWidth="1"/>
    <col min="3608" max="3608" width="18.1640625" style="157" bestFit="1" customWidth="1"/>
    <col min="3609" max="3609" width="10.83203125" style="157" bestFit="1" customWidth="1"/>
    <col min="3610" max="3845" width="8.83203125" style="157"/>
    <col min="3846" max="3846" width="38.1640625" style="157" customWidth="1"/>
    <col min="3847" max="3847" width="23.44140625" style="157" bestFit="1" customWidth="1"/>
    <col min="3848" max="3849" width="9.1640625" style="157" customWidth="1"/>
    <col min="3850" max="3850" width="11.1640625" style="157" bestFit="1" customWidth="1"/>
    <col min="3851" max="3851" width="14.44140625" style="157" bestFit="1" customWidth="1"/>
    <col min="3852" max="3852" width="8.1640625" style="157" customWidth="1"/>
    <col min="3853" max="3853" width="10.83203125" style="157" bestFit="1" customWidth="1"/>
    <col min="3854" max="3854" width="12.1640625" style="157" bestFit="1" customWidth="1"/>
    <col min="3855" max="3855" width="9.1640625" style="157" customWidth="1"/>
    <col min="3856" max="3856" width="10.83203125" style="157" bestFit="1" customWidth="1"/>
    <col min="3857" max="3857" width="12.1640625" style="157" bestFit="1" customWidth="1"/>
    <col min="3858" max="3858" width="8" style="157" customWidth="1"/>
    <col min="3859" max="3859" width="10.83203125" style="157" bestFit="1" customWidth="1"/>
    <col min="3860" max="3860" width="12.1640625" style="157" bestFit="1" customWidth="1"/>
    <col min="3861" max="3861" width="8.1640625" style="157" bestFit="1" customWidth="1"/>
    <col min="3862" max="3862" width="10.83203125" style="157" bestFit="1" customWidth="1"/>
    <col min="3863" max="3863" width="12.1640625" style="157" bestFit="1" customWidth="1"/>
    <col min="3864" max="3864" width="18.1640625" style="157" bestFit="1" customWidth="1"/>
    <col min="3865" max="3865" width="10.83203125" style="157" bestFit="1" customWidth="1"/>
    <col min="3866" max="4101" width="8.83203125" style="157"/>
    <col min="4102" max="4102" width="38.1640625" style="157" customWidth="1"/>
    <col min="4103" max="4103" width="23.44140625" style="157" bestFit="1" customWidth="1"/>
    <col min="4104" max="4105" width="9.1640625" style="157" customWidth="1"/>
    <col min="4106" max="4106" width="11.1640625" style="157" bestFit="1" customWidth="1"/>
    <col min="4107" max="4107" width="14.44140625" style="157" bestFit="1" customWidth="1"/>
    <col min="4108" max="4108" width="8.1640625" style="157" customWidth="1"/>
    <col min="4109" max="4109" width="10.83203125" style="157" bestFit="1" customWidth="1"/>
    <col min="4110" max="4110" width="12.1640625" style="157" bestFit="1" customWidth="1"/>
    <col min="4111" max="4111" width="9.1640625" style="157" customWidth="1"/>
    <col min="4112" max="4112" width="10.83203125" style="157" bestFit="1" customWidth="1"/>
    <col min="4113" max="4113" width="12.1640625" style="157" bestFit="1" customWidth="1"/>
    <col min="4114" max="4114" width="8" style="157" customWidth="1"/>
    <col min="4115" max="4115" width="10.83203125" style="157" bestFit="1" customWidth="1"/>
    <col min="4116" max="4116" width="12.1640625" style="157" bestFit="1" customWidth="1"/>
    <col min="4117" max="4117" width="8.1640625" style="157" bestFit="1" customWidth="1"/>
    <col min="4118" max="4118" width="10.83203125" style="157" bestFit="1" customWidth="1"/>
    <col min="4119" max="4119" width="12.1640625" style="157" bestFit="1" customWidth="1"/>
    <col min="4120" max="4120" width="18.1640625" style="157" bestFit="1" customWidth="1"/>
    <col min="4121" max="4121" width="10.83203125" style="157" bestFit="1" customWidth="1"/>
    <col min="4122" max="4357" width="8.83203125" style="157"/>
    <col min="4358" max="4358" width="38.1640625" style="157" customWidth="1"/>
    <col min="4359" max="4359" width="23.44140625" style="157" bestFit="1" customWidth="1"/>
    <col min="4360" max="4361" width="9.1640625" style="157" customWidth="1"/>
    <col min="4362" max="4362" width="11.1640625" style="157" bestFit="1" customWidth="1"/>
    <col min="4363" max="4363" width="14.44140625" style="157" bestFit="1" customWidth="1"/>
    <col min="4364" max="4364" width="8.1640625" style="157" customWidth="1"/>
    <col min="4365" max="4365" width="10.83203125" style="157" bestFit="1" customWidth="1"/>
    <col min="4366" max="4366" width="12.1640625" style="157" bestFit="1" customWidth="1"/>
    <col min="4367" max="4367" width="9.1640625" style="157" customWidth="1"/>
    <col min="4368" max="4368" width="10.83203125" style="157" bestFit="1" customWidth="1"/>
    <col min="4369" max="4369" width="12.1640625" style="157" bestFit="1" customWidth="1"/>
    <col min="4370" max="4370" width="8" style="157" customWidth="1"/>
    <col min="4371" max="4371" width="10.83203125" style="157" bestFit="1" customWidth="1"/>
    <col min="4372" max="4372" width="12.1640625" style="157" bestFit="1" customWidth="1"/>
    <col min="4373" max="4373" width="8.1640625" style="157" bestFit="1" customWidth="1"/>
    <col min="4374" max="4374" width="10.83203125" style="157" bestFit="1" customWidth="1"/>
    <col min="4375" max="4375" width="12.1640625" style="157" bestFit="1" customWidth="1"/>
    <col min="4376" max="4376" width="18.1640625" style="157" bestFit="1" customWidth="1"/>
    <col min="4377" max="4377" width="10.83203125" style="157" bestFit="1" customWidth="1"/>
    <col min="4378" max="4613" width="8.83203125" style="157"/>
    <col min="4614" max="4614" width="38.1640625" style="157" customWidth="1"/>
    <col min="4615" max="4615" width="23.44140625" style="157" bestFit="1" customWidth="1"/>
    <col min="4616" max="4617" width="9.1640625" style="157" customWidth="1"/>
    <col min="4618" max="4618" width="11.1640625" style="157" bestFit="1" customWidth="1"/>
    <col min="4619" max="4619" width="14.44140625" style="157" bestFit="1" customWidth="1"/>
    <col min="4620" max="4620" width="8.1640625" style="157" customWidth="1"/>
    <col min="4621" max="4621" width="10.83203125" style="157" bestFit="1" customWidth="1"/>
    <col min="4622" max="4622" width="12.1640625" style="157" bestFit="1" customWidth="1"/>
    <col min="4623" max="4623" width="9.1640625" style="157" customWidth="1"/>
    <col min="4624" max="4624" width="10.83203125" style="157" bestFit="1" customWidth="1"/>
    <col min="4625" max="4625" width="12.1640625" style="157" bestFit="1" customWidth="1"/>
    <col min="4626" max="4626" width="8" style="157" customWidth="1"/>
    <col min="4627" max="4627" width="10.83203125" style="157" bestFit="1" customWidth="1"/>
    <col min="4628" max="4628" width="12.1640625" style="157" bestFit="1" customWidth="1"/>
    <col min="4629" max="4629" width="8.1640625" style="157" bestFit="1" customWidth="1"/>
    <col min="4630" max="4630" width="10.83203125" style="157" bestFit="1" customWidth="1"/>
    <col min="4631" max="4631" width="12.1640625" style="157" bestFit="1" customWidth="1"/>
    <col min="4632" max="4632" width="18.1640625" style="157" bestFit="1" customWidth="1"/>
    <col min="4633" max="4633" width="10.83203125" style="157" bestFit="1" customWidth="1"/>
    <col min="4634" max="4869" width="8.83203125" style="157"/>
    <col min="4870" max="4870" width="38.1640625" style="157" customWidth="1"/>
    <col min="4871" max="4871" width="23.44140625" style="157" bestFit="1" customWidth="1"/>
    <col min="4872" max="4873" width="9.1640625" style="157" customWidth="1"/>
    <col min="4874" max="4874" width="11.1640625" style="157" bestFit="1" customWidth="1"/>
    <col min="4875" max="4875" width="14.44140625" style="157" bestFit="1" customWidth="1"/>
    <col min="4876" max="4876" width="8.1640625" style="157" customWidth="1"/>
    <col min="4877" max="4877" width="10.83203125" style="157" bestFit="1" customWidth="1"/>
    <col min="4878" max="4878" width="12.1640625" style="157" bestFit="1" customWidth="1"/>
    <col min="4879" max="4879" width="9.1640625" style="157" customWidth="1"/>
    <col min="4880" max="4880" width="10.83203125" style="157" bestFit="1" customWidth="1"/>
    <col min="4881" max="4881" width="12.1640625" style="157" bestFit="1" customWidth="1"/>
    <col min="4882" max="4882" width="8" style="157" customWidth="1"/>
    <col min="4883" max="4883" width="10.83203125" style="157" bestFit="1" customWidth="1"/>
    <col min="4884" max="4884" width="12.1640625" style="157" bestFit="1" customWidth="1"/>
    <col min="4885" max="4885" width="8.1640625" style="157" bestFit="1" customWidth="1"/>
    <col min="4886" max="4886" width="10.83203125" style="157" bestFit="1" customWidth="1"/>
    <col min="4887" max="4887" width="12.1640625" style="157" bestFit="1" customWidth="1"/>
    <col min="4888" max="4888" width="18.1640625" style="157" bestFit="1" customWidth="1"/>
    <col min="4889" max="4889" width="10.83203125" style="157" bestFit="1" customWidth="1"/>
    <col min="4890" max="5125" width="8.83203125" style="157"/>
    <col min="5126" max="5126" width="38.1640625" style="157" customWidth="1"/>
    <col min="5127" max="5127" width="23.44140625" style="157" bestFit="1" customWidth="1"/>
    <col min="5128" max="5129" width="9.1640625" style="157" customWidth="1"/>
    <col min="5130" max="5130" width="11.1640625" style="157" bestFit="1" customWidth="1"/>
    <col min="5131" max="5131" width="14.44140625" style="157" bestFit="1" customWidth="1"/>
    <col min="5132" max="5132" width="8.1640625" style="157" customWidth="1"/>
    <col min="5133" max="5133" width="10.83203125" style="157" bestFit="1" customWidth="1"/>
    <col min="5134" max="5134" width="12.1640625" style="157" bestFit="1" customWidth="1"/>
    <col min="5135" max="5135" width="9.1640625" style="157" customWidth="1"/>
    <col min="5136" max="5136" width="10.83203125" style="157" bestFit="1" customWidth="1"/>
    <col min="5137" max="5137" width="12.1640625" style="157" bestFit="1" customWidth="1"/>
    <col min="5138" max="5138" width="8" style="157" customWidth="1"/>
    <col min="5139" max="5139" width="10.83203125" style="157" bestFit="1" customWidth="1"/>
    <col min="5140" max="5140" width="12.1640625" style="157" bestFit="1" customWidth="1"/>
    <col min="5141" max="5141" width="8.1640625" style="157" bestFit="1" customWidth="1"/>
    <col min="5142" max="5142" width="10.83203125" style="157" bestFit="1" customWidth="1"/>
    <col min="5143" max="5143" width="12.1640625" style="157" bestFit="1" customWidth="1"/>
    <col min="5144" max="5144" width="18.1640625" style="157" bestFit="1" customWidth="1"/>
    <col min="5145" max="5145" width="10.83203125" style="157" bestFit="1" customWidth="1"/>
    <col min="5146" max="5381" width="8.83203125" style="157"/>
    <col min="5382" max="5382" width="38.1640625" style="157" customWidth="1"/>
    <col min="5383" max="5383" width="23.44140625" style="157" bestFit="1" customWidth="1"/>
    <col min="5384" max="5385" width="9.1640625" style="157" customWidth="1"/>
    <col min="5386" max="5386" width="11.1640625" style="157" bestFit="1" customWidth="1"/>
    <col min="5387" max="5387" width="14.44140625" style="157" bestFit="1" customWidth="1"/>
    <col min="5388" max="5388" width="8.1640625" style="157" customWidth="1"/>
    <col min="5389" max="5389" width="10.83203125" style="157" bestFit="1" customWidth="1"/>
    <col min="5390" max="5390" width="12.1640625" style="157" bestFit="1" customWidth="1"/>
    <col min="5391" max="5391" width="9.1640625" style="157" customWidth="1"/>
    <col min="5392" max="5392" width="10.83203125" style="157" bestFit="1" customWidth="1"/>
    <col min="5393" max="5393" width="12.1640625" style="157" bestFit="1" customWidth="1"/>
    <col min="5394" max="5394" width="8" style="157" customWidth="1"/>
    <col min="5395" max="5395" width="10.83203125" style="157" bestFit="1" customWidth="1"/>
    <col min="5396" max="5396" width="12.1640625" style="157" bestFit="1" customWidth="1"/>
    <col min="5397" max="5397" width="8.1640625" style="157" bestFit="1" customWidth="1"/>
    <col min="5398" max="5398" width="10.83203125" style="157" bestFit="1" customWidth="1"/>
    <col min="5399" max="5399" width="12.1640625" style="157" bestFit="1" customWidth="1"/>
    <col min="5400" max="5400" width="18.1640625" style="157" bestFit="1" customWidth="1"/>
    <col min="5401" max="5401" width="10.83203125" style="157" bestFit="1" customWidth="1"/>
    <col min="5402" max="5637" width="8.83203125" style="157"/>
    <col min="5638" max="5638" width="38.1640625" style="157" customWidth="1"/>
    <col min="5639" max="5639" width="23.44140625" style="157" bestFit="1" customWidth="1"/>
    <col min="5640" max="5641" width="9.1640625" style="157" customWidth="1"/>
    <col min="5642" max="5642" width="11.1640625" style="157" bestFit="1" customWidth="1"/>
    <col min="5643" max="5643" width="14.44140625" style="157" bestFit="1" customWidth="1"/>
    <col min="5644" max="5644" width="8.1640625" style="157" customWidth="1"/>
    <col min="5645" max="5645" width="10.83203125" style="157" bestFit="1" customWidth="1"/>
    <col min="5646" max="5646" width="12.1640625" style="157" bestFit="1" customWidth="1"/>
    <col min="5647" max="5647" width="9.1640625" style="157" customWidth="1"/>
    <col min="5648" max="5648" width="10.83203125" style="157" bestFit="1" customWidth="1"/>
    <col min="5649" max="5649" width="12.1640625" style="157" bestFit="1" customWidth="1"/>
    <col min="5650" max="5650" width="8" style="157" customWidth="1"/>
    <col min="5651" max="5651" width="10.83203125" style="157" bestFit="1" customWidth="1"/>
    <col min="5652" max="5652" width="12.1640625" style="157" bestFit="1" customWidth="1"/>
    <col min="5653" max="5653" width="8.1640625" style="157" bestFit="1" customWidth="1"/>
    <col min="5654" max="5654" width="10.83203125" style="157" bestFit="1" customWidth="1"/>
    <col min="5655" max="5655" width="12.1640625" style="157" bestFit="1" customWidth="1"/>
    <col min="5656" max="5656" width="18.1640625" style="157" bestFit="1" customWidth="1"/>
    <col min="5657" max="5657" width="10.83203125" style="157" bestFit="1" customWidth="1"/>
    <col min="5658" max="5893" width="8.83203125" style="157"/>
    <col min="5894" max="5894" width="38.1640625" style="157" customWidth="1"/>
    <col min="5895" max="5895" width="23.44140625" style="157" bestFit="1" customWidth="1"/>
    <col min="5896" max="5897" width="9.1640625" style="157" customWidth="1"/>
    <col min="5898" max="5898" width="11.1640625" style="157" bestFit="1" customWidth="1"/>
    <col min="5899" max="5899" width="14.44140625" style="157" bestFit="1" customWidth="1"/>
    <col min="5900" max="5900" width="8.1640625" style="157" customWidth="1"/>
    <col min="5901" max="5901" width="10.83203125" style="157" bestFit="1" customWidth="1"/>
    <col min="5902" max="5902" width="12.1640625" style="157" bestFit="1" customWidth="1"/>
    <col min="5903" max="5903" width="9.1640625" style="157" customWidth="1"/>
    <col min="5904" max="5904" width="10.83203125" style="157" bestFit="1" customWidth="1"/>
    <col min="5905" max="5905" width="12.1640625" style="157" bestFit="1" customWidth="1"/>
    <col min="5906" max="5906" width="8" style="157" customWidth="1"/>
    <col min="5907" max="5907" width="10.83203125" style="157" bestFit="1" customWidth="1"/>
    <col min="5908" max="5908" width="12.1640625" style="157" bestFit="1" customWidth="1"/>
    <col min="5909" max="5909" width="8.1640625" style="157" bestFit="1" customWidth="1"/>
    <col min="5910" max="5910" width="10.83203125" style="157" bestFit="1" customWidth="1"/>
    <col min="5911" max="5911" width="12.1640625" style="157" bestFit="1" customWidth="1"/>
    <col min="5912" max="5912" width="18.1640625" style="157" bestFit="1" customWidth="1"/>
    <col min="5913" max="5913" width="10.83203125" style="157" bestFit="1" customWidth="1"/>
    <col min="5914" max="6149" width="8.83203125" style="157"/>
    <col min="6150" max="6150" width="38.1640625" style="157" customWidth="1"/>
    <col min="6151" max="6151" width="23.44140625" style="157" bestFit="1" customWidth="1"/>
    <col min="6152" max="6153" width="9.1640625" style="157" customWidth="1"/>
    <col min="6154" max="6154" width="11.1640625" style="157" bestFit="1" customWidth="1"/>
    <col min="6155" max="6155" width="14.44140625" style="157" bestFit="1" customWidth="1"/>
    <col min="6156" max="6156" width="8.1640625" style="157" customWidth="1"/>
    <col min="6157" max="6157" width="10.83203125" style="157" bestFit="1" customWidth="1"/>
    <col min="6158" max="6158" width="12.1640625" style="157" bestFit="1" customWidth="1"/>
    <col min="6159" max="6159" width="9.1640625" style="157" customWidth="1"/>
    <col min="6160" max="6160" width="10.83203125" style="157" bestFit="1" customWidth="1"/>
    <col min="6161" max="6161" width="12.1640625" style="157" bestFit="1" customWidth="1"/>
    <col min="6162" max="6162" width="8" style="157" customWidth="1"/>
    <col min="6163" max="6163" width="10.83203125" style="157" bestFit="1" customWidth="1"/>
    <col min="6164" max="6164" width="12.1640625" style="157" bestFit="1" customWidth="1"/>
    <col min="6165" max="6165" width="8.1640625" style="157" bestFit="1" customWidth="1"/>
    <col min="6166" max="6166" width="10.83203125" style="157" bestFit="1" customWidth="1"/>
    <col min="6167" max="6167" width="12.1640625" style="157" bestFit="1" customWidth="1"/>
    <col min="6168" max="6168" width="18.1640625" style="157" bestFit="1" customWidth="1"/>
    <col min="6169" max="6169" width="10.83203125" style="157" bestFit="1" customWidth="1"/>
    <col min="6170" max="6405" width="8.83203125" style="157"/>
    <col min="6406" max="6406" width="38.1640625" style="157" customWidth="1"/>
    <col min="6407" max="6407" width="23.44140625" style="157" bestFit="1" customWidth="1"/>
    <col min="6408" max="6409" width="9.1640625" style="157" customWidth="1"/>
    <col min="6410" max="6410" width="11.1640625" style="157" bestFit="1" customWidth="1"/>
    <col min="6411" max="6411" width="14.44140625" style="157" bestFit="1" customWidth="1"/>
    <col min="6412" max="6412" width="8.1640625" style="157" customWidth="1"/>
    <col min="6413" max="6413" width="10.83203125" style="157" bestFit="1" customWidth="1"/>
    <col min="6414" max="6414" width="12.1640625" style="157" bestFit="1" customWidth="1"/>
    <col min="6415" max="6415" width="9.1640625" style="157" customWidth="1"/>
    <col min="6416" max="6416" width="10.83203125" style="157" bestFit="1" customWidth="1"/>
    <col min="6417" max="6417" width="12.1640625" style="157" bestFit="1" customWidth="1"/>
    <col min="6418" max="6418" width="8" style="157" customWidth="1"/>
    <col min="6419" max="6419" width="10.83203125" style="157" bestFit="1" customWidth="1"/>
    <col min="6420" max="6420" width="12.1640625" style="157" bestFit="1" customWidth="1"/>
    <col min="6421" max="6421" width="8.1640625" style="157" bestFit="1" customWidth="1"/>
    <col min="6422" max="6422" width="10.83203125" style="157" bestFit="1" customWidth="1"/>
    <col min="6423" max="6423" width="12.1640625" style="157" bestFit="1" customWidth="1"/>
    <col min="6424" max="6424" width="18.1640625" style="157" bestFit="1" customWidth="1"/>
    <col min="6425" max="6425" width="10.83203125" style="157" bestFit="1" customWidth="1"/>
    <col min="6426" max="6661" width="8.83203125" style="157"/>
    <col min="6662" max="6662" width="38.1640625" style="157" customWidth="1"/>
    <col min="6663" max="6663" width="23.44140625" style="157" bestFit="1" customWidth="1"/>
    <col min="6664" max="6665" width="9.1640625" style="157" customWidth="1"/>
    <col min="6666" max="6666" width="11.1640625" style="157" bestFit="1" customWidth="1"/>
    <col min="6667" max="6667" width="14.44140625" style="157" bestFit="1" customWidth="1"/>
    <col min="6668" max="6668" width="8.1640625" style="157" customWidth="1"/>
    <col min="6669" max="6669" width="10.83203125" style="157" bestFit="1" customWidth="1"/>
    <col min="6670" max="6670" width="12.1640625" style="157" bestFit="1" customWidth="1"/>
    <col min="6671" max="6671" width="9.1640625" style="157" customWidth="1"/>
    <col min="6672" max="6672" width="10.83203125" style="157" bestFit="1" customWidth="1"/>
    <col min="6673" max="6673" width="12.1640625" style="157" bestFit="1" customWidth="1"/>
    <col min="6674" max="6674" width="8" style="157" customWidth="1"/>
    <col min="6675" max="6675" width="10.83203125" style="157" bestFit="1" customWidth="1"/>
    <col min="6676" max="6676" width="12.1640625" style="157" bestFit="1" customWidth="1"/>
    <col min="6677" max="6677" width="8.1640625" style="157" bestFit="1" customWidth="1"/>
    <col min="6678" max="6678" width="10.83203125" style="157" bestFit="1" customWidth="1"/>
    <col min="6679" max="6679" width="12.1640625" style="157" bestFit="1" customWidth="1"/>
    <col min="6680" max="6680" width="18.1640625" style="157" bestFit="1" customWidth="1"/>
    <col min="6681" max="6681" width="10.83203125" style="157" bestFit="1" customWidth="1"/>
    <col min="6682" max="6917" width="8.83203125" style="157"/>
    <col min="6918" max="6918" width="38.1640625" style="157" customWidth="1"/>
    <col min="6919" max="6919" width="23.44140625" style="157" bestFit="1" customWidth="1"/>
    <col min="6920" max="6921" width="9.1640625" style="157" customWidth="1"/>
    <col min="6922" max="6922" width="11.1640625" style="157" bestFit="1" customWidth="1"/>
    <col min="6923" max="6923" width="14.44140625" style="157" bestFit="1" customWidth="1"/>
    <col min="6924" max="6924" width="8.1640625" style="157" customWidth="1"/>
    <col min="6925" max="6925" width="10.83203125" style="157" bestFit="1" customWidth="1"/>
    <col min="6926" max="6926" width="12.1640625" style="157" bestFit="1" customWidth="1"/>
    <col min="6927" max="6927" width="9.1640625" style="157" customWidth="1"/>
    <col min="6928" max="6928" width="10.83203125" style="157" bestFit="1" customWidth="1"/>
    <col min="6929" max="6929" width="12.1640625" style="157" bestFit="1" customWidth="1"/>
    <col min="6930" max="6930" width="8" style="157" customWidth="1"/>
    <col min="6931" max="6931" width="10.83203125" style="157" bestFit="1" customWidth="1"/>
    <col min="6932" max="6932" width="12.1640625" style="157" bestFit="1" customWidth="1"/>
    <col min="6933" max="6933" width="8.1640625" style="157" bestFit="1" customWidth="1"/>
    <col min="6934" max="6934" width="10.83203125" style="157" bestFit="1" customWidth="1"/>
    <col min="6935" max="6935" width="12.1640625" style="157" bestFit="1" customWidth="1"/>
    <col min="6936" max="6936" width="18.1640625" style="157" bestFit="1" customWidth="1"/>
    <col min="6937" max="6937" width="10.83203125" style="157" bestFit="1" customWidth="1"/>
    <col min="6938" max="7173" width="8.83203125" style="157"/>
    <col min="7174" max="7174" width="38.1640625" style="157" customWidth="1"/>
    <col min="7175" max="7175" width="23.44140625" style="157" bestFit="1" customWidth="1"/>
    <col min="7176" max="7177" width="9.1640625" style="157" customWidth="1"/>
    <col min="7178" max="7178" width="11.1640625" style="157" bestFit="1" customWidth="1"/>
    <col min="7179" max="7179" width="14.44140625" style="157" bestFit="1" customWidth="1"/>
    <col min="7180" max="7180" width="8.1640625" style="157" customWidth="1"/>
    <col min="7181" max="7181" width="10.83203125" style="157" bestFit="1" customWidth="1"/>
    <col min="7182" max="7182" width="12.1640625" style="157" bestFit="1" customWidth="1"/>
    <col min="7183" max="7183" width="9.1640625" style="157" customWidth="1"/>
    <col min="7184" max="7184" width="10.83203125" style="157" bestFit="1" customWidth="1"/>
    <col min="7185" max="7185" width="12.1640625" style="157" bestFit="1" customWidth="1"/>
    <col min="7186" max="7186" width="8" style="157" customWidth="1"/>
    <col min="7187" max="7187" width="10.83203125" style="157" bestFit="1" customWidth="1"/>
    <col min="7188" max="7188" width="12.1640625" style="157" bestFit="1" customWidth="1"/>
    <col min="7189" max="7189" width="8.1640625" style="157" bestFit="1" customWidth="1"/>
    <col min="7190" max="7190" width="10.83203125" style="157" bestFit="1" customWidth="1"/>
    <col min="7191" max="7191" width="12.1640625" style="157" bestFit="1" customWidth="1"/>
    <col min="7192" max="7192" width="18.1640625" style="157" bestFit="1" customWidth="1"/>
    <col min="7193" max="7193" width="10.83203125" style="157" bestFit="1" customWidth="1"/>
    <col min="7194" max="7429" width="8.83203125" style="157"/>
    <col min="7430" max="7430" width="38.1640625" style="157" customWidth="1"/>
    <col min="7431" max="7431" width="23.44140625" style="157" bestFit="1" customWidth="1"/>
    <col min="7432" max="7433" width="9.1640625" style="157" customWidth="1"/>
    <col min="7434" max="7434" width="11.1640625" style="157" bestFit="1" customWidth="1"/>
    <col min="7435" max="7435" width="14.44140625" style="157" bestFit="1" customWidth="1"/>
    <col min="7436" max="7436" width="8.1640625" style="157" customWidth="1"/>
    <col min="7437" max="7437" width="10.83203125" style="157" bestFit="1" customWidth="1"/>
    <col min="7438" max="7438" width="12.1640625" style="157" bestFit="1" customWidth="1"/>
    <col min="7439" max="7439" width="9.1640625" style="157" customWidth="1"/>
    <col min="7440" max="7440" width="10.83203125" style="157" bestFit="1" customWidth="1"/>
    <col min="7441" max="7441" width="12.1640625" style="157" bestFit="1" customWidth="1"/>
    <col min="7442" max="7442" width="8" style="157" customWidth="1"/>
    <col min="7443" max="7443" width="10.83203125" style="157" bestFit="1" customWidth="1"/>
    <col min="7444" max="7444" width="12.1640625" style="157" bestFit="1" customWidth="1"/>
    <col min="7445" max="7445" width="8.1640625" style="157" bestFit="1" customWidth="1"/>
    <col min="7446" max="7446" width="10.83203125" style="157" bestFit="1" customWidth="1"/>
    <col min="7447" max="7447" width="12.1640625" style="157" bestFit="1" customWidth="1"/>
    <col min="7448" max="7448" width="18.1640625" style="157" bestFit="1" customWidth="1"/>
    <col min="7449" max="7449" width="10.83203125" style="157" bestFit="1" customWidth="1"/>
    <col min="7450" max="7685" width="8.83203125" style="157"/>
    <col min="7686" max="7686" width="38.1640625" style="157" customWidth="1"/>
    <col min="7687" max="7687" width="23.44140625" style="157" bestFit="1" customWidth="1"/>
    <col min="7688" max="7689" width="9.1640625" style="157" customWidth="1"/>
    <col min="7690" max="7690" width="11.1640625" style="157" bestFit="1" customWidth="1"/>
    <col min="7691" max="7691" width="14.44140625" style="157" bestFit="1" customWidth="1"/>
    <col min="7692" max="7692" width="8.1640625" style="157" customWidth="1"/>
    <col min="7693" max="7693" width="10.83203125" style="157" bestFit="1" customWidth="1"/>
    <col min="7694" max="7694" width="12.1640625" style="157" bestFit="1" customWidth="1"/>
    <col min="7695" max="7695" width="9.1640625" style="157" customWidth="1"/>
    <col min="7696" max="7696" width="10.83203125" style="157" bestFit="1" customWidth="1"/>
    <col min="7697" max="7697" width="12.1640625" style="157" bestFit="1" customWidth="1"/>
    <col min="7698" max="7698" width="8" style="157" customWidth="1"/>
    <col min="7699" max="7699" width="10.83203125" style="157" bestFit="1" customWidth="1"/>
    <col min="7700" max="7700" width="12.1640625" style="157" bestFit="1" customWidth="1"/>
    <col min="7701" max="7701" width="8.1640625" style="157" bestFit="1" customWidth="1"/>
    <col min="7702" max="7702" width="10.83203125" style="157" bestFit="1" customWidth="1"/>
    <col min="7703" max="7703" width="12.1640625" style="157" bestFit="1" customWidth="1"/>
    <col min="7704" max="7704" width="18.1640625" style="157" bestFit="1" customWidth="1"/>
    <col min="7705" max="7705" width="10.83203125" style="157" bestFit="1" customWidth="1"/>
    <col min="7706" max="7941" width="8.83203125" style="157"/>
    <col min="7942" max="7942" width="38.1640625" style="157" customWidth="1"/>
    <col min="7943" max="7943" width="23.44140625" style="157" bestFit="1" customWidth="1"/>
    <col min="7944" max="7945" width="9.1640625" style="157" customWidth="1"/>
    <col min="7946" max="7946" width="11.1640625" style="157" bestFit="1" customWidth="1"/>
    <col min="7947" max="7947" width="14.44140625" style="157" bestFit="1" customWidth="1"/>
    <col min="7948" max="7948" width="8.1640625" style="157" customWidth="1"/>
    <col min="7949" max="7949" width="10.83203125" style="157" bestFit="1" customWidth="1"/>
    <col min="7950" max="7950" width="12.1640625" style="157" bestFit="1" customWidth="1"/>
    <col min="7951" max="7951" width="9.1640625" style="157" customWidth="1"/>
    <col min="7952" max="7952" width="10.83203125" style="157" bestFit="1" customWidth="1"/>
    <col min="7953" max="7953" width="12.1640625" style="157" bestFit="1" customWidth="1"/>
    <col min="7954" max="7954" width="8" style="157" customWidth="1"/>
    <col min="7955" max="7955" width="10.83203125" style="157" bestFit="1" customWidth="1"/>
    <col min="7956" max="7956" width="12.1640625" style="157" bestFit="1" customWidth="1"/>
    <col min="7957" max="7957" width="8.1640625" style="157" bestFit="1" customWidth="1"/>
    <col min="7958" max="7958" width="10.83203125" style="157" bestFit="1" customWidth="1"/>
    <col min="7959" max="7959" width="12.1640625" style="157" bestFit="1" customWidth="1"/>
    <col min="7960" max="7960" width="18.1640625" style="157" bestFit="1" customWidth="1"/>
    <col min="7961" max="7961" width="10.83203125" style="157" bestFit="1" customWidth="1"/>
    <col min="7962" max="8197" width="8.83203125" style="157"/>
    <col min="8198" max="8198" width="38.1640625" style="157" customWidth="1"/>
    <col min="8199" max="8199" width="23.44140625" style="157" bestFit="1" customWidth="1"/>
    <col min="8200" max="8201" width="9.1640625" style="157" customWidth="1"/>
    <col min="8202" max="8202" width="11.1640625" style="157" bestFit="1" customWidth="1"/>
    <col min="8203" max="8203" width="14.44140625" style="157" bestFit="1" customWidth="1"/>
    <col min="8204" max="8204" width="8.1640625" style="157" customWidth="1"/>
    <col min="8205" max="8205" width="10.83203125" style="157" bestFit="1" customWidth="1"/>
    <col min="8206" max="8206" width="12.1640625" style="157" bestFit="1" customWidth="1"/>
    <col min="8207" max="8207" width="9.1640625" style="157" customWidth="1"/>
    <col min="8208" max="8208" width="10.83203125" style="157" bestFit="1" customWidth="1"/>
    <col min="8209" max="8209" width="12.1640625" style="157" bestFit="1" customWidth="1"/>
    <col min="8210" max="8210" width="8" style="157" customWidth="1"/>
    <col min="8211" max="8211" width="10.83203125" style="157" bestFit="1" customWidth="1"/>
    <col min="8212" max="8212" width="12.1640625" style="157" bestFit="1" customWidth="1"/>
    <col min="8213" max="8213" width="8.1640625" style="157" bestFit="1" customWidth="1"/>
    <col min="8214" max="8214" width="10.83203125" style="157" bestFit="1" customWidth="1"/>
    <col min="8215" max="8215" width="12.1640625" style="157" bestFit="1" customWidth="1"/>
    <col min="8216" max="8216" width="18.1640625" style="157" bestFit="1" customWidth="1"/>
    <col min="8217" max="8217" width="10.83203125" style="157" bestFit="1" customWidth="1"/>
    <col min="8218" max="8453" width="8.83203125" style="157"/>
    <col min="8454" max="8454" width="38.1640625" style="157" customWidth="1"/>
    <col min="8455" max="8455" width="23.44140625" style="157" bestFit="1" customWidth="1"/>
    <col min="8456" max="8457" width="9.1640625" style="157" customWidth="1"/>
    <col min="8458" max="8458" width="11.1640625" style="157" bestFit="1" customWidth="1"/>
    <col min="8459" max="8459" width="14.44140625" style="157" bestFit="1" customWidth="1"/>
    <col min="8460" max="8460" width="8.1640625" style="157" customWidth="1"/>
    <col min="8461" max="8461" width="10.83203125" style="157" bestFit="1" customWidth="1"/>
    <col min="8462" max="8462" width="12.1640625" style="157" bestFit="1" customWidth="1"/>
    <col min="8463" max="8463" width="9.1640625" style="157" customWidth="1"/>
    <col min="8464" max="8464" width="10.83203125" style="157" bestFit="1" customWidth="1"/>
    <col min="8465" max="8465" width="12.1640625" style="157" bestFit="1" customWidth="1"/>
    <col min="8466" max="8466" width="8" style="157" customWidth="1"/>
    <col min="8467" max="8467" width="10.83203125" style="157" bestFit="1" customWidth="1"/>
    <col min="8468" max="8468" width="12.1640625" style="157" bestFit="1" customWidth="1"/>
    <col min="8469" max="8469" width="8.1640625" style="157" bestFit="1" customWidth="1"/>
    <col min="8470" max="8470" width="10.83203125" style="157" bestFit="1" customWidth="1"/>
    <col min="8471" max="8471" width="12.1640625" style="157" bestFit="1" customWidth="1"/>
    <col min="8472" max="8472" width="18.1640625" style="157" bestFit="1" customWidth="1"/>
    <col min="8473" max="8473" width="10.83203125" style="157" bestFit="1" customWidth="1"/>
    <col min="8474" max="8709" width="8.83203125" style="157"/>
    <col min="8710" max="8710" width="38.1640625" style="157" customWidth="1"/>
    <col min="8711" max="8711" width="23.44140625" style="157" bestFit="1" customWidth="1"/>
    <col min="8712" max="8713" width="9.1640625" style="157" customWidth="1"/>
    <col min="8714" max="8714" width="11.1640625" style="157" bestFit="1" customWidth="1"/>
    <col min="8715" max="8715" width="14.44140625" style="157" bestFit="1" customWidth="1"/>
    <col min="8716" max="8716" width="8.1640625" style="157" customWidth="1"/>
    <col min="8717" max="8717" width="10.83203125" style="157" bestFit="1" customWidth="1"/>
    <col min="8718" max="8718" width="12.1640625" style="157" bestFit="1" customWidth="1"/>
    <col min="8719" max="8719" width="9.1640625" style="157" customWidth="1"/>
    <col min="8720" max="8720" width="10.83203125" style="157" bestFit="1" customWidth="1"/>
    <col min="8721" max="8721" width="12.1640625" style="157" bestFit="1" customWidth="1"/>
    <col min="8722" max="8722" width="8" style="157" customWidth="1"/>
    <col min="8723" max="8723" width="10.83203125" style="157" bestFit="1" customWidth="1"/>
    <col min="8724" max="8724" width="12.1640625" style="157" bestFit="1" customWidth="1"/>
    <col min="8725" max="8725" width="8.1640625" style="157" bestFit="1" customWidth="1"/>
    <col min="8726" max="8726" width="10.83203125" style="157" bestFit="1" customWidth="1"/>
    <col min="8727" max="8727" width="12.1640625" style="157" bestFit="1" customWidth="1"/>
    <col min="8728" max="8728" width="18.1640625" style="157" bestFit="1" customWidth="1"/>
    <col min="8729" max="8729" width="10.83203125" style="157" bestFit="1" customWidth="1"/>
    <col min="8730" max="8965" width="8.83203125" style="157"/>
    <col min="8966" max="8966" width="38.1640625" style="157" customWidth="1"/>
    <col min="8967" max="8967" width="23.44140625" style="157" bestFit="1" customWidth="1"/>
    <col min="8968" max="8969" width="9.1640625" style="157" customWidth="1"/>
    <col min="8970" max="8970" width="11.1640625" style="157" bestFit="1" customWidth="1"/>
    <col min="8971" max="8971" width="14.44140625" style="157" bestFit="1" customWidth="1"/>
    <col min="8972" max="8972" width="8.1640625" style="157" customWidth="1"/>
    <col min="8973" max="8973" width="10.83203125" style="157" bestFit="1" customWidth="1"/>
    <col min="8974" max="8974" width="12.1640625" style="157" bestFit="1" customWidth="1"/>
    <col min="8975" max="8975" width="9.1640625" style="157" customWidth="1"/>
    <col min="8976" max="8976" width="10.83203125" style="157" bestFit="1" customWidth="1"/>
    <col min="8977" max="8977" width="12.1640625" style="157" bestFit="1" customWidth="1"/>
    <col min="8978" max="8978" width="8" style="157" customWidth="1"/>
    <col min="8979" max="8979" width="10.83203125" style="157" bestFit="1" customWidth="1"/>
    <col min="8980" max="8980" width="12.1640625" style="157" bestFit="1" customWidth="1"/>
    <col min="8981" max="8981" width="8.1640625" style="157" bestFit="1" customWidth="1"/>
    <col min="8982" max="8982" width="10.83203125" style="157" bestFit="1" customWidth="1"/>
    <col min="8983" max="8983" width="12.1640625" style="157" bestFit="1" customWidth="1"/>
    <col min="8984" max="8984" width="18.1640625" style="157" bestFit="1" customWidth="1"/>
    <col min="8985" max="8985" width="10.83203125" style="157" bestFit="1" customWidth="1"/>
    <col min="8986" max="9221" width="8.83203125" style="157"/>
    <col min="9222" max="9222" width="38.1640625" style="157" customWidth="1"/>
    <col min="9223" max="9223" width="23.44140625" style="157" bestFit="1" customWidth="1"/>
    <col min="9224" max="9225" width="9.1640625" style="157" customWidth="1"/>
    <col min="9226" max="9226" width="11.1640625" style="157" bestFit="1" customWidth="1"/>
    <col min="9227" max="9227" width="14.44140625" style="157" bestFit="1" customWidth="1"/>
    <col min="9228" max="9228" width="8.1640625" style="157" customWidth="1"/>
    <col min="9229" max="9229" width="10.83203125" style="157" bestFit="1" customWidth="1"/>
    <col min="9230" max="9230" width="12.1640625" style="157" bestFit="1" customWidth="1"/>
    <col min="9231" max="9231" width="9.1640625" style="157" customWidth="1"/>
    <col min="9232" max="9232" width="10.83203125" style="157" bestFit="1" customWidth="1"/>
    <col min="9233" max="9233" width="12.1640625" style="157" bestFit="1" customWidth="1"/>
    <col min="9234" max="9234" width="8" style="157" customWidth="1"/>
    <col min="9235" max="9235" width="10.83203125" style="157" bestFit="1" customWidth="1"/>
    <col min="9236" max="9236" width="12.1640625" style="157" bestFit="1" customWidth="1"/>
    <col min="9237" max="9237" width="8.1640625" style="157" bestFit="1" customWidth="1"/>
    <col min="9238" max="9238" width="10.83203125" style="157" bestFit="1" customWidth="1"/>
    <col min="9239" max="9239" width="12.1640625" style="157" bestFit="1" customWidth="1"/>
    <col min="9240" max="9240" width="18.1640625" style="157" bestFit="1" customWidth="1"/>
    <col min="9241" max="9241" width="10.83203125" style="157" bestFit="1" customWidth="1"/>
    <col min="9242" max="9477" width="8.83203125" style="157"/>
    <col min="9478" max="9478" width="38.1640625" style="157" customWidth="1"/>
    <col min="9479" max="9479" width="23.44140625" style="157" bestFit="1" customWidth="1"/>
    <col min="9480" max="9481" width="9.1640625" style="157" customWidth="1"/>
    <col min="9482" max="9482" width="11.1640625" style="157" bestFit="1" customWidth="1"/>
    <col min="9483" max="9483" width="14.44140625" style="157" bestFit="1" customWidth="1"/>
    <col min="9484" max="9484" width="8.1640625" style="157" customWidth="1"/>
    <col min="9485" max="9485" width="10.83203125" style="157" bestFit="1" customWidth="1"/>
    <col min="9486" max="9486" width="12.1640625" style="157" bestFit="1" customWidth="1"/>
    <col min="9487" max="9487" width="9.1640625" style="157" customWidth="1"/>
    <col min="9488" max="9488" width="10.83203125" style="157" bestFit="1" customWidth="1"/>
    <col min="9489" max="9489" width="12.1640625" style="157" bestFit="1" customWidth="1"/>
    <col min="9490" max="9490" width="8" style="157" customWidth="1"/>
    <col min="9491" max="9491" width="10.83203125" style="157" bestFit="1" customWidth="1"/>
    <col min="9492" max="9492" width="12.1640625" style="157" bestFit="1" customWidth="1"/>
    <col min="9493" max="9493" width="8.1640625" style="157" bestFit="1" customWidth="1"/>
    <col min="9494" max="9494" width="10.83203125" style="157" bestFit="1" customWidth="1"/>
    <col min="9495" max="9495" width="12.1640625" style="157" bestFit="1" customWidth="1"/>
    <col min="9496" max="9496" width="18.1640625" style="157" bestFit="1" customWidth="1"/>
    <col min="9497" max="9497" width="10.83203125" style="157" bestFit="1" customWidth="1"/>
    <col min="9498" max="9733" width="8.83203125" style="157"/>
    <col min="9734" max="9734" width="38.1640625" style="157" customWidth="1"/>
    <col min="9735" max="9735" width="23.44140625" style="157" bestFit="1" customWidth="1"/>
    <col min="9736" max="9737" width="9.1640625" style="157" customWidth="1"/>
    <col min="9738" max="9738" width="11.1640625" style="157" bestFit="1" customWidth="1"/>
    <col min="9739" max="9739" width="14.44140625" style="157" bestFit="1" customWidth="1"/>
    <col min="9740" max="9740" width="8.1640625" style="157" customWidth="1"/>
    <col min="9741" max="9741" width="10.83203125" style="157" bestFit="1" customWidth="1"/>
    <col min="9742" max="9742" width="12.1640625" style="157" bestFit="1" customWidth="1"/>
    <col min="9743" max="9743" width="9.1640625" style="157" customWidth="1"/>
    <col min="9744" max="9744" width="10.83203125" style="157" bestFit="1" customWidth="1"/>
    <col min="9745" max="9745" width="12.1640625" style="157" bestFit="1" customWidth="1"/>
    <col min="9746" max="9746" width="8" style="157" customWidth="1"/>
    <col min="9747" max="9747" width="10.83203125" style="157" bestFit="1" customWidth="1"/>
    <col min="9748" max="9748" width="12.1640625" style="157" bestFit="1" customWidth="1"/>
    <col min="9749" max="9749" width="8.1640625" style="157" bestFit="1" customWidth="1"/>
    <col min="9750" max="9750" width="10.83203125" style="157" bestFit="1" customWidth="1"/>
    <col min="9751" max="9751" width="12.1640625" style="157" bestFit="1" customWidth="1"/>
    <col min="9752" max="9752" width="18.1640625" style="157" bestFit="1" customWidth="1"/>
    <col min="9753" max="9753" width="10.83203125" style="157" bestFit="1" customWidth="1"/>
    <col min="9754" max="9989" width="8.83203125" style="157"/>
    <col min="9990" max="9990" width="38.1640625" style="157" customWidth="1"/>
    <col min="9991" max="9991" width="23.44140625" style="157" bestFit="1" customWidth="1"/>
    <col min="9992" max="9993" width="9.1640625" style="157" customWidth="1"/>
    <col min="9994" max="9994" width="11.1640625" style="157" bestFit="1" customWidth="1"/>
    <col min="9995" max="9995" width="14.44140625" style="157" bestFit="1" customWidth="1"/>
    <col min="9996" max="9996" width="8.1640625" style="157" customWidth="1"/>
    <col min="9997" max="9997" width="10.83203125" style="157" bestFit="1" customWidth="1"/>
    <col min="9998" max="9998" width="12.1640625" style="157" bestFit="1" customWidth="1"/>
    <col min="9999" max="9999" width="9.1640625" style="157" customWidth="1"/>
    <col min="10000" max="10000" width="10.83203125" style="157" bestFit="1" customWidth="1"/>
    <col min="10001" max="10001" width="12.1640625" style="157" bestFit="1" customWidth="1"/>
    <col min="10002" max="10002" width="8" style="157" customWidth="1"/>
    <col min="10003" max="10003" width="10.83203125" style="157" bestFit="1" customWidth="1"/>
    <col min="10004" max="10004" width="12.1640625" style="157" bestFit="1" customWidth="1"/>
    <col min="10005" max="10005" width="8.1640625" style="157" bestFit="1" customWidth="1"/>
    <col min="10006" max="10006" width="10.83203125" style="157" bestFit="1" customWidth="1"/>
    <col min="10007" max="10007" width="12.1640625" style="157" bestFit="1" customWidth="1"/>
    <col min="10008" max="10008" width="18.1640625" style="157" bestFit="1" customWidth="1"/>
    <col min="10009" max="10009" width="10.83203125" style="157" bestFit="1" customWidth="1"/>
    <col min="10010" max="10245" width="8.83203125" style="157"/>
    <col min="10246" max="10246" width="38.1640625" style="157" customWidth="1"/>
    <col min="10247" max="10247" width="23.44140625" style="157" bestFit="1" customWidth="1"/>
    <col min="10248" max="10249" width="9.1640625" style="157" customWidth="1"/>
    <col min="10250" max="10250" width="11.1640625" style="157" bestFit="1" customWidth="1"/>
    <col min="10251" max="10251" width="14.44140625" style="157" bestFit="1" customWidth="1"/>
    <col min="10252" max="10252" width="8.1640625" style="157" customWidth="1"/>
    <col min="10253" max="10253" width="10.83203125" style="157" bestFit="1" customWidth="1"/>
    <col min="10254" max="10254" width="12.1640625" style="157" bestFit="1" customWidth="1"/>
    <col min="10255" max="10255" width="9.1640625" style="157" customWidth="1"/>
    <col min="10256" max="10256" width="10.83203125" style="157" bestFit="1" customWidth="1"/>
    <col min="10257" max="10257" width="12.1640625" style="157" bestFit="1" customWidth="1"/>
    <col min="10258" max="10258" width="8" style="157" customWidth="1"/>
    <col min="10259" max="10259" width="10.83203125" style="157" bestFit="1" customWidth="1"/>
    <col min="10260" max="10260" width="12.1640625" style="157" bestFit="1" customWidth="1"/>
    <col min="10261" max="10261" width="8.1640625" style="157" bestFit="1" customWidth="1"/>
    <col min="10262" max="10262" width="10.83203125" style="157" bestFit="1" customWidth="1"/>
    <col min="10263" max="10263" width="12.1640625" style="157" bestFit="1" customWidth="1"/>
    <col min="10264" max="10264" width="18.1640625" style="157" bestFit="1" customWidth="1"/>
    <col min="10265" max="10265" width="10.83203125" style="157" bestFit="1" customWidth="1"/>
    <col min="10266" max="10501" width="8.83203125" style="157"/>
    <col min="10502" max="10502" width="38.1640625" style="157" customWidth="1"/>
    <col min="10503" max="10503" width="23.44140625" style="157" bestFit="1" customWidth="1"/>
    <col min="10504" max="10505" width="9.1640625" style="157" customWidth="1"/>
    <col min="10506" max="10506" width="11.1640625" style="157" bestFit="1" customWidth="1"/>
    <col min="10507" max="10507" width="14.44140625" style="157" bestFit="1" customWidth="1"/>
    <col min="10508" max="10508" width="8.1640625" style="157" customWidth="1"/>
    <col min="10509" max="10509" width="10.83203125" style="157" bestFit="1" customWidth="1"/>
    <col min="10510" max="10510" width="12.1640625" style="157" bestFit="1" customWidth="1"/>
    <col min="10511" max="10511" width="9.1640625" style="157" customWidth="1"/>
    <col min="10512" max="10512" width="10.83203125" style="157" bestFit="1" customWidth="1"/>
    <col min="10513" max="10513" width="12.1640625" style="157" bestFit="1" customWidth="1"/>
    <col min="10514" max="10514" width="8" style="157" customWidth="1"/>
    <col min="10515" max="10515" width="10.83203125" style="157" bestFit="1" customWidth="1"/>
    <col min="10516" max="10516" width="12.1640625" style="157" bestFit="1" customWidth="1"/>
    <col min="10517" max="10517" width="8.1640625" style="157" bestFit="1" customWidth="1"/>
    <col min="10518" max="10518" width="10.83203125" style="157" bestFit="1" customWidth="1"/>
    <col min="10519" max="10519" width="12.1640625" style="157" bestFit="1" customWidth="1"/>
    <col min="10520" max="10520" width="18.1640625" style="157" bestFit="1" customWidth="1"/>
    <col min="10521" max="10521" width="10.83203125" style="157" bestFit="1" customWidth="1"/>
    <col min="10522" max="10757" width="8.83203125" style="157"/>
    <col min="10758" max="10758" width="38.1640625" style="157" customWidth="1"/>
    <col min="10759" max="10759" width="23.44140625" style="157" bestFit="1" customWidth="1"/>
    <col min="10760" max="10761" width="9.1640625" style="157" customWidth="1"/>
    <col min="10762" max="10762" width="11.1640625" style="157" bestFit="1" customWidth="1"/>
    <col min="10763" max="10763" width="14.44140625" style="157" bestFit="1" customWidth="1"/>
    <col min="10764" max="10764" width="8.1640625" style="157" customWidth="1"/>
    <col min="10765" max="10765" width="10.83203125" style="157" bestFit="1" customWidth="1"/>
    <col min="10766" max="10766" width="12.1640625" style="157" bestFit="1" customWidth="1"/>
    <col min="10767" max="10767" width="9.1640625" style="157" customWidth="1"/>
    <col min="10768" max="10768" width="10.83203125" style="157" bestFit="1" customWidth="1"/>
    <col min="10769" max="10769" width="12.1640625" style="157" bestFit="1" customWidth="1"/>
    <col min="10770" max="10770" width="8" style="157" customWidth="1"/>
    <col min="10771" max="10771" width="10.83203125" style="157" bestFit="1" customWidth="1"/>
    <col min="10772" max="10772" width="12.1640625" style="157" bestFit="1" customWidth="1"/>
    <col min="10773" max="10773" width="8.1640625" style="157" bestFit="1" customWidth="1"/>
    <col min="10774" max="10774" width="10.83203125" style="157" bestFit="1" customWidth="1"/>
    <col min="10775" max="10775" width="12.1640625" style="157" bestFit="1" customWidth="1"/>
    <col min="10776" max="10776" width="18.1640625" style="157" bestFit="1" customWidth="1"/>
    <col min="10777" max="10777" width="10.83203125" style="157" bestFit="1" customWidth="1"/>
    <col min="10778" max="11013" width="8.83203125" style="157"/>
    <col min="11014" max="11014" width="38.1640625" style="157" customWidth="1"/>
    <col min="11015" max="11015" width="23.44140625" style="157" bestFit="1" customWidth="1"/>
    <col min="11016" max="11017" width="9.1640625" style="157" customWidth="1"/>
    <col min="11018" max="11018" width="11.1640625" style="157" bestFit="1" customWidth="1"/>
    <col min="11019" max="11019" width="14.44140625" style="157" bestFit="1" customWidth="1"/>
    <col min="11020" max="11020" width="8.1640625" style="157" customWidth="1"/>
    <col min="11021" max="11021" width="10.83203125" style="157" bestFit="1" customWidth="1"/>
    <col min="11022" max="11022" width="12.1640625" style="157" bestFit="1" customWidth="1"/>
    <col min="11023" max="11023" width="9.1640625" style="157" customWidth="1"/>
    <col min="11024" max="11024" width="10.83203125" style="157" bestFit="1" customWidth="1"/>
    <col min="11025" max="11025" width="12.1640625" style="157" bestFit="1" customWidth="1"/>
    <col min="11026" max="11026" width="8" style="157" customWidth="1"/>
    <col min="11027" max="11027" width="10.83203125" style="157" bestFit="1" customWidth="1"/>
    <col min="11028" max="11028" width="12.1640625" style="157" bestFit="1" customWidth="1"/>
    <col min="11029" max="11029" width="8.1640625" style="157" bestFit="1" customWidth="1"/>
    <col min="11030" max="11030" width="10.83203125" style="157" bestFit="1" customWidth="1"/>
    <col min="11031" max="11031" width="12.1640625" style="157" bestFit="1" customWidth="1"/>
    <col min="11032" max="11032" width="18.1640625" style="157" bestFit="1" customWidth="1"/>
    <col min="11033" max="11033" width="10.83203125" style="157" bestFit="1" customWidth="1"/>
    <col min="11034" max="11269" width="8.83203125" style="157"/>
    <col min="11270" max="11270" width="38.1640625" style="157" customWidth="1"/>
    <col min="11271" max="11271" width="23.44140625" style="157" bestFit="1" customWidth="1"/>
    <col min="11272" max="11273" width="9.1640625" style="157" customWidth="1"/>
    <col min="11274" max="11274" width="11.1640625" style="157" bestFit="1" customWidth="1"/>
    <col min="11275" max="11275" width="14.44140625" style="157" bestFit="1" customWidth="1"/>
    <col min="11276" max="11276" width="8.1640625" style="157" customWidth="1"/>
    <col min="11277" max="11277" width="10.83203125" style="157" bestFit="1" customWidth="1"/>
    <col min="11278" max="11278" width="12.1640625" style="157" bestFit="1" customWidth="1"/>
    <col min="11279" max="11279" width="9.1640625" style="157" customWidth="1"/>
    <col min="11280" max="11280" width="10.83203125" style="157" bestFit="1" customWidth="1"/>
    <col min="11281" max="11281" width="12.1640625" style="157" bestFit="1" customWidth="1"/>
    <col min="11282" max="11282" width="8" style="157" customWidth="1"/>
    <col min="11283" max="11283" width="10.83203125" style="157" bestFit="1" customWidth="1"/>
    <col min="11284" max="11284" width="12.1640625" style="157" bestFit="1" customWidth="1"/>
    <col min="11285" max="11285" width="8.1640625" style="157" bestFit="1" customWidth="1"/>
    <col min="11286" max="11286" width="10.83203125" style="157" bestFit="1" customWidth="1"/>
    <col min="11287" max="11287" width="12.1640625" style="157" bestFit="1" customWidth="1"/>
    <col min="11288" max="11288" width="18.1640625" style="157" bestFit="1" customWidth="1"/>
    <col min="11289" max="11289" width="10.83203125" style="157" bestFit="1" customWidth="1"/>
    <col min="11290" max="11525" width="8.83203125" style="157"/>
    <col min="11526" max="11526" width="38.1640625" style="157" customWidth="1"/>
    <col min="11527" max="11527" width="23.44140625" style="157" bestFit="1" customWidth="1"/>
    <col min="11528" max="11529" width="9.1640625" style="157" customWidth="1"/>
    <col min="11530" max="11530" width="11.1640625" style="157" bestFit="1" customWidth="1"/>
    <col min="11531" max="11531" width="14.44140625" style="157" bestFit="1" customWidth="1"/>
    <col min="11532" max="11532" width="8.1640625" style="157" customWidth="1"/>
    <col min="11533" max="11533" width="10.83203125" style="157" bestFit="1" customWidth="1"/>
    <col min="11534" max="11534" width="12.1640625" style="157" bestFit="1" customWidth="1"/>
    <col min="11535" max="11535" width="9.1640625" style="157" customWidth="1"/>
    <col min="11536" max="11536" width="10.83203125" style="157" bestFit="1" customWidth="1"/>
    <col min="11537" max="11537" width="12.1640625" style="157" bestFit="1" customWidth="1"/>
    <col min="11538" max="11538" width="8" style="157" customWidth="1"/>
    <col min="11539" max="11539" width="10.83203125" style="157" bestFit="1" customWidth="1"/>
    <col min="11540" max="11540" width="12.1640625" style="157" bestFit="1" customWidth="1"/>
    <col min="11541" max="11541" width="8.1640625" style="157" bestFit="1" customWidth="1"/>
    <col min="11542" max="11542" width="10.83203125" style="157" bestFit="1" customWidth="1"/>
    <col min="11543" max="11543" width="12.1640625" style="157" bestFit="1" customWidth="1"/>
    <col min="11544" max="11544" width="18.1640625" style="157" bestFit="1" customWidth="1"/>
    <col min="11545" max="11545" width="10.83203125" style="157" bestFit="1" customWidth="1"/>
    <col min="11546" max="11781" width="8.83203125" style="157"/>
    <col min="11782" max="11782" width="38.1640625" style="157" customWidth="1"/>
    <col min="11783" max="11783" width="23.44140625" style="157" bestFit="1" customWidth="1"/>
    <col min="11784" max="11785" width="9.1640625" style="157" customWidth="1"/>
    <col min="11786" max="11786" width="11.1640625" style="157" bestFit="1" customWidth="1"/>
    <col min="11787" max="11787" width="14.44140625" style="157" bestFit="1" customWidth="1"/>
    <col min="11788" max="11788" width="8.1640625" style="157" customWidth="1"/>
    <col min="11789" max="11789" width="10.83203125" style="157" bestFit="1" customWidth="1"/>
    <col min="11790" max="11790" width="12.1640625" style="157" bestFit="1" customWidth="1"/>
    <col min="11791" max="11791" width="9.1640625" style="157" customWidth="1"/>
    <col min="11792" max="11792" width="10.83203125" style="157" bestFit="1" customWidth="1"/>
    <col min="11793" max="11793" width="12.1640625" style="157" bestFit="1" customWidth="1"/>
    <col min="11794" max="11794" width="8" style="157" customWidth="1"/>
    <col min="11795" max="11795" width="10.83203125" style="157" bestFit="1" customWidth="1"/>
    <col min="11796" max="11796" width="12.1640625" style="157" bestFit="1" customWidth="1"/>
    <col min="11797" max="11797" width="8.1640625" style="157" bestFit="1" customWidth="1"/>
    <col min="11798" max="11798" width="10.83203125" style="157" bestFit="1" customWidth="1"/>
    <col min="11799" max="11799" width="12.1640625" style="157" bestFit="1" customWidth="1"/>
    <col min="11800" max="11800" width="18.1640625" style="157" bestFit="1" customWidth="1"/>
    <col min="11801" max="11801" width="10.83203125" style="157" bestFit="1" customWidth="1"/>
    <col min="11802" max="12037" width="8.83203125" style="157"/>
    <col min="12038" max="12038" width="38.1640625" style="157" customWidth="1"/>
    <col min="12039" max="12039" width="23.44140625" style="157" bestFit="1" customWidth="1"/>
    <col min="12040" max="12041" width="9.1640625" style="157" customWidth="1"/>
    <col min="12042" max="12042" width="11.1640625" style="157" bestFit="1" customWidth="1"/>
    <col min="12043" max="12043" width="14.44140625" style="157" bestFit="1" customWidth="1"/>
    <col min="12044" max="12044" width="8.1640625" style="157" customWidth="1"/>
    <col min="12045" max="12045" width="10.83203125" style="157" bestFit="1" customWidth="1"/>
    <col min="12046" max="12046" width="12.1640625" style="157" bestFit="1" customWidth="1"/>
    <col min="12047" max="12047" width="9.1640625" style="157" customWidth="1"/>
    <col min="12048" max="12048" width="10.83203125" style="157" bestFit="1" customWidth="1"/>
    <col min="12049" max="12049" width="12.1640625" style="157" bestFit="1" customWidth="1"/>
    <col min="12050" max="12050" width="8" style="157" customWidth="1"/>
    <col min="12051" max="12051" width="10.83203125" style="157" bestFit="1" customWidth="1"/>
    <col min="12052" max="12052" width="12.1640625" style="157" bestFit="1" customWidth="1"/>
    <col min="12053" max="12053" width="8.1640625" style="157" bestFit="1" customWidth="1"/>
    <col min="12054" max="12054" width="10.83203125" style="157" bestFit="1" customWidth="1"/>
    <col min="12055" max="12055" width="12.1640625" style="157" bestFit="1" customWidth="1"/>
    <col min="12056" max="12056" width="18.1640625" style="157" bestFit="1" customWidth="1"/>
    <col min="12057" max="12057" width="10.83203125" style="157" bestFit="1" customWidth="1"/>
    <col min="12058" max="12293" width="8.83203125" style="157"/>
    <col min="12294" max="12294" width="38.1640625" style="157" customWidth="1"/>
    <col min="12295" max="12295" width="23.44140625" style="157" bestFit="1" customWidth="1"/>
    <col min="12296" max="12297" width="9.1640625" style="157" customWidth="1"/>
    <col min="12298" max="12298" width="11.1640625" style="157" bestFit="1" customWidth="1"/>
    <col min="12299" max="12299" width="14.44140625" style="157" bestFit="1" customWidth="1"/>
    <col min="12300" max="12300" width="8.1640625" style="157" customWidth="1"/>
    <col min="12301" max="12301" width="10.83203125" style="157" bestFit="1" customWidth="1"/>
    <col min="12302" max="12302" width="12.1640625" style="157" bestFit="1" customWidth="1"/>
    <col min="12303" max="12303" width="9.1640625" style="157" customWidth="1"/>
    <col min="12304" max="12304" width="10.83203125" style="157" bestFit="1" customWidth="1"/>
    <col min="12305" max="12305" width="12.1640625" style="157" bestFit="1" customWidth="1"/>
    <col min="12306" max="12306" width="8" style="157" customWidth="1"/>
    <col min="12307" max="12307" width="10.83203125" style="157" bestFit="1" customWidth="1"/>
    <col min="12308" max="12308" width="12.1640625" style="157" bestFit="1" customWidth="1"/>
    <col min="12309" max="12309" width="8.1640625" style="157" bestFit="1" customWidth="1"/>
    <col min="12310" max="12310" width="10.83203125" style="157" bestFit="1" customWidth="1"/>
    <col min="12311" max="12311" width="12.1640625" style="157" bestFit="1" customWidth="1"/>
    <col min="12312" max="12312" width="18.1640625" style="157" bestFit="1" customWidth="1"/>
    <col min="12313" max="12313" width="10.83203125" style="157" bestFit="1" customWidth="1"/>
    <col min="12314" max="12549" width="8.83203125" style="157"/>
    <col min="12550" max="12550" width="38.1640625" style="157" customWidth="1"/>
    <col min="12551" max="12551" width="23.44140625" style="157" bestFit="1" customWidth="1"/>
    <col min="12552" max="12553" width="9.1640625" style="157" customWidth="1"/>
    <col min="12554" max="12554" width="11.1640625" style="157" bestFit="1" customWidth="1"/>
    <col min="12555" max="12555" width="14.44140625" style="157" bestFit="1" customWidth="1"/>
    <col min="12556" max="12556" width="8.1640625" style="157" customWidth="1"/>
    <col min="12557" max="12557" width="10.83203125" style="157" bestFit="1" customWidth="1"/>
    <col min="12558" max="12558" width="12.1640625" style="157" bestFit="1" customWidth="1"/>
    <col min="12559" max="12559" width="9.1640625" style="157" customWidth="1"/>
    <col min="12560" max="12560" width="10.83203125" style="157" bestFit="1" customWidth="1"/>
    <col min="12561" max="12561" width="12.1640625" style="157" bestFit="1" customWidth="1"/>
    <col min="12562" max="12562" width="8" style="157" customWidth="1"/>
    <col min="12563" max="12563" width="10.83203125" style="157" bestFit="1" customWidth="1"/>
    <col min="12564" max="12564" width="12.1640625" style="157" bestFit="1" customWidth="1"/>
    <col min="12565" max="12565" width="8.1640625" style="157" bestFit="1" customWidth="1"/>
    <col min="12566" max="12566" width="10.83203125" style="157" bestFit="1" customWidth="1"/>
    <col min="12567" max="12567" width="12.1640625" style="157" bestFit="1" customWidth="1"/>
    <col min="12568" max="12568" width="18.1640625" style="157" bestFit="1" customWidth="1"/>
    <col min="12569" max="12569" width="10.83203125" style="157" bestFit="1" customWidth="1"/>
    <col min="12570" max="12805" width="8.83203125" style="157"/>
    <col min="12806" max="12806" width="38.1640625" style="157" customWidth="1"/>
    <col min="12807" max="12807" width="23.44140625" style="157" bestFit="1" customWidth="1"/>
    <col min="12808" max="12809" width="9.1640625" style="157" customWidth="1"/>
    <col min="12810" max="12810" width="11.1640625" style="157" bestFit="1" customWidth="1"/>
    <col min="12811" max="12811" width="14.44140625" style="157" bestFit="1" customWidth="1"/>
    <col min="12812" max="12812" width="8.1640625" style="157" customWidth="1"/>
    <col min="12813" max="12813" width="10.83203125" style="157" bestFit="1" customWidth="1"/>
    <col min="12814" max="12814" width="12.1640625" style="157" bestFit="1" customWidth="1"/>
    <col min="12815" max="12815" width="9.1640625" style="157" customWidth="1"/>
    <col min="12816" max="12816" width="10.83203125" style="157" bestFit="1" customWidth="1"/>
    <col min="12817" max="12817" width="12.1640625" style="157" bestFit="1" customWidth="1"/>
    <col min="12818" max="12818" width="8" style="157" customWidth="1"/>
    <col min="12819" max="12819" width="10.83203125" style="157" bestFit="1" customWidth="1"/>
    <col min="12820" max="12820" width="12.1640625" style="157" bestFit="1" customWidth="1"/>
    <col min="12821" max="12821" width="8.1640625" style="157" bestFit="1" customWidth="1"/>
    <col min="12822" max="12822" width="10.83203125" style="157" bestFit="1" customWidth="1"/>
    <col min="12823" max="12823" width="12.1640625" style="157" bestFit="1" customWidth="1"/>
    <col min="12824" max="12824" width="18.1640625" style="157" bestFit="1" customWidth="1"/>
    <col min="12825" max="12825" width="10.83203125" style="157" bestFit="1" customWidth="1"/>
    <col min="12826" max="13061" width="8.83203125" style="157"/>
    <col min="13062" max="13062" width="38.1640625" style="157" customWidth="1"/>
    <col min="13063" max="13063" width="23.44140625" style="157" bestFit="1" customWidth="1"/>
    <col min="13064" max="13065" width="9.1640625" style="157" customWidth="1"/>
    <col min="13066" max="13066" width="11.1640625" style="157" bestFit="1" customWidth="1"/>
    <col min="13067" max="13067" width="14.44140625" style="157" bestFit="1" customWidth="1"/>
    <col min="13068" max="13068" width="8.1640625" style="157" customWidth="1"/>
    <col min="13069" max="13069" width="10.83203125" style="157" bestFit="1" customWidth="1"/>
    <col min="13070" max="13070" width="12.1640625" style="157" bestFit="1" customWidth="1"/>
    <col min="13071" max="13071" width="9.1640625" style="157" customWidth="1"/>
    <col min="13072" max="13072" width="10.83203125" style="157" bestFit="1" customWidth="1"/>
    <col min="13073" max="13073" width="12.1640625" style="157" bestFit="1" customWidth="1"/>
    <col min="13074" max="13074" width="8" style="157" customWidth="1"/>
    <col min="13075" max="13075" width="10.83203125" style="157" bestFit="1" customWidth="1"/>
    <col min="13076" max="13076" width="12.1640625" style="157" bestFit="1" customWidth="1"/>
    <col min="13077" max="13077" width="8.1640625" style="157" bestFit="1" customWidth="1"/>
    <col min="13078" max="13078" width="10.83203125" style="157" bestFit="1" customWidth="1"/>
    <col min="13079" max="13079" width="12.1640625" style="157" bestFit="1" customWidth="1"/>
    <col min="13080" max="13080" width="18.1640625" style="157" bestFit="1" customWidth="1"/>
    <col min="13081" max="13081" width="10.83203125" style="157" bestFit="1" customWidth="1"/>
    <col min="13082" max="13317" width="8.83203125" style="157"/>
    <col min="13318" max="13318" width="38.1640625" style="157" customWidth="1"/>
    <col min="13319" max="13319" width="23.44140625" style="157" bestFit="1" customWidth="1"/>
    <col min="13320" max="13321" width="9.1640625" style="157" customWidth="1"/>
    <col min="13322" max="13322" width="11.1640625" style="157" bestFit="1" customWidth="1"/>
    <col min="13323" max="13323" width="14.44140625" style="157" bestFit="1" customWidth="1"/>
    <col min="13324" max="13324" width="8.1640625" style="157" customWidth="1"/>
    <col min="13325" max="13325" width="10.83203125" style="157" bestFit="1" customWidth="1"/>
    <col min="13326" max="13326" width="12.1640625" style="157" bestFit="1" customWidth="1"/>
    <col min="13327" max="13327" width="9.1640625" style="157" customWidth="1"/>
    <col min="13328" max="13328" width="10.83203125" style="157" bestFit="1" customWidth="1"/>
    <col min="13329" max="13329" width="12.1640625" style="157" bestFit="1" customWidth="1"/>
    <col min="13330" max="13330" width="8" style="157" customWidth="1"/>
    <col min="13331" max="13331" width="10.83203125" style="157" bestFit="1" customWidth="1"/>
    <col min="13332" max="13332" width="12.1640625" style="157" bestFit="1" customWidth="1"/>
    <col min="13333" max="13333" width="8.1640625" style="157" bestFit="1" customWidth="1"/>
    <col min="13334" max="13334" width="10.83203125" style="157" bestFit="1" customWidth="1"/>
    <col min="13335" max="13335" width="12.1640625" style="157" bestFit="1" customWidth="1"/>
    <col min="13336" max="13336" width="18.1640625" style="157" bestFit="1" customWidth="1"/>
    <col min="13337" max="13337" width="10.83203125" style="157" bestFit="1" customWidth="1"/>
    <col min="13338" max="13573" width="8.83203125" style="157"/>
    <col min="13574" max="13574" width="38.1640625" style="157" customWidth="1"/>
    <col min="13575" max="13575" width="23.44140625" style="157" bestFit="1" customWidth="1"/>
    <col min="13576" max="13577" width="9.1640625" style="157" customWidth="1"/>
    <col min="13578" max="13578" width="11.1640625" style="157" bestFit="1" customWidth="1"/>
    <col min="13579" max="13579" width="14.44140625" style="157" bestFit="1" customWidth="1"/>
    <col min="13580" max="13580" width="8.1640625" style="157" customWidth="1"/>
    <col min="13581" max="13581" width="10.83203125" style="157" bestFit="1" customWidth="1"/>
    <col min="13582" max="13582" width="12.1640625" style="157" bestFit="1" customWidth="1"/>
    <col min="13583" max="13583" width="9.1640625" style="157" customWidth="1"/>
    <col min="13584" max="13584" width="10.83203125" style="157" bestFit="1" customWidth="1"/>
    <col min="13585" max="13585" width="12.1640625" style="157" bestFit="1" customWidth="1"/>
    <col min="13586" max="13586" width="8" style="157" customWidth="1"/>
    <col min="13587" max="13587" width="10.83203125" style="157" bestFit="1" customWidth="1"/>
    <col min="13588" max="13588" width="12.1640625" style="157" bestFit="1" customWidth="1"/>
    <col min="13589" max="13589" width="8.1640625" style="157" bestFit="1" customWidth="1"/>
    <col min="13590" max="13590" width="10.83203125" style="157" bestFit="1" customWidth="1"/>
    <col min="13591" max="13591" width="12.1640625" style="157" bestFit="1" customWidth="1"/>
    <col min="13592" max="13592" width="18.1640625" style="157" bestFit="1" customWidth="1"/>
    <col min="13593" max="13593" width="10.83203125" style="157" bestFit="1" customWidth="1"/>
    <col min="13594" max="13829" width="8.83203125" style="157"/>
    <col min="13830" max="13830" width="38.1640625" style="157" customWidth="1"/>
    <col min="13831" max="13831" width="23.44140625" style="157" bestFit="1" customWidth="1"/>
    <col min="13832" max="13833" width="9.1640625" style="157" customWidth="1"/>
    <col min="13834" max="13834" width="11.1640625" style="157" bestFit="1" customWidth="1"/>
    <col min="13835" max="13835" width="14.44140625" style="157" bestFit="1" customWidth="1"/>
    <col min="13836" max="13836" width="8.1640625" style="157" customWidth="1"/>
    <col min="13837" max="13837" width="10.83203125" style="157" bestFit="1" customWidth="1"/>
    <col min="13838" max="13838" width="12.1640625" style="157" bestFit="1" customWidth="1"/>
    <col min="13839" max="13839" width="9.1640625" style="157" customWidth="1"/>
    <col min="13840" max="13840" width="10.83203125" style="157" bestFit="1" customWidth="1"/>
    <col min="13841" max="13841" width="12.1640625" style="157" bestFit="1" customWidth="1"/>
    <col min="13842" max="13842" width="8" style="157" customWidth="1"/>
    <col min="13843" max="13843" width="10.83203125" style="157" bestFit="1" customWidth="1"/>
    <col min="13844" max="13844" width="12.1640625" style="157" bestFit="1" customWidth="1"/>
    <col min="13845" max="13845" width="8.1640625" style="157" bestFit="1" customWidth="1"/>
    <col min="13846" max="13846" width="10.83203125" style="157" bestFit="1" customWidth="1"/>
    <col min="13847" max="13847" width="12.1640625" style="157" bestFit="1" customWidth="1"/>
    <col min="13848" max="13848" width="18.1640625" style="157" bestFit="1" customWidth="1"/>
    <col min="13849" max="13849" width="10.83203125" style="157" bestFit="1" customWidth="1"/>
    <col min="13850" max="14085" width="8.83203125" style="157"/>
    <col min="14086" max="14086" width="38.1640625" style="157" customWidth="1"/>
    <col min="14087" max="14087" width="23.44140625" style="157" bestFit="1" customWidth="1"/>
    <col min="14088" max="14089" width="9.1640625" style="157" customWidth="1"/>
    <col min="14090" max="14090" width="11.1640625" style="157" bestFit="1" customWidth="1"/>
    <col min="14091" max="14091" width="14.44140625" style="157" bestFit="1" customWidth="1"/>
    <col min="14092" max="14092" width="8.1640625" style="157" customWidth="1"/>
    <col min="14093" max="14093" width="10.83203125" style="157" bestFit="1" customWidth="1"/>
    <col min="14094" max="14094" width="12.1640625" style="157" bestFit="1" customWidth="1"/>
    <col min="14095" max="14095" width="9.1640625" style="157" customWidth="1"/>
    <col min="14096" max="14096" width="10.83203125" style="157" bestFit="1" customWidth="1"/>
    <col min="14097" max="14097" width="12.1640625" style="157" bestFit="1" customWidth="1"/>
    <col min="14098" max="14098" width="8" style="157" customWidth="1"/>
    <col min="14099" max="14099" width="10.83203125" style="157" bestFit="1" customWidth="1"/>
    <col min="14100" max="14100" width="12.1640625" style="157" bestFit="1" customWidth="1"/>
    <col min="14101" max="14101" width="8.1640625" style="157" bestFit="1" customWidth="1"/>
    <col min="14102" max="14102" width="10.83203125" style="157" bestFit="1" customWidth="1"/>
    <col min="14103" max="14103" width="12.1640625" style="157" bestFit="1" customWidth="1"/>
    <col min="14104" max="14104" width="18.1640625" style="157" bestFit="1" customWidth="1"/>
    <col min="14105" max="14105" width="10.83203125" style="157" bestFit="1" customWidth="1"/>
    <col min="14106" max="14341" width="8.83203125" style="157"/>
    <col min="14342" max="14342" width="38.1640625" style="157" customWidth="1"/>
    <col min="14343" max="14343" width="23.44140625" style="157" bestFit="1" customWidth="1"/>
    <col min="14344" max="14345" width="9.1640625" style="157" customWidth="1"/>
    <col min="14346" max="14346" width="11.1640625" style="157" bestFit="1" customWidth="1"/>
    <col min="14347" max="14347" width="14.44140625" style="157" bestFit="1" customWidth="1"/>
    <col min="14348" max="14348" width="8.1640625" style="157" customWidth="1"/>
    <col min="14349" max="14349" width="10.83203125" style="157" bestFit="1" customWidth="1"/>
    <col min="14350" max="14350" width="12.1640625" style="157" bestFit="1" customWidth="1"/>
    <col min="14351" max="14351" width="9.1640625" style="157" customWidth="1"/>
    <col min="14352" max="14352" width="10.83203125" style="157" bestFit="1" customWidth="1"/>
    <col min="14353" max="14353" width="12.1640625" style="157" bestFit="1" customWidth="1"/>
    <col min="14354" max="14354" width="8" style="157" customWidth="1"/>
    <col min="14355" max="14355" width="10.83203125" style="157" bestFit="1" customWidth="1"/>
    <col min="14356" max="14356" width="12.1640625" style="157" bestFit="1" customWidth="1"/>
    <col min="14357" max="14357" width="8.1640625" style="157" bestFit="1" customWidth="1"/>
    <col min="14358" max="14358" width="10.83203125" style="157" bestFit="1" customWidth="1"/>
    <col min="14359" max="14359" width="12.1640625" style="157" bestFit="1" customWidth="1"/>
    <col min="14360" max="14360" width="18.1640625" style="157" bestFit="1" customWidth="1"/>
    <col min="14361" max="14361" width="10.83203125" style="157" bestFit="1" customWidth="1"/>
    <col min="14362" max="14597" width="8.83203125" style="157"/>
    <col min="14598" max="14598" width="38.1640625" style="157" customWidth="1"/>
    <col min="14599" max="14599" width="23.44140625" style="157" bestFit="1" customWidth="1"/>
    <col min="14600" max="14601" width="9.1640625" style="157" customWidth="1"/>
    <col min="14602" max="14602" width="11.1640625" style="157" bestFit="1" customWidth="1"/>
    <col min="14603" max="14603" width="14.44140625" style="157" bestFit="1" customWidth="1"/>
    <col min="14604" max="14604" width="8.1640625" style="157" customWidth="1"/>
    <col min="14605" max="14605" width="10.83203125" style="157" bestFit="1" customWidth="1"/>
    <col min="14606" max="14606" width="12.1640625" style="157" bestFit="1" customWidth="1"/>
    <col min="14607" max="14607" width="9.1640625" style="157" customWidth="1"/>
    <col min="14608" max="14608" width="10.83203125" style="157" bestFit="1" customWidth="1"/>
    <col min="14609" max="14609" width="12.1640625" style="157" bestFit="1" customWidth="1"/>
    <col min="14610" max="14610" width="8" style="157" customWidth="1"/>
    <col min="14611" max="14611" width="10.83203125" style="157" bestFit="1" customWidth="1"/>
    <col min="14612" max="14612" width="12.1640625" style="157" bestFit="1" customWidth="1"/>
    <col min="14613" max="14613" width="8.1640625" style="157" bestFit="1" customWidth="1"/>
    <col min="14614" max="14614" width="10.83203125" style="157" bestFit="1" customWidth="1"/>
    <col min="14615" max="14615" width="12.1640625" style="157" bestFit="1" customWidth="1"/>
    <col min="14616" max="14616" width="18.1640625" style="157" bestFit="1" customWidth="1"/>
    <col min="14617" max="14617" width="10.83203125" style="157" bestFit="1" customWidth="1"/>
    <col min="14618" max="14853" width="8.83203125" style="157"/>
    <col min="14854" max="14854" width="38.1640625" style="157" customWidth="1"/>
    <col min="14855" max="14855" width="23.44140625" style="157" bestFit="1" customWidth="1"/>
    <col min="14856" max="14857" width="9.1640625" style="157" customWidth="1"/>
    <col min="14858" max="14858" width="11.1640625" style="157" bestFit="1" customWidth="1"/>
    <col min="14859" max="14859" width="14.44140625" style="157" bestFit="1" customWidth="1"/>
    <col min="14860" max="14860" width="8.1640625" style="157" customWidth="1"/>
    <col min="14861" max="14861" width="10.83203125" style="157" bestFit="1" customWidth="1"/>
    <col min="14862" max="14862" width="12.1640625" style="157" bestFit="1" customWidth="1"/>
    <col min="14863" max="14863" width="9.1640625" style="157" customWidth="1"/>
    <col min="14864" max="14864" width="10.83203125" style="157" bestFit="1" customWidth="1"/>
    <col min="14865" max="14865" width="12.1640625" style="157" bestFit="1" customWidth="1"/>
    <col min="14866" max="14866" width="8" style="157" customWidth="1"/>
    <col min="14867" max="14867" width="10.83203125" style="157" bestFit="1" customWidth="1"/>
    <col min="14868" max="14868" width="12.1640625" style="157" bestFit="1" customWidth="1"/>
    <col min="14869" max="14869" width="8.1640625" style="157" bestFit="1" customWidth="1"/>
    <col min="14870" max="14870" width="10.83203125" style="157" bestFit="1" customWidth="1"/>
    <col min="14871" max="14871" width="12.1640625" style="157" bestFit="1" customWidth="1"/>
    <col min="14872" max="14872" width="18.1640625" style="157" bestFit="1" customWidth="1"/>
    <col min="14873" max="14873" width="10.83203125" style="157" bestFit="1" customWidth="1"/>
    <col min="14874" max="15109" width="8.83203125" style="157"/>
    <col min="15110" max="15110" width="38.1640625" style="157" customWidth="1"/>
    <col min="15111" max="15111" width="23.44140625" style="157" bestFit="1" customWidth="1"/>
    <col min="15112" max="15113" width="9.1640625" style="157" customWidth="1"/>
    <col min="15114" max="15114" width="11.1640625" style="157" bestFit="1" customWidth="1"/>
    <col min="15115" max="15115" width="14.44140625" style="157" bestFit="1" customWidth="1"/>
    <col min="15116" max="15116" width="8.1640625" style="157" customWidth="1"/>
    <col min="15117" max="15117" width="10.83203125" style="157" bestFit="1" customWidth="1"/>
    <col min="15118" max="15118" width="12.1640625" style="157" bestFit="1" customWidth="1"/>
    <col min="15119" max="15119" width="9.1640625" style="157" customWidth="1"/>
    <col min="15120" max="15120" width="10.83203125" style="157" bestFit="1" customWidth="1"/>
    <col min="15121" max="15121" width="12.1640625" style="157" bestFit="1" customWidth="1"/>
    <col min="15122" max="15122" width="8" style="157" customWidth="1"/>
    <col min="15123" max="15123" width="10.83203125" style="157" bestFit="1" customWidth="1"/>
    <col min="15124" max="15124" width="12.1640625" style="157" bestFit="1" customWidth="1"/>
    <col min="15125" max="15125" width="8.1640625" style="157" bestFit="1" customWidth="1"/>
    <col min="15126" max="15126" width="10.83203125" style="157" bestFit="1" customWidth="1"/>
    <col min="15127" max="15127" width="12.1640625" style="157" bestFit="1" customWidth="1"/>
    <col min="15128" max="15128" width="18.1640625" style="157" bestFit="1" customWidth="1"/>
    <col min="15129" max="15129" width="10.83203125" style="157" bestFit="1" customWidth="1"/>
    <col min="15130" max="15365" width="8.83203125" style="157"/>
    <col min="15366" max="15366" width="38.1640625" style="157" customWidth="1"/>
    <col min="15367" max="15367" width="23.44140625" style="157" bestFit="1" customWidth="1"/>
    <col min="15368" max="15369" width="9.1640625" style="157" customWidth="1"/>
    <col min="15370" max="15370" width="11.1640625" style="157" bestFit="1" customWidth="1"/>
    <col min="15371" max="15371" width="14.44140625" style="157" bestFit="1" customWidth="1"/>
    <col min="15372" max="15372" width="8.1640625" style="157" customWidth="1"/>
    <col min="15373" max="15373" width="10.83203125" style="157" bestFit="1" customWidth="1"/>
    <col min="15374" max="15374" width="12.1640625" style="157" bestFit="1" customWidth="1"/>
    <col min="15375" max="15375" width="9.1640625" style="157" customWidth="1"/>
    <col min="15376" max="15376" width="10.83203125" style="157" bestFit="1" customWidth="1"/>
    <col min="15377" max="15377" width="12.1640625" style="157" bestFit="1" customWidth="1"/>
    <col min="15378" max="15378" width="8" style="157" customWidth="1"/>
    <col min="15379" max="15379" width="10.83203125" style="157" bestFit="1" customWidth="1"/>
    <col min="15380" max="15380" width="12.1640625" style="157" bestFit="1" customWidth="1"/>
    <col min="15381" max="15381" width="8.1640625" style="157" bestFit="1" customWidth="1"/>
    <col min="15382" max="15382" width="10.83203125" style="157" bestFit="1" customWidth="1"/>
    <col min="15383" max="15383" width="12.1640625" style="157" bestFit="1" customWidth="1"/>
    <col min="15384" max="15384" width="18.1640625" style="157" bestFit="1" customWidth="1"/>
    <col min="15385" max="15385" width="10.83203125" style="157" bestFit="1" customWidth="1"/>
    <col min="15386" max="15621" width="8.83203125" style="157"/>
    <col min="15622" max="15622" width="38.1640625" style="157" customWidth="1"/>
    <col min="15623" max="15623" width="23.44140625" style="157" bestFit="1" customWidth="1"/>
    <col min="15624" max="15625" width="9.1640625" style="157" customWidth="1"/>
    <col min="15626" max="15626" width="11.1640625" style="157" bestFit="1" customWidth="1"/>
    <col min="15627" max="15627" width="14.44140625" style="157" bestFit="1" customWidth="1"/>
    <col min="15628" max="15628" width="8.1640625" style="157" customWidth="1"/>
    <col min="15629" max="15629" width="10.83203125" style="157" bestFit="1" customWidth="1"/>
    <col min="15630" max="15630" width="12.1640625" style="157" bestFit="1" customWidth="1"/>
    <col min="15631" max="15631" width="9.1640625" style="157" customWidth="1"/>
    <col min="15632" max="15632" width="10.83203125" style="157" bestFit="1" customWidth="1"/>
    <col min="15633" max="15633" width="12.1640625" style="157" bestFit="1" customWidth="1"/>
    <col min="15634" max="15634" width="8" style="157" customWidth="1"/>
    <col min="15635" max="15635" width="10.83203125" style="157" bestFit="1" customWidth="1"/>
    <col min="15636" max="15636" width="12.1640625" style="157" bestFit="1" customWidth="1"/>
    <col min="15637" max="15637" width="8.1640625" style="157" bestFit="1" customWidth="1"/>
    <col min="15638" max="15638" width="10.83203125" style="157" bestFit="1" customWidth="1"/>
    <col min="15639" max="15639" width="12.1640625" style="157" bestFit="1" customWidth="1"/>
    <col min="15640" max="15640" width="18.1640625" style="157" bestFit="1" customWidth="1"/>
    <col min="15641" max="15641" width="10.83203125" style="157" bestFit="1" customWidth="1"/>
    <col min="15642" max="15877" width="8.83203125" style="157"/>
    <col min="15878" max="15878" width="38.1640625" style="157" customWidth="1"/>
    <col min="15879" max="15879" width="23.44140625" style="157" bestFit="1" customWidth="1"/>
    <col min="15880" max="15881" width="9.1640625" style="157" customWidth="1"/>
    <col min="15882" max="15882" width="11.1640625" style="157" bestFit="1" customWidth="1"/>
    <col min="15883" max="15883" width="14.44140625" style="157" bestFit="1" customWidth="1"/>
    <col min="15884" max="15884" width="8.1640625" style="157" customWidth="1"/>
    <col min="15885" max="15885" width="10.83203125" style="157" bestFit="1" customWidth="1"/>
    <col min="15886" max="15886" width="12.1640625" style="157" bestFit="1" customWidth="1"/>
    <col min="15887" max="15887" width="9.1640625" style="157" customWidth="1"/>
    <col min="15888" max="15888" width="10.83203125" style="157" bestFit="1" customWidth="1"/>
    <col min="15889" max="15889" width="12.1640625" style="157" bestFit="1" customWidth="1"/>
    <col min="15890" max="15890" width="8" style="157" customWidth="1"/>
    <col min="15891" max="15891" width="10.83203125" style="157" bestFit="1" customWidth="1"/>
    <col min="15892" max="15892" width="12.1640625" style="157" bestFit="1" customWidth="1"/>
    <col min="15893" max="15893" width="8.1640625" style="157" bestFit="1" customWidth="1"/>
    <col min="15894" max="15894" width="10.83203125" style="157" bestFit="1" customWidth="1"/>
    <col min="15895" max="15895" width="12.1640625" style="157" bestFit="1" customWidth="1"/>
    <col min="15896" max="15896" width="18.1640625" style="157" bestFit="1" customWidth="1"/>
    <col min="15897" max="15897" width="10.83203125" style="157" bestFit="1" customWidth="1"/>
    <col min="15898" max="16133" width="8.83203125" style="157"/>
    <col min="16134" max="16134" width="38.1640625" style="157" customWidth="1"/>
    <col min="16135" max="16135" width="23.44140625" style="157" bestFit="1" customWidth="1"/>
    <col min="16136" max="16137" width="9.1640625" style="157" customWidth="1"/>
    <col min="16138" max="16138" width="11.1640625" style="157" bestFit="1" customWidth="1"/>
    <col min="16139" max="16139" width="14.44140625" style="157" bestFit="1" customWidth="1"/>
    <col min="16140" max="16140" width="8.1640625" style="157" customWidth="1"/>
    <col min="16141" max="16141" width="10.83203125" style="157" bestFit="1" customWidth="1"/>
    <col min="16142" max="16142" width="12.1640625" style="157" bestFit="1" customWidth="1"/>
    <col min="16143" max="16143" width="9.1640625" style="157" customWidth="1"/>
    <col min="16144" max="16144" width="10.83203125" style="157" bestFit="1" customWidth="1"/>
    <col min="16145" max="16145" width="12.1640625" style="157" bestFit="1" customWidth="1"/>
    <col min="16146" max="16146" width="8" style="157" customWidth="1"/>
    <col min="16147" max="16147" width="10.83203125" style="157" bestFit="1" customWidth="1"/>
    <col min="16148" max="16148" width="12.1640625" style="157" bestFit="1" customWidth="1"/>
    <col min="16149" max="16149" width="8.1640625" style="157" bestFit="1" customWidth="1"/>
    <col min="16150" max="16150" width="10.83203125" style="157" bestFit="1" customWidth="1"/>
    <col min="16151" max="16151" width="12.1640625" style="157" bestFit="1" customWidth="1"/>
    <col min="16152" max="16152" width="18.1640625" style="157" bestFit="1" customWidth="1"/>
    <col min="16153" max="16153" width="10.83203125" style="157" bestFit="1" customWidth="1"/>
    <col min="16154" max="16384" width="8.83203125" style="157"/>
  </cols>
  <sheetData>
    <row r="1" spans="1:33" ht="14.7" thickBot="1"/>
    <row r="2" spans="1:33" ht="23.5" customHeight="1">
      <c r="A2" s="658" t="s">
        <v>499</v>
      </c>
      <c r="B2" s="652" t="s">
        <v>500</v>
      </c>
      <c r="C2" s="660" t="s">
        <v>501</v>
      </c>
      <c r="D2" s="645" t="s">
        <v>82</v>
      </c>
      <c r="E2" s="646"/>
      <c r="F2" s="646"/>
      <c r="G2" s="647"/>
      <c r="H2" s="645" t="s">
        <v>84</v>
      </c>
      <c r="I2" s="646"/>
      <c r="J2" s="646"/>
      <c r="K2" s="647"/>
      <c r="L2" s="645" t="s">
        <v>86</v>
      </c>
      <c r="M2" s="646"/>
      <c r="N2" s="646"/>
      <c r="O2" s="647"/>
      <c r="P2" s="645" t="s">
        <v>88</v>
      </c>
      <c r="Q2" s="646"/>
      <c r="R2" s="646"/>
      <c r="S2" s="647"/>
      <c r="T2" s="648" t="s">
        <v>502</v>
      </c>
      <c r="AB2" s="163"/>
    </row>
    <row r="3" spans="1:33" ht="47.95" customHeight="1">
      <c r="A3" s="659"/>
      <c r="B3" s="653"/>
      <c r="C3" s="662"/>
      <c r="D3" s="164" t="s">
        <v>503</v>
      </c>
      <c r="E3" s="165" t="s">
        <v>504</v>
      </c>
      <c r="F3" s="167" t="s">
        <v>505</v>
      </c>
      <c r="G3" s="168" t="s">
        <v>502</v>
      </c>
      <c r="H3" s="164" t="s">
        <v>503</v>
      </c>
      <c r="I3" s="165" t="s">
        <v>504</v>
      </c>
      <c r="J3" s="166" t="s">
        <v>505</v>
      </c>
      <c r="K3" s="168" t="s">
        <v>502</v>
      </c>
      <c r="L3" s="164" t="s">
        <v>503</v>
      </c>
      <c r="M3" s="165" t="s">
        <v>504</v>
      </c>
      <c r="N3" s="167" t="s">
        <v>505</v>
      </c>
      <c r="O3" s="168" t="s">
        <v>502</v>
      </c>
      <c r="P3" s="164" t="s">
        <v>503</v>
      </c>
      <c r="Q3" s="165" t="s">
        <v>504</v>
      </c>
      <c r="R3" s="167" t="s">
        <v>505</v>
      </c>
      <c r="S3" s="168" t="s">
        <v>502</v>
      </c>
      <c r="T3" s="649"/>
      <c r="AB3" s="163"/>
      <c r="AC3" s="157" t="s">
        <v>543</v>
      </c>
    </row>
    <row r="4" spans="1:33" ht="20.399999999999999">
      <c r="A4" s="324" t="s">
        <v>506</v>
      </c>
      <c r="B4" s="169"/>
      <c r="C4" s="169"/>
      <c r="D4" s="170"/>
      <c r="E4" s="171"/>
      <c r="F4" s="174"/>
      <c r="G4" s="175"/>
      <c r="H4" s="170"/>
      <c r="I4" s="171"/>
      <c r="J4" s="172"/>
      <c r="K4" s="175"/>
      <c r="L4" s="176"/>
      <c r="M4" s="171"/>
      <c r="N4" s="174"/>
      <c r="O4" s="175"/>
      <c r="P4" s="176"/>
      <c r="Q4" s="171"/>
      <c r="R4" s="174"/>
      <c r="S4" s="177"/>
      <c r="T4" s="175"/>
      <c r="AB4" s="178" t="s">
        <v>544</v>
      </c>
      <c r="AC4" s="178" t="s">
        <v>545</v>
      </c>
      <c r="AD4" s="178" t="s">
        <v>546</v>
      </c>
    </row>
    <row r="5" spans="1:33" s="189" customFormat="1" ht="15" customHeight="1" outlineLevel="1">
      <c r="A5" s="179" t="s">
        <v>53</v>
      </c>
      <c r="B5" s="180"/>
      <c r="C5" s="184"/>
      <c r="D5" s="181"/>
      <c r="E5" s="182"/>
      <c r="F5" s="185"/>
      <c r="G5" s="186"/>
      <c r="H5" s="181"/>
      <c r="I5" s="182"/>
      <c r="J5" s="183"/>
      <c r="K5" s="186"/>
      <c r="L5" s="181"/>
      <c r="M5" s="182"/>
      <c r="N5" s="185"/>
      <c r="O5" s="186"/>
      <c r="P5" s="181"/>
      <c r="Q5" s="182"/>
      <c r="R5" s="185"/>
      <c r="S5" s="186"/>
      <c r="T5" s="187"/>
      <c r="U5" s="188"/>
      <c r="V5" s="157"/>
      <c r="W5" s="157"/>
      <c r="X5" s="157"/>
      <c r="Y5" s="157"/>
      <c r="Z5" s="157"/>
      <c r="AA5" s="157"/>
      <c r="AB5" s="163"/>
    </row>
    <row r="6" spans="1:33" s="189" customFormat="1" ht="15.6" outlineLevel="1">
      <c r="A6" s="190" t="s">
        <v>507</v>
      </c>
      <c r="B6" s="191"/>
      <c r="C6" s="184"/>
      <c r="D6" s="181"/>
      <c r="E6" s="182"/>
      <c r="F6" s="185"/>
      <c r="G6" s="186"/>
      <c r="H6" s="181"/>
      <c r="I6" s="182"/>
      <c r="J6" s="183"/>
      <c r="K6" s="186"/>
      <c r="L6" s="181"/>
      <c r="M6" s="182"/>
      <c r="N6" s="185"/>
      <c r="O6" s="186"/>
      <c r="P6" s="181"/>
      <c r="Q6" s="182"/>
      <c r="R6" s="185"/>
      <c r="S6" s="186"/>
      <c r="T6" s="332"/>
      <c r="U6" s="192"/>
      <c r="V6" s="157"/>
      <c r="W6" s="157"/>
      <c r="X6" s="157"/>
      <c r="Y6" s="157"/>
      <c r="Z6" s="157"/>
      <c r="AA6" s="157"/>
      <c r="AB6" s="163"/>
    </row>
    <row r="7" spans="1:33" ht="15" customHeight="1" outlineLevel="1">
      <c r="A7" s="193" t="str">
        <f>'Program Budget'!D671</f>
        <v>Key Personnel: Chief of Party</v>
      </c>
      <c r="B7" s="194" t="str">
        <f>'Program Budget'!F671</f>
        <v>Month</v>
      </c>
      <c r="C7" s="198">
        <f>'Program Budget'!E671</f>
        <v>49699</v>
      </c>
      <c r="D7" s="195">
        <f>'Program Budget'!G671</f>
        <v>14250</v>
      </c>
      <c r="E7" s="196">
        <f>'Program Budget'!I671</f>
        <v>12</v>
      </c>
      <c r="F7" s="199">
        <f>'Program Budget'!H671</f>
        <v>0.15</v>
      </c>
      <c r="G7" s="198">
        <f>D7*E7*F7</f>
        <v>25650</v>
      </c>
      <c r="H7" s="195">
        <f>D7*1.05</f>
        <v>14962.5</v>
      </c>
      <c r="I7" s="196">
        <f>'Program Budget'!L671</f>
        <v>12</v>
      </c>
      <c r="J7" s="199">
        <f>'Program Budget'!K671</f>
        <v>0</v>
      </c>
      <c r="K7" s="198">
        <f>H7*I7*J7</f>
        <v>0</v>
      </c>
      <c r="L7" s="195">
        <f>H7*1.05</f>
        <v>15710.625</v>
      </c>
      <c r="M7" s="196">
        <f>'Program Budget'!O671</f>
        <v>12</v>
      </c>
      <c r="N7" s="199">
        <f>'Program Budget'!N671</f>
        <v>0</v>
      </c>
      <c r="O7" s="198">
        <f>L7*M7*N7</f>
        <v>0</v>
      </c>
      <c r="P7" s="195">
        <f>L7*1.05</f>
        <v>16496.15625</v>
      </c>
      <c r="Q7" s="196">
        <f>'Program Budget'!R671</f>
        <v>0</v>
      </c>
      <c r="R7" s="199">
        <f>'Program Budget'!Q671</f>
        <v>0</v>
      </c>
      <c r="S7" s="198">
        <f>P7*Q7*R7</f>
        <v>0</v>
      </c>
      <c r="T7" s="335">
        <f>C7+G7+K7+O7+S7</f>
        <v>75349</v>
      </c>
      <c r="U7" s="201"/>
      <c r="V7" s="188"/>
      <c r="W7" s="202"/>
      <c r="X7" s="202"/>
      <c r="AB7" s="163">
        <v>180</v>
      </c>
      <c r="AC7" s="203" t="s">
        <v>547</v>
      </c>
      <c r="AD7" s="203" t="s">
        <v>548</v>
      </c>
      <c r="AE7" s="204"/>
      <c r="AG7" s="205"/>
    </row>
    <row r="8" spans="1:33" ht="15" customHeight="1" outlineLevel="1">
      <c r="A8" s="208" t="s">
        <v>508</v>
      </c>
      <c r="B8" s="209"/>
      <c r="C8" s="213">
        <f>SUM(C7:C7)</f>
        <v>49699</v>
      </c>
      <c r="D8" s="210"/>
      <c r="E8" s="211"/>
      <c r="F8" s="214"/>
      <c r="G8" s="213">
        <f>SUM(G7:G7)</f>
        <v>25650</v>
      </c>
      <c r="H8" s="210"/>
      <c r="I8" s="211"/>
      <c r="J8" s="212"/>
      <c r="K8" s="213">
        <f>SUM(K7:K7)</f>
        <v>0</v>
      </c>
      <c r="L8" s="210"/>
      <c r="M8" s="211"/>
      <c r="N8" s="214"/>
      <c r="O8" s="213">
        <f>SUM(O7:O7)</f>
        <v>0</v>
      </c>
      <c r="P8" s="210"/>
      <c r="Q8" s="211"/>
      <c r="R8" s="214"/>
      <c r="S8" s="213">
        <f>SUM(S7:S7)</f>
        <v>0</v>
      </c>
      <c r="T8" s="334">
        <f>+C8+G8+K8+O8+S8</f>
        <v>75349</v>
      </c>
      <c r="AB8" s="163"/>
      <c r="AC8" s="203"/>
      <c r="AD8" s="203" t="s">
        <v>549</v>
      </c>
    </row>
    <row r="9" spans="1:33" ht="15" customHeight="1" outlineLevel="1">
      <c r="A9" s="190" t="s">
        <v>576</v>
      </c>
      <c r="B9" s="216"/>
      <c r="C9" s="198"/>
      <c r="D9" s="217"/>
      <c r="E9" s="218"/>
      <c r="F9" s="220"/>
      <c r="G9" s="200"/>
      <c r="H9" s="217"/>
      <c r="I9" s="218"/>
      <c r="J9" s="219"/>
      <c r="K9" s="200"/>
      <c r="L9" s="217"/>
      <c r="M9" s="218"/>
      <c r="N9" s="220"/>
      <c r="O9" s="200"/>
      <c r="P9" s="217"/>
      <c r="Q9" s="218"/>
      <c r="R9" s="220"/>
      <c r="S9" s="200"/>
      <c r="T9" s="350"/>
      <c r="U9" s="192"/>
      <c r="AB9" s="163"/>
      <c r="AC9" s="203"/>
      <c r="AD9" s="203" t="s">
        <v>549</v>
      </c>
      <c r="AG9" s="205"/>
    </row>
    <row r="10" spans="1:33" ht="15" customHeight="1" outlineLevel="1">
      <c r="A10" s="193" t="str">
        <f>'Program Budget'!D672</f>
        <v>Deputy Chief of Party / Value Chain Strengthening Director</v>
      </c>
      <c r="B10" s="194" t="str">
        <f>'Program Budget'!F672</f>
        <v>Month</v>
      </c>
      <c r="C10" s="198">
        <f>'Program Budget'!E672</f>
        <v>0</v>
      </c>
      <c r="D10" s="195">
        <f>'Program Budget'!G672</f>
        <v>5000</v>
      </c>
      <c r="E10" s="196">
        <f>'Program Budget'!I672</f>
        <v>12</v>
      </c>
      <c r="F10" s="199">
        <f>'Program Budget'!H672</f>
        <v>0.1</v>
      </c>
      <c r="G10" s="198">
        <f>D10*E10*F10</f>
        <v>6000</v>
      </c>
      <c r="H10" s="195">
        <f>D10*1.05</f>
        <v>5250</v>
      </c>
      <c r="I10" s="196">
        <f>'Program Budget'!L672</f>
        <v>12</v>
      </c>
      <c r="J10" s="199">
        <f>'Program Budget'!K672</f>
        <v>0</v>
      </c>
      <c r="K10" s="198">
        <f>H10*I10*J10</f>
        <v>0</v>
      </c>
      <c r="L10" s="195">
        <f>H10*1.05</f>
        <v>5512.5</v>
      </c>
      <c r="M10" s="196">
        <f>'Program Budget'!O672</f>
        <v>12</v>
      </c>
      <c r="N10" s="199">
        <f>'Program Budget'!N672</f>
        <v>0</v>
      </c>
      <c r="O10" s="198">
        <f>L10*M10*N10</f>
        <v>0</v>
      </c>
      <c r="P10" s="195">
        <f>L10*1.05</f>
        <v>5788.125</v>
      </c>
      <c r="Q10" s="196">
        <f>'Program Budget'!R672</f>
        <v>6</v>
      </c>
      <c r="R10" s="199">
        <f>'Program Budget'!Q672</f>
        <v>0</v>
      </c>
      <c r="S10" s="198">
        <f>P10*Q10*R10</f>
        <v>0</v>
      </c>
      <c r="T10" s="333">
        <f>C10+G10+K10+O10+S10</f>
        <v>6000</v>
      </c>
      <c r="U10" s="201"/>
      <c r="V10" s="188"/>
      <c r="W10" s="202"/>
      <c r="X10" s="202"/>
      <c r="AB10" s="163">
        <v>180</v>
      </c>
      <c r="AC10" s="203" t="s">
        <v>547</v>
      </c>
      <c r="AD10" s="203" t="s">
        <v>548</v>
      </c>
      <c r="AE10" s="204"/>
      <c r="AG10" s="205"/>
    </row>
    <row r="11" spans="1:33" ht="15" customHeight="1" outlineLevel="1">
      <c r="A11" s="193" t="str">
        <f>'Program Budget'!D673</f>
        <v>Key Personnel: Technical Director</v>
      </c>
      <c r="B11" s="194" t="str">
        <f>'Program Budget'!F673</f>
        <v>Month</v>
      </c>
      <c r="C11" s="198">
        <f>'Program Budget'!E673</f>
        <v>0</v>
      </c>
      <c r="D11" s="195">
        <f>'Program Budget'!G673</f>
        <v>4583.333333333333</v>
      </c>
      <c r="E11" s="196">
        <f>'Program Budget'!I673</f>
        <v>12</v>
      </c>
      <c r="F11" s="199">
        <f>'Program Budget'!H673</f>
        <v>0</v>
      </c>
      <c r="G11" s="198">
        <f t="shared" ref="G11:G38" si="0">D11*E11*F11</f>
        <v>0</v>
      </c>
      <c r="H11" s="195">
        <f t="shared" ref="H11:H38" si="1">D11*1.05</f>
        <v>4812.5</v>
      </c>
      <c r="I11" s="196">
        <f>'Program Budget'!L673</f>
        <v>12</v>
      </c>
      <c r="J11" s="199">
        <f>'Program Budget'!K673</f>
        <v>0</v>
      </c>
      <c r="K11" s="198">
        <f t="shared" ref="K11:K38" si="2">H11*I11*J11</f>
        <v>0</v>
      </c>
      <c r="L11" s="195">
        <f t="shared" ref="L11:L38" si="3">H11*1.05</f>
        <v>5053.125</v>
      </c>
      <c r="M11" s="196">
        <f>'Program Budget'!O673</f>
        <v>12</v>
      </c>
      <c r="N11" s="199">
        <f>'Program Budget'!N673</f>
        <v>0</v>
      </c>
      <c r="O11" s="198">
        <f t="shared" ref="O11:O38" si="4">L11*M11*N11</f>
        <v>0</v>
      </c>
      <c r="P11" s="195">
        <f t="shared" ref="P11:P38" si="5">L11*1.05</f>
        <v>5305.78125</v>
      </c>
      <c r="Q11" s="196">
        <f>'Program Budget'!R673</f>
        <v>5</v>
      </c>
      <c r="R11" s="199">
        <f>'Program Budget'!Q673</f>
        <v>0</v>
      </c>
      <c r="S11" s="198">
        <f t="shared" ref="S11:S38" si="6">P11*Q11*R11</f>
        <v>0</v>
      </c>
      <c r="T11" s="333">
        <f t="shared" ref="T11:T38" si="7">C11+G11+K11+O11+S11</f>
        <v>0</v>
      </c>
      <c r="U11" s="201"/>
      <c r="V11" s="188"/>
      <c r="W11" s="202"/>
      <c r="X11" s="202"/>
      <c r="AB11" s="163">
        <v>180</v>
      </c>
      <c r="AC11" s="203" t="s">
        <v>547</v>
      </c>
      <c r="AD11" s="203" t="s">
        <v>548</v>
      </c>
      <c r="AE11" s="204"/>
      <c r="AG11" s="205"/>
    </row>
    <row r="12" spans="1:33" ht="15" customHeight="1" outlineLevel="1">
      <c r="A12" s="193" t="str">
        <f>'Program Budget'!D674</f>
        <v>Activity Lead Agribusiness Senior Specialist (Cacao)</v>
      </c>
      <c r="B12" s="194" t="str">
        <f>'Program Budget'!F674</f>
        <v>Month</v>
      </c>
      <c r="C12" s="198">
        <f>'Program Budget'!E674</f>
        <v>0</v>
      </c>
      <c r="D12" s="195">
        <f>'Program Budget'!G674</f>
        <v>2833.3333333333335</v>
      </c>
      <c r="E12" s="196">
        <f>'Program Budget'!I674</f>
        <v>12</v>
      </c>
      <c r="F12" s="199">
        <f>'Program Budget'!H674</f>
        <v>0.15</v>
      </c>
      <c r="G12" s="198">
        <f t="shared" si="0"/>
        <v>5100</v>
      </c>
      <c r="H12" s="195">
        <f t="shared" si="1"/>
        <v>2975.0000000000005</v>
      </c>
      <c r="I12" s="196">
        <f>'Program Budget'!L674</f>
        <v>12</v>
      </c>
      <c r="J12" s="199">
        <f>'Program Budget'!K674</f>
        <v>0</v>
      </c>
      <c r="K12" s="198">
        <f t="shared" si="2"/>
        <v>0</v>
      </c>
      <c r="L12" s="195">
        <f t="shared" si="3"/>
        <v>3123.7500000000005</v>
      </c>
      <c r="M12" s="196">
        <f>'Program Budget'!O674</f>
        <v>12</v>
      </c>
      <c r="N12" s="199">
        <f>'Program Budget'!N674</f>
        <v>0</v>
      </c>
      <c r="O12" s="198">
        <f t="shared" si="4"/>
        <v>0</v>
      </c>
      <c r="P12" s="195">
        <f t="shared" si="5"/>
        <v>3279.9375000000005</v>
      </c>
      <c r="Q12" s="196">
        <f>'Program Budget'!R674</f>
        <v>2</v>
      </c>
      <c r="R12" s="199">
        <f>'Program Budget'!Q674</f>
        <v>0</v>
      </c>
      <c r="S12" s="198">
        <f t="shared" si="6"/>
        <v>0</v>
      </c>
      <c r="T12" s="333">
        <f t="shared" si="7"/>
        <v>5100</v>
      </c>
      <c r="U12" s="201"/>
      <c r="V12" s="188"/>
      <c r="W12" s="202"/>
      <c r="X12" s="202"/>
      <c r="AB12" s="163">
        <v>180</v>
      </c>
      <c r="AC12" s="203" t="s">
        <v>547</v>
      </c>
      <c r="AD12" s="203" t="s">
        <v>548</v>
      </c>
      <c r="AE12" s="204"/>
      <c r="AG12" s="205"/>
    </row>
    <row r="13" spans="1:33" ht="15" customHeight="1" outlineLevel="1">
      <c r="A13" s="193" t="str">
        <f>'Program Budget'!D675</f>
        <v>Cacao Field Officer</v>
      </c>
      <c r="B13" s="194" t="str">
        <f>'Program Budget'!F675</f>
        <v>Month</v>
      </c>
      <c r="C13" s="198">
        <f>'Program Budget'!E675</f>
        <v>0</v>
      </c>
      <c r="D13" s="195">
        <f>'Program Budget'!G675</f>
        <v>1333.3333333333333</v>
      </c>
      <c r="E13" s="196">
        <f>'Program Budget'!I675</f>
        <v>12</v>
      </c>
      <c r="F13" s="199">
        <f>'Program Budget'!H675</f>
        <v>0</v>
      </c>
      <c r="G13" s="198">
        <f t="shared" si="0"/>
        <v>0</v>
      </c>
      <c r="H13" s="195">
        <f t="shared" si="1"/>
        <v>1400</v>
      </c>
      <c r="I13" s="196">
        <f>'Program Budget'!L675</f>
        <v>12</v>
      </c>
      <c r="J13" s="199">
        <f>'Program Budget'!K675</f>
        <v>0</v>
      </c>
      <c r="K13" s="198">
        <f t="shared" si="2"/>
        <v>0</v>
      </c>
      <c r="L13" s="195">
        <f t="shared" si="3"/>
        <v>1470</v>
      </c>
      <c r="M13" s="196">
        <f>'Program Budget'!O675</f>
        <v>12</v>
      </c>
      <c r="N13" s="199">
        <f>'Program Budget'!N675</f>
        <v>0</v>
      </c>
      <c r="O13" s="198">
        <f t="shared" si="4"/>
        <v>0</v>
      </c>
      <c r="P13" s="195">
        <f t="shared" si="5"/>
        <v>1543.5</v>
      </c>
      <c r="Q13" s="196">
        <f>'Program Budget'!R675</f>
        <v>0</v>
      </c>
      <c r="R13" s="199">
        <f>'Program Budget'!Q675</f>
        <v>0</v>
      </c>
      <c r="S13" s="198">
        <f t="shared" si="6"/>
        <v>0</v>
      </c>
      <c r="T13" s="333">
        <f t="shared" si="7"/>
        <v>0</v>
      </c>
      <c r="U13" s="201"/>
      <c r="V13" s="188"/>
      <c r="W13" s="202"/>
      <c r="X13" s="202"/>
      <c r="AB13" s="163"/>
      <c r="AC13" s="203"/>
      <c r="AD13" s="203"/>
      <c r="AE13" s="204"/>
      <c r="AG13" s="205"/>
    </row>
    <row r="14" spans="1:33" ht="15" customHeight="1" outlineLevel="1">
      <c r="A14" s="193" t="str">
        <f>'Program Budget'!D676</f>
        <v>Cacao &amp; Complementary Crop Technical Field Leader (2)</v>
      </c>
      <c r="B14" s="194" t="str">
        <f>'Program Budget'!F676</f>
        <v>Month</v>
      </c>
      <c r="C14" s="198">
        <f>'Program Budget'!E676</f>
        <v>0</v>
      </c>
      <c r="D14" s="195">
        <f>'Program Budget'!G676</f>
        <v>3500</v>
      </c>
      <c r="E14" s="196">
        <f>'Program Budget'!I676</f>
        <v>6</v>
      </c>
      <c r="F14" s="199">
        <f>'Program Budget'!H676</f>
        <v>0</v>
      </c>
      <c r="G14" s="198">
        <f t="shared" si="0"/>
        <v>0</v>
      </c>
      <c r="H14" s="195">
        <f t="shared" si="1"/>
        <v>3675</v>
      </c>
      <c r="I14" s="196">
        <f>'Program Budget'!L676</f>
        <v>12</v>
      </c>
      <c r="J14" s="199">
        <f>'Program Budget'!K676</f>
        <v>0</v>
      </c>
      <c r="K14" s="198">
        <f t="shared" si="2"/>
        <v>0</v>
      </c>
      <c r="L14" s="195">
        <f t="shared" si="3"/>
        <v>3858.75</v>
      </c>
      <c r="M14" s="196">
        <f>'Program Budget'!O676</f>
        <v>12</v>
      </c>
      <c r="N14" s="199">
        <f>'Program Budget'!N676</f>
        <v>0</v>
      </c>
      <c r="O14" s="198">
        <f t="shared" si="4"/>
        <v>0</v>
      </c>
      <c r="P14" s="195">
        <f t="shared" si="5"/>
        <v>4051.6875</v>
      </c>
      <c r="Q14" s="196">
        <f>'Program Budget'!R676</f>
        <v>0</v>
      </c>
      <c r="R14" s="199">
        <f>'Program Budget'!Q676</f>
        <v>0</v>
      </c>
      <c r="S14" s="198">
        <f t="shared" si="6"/>
        <v>0</v>
      </c>
      <c r="T14" s="333">
        <f t="shared" si="7"/>
        <v>0</v>
      </c>
      <c r="U14" s="201"/>
      <c r="V14" s="188"/>
      <c r="W14" s="202"/>
      <c r="X14" s="202"/>
      <c r="AB14" s="163"/>
      <c r="AC14" s="203"/>
      <c r="AD14" s="203"/>
      <c r="AE14" s="204"/>
      <c r="AG14" s="205"/>
    </row>
    <row r="15" spans="1:33" ht="15" customHeight="1" outlineLevel="1">
      <c r="A15" s="193" t="str">
        <f>'Program Budget'!D677</f>
        <v>Extension Agents (45 in Y5 and 25 in Y6)</v>
      </c>
      <c r="B15" s="194" t="str">
        <f>'Program Budget'!F677</f>
        <v>Month</v>
      </c>
      <c r="C15" s="198">
        <f>'Program Budget'!E677</f>
        <v>0</v>
      </c>
      <c r="D15" s="195">
        <f>'Program Budget'!G677</f>
        <v>1000</v>
      </c>
      <c r="E15" s="196">
        <f>'Program Budget'!I677</f>
        <v>12</v>
      </c>
      <c r="F15" s="199">
        <f>'Program Budget'!H677</f>
        <v>0</v>
      </c>
      <c r="G15" s="198">
        <f t="shared" si="0"/>
        <v>0</v>
      </c>
      <c r="H15" s="195">
        <f t="shared" si="1"/>
        <v>1050</v>
      </c>
      <c r="I15" s="196">
        <f>'Program Budget'!L677</f>
        <v>12</v>
      </c>
      <c r="J15" s="199">
        <f>'Program Budget'!K677</f>
        <v>0</v>
      </c>
      <c r="K15" s="198">
        <f t="shared" si="2"/>
        <v>0</v>
      </c>
      <c r="L15" s="195">
        <f t="shared" si="3"/>
        <v>1102.5</v>
      </c>
      <c r="M15" s="196">
        <f>'Program Budget'!O677</f>
        <v>0</v>
      </c>
      <c r="N15" s="199">
        <f>'Program Budget'!N677</f>
        <v>0</v>
      </c>
      <c r="O15" s="198">
        <f t="shared" si="4"/>
        <v>0</v>
      </c>
      <c r="P15" s="195">
        <f t="shared" si="5"/>
        <v>1157.625</v>
      </c>
      <c r="Q15" s="196">
        <f>'Program Budget'!R677</f>
        <v>0</v>
      </c>
      <c r="R15" s="199">
        <f>'Program Budget'!Q677</f>
        <v>0</v>
      </c>
      <c r="S15" s="198">
        <f t="shared" si="6"/>
        <v>0</v>
      </c>
      <c r="T15" s="333">
        <f t="shared" si="7"/>
        <v>0</v>
      </c>
      <c r="U15" s="201"/>
      <c r="V15" s="188"/>
      <c r="W15" s="202"/>
      <c r="X15" s="202"/>
      <c r="AB15" s="163"/>
      <c r="AC15" s="203"/>
      <c r="AD15" s="203"/>
      <c r="AE15" s="204"/>
      <c r="AG15" s="205"/>
    </row>
    <row r="16" spans="1:33" ht="15" customHeight="1" outlineLevel="1">
      <c r="A16" s="193" t="str">
        <f>'Program Budget'!D678</f>
        <v>Activity Lead Agribusiness Senior Specialist (Complementary Crop)</v>
      </c>
      <c r="B16" s="194" t="str">
        <f>'Program Budget'!F678</f>
        <v>Month</v>
      </c>
      <c r="C16" s="198">
        <f>'Program Budget'!E678</f>
        <v>0</v>
      </c>
      <c r="D16" s="195">
        <f>'Program Budget'!G678</f>
        <v>2833.3333333333335</v>
      </c>
      <c r="E16" s="196">
        <f>'Program Budget'!I678</f>
        <v>12</v>
      </c>
      <c r="F16" s="199">
        <f>'Program Budget'!H678</f>
        <v>0</v>
      </c>
      <c r="G16" s="198">
        <f t="shared" si="0"/>
        <v>0</v>
      </c>
      <c r="H16" s="195">
        <f t="shared" si="1"/>
        <v>2975.0000000000005</v>
      </c>
      <c r="I16" s="196">
        <f>'Program Budget'!L678</f>
        <v>12</v>
      </c>
      <c r="J16" s="199">
        <f>'Program Budget'!K678</f>
        <v>0</v>
      </c>
      <c r="K16" s="198">
        <f t="shared" si="2"/>
        <v>0</v>
      </c>
      <c r="L16" s="195">
        <f t="shared" si="3"/>
        <v>3123.7500000000005</v>
      </c>
      <c r="M16" s="196">
        <f>'Program Budget'!O678</f>
        <v>12</v>
      </c>
      <c r="N16" s="199">
        <f>'Program Budget'!N678</f>
        <v>0</v>
      </c>
      <c r="O16" s="198">
        <f t="shared" si="4"/>
        <v>0</v>
      </c>
      <c r="P16" s="195">
        <f t="shared" si="5"/>
        <v>3279.9375000000005</v>
      </c>
      <c r="Q16" s="196">
        <f>'Program Budget'!R678</f>
        <v>0</v>
      </c>
      <c r="R16" s="199">
        <f>'Program Budget'!Q678</f>
        <v>0</v>
      </c>
      <c r="S16" s="198">
        <f t="shared" si="6"/>
        <v>0</v>
      </c>
      <c r="T16" s="333">
        <f t="shared" si="7"/>
        <v>0</v>
      </c>
      <c r="U16" s="201"/>
      <c r="V16" s="188"/>
      <c r="W16" s="202"/>
      <c r="X16" s="202"/>
      <c r="AB16" s="163"/>
      <c r="AC16" s="203"/>
      <c r="AD16" s="203"/>
      <c r="AE16" s="204"/>
      <c r="AG16" s="205"/>
    </row>
    <row r="17" spans="1:33" ht="15" customHeight="1" outlineLevel="1">
      <c r="A17" s="193" t="str">
        <f>'Program Budget'!D679</f>
        <v>Complementary Crops Field Officer</v>
      </c>
      <c r="B17" s="194" t="str">
        <f>'Program Budget'!F679</f>
        <v>Month</v>
      </c>
      <c r="C17" s="198">
        <f>'Program Budget'!E679</f>
        <v>0</v>
      </c>
      <c r="D17" s="195">
        <f>'Program Budget'!G679</f>
        <v>0</v>
      </c>
      <c r="E17" s="196">
        <f>'Program Budget'!I679</f>
        <v>0</v>
      </c>
      <c r="F17" s="199">
        <f>'Program Budget'!H679</f>
        <v>0</v>
      </c>
      <c r="G17" s="198">
        <f t="shared" si="0"/>
        <v>0</v>
      </c>
      <c r="H17" s="195">
        <f t="shared" si="1"/>
        <v>0</v>
      </c>
      <c r="I17" s="196">
        <f>'Program Budget'!L679</f>
        <v>12</v>
      </c>
      <c r="J17" s="199">
        <f>'Program Budget'!K679</f>
        <v>0</v>
      </c>
      <c r="K17" s="198">
        <f t="shared" si="2"/>
        <v>0</v>
      </c>
      <c r="L17" s="195">
        <f t="shared" si="3"/>
        <v>0</v>
      </c>
      <c r="M17" s="196">
        <f>'Program Budget'!O679</f>
        <v>12</v>
      </c>
      <c r="N17" s="199">
        <f>'Program Budget'!N679</f>
        <v>0</v>
      </c>
      <c r="O17" s="198">
        <f t="shared" si="4"/>
        <v>0</v>
      </c>
      <c r="P17" s="195">
        <f t="shared" si="5"/>
        <v>0</v>
      </c>
      <c r="Q17" s="196">
        <f>'Program Budget'!R679</f>
        <v>0</v>
      </c>
      <c r="R17" s="199">
        <f>'Program Budget'!Q679</f>
        <v>0</v>
      </c>
      <c r="S17" s="198">
        <f t="shared" si="6"/>
        <v>0</v>
      </c>
      <c r="T17" s="333">
        <f t="shared" si="7"/>
        <v>0</v>
      </c>
      <c r="U17" s="201"/>
      <c r="V17" s="188"/>
      <c r="W17" s="202"/>
      <c r="X17" s="202"/>
      <c r="AB17" s="163"/>
      <c r="AC17" s="203"/>
      <c r="AD17" s="203"/>
      <c r="AE17" s="204"/>
      <c r="AG17" s="205"/>
    </row>
    <row r="18" spans="1:33" ht="15" customHeight="1" outlineLevel="1">
      <c r="A18" s="193" t="str">
        <f>'Program Budget'!D680</f>
        <v>EPSEAS Specialist</v>
      </c>
      <c r="B18" s="194" t="str">
        <f>'Program Budget'!F680</f>
        <v>Month</v>
      </c>
      <c r="C18" s="198">
        <f>'Program Budget'!E680</f>
        <v>0</v>
      </c>
      <c r="D18" s="195">
        <f>'Program Budget'!G680</f>
        <v>0</v>
      </c>
      <c r="E18" s="196">
        <f>'Program Budget'!I680</f>
        <v>0</v>
      </c>
      <c r="F18" s="199">
        <f>'Program Budget'!H680</f>
        <v>0</v>
      </c>
      <c r="G18" s="198">
        <f t="shared" si="0"/>
        <v>0</v>
      </c>
      <c r="H18" s="195">
        <f t="shared" si="1"/>
        <v>0</v>
      </c>
      <c r="I18" s="196">
        <f>'Program Budget'!L680</f>
        <v>12</v>
      </c>
      <c r="J18" s="199">
        <f>'Program Budget'!K680</f>
        <v>0</v>
      </c>
      <c r="K18" s="198">
        <f t="shared" si="2"/>
        <v>0</v>
      </c>
      <c r="L18" s="195">
        <f t="shared" si="3"/>
        <v>0</v>
      </c>
      <c r="M18" s="196">
        <f>'Program Budget'!O680</f>
        <v>12</v>
      </c>
      <c r="N18" s="199">
        <f>'Program Budget'!N680</f>
        <v>0</v>
      </c>
      <c r="O18" s="198">
        <f t="shared" si="4"/>
        <v>0</v>
      </c>
      <c r="P18" s="195">
        <f t="shared" si="5"/>
        <v>0</v>
      </c>
      <c r="Q18" s="196">
        <f>'Program Budget'!R680</f>
        <v>0</v>
      </c>
      <c r="R18" s="199">
        <f>'Program Budget'!Q680</f>
        <v>0</v>
      </c>
      <c r="S18" s="198">
        <f t="shared" si="6"/>
        <v>0</v>
      </c>
      <c r="T18" s="333">
        <f t="shared" si="7"/>
        <v>0</v>
      </c>
      <c r="U18" s="201"/>
      <c r="V18" s="188"/>
      <c r="W18" s="202"/>
      <c r="X18" s="202"/>
      <c r="AB18" s="163"/>
      <c r="AC18" s="203"/>
      <c r="AD18" s="203"/>
      <c r="AE18" s="204"/>
      <c r="AG18" s="205"/>
    </row>
    <row r="19" spans="1:33" ht="15" customHeight="1" outlineLevel="1">
      <c r="A19" s="193" t="str">
        <f>'Program Budget'!D681</f>
        <v>Extension Agents for EPSEAS (20 in Y6 and 25 in Y7)</v>
      </c>
      <c r="B19" s="194" t="str">
        <f>'Program Budget'!F681</f>
        <v>Month</v>
      </c>
      <c r="C19" s="198">
        <f>'Program Budget'!E681</f>
        <v>0</v>
      </c>
      <c r="D19" s="195">
        <f>'Program Budget'!G681</f>
        <v>1000</v>
      </c>
      <c r="E19" s="196">
        <f>'Program Budget'!I681</f>
        <v>0</v>
      </c>
      <c r="F19" s="199">
        <f>'Program Budget'!H681</f>
        <v>0</v>
      </c>
      <c r="G19" s="198">
        <f t="shared" si="0"/>
        <v>0</v>
      </c>
      <c r="H19" s="195">
        <f t="shared" si="1"/>
        <v>1050</v>
      </c>
      <c r="I19" s="196">
        <f>'Program Budget'!L681</f>
        <v>12</v>
      </c>
      <c r="J19" s="199">
        <f>'Program Budget'!K681</f>
        <v>0</v>
      </c>
      <c r="K19" s="198">
        <f t="shared" si="2"/>
        <v>0</v>
      </c>
      <c r="L19" s="195">
        <f t="shared" si="3"/>
        <v>1102.5</v>
      </c>
      <c r="M19" s="196">
        <f>'Program Budget'!O681</f>
        <v>12</v>
      </c>
      <c r="N19" s="199">
        <f>'Program Budget'!N681</f>
        <v>0</v>
      </c>
      <c r="O19" s="198">
        <f t="shared" si="4"/>
        <v>0</v>
      </c>
      <c r="P19" s="195">
        <f t="shared" si="5"/>
        <v>1157.625</v>
      </c>
      <c r="Q19" s="196">
        <f>'Program Budget'!R681</f>
        <v>0</v>
      </c>
      <c r="R19" s="199">
        <f>'Program Budget'!Q681</f>
        <v>0</v>
      </c>
      <c r="S19" s="198">
        <f t="shared" si="6"/>
        <v>0</v>
      </c>
      <c r="T19" s="333">
        <f t="shared" si="7"/>
        <v>0</v>
      </c>
      <c r="U19" s="201"/>
      <c r="V19" s="188"/>
      <c r="W19" s="202"/>
      <c r="X19" s="202"/>
      <c r="AB19" s="163"/>
      <c r="AC19" s="203"/>
      <c r="AD19" s="203"/>
      <c r="AE19" s="204"/>
      <c r="AG19" s="205"/>
    </row>
    <row r="20" spans="1:33" ht="15" customHeight="1" outlineLevel="1">
      <c r="A20" s="193" t="str">
        <f>'Program Budget'!D682</f>
        <v xml:space="preserve">Senior M&amp;E Director </v>
      </c>
      <c r="B20" s="194" t="str">
        <f>'Program Budget'!F682</f>
        <v>Month</v>
      </c>
      <c r="C20" s="198">
        <f>'Program Budget'!E682</f>
        <v>9778.7999999999993</v>
      </c>
      <c r="D20" s="195">
        <f>'Program Budget'!G682</f>
        <v>6250</v>
      </c>
      <c r="E20" s="196">
        <f>'Program Budget'!I682</f>
        <v>12</v>
      </c>
      <c r="F20" s="199">
        <f>'Program Budget'!H682</f>
        <v>0.15</v>
      </c>
      <c r="G20" s="198">
        <f t="shared" si="0"/>
        <v>11250</v>
      </c>
      <c r="H20" s="195">
        <f t="shared" si="1"/>
        <v>6562.5</v>
      </c>
      <c r="I20" s="196">
        <f>'Program Budget'!L682</f>
        <v>12</v>
      </c>
      <c r="J20" s="199">
        <f>'Program Budget'!K682</f>
        <v>0</v>
      </c>
      <c r="K20" s="198">
        <f t="shared" si="2"/>
        <v>0</v>
      </c>
      <c r="L20" s="195">
        <f t="shared" si="3"/>
        <v>6890.625</v>
      </c>
      <c r="M20" s="196">
        <f>'Program Budget'!O682</f>
        <v>12</v>
      </c>
      <c r="N20" s="199">
        <f>'Program Budget'!N682</f>
        <v>0</v>
      </c>
      <c r="O20" s="198">
        <f t="shared" si="4"/>
        <v>0</v>
      </c>
      <c r="P20" s="195">
        <f t="shared" si="5"/>
        <v>7235.15625</v>
      </c>
      <c r="Q20" s="196">
        <f>'Program Budget'!R682</f>
        <v>6</v>
      </c>
      <c r="R20" s="199">
        <f>'Program Budget'!Q682</f>
        <v>0</v>
      </c>
      <c r="S20" s="198">
        <f t="shared" si="6"/>
        <v>0</v>
      </c>
      <c r="T20" s="333">
        <f t="shared" si="7"/>
        <v>21028.799999999999</v>
      </c>
      <c r="U20" s="201"/>
      <c r="V20" s="188"/>
      <c r="W20" s="202"/>
      <c r="X20" s="202"/>
      <c r="AB20" s="163"/>
      <c r="AC20" s="203"/>
      <c r="AD20" s="203"/>
      <c r="AE20" s="204"/>
      <c r="AG20" s="205"/>
    </row>
    <row r="21" spans="1:33" ht="15" customHeight="1" outlineLevel="1">
      <c r="A21" s="193" t="str">
        <f>'Program Budget'!D683</f>
        <v>Senior M&amp;E Specialist</v>
      </c>
      <c r="B21" s="194" t="str">
        <f>'Program Budget'!F683</f>
        <v>Month</v>
      </c>
      <c r="C21" s="198">
        <f>'Program Budget'!E683</f>
        <v>8678.7999999999993</v>
      </c>
      <c r="D21" s="195">
        <f>'Program Budget'!G683</f>
        <v>2833.3333333333335</v>
      </c>
      <c r="E21" s="196">
        <f>'Program Budget'!I683</f>
        <v>12</v>
      </c>
      <c r="F21" s="199">
        <f>'Program Budget'!H683</f>
        <v>0.15</v>
      </c>
      <c r="G21" s="198">
        <f t="shared" si="0"/>
        <v>5100</v>
      </c>
      <c r="H21" s="195">
        <f t="shared" si="1"/>
        <v>2975.0000000000005</v>
      </c>
      <c r="I21" s="196">
        <f>'Program Budget'!L683</f>
        <v>12</v>
      </c>
      <c r="J21" s="199">
        <f>'Program Budget'!K683</f>
        <v>0</v>
      </c>
      <c r="K21" s="198">
        <f t="shared" si="2"/>
        <v>0</v>
      </c>
      <c r="L21" s="195">
        <f t="shared" si="3"/>
        <v>3123.7500000000005</v>
      </c>
      <c r="M21" s="196">
        <f>'Program Budget'!O683</f>
        <v>12</v>
      </c>
      <c r="N21" s="199">
        <f>'Program Budget'!N683</f>
        <v>0</v>
      </c>
      <c r="O21" s="198">
        <f t="shared" si="4"/>
        <v>0</v>
      </c>
      <c r="P21" s="195">
        <f t="shared" si="5"/>
        <v>3279.9375000000005</v>
      </c>
      <c r="Q21" s="196">
        <f>'Program Budget'!R683</f>
        <v>6</v>
      </c>
      <c r="R21" s="199">
        <f>'Program Budget'!Q683</f>
        <v>0</v>
      </c>
      <c r="S21" s="198">
        <f t="shared" si="6"/>
        <v>0</v>
      </c>
      <c r="T21" s="333">
        <f t="shared" si="7"/>
        <v>13778.8</v>
      </c>
      <c r="U21" s="201"/>
      <c r="V21" s="188"/>
      <c r="W21" s="202"/>
      <c r="X21" s="202"/>
      <c r="AB21" s="163"/>
      <c r="AC21" s="203"/>
      <c r="AD21" s="203"/>
      <c r="AE21" s="204"/>
      <c r="AG21" s="205"/>
    </row>
    <row r="22" spans="1:33" ht="15" customHeight="1" outlineLevel="1">
      <c r="A22" s="193" t="str">
        <f>'Program Budget'!D684</f>
        <v>M&amp;E Specialist</v>
      </c>
      <c r="B22" s="194" t="str">
        <f>'Program Budget'!F684</f>
        <v>Month</v>
      </c>
      <c r="C22" s="198">
        <f>'Program Budget'!E684</f>
        <v>1578.8</v>
      </c>
      <c r="D22" s="195">
        <f>'Program Budget'!G684</f>
        <v>2500</v>
      </c>
      <c r="E22" s="196">
        <f>'Program Budget'!I684</f>
        <v>12</v>
      </c>
      <c r="F22" s="199">
        <f>'Program Budget'!H684</f>
        <v>0.15</v>
      </c>
      <c r="G22" s="198">
        <f t="shared" si="0"/>
        <v>4500</v>
      </c>
      <c r="H22" s="195">
        <f t="shared" si="1"/>
        <v>2625</v>
      </c>
      <c r="I22" s="196">
        <f>'Program Budget'!L684</f>
        <v>12</v>
      </c>
      <c r="J22" s="199">
        <f>'Program Budget'!K684</f>
        <v>0</v>
      </c>
      <c r="K22" s="198">
        <f t="shared" si="2"/>
        <v>0</v>
      </c>
      <c r="L22" s="195">
        <f t="shared" si="3"/>
        <v>2756.25</v>
      </c>
      <c r="M22" s="196">
        <f>'Program Budget'!O684</f>
        <v>12</v>
      </c>
      <c r="N22" s="199">
        <f>'Program Budget'!N684</f>
        <v>0</v>
      </c>
      <c r="O22" s="198">
        <f t="shared" si="4"/>
        <v>0</v>
      </c>
      <c r="P22" s="195">
        <f t="shared" si="5"/>
        <v>2894.0625</v>
      </c>
      <c r="Q22" s="196">
        <f>'Program Budget'!R684</f>
        <v>3</v>
      </c>
      <c r="R22" s="199">
        <f>'Program Budget'!Q684</f>
        <v>0</v>
      </c>
      <c r="S22" s="198">
        <f t="shared" si="6"/>
        <v>0</v>
      </c>
      <c r="T22" s="333">
        <f t="shared" si="7"/>
        <v>6078.8</v>
      </c>
      <c r="U22" s="201"/>
      <c r="V22" s="188"/>
      <c r="W22" s="202"/>
      <c r="X22" s="202"/>
      <c r="AB22" s="163"/>
      <c r="AC22" s="203"/>
      <c r="AD22" s="203"/>
      <c r="AE22" s="204"/>
      <c r="AG22" s="205"/>
    </row>
    <row r="23" spans="1:33" ht="15" customHeight="1" outlineLevel="1">
      <c r="A23" s="193" t="str">
        <f>'Program Budget'!D685</f>
        <v>M&amp;E Officer</v>
      </c>
      <c r="B23" s="194" t="str">
        <f>'Program Budget'!F685</f>
        <v>Month</v>
      </c>
      <c r="C23" s="198">
        <f>'Program Budget'!E685</f>
        <v>0</v>
      </c>
      <c r="D23" s="195">
        <f>'Program Budget'!G685</f>
        <v>1000</v>
      </c>
      <c r="E23" s="196">
        <f>'Program Budget'!I685</f>
        <v>12</v>
      </c>
      <c r="F23" s="199">
        <f>'Program Budget'!H685</f>
        <v>0.15</v>
      </c>
      <c r="G23" s="198">
        <f t="shared" si="0"/>
        <v>1800</v>
      </c>
      <c r="H23" s="195">
        <f t="shared" si="1"/>
        <v>1050</v>
      </c>
      <c r="I23" s="196">
        <f>'Program Budget'!L685</f>
        <v>12</v>
      </c>
      <c r="J23" s="199">
        <f>'Program Budget'!K685</f>
        <v>0</v>
      </c>
      <c r="K23" s="198">
        <f t="shared" si="2"/>
        <v>0</v>
      </c>
      <c r="L23" s="195">
        <f t="shared" si="3"/>
        <v>1102.5</v>
      </c>
      <c r="M23" s="196">
        <f>'Program Budget'!O685</f>
        <v>12</v>
      </c>
      <c r="N23" s="199">
        <f>'Program Budget'!N685</f>
        <v>0</v>
      </c>
      <c r="O23" s="198">
        <f t="shared" si="4"/>
        <v>0</v>
      </c>
      <c r="P23" s="195">
        <f t="shared" si="5"/>
        <v>1157.625</v>
      </c>
      <c r="Q23" s="196">
        <f>'Program Budget'!R685</f>
        <v>3</v>
      </c>
      <c r="R23" s="199">
        <f>'Program Budget'!Q685</f>
        <v>0</v>
      </c>
      <c r="S23" s="198">
        <f t="shared" si="6"/>
        <v>0</v>
      </c>
      <c r="T23" s="333">
        <f t="shared" si="7"/>
        <v>1800</v>
      </c>
      <c r="U23" s="201"/>
      <c r="V23" s="188"/>
      <c r="W23" s="202"/>
      <c r="X23" s="202"/>
      <c r="AB23" s="163"/>
      <c r="AC23" s="203"/>
      <c r="AD23" s="203"/>
      <c r="AE23" s="204"/>
      <c r="AG23" s="205"/>
    </row>
    <row r="24" spans="1:33" ht="15" customHeight="1" outlineLevel="1">
      <c r="A24" s="193" t="str">
        <f>'Program Budget'!D686</f>
        <v>Partnerships and Investment Director</v>
      </c>
      <c r="B24" s="194" t="str">
        <f>'Program Budget'!F686</f>
        <v>Month</v>
      </c>
      <c r="C24" s="198">
        <f>'Program Budget'!E686</f>
        <v>49430.39</v>
      </c>
      <c r="D24" s="195">
        <f>'Program Budget'!G686</f>
        <v>4583.333333333333</v>
      </c>
      <c r="E24" s="196">
        <f>'Program Budget'!I686</f>
        <v>12</v>
      </c>
      <c r="F24" s="199">
        <f>'Program Budget'!H686</f>
        <v>0.15</v>
      </c>
      <c r="G24" s="198">
        <f t="shared" si="0"/>
        <v>8250</v>
      </c>
      <c r="H24" s="195">
        <f t="shared" si="1"/>
        <v>4812.5</v>
      </c>
      <c r="I24" s="196">
        <f>'Program Budget'!L686</f>
        <v>12</v>
      </c>
      <c r="J24" s="199">
        <f>'Program Budget'!K686</f>
        <v>0</v>
      </c>
      <c r="K24" s="198">
        <f t="shared" si="2"/>
        <v>0</v>
      </c>
      <c r="L24" s="195">
        <f t="shared" si="3"/>
        <v>5053.125</v>
      </c>
      <c r="M24" s="196">
        <f>'Program Budget'!O686</f>
        <v>12</v>
      </c>
      <c r="N24" s="199">
        <f>'Program Budget'!N686</f>
        <v>0</v>
      </c>
      <c r="O24" s="198">
        <f t="shared" si="4"/>
        <v>0</v>
      </c>
      <c r="P24" s="195">
        <f t="shared" si="5"/>
        <v>5305.78125</v>
      </c>
      <c r="Q24" s="196">
        <f>'Program Budget'!R686</f>
        <v>0</v>
      </c>
      <c r="R24" s="199">
        <f>'Program Budget'!Q686</f>
        <v>0</v>
      </c>
      <c r="S24" s="198">
        <f t="shared" si="6"/>
        <v>0</v>
      </c>
      <c r="T24" s="333">
        <f t="shared" si="7"/>
        <v>57680.39</v>
      </c>
      <c r="U24" s="201"/>
      <c r="V24" s="188"/>
      <c r="W24" s="202"/>
      <c r="X24" s="202"/>
      <c r="AB24" s="163"/>
      <c r="AC24" s="203"/>
      <c r="AD24" s="203"/>
      <c r="AE24" s="204"/>
      <c r="AG24" s="205"/>
    </row>
    <row r="25" spans="1:33" ht="15" customHeight="1" outlineLevel="1">
      <c r="A25" s="193" t="str">
        <f>'Program Budget'!D687</f>
        <v>Partnerships and Investment Specialist</v>
      </c>
      <c r="B25" s="194" t="str">
        <f>'Program Budget'!F687</f>
        <v>Month</v>
      </c>
      <c r="C25" s="198">
        <f>'Program Budget'!E687</f>
        <v>0</v>
      </c>
      <c r="D25" s="195">
        <f>'Program Budget'!G687</f>
        <v>1750</v>
      </c>
      <c r="E25" s="196">
        <f>'Program Budget'!I687</f>
        <v>12</v>
      </c>
      <c r="F25" s="199">
        <f>'Program Budget'!H687</f>
        <v>0.15</v>
      </c>
      <c r="G25" s="198">
        <f t="shared" si="0"/>
        <v>3150</v>
      </c>
      <c r="H25" s="195">
        <f t="shared" si="1"/>
        <v>1837.5</v>
      </c>
      <c r="I25" s="196">
        <f>'Program Budget'!L687</f>
        <v>12</v>
      </c>
      <c r="J25" s="199">
        <f>'Program Budget'!K687</f>
        <v>0</v>
      </c>
      <c r="K25" s="198">
        <f t="shared" si="2"/>
        <v>0</v>
      </c>
      <c r="L25" s="195">
        <f t="shared" si="3"/>
        <v>1929.375</v>
      </c>
      <c r="M25" s="196">
        <f>'Program Budget'!O687</f>
        <v>12</v>
      </c>
      <c r="N25" s="199">
        <f>'Program Budget'!N687</f>
        <v>0</v>
      </c>
      <c r="O25" s="198">
        <f t="shared" si="4"/>
        <v>0</v>
      </c>
      <c r="P25" s="195">
        <f t="shared" si="5"/>
        <v>2025.84375</v>
      </c>
      <c r="Q25" s="196">
        <f>'Program Budget'!R687</f>
        <v>0</v>
      </c>
      <c r="R25" s="199">
        <f>'Program Budget'!Q687</f>
        <v>0</v>
      </c>
      <c r="S25" s="198">
        <f t="shared" si="6"/>
        <v>0</v>
      </c>
      <c r="T25" s="333">
        <f t="shared" si="7"/>
        <v>3150</v>
      </c>
      <c r="U25" s="201"/>
      <c r="V25" s="188"/>
      <c r="W25" s="202"/>
      <c r="X25" s="202"/>
      <c r="AB25" s="163"/>
      <c r="AC25" s="203"/>
      <c r="AD25" s="203"/>
      <c r="AE25" s="204"/>
      <c r="AG25" s="205"/>
    </row>
    <row r="26" spans="1:33" ht="15" customHeight="1" outlineLevel="1">
      <c r="A26" s="193" t="str">
        <f>'Program Budget'!D688</f>
        <v>Organizational Strengthening Specialist</v>
      </c>
      <c r="B26" s="194" t="str">
        <f>'Program Budget'!F688</f>
        <v>Month</v>
      </c>
      <c r="C26" s="198">
        <f>'Program Budget'!E688</f>
        <v>0</v>
      </c>
      <c r="D26" s="195">
        <f>'Program Budget'!G688</f>
        <v>1750</v>
      </c>
      <c r="E26" s="196">
        <f>'Program Budget'!I688</f>
        <v>12</v>
      </c>
      <c r="F26" s="199">
        <f>'Program Budget'!H688</f>
        <v>0.15</v>
      </c>
      <c r="G26" s="198">
        <f t="shared" si="0"/>
        <v>3150</v>
      </c>
      <c r="H26" s="195">
        <f t="shared" si="1"/>
        <v>1837.5</v>
      </c>
      <c r="I26" s="196">
        <f>'Program Budget'!L688</f>
        <v>12</v>
      </c>
      <c r="J26" s="199">
        <f>'Program Budget'!K688</f>
        <v>0</v>
      </c>
      <c r="K26" s="198">
        <f t="shared" si="2"/>
        <v>0</v>
      </c>
      <c r="L26" s="195">
        <f t="shared" si="3"/>
        <v>1929.375</v>
      </c>
      <c r="M26" s="196">
        <f>'Program Budget'!O688</f>
        <v>12</v>
      </c>
      <c r="N26" s="199">
        <f>'Program Budget'!N688</f>
        <v>0</v>
      </c>
      <c r="O26" s="198">
        <f t="shared" si="4"/>
        <v>0</v>
      </c>
      <c r="P26" s="195">
        <f t="shared" si="5"/>
        <v>2025.84375</v>
      </c>
      <c r="Q26" s="196">
        <f>'Program Budget'!R688</f>
        <v>0</v>
      </c>
      <c r="R26" s="199">
        <f>'Program Budget'!Q688</f>
        <v>0</v>
      </c>
      <c r="S26" s="198">
        <f t="shared" si="6"/>
        <v>0</v>
      </c>
      <c r="T26" s="333">
        <f t="shared" si="7"/>
        <v>3150</v>
      </c>
      <c r="U26" s="201"/>
      <c r="V26" s="188"/>
      <c r="W26" s="202"/>
      <c r="X26" s="202"/>
      <c r="AB26" s="163"/>
      <c r="AC26" s="203"/>
      <c r="AD26" s="203"/>
      <c r="AE26" s="204"/>
      <c r="AG26" s="205"/>
    </row>
    <row r="27" spans="1:33" ht="15" customHeight="1" outlineLevel="1">
      <c r="A27" s="193" t="str">
        <f>'Program Budget'!D689</f>
        <v>Value Chain Strengthening Director</v>
      </c>
      <c r="B27" s="194" t="str">
        <f>'Program Budget'!F689</f>
        <v>Month</v>
      </c>
      <c r="C27" s="198">
        <f>'Program Budget'!E689</f>
        <v>0</v>
      </c>
      <c r="D27" s="195">
        <f>'Program Budget'!G689</f>
        <v>0</v>
      </c>
      <c r="E27" s="196">
        <f>'Program Budget'!I689</f>
        <v>12</v>
      </c>
      <c r="F27" s="199">
        <f>'Program Budget'!H689</f>
        <v>0.15</v>
      </c>
      <c r="G27" s="198">
        <f t="shared" si="0"/>
        <v>0</v>
      </c>
      <c r="H27" s="195">
        <f t="shared" si="1"/>
        <v>0</v>
      </c>
      <c r="I27" s="196">
        <f>'Program Budget'!L689</f>
        <v>12</v>
      </c>
      <c r="J27" s="199">
        <f>'Program Budget'!K689</f>
        <v>0</v>
      </c>
      <c r="K27" s="198">
        <f t="shared" si="2"/>
        <v>0</v>
      </c>
      <c r="L27" s="195">
        <f t="shared" si="3"/>
        <v>0</v>
      </c>
      <c r="M27" s="196">
        <f>'Program Budget'!O689</f>
        <v>12</v>
      </c>
      <c r="N27" s="199">
        <f>'Program Budget'!N689</f>
        <v>0</v>
      </c>
      <c r="O27" s="198">
        <f t="shared" si="4"/>
        <v>0</v>
      </c>
      <c r="P27" s="195">
        <f t="shared" si="5"/>
        <v>0</v>
      </c>
      <c r="Q27" s="196">
        <f>'Program Budget'!R689</f>
        <v>4</v>
      </c>
      <c r="R27" s="199">
        <f>'Program Budget'!Q689</f>
        <v>0</v>
      </c>
      <c r="S27" s="198">
        <f t="shared" si="6"/>
        <v>0</v>
      </c>
      <c r="T27" s="333">
        <f t="shared" si="7"/>
        <v>0</v>
      </c>
      <c r="U27" s="201"/>
      <c r="V27" s="188"/>
      <c r="W27" s="202"/>
      <c r="X27" s="202"/>
      <c r="AB27" s="163"/>
      <c r="AC27" s="203"/>
      <c r="AD27" s="203"/>
      <c r="AE27" s="204"/>
      <c r="AG27" s="205"/>
    </row>
    <row r="28" spans="1:33" ht="15" customHeight="1" outlineLevel="1">
      <c r="A28" s="193" t="str">
        <f>'Program Budget'!D690</f>
        <v>Communications Specialist</v>
      </c>
      <c r="B28" s="194" t="str">
        <f>'Program Budget'!F690</f>
        <v>Month</v>
      </c>
      <c r="C28" s="198">
        <f>'Program Budget'!E690</f>
        <v>0</v>
      </c>
      <c r="D28" s="195">
        <f>'Program Budget'!G690</f>
        <v>1750</v>
      </c>
      <c r="E28" s="196">
        <f>'Program Budget'!I690</f>
        <v>12</v>
      </c>
      <c r="F28" s="199">
        <f>'Program Budget'!H690</f>
        <v>0.15</v>
      </c>
      <c r="G28" s="198">
        <f t="shared" si="0"/>
        <v>3150</v>
      </c>
      <c r="H28" s="195">
        <f t="shared" si="1"/>
        <v>1837.5</v>
      </c>
      <c r="I28" s="196">
        <f>'Program Budget'!L690</f>
        <v>12</v>
      </c>
      <c r="J28" s="199">
        <f>'Program Budget'!K690</f>
        <v>0</v>
      </c>
      <c r="K28" s="198">
        <f t="shared" si="2"/>
        <v>0</v>
      </c>
      <c r="L28" s="195">
        <f t="shared" si="3"/>
        <v>1929.375</v>
      </c>
      <c r="M28" s="196">
        <f>'Program Budget'!O690</f>
        <v>12</v>
      </c>
      <c r="N28" s="199">
        <f>'Program Budget'!N690</f>
        <v>0</v>
      </c>
      <c r="O28" s="198">
        <f t="shared" si="4"/>
        <v>0</v>
      </c>
      <c r="P28" s="195">
        <f t="shared" si="5"/>
        <v>2025.84375</v>
      </c>
      <c r="Q28" s="196">
        <f>'Program Budget'!R690</f>
        <v>0</v>
      </c>
      <c r="R28" s="199">
        <f>'Program Budget'!Q690</f>
        <v>0</v>
      </c>
      <c r="S28" s="198">
        <f t="shared" si="6"/>
        <v>0</v>
      </c>
      <c r="T28" s="333">
        <f t="shared" si="7"/>
        <v>3150</v>
      </c>
      <c r="U28" s="201"/>
      <c r="V28" s="188"/>
      <c r="W28" s="202"/>
      <c r="X28" s="202"/>
      <c r="AB28" s="163"/>
      <c r="AC28" s="203"/>
      <c r="AD28" s="203"/>
      <c r="AE28" s="204"/>
      <c r="AG28" s="205"/>
    </row>
    <row r="29" spans="1:33" ht="15" customHeight="1" outlineLevel="1">
      <c r="A29" s="193" t="str">
        <f>'Program Budget'!D691</f>
        <v>Value Chain Specialist</v>
      </c>
      <c r="B29" s="194" t="str">
        <f>'Program Budget'!F691</f>
        <v>Month</v>
      </c>
      <c r="C29" s="198">
        <f>'Program Budget'!E691</f>
        <v>0</v>
      </c>
      <c r="D29" s="195">
        <f>'Program Budget'!G691</f>
        <v>2500</v>
      </c>
      <c r="E29" s="196">
        <f>'Program Budget'!I691</f>
        <v>12</v>
      </c>
      <c r="F29" s="199">
        <f>'Program Budget'!H691</f>
        <v>0.15</v>
      </c>
      <c r="G29" s="198">
        <f t="shared" si="0"/>
        <v>4500</v>
      </c>
      <c r="H29" s="195">
        <f t="shared" si="1"/>
        <v>2625</v>
      </c>
      <c r="I29" s="196">
        <f>'Program Budget'!L691</f>
        <v>12</v>
      </c>
      <c r="J29" s="199">
        <f>'Program Budget'!K691</f>
        <v>0</v>
      </c>
      <c r="K29" s="198">
        <f t="shared" si="2"/>
        <v>0</v>
      </c>
      <c r="L29" s="195">
        <f t="shared" si="3"/>
        <v>2756.25</v>
      </c>
      <c r="M29" s="196">
        <f>'Program Budget'!O691</f>
        <v>12</v>
      </c>
      <c r="N29" s="199">
        <f>'Program Budget'!N691</f>
        <v>0</v>
      </c>
      <c r="O29" s="198">
        <f t="shared" si="4"/>
        <v>0</v>
      </c>
      <c r="P29" s="195">
        <f t="shared" si="5"/>
        <v>2894.0625</v>
      </c>
      <c r="Q29" s="196">
        <f>'Program Budget'!R691</f>
        <v>0</v>
      </c>
      <c r="R29" s="199">
        <f>'Program Budget'!Q691</f>
        <v>0</v>
      </c>
      <c r="S29" s="198">
        <f t="shared" si="6"/>
        <v>0</v>
      </c>
      <c r="T29" s="333">
        <f t="shared" si="7"/>
        <v>4500</v>
      </c>
      <c r="U29" s="201"/>
      <c r="V29" s="188"/>
      <c r="W29" s="202"/>
      <c r="X29" s="202"/>
      <c r="AB29" s="163"/>
      <c r="AC29" s="203"/>
      <c r="AD29" s="203"/>
      <c r="AE29" s="204"/>
      <c r="AG29" s="205"/>
    </row>
    <row r="30" spans="1:33" ht="15" customHeight="1" outlineLevel="1">
      <c r="A30" s="193" t="str">
        <f>'Program Budget'!D692</f>
        <v>Contracts &amp; Compliance Director</v>
      </c>
      <c r="B30" s="194" t="str">
        <f>'Program Budget'!F692</f>
        <v>Month</v>
      </c>
      <c r="C30" s="198">
        <f>'Program Budget'!E692</f>
        <v>5878.8</v>
      </c>
      <c r="D30" s="195">
        <f>'Program Budget'!G692</f>
        <v>4583.333333333333</v>
      </c>
      <c r="E30" s="196">
        <f>'Program Budget'!I692</f>
        <v>12</v>
      </c>
      <c r="F30" s="199">
        <f>'Program Budget'!H692</f>
        <v>0.15</v>
      </c>
      <c r="G30" s="198">
        <f t="shared" si="0"/>
        <v>8250</v>
      </c>
      <c r="H30" s="195">
        <f t="shared" si="1"/>
        <v>4812.5</v>
      </c>
      <c r="I30" s="196">
        <f>'Program Budget'!L692</f>
        <v>12</v>
      </c>
      <c r="J30" s="199">
        <f>'Program Budget'!K692</f>
        <v>0</v>
      </c>
      <c r="K30" s="198">
        <f t="shared" si="2"/>
        <v>0</v>
      </c>
      <c r="L30" s="195">
        <f t="shared" si="3"/>
        <v>5053.125</v>
      </c>
      <c r="M30" s="196">
        <f>'Program Budget'!O692</f>
        <v>12</v>
      </c>
      <c r="N30" s="199">
        <f>'Program Budget'!N692</f>
        <v>0</v>
      </c>
      <c r="O30" s="198">
        <f t="shared" si="4"/>
        <v>0</v>
      </c>
      <c r="P30" s="195">
        <f t="shared" si="5"/>
        <v>5305.78125</v>
      </c>
      <c r="Q30" s="196">
        <f>'Program Budget'!R692</f>
        <v>3</v>
      </c>
      <c r="R30" s="199">
        <f>'Program Budget'!Q692</f>
        <v>0</v>
      </c>
      <c r="S30" s="198">
        <f t="shared" si="6"/>
        <v>0</v>
      </c>
      <c r="T30" s="333">
        <f t="shared" si="7"/>
        <v>14128.8</v>
      </c>
      <c r="U30" s="201"/>
      <c r="V30" s="188"/>
      <c r="W30" s="202"/>
      <c r="X30" s="202"/>
      <c r="AB30" s="163"/>
      <c r="AC30" s="203"/>
      <c r="AD30" s="203"/>
      <c r="AE30" s="204"/>
      <c r="AG30" s="205"/>
    </row>
    <row r="31" spans="1:33" ht="15" customHeight="1" outlineLevel="1">
      <c r="A31" s="193" t="str">
        <f>'Program Budget'!D693</f>
        <v>Grants &amp; Procurement Specialist (2)</v>
      </c>
      <c r="B31" s="194" t="str">
        <f>'Program Budget'!F693</f>
        <v>Month</v>
      </c>
      <c r="C31" s="198">
        <f>'Program Budget'!E693</f>
        <v>0</v>
      </c>
      <c r="D31" s="195">
        <f>'Program Budget'!G693</f>
        <v>3500</v>
      </c>
      <c r="E31" s="196">
        <f>'Program Budget'!I693</f>
        <v>12</v>
      </c>
      <c r="F31" s="199">
        <f>'Program Budget'!H693</f>
        <v>0</v>
      </c>
      <c r="G31" s="198">
        <f t="shared" si="0"/>
        <v>0</v>
      </c>
      <c r="H31" s="195">
        <f t="shared" si="1"/>
        <v>3675</v>
      </c>
      <c r="I31" s="196">
        <f>'Program Budget'!L693</f>
        <v>12</v>
      </c>
      <c r="J31" s="199">
        <f>'Program Budget'!K693</f>
        <v>0</v>
      </c>
      <c r="K31" s="198">
        <f t="shared" si="2"/>
        <v>0</v>
      </c>
      <c r="L31" s="195">
        <f t="shared" si="3"/>
        <v>3858.75</v>
      </c>
      <c r="M31" s="196">
        <f>'Program Budget'!O693</f>
        <v>12</v>
      </c>
      <c r="N31" s="199">
        <f>'Program Budget'!N693</f>
        <v>0</v>
      </c>
      <c r="O31" s="198">
        <f t="shared" si="4"/>
        <v>0</v>
      </c>
      <c r="P31" s="195">
        <f t="shared" si="5"/>
        <v>4051.6875</v>
      </c>
      <c r="Q31" s="196">
        <f>'Program Budget'!R693</f>
        <v>0</v>
      </c>
      <c r="R31" s="199">
        <f>'Program Budget'!Q693</f>
        <v>0</v>
      </c>
      <c r="S31" s="198">
        <f t="shared" si="6"/>
        <v>0</v>
      </c>
      <c r="T31" s="333">
        <f t="shared" si="7"/>
        <v>0</v>
      </c>
      <c r="U31" s="201"/>
      <c r="V31" s="188"/>
      <c r="W31" s="202"/>
      <c r="X31" s="202"/>
      <c r="AB31" s="163"/>
      <c r="AC31" s="203"/>
      <c r="AD31" s="203"/>
      <c r="AE31" s="204"/>
      <c r="AG31" s="205"/>
    </row>
    <row r="32" spans="1:33" ht="15" customHeight="1" outlineLevel="1">
      <c r="A32" s="193" t="str">
        <f>'Program Budget'!D694</f>
        <v xml:space="preserve">F&amp;A Director </v>
      </c>
      <c r="B32" s="194" t="str">
        <f>'Program Budget'!F694</f>
        <v>Month</v>
      </c>
      <c r="C32" s="198">
        <f>'Program Budget'!E694</f>
        <v>4339.51</v>
      </c>
      <c r="D32" s="195">
        <f>'Program Budget'!G694</f>
        <v>5279.4</v>
      </c>
      <c r="E32" s="196">
        <f>'Program Budget'!I694</f>
        <v>12</v>
      </c>
      <c r="F32" s="199">
        <f>'Program Budget'!H694</f>
        <v>0.1</v>
      </c>
      <c r="G32" s="198">
        <f t="shared" si="0"/>
        <v>6335.28</v>
      </c>
      <c r="H32" s="195">
        <f t="shared" si="1"/>
        <v>5543.37</v>
      </c>
      <c r="I32" s="196">
        <f>'Program Budget'!L694</f>
        <v>12</v>
      </c>
      <c r="J32" s="199">
        <f>'Program Budget'!K694</f>
        <v>0</v>
      </c>
      <c r="K32" s="198">
        <f t="shared" si="2"/>
        <v>0</v>
      </c>
      <c r="L32" s="195">
        <f t="shared" si="3"/>
        <v>5820.5385000000006</v>
      </c>
      <c r="M32" s="196">
        <f>'Program Budget'!O694</f>
        <v>12</v>
      </c>
      <c r="N32" s="199">
        <f>'Program Budget'!N694</f>
        <v>0</v>
      </c>
      <c r="O32" s="198">
        <f t="shared" si="4"/>
        <v>0</v>
      </c>
      <c r="P32" s="195">
        <f t="shared" si="5"/>
        <v>6111.5654250000007</v>
      </c>
      <c r="Q32" s="196">
        <f>'Program Budget'!R694</f>
        <v>6</v>
      </c>
      <c r="R32" s="199">
        <f>'Program Budget'!Q694</f>
        <v>0</v>
      </c>
      <c r="S32" s="198">
        <f t="shared" si="6"/>
        <v>0</v>
      </c>
      <c r="T32" s="333">
        <f t="shared" si="7"/>
        <v>10674.79</v>
      </c>
      <c r="U32" s="201"/>
      <c r="V32" s="188"/>
      <c r="W32" s="202"/>
      <c r="X32" s="202"/>
      <c r="AB32" s="163"/>
      <c r="AC32" s="203"/>
      <c r="AD32" s="203"/>
      <c r="AE32" s="204"/>
      <c r="AG32" s="205"/>
    </row>
    <row r="33" spans="1:33" ht="15" customHeight="1" outlineLevel="1">
      <c r="A33" s="193" t="str">
        <f>'Program Budget'!D695</f>
        <v>Accounting &amp; Finance Specialist</v>
      </c>
      <c r="B33" s="194" t="str">
        <f>'Program Budget'!F695</f>
        <v>Month</v>
      </c>
      <c r="C33" s="198">
        <f>'Program Budget'!E695</f>
        <v>0</v>
      </c>
      <c r="D33" s="195">
        <f>'Program Budget'!G695</f>
        <v>1750</v>
      </c>
      <c r="E33" s="196">
        <f>'Program Budget'!I695</f>
        <v>12</v>
      </c>
      <c r="F33" s="199">
        <f>'Program Budget'!H695</f>
        <v>0.15</v>
      </c>
      <c r="G33" s="198">
        <f t="shared" si="0"/>
        <v>3150</v>
      </c>
      <c r="H33" s="195">
        <f t="shared" si="1"/>
        <v>1837.5</v>
      </c>
      <c r="I33" s="196">
        <f>'Program Budget'!L695</f>
        <v>12</v>
      </c>
      <c r="J33" s="199">
        <f>'Program Budget'!K695</f>
        <v>0</v>
      </c>
      <c r="K33" s="198">
        <f t="shared" si="2"/>
        <v>0</v>
      </c>
      <c r="L33" s="195">
        <f t="shared" si="3"/>
        <v>1929.375</v>
      </c>
      <c r="M33" s="196">
        <f>'Program Budget'!O695</f>
        <v>12</v>
      </c>
      <c r="N33" s="199">
        <f>'Program Budget'!N695</f>
        <v>0</v>
      </c>
      <c r="O33" s="198">
        <f t="shared" si="4"/>
        <v>0</v>
      </c>
      <c r="P33" s="195">
        <f t="shared" si="5"/>
        <v>2025.84375</v>
      </c>
      <c r="Q33" s="196">
        <f>'Program Budget'!R695</f>
        <v>3</v>
      </c>
      <c r="R33" s="199">
        <f>'Program Budget'!Q695</f>
        <v>0</v>
      </c>
      <c r="S33" s="198">
        <f t="shared" si="6"/>
        <v>0</v>
      </c>
      <c r="T33" s="333">
        <f t="shared" si="7"/>
        <v>3150</v>
      </c>
      <c r="U33" s="201"/>
      <c r="V33" s="188"/>
      <c r="W33" s="202"/>
      <c r="X33" s="202"/>
      <c r="AB33" s="163"/>
      <c r="AC33" s="203"/>
      <c r="AD33" s="203"/>
      <c r="AE33" s="204"/>
      <c r="AG33" s="205"/>
    </row>
    <row r="34" spans="1:33" ht="15" customHeight="1" outlineLevel="1">
      <c r="A34" s="193" t="str">
        <f>'Program Budget'!D696</f>
        <v xml:space="preserve">Accountant </v>
      </c>
      <c r="B34" s="194" t="str">
        <f>'Program Budget'!F696</f>
        <v>Month</v>
      </c>
      <c r="C34" s="198">
        <f>'Program Budget'!E696</f>
        <v>0</v>
      </c>
      <c r="D34" s="195">
        <f>'Program Budget'!G696</f>
        <v>1750</v>
      </c>
      <c r="E34" s="196">
        <f>'Program Budget'!I696</f>
        <v>12</v>
      </c>
      <c r="F34" s="199">
        <f>'Program Budget'!H696</f>
        <v>0.15</v>
      </c>
      <c r="G34" s="198">
        <f t="shared" si="0"/>
        <v>3150</v>
      </c>
      <c r="H34" s="195">
        <f t="shared" si="1"/>
        <v>1837.5</v>
      </c>
      <c r="I34" s="196">
        <f>'Program Budget'!L696</f>
        <v>12</v>
      </c>
      <c r="J34" s="199">
        <f>'Program Budget'!K696</f>
        <v>0</v>
      </c>
      <c r="K34" s="198">
        <f t="shared" si="2"/>
        <v>0</v>
      </c>
      <c r="L34" s="195">
        <f t="shared" si="3"/>
        <v>1929.375</v>
      </c>
      <c r="M34" s="196">
        <f>'Program Budget'!O696</f>
        <v>12</v>
      </c>
      <c r="N34" s="199">
        <f>'Program Budget'!N696</f>
        <v>0</v>
      </c>
      <c r="O34" s="198">
        <f t="shared" si="4"/>
        <v>0</v>
      </c>
      <c r="P34" s="195">
        <f t="shared" si="5"/>
        <v>2025.84375</v>
      </c>
      <c r="Q34" s="196">
        <f>'Program Budget'!R696</f>
        <v>5</v>
      </c>
      <c r="R34" s="199">
        <f>'Program Budget'!Q696</f>
        <v>0</v>
      </c>
      <c r="S34" s="198">
        <f t="shared" si="6"/>
        <v>0</v>
      </c>
      <c r="T34" s="333">
        <f t="shared" si="7"/>
        <v>3150</v>
      </c>
      <c r="U34" s="201"/>
      <c r="V34" s="188"/>
      <c r="W34" s="202"/>
      <c r="X34" s="202"/>
      <c r="AB34" s="163"/>
      <c r="AC34" s="203"/>
      <c r="AD34" s="203"/>
      <c r="AE34" s="204"/>
      <c r="AG34" s="205"/>
    </row>
    <row r="35" spans="1:33" ht="15" customHeight="1" outlineLevel="1">
      <c r="A35" s="193" t="str">
        <f>'Program Budget'!D697</f>
        <v>Finance &amp; Admin Coordinator - 50% LOE</v>
      </c>
      <c r="B35" s="194" t="str">
        <f>'Program Budget'!F697</f>
        <v>Month</v>
      </c>
      <c r="C35" s="198">
        <f>'Program Budget'!E697</f>
        <v>0</v>
      </c>
      <c r="D35" s="195">
        <f>'Program Budget'!G697</f>
        <v>2583.3333333333335</v>
      </c>
      <c r="E35" s="196">
        <f>'Program Budget'!I697</f>
        <v>12</v>
      </c>
      <c r="F35" s="199">
        <f>'Program Budget'!H697</f>
        <v>0.05</v>
      </c>
      <c r="G35" s="198">
        <f t="shared" si="0"/>
        <v>1550</v>
      </c>
      <c r="H35" s="195">
        <f t="shared" si="1"/>
        <v>2712.5000000000005</v>
      </c>
      <c r="I35" s="196">
        <f>'Program Budget'!L697</f>
        <v>12</v>
      </c>
      <c r="J35" s="199">
        <f>'Program Budget'!K697</f>
        <v>0</v>
      </c>
      <c r="K35" s="198">
        <f t="shared" si="2"/>
        <v>0</v>
      </c>
      <c r="L35" s="195">
        <f t="shared" si="3"/>
        <v>2848.1250000000005</v>
      </c>
      <c r="M35" s="196">
        <f>'Program Budget'!O697</f>
        <v>12</v>
      </c>
      <c r="N35" s="199">
        <f>'Program Budget'!N697</f>
        <v>0</v>
      </c>
      <c r="O35" s="198">
        <f t="shared" si="4"/>
        <v>0</v>
      </c>
      <c r="P35" s="195">
        <f t="shared" si="5"/>
        <v>2990.5312500000005</v>
      </c>
      <c r="Q35" s="196">
        <f>'Program Budget'!R697</f>
        <v>6</v>
      </c>
      <c r="R35" s="199">
        <f>'Program Budget'!Q697</f>
        <v>0</v>
      </c>
      <c r="S35" s="198">
        <f t="shared" si="6"/>
        <v>0</v>
      </c>
      <c r="T35" s="333">
        <f t="shared" si="7"/>
        <v>1550</v>
      </c>
      <c r="U35" s="201"/>
      <c r="V35" s="188"/>
      <c r="W35" s="202"/>
      <c r="X35" s="202"/>
      <c r="AB35" s="163">
        <v>180</v>
      </c>
      <c r="AC35" s="203" t="s">
        <v>547</v>
      </c>
      <c r="AD35" s="203" t="s">
        <v>548</v>
      </c>
      <c r="AE35" s="204"/>
      <c r="AG35" s="205"/>
    </row>
    <row r="36" spans="1:33" ht="15" customHeight="1" outlineLevel="1">
      <c r="A36" s="193" t="str">
        <f>'Program Budget'!D698</f>
        <v xml:space="preserve">Administrative Officer </v>
      </c>
      <c r="B36" s="194" t="str">
        <f>'Program Budget'!F698</f>
        <v>Month</v>
      </c>
      <c r="C36" s="198">
        <f>'Program Budget'!E698</f>
        <v>798.14</v>
      </c>
      <c r="D36" s="195">
        <f>'Program Budget'!G698</f>
        <v>1000</v>
      </c>
      <c r="E36" s="196">
        <f>'Program Budget'!I698</f>
        <v>12</v>
      </c>
      <c r="F36" s="199">
        <f>'Program Budget'!H698</f>
        <v>0.15</v>
      </c>
      <c r="G36" s="198">
        <f t="shared" si="0"/>
        <v>1800</v>
      </c>
      <c r="H36" s="195">
        <f t="shared" si="1"/>
        <v>1050</v>
      </c>
      <c r="I36" s="196">
        <f>'Program Budget'!L698</f>
        <v>12</v>
      </c>
      <c r="J36" s="199">
        <f>'Program Budget'!K698</f>
        <v>0</v>
      </c>
      <c r="K36" s="198">
        <f t="shared" si="2"/>
        <v>0</v>
      </c>
      <c r="L36" s="195">
        <f t="shared" si="3"/>
        <v>1102.5</v>
      </c>
      <c r="M36" s="196">
        <f>'Program Budget'!O698</f>
        <v>12</v>
      </c>
      <c r="N36" s="199">
        <f>'Program Budget'!N698</f>
        <v>0</v>
      </c>
      <c r="O36" s="198">
        <f t="shared" si="4"/>
        <v>0</v>
      </c>
      <c r="P36" s="195">
        <f t="shared" si="5"/>
        <v>1157.625</v>
      </c>
      <c r="Q36" s="196">
        <f>'Program Budget'!R698</f>
        <v>3</v>
      </c>
      <c r="R36" s="199">
        <f>'Program Budget'!Q698</f>
        <v>0</v>
      </c>
      <c r="S36" s="198">
        <f t="shared" si="6"/>
        <v>0</v>
      </c>
      <c r="T36" s="333">
        <f t="shared" si="7"/>
        <v>2598.14</v>
      </c>
      <c r="U36" s="201"/>
      <c r="V36" s="188"/>
      <c r="W36" s="202"/>
      <c r="X36" s="202"/>
      <c r="AB36" s="163"/>
      <c r="AC36" s="203"/>
      <c r="AD36" s="203"/>
      <c r="AE36" s="204"/>
      <c r="AG36" s="205"/>
    </row>
    <row r="37" spans="1:33" ht="15" customHeight="1" outlineLevel="1">
      <c r="A37" s="193" t="str">
        <f>'Program Budget'!D699</f>
        <v>Human Resource Manager</v>
      </c>
      <c r="B37" s="194" t="str">
        <f>'Program Budget'!F699</f>
        <v>Month</v>
      </c>
      <c r="C37" s="198">
        <f>'Program Budget'!E699</f>
        <v>0</v>
      </c>
      <c r="D37" s="195">
        <f>'Program Budget'!G699</f>
        <v>1954.1666666666667</v>
      </c>
      <c r="E37" s="196">
        <f>'Program Budget'!I699</f>
        <v>12</v>
      </c>
      <c r="F37" s="199">
        <f>'Program Budget'!H699</f>
        <v>0.15</v>
      </c>
      <c r="G37" s="198">
        <f t="shared" si="0"/>
        <v>3517.5</v>
      </c>
      <c r="H37" s="195">
        <f t="shared" si="1"/>
        <v>2051.875</v>
      </c>
      <c r="I37" s="196">
        <f>'Program Budget'!L699</f>
        <v>12</v>
      </c>
      <c r="J37" s="199">
        <f>'Program Budget'!K699</f>
        <v>0</v>
      </c>
      <c r="K37" s="198">
        <f t="shared" si="2"/>
        <v>0</v>
      </c>
      <c r="L37" s="195">
        <f t="shared" si="3"/>
        <v>2154.46875</v>
      </c>
      <c r="M37" s="196">
        <f>'Program Budget'!O699</f>
        <v>12</v>
      </c>
      <c r="N37" s="199">
        <f>'Program Budget'!N699</f>
        <v>0</v>
      </c>
      <c r="O37" s="198">
        <f t="shared" si="4"/>
        <v>0</v>
      </c>
      <c r="P37" s="195">
        <f t="shared" si="5"/>
        <v>2262.1921875000003</v>
      </c>
      <c r="Q37" s="196">
        <f>'Program Budget'!R699</f>
        <v>6</v>
      </c>
      <c r="R37" s="199">
        <f>'Program Budget'!Q699</f>
        <v>0</v>
      </c>
      <c r="S37" s="198">
        <f t="shared" si="6"/>
        <v>0</v>
      </c>
      <c r="T37" s="333">
        <f t="shared" si="7"/>
        <v>3517.5</v>
      </c>
      <c r="U37" s="201"/>
      <c r="V37" s="188"/>
      <c r="W37" s="202"/>
      <c r="X37" s="202"/>
      <c r="AB37" s="163"/>
      <c r="AC37" s="203"/>
      <c r="AD37" s="203"/>
      <c r="AE37" s="204"/>
      <c r="AG37" s="205"/>
    </row>
    <row r="38" spans="1:33" ht="15" customHeight="1" outlineLevel="1">
      <c r="A38" s="193" t="str">
        <f>'Program Budget'!D700</f>
        <v>Human Resource Specialist</v>
      </c>
      <c r="B38" s="194" t="str">
        <f>'Program Budget'!F700</f>
        <v>Month</v>
      </c>
      <c r="C38" s="198">
        <f>'Program Budget'!E700</f>
        <v>0</v>
      </c>
      <c r="D38" s="195">
        <f>'Program Budget'!G700</f>
        <v>1750</v>
      </c>
      <c r="E38" s="196">
        <f>'Program Budget'!I700</f>
        <v>12</v>
      </c>
      <c r="F38" s="199">
        <f>'Program Budget'!H700</f>
        <v>0.15</v>
      </c>
      <c r="G38" s="198">
        <f t="shared" si="0"/>
        <v>3150</v>
      </c>
      <c r="H38" s="195">
        <f t="shared" si="1"/>
        <v>1837.5</v>
      </c>
      <c r="I38" s="196">
        <f>'Program Budget'!L700</f>
        <v>12</v>
      </c>
      <c r="J38" s="199">
        <f>'Program Budget'!K700</f>
        <v>0</v>
      </c>
      <c r="K38" s="198">
        <f t="shared" si="2"/>
        <v>0</v>
      </c>
      <c r="L38" s="195">
        <f t="shared" si="3"/>
        <v>1929.375</v>
      </c>
      <c r="M38" s="196">
        <f>'Program Budget'!O700</f>
        <v>12</v>
      </c>
      <c r="N38" s="199">
        <f>'Program Budget'!N700</f>
        <v>0</v>
      </c>
      <c r="O38" s="198">
        <f t="shared" si="4"/>
        <v>0</v>
      </c>
      <c r="P38" s="195">
        <f t="shared" si="5"/>
        <v>2025.84375</v>
      </c>
      <c r="Q38" s="196">
        <f>'Program Budget'!R700</f>
        <v>3</v>
      </c>
      <c r="R38" s="199">
        <f>'Program Budget'!Q700</f>
        <v>0</v>
      </c>
      <c r="S38" s="198">
        <f t="shared" si="6"/>
        <v>0</v>
      </c>
      <c r="T38" s="335">
        <f t="shared" si="7"/>
        <v>3150</v>
      </c>
      <c r="U38" s="201"/>
      <c r="V38" s="188"/>
      <c r="W38" s="202"/>
      <c r="X38" s="202"/>
      <c r="AB38" s="163"/>
      <c r="AC38" s="203"/>
      <c r="AD38" s="203"/>
      <c r="AE38" s="204"/>
      <c r="AG38" s="205"/>
    </row>
    <row r="39" spans="1:33" ht="15" customHeight="1" outlineLevel="1">
      <c r="A39" s="208" t="s">
        <v>510</v>
      </c>
      <c r="B39" s="209"/>
      <c r="C39" s="222">
        <f>SUM(C10:C38)</f>
        <v>80483.239999999991</v>
      </c>
      <c r="D39" s="210"/>
      <c r="E39" s="211"/>
      <c r="F39" s="214"/>
      <c r="G39" s="222">
        <f>SUM(G10:G38)</f>
        <v>86852.78</v>
      </c>
      <c r="H39" s="210"/>
      <c r="I39" s="211"/>
      <c r="J39" s="212"/>
      <c r="K39" s="222">
        <f>SUM(K10:K38)</f>
        <v>0</v>
      </c>
      <c r="L39" s="210"/>
      <c r="M39" s="211"/>
      <c r="N39" s="214"/>
      <c r="O39" s="222">
        <f>SUM(O10:O38)</f>
        <v>0</v>
      </c>
      <c r="P39" s="210"/>
      <c r="Q39" s="211"/>
      <c r="R39" s="214"/>
      <c r="S39" s="222">
        <f>SUM(S10:S38)</f>
        <v>0</v>
      </c>
      <c r="T39" s="334">
        <f>C39+G39+K39+O39+S39</f>
        <v>167336.01999999999</v>
      </c>
      <c r="AB39" s="163"/>
      <c r="AC39" s="203"/>
      <c r="AD39" s="203"/>
    </row>
    <row r="40" spans="1:33" s="236" customFormat="1" ht="15" customHeight="1">
      <c r="A40" s="226" t="s">
        <v>513</v>
      </c>
      <c r="B40" s="227"/>
      <c r="C40" s="231">
        <f>C39+C8</f>
        <v>130182.23999999999</v>
      </c>
      <c r="D40" s="228"/>
      <c r="E40" s="229"/>
      <c r="F40" s="232"/>
      <c r="G40" s="231">
        <f>G39+G8</f>
        <v>112502.78</v>
      </c>
      <c r="H40" s="228"/>
      <c r="I40" s="229"/>
      <c r="J40" s="230"/>
      <c r="K40" s="231">
        <f>K39+K8</f>
        <v>0</v>
      </c>
      <c r="L40" s="228"/>
      <c r="M40" s="229"/>
      <c r="N40" s="232"/>
      <c r="O40" s="231">
        <f>O39+O8</f>
        <v>0</v>
      </c>
      <c r="P40" s="228"/>
      <c r="Q40" s="229"/>
      <c r="R40" s="232"/>
      <c r="S40" s="231">
        <f>S39+S8</f>
        <v>0</v>
      </c>
      <c r="T40" s="233">
        <f>+C40+G40+K40+O40+S40</f>
        <v>242685.02</v>
      </c>
      <c r="U40" s="234"/>
      <c r="V40" s="234"/>
      <c r="W40" s="234"/>
      <c r="X40" s="234"/>
      <c r="Y40" s="234"/>
      <c r="Z40" s="235"/>
      <c r="AA40" s="235"/>
      <c r="AB40" s="234"/>
      <c r="AD40" s="236" t="s">
        <v>549</v>
      </c>
      <c r="AG40" s="235"/>
    </row>
    <row r="41" spans="1:33" s="189" customFormat="1" ht="15" customHeight="1" outlineLevel="1">
      <c r="A41" s="190" t="s">
        <v>514</v>
      </c>
      <c r="B41" s="191"/>
      <c r="C41" s="184"/>
      <c r="D41" s="181"/>
      <c r="E41" s="182"/>
      <c r="F41" s="185"/>
      <c r="G41" s="186"/>
      <c r="H41" s="181"/>
      <c r="I41" s="182"/>
      <c r="J41" s="183"/>
      <c r="K41" s="186"/>
      <c r="L41" s="181"/>
      <c r="M41" s="182"/>
      <c r="N41" s="185"/>
      <c r="O41" s="186"/>
      <c r="P41" s="181"/>
      <c r="Q41" s="182"/>
      <c r="R41" s="185"/>
      <c r="S41" s="186"/>
      <c r="T41" s="187"/>
      <c r="U41" s="157"/>
      <c r="V41" s="157"/>
      <c r="W41" s="157"/>
      <c r="X41" s="157"/>
      <c r="Y41" s="157"/>
      <c r="Z41" s="157"/>
      <c r="AA41" s="157"/>
      <c r="AB41" s="163"/>
      <c r="AG41" s="157"/>
    </row>
    <row r="42" spans="1:33" s="189" customFormat="1" ht="15" customHeight="1" outlineLevel="1">
      <c r="A42" s="237" t="str">
        <f>'Program Budget'!D707</f>
        <v>Fringe Benefits Package for Chief of Party</v>
      </c>
      <c r="B42" s="216" t="str">
        <f>'Program Budget'!F707</f>
        <v>%</v>
      </c>
      <c r="C42" s="198">
        <f>'Program Budget'!E707</f>
        <v>1919.58</v>
      </c>
      <c r="D42" s="343">
        <f>G8</f>
        <v>25650</v>
      </c>
      <c r="E42" s="218">
        <v>1</v>
      </c>
      <c r="F42" s="160">
        <f>'Program Budget'!G707</f>
        <v>0.56469999999999998</v>
      </c>
      <c r="G42" s="198">
        <f t="shared" ref="G42" si="8">D42*E42*F42</f>
        <v>14484.555</v>
      </c>
      <c r="H42" s="343">
        <f>K8</f>
        <v>0</v>
      </c>
      <c r="I42" s="218">
        <v>1</v>
      </c>
      <c r="J42" s="160">
        <f>F42</f>
        <v>0.56469999999999998</v>
      </c>
      <c r="K42" s="198">
        <f t="shared" ref="K42:K44" si="9">H42*I42*J42</f>
        <v>0</v>
      </c>
      <c r="L42" s="343">
        <f>O8</f>
        <v>0</v>
      </c>
      <c r="M42" s="218">
        <v>1</v>
      </c>
      <c r="N42" s="160">
        <f>J42</f>
        <v>0.56469999999999998</v>
      </c>
      <c r="O42" s="198">
        <f t="shared" ref="O42:O44" si="10">L42*M42*N42</f>
        <v>0</v>
      </c>
      <c r="P42" s="343">
        <f>S8</f>
        <v>0</v>
      </c>
      <c r="Q42" s="218">
        <v>1</v>
      </c>
      <c r="R42" s="160">
        <f>N42</f>
        <v>0.56469999999999998</v>
      </c>
      <c r="S42" s="198">
        <f t="shared" ref="S42:S44" si="11">P42*Q42*R42</f>
        <v>0</v>
      </c>
      <c r="T42" s="333">
        <f t="shared" ref="T42:T44" si="12">C42+G42+K42+O42+S42</f>
        <v>16404.135000000002</v>
      </c>
      <c r="U42" s="157"/>
      <c r="V42" s="157"/>
      <c r="W42" s="157"/>
      <c r="X42" s="157"/>
      <c r="Y42" s="157"/>
      <c r="Z42" s="157"/>
      <c r="AA42" s="157"/>
      <c r="AB42" s="163">
        <v>194</v>
      </c>
      <c r="AC42" s="203" t="s">
        <v>550</v>
      </c>
      <c r="AD42" s="203" t="s">
        <v>551</v>
      </c>
      <c r="AG42" s="157"/>
    </row>
    <row r="43" spans="1:33" s="189" customFormat="1" ht="15" customHeight="1" outlineLevel="1">
      <c r="A43" s="237" t="s">
        <v>515</v>
      </c>
      <c r="B43" s="216" t="str">
        <f>'Program Budget'!F704</f>
        <v>%</v>
      </c>
      <c r="C43" s="198">
        <f>'Program Budget'!E704</f>
        <v>5118.8900000000003</v>
      </c>
      <c r="D43" s="343">
        <f>G11+G10+G20+G24+G27+G30+G32</f>
        <v>40085.279999999999</v>
      </c>
      <c r="E43" s="218">
        <v>1</v>
      </c>
      <c r="F43" s="160">
        <f>'Program Budget'!G704</f>
        <v>0.53864000000000001</v>
      </c>
      <c r="G43" s="198">
        <f>D43*E43*F43</f>
        <v>21591.535219199999</v>
      </c>
      <c r="H43" s="343">
        <f>K11+K10+K20+K24+K27+K30+K32</f>
        <v>0</v>
      </c>
      <c r="I43" s="218">
        <v>1</v>
      </c>
      <c r="J43" s="160">
        <f t="shared" ref="J43:J44" si="13">F43</f>
        <v>0.53864000000000001</v>
      </c>
      <c r="K43" s="198">
        <f t="shared" si="9"/>
        <v>0</v>
      </c>
      <c r="L43" s="343">
        <f>O11+O10+O20+O24+O27+O30+O32</f>
        <v>0</v>
      </c>
      <c r="M43" s="218">
        <v>1</v>
      </c>
      <c r="N43" s="160">
        <f t="shared" ref="N43:N44" si="14">J43</f>
        <v>0.53864000000000001</v>
      </c>
      <c r="O43" s="198">
        <f t="shared" si="10"/>
        <v>0</v>
      </c>
      <c r="P43" s="343">
        <f>S11+S10+S20+S24+S27+S30+S32</f>
        <v>0</v>
      </c>
      <c r="Q43" s="218">
        <v>1</v>
      </c>
      <c r="R43" s="160">
        <f t="shared" ref="R43:R44" si="15">N43</f>
        <v>0.53864000000000001</v>
      </c>
      <c r="S43" s="198">
        <f t="shared" si="11"/>
        <v>0</v>
      </c>
      <c r="T43" s="335">
        <f t="shared" si="12"/>
        <v>26710.425219199999</v>
      </c>
      <c r="U43" s="157"/>
      <c r="V43" s="157"/>
      <c r="W43" s="157"/>
      <c r="X43" s="157"/>
      <c r="Y43" s="157"/>
      <c r="Z43" s="157"/>
      <c r="AA43" s="157"/>
      <c r="AB43" s="238">
        <v>197</v>
      </c>
      <c r="AC43" s="239" t="s">
        <v>552</v>
      </c>
      <c r="AD43" s="239" t="s">
        <v>553</v>
      </c>
      <c r="AG43" s="157"/>
    </row>
    <row r="44" spans="1:33" s="189" customFormat="1" ht="15" customHeight="1" outlineLevel="1">
      <c r="A44" s="237" t="s">
        <v>516</v>
      </c>
      <c r="B44" s="216" t="str">
        <f>'Program Budget'!F705</f>
        <v>%</v>
      </c>
      <c r="C44" s="198">
        <f>'Program Budget'!E705</f>
        <v>55645.85</v>
      </c>
      <c r="D44" s="343">
        <f>G39-D43</f>
        <v>46767.5</v>
      </c>
      <c r="E44" s="218">
        <v>1</v>
      </c>
      <c r="F44" s="160">
        <f>'Program Budget'!G705</f>
        <v>0.44863999999999998</v>
      </c>
      <c r="G44" s="198">
        <f>D44*E44*F44</f>
        <v>20981.771199999999</v>
      </c>
      <c r="H44" s="343">
        <f>K39-H43</f>
        <v>0</v>
      </c>
      <c r="I44" s="218">
        <v>1</v>
      </c>
      <c r="J44" s="160">
        <f t="shared" si="13"/>
        <v>0.44863999999999998</v>
      </c>
      <c r="K44" s="198">
        <f t="shared" si="9"/>
        <v>0</v>
      </c>
      <c r="L44" s="343">
        <f>O39-L43</f>
        <v>0</v>
      </c>
      <c r="M44" s="218">
        <v>1</v>
      </c>
      <c r="N44" s="160">
        <f t="shared" si="14"/>
        <v>0.44863999999999998</v>
      </c>
      <c r="O44" s="198">
        <f t="shared" si="10"/>
        <v>0</v>
      </c>
      <c r="P44" s="343">
        <f>S39-P43</f>
        <v>0</v>
      </c>
      <c r="Q44" s="218">
        <v>1</v>
      </c>
      <c r="R44" s="160">
        <f t="shared" si="15"/>
        <v>0.44863999999999998</v>
      </c>
      <c r="S44" s="198">
        <f t="shared" si="11"/>
        <v>0</v>
      </c>
      <c r="T44" s="335">
        <f t="shared" si="12"/>
        <v>76627.621199999994</v>
      </c>
      <c r="U44" s="157"/>
      <c r="V44" s="157"/>
      <c r="W44" s="157"/>
      <c r="X44" s="157"/>
      <c r="Y44" s="157"/>
      <c r="Z44" s="157"/>
      <c r="AA44" s="157"/>
      <c r="AB44" s="238">
        <v>197</v>
      </c>
      <c r="AC44" s="239" t="s">
        <v>552</v>
      </c>
      <c r="AD44" s="239" t="s">
        <v>553</v>
      </c>
      <c r="AG44" s="157"/>
    </row>
    <row r="45" spans="1:33" ht="15" customHeight="1" outlineLevel="1">
      <c r="A45" s="208" t="s">
        <v>518</v>
      </c>
      <c r="B45" s="209"/>
      <c r="C45" s="213">
        <f>SUM(C42:C44)</f>
        <v>62684.32</v>
      </c>
      <c r="D45" s="210"/>
      <c r="E45" s="211"/>
      <c r="F45" s="214"/>
      <c r="G45" s="213">
        <f>SUM(G42:G44)</f>
        <v>57057.861419199995</v>
      </c>
      <c r="H45" s="210"/>
      <c r="I45" s="211"/>
      <c r="J45" s="212"/>
      <c r="K45" s="213">
        <f>SUM(K42:K44)</f>
        <v>0</v>
      </c>
      <c r="L45" s="210"/>
      <c r="M45" s="211"/>
      <c r="N45" s="214"/>
      <c r="O45" s="213">
        <f>SUM(O42:O44)</f>
        <v>0</v>
      </c>
      <c r="P45" s="210"/>
      <c r="Q45" s="211"/>
      <c r="R45" s="214"/>
      <c r="S45" s="213">
        <f>SUM(S42:S44)</f>
        <v>0</v>
      </c>
      <c r="T45" s="334">
        <f>+C45+G45+K45+O45+S45</f>
        <v>119742.1814192</v>
      </c>
      <c r="AB45" s="163"/>
      <c r="AC45" s="203"/>
      <c r="AD45" s="203"/>
    </row>
    <row r="46" spans="1:33" s="189" customFormat="1" ht="15" customHeight="1" outlineLevel="1">
      <c r="A46" s="190" t="s">
        <v>519</v>
      </c>
      <c r="B46" s="247"/>
      <c r="C46" s="248"/>
      <c r="D46" s="217"/>
      <c r="E46" s="218"/>
      <c r="F46" s="161"/>
      <c r="G46" s="221"/>
      <c r="H46" s="217"/>
      <c r="I46" s="218"/>
      <c r="J46" s="160"/>
      <c r="K46" s="221"/>
      <c r="L46" s="217"/>
      <c r="M46" s="218"/>
      <c r="N46" s="161"/>
      <c r="O46" s="221"/>
      <c r="P46" s="217"/>
      <c r="Q46" s="218"/>
      <c r="R46" s="161"/>
      <c r="S46" s="221"/>
      <c r="T46" s="333">
        <f>+C46+G46+K46+O46+S46</f>
        <v>0</v>
      </c>
      <c r="U46" s="157"/>
      <c r="V46" s="157"/>
      <c r="W46" s="157"/>
      <c r="X46" s="157"/>
      <c r="Y46" s="157"/>
      <c r="Z46" s="157"/>
      <c r="AA46" s="157"/>
      <c r="AB46" s="163"/>
      <c r="AC46" s="203"/>
      <c r="AD46" s="203" t="s">
        <v>549</v>
      </c>
      <c r="AG46" s="157"/>
    </row>
    <row r="47" spans="1:33" s="189" customFormat="1" ht="15" customHeight="1" outlineLevel="1">
      <c r="A47" s="193" t="str">
        <f>'Program Budget'!D706</f>
        <v>Post (Hardship) Differential for Chief of Party</v>
      </c>
      <c r="B47" s="216" t="str">
        <f>'Program Budget'!F706</f>
        <v>%</v>
      </c>
      <c r="C47" s="198">
        <f>'Program Budget'!E706</f>
        <v>1301.82</v>
      </c>
      <c r="D47" s="344">
        <f>G8</f>
        <v>25650</v>
      </c>
      <c r="E47" s="159">
        <v>1</v>
      </c>
      <c r="F47" s="161">
        <f>'Program Budget'!G706</f>
        <v>0.15</v>
      </c>
      <c r="G47" s="198">
        <f>D47*E47*F47</f>
        <v>3847.5</v>
      </c>
      <c r="H47" s="344">
        <f>K8</f>
        <v>0</v>
      </c>
      <c r="I47" s="159">
        <v>1</v>
      </c>
      <c r="J47" s="160">
        <f>F47</f>
        <v>0.15</v>
      </c>
      <c r="K47" s="198">
        <f>H47*I47*J47</f>
        <v>0</v>
      </c>
      <c r="L47" s="344">
        <f>O8</f>
        <v>0</v>
      </c>
      <c r="M47" s="159">
        <v>1</v>
      </c>
      <c r="N47" s="161">
        <f>J47</f>
        <v>0.15</v>
      </c>
      <c r="O47" s="198">
        <f>L47*M47*N47</f>
        <v>0</v>
      </c>
      <c r="P47" s="344">
        <f>S8</f>
        <v>0</v>
      </c>
      <c r="Q47" s="159">
        <v>1</v>
      </c>
      <c r="R47" s="161">
        <f>N47</f>
        <v>0.15</v>
      </c>
      <c r="S47" s="198">
        <f>P47*Q47*R47</f>
        <v>0</v>
      </c>
      <c r="T47" s="337">
        <f t="shared" ref="T47" si="16">C47+G47+K47+O47+S47</f>
        <v>5149.32</v>
      </c>
      <c r="U47" s="157"/>
      <c r="V47" s="157"/>
      <c r="W47" s="157"/>
      <c r="X47" s="157"/>
      <c r="Y47" s="157"/>
      <c r="Z47" s="157"/>
      <c r="AA47" s="157"/>
      <c r="AB47" s="163"/>
      <c r="AC47" s="207"/>
      <c r="AD47" s="207"/>
      <c r="AG47" s="157"/>
    </row>
    <row r="48" spans="1:33" ht="15" customHeight="1" outlineLevel="1">
      <c r="A48" s="208" t="s">
        <v>520</v>
      </c>
      <c r="B48" s="209"/>
      <c r="C48" s="213">
        <f>SUM(C47:C47)</f>
        <v>1301.82</v>
      </c>
      <c r="D48" s="210"/>
      <c r="E48" s="211"/>
      <c r="F48" s="214"/>
      <c r="G48" s="213">
        <f>SUM(G47:G47)</f>
        <v>3847.5</v>
      </c>
      <c r="H48" s="210"/>
      <c r="I48" s="211"/>
      <c r="J48" s="212"/>
      <c r="K48" s="213">
        <f>SUM(K47:K47)</f>
        <v>0</v>
      </c>
      <c r="L48" s="210"/>
      <c r="M48" s="211"/>
      <c r="N48" s="214"/>
      <c r="O48" s="213">
        <f>SUM(O47:O47)</f>
        <v>0</v>
      </c>
      <c r="P48" s="210"/>
      <c r="Q48" s="211"/>
      <c r="R48" s="214"/>
      <c r="S48" s="213">
        <f>SUM(S47:S47)</f>
        <v>0</v>
      </c>
      <c r="T48" s="334">
        <f>C48+G48+K48+O48+S48</f>
        <v>5149.32</v>
      </c>
      <c r="AB48" s="163"/>
      <c r="AC48" s="203"/>
      <c r="AD48" s="203"/>
    </row>
    <row r="49" spans="1:33" s="258" customFormat="1" ht="18.3" outlineLevel="1">
      <c r="A49" s="249" t="s">
        <v>521</v>
      </c>
      <c r="B49" s="250"/>
      <c r="C49" s="254">
        <f>C48+C45</f>
        <v>63986.14</v>
      </c>
      <c r="D49" s="251"/>
      <c r="E49" s="252"/>
      <c r="F49" s="255"/>
      <c r="G49" s="254">
        <f>G48+G45</f>
        <v>60905.361419199995</v>
      </c>
      <c r="H49" s="251"/>
      <c r="I49" s="252"/>
      <c r="J49" s="253"/>
      <c r="K49" s="254">
        <f>K48+K45</f>
        <v>0</v>
      </c>
      <c r="L49" s="251"/>
      <c r="M49" s="252"/>
      <c r="N49" s="255"/>
      <c r="O49" s="254">
        <f>O48+O45</f>
        <v>0</v>
      </c>
      <c r="P49" s="251"/>
      <c r="Q49" s="252"/>
      <c r="R49" s="255"/>
      <c r="S49" s="254">
        <f>S48+S45</f>
        <v>0</v>
      </c>
      <c r="T49" s="233">
        <f>+C49+G49+K49+O49+S49</f>
        <v>124891.50141919999</v>
      </c>
      <c r="U49" s="235"/>
      <c r="V49" s="235"/>
      <c r="W49" s="235"/>
      <c r="X49" s="235"/>
      <c r="Y49" s="235"/>
      <c r="Z49" s="235"/>
      <c r="AA49" s="235"/>
      <c r="AB49" s="234">
        <v>287</v>
      </c>
      <c r="AC49" s="256" t="s">
        <v>558</v>
      </c>
      <c r="AD49" s="256" t="s">
        <v>559</v>
      </c>
      <c r="AE49" s="257"/>
      <c r="AG49" s="235"/>
    </row>
    <row r="50" spans="1:33" s="260" customFormat="1" ht="15.6" outlineLevel="1">
      <c r="A50" s="190" t="s">
        <v>523</v>
      </c>
      <c r="B50" s="191"/>
      <c r="C50" s="198"/>
      <c r="D50" s="158"/>
      <c r="E50" s="159"/>
      <c r="F50" s="185"/>
      <c r="G50" s="198"/>
      <c r="H50" s="158"/>
      <c r="I50" s="159"/>
      <c r="J50" s="183"/>
      <c r="K50" s="198"/>
      <c r="L50" s="158"/>
      <c r="M50" s="159"/>
      <c r="N50" s="185"/>
      <c r="O50" s="198"/>
      <c r="P50" s="158"/>
      <c r="Q50" s="159"/>
      <c r="R50" s="185"/>
      <c r="S50" s="198"/>
      <c r="T50" s="333"/>
      <c r="U50" s="157"/>
      <c r="V50" s="157"/>
      <c r="W50" s="157"/>
      <c r="X50" s="157"/>
      <c r="Y50" s="157"/>
      <c r="Z50" s="157"/>
      <c r="AA50" s="157"/>
      <c r="AB50" s="163"/>
      <c r="AC50" s="203"/>
      <c r="AD50" s="203"/>
      <c r="AE50" s="259"/>
      <c r="AG50" s="157"/>
    </row>
    <row r="51" spans="1:33" ht="15" customHeight="1" outlineLevel="1">
      <c r="A51" s="193" t="str">
        <f>'Program Budget'!D716</f>
        <v>Local Travel for Meetings</v>
      </c>
      <c r="B51" s="194" t="str">
        <f>'Program Budget'!F716</f>
        <v>Trip</v>
      </c>
      <c r="C51" s="198">
        <f>'Program Budget'!E716</f>
        <v>5000</v>
      </c>
      <c r="D51" s="195">
        <f>'Program Budget'!G716</f>
        <v>25</v>
      </c>
      <c r="E51" s="196">
        <f>'Program Budget'!I716</f>
        <v>60</v>
      </c>
      <c r="F51" s="197">
        <v>1</v>
      </c>
      <c r="G51" s="198">
        <f>D51*E51*F51</f>
        <v>1500</v>
      </c>
      <c r="H51" s="195">
        <f t="shared" ref="H51" si="17">D51*1.04</f>
        <v>26</v>
      </c>
      <c r="I51" s="196">
        <f>'Program Budget'!L716</f>
        <v>0</v>
      </c>
      <c r="J51" s="197">
        <v>1</v>
      </c>
      <c r="K51" s="198">
        <f>H51*I51*J51</f>
        <v>0</v>
      </c>
      <c r="L51" s="195">
        <f t="shared" ref="L51" si="18">H51*1.04</f>
        <v>27.04</v>
      </c>
      <c r="M51" s="196">
        <f>'Program Budget'!O716</f>
        <v>0</v>
      </c>
      <c r="N51" s="197">
        <v>1</v>
      </c>
      <c r="O51" s="198">
        <f>L51*M51*N51</f>
        <v>0</v>
      </c>
      <c r="P51" s="195">
        <f t="shared" ref="P51" si="19">L51*1.04</f>
        <v>28.121600000000001</v>
      </c>
      <c r="Q51" s="196">
        <f>'Program Budget'!R716</f>
        <v>0</v>
      </c>
      <c r="R51" s="197">
        <v>1</v>
      </c>
      <c r="S51" s="198">
        <f>P51*Q51*R51</f>
        <v>0</v>
      </c>
      <c r="T51" s="333">
        <f>C51+G51+K51+O51+S51</f>
        <v>6500</v>
      </c>
      <c r="U51" s="201"/>
      <c r="V51" s="188"/>
      <c r="W51" s="202"/>
      <c r="X51" s="202"/>
      <c r="AB51" s="163">
        <v>180</v>
      </c>
      <c r="AC51" s="203" t="s">
        <v>547</v>
      </c>
      <c r="AD51" s="203" t="s">
        <v>548</v>
      </c>
      <c r="AE51" s="204"/>
      <c r="AG51" s="205"/>
    </row>
    <row r="52" spans="1:33" outlineLevel="1">
      <c r="A52" s="325"/>
      <c r="B52" s="216"/>
      <c r="C52" s="198"/>
      <c r="G52" s="198"/>
      <c r="K52" s="198"/>
      <c r="O52" s="198"/>
      <c r="S52" s="198"/>
      <c r="T52" s="200"/>
      <c r="AB52" s="163"/>
      <c r="AC52" s="203"/>
      <c r="AD52" s="203"/>
    </row>
    <row r="53" spans="1:33" ht="18.3">
      <c r="A53" s="261" t="s">
        <v>526</v>
      </c>
      <c r="B53" s="227"/>
      <c r="C53" s="231">
        <f>SUM(C51:C52)</f>
        <v>5000</v>
      </c>
      <c r="D53" s="228"/>
      <c r="E53" s="262"/>
      <c r="F53" s="232"/>
      <c r="G53" s="231">
        <f>SUM(G51:G52)</f>
        <v>1500</v>
      </c>
      <c r="H53" s="228"/>
      <c r="I53" s="262"/>
      <c r="J53" s="263"/>
      <c r="K53" s="231">
        <f>SUM(K51:K52)</f>
        <v>0</v>
      </c>
      <c r="L53" s="228"/>
      <c r="M53" s="262"/>
      <c r="N53" s="232"/>
      <c r="O53" s="231">
        <f>SUM(O51:O52)</f>
        <v>0</v>
      </c>
      <c r="P53" s="228"/>
      <c r="Q53" s="262"/>
      <c r="R53" s="232"/>
      <c r="S53" s="231">
        <f>SUM(S51:S52)</f>
        <v>0</v>
      </c>
      <c r="T53" s="233">
        <f>+C53+G53+K53+O53+S53</f>
        <v>6500</v>
      </c>
      <c r="U53" s="163"/>
      <c r="V53" s="163"/>
      <c r="W53" s="163"/>
      <c r="X53" s="163"/>
      <c r="Y53" s="163"/>
      <c r="AB53" s="163"/>
      <c r="AC53" s="189"/>
      <c r="AD53" s="189" t="s">
        <v>549</v>
      </c>
      <c r="AE53" s="189"/>
    </row>
    <row r="54" spans="1:33" ht="15.6" outlineLevel="1">
      <c r="A54" s="190" t="s">
        <v>55</v>
      </c>
      <c r="B54" s="264"/>
      <c r="C54" s="248"/>
      <c r="E54" s="265"/>
      <c r="F54" s="267"/>
      <c r="G54" s="221"/>
      <c r="I54" s="265"/>
      <c r="J54" s="266"/>
      <c r="K54" s="221"/>
      <c r="M54" s="265"/>
      <c r="N54" s="267"/>
      <c r="O54" s="221"/>
      <c r="Q54" s="265"/>
      <c r="R54" s="267"/>
      <c r="S54" s="221"/>
      <c r="T54" s="200"/>
      <c r="AB54" s="163"/>
      <c r="AC54" s="203"/>
      <c r="AD54" s="268"/>
    </row>
    <row r="55" spans="1:33" ht="15.6" outlineLevel="1">
      <c r="A55" s="269" t="str">
        <f>'Program Budget'!D711</f>
        <v xml:space="preserve">Investment Vehicle Fundraising Consultant </v>
      </c>
      <c r="B55" s="194" t="str">
        <f>'Program Budget'!F711</f>
        <v>Month</v>
      </c>
      <c r="C55" s="198">
        <f>'Program Budget'!E711</f>
        <v>5000</v>
      </c>
      <c r="D55" s="195">
        <f>'Program Budget'!G711</f>
        <v>5000</v>
      </c>
      <c r="E55" s="196">
        <f>'Program Budget'!I711</f>
        <v>3</v>
      </c>
      <c r="F55" s="197">
        <v>1</v>
      </c>
      <c r="G55" s="198">
        <f>D55*E55*F55</f>
        <v>15000</v>
      </c>
      <c r="H55" s="195">
        <f>'Program Budget'!G711</f>
        <v>5000</v>
      </c>
      <c r="I55" s="196">
        <f>'Program Budget'!L711</f>
        <v>0</v>
      </c>
      <c r="J55" s="197">
        <v>0</v>
      </c>
      <c r="K55" s="198">
        <f>H55*I55*J55</f>
        <v>0</v>
      </c>
      <c r="L55" s="195">
        <f>H55</f>
        <v>5000</v>
      </c>
      <c r="M55" s="196">
        <f>'Program Budget'!O711</f>
        <v>0</v>
      </c>
      <c r="N55" s="197">
        <v>0</v>
      </c>
      <c r="O55" s="198">
        <f>L55*M55*N55</f>
        <v>0</v>
      </c>
      <c r="P55" s="195">
        <f>L55</f>
        <v>5000</v>
      </c>
      <c r="Q55" s="196">
        <f>'Program Budget'!R711</f>
        <v>0</v>
      </c>
      <c r="R55" s="197">
        <v>0</v>
      </c>
      <c r="S55" s="198">
        <f>P55*Q55*R55</f>
        <v>0</v>
      </c>
      <c r="T55" s="333">
        <f>C55+G55+K55+O55+S55</f>
        <v>20000</v>
      </c>
      <c r="AB55" s="163"/>
      <c r="AC55" s="203"/>
      <c r="AD55" s="268"/>
    </row>
    <row r="56" spans="1:33" ht="15.6" outlineLevel="1">
      <c r="A56" s="269" t="str">
        <f>'Program Budget'!D712</f>
        <v>Legal Advisor</v>
      </c>
      <c r="B56" s="194" t="str">
        <f>'Program Budget'!F712</f>
        <v>Month</v>
      </c>
      <c r="C56" s="198">
        <f>'Program Budget'!E712</f>
        <v>109708.24</v>
      </c>
      <c r="D56" s="195">
        <f>'Program Budget'!G712</f>
        <v>6000</v>
      </c>
      <c r="E56" s="196">
        <f>'Program Budget'!I712</f>
        <v>6</v>
      </c>
      <c r="F56" s="197">
        <v>1</v>
      </c>
      <c r="G56" s="198">
        <f>D56*E56*F56</f>
        <v>36000</v>
      </c>
      <c r="H56" s="195">
        <f>'Program Budget'!G712</f>
        <v>6000</v>
      </c>
      <c r="I56" s="196">
        <f>'Program Budget'!L712</f>
        <v>0</v>
      </c>
      <c r="J56" s="197">
        <v>0</v>
      </c>
      <c r="K56" s="198">
        <f>H56*I56*J56</f>
        <v>0</v>
      </c>
      <c r="L56" s="195">
        <f>H56</f>
        <v>6000</v>
      </c>
      <c r="M56" s="196">
        <f>'Program Budget'!O712</f>
        <v>0</v>
      </c>
      <c r="N56" s="197">
        <v>0</v>
      </c>
      <c r="O56" s="198">
        <f>L56*M56*N56</f>
        <v>0</v>
      </c>
      <c r="P56" s="195">
        <f>L56</f>
        <v>6000</v>
      </c>
      <c r="Q56" s="196">
        <f>'Program Budget'!R712</f>
        <v>0</v>
      </c>
      <c r="R56" s="197">
        <v>0</v>
      </c>
      <c r="S56" s="198">
        <f>P56*Q56*R56</f>
        <v>0</v>
      </c>
      <c r="T56" s="333">
        <f>C56+G56+K56+O56+S56</f>
        <v>145708.24</v>
      </c>
      <c r="AB56" s="163"/>
      <c r="AC56" s="203"/>
      <c r="AD56" s="268"/>
    </row>
    <row r="57" spans="1:33" outlineLevel="1">
      <c r="A57" s="326"/>
      <c r="B57" s="216"/>
      <c r="C57" s="198"/>
      <c r="D57" s="270"/>
      <c r="E57" s="271"/>
      <c r="F57" s="160"/>
      <c r="G57" s="198"/>
      <c r="H57" s="270"/>
      <c r="I57" s="271"/>
      <c r="K57" s="198"/>
      <c r="L57" s="270"/>
      <c r="M57" s="271"/>
      <c r="N57" s="160"/>
      <c r="O57" s="198"/>
      <c r="P57" s="270"/>
      <c r="Q57" s="271"/>
      <c r="R57" s="160"/>
      <c r="S57" s="198"/>
      <c r="T57" s="272"/>
      <c r="AB57" s="163"/>
      <c r="AC57" s="203"/>
      <c r="AD57" s="268"/>
    </row>
    <row r="58" spans="1:33" ht="18.3" outlineLevel="1">
      <c r="A58" s="261" t="s">
        <v>527</v>
      </c>
      <c r="B58" s="227"/>
      <c r="C58" s="231">
        <f>SUM(C55:C57)</f>
        <v>114708.24</v>
      </c>
      <c r="D58" s="228"/>
      <c r="E58" s="262"/>
      <c r="F58" s="232"/>
      <c r="G58" s="231">
        <f>SUM(G55:G57)</f>
        <v>51000</v>
      </c>
      <c r="H58" s="228"/>
      <c r="I58" s="262"/>
      <c r="J58" s="263"/>
      <c r="K58" s="231">
        <f>SUM(K55:K57)</f>
        <v>0</v>
      </c>
      <c r="L58" s="228"/>
      <c r="M58" s="262"/>
      <c r="N58" s="232"/>
      <c r="O58" s="231">
        <f>SUM(O55:O57)</f>
        <v>0</v>
      </c>
      <c r="P58" s="228"/>
      <c r="Q58" s="262"/>
      <c r="R58" s="232"/>
      <c r="S58" s="231">
        <f>SUM(S55:S57)</f>
        <v>0</v>
      </c>
      <c r="T58" s="233">
        <f>+C58+G58+K58+O58+S58</f>
        <v>165708.24</v>
      </c>
      <c r="AB58" s="163"/>
      <c r="AC58" s="203"/>
      <c r="AD58" s="268"/>
    </row>
    <row r="59" spans="1:33" ht="15.6" outlineLevel="1">
      <c r="A59" s="190" t="s">
        <v>528</v>
      </c>
      <c r="B59" s="273"/>
      <c r="C59" s="198"/>
      <c r="E59" s="265"/>
      <c r="G59" s="200"/>
      <c r="I59" s="265"/>
      <c r="K59" s="200"/>
      <c r="M59" s="265"/>
      <c r="O59" s="200"/>
      <c r="Q59" s="265"/>
      <c r="S59" s="200"/>
      <c r="T59" s="200"/>
      <c r="AB59" s="163"/>
    </row>
    <row r="60" spans="1:33" outlineLevel="1">
      <c r="A60" s="193" t="s">
        <v>458</v>
      </c>
      <c r="B60" s="216"/>
      <c r="C60" s="198">
        <v>0</v>
      </c>
      <c r="E60" s="274"/>
      <c r="F60" s="160"/>
      <c r="G60" s="198">
        <f t="shared" ref="G60" si="20">D60*E60*F60</f>
        <v>0</v>
      </c>
      <c r="I60" s="274"/>
      <c r="K60" s="198">
        <f t="shared" ref="K60" si="21">H60*I60*J60</f>
        <v>0</v>
      </c>
      <c r="M60" s="274"/>
      <c r="N60" s="160"/>
      <c r="O60" s="198">
        <f t="shared" ref="O60" si="22">L60*M60*N60</f>
        <v>0</v>
      </c>
      <c r="Q60" s="274"/>
      <c r="R60" s="160"/>
      <c r="S60" s="198">
        <f t="shared" ref="S60" si="23">P60*Q60*R60</f>
        <v>0</v>
      </c>
      <c r="T60" s="200">
        <f t="shared" ref="T60" si="24">C60+G60+K60+O60+S60</f>
        <v>0</v>
      </c>
      <c r="AB60" s="163">
        <v>298</v>
      </c>
      <c r="AC60" s="203" t="s">
        <v>577</v>
      </c>
      <c r="AD60" s="203" t="s">
        <v>578</v>
      </c>
    </row>
    <row r="61" spans="1:33" outlineLevel="1">
      <c r="A61" s="193"/>
      <c r="B61" s="216"/>
      <c r="C61" s="198"/>
      <c r="E61" s="274"/>
      <c r="F61" s="160"/>
      <c r="G61" s="198"/>
      <c r="I61" s="274"/>
      <c r="K61" s="198"/>
      <c r="M61" s="274"/>
      <c r="N61" s="160"/>
      <c r="O61" s="198"/>
      <c r="Q61" s="274"/>
      <c r="R61" s="160"/>
      <c r="S61" s="198"/>
      <c r="T61" s="200"/>
      <c r="AB61" s="163"/>
      <c r="AC61" s="203"/>
      <c r="AD61" s="203"/>
    </row>
    <row r="62" spans="1:33" ht="18.3" outlineLevel="1">
      <c r="A62" s="261" t="s">
        <v>529</v>
      </c>
      <c r="B62" s="227"/>
      <c r="C62" s="231">
        <f>SUM(C60:C61)</f>
        <v>0</v>
      </c>
      <c r="D62" s="228"/>
      <c r="E62" s="262"/>
      <c r="F62" s="232"/>
      <c r="G62" s="231">
        <f>SUM(G60:G61)</f>
        <v>0</v>
      </c>
      <c r="H62" s="228"/>
      <c r="I62" s="262"/>
      <c r="J62" s="263"/>
      <c r="K62" s="231">
        <f>SUM(K60:K61)</f>
        <v>0</v>
      </c>
      <c r="L62" s="228"/>
      <c r="M62" s="262"/>
      <c r="N62" s="232"/>
      <c r="O62" s="231">
        <f>SUM(O60:O61)</f>
        <v>0</v>
      </c>
      <c r="P62" s="228"/>
      <c r="Q62" s="262"/>
      <c r="R62" s="232"/>
      <c r="S62" s="231">
        <f>SUM(S60:S61)</f>
        <v>0</v>
      </c>
      <c r="T62" s="233">
        <f>+C62+G62+K62+O62+S62</f>
        <v>0</v>
      </c>
      <c r="AB62" s="163"/>
      <c r="AC62" s="203"/>
      <c r="AD62" s="268"/>
    </row>
    <row r="63" spans="1:33" ht="15.6" outlineLevel="1">
      <c r="A63" s="190" t="s">
        <v>33</v>
      </c>
      <c r="B63" s="216"/>
      <c r="C63" s="198"/>
      <c r="E63" s="265"/>
      <c r="F63" s="160"/>
      <c r="G63" s="198"/>
      <c r="I63" s="265"/>
      <c r="K63" s="198"/>
      <c r="M63" s="265"/>
      <c r="N63" s="160"/>
      <c r="O63" s="198"/>
      <c r="Q63" s="265"/>
      <c r="R63" s="160"/>
      <c r="S63" s="198"/>
      <c r="T63" s="200"/>
      <c r="AB63" s="163"/>
      <c r="AC63" s="203"/>
      <c r="AD63" s="203"/>
    </row>
    <row r="64" spans="1:33" outlineLevel="1">
      <c r="A64" s="193" t="s">
        <v>458</v>
      </c>
      <c r="B64" s="216"/>
      <c r="C64" s="198"/>
      <c r="E64" s="265"/>
      <c r="F64" s="160"/>
      <c r="G64" s="198"/>
      <c r="I64" s="265"/>
      <c r="K64" s="198"/>
      <c r="M64" s="265"/>
      <c r="N64" s="160"/>
      <c r="O64" s="198"/>
      <c r="Q64" s="265"/>
      <c r="R64" s="160"/>
      <c r="S64" s="198"/>
      <c r="T64" s="200"/>
      <c r="AB64" s="163"/>
      <c r="AC64" s="203"/>
      <c r="AD64" s="203"/>
    </row>
    <row r="65" spans="1:30" ht="18.3" outlineLevel="1">
      <c r="A65" s="261" t="s">
        <v>530</v>
      </c>
      <c r="B65" s="227"/>
      <c r="C65" s="231">
        <f>SUM(C61:C61)</f>
        <v>0</v>
      </c>
      <c r="D65" s="228"/>
      <c r="E65" s="262"/>
      <c r="F65" s="232"/>
      <c r="G65" s="231">
        <f>SUM(G61:G61)</f>
        <v>0</v>
      </c>
      <c r="H65" s="228"/>
      <c r="I65" s="262"/>
      <c r="J65" s="263"/>
      <c r="K65" s="231">
        <f>SUM(K61:K61)</f>
        <v>0</v>
      </c>
      <c r="L65" s="228"/>
      <c r="M65" s="262"/>
      <c r="N65" s="232"/>
      <c r="O65" s="231">
        <f>SUM(O61:O61)</f>
        <v>0</v>
      </c>
      <c r="P65" s="228"/>
      <c r="Q65" s="262"/>
      <c r="R65" s="232"/>
      <c r="S65" s="231">
        <f>SUM(S61:S61)</f>
        <v>0</v>
      </c>
      <c r="T65" s="233">
        <f>+C65+G65+K65+O65+S65</f>
        <v>0</v>
      </c>
      <c r="AB65" s="163">
        <v>236</v>
      </c>
      <c r="AC65" s="203" t="s">
        <v>566</v>
      </c>
      <c r="AD65" s="268" t="s">
        <v>567</v>
      </c>
    </row>
    <row r="66" spans="1:30" ht="15.6" outlineLevel="1">
      <c r="A66" s="190" t="s">
        <v>34</v>
      </c>
      <c r="B66" s="264"/>
      <c r="C66" s="248"/>
      <c r="E66" s="265"/>
      <c r="F66" s="267"/>
      <c r="G66" s="221"/>
      <c r="I66" s="265"/>
      <c r="J66" s="266"/>
      <c r="K66" s="221"/>
      <c r="M66" s="265"/>
      <c r="N66" s="267"/>
      <c r="O66" s="221"/>
      <c r="Q66" s="265"/>
      <c r="R66" s="267"/>
      <c r="S66" s="221"/>
      <c r="T66" s="200"/>
      <c r="AB66" s="163">
        <v>236</v>
      </c>
      <c r="AC66" s="203" t="s">
        <v>566</v>
      </c>
      <c r="AD66" s="268" t="s">
        <v>567</v>
      </c>
    </row>
    <row r="67" spans="1:30" outlineLevel="1">
      <c r="A67" s="193" t="s">
        <v>458</v>
      </c>
      <c r="B67" s="216"/>
      <c r="C67" s="198"/>
      <c r="E67" s="265"/>
      <c r="F67" s="160"/>
      <c r="G67" s="198"/>
      <c r="I67" s="265"/>
      <c r="K67" s="198"/>
      <c r="M67" s="265"/>
      <c r="N67" s="160"/>
      <c r="O67" s="198"/>
      <c r="Q67" s="265"/>
      <c r="R67" s="160"/>
      <c r="S67" s="198"/>
      <c r="T67" s="200"/>
      <c r="AB67" s="163"/>
      <c r="AC67" s="203"/>
      <c r="AD67" s="203"/>
    </row>
    <row r="68" spans="1:30" outlineLevel="1">
      <c r="A68" s="193"/>
      <c r="B68" s="216"/>
      <c r="C68" s="198"/>
      <c r="E68" s="265"/>
      <c r="F68" s="160"/>
      <c r="G68" s="198"/>
      <c r="I68" s="265"/>
      <c r="K68" s="198"/>
      <c r="M68" s="265"/>
      <c r="N68" s="160"/>
      <c r="O68" s="198"/>
      <c r="Q68" s="265"/>
      <c r="R68" s="160"/>
      <c r="S68" s="198"/>
      <c r="T68" s="200"/>
      <c r="AB68" s="163"/>
      <c r="AC68" s="203"/>
      <c r="AD68" s="203"/>
    </row>
    <row r="69" spans="1:30" ht="18.3" outlineLevel="1">
      <c r="A69" s="261" t="s">
        <v>531</v>
      </c>
      <c r="B69" s="227"/>
      <c r="C69" s="231">
        <f>SUM(C67:C68)</f>
        <v>0</v>
      </c>
      <c r="D69" s="228"/>
      <c r="E69" s="262"/>
      <c r="F69" s="232"/>
      <c r="G69" s="231">
        <f>SUM(G67:G68)</f>
        <v>0</v>
      </c>
      <c r="H69" s="228"/>
      <c r="I69" s="262"/>
      <c r="J69" s="263"/>
      <c r="K69" s="231">
        <f>SUM(K67:K68)</f>
        <v>0</v>
      </c>
      <c r="L69" s="228"/>
      <c r="M69" s="262"/>
      <c r="N69" s="232"/>
      <c r="O69" s="231">
        <f>SUM(O67:O68)</f>
        <v>0</v>
      </c>
      <c r="P69" s="228"/>
      <c r="Q69" s="262"/>
      <c r="R69" s="232"/>
      <c r="S69" s="231">
        <f>SUM(S67:S68)</f>
        <v>0</v>
      </c>
      <c r="T69" s="231">
        <f>SUM(T67:T68)</f>
        <v>0</v>
      </c>
      <c r="AB69" s="163"/>
      <c r="AC69" s="203"/>
      <c r="AD69" s="268"/>
    </row>
    <row r="70" spans="1:30" ht="15.6" outlineLevel="1">
      <c r="A70" s="276" t="s">
        <v>532</v>
      </c>
      <c r="B70" s="216"/>
      <c r="C70" s="248"/>
      <c r="D70" s="277"/>
      <c r="E70" s="278"/>
      <c r="G70" s="221"/>
      <c r="H70" s="277"/>
      <c r="I70" s="278"/>
      <c r="K70" s="221"/>
      <c r="L70" s="277"/>
      <c r="M70" s="278"/>
      <c r="O70" s="221"/>
      <c r="P70" s="277"/>
      <c r="Q70" s="278"/>
      <c r="S70" s="221"/>
      <c r="T70" s="200"/>
      <c r="AB70" s="163"/>
      <c r="AC70" s="203"/>
      <c r="AD70" s="268"/>
    </row>
    <row r="71" spans="1:30" ht="15.6" outlineLevel="1">
      <c r="A71" s="269" t="str">
        <f>'Program Budget'!D720</f>
        <v>Investment Vehicle (Seed Funding)</v>
      </c>
      <c r="B71" s="194" t="str">
        <f>'Program Budget'!F720</f>
        <v>Unit</v>
      </c>
      <c r="C71" s="198">
        <f>'Program Budget'!E720</f>
        <v>0</v>
      </c>
      <c r="D71" s="195">
        <f>'Program Budget'!G720</f>
        <v>3000000</v>
      </c>
      <c r="E71" s="196">
        <f>'Program Budget'!I720</f>
        <v>1</v>
      </c>
      <c r="F71" s="197">
        <v>1</v>
      </c>
      <c r="G71" s="198">
        <f t="shared" ref="G71" si="25">D71*E71*F71</f>
        <v>3000000</v>
      </c>
      <c r="H71" s="195">
        <f>D71</f>
        <v>3000000</v>
      </c>
      <c r="I71" s="196">
        <f>'Program Budget'!L720</f>
        <v>0</v>
      </c>
      <c r="J71" s="197">
        <v>0</v>
      </c>
      <c r="K71" s="198">
        <f t="shared" ref="K71" si="26">H71*I71*J71</f>
        <v>0</v>
      </c>
      <c r="L71" s="195">
        <f>H71</f>
        <v>3000000</v>
      </c>
      <c r="M71" s="196">
        <f>'Program Budget'!O720</f>
        <v>0</v>
      </c>
      <c r="N71" s="197">
        <v>0</v>
      </c>
      <c r="O71" s="198">
        <f t="shared" ref="O71" si="27">L71*M71*N71</f>
        <v>0</v>
      </c>
      <c r="P71" s="195">
        <f>H71</f>
        <v>3000000</v>
      </c>
      <c r="Q71" s="196">
        <f>'Program Budget'!R720</f>
        <v>0</v>
      </c>
      <c r="R71" s="197">
        <v>0</v>
      </c>
      <c r="S71" s="198">
        <f t="shared" ref="S71" si="28">P71*Q71*R71</f>
        <v>0</v>
      </c>
      <c r="T71" s="333">
        <f t="shared" ref="T71" si="29">C71+G71+K71+O71+S71</f>
        <v>3000000</v>
      </c>
      <c r="AB71" s="163"/>
      <c r="AC71" s="203"/>
      <c r="AD71" s="268"/>
    </row>
    <row r="72" spans="1:30" ht="15.6" outlineLevel="1">
      <c r="A72" s="281"/>
      <c r="B72" s="241"/>
      <c r="C72" s="245"/>
      <c r="D72" s="279"/>
      <c r="E72" s="280"/>
      <c r="F72" s="244"/>
      <c r="G72" s="245"/>
      <c r="H72" s="279"/>
      <c r="I72" s="280"/>
      <c r="J72" s="244"/>
      <c r="K72" s="245"/>
      <c r="L72" s="279"/>
      <c r="M72" s="280"/>
      <c r="N72" s="244"/>
      <c r="O72" s="245"/>
      <c r="P72" s="279"/>
      <c r="Q72" s="280"/>
      <c r="R72" s="244"/>
      <c r="S72" s="245"/>
      <c r="T72" s="200"/>
      <c r="AB72" s="163"/>
      <c r="AC72" s="203"/>
      <c r="AD72" s="268"/>
    </row>
    <row r="73" spans="1:30" ht="18.3" outlineLevel="1">
      <c r="A73" s="282" t="s">
        <v>537</v>
      </c>
      <c r="B73" s="227"/>
      <c r="C73" s="254">
        <f>SUM(C71:C71)</f>
        <v>0</v>
      </c>
      <c r="D73" s="251"/>
      <c r="E73" s="252"/>
      <c r="F73" s="255"/>
      <c r="G73" s="254">
        <f>SUM(G71:G71)</f>
        <v>3000000</v>
      </c>
      <c r="H73" s="251"/>
      <c r="I73" s="252"/>
      <c r="J73" s="283"/>
      <c r="K73" s="254">
        <f>SUM(K71:K71)</f>
        <v>0</v>
      </c>
      <c r="L73" s="251"/>
      <c r="M73" s="252"/>
      <c r="N73" s="255"/>
      <c r="O73" s="254">
        <f>SUM(O71:O71)</f>
        <v>0</v>
      </c>
      <c r="P73" s="251"/>
      <c r="Q73" s="252"/>
      <c r="R73" s="255"/>
      <c r="S73" s="254">
        <f>SUM(S71:S71)</f>
        <v>0</v>
      </c>
      <c r="T73" s="233">
        <f>+C73+G73+K73+O73+S73</f>
        <v>3000000</v>
      </c>
      <c r="AB73" s="163">
        <v>250</v>
      </c>
      <c r="AC73" s="203" t="s">
        <v>569</v>
      </c>
      <c r="AD73" s="268" t="s">
        <v>570</v>
      </c>
    </row>
    <row r="74" spans="1:30" ht="15.6" outlineLevel="1">
      <c r="A74" s="284"/>
      <c r="B74" s="239"/>
      <c r="C74" s="198"/>
      <c r="D74" s="277"/>
      <c r="E74" s="278"/>
      <c r="G74" s="200"/>
      <c r="H74" s="277"/>
      <c r="I74" s="278"/>
      <c r="K74" s="200"/>
      <c r="L74" s="277"/>
      <c r="M74" s="278"/>
      <c r="O74" s="200"/>
      <c r="P74" s="277"/>
      <c r="Q74" s="278"/>
      <c r="S74" s="200"/>
      <c r="T74" s="200"/>
      <c r="AB74" s="163">
        <v>317</v>
      </c>
      <c r="AC74" s="203" t="s">
        <v>571</v>
      </c>
      <c r="AD74" s="268" t="s">
        <v>572</v>
      </c>
    </row>
    <row r="75" spans="1:30" ht="18.3" outlineLevel="1">
      <c r="A75" s="285" t="s">
        <v>538</v>
      </c>
      <c r="B75" s="286"/>
      <c r="C75" s="290">
        <f>C40+C49+C53+C65+C69+C58+C73+C62</f>
        <v>313876.62</v>
      </c>
      <c r="D75" s="287"/>
      <c r="E75" s="288"/>
      <c r="F75" s="291"/>
      <c r="G75" s="290">
        <f>G40+G49+G53+G65+G69+G58+G73+G62</f>
        <v>3225908.1414192002</v>
      </c>
      <c r="H75" s="287"/>
      <c r="I75" s="288"/>
      <c r="J75" s="289"/>
      <c r="K75" s="290">
        <f>K40+K49+K53+K65+K69+K58+K73+K62</f>
        <v>0</v>
      </c>
      <c r="L75" s="287"/>
      <c r="M75" s="288"/>
      <c r="N75" s="291"/>
      <c r="O75" s="290">
        <f>O40+O49+O53+O65+O69+O58+O73+O62</f>
        <v>0</v>
      </c>
      <c r="P75" s="287"/>
      <c r="Q75" s="288"/>
      <c r="R75" s="291"/>
      <c r="S75" s="290">
        <f>S40+S49+S53+S65+S69+S58+S73+S62</f>
        <v>0</v>
      </c>
      <c r="T75" s="290">
        <f>T40+T49+T53+T65+T69+T58+T73+T62</f>
        <v>3539784.7614191999</v>
      </c>
      <c r="U75" s="157">
        <f>G75</f>
        <v>3225908.1414192002</v>
      </c>
      <c r="V75" s="157">
        <f>'Activity 2'!U86+'Activity 3'!U105+'Activity 4'!U87+'Activity 5'!U80+'Activity 6'!U87+'Activity 7'!U84+U75</f>
        <v>14052034.135139821</v>
      </c>
      <c r="AB75" s="163">
        <v>318</v>
      </c>
      <c r="AC75" s="203" t="s">
        <v>573</v>
      </c>
      <c r="AD75" s="268" t="s">
        <v>574</v>
      </c>
    </row>
    <row r="76" spans="1:30">
      <c r="A76" s="329"/>
      <c r="B76" s="239"/>
      <c r="C76" s="198"/>
      <c r="D76" s="277"/>
      <c r="E76" s="278"/>
      <c r="G76" s="200"/>
      <c r="H76" s="277"/>
      <c r="I76" s="278"/>
      <c r="K76" s="200"/>
      <c r="L76" s="277"/>
      <c r="M76" s="278"/>
      <c r="O76" s="200"/>
      <c r="P76" s="277"/>
      <c r="Q76" s="278"/>
      <c r="S76" s="200"/>
      <c r="T76" s="200"/>
    </row>
    <row r="77" spans="1:30" ht="20.399999999999999">
      <c r="A77" s="292" t="s">
        <v>59</v>
      </c>
      <c r="B77" s="293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3"/>
    </row>
    <row r="78" spans="1:30" ht="15" customHeight="1">
      <c r="A78" s="295" t="s">
        <v>60</v>
      </c>
      <c r="B78" s="349" t="s">
        <v>132</v>
      </c>
      <c r="C78" s="198">
        <v>0</v>
      </c>
      <c r="D78" s="195">
        <v>0</v>
      </c>
      <c r="E78" s="196">
        <v>1</v>
      </c>
      <c r="F78" s="197">
        <v>0.2828</v>
      </c>
      <c r="G78" s="198">
        <f>D78*E78*F78</f>
        <v>0</v>
      </c>
      <c r="H78" s="195">
        <v>0</v>
      </c>
      <c r="I78" s="196">
        <v>1</v>
      </c>
      <c r="J78" s="197">
        <v>0.2828</v>
      </c>
      <c r="K78" s="198">
        <f>H78*I78*J78</f>
        <v>0</v>
      </c>
      <c r="L78" s="195">
        <v>0</v>
      </c>
      <c r="M78" s="196">
        <v>1</v>
      </c>
      <c r="N78" s="197">
        <v>0.2828</v>
      </c>
      <c r="O78" s="198">
        <f>L78*M78*N78</f>
        <v>0</v>
      </c>
      <c r="P78" s="195">
        <v>0</v>
      </c>
      <c r="Q78" s="196">
        <v>1</v>
      </c>
      <c r="R78" s="197">
        <v>0.2828</v>
      </c>
      <c r="S78" s="198">
        <f>P78*Q78*R78</f>
        <v>0</v>
      </c>
      <c r="T78" s="333">
        <f>C78+G78+K78+O78+S78</f>
        <v>0</v>
      </c>
    </row>
    <row r="79" spans="1:30" ht="15" customHeight="1">
      <c r="A79" s="295" t="s">
        <v>61</v>
      </c>
      <c r="B79" s="349" t="s">
        <v>132</v>
      </c>
      <c r="C79" s="198">
        <v>91541.509159231209</v>
      </c>
      <c r="D79" s="351">
        <f>G75-D71</f>
        <v>225908.14141920023</v>
      </c>
      <c r="E79" s="196">
        <v>1</v>
      </c>
      <c r="F79" s="197">
        <v>0.2828</v>
      </c>
      <c r="G79" s="198">
        <f>D79*E79*F79</f>
        <v>63886.822393349823</v>
      </c>
      <c r="H79" s="195">
        <f>K75</f>
        <v>0</v>
      </c>
      <c r="I79" s="196">
        <v>1</v>
      </c>
      <c r="J79" s="197">
        <v>0.2828</v>
      </c>
      <c r="K79" s="198">
        <f>H79*I79*J79</f>
        <v>0</v>
      </c>
      <c r="L79" s="195">
        <f>O75</f>
        <v>0</v>
      </c>
      <c r="M79" s="196">
        <v>1</v>
      </c>
      <c r="N79" s="197">
        <v>0.2828</v>
      </c>
      <c r="O79" s="198">
        <f>L79*M79*N79</f>
        <v>0</v>
      </c>
      <c r="P79" s="195">
        <f>S75</f>
        <v>0</v>
      </c>
      <c r="Q79" s="196">
        <v>1</v>
      </c>
      <c r="R79" s="197">
        <v>0.2828</v>
      </c>
      <c r="S79" s="198">
        <f>P79*Q79*R79</f>
        <v>0</v>
      </c>
      <c r="T79" s="333">
        <f>C79+G79+K79+O79+S79</f>
        <v>155428.33155258105</v>
      </c>
    </row>
    <row r="80" spans="1:30">
      <c r="A80" s="297"/>
      <c r="B80" s="239"/>
      <c r="C80" s="198"/>
      <c r="D80" s="270"/>
      <c r="E80" s="298"/>
      <c r="F80" s="199"/>
      <c r="G80" s="198"/>
      <c r="H80" s="270"/>
      <c r="I80" s="298"/>
      <c r="J80" s="299"/>
      <c r="K80" s="198"/>
      <c r="L80" s="270"/>
      <c r="M80" s="298"/>
      <c r="N80" s="199"/>
      <c r="O80" s="198"/>
      <c r="P80" s="270"/>
      <c r="Q80" s="298"/>
      <c r="R80" s="199"/>
      <c r="S80" s="198"/>
      <c r="T80" s="200"/>
    </row>
    <row r="81" spans="1:21" ht="18.3">
      <c r="A81" s="285" t="s">
        <v>539</v>
      </c>
      <c r="B81" s="286"/>
      <c r="C81" s="290">
        <f>SUM(C78:C80)</f>
        <v>91541.509159231209</v>
      </c>
      <c r="D81" s="287"/>
      <c r="E81" s="288"/>
      <c r="F81" s="291"/>
      <c r="G81" s="290">
        <f>SUM(G78:G80)</f>
        <v>63886.822393349823</v>
      </c>
      <c r="H81" s="287"/>
      <c r="I81" s="288"/>
      <c r="J81" s="289"/>
      <c r="K81" s="290">
        <f>SUM(K78:K80)</f>
        <v>0</v>
      </c>
      <c r="L81" s="287"/>
      <c r="M81" s="288"/>
      <c r="N81" s="291"/>
      <c r="O81" s="290">
        <f>SUM(O78:O80)</f>
        <v>0</v>
      </c>
      <c r="P81" s="287"/>
      <c r="Q81" s="288"/>
      <c r="R81" s="291"/>
      <c r="S81" s="290">
        <f>SUM(S78:S80)</f>
        <v>0</v>
      </c>
      <c r="T81" s="290">
        <f>SUM(T78:T80)</f>
        <v>155428.33155258105</v>
      </c>
      <c r="U81" s="157">
        <f>G81</f>
        <v>63886.822393349823</v>
      </c>
    </row>
    <row r="82" spans="1:21">
      <c r="A82" s="245"/>
      <c r="B82" s="300"/>
      <c r="C82" s="245"/>
      <c r="D82" s="279"/>
      <c r="E82" s="301"/>
      <c r="F82" s="303"/>
      <c r="G82" s="245"/>
      <c r="H82" s="279"/>
      <c r="I82" s="301"/>
      <c r="J82" s="302"/>
      <c r="K82" s="245"/>
      <c r="L82" s="279"/>
      <c r="M82" s="301"/>
      <c r="N82" s="303"/>
      <c r="O82" s="245"/>
      <c r="P82" s="279"/>
      <c r="Q82" s="301"/>
      <c r="R82" s="303"/>
      <c r="S82" s="245"/>
      <c r="T82" s="206"/>
    </row>
    <row r="83" spans="1:21" ht="18.3">
      <c r="A83" s="304" t="s">
        <v>540</v>
      </c>
      <c r="B83" s="305"/>
      <c r="C83" s="309">
        <f>C75+C81</f>
        <v>405418.1291592312</v>
      </c>
      <c r="D83" s="306"/>
      <c r="E83" s="307"/>
      <c r="F83" s="310"/>
      <c r="G83" s="309">
        <f>G75+G81</f>
        <v>3289794.9638125501</v>
      </c>
      <c r="H83" s="306"/>
      <c r="I83" s="307"/>
      <c r="J83" s="308"/>
      <c r="K83" s="309">
        <f>K75+K81</f>
        <v>0</v>
      </c>
      <c r="L83" s="306"/>
      <c r="M83" s="307"/>
      <c r="N83" s="310"/>
      <c r="O83" s="309">
        <f>O75+O81</f>
        <v>0</v>
      </c>
      <c r="P83" s="306"/>
      <c r="Q83" s="307"/>
      <c r="R83" s="310"/>
      <c r="S83" s="309">
        <f>S75+S81</f>
        <v>0</v>
      </c>
      <c r="T83" s="311">
        <f>C83+G83+K83+O83+S83</f>
        <v>3695213.0929717813</v>
      </c>
    </row>
    <row r="84" spans="1:21" ht="15.6">
      <c r="A84" s="312" t="s">
        <v>575</v>
      </c>
      <c r="B84" s="313"/>
      <c r="C84" s="245">
        <f>'Program Budget'!U729</f>
        <v>0</v>
      </c>
      <c r="D84" s="242"/>
      <c r="E84" s="314"/>
      <c r="F84" s="315"/>
      <c r="G84" s="245">
        <f t="shared" ref="G84" si="30">D84*E84*F84</f>
        <v>0</v>
      </c>
      <c r="H84" s="242"/>
      <c r="I84" s="314"/>
      <c r="J84" s="244"/>
      <c r="K84" s="245">
        <f t="shared" ref="K84" si="31">H84*I84*J84</f>
        <v>0</v>
      </c>
      <c r="L84" s="242"/>
      <c r="M84" s="314"/>
      <c r="N84" s="315"/>
      <c r="O84" s="245">
        <f t="shared" ref="O84" si="32">L84*M84*N84</f>
        <v>0</v>
      </c>
      <c r="P84" s="242"/>
      <c r="Q84" s="314"/>
      <c r="R84" s="315"/>
      <c r="S84" s="245">
        <f t="shared" ref="S84" si="33">P84*Q84*R84</f>
        <v>0</v>
      </c>
      <c r="T84" s="335">
        <f>C84+G84+K84+O84+S84</f>
        <v>0</v>
      </c>
    </row>
    <row r="85" spans="1:21" ht="18.3">
      <c r="A85" s="304" t="s">
        <v>541</v>
      </c>
      <c r="B85" s="305"/>
      <c r="C85" s="309">
        <f>SUM(C83:C84)</f>
        <v>405418.1291592312</v>
      </c>
      <c r="D85" s="306"/>
      <c r="E85" s="307"/>
      <c r="F85" s="310"/>
      <c r="G85" s="309">
        <f>SUM(G83:G84)</f>
        <v>3289794.9638125501</v>
      </c>
      <c r="H85" s="306"/>
      <c r="I85" s="307"/>
      <c r="J85" s="308"/>
      <c r="K85" s="309">
        <f>SUM(K83:K84)</f>
        <v>0</v>
      </c>
      <c r="L85" s="306"/>
      <c r="M85" s="307"/>
      <c r="N85" s="310"/>
      <c r="O85" s="309">
        <f>SUM(O83:O84)</f>
        <v>0</v>
      </c>
      <c r="P85" s="306"/>
      <c r="Q85" s="307"/>
      <c r="R85" s="310"/>
      <c r="S85" s="309">
        <f>SUM(S83:S84)</f>
        <v>0</v>
      </c>
      <c r="T85" s="311">
        <f>C85+G85+K85+O85+S85</f>
        <v>3695213.0929717813</v>
      </c>
    </row>
    <row r="86" spans="1:21">
      <c r="A86" s="194"/>
      <c r="B86" s="194"/>
      <c r="T86" s="200"/>
    </row>
    <row r="87" spans="1:21" ht="31.2">
      <c r="A87" s="316" t="s">
        <v>542</v>
      </c>
      <c r="B87" s="317"/>
      <c r="C87" s="321"/>
      <c r="D87" s="318"/>
      <c r="E87" s="319"/>
      <c r="F87" s="322"/>
      <c r="G87" s="323"/>
      <c r="H87" s="318"/>
      <c r="I87" s="319"/>
      <c r="J87" s="320"/>
      <c r="K87" s="323"/>
      <c r="L87" s="318"/>
      <c r="M87" s="319"/>
      <c r="N87" s="322"/>
      <c r="O87" s="323"/>
      <c r="P87" s="318"/>
      <c r="Q87" s="319"/>
      <c r="R87" s="322"/>
      <c r="S87" s="323"/>
      <c r="T87" s="323"/>
    </row>
  </sheetData>
  <mergeCells count="8">
    <mergeCell ref="P2:S2"/>
    <mergeCell ref="T2:T3"/>
    <mergeCell ref="A2:A3"/>
    <mergeCell ref="B2:B3"/>
    <mergeCell ref="C2:C3"/>
    <mergeCell ref="D2:G2"/>
    <mergeCell ref="H2:K2"/>
    <mergeCell ref="L2:O2"/>
  </mergeCells>
  <printOptions horizontalCentered="1"/>
  <pageMargins left="0.25" right="0.25" top="0.75" bottom="0.75" header="0.3" footer="0.3"/>
  <pageSetup scale="36" orientation="landscape" r:id="rId1"/>
  <headerFooter alignWithMargins="0"/>
  <rowBreaks count="1" manualBreakCount="1">
    <brk id="82" max="1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3547-B8B7-455A-9C3A-3D95E52C4C9B}">
  <sheetPr>
    <tabColor theme="9"/>
    <pageSetUpPr fitToPage="1"/>
  </sheetPr>
  <dimension ref="A1:V117"/>
  <sheetViews>
    <sheetView showOutlineSymbols="0" showWhiteSpace="0" zoomScale="70" zoomScaleNormal="70" workbookViewId="0">
      <pane xSplit="2" ySplit="4" topLeftCell="C95" activePane="bottomRight" state="frozen"/>
      <selection pane="topRight"/>
      <selection pane="bottomLeft"/>
      <selection pane="bottomRight" activeCell="A25" sqref="A25:XFD25"/>
    </sheetView>
  </sheetViews>
  <sheetFormatPr defaultColWidth="9.1640625" defaultRowHeight="14.4" outlineLevelRow="1" outlineLevelCol="1"/>
  <cols>
    <col min="1" max="1" width="58.83203125" style="157" customWidth="1"/>
    <col min="2" max="2" width="13" style="157" customWidth="1"/>
    <col min="3" max="3" width="27.44140625" style="157" customWidth="1"/>
    <col min="4" max="4" width="15.1640625" style="481" customWidth="1" outlineLevel="1"/>
    <col min="5" max="5" width="15.1640625" style="159" customWidth="1" outlineLevel="1"/>
    <col min="6" max="6" width="15.1640625" style="482" customWidth="1" outlineLevel="1"/>
    <col min="7" max="7" width="15.1640625" style="481" customWidth="1"/>
    <col min="8" max="8" width="22.1640625" style="481" customWidth="1" outlineLevel="1"/>
    <col min="9" max="9" width="15.1640625" style="159" customWidth="1" outlineLevel="1"/>
    <col min="10" max="10" width="15.1640625" style="160" customWidth="1" outlineLevel="1"/>
    <col min="11" max="11" width="20.83203125" style="481" bestFit="1" customWidth="1"/>
    <col min="12" max="12" width="19.83203125" style="481" customWidth="1" outlineLevel="1"/>
    <col min="13" max="13" width="19.5546875" style="159" customWidth="1" outlineLevel="1"/>
    <col min="14" max="14" width="17.44140625" style="482" customWidth="1" outlineLevel="1"/>
    <col min="15" max="15" width="20.83203125" style="481" bestFit="1" customWidth="1"/>
    <col min="16" max="16" width="19.5546875" style="481" customWidth="1" outlineLevel="1"/>
    <col min="17" max="17" width="15.1640625" style="159" customWidth="1" outlineLevel="1"/>
    <col min="18" max="18" width="15.1640625" style="482" customWidth="1" outlineLevel="1"/>
    <col min="19" max="19" width="16.1640625" style="481" customWidth="1"/>
    <col min="20" max="20" width="21.83203125" style="481" customWidth="1"/>
    <col min="21" max="21" width="8.83203125" style="157" customWidth="1"/>
    <col min="22" max="22" width="14.1640625" style="157" customWidth="1"/>
    <col min="23" max="250" width="9.1640625" style="157"/>
    <col min="251" max="251" width="38.1640625" style="157" customWidth="1"/>
    <col min="252" max="252" width="23.44140625" style="157" bestFit="1" customWidth="1"/>
    <col min="253" max="254" width="9.1640625" style="157" customWidth="1"/>
    <col min="255" max="255" width="11.1640625" style="157" bestFit="1" customWidth="1"/>
    <col min="256" max="256" width="14.44140625" style="157" bestFit="1" customWidth="1"/>
    <col min="257" max="257" width="8.1640625" style="157" customWidth="1"/>
    <col min="258" max="258" width="10.83203125" style="157" bestFit="1" customWidth="1"/>
    <col min="259" max="259" width="12.1640625" style="157" bestFit="1" customWidth="1"/>
    <col min="260" max="260" width="9.1640625" style="157" customWidth="1"/>
    <col min="261" max="261" width="10.83203125" style="157" bestFit="1" customWidth="1"/>
    <col min="262" max="262" width="12.1640625" style="157" bestFit="1" customWidth="1"/>
    <col min="263" max="263" width="8" style="157" customWidth="1"/>
    <col min="264" max="264" width="10.83203125" style="157" bestFit="1" customWidth="1"/>
    <col min="265" max="265" width="12.1640625" style="157" bestFit="1" customWidth="1"/>
    <col min="266" max="266" width="8.1640625" style="157" bestFit="1" customWidth="1"/>
    <col min="267" max="267" width="10.83203125" style="157" bestFit="1" customWidth="1"/>
    <col min="268" max="268" width="12.1640625" style="157" bestFit="1" customWidth="1"/>
    <col min="269" max="269" width="18.1640625" style="157" bestFit="1" customWidth="1"/>
    <col min="270" max="270" width="10.83203125" style="157" bestFit="1" customWidth="1"/>
    <col min="271" max="506" width="9.1640625" style="157"/>
    <col min="507" max="507" width="38.1640625" style="157" customWidth="1"/>
    <col min="508" max="508" width="23.44140625" style="157" bestFit="1" customWidth="1"/>
    <col min="509" max="510" width="9.1640625" style="157" customWidth="1"/>
    <col min="511" max="511" width="11.1640625" style="157" bestFit="1" customWidth="1"/>
    <col min="512" max="512" width="14.44140625" style="157" bestFit="1" customWidth="1"/>
    <col min="513" max="513" width="8.1640625" style="157" customWidth="1"/>
    <col min="514" max="514" width="10.83203125" style="157" bestFit="1" customWidth="1"/>
    <col min="515" max="515" width="12.1640625" style="157" bestFit="1" customWidth="1"/>
    <col min="516" max="516" width="9.1640625" style="157" customWidth="1"/>
    <col min="517" max="517" width="10.83203125" style="157" bestFit="1" customWidth="1"/>
    <col min="518" max="518" width="12.1640625" style="157" bestFit="1" customWidth="1"/>
    <col min="519" max="519" width="8" style="157" customWidth="1"/>
    <col min="520" max="520" width="10.83203125" style="157" bestFit="1" customWidth="1"/>
    <col min="521" max="521" width="12.1640625" style="157" bestFit="1" customWidth="1"/>
    <col min="522" max="522" width="8.1640625" style="157" bestFit="1" customWidth="1"/>
    <col min="523" max="523" width="10.83203125" style="157" bestFit="1" customWidth="1"/>
    <col min="524" max="524" width="12.1640625" style="157" bestFit="1" customWidth="1"/>
    <col min="525" max="525" width="18.1640625" style="157" bestFit="1" customWidth="1"/>
    <col min="526" max="526" width="10.83203125" style="157" bestFit="1" customWidth="1"/>
    <col min="527" max="762" width="9.1640625" style="157"/>
    <col min="763" max="763" width="38.1640625" style="157" customWidth="1"/>
    <col min="764" max="764" width="23.44140625" style="157" bestFit="1" customWidth="1"/>
    <col min="765" max="766" width="9.1640625" style="157" customWidth="1"/>
    <col min="767" max="767" width="11.1640625" style="157" bestFit="1" customWidth="1"/>
    <col min="768" max="768" width="14.44140625" style="157" bestFit="1" customWidth="1"/>
    <col min="769" max="769" width="8.1640625" style="157" customWidth="1"/>
    <col min="770" max="770" width="10.83203125" style="157" bestFit="1" customWidth="1"/>
    <col min="771" max="771" width="12.1640625" style="157" bestFit="1" customWidth="1"/>
    <col min="772" max="772" width="9.1640625" style="157" customWidth="1"/>
    <col min="773" max="773" width="10.83203125" style="157" bestFit="1" customWidth="1"/>
    <col min="774" max="774" width="12.1640625" style="157" bestFit="1" customWidth="1"/>
    <col min="775" max="775" width="8" style="157" customWidth="1"/>
    <col min="776" max="776" width="10.83203125" style="157" bestFit="1" customWidth="1"/>
    <col min="777" max="777" width="12.1640625" style="157" bestFit="1" customWidth="1"/>
    <col min="778" max="778" width="8.1640625" style="157" bestFit="1" customWidth="1"/>
    <col min="779" max="779" width="10.83203125" style="157" bestFit="1" customWidth="1"/>
    <col min="780" max="780" width="12.1640625" style="157" bestFit="1" customWidth="1"/>
    <col min="781" max="781" width="18.1640625" style="157" bestFit="1" customWidth="1"/>
    <col min="782" max="782" width="10.83203125" style="157" bestFit="1" customWidth="1"/>
    <col min="783" max="1018" width="9.1640625" style="157"/>
    <col min="1019" max="1019" width="38.1640625" style="157" customWidth="1"/>
    <col min="1020" max="1020" width="23.44140625" style="157" bestFit="1" customWidth="1"/>
    <col min="1021" max="1022" width="9.1640625" style="157" customWidth="1"/>
    <col min="1023" max="1023" width="11.1640625" style="157" bestFit="1" customWidth="1"/>
    <col min="1024" max="1024" width="14.44140625" style="157" bestFit="1" customWidth="1"/>
    <col min="1025" max="1025" width="8.1640625" style="157" customWidth="1"/>
    <col min="1026" max="1026" width="10.83203125" style="157" bestFit="1" customWidth="1"/>
    <col min="1027" max="1027" width="12.1640625" style="157" bestFit="1" customWidth="1"/>
    <col min="1028" max="1028" width="9.1640625" style="157" customWidth="1"/>
    <col min="1029" max="1029" width="10.83203125" style="157" bestFit="1" customWidth="1"/>
    <col min="1030" max="1030" width="12.1640625" style="157" bestFit="1" customWidth="1"/>
    <col min="1031" max="1031" width="8" style="157" customWidth="1"/>
    <col min="1032" max="1032" width="10.83203125" style="157" bestFit="1" customWidth="1"/>
    <col min="1033" max="1033" width="12.1640625" style="157" bestFit="1" customWidth="1"/>
    <col min="1034" max="1034" width="8.1640625" style="157" bestFit="1" customWidth="1"/>
    <col min="1035" max="1035" width="10.83203125" style="157" bestFit="1" customWidth="1"/>
    <col min="1036" max="1036" width="12.1640625" style="157" bestFit="1" customWidth="1"/>
    <col min="1037" max="1037" width="18.1640625" style="157" bestFit="1" customWidth="1"/>
    <col min="1038" max="1038" width="10.83203125" style="157" bestFit="1" customWidth="1"/>
    <col min="1039" max="1274" width="9.1640625" style="157"/>
    <col min="1275" max="1275" width="38.1640625" style="157" customWidth="1"/>
    <col min="1276" max="1276" width="23.44140625" style="157" bestFit="1" customWidth="1"/>
    <col min="1277" max="1278" width="9.1640625" style="157" customWidth="1"/>
    <col min="1279" max="1279" width="11.1640625" style="157" bestFit="1" customWidth="1"/>
    <col min="1280" max="1280" width="14.44140625" style="157" bestFit="1" customWidth="1"/>
    <col min="1281" max="1281" width="8.1640625" style="157" customWidth="1"/>
    <col min="1282" max="1282" width="10.83203125" style="157" bestFit="1" customWidth="1"/>
    <col min="1283" max="1283" width="12.1640625" style="157" bestFit="1" customWidth="1"/>
    <col min="1284" max="1284" width="9.1640625" style="157" customWidth="1"/>
    <col min="1285" max="1285" width="10.83203125" style="157" bestFit="1" customWidth="1"/>
    <col min="1286" max="1286" width="12.1640625" style="157" bestFit="1" customWidth="1"/>
    <col min="1287" max="1287" width="8" style="157" customWidth="1"/>
    <col min="1288" max="1288" width="10.83203125" style="157" bestFit="1" customWidth="1"/>
    <col min="1289" max="1289" width="12.1640625" style="157" bestFit="1" customWidth="1"/>
    <col min="1290" max="1290" width="8.1640625" style="157" bestFit="1" customWidth="1"/>
    <col min="1291" max="1291" width="10.83203125" style="157" bestFit="1" customWidth="1"/>
    <col min="1292" max="1292" width="12.1640625" style="157" bestFit="1" customWidth="1"/>
    <col min="1293" max="1293" width="18.1640625" style="157" bestFit="1" customWidth="1"/>
    <col min="1294" max="1294" width="10.83203125" style="157" bestFit="1" customWidth="1"/>
    <col min="1295" max="1530" width="9.1640625" style="157"/>
    <col min="1531" max="1531" width="38.1640625" style="157" customWidth="1"/>
    <col min="1532" max="1532" width="23.44140625" style="157" bestFit="1" customWidth="1"/>
    <col min="1533" max="1534" width="9.1640625" style="157" customWidth="1"/>
    <col min="1535" max="1535" width="11.1640625" style="157" bestFit="1" customWidth="1"/>
    <col min="1536" max="1536" width="14.44140625" style="157" bestFit="1" customWidth="1"/>
    <col min="1537" max="1537" width="8.1640625" style="157" customWidth="1"/>
    <col min="1538" max="1538" width="10.83203125" style="157" bestFit="1" customWidth="1"/>
    <col min="1539" max="1539" width="12.1640625" style="157" bestFit="1" customWidth="1"/>
    <col min="1540" max="1540" width="9.1640625" style="157" customWidth="1"/>
    <col min="1541" max="1541" width="10.83203125" style="157" bestFit="1" customWidth="1"/>
    <col min="1542" max="1542" width="12.1640625" style="157" bestFit="1" customWidth="1"/>
    <col min="1543" max="1543" width="8" style="157" customWidth="1"/>
    <col min="1544" max="1544" width="10.83203125" style="157" bestFit="1" customWidth="1"/>
    <col min="1545" max="1545" width="12.1640625" style="157" bestFit="1" customWidth="1"/>
    <col min="1546" max="1546" width="8.1640625" style="157" bestFit="1" customWidth="1"/>
    <col min="1547" max="1547" width="10.83203125" style="157" bestFit="1" customWidth="1"/>
    <col min="1548" max="1548" width="12.1640625" style="157" bestFit="1" customWidth="1"/>
    <col min="1549" max="1549" width="18.1640625" style="157" bestFit="1" customWidth="1"/>
    <col min="1550" max="1550" width="10.83203125" style="157" bestFit="1" customWidth="1"/>
    <col min="1551" max="1786" width="9.1640625" style="157"/>
    <col min="1787" max="1787" width="38.1640625" style="157" customWidth="1"/>
    <col min="1788" max="1788" width="23.44140625" style="157" bestFit="1" customWidth="1"/>
    <col min="1789" max="1790" width="9.1640625" style="157" customWidth="1"/>
    <col min="1791" max="1791" width="11.1640625" style="157" bestFit="1" customWidth="1"/>
    <col min="1792" max="1792" width="14.44140625" style="157" bestFit="1" customWidth="1"/>
    <col min="1793" max="1793" width="8.1640625" style="157" customWidth="1"/>
    <col min="1794" max="1794" width="10.83203125" style="157" bestFit="1" customWidth="1"/>
    <col min="1795" max="1795" width="12.1640625" style="157" bestFit="1" customWidth="1"/>
    <col min="1796" max="1796" width="9.1640625" style="157" customWidth="1"/>
    <col min="1797" max="1797" width="10.83203125" style="157" bestFit="1" customWidth="1"/>
    <col min="1798" max="1798" width="12.1640625" style="157" bestFit="1" customWidth="1"/>
    <col min="1799" max="1799" width="8" style="157" customWidth="1"/>
    <col min="1800" max="1800" width="10.83203125" style="157" bestFit="1" customWidth="1"/>
    <col min="1801" max="1801" width="12.1640625" style="157" bestFit="1" customWidth="1"/>
    <col min="1802" max="1802" width="8.1640625" style="157" bestFit="1" customWidth="1"/>
    <col min="1803" max="1803" width="10.83203125" style="157" bestFit="1" customWidth="1"/>
    <col min="1804" max="1804" width="12.1640625" style="157" bestFit="1" customWidth="1"/>
    <col min="1805" max="1805" width="18.1640625" style="157" bestFit="1" customWidth="1"/>
    <col min="1806" max="1806" width="10.83203125" style="157" bestFit="1" customWidth="1"/>
    <col min="1807" max="2042" width="9.1640625" style="157"/>
    <col min="2043" max="2043" width="38.1640625" style="157" customWidth="1"/>
    <col min="2044" max="2044" width="23.44140625" style="157" bestFit="1" customWidth="1"/>
    <col min="2045" max="2046" width="9.1640625" style="157" customWidth="1"/>
    <col min="2047" max="2047" width="11.1640625" style="157" bestFit="1" customWidth="1"/>
    <col min="2048" max="2048" width="14.44140625" style="157" bestFit="1" customWidth="1"/>
    <col min="2049" max="2049" width="8.1640625" style="157" customWidth="1"/>
    <col min="2050" max="2050" width="10.83203125" style="157" bestFit="1" customWidth="1"/>
    <col min="2051" max="2051" width="12.1640625" style="157" bestFit="1" customWidth="1"/>
    <col min="2052" max="2052" width="9.1640625" style="157" customWidth="1"/>
    <col min="2053" max="2053" width="10.83203125" style="157" bestFit="1" customWidth="1"/>
    <col min="2054" max="2054" width="12.1640625" style="157" bestFit="1" customWidth="1"/>
    <col min="2055" max="2055" width="8" style="157" customWidth="1"/>
    <col min="2056" max="2056" width="10.83203125" style="157" bestFit="1" customWidth="1"/>
    <col min="2057" max="2057" width="12.1640625" style="157" bestFit="1" customWidth="1"/>
    <col min="2058" max="2058" width="8.1640625" style="157" bestFit="1" customWidth="1"/>
    <col min="2059" max="2059" width="10.83203125" style="157" bestFit="1" customWidth="1"/>
    <col min="2060" max="2060" width="12.1640625" style="157" bestFit="1" customWidth="1"/>
    <col min="2061" max="2061" width="18.1640625" style="157" bestFit="1" customWidth="1"/>
    <col min="2062" max="2062" width="10.83203125" style="157" bestFit="1" customWidth="1"/>
    <col min="2063" max="2298" width="9.1640625" style="157"/>
    <col min="2299" max="2299" width="38.1640625" style="157" customWidth="1"/>
    <col min="2300" max="2300" width="23.44140625" style="157" bestFit="1" customWidth="1"/>
    <col min="2301" max="2302" width="9.1640625" style="157" customWidth="1"/>
    <col min="2303" max="2303" width="11.1640625" style="157" bestFit="1" customWidth="1"/>
    <col min="2304" max="2304" width="14.44140625" style="157" bestFit="1" customWidth="1"/>
    <col min="2305" max="2305" width="8.1640625" style="157" customWidth="1"/>
    <col min="2306" max="2306" width="10.83203125" style="157" bestFit="1" customWidth="1"/>
    <col min="2307" max="2307" width="12.1640625" style="157" bestFit="1" customWidth="1"/>
    <col min="2308" max="2308" width="9.1640625" style="157" customWidth="1"/>
    <col min="2309" max="2309" width="10.83203125" style="157" bestFit="1" customWidth="1"/>
    <col min="2310" max="2310" width="12.1640625" style="157" bestFit="1" customWidth="1"/>
    <col min="2311" max="2311" width="8" style="157" customWidth="1"/>
    <col min="2312" max="2312" width="10.83203125" style="157" bestFit="1" customWidth="1"/>
    <col min="2313" max="2313" width="12.1640625" style="157" bestFit="1" customWidth="1"/>
    <col min="2314" max="2314" width="8.1640625" style="157" bestFit="1" customWidth="1"/>
    <col min="2315" max="2315" width="10.83203125" style="157" bestFit="1" customWidth="1"/>
    <col min="2316" max="2316" width="12.1640625" style="157" bestFit="1" customWidth="1"/>
    <col min="2317" max="2317" width="18.1640625" style="157" bestFit="1" customWidth="1"/>
    <col min="2318" max="2318" width="10.83203125" style="157" bestFit="1" customWidth="1"/>
    <col min="2319" max="2554" width="9.1640625" style="157"/>
    <col min="2555" max="2555" width="38.1640625" style="157" customWidth="1"/>
    <col min="2556" max="2556" width="23.44140625" style="157" bestFit="1" customWidth="1"/>
    <col min="2557" max="2558" width="9.1640625" style="157" customWidth="1"/>
    <col min="2559" max="2559" width="11.1640625" style="157" bestFit="1" customWidth="1"/>
    <col min="2560" max="2560" width="14.44140625" style="157" bestFit="1" customWidth="1"/>
    <col min="2561" max="2561" width="8.1640625" style="157" customWidth="1"/>
    <col min="2562" max="2562" width="10.83203125" style="157" bestFit="1" customWidth="1"/>
    <col min="2563" max="2563" width="12.1640625" style="157" bestFit="1" customWidth="1"/>
    <col min="2564" max="2564" width="9.1640625" style="157" customWidth="1"/>
    <col min="2565" max="2565" width="10.83203125" style="157" bestFit="1" customWidth="1"/>
    <col min="2566" max="2566" width="12.1640625" style="157" bestFit="1" customWidth="1"/>
    <col min="2567" max="2567" width="8" style="157" customWidth="1"/>
    <col min="2568" max="2568" width="10.83203125" style="157" bestFit="1" customWidth="1"/>
    <col min="2569" max="2569" width="12.1640625" style="157" bestFit="1" customWidth="1"/>
    <col min="2570" max="2570" width="8.1640625" style="157" bestFit="1" customWidth="1"/>
    <col min="2571" max="2571" width="10.83203125" style="157" bestFit="1" customWidth="1"/>
    <col min="2572" max="2572" width="12.1640625" style="157" bestFit="1" customWidth="1"/>
    <col min="2573" max="2573" width="18.1640625" style="157" bestFit="1" customWidth="1"/>
    <col min="2574" max="2574" width="10.83203125" style="157" bestFit="1" customWidth="1"/>
    <col min="2575" max="2810" width="9.1640625" style="157"/>
    <col min="2811" max="2811" width="38.1640625" style="157" customWidth="1"/>
    <col min="2812" max="2812" width="23.44140625" style="157" bestFit="1" customWidth="1"/>
    <col min="2813" max="2814" width="9.1640625" style="157" customWidth="1"/>
    <col min="2815" max="2815" width="11.1640625" style="157" bestFit="1" customWidth="1"/>
    <col min="2816" max="2816" width="14.44140625" style="157" bestFit="1" customWidth="1"/>
    <col min="2817" max="2817" width="8.1640625" style="157" customWidth="1"/>
    <col min="2818" max="2818" width="10.83203125" style="157" bestFit="1" customWidth="1"/>
    <col min="2819" max="2819" width="12.1640625" style="157" bestFit="1" customWidth="1"/>
    <col min="2820" max="2820" width="9.1640625" style="157" customWidth="1"/>
    <col min="2821" max="2821" width="10.83203125" style="157" bestFit="1" customWidth="1"/>
    <col min="2822" max="2822" width="12.1640625" style="157" bestFit="1" customWidth="1"/>
    <col min="2823" max="2823" width="8" style="157" customWidth="1"/>
    <col min="2824" max="2824" width="10.83203125" style="157" bestFit="1" customWidth="1"/>
    <col min="2825" max="2825" width="12.1640625" style="157" bestFit="1" customWidth="1"/>
    <col min="2826" max="2826" width="8.1640625" style="157" bestFit="1" customWidth="1"/>
    <col min="2827" max="2827" width="10.83203125" style="157" bestFit="1" customWidth="1"/>
    <col min="2828" max="2828" width="12.1640625" style="157" bestFit="1" customWidth="1"/>
    <col min="2829" max="2829" width="18.1640625" style="157" bestFit="1" customWidth="1"/>
    <col min="2830" max="2830" width="10.83203125" style="157" bestFit="1" customWidth="1"/>
    <col min="2831" max="3066" width="9.1640625" style="157"/>
    <col min="3067" max="3067" width="38.1640625" style="157" customWidth="1"/>
    <col min="3068" max="3068" width="23.44140625" style="157" bestFit="1" customWidth="1"/>
    <col min="3069" max="3070" width="9.1640625" style="157" customWidth="1"/>
    <col min="3071" max="3071" width="11.1640625" style="157" bestFit="1" customWidth="1"/>
    <col min="3072" max="3072" width="14.44140625" style="157" bestFit="1" customWidth="1"/>
    <col min="3073" max="3073" width="8.1640625" style="157" customWidth="1"/>
    <col min="3074" max="3074" width="10.83203125" style="157" bestFit="1" customWidth="1"/>
    <col min="3075" max="3075" width="12.1640625" style="157" bestFit="1" customWidth="1"/>
    <col min="3076" max="3076" width="9.1640625" style="157" customWidth="1"/>
    <col min="3077" max="3077" width="10.83203125" style="157" bestFit="1" customWidth="1"/>
    <col min="3078" max="3078" width="12.1640625" style="157" bestFit="1" customWidth="1"/>
    <col min="3079" max="3079" width="8" style="157" customWidth="1"/>
    <col min="3080" max="3080" width="10.83203125" style="157" bestFit="1" customWidth="1"/>
    <col min="3081" max="3081" width="12.1640625" style="157" bestFit="1" customWidth="1"/>
    <col min="3082" max="3082" width="8.1640625" style="157" bestFit="1" customWidth="1"/>
    <col min="3083" max="3083" width="10.83203125" style="157" bestFit="1" customWidth="1"/>
    <col min="3084" max="3084" width="12.1640625" style="157" bestFit="1" customWidth="1"/>
    <col min="3085" max="3085" width="18.1640625" style="157" bestFit="1" customWidth="1"/>
    <col min="3086" max="3086" width="10.83203125" style="157" bestFit="1" customWidth="1"/>
    <col min="3087" max="3322" width="9.1640625" style="157"/>
    <col min="3323" max="3323" width="38.1640625" style="157" customWidth="1"/>
    <col min="3324" max="3324" width="23.44140625" style="157" bestFit="1" customWidth="1"/>
    <col min="3325" max="3326" width="9.1640625" style="157" customWidth="1"/>
    <col min="3327" max="3327" width="11.1640625" style="157" bestFit="1" customWidth="1"/>
    <col min="3328" max="3328" width="14.44140625" style="157" bestFit="1" customWidth="1"/>
    <col min="3329" max="3329" width="8.1640625" style="157" customWidth="1"/>
    <col min="3330" max="3330" width="10.83203125" style="157" bestFit="1" customWidth="1"/>
    <col min="3331" max="3331" width="12.1640625" style="157" bestFit="1" customWidth="1"/>
    <col min="3332" max="3332" width="9.1640625" style="157" customWidth="1"/>
    <col min="3333" max="3333" width="10.83203125" style="157" bestFit="1" customWidth="1"/>
    <col min="3334" max="3334" width="12.1640625" style="157" bestFit="1" customWidth="1"/>
    <col min="3335" max="3335" width="8" style="157" customWidth="1"/>
    <col min="3336" max="3336" width="10.83203125" style="157" bestFit="1" customWidth="1"/>
    <col min="3337" max="3337" width="12.1640625" style="157" bestFit="1" customWidth="1"/>
    <col min="3338" max="3338" width="8.1640625" style="157" bestFit="1" customWidth="1"/>
    <col min="3339" max="3339" width="10.83203125" style="157" bestFit="1" customWidth="1"/>
    <col min="3340" max="3340" width="12.1640625" style="157" bestFit="1" customWidth="1"/>
    <col min="3341" max="3341" width="18.1640625" style="157" bestFit="1" customWidth="1"/>
    <col min="3342" max="3342" width="10.83203125" style="157" bestFit="1" customWidth="1"/>
    <col min="3343" max="3578" width="9.1640625" style="157"/>
    <col min="3579" max="3579" width="38.1640625" style="157" customWidth="1"/>
    <col min="3580" max="3580" width="23.44140625" style="157" bestFit="1" customWidth="1"/>
    <col min="3581" max="3582" width="9.1640625" style="157" customWidth="1"/>
    <col min="3583" max="3583" width="11.1640625" style="157" bestFit="1" customWidth="1"/>
    <col min="3584" max="3584" width="14.44140625" style="157" bestFit="1" customWidth="1"/>
    <col min="3585" max="3585" width="8.1640625" style="157" customWidth="1"/>
    <col min="3586" max="3586" width="10.83203125" style="157" bestFit="1" customWidth="1"/>
    <col min="3587" max="3587" width="12.1640625" style="157" bestFit="1" customWidth="1"/>
    <col min="3588" max="3588" width="9.1640625" style="157" customWidth="1"/>
    <col min="3589" max="3589" width="10.83203125" style="157" bestFit="1" customWidth="1"/>
    <col min="3590" max="3590" width="12.1640625" style="157" bestFit="1" customWidth="1"/>
    <col min="3591" max="3591" width="8" style="157" customWidth="1"/>
    <col min="3592" max="3592" width="10.83203125" style="157" bestFit="1" customWidth="1"/>
    <col min="3593" max="3593" width="12.1640625" style="157" bestFit="1" customWidth="1"/>
    <col min="3594" max="3594" width="8.1640625" style="157" bestFit="1" customWidth="1"/>
    <col min="3595" max="3595" width="10.83203125" style="157" bestFit="1" customWidth="1"/>
    <col min="3596" max="3596" width="12.1640625" style="157" bestFit="1" customWidth="1"/>
    <col min="3597" max="3597" width="18.1640625" style="157" bestFit="1" customWidth="1"/>
    <col min="3598" max="3598" width="10.83203125" style="157" bestFit="1" customWidth="1"/>
    <col min="3599" max="3834" width="9.1640625" style="157"/>
    <col min="3835" max="3835" width="38.1640625" style="157" customWidth="1"/>
    <col min="3836" max="3836" width="23.44140625" style="157" bestFit="1" customWidth="1"/>
    <col min="3837" max="3838" width="9.1640625" style="157" customWidth="1"/>
    <col min="3839" max="3839" width="11.1640625" style="157" bestFit="1" customWidth="1"/>
    <col min="3840" max="3840" width="14.44140625" style="157" bestFit="1" customWidth="1"/>
    <col min="3841" max="3841" width="8.1640625" style="157" customWidth="1"/>
    <col min="3842" max="3842" width="10.83203125" style="157" bestFit="1" customWidth="1"/>
    <col min="3843" max="3843" width="12.1640625" style="157" bestFit="1" customWidth="1"/>
    <col min="3844" max="3844" width="9.1640625" style="157" customWidth="1"/>
    <col min="3845" max="3845" width="10.83203125" style="157" bestFit="1" customWidth="1"/>
    <col min="3846" max="3846" width="12.1640625" style="157" bestFit="1" customWidth="1"/>
    <col min="3847" max="3847" width="8" style="157" customWidth="1"/>
    <col min="3848" max="3848" width="10.83203125" style="157" bestFit="1" customWidth="1"/>
    <col min="3849" max="3849" width="12.1640625" style="157" bestFit="1" customWidth="1"/>
    <col min="3850" max="3850" width="8.1640625" style="157" bestFit="1" customWidth="1"/>
    <col min="3851" max="3851" width="10.83203125" style="157" bestFit="1" customWidth="1"/>
    <col min="3852" max="3852" width="12.1640625" style="157" bestFit="1" customWidth="1"/>
    <col min="3853" max="3853" width="18.1640625" style="157" bestFit="1" customWidth="1"/>
    <col min="3854" max="3854" width="10.83203125" style="157" bestFit="1" customWidth="1"/>
    <col min="3855" max="4090" width="9.1640625" style="157"/>
    <col min="4091" max="4091" width="38.1640625" style="157" customWidth="1"/>
    <col min="4092" max="4092" width="23.44140625" style="157" bestFit="1" customWidth="1"/>
    <col min="4093" max="4094" width="9.1640625" style="157" customWidth="1"/>
    <col min="4095" max="4095" width="11.1640625" style="157" bestFit="1" customWidth="1"/>
    <col min="4096" max="4096" width="14.44140625" style="157" bestFit="1" customWidth="1"/>
    <col min="4097" max="4097" width="8.1640625" style="157" customWidth="1"/>
    <col min="4098" max="4098" width="10.83203125" style="157" bestFit="1" customWidth="1"/>
    <col min="4099" max="4099" width="12.1640625" style="157" bestFit="1" customWidth="1"/>
    <col min="4100" max="4100" width="9.1640625" style="157" customWidth="1"/>
    <col min="4101" max="4101" width="10.83203125" style="157" bestFit="1" customWidth="1"/>
    <col min="4102" max="4102" width="12.1640625" style="157" bestFit="1" customWidth="1"/>
    <col min="4103" max="4103" width="8" style="157" customWidth="1"/>
    <col min="4104" max="4104" width="10.83203125" style="157" bestFit="1" customWidth="1"/>
    <col min="4105" max="4105" width="12.1640625" style="157" bestFit="1" customWidth="1"/>
    <col min="4106" max="4106" width="8.1640625" style="157" bestFit="1" customWidth="1"/>
    <col min="4107" max="4107" width="10.83203125" style="157" bestFit="1" customWidth="1"/>
    <col min="4108" max="4108" width="12.1640625" style="157" bestFit="1" customWidth="1"/>
    <col min="4109" max="4109" width="18.1640625" style="157" bestFit="1" customWidth="1"/>
    <col min="4110" max="4110" width="10.83203125" style="157" bestFit="1" customWidth="1"/>
    <col min="4111" max="4346" width="9.1640625" style="157"/>
    <col min="4347" max="4347" width="38.1640625" style="157" customWidth="1"/>
    <col min="4348" max="4348" width="23.44140625" style="157" bestFit="1" customWidth="1"/>
    <col min="4349" max="4350" width="9.1640625" style="157" customWidth="1"/>
    <col min="4351" max="4351" width="11.1640625" style="157" bestFit="1" customWidth="1"/>
    <col min="4352" max="4352" width="14.44140625" style="157" bestFit="1" customWidth="1"/>
    <col min="4353" max="4353" width="8.1640625" style="157" customWidth="1"/>
    <col min="4354" max="4354" width="10.83203125" style="157" bestFit="1" customWidth="1"/>
    <col min="4355" max="4355" width="12.1640625" style="157" bestFit="1" customWidth="1"/>
    <col min="4356" max="4356" width="9.1640625" style="157" customWidth="1"/>
    <col min="4357" max="4357" width="10.83203125" style="157" bestFit="1" customWidth="1"/>
    <col min="4358" max="4358" width="12.1640625" style="157" bestFit="1" customWidth="1"/>
    <col min="4359" max="4359" width="8" style="157" customWidth="1"/>
    <col min="4360" max="4360" width="10.83203125" style="157" bestFit="1" customWidth="1"/>
    <col min="4361" max="4361" width="12.1640625" style="157" bestFit="1" customWidth="1"/>
    <col min="4362" max="4362" width="8.1640625" style="157" bestFit="1" customWidth="1"/>
    <col min="4363" max="4363" width="10.83203125" style="157" bestFit="1" customWidth="1"/>
    <col min="4364" max="4364" width="12.1640625" style="157" bestFit="1" customWidth="1"/>
    <col min="4365" max="4365" width="18.1640625" style="157" bestFit="1" customWidth="1"/>
    <col min="4366" max="4366" width="10.83203125" style="157" bestFit="1" customWidth="1"/>
    <col min="4367" max="4602" width="9.1640625" style="157"/>
    <col min="4603" max="4603" width="38.1640625" style="157" customWidth="1"/>
    <col min="4604" max="4604" width="23.44140625" style="157" bestFit="1" customWidth="1"/>
    <col min="4605" max="4606" width="9.1640625" style="157" customWidth="1"/>
    <col min="4607" max="4607" width="11.1640625" style="157" bestFit="1" customWidth="1"/>
    <col min="4608" max="4608" width="14.44140625" style="157" bestFit="1" customWidth="1"/>
    <col min="4609" max="4609" width="8.1640625" style="157" customWidth="1"/>
    <col min="4610" max="4610" width="10.83203125" style="157" bestFit="1" customWidth="1"/>
    <col min="4611" max="4611" width="12.1640625" style="157" bestFit="1" customWidth="1"/>
    <col min="4612" max="4612" width="9.1640625" style="157" customWidth="1"/>
    <col min="4613" max="4613" width="10.83203125" style="157" bestFit="1" customWidth="1"/>
    <col min="4614" max="4614" width="12.1640625" style="157" bestFit="1" customWidth="1"/>
    <col min="4615" max="4615" width="8" style="157" customWidth="1"/>
    <col min="4616" max="4616" width="10.83203125" style="157" bestFit="1" customWidth="1"/>
    <col min="4617" max="4617" width="12.1640625" style="157" bestFit="1" customWidth="1"/>
    <col min="4618" max="4618" width="8.1640625" style="157" bestFit="1" customWidth="1"/>
    <col min="4619" max="4619" width="10.83203125" style="157" bestFit="1" customWidth="1"/>
    <col min="4620" max="4620" width="12.1640625" style="157" bestFit="1" customWidth="1"/>
    <col min="4621" max="4621" width="18.1640625" style="157" bestFit="1" customWidth="1"/>
    <col min="4622" max="4622" width="10.83203125" style="157" bestFit="1" customWidth="1"/>
    <col min="4623" max="4858" width="9.1640625" style="157"/>
    <col min="4859" max="4859" width="38.1640625" style="157" customWidth="1"/>
    <col min="4860" max="4860" width="23.44140625" style="157" bestFit="1" customWidth="1"/>
    <col min="4861" max="4862" width="9.1640625" style="157" customWidth="1"/>
    <col min="4863" max="4863" width="11.1640625" style="157" bestFit="1" customWidth="1"/>
    <col min="4864" max="4864" width="14.44140625" style="157" bestFit="1" customWidth="1"/>
    <col min="4865" max="4865" width="8.1640625" style="157" customWidth="1"/>
    <col min="4866" max="4866" width="10.83203125" style="157" bestFit="1" customWidth="1"/>
    <col min="4867" max="4867" width="12.1640625" style="157" bestFit="1" customWidth="1"/>
    <col min="4868" max="4868" width="9.1640625" style="157" customWidth="1"/>
    <col min="4869" max="4869" width="10.83203125" style="157" bestFit="1" customWidth="1"/>
    <col min="4870" max="4870" width="12.1640625" style="157" bestFit="1" customWidth="1"/>
    <col min="4871" max="4871" width="8" style="157" customWidth="1"/>
    <col min="4872" max="4872" width="10.83203125" style="157" bestFit="1" customWidth="1"/>
    <col min="4873" max="4873" width="12.1640625" style="157" bestFit="1" customWidth="1"/>
    <col min="4874" max="4874" width="8.1640625" style="157" bestFit="1" customWidth="1"/>
    <col min="4875" max="4875" width="10.83203125" style="157" bestFit="1" customWidth="1"/>
    <col min="4876" max="4876" width="12.1640625" style="157" bestFit="1" customWidth="1"/>
    <col min="4877" max="4877" width="18.1640625" style="157" bestFit="1" customWidth="1"/>
    <col min="4878" max="4878" width="10.83203125" style="157" bestFit="1" customWidth="1"/>
    <col min="4879" max="5114" width="9.1640625" style="157"/>
    <col min="5115" max="5115" width="38.1640625" style="157" customWidth="1"/>
    <col min="5116" max="5116" width="23.44140625" style="157" bestFit="1" customWidth="1"/>
    <col min="5117" max="5118" width="9.1640625" style="157" customWidth="1"/>
    <col min="5119" max="5119" width="11.1640625" style="157" bestFit="1" customWidth="1"/>
    <col min="5120" max="5120" width="14.44140625" style="157" bestFit="1" customWidth="1"/>
    <col min="5121" max="5121" width="8.1640625" style="157" customWidth="1"/>
    <col min="5122" max="5122" width="10.83203125" style="157" bestFit="1" customWidth="1"/>
    <col min="5123" max="5123" width="12.1640625" style="157" bestFit="1" customWidth="1"/>
    <col min="5124" max="5124" width="9.1640625" style="157" customWidth="1"/>
    <col min="5125" max="5125" width="10.83203125" style="157" bestFit="1" customWidth="1"/>
    <col min="5126" max="5126" width="12.1640625" style="157" bestFit="1" customWidth="1"/>
    <col min="5127" max="5127" width="8" style="157" customWidth="1"/>
    <col min="5128" max="5128" width="10.83203125" style="157" bestFit="1" customWidth="1"/>
    <col min="5129" max="5129" width="12.1640625" style="157" bestFit="1" customWidth="1"/>
    <col min="5130" max="5130" width="8.1640625" style="157" bestFit="1" customWidth="1"/>
    <col min="5131" max="5131" width="10.83203125" style="157" bestFit="1" customWidth="1"/>
    <col min="5132" max="5132" width="12.1640625" style="157" bestFit="1" customWidth="1"/>
    <col min="5133" max="5133" width="18.1640625" style="157" bestFit="1" customWidth="1"/>
    <col min="5134" max="5134" width="10.83203125" style="157" bestFit="1" customWidth="1"/>
    <col min="5135" max="5370" width="9.1640625" style="157"/>
    <col min="5371" max="5371" width="38.1640625" style="157" customWidth="1"/>
    <col min="5372" max="5372" width="23.44140625" style="157" bestFit="1" customWidth="1"/>
    <col min="5373" max="5374" width="9.1640625" style="157" customWidth="1"/>
    <col min="5375" max="5375" width="11.1640625" style="157" bestFit="1" customWidth="1"/>
    <col min="5376" max="5376" width="14.44140625" style="157" bestFit="1" customWidth="1"/>
    <col min="5377" max="5377" width="8.1640625" style="157" customWidth="1"/>
    <col min="5378" max="5378" width="10.83203125" style="157" bestFit="1" customWidth="1"/>
    <col min="5379" max="5379" width="12.1640625" style="157" bestFit="1" customWidth="1"/>
    <col min="5380" max="5380" width="9.1640625" style="157" customWidth="1"/>
    <col min="5381" max="5381" width="10.83203125" style="157" bestFit="1" customWidth="1"/>
    <col min="5382" max="5382" width="12.1640625" style="157" bestFit="1" customWidth="1"/>
    <col min="5383" max="5383" width="8" style="157" customWidth="1"/>
    <col min="5384" max="5384" width="10.83203125" style="157" bestFit="1" customWidth="1"/>
    <col min="5385" max="5385" width="12.1640625" style="157" bestFit="1" customWidth="1"/>
    <col min="5386" max="5386" width="8.1640625" style="157" bestFit="1" customWidth="1"/>
    <col min="5387" max="5387" width="10.83203125" style="157" bestFit="1" customWidth="1"/>
    <col min="5388" max="5388" width="12.1640625" style="157" bestFit="1" customWidth="1"/>
    <col min="5389" max="5389" width="18.1640625" style="157" bestFit="1" customWidth="1"/>
    <col min="5390" max="5390" width="10.83203125" style="157" bestFit="1" customWidth="1"/>
    <col min="5391" max="5626" width="9.1640625" style="157"/>
    <col min="5627" max="5627" width="38.1640625" style="157" customWidth="1"/>
    <col min="5628" max="5628" width="23.44140625" style="157" bestFit="1" customWidth="1"/>
    <col min="5629" max="5630" width="9.1640625" style="157" customWidth="1"/>
    <col min="5631" max="5631" width="11.1640625" style="157" bestFit="1" customWidth="1"/>
    <col min="5632" max="5632" width="14.44140625" style="157" bestFit="1" customWidth="1"/>
    <col min="5633" max="5633" width="8.1640625" style="157" customWidth="1"/>
    <col min="5634" max="5634" width="10.83203125" style="157" bestFit="1" customWidth="1"/>
    <col min="5635" max="5635" width="12.1640625" style="157" bestFit="1" customWidth="1"/>
    <col min="5636" max="5636" width="9.1640625" style="157" customWidth="1"/>
    <col min="5637" max="5637" width="10.83203125" style="157" bestFit="1" customWidth="1"/>
    <col min="5638" max="5638" width="12.1640625" style="157" bestFit="1" customWidth="1"/>
    <col min="5639" max="5639" width="8" style="157" customWidth="1"/>
    <col min="5640" max="5640" width="10.83203125" style="157" bestFit="1" customWidth="1"/>
    <col min="5641" max="5641" width="12.1640625" style="157" bestFit="1" customWidth="1"/>
    <col min="5642" max="5642" width="8.1640625" style="157" bestFit="1" customWidth="1"/>
    <col min="5643" max="5643" width="10.83203125" style="157" bestFit="1" customWidth="1"/>
    <col min="5644" max="5644" width="12.1640625" style="157" bestFit="1" customWidth="1"/>
    <col min="5645" max="5645" width="18.1640625" style="157" bestFit="1" customWidth="1"/>
    <col min="5646" max="5646" width="10.83203125" style="157" bestFit="1" customWidth="1"/>
    <col min="5647" max="5882" width="9.1640625" style="157"/>
    <col min="5883" max="5883" width="38.1640625" style="157" customWidth="1"/>
    <col min="5884" max="5884" width="23.44140625" style="157" bestFit="1" customWidth="1"/>
    <col min="5885" max="5886" width="9.1640625" style="157" customWidth="1"/>
    <col min="5887" max="5887" width="11.1640625" style="157" bestFit="1" customWidth="1"/>
    <col min="5888" max="5888" width="14.44140625" style="157" bestFit="1" customWidth="1"/>
    <col min="5889" max="5889" width="8.1640625" style="157" customWidth="1"/>
    <col min="5890" max="5890" width="10.83203125" style="157" bestFit="1" customWidth="1"/>
    <col min="5891" max="5891" width="12.1640625" style="157" bestFit="1" customWidth="1"/>
    <col min="5892" max="5892" width="9.1640625" style="157" customWidth="1"/>
    <col min="5893" max="5893" width="10.83203125" style="157" bestFit="1" customWidth="1"/>
    <col min="5894" max="5894" width="12.1640625" style="157" bestFit="1" customWidth="1"/>
    <col min="5895" max="5895" width="8" style="157" customWidth="1"/>
    <col min="5896" max="5896" width="10.83203125" style="157" bestFit="1" customWidth="1"/>
    <col min="5897" max="5897" width="12.1640625" style="157" bestFit="1" customWidth="1"/>
    <col min="5898" max="5898" width="8.1640625" style="157" bestFit="1" customWidth="1"/>
    <col min="5899" max="5899" width="10.83203125" style="157" bestFit="1" customWidth="1"/>
    <col min="5900" max="5900" width="12.1640625" style="157" bestFit="1" customWidth="1"/>
    <col min="5901" max="5901" width="18.1640625" style="157" bestFit="1" customWidth="1"/>
    <col min="5902" max="5902" width="10.83203125" style="157" bestFit="1" customWidth="1"/>
    <col min="5903" max="6138" width="9.1640625" style="157"/>
    <col min="6139" max="6139" width="38.1640625" style="157" customWidth="1"/>
    <col min="6140" max="6140" width="23.44140625" style="157" bestFit="1" customWidth="1"/>
    <col min="6141" max="6142" width="9.1640625" style="157" customWidth="1"/>
    <col min="6143" max="6143" width="11.1640625" style="157" bestFit="1" customWidth="1"/>
    <col min="6144" max="6144" width="14.44140625" style="157" bestFit="1" customWidth="1"/>
    <col min="6145" max="6145" width="8.1640625" style="157" customWidth="1"/>
    <col min="6146" max="6146" width="10.83203125" style="157" bestFit="1" customWidth="1"/>
    <col min="6147" max="6147" width="12.1640625" style="157" bestFit="1" customWidth="1"/>
    <col min="6148" max="6148" width="9.1640625" style="157" customWidth="1"/>
    <col min="6149" max="6149" width="10.83203125" style="157" bestFit="1" customWidth="1"/>
    <col min="6150" max="6150" width="12.1640625" style="157" bestFit="1" customWidth="1"/>
    <col min="6151" max="6151" width="8" style="157" customWidth="1"/>
    <col min="6152" max="6152" width="10.83203125" style="157" bestFit="1" customWidth="1"/>
    <col min="6153" max="6153" width="12.1640625" style="157" bestFit="1" customWidth="1"/>
    <col min="6154" max="6154" width="8.1640625" style="157" bestFit="1" customWidth="1"/>
    <col min="6155" max="6155" width="10.83203125" style="157" bestFit="1" customWidth="1"/>
    <col min="6156" max="6156" width="12.1640625" style="157" bestFit="1" customWidth="1"/>
    <col min="6157" max="6157" width="18.1640625" style="157" bestFit="1" customWidth="1"/>
    <col min="6158" max="6158" width="10.83203125" style="157" bestFit="1" customWidth="1"/>
    <col min="6159" max="6394" width="9.1640625" style="157"/>
    <col min="6395" max="6395" width="38.1640625" style="157" customWidth="1"/>
    <col min="6396" max="6396" width="23.44140625" style="157" bestFit="1" customWidth="1"/>
    <col min="6397" max="6398" width="9.1640625" style="157" customWidth="1"/>
    <col min="6399" max="6399" width="11.1640625" style="157" bestFit="1" customWidth="1"/>
    <col min="6400" max="6400" width="14.44140625" style="157" bestFit="1" customWidth="1"/>
    <col min="6401" max="6401" width="8.1640625" style="157" customWidth="1"/>
    <col min="6402" max="6402" width="10.83203125" style="157" bestFit="1" customWidth="1"/>
    <col min="6403" max="6403" width="12.1640625" style="157" bestFit="1" customWidth="1"/>
    <col min="6404" max="6404" width="9.1640625" style="157" customWidth="1"/>
    <col min="6405" max="6405" width="10.83203125" style="157" bestFit="1" customWidth="1"/>
    <col min="6406" max="6406" width="12.1640625" style="157" bestFit="1" customWidth="1"/>
    <col min="6407" max="6407" width="8" style="157" customWidth="1"/>
    <col min="6408" max="6408" width="10.83203125" style="157" bestFit="1" customWidth="1"/>
    <col min="6409" max="6409" width="12.1640625" style="157" bestFit="1" customWidth="1"/>
    <col min="6410" max="6410" width="8.1640625" style="157" bestFit="1" customWidth="1"/>
    <col min="6411" max="6411" width="10.83203125" style="157" bestFit="1" customWidth="1"/>
    <col min="6412" max="6412" width="12.1640625" style="157" bestFit="1" customWidth="1"/>
    <col min="6413" max="6413" width="18.1640625" style="157" bestFit="1" customWidth="1"/>
    <col min="6414" max="6414" width="10.83203125" style="157" bestFit="1" customWidth="1"/>
    <col min="6415" max="6650" width="9.1640625" style="157"/>
    <col min="6651" max="6651" width="38.1640625" style="157" customWidth="1"/>
    <col min="6652" max="6652" width="23.44140625" style="157" bestFit="1" customWidth="1"/>
    <col min="6653" max="6654" width="9.1640625" style="157" customWidth="1"/>
    <col min="6655" max="6655" width="11.1640625" style="157" bestFit="1" customWidth="1"/>
    <col min="6656" max="6656" width="14.44140625" style="157" bestFit="1" customWidth="1"/>
    <col min="6657" max="6657" width="8.1640625" style="157" customWidth="1"/>
    <col min="6658" max="6658" width="10.83203125" style="157" bestFit="1" customWidth="1"/>
    <col min="6659" max="6659" width="12.1640625" style="157" bestFit="1" customWidth="1"/>
    <col min="6660" max="6660" width="9.1640625" style="157" customWidth="1"/>
    <col min="6661" max="6661" width="10.83203125" style="157" bestFit="1" customWidth="1"/>
    <col min="6662" max="6662" width="12.1640625" style="157" bestFit="1" customWidth="1"/>
    <col min="6663" max="6663" width="8" style="157" customWidth="1"/>
    <col min="6664" max="6664" width="10.83203125" style="157" bestFit="1" customWidth="1"/>
    <col min="6665" max="6665" width="12.1640625" style="157" bestFit="1" customWidth="1"/>
    <col min="6666" max="6666" width="8.1640625" style="157" bestFit="1" customWidth="1"/>
    <col min="6667" max="6667" width="10.83203125" style="157" bestFit="1" customWidth="1"/>
    <col min="6668" max="6668" width="12.1640625" style="157" bestFit="1" customWidth="1"/>
    <col min="6669" max="6669" width="18.1640625" style="157" bestFit="1" customWidth="1"/>
    <col min="6670" max="6670" width="10.83203125" style="157" bestFit="1" customWidth="1"/>
    <col min="6671" max="6906" width="9.1640625" style="157"/>
    <col min="6907" max="6907" width="38.1640625" style="157" customWidth="1"/>
    <col min="6908" max="6908" width="23.44140625" style="157" bestFit="1" customWidth="1"/>
    <col min="6909" max="6910" width="9.1640625" style="157" customWidth="1"/>
    <col min="6911" max="6911" width="11.1640625" style="157" bestFit="1" customWidth="1"/>
    <col min="6912" max="6912" width="14.44140625" style="157" bestFit="1" customWidth="1"/>
    <col min="6913" max="6913" width="8.1640625" style="157" customWidth="1"/>
    <col min="6914" max="6914" width="10.83203125" style="157" bestFit="1" customWidth="1"/>
    <col min="6915" max="6915" width="12.1640625" style="157" bestFit="1" customWidth="1"/>
    <col min="6916" max="6916" width="9.1640625" style="157" customWidth="1"/>
    <col min="6917" max="6917" width="10.83203125" style="157" bestFit="1" customWidth="1"/>
    <col min="6918" max="6918" width="12.1640625" style="157" bestFit="1" customWidth="1"/>
    <col min="6919" max="6919" width="8" style="157" customWidth="1"/>
    <col min="6920" max="6920" width="10.83203125" style="157" bestFit="1" customWidth="1"/>
    <col min="6921" max="6921" width="12.1640625" style="157" bestFit="1" customWidth="1"/>
    <col min="6922" max="6922" width="8.1640625" style="157" bestFit="1" customWidth="1"/>
    <col min="6923" max="6923" width="10.83203125" style="157" bestFit="1" customWidth="1"/>
    <col min="6924" max="6924" width="12.1640625" style="157" bestFit="1" customWidth="1"/>
    <col min="6925" max="6925" width="18.1640625" style="157" bestFit="1" customWidth="1"/>
    <col min="6926" max="6926" width="10.83203125" style="157" bestFit="1" customWidth="1"/>
    <col min="6927" max="7162" width="9.1640625" style="157"/>
    <col min="7163" max="7163" width="38.1640625" style="157" customWidth="1"/>
    <col min="7164" max="7164" width="23.44140625" style="157" bestFit="1" customWidth="1"/>
    <col min="7165" max="7166" width="9.1640625" style="157" customWidth="1"/>
    <col min="7167" max="7167" width="11.1640625" style="157" bestFit="1" customWidth="1"/>
    <col min="7168" max="7168" width="14.44140625" style="157" bestFit="1" customWidth="1"/>
    <col min="7169" max="7169" width="8.1640625" style="157" customWidth="1"/>
    <col min="7170" max="7170" width="10.83203125" style="157" bestFit="1" customWidth="1"/>
    <col min="7171" max="7171" width="12.1640625" style="157" bestFit="1" customWidth="1"/>
    <col min="7172" max="7172" width="9.1640625" style="157" customWidth="1"/>
    <col min="7173" max="7173" width="10.83203125" style="157" bestFit="1" customWidth="1"/>
    <col min="7174" max="7174" width="12.1640625" style="157" bestFit="1" customWidth="1"/>
    <col min="7175" max="7175" width="8" style="157" customWidth="1"/>
    <col min="7176" max="7176" width="10.83203125" style="157" bestFit="1" customWidth="1"/>
    <col min="7177" max="7177" width="12.1640625" style="157" bestFit="1" customWidth="1"/>
    <col min="7178" max="7178" width="8.1640625" style="157" bestFit="1" customWidth="1"/>
    <col min="7179" max="7179" width="10.83203125" style="157" bestFit="1" customWidth="1"/>
    <col min="7180" max="7180" width="12.1640625" style="157" bestFit="1" customWidth="1"/>
    <col min="7181" max="7181" width="18.1640625" style="157" bestFit="1" customWidth="1"/>
    <col min="7182" max="7182" width="10.83203125" style="157" bestFit="1" customWidth="1"/>
    <col min="7183" max="7418" width="9.1640625" style="157"/>
    <col min="7419" max="7419" width="38.1640625" style="157" customWidth="1"/>
    <col min="7420" max="7420" width="23.44140625" style="157" bestFit="1" customWidth="1"/>
    <col min="7421" max="7422" width="9.1640625" style="157" customWidth="1"/>
    <col min="7423" max="7423" width="11.1640625" style="157" bestFit="1" customWidth="1"/>
    <col min="7424" max="7424" width="14.44140625" style="157" bestFit="1" customWidth="1"/>
    <col min="7425" max="7425" width="8.1640625" style="157" customWidth="1"/>
    <col min="7426" max="7426" width="10.83203125" style="157" bestFit="1" customWidth="1"/>
    <col min="7427" max="7427" width="12.1640625" style="157" bestFit="1" customWidth="1"/>
    <col min="7428" max="7428" width="9.1640625" style="157" customWidth="1"/>
    <col min="7429" max="7429" width="10.83203125" style="157" bestFit="1" customWidth="1"/>
    <col min="7430" max="7430" width="12.1640625" style="157" bestFit="1" customWidth="1"/>
    <col min="7431" max="7431" width="8" style="157" customWidth="1"/>
    <col min="7432" max="7432" width="10.83203125" style="157" bestFit="1" customWidth="1"/>
    <col min="7433" max="7433" width="12.1640625" style="157" bestFit="1" customWidth="1"/>
    <col min="7434" max="7434" width="8.1640625" style="157" bestFit="1" customWidth="1"/>
    <col min="7435" max="7435" width="10.83203125" style="157" bestFit="1" customWidth="1"/>
    <col min="7436" max="7436" width="12.1640625" style="157" bestFit="1" customWidth="1"/>
    <col min="7437" max="7437" width="18.1640625" style="157" bestFit="1" customWidth="1"/>
    <col min="7438" max="7438" width="10.83203125" style="157" bestFit="1" customWidth="1"/>
    <col min="7439" max="7674" width="9.1640625" style="157"/>
    <col min="7675" max="7675" width="38.1640625" style="157" customWidth="1"/>
    <col min="7676" max="7676" width="23.44140625" style="157" bestFit="1" customWidth="1"/>
    <col min="7677" max="7678" width="9.1640625" style="157" customWidth="1"/>
    <col min="7679" max="7679" width="11.1640625" style="157" bestFit="1" customWidth="1"/>
    <col min="7680" max="7680" width="14.44140625" style="157" bestFit="1" customWidth="1"/>
    <col min="7681" max="7681" width="8.1640625" style="157" customWidth="1"/>
    <col min="7682" max="7682" width="10.83203125" style="157" bestFit="1" customWidth="1"/>
    <col min="7683" max="7683" width="12.1640625" style="157" bestFit="1" customWidth="1"/>
    <col min="7684" max="7684" width="9.1640625" style="157" customWidth="1"/>
    <col min="7685" max="7685" width="10.83203125" style="157" bestFit="1" customWidth="1"/>
    <col min="7686" max="7686" width="12.1640625" style="157" bestFit="1" customWidth="1"/>
    <col min="7687" max="7687" width="8" style="157" customWidth="1"/>
    <col min="7688" max="7688" width="10.83203125" style="157" bestFit="1" customWidth="1"/>
    <col min="7689" max="7689" width="12.1640625" style="157" bestFit="1" customWidth="1"/>
    <col min="7690" max="7690" width="8.1640625" style="157" bestFit="1" customWidth="1"/>
    <col min="7691" max="7691" width="10.83203125" style="157" bestFit="1" customWidth="1"/>
    <col min="7692" max="7692" width="12.1640625" style="157" bestFit="1" customWidth="1"/>
    <col min="7693" max="7693" width="18.1640625" style="157" bestFit="1" customWidth="1"/>
    <col min="7694" max="7694" width="10.83203125" style="157" bestFit="1" customWidth="1"/>
    <col min="7695" max="7930" width="9.1640625" style="157"/>
    <col min="7931" max="7931" width="38.1640625" style="157" customWidth="1"/>
    <col min="7932" max="7932" width="23.44140625" style="157" bestFit="1" customWidth="1"/>
    <col min="7933" max="7934" width="9.1640625" style="157" customWidth="1"/>
    <col min="7935" max="7935" width="11.1640625" style="157" bestFit="1" customWidth="1"/>
    <col min="7936" max="7936" width="14.44140625" style="157" bestFit="1" customWidth="1"/>
    <col min="7937" max="7937" width="8.1640625" style="157" customWidth="1"/>
    <col min="7938" max="7938" width="10.83203125" style="157" bestFit="1" customWidth="1"/>
    <col min="7939" max="7939" width="12.1640625" style="157" bestFit="1" customWidth="1"/>
    <col min="7940" max="7940" width="9.1640625" style="157" customWidth="1"/>
    <col min="7941" max="7941" width="10.83203125" style="157" bestFit="1" customWidth="1"/>
    <col min="7942" max="7942" width="12.1640625" style="157" bestFit="1" customWidth="1"/>
    <col min="7943" max="7943" width="8" style="157" customWidth="1"/>
    <col min="7944" max="7944" width="10.83203125" style="157" bestFit="1" customWidth="1"/>
    <col min="7945" max="7945" width="12.1640625" style="157" bestFit="1" customWidth="1"/>
    <col min="7946" max="7946" width="8.1640625" style="157" bestFit="1" customWidth="1"/>
    <col min="7947" max="7947" width="10.83203125" style="157" bestFit="1" customWidth="1"/>
    <col min="7948" max="7948" width="12.1640625" style="157" bestFit="1" customWidth="1"/>
    <col min="7949" max="7949" width="18.1640625" style="157" bestFit="1" customWidth="1"/>
    <col min="7950" max="7950" width="10.83203125" style="157" bestFit="1" customWidth="1"/>
    <col min="7951" max="8186" width="9.1640625" style="157"/>
    <col min="8187" max="8187" width="38.1640625" style="157" customWidth="1"/>
    <col min="8188" max="8188" width="23.44140625" style="157" bestFit="1" customWidth="1"/>
    <col min="8189" max="8190" width="9.1640625" style="157" customWidth="1"/>
    <col min="8191" max="8191" width="11.1640625" style="157" bestFit="1" customWidth="1"/>
    <col min="8192" max="8192" width="14.44140625" style="157" bestFit="1" customWidth="1"/>
    <col min="8193" max="8193" width="8.1640625" style="157" customWidth="1"/>
    <col min="8194" max="8194" width="10.83203125" style="157" bestFit="1" customWidth="1"/>
    <col min="8195" max="8195" width="12.1640625" style="157" bestFit="1" customWidth="1"/>
    <col min="8196" max="8196" width="9.1640625" style="157" customWidth="1"/>
    <col min="8197" max="8197" width="10.83203125" style="157" bestFit="1" customWidth="1"/>
    <col min="8198" max="8198" width="12.1640625" style="157" bestFit="1" customWidth="1"/>
    <col min="8199" max="8199" width="8" style="157" customWidth="1"/>
    <col min="8200" max="8200" width="10.83203125" style="157" bestFit="1" customWidth="1"/>
    <col min="8201" max="8201" width="12.1640625" style="157" bestFit="1" customWidth="1"/>
    <col min="8202" max="8202" width="8.1640625" style="157" bestFit="1" customWidth="1"/>
    <col min="8203" max="8203" width="10.83203125" style="157" bestFit="1" customWidth="1"/>
    <col min="8204" max="8204" width="12.1640625" style="157" bestFit="1" customWidth="1"/>
    <col min="8205" max="8205" width="18.1640625" style="157" bestFit="1" customWidth="1"/>
    <col min="8206" max="8206" width="10.83203125" style="157" bestFit="1" customWidth="1"/>
    <col min="8207" max="8442" width="9.1640625" style="157"/>
    <col min="8443" max="8443" width="38.1640625" style="157" customWidth="1"/>
    <col min="8444" max="8444" width="23.44140625" style="157" bestFit="1" customWidth="1"/>
    <col min="8445" max="8446" width="9.1640625" style="157" customWidth="1"/>
    <col min="8447" max="8447" width="11.1640625" style="157" bestFit="1" customWidth="1"/>
    <col min="8448" max="8448" width="14.44140625" style="157" bestFit="1" customWidth="1"/>
    <col min="8449" max="8449" width="8.1640625" style="157" customWidth="1"/>
    <col min="8450" max="8450" width="10.83203125" style="157" bestFit="1" customWidth="1"/>
    <col min="8451" max="8451" width="12.1640625" style="157" bestFit="1" customWidth="1"/>
    <col min="8452" max="8452" width="9.1640625" style="157" customWidth="1"/>
    <col min="8453" max="8453" width="10.83203125" style="157" bestFit="1" customWidth="1"/>
    <col min="8454" max="8454" width="12.1640625" style="157" bestFit="1" customWidth="1"/>
    <col min="8455" max="8455" width="8" style="157" customWidth="1"/>
    <col min="8456" max="8456" width="10.83203125" style="157" bestFit="1" customWidth="1"/>
    <col min="8457" max="8457" width="12.1640625" style="157" bestFit="1" customWidth="1"/>
    <col min="8458" max="8458" width="8.1640625" style="157" bestFit="1" customWidth="1"/>
    <col min="8459" max="8459" width="10.83203125" style="157" bestFit="1" customWidth="1"/>
    <col min="8460" max="8460" width="12.1640625" style="157" bestFit="1" customWidth="1"/>
    <col min="8461" max="8461" width="18.1640625" style="157" bestFit="1" customWidth="1"/>
    <col min="8462" max="8462" width="10.83203125" style="157" bestFit="1" customWidth="1"/>
    <col min="8463" max="8698" width="9.1640625" style="157"/>
    <col min="8699" max="8699" width="38.1640625" style="157" customWidth="1"/>
    <col min="8700" max="8700" width="23.44140625" style="157" bestFit="1" customWidth="1"/>
    <col min="8701" max="8702" width="9.1640625" style="157" customWidth="1"/>
    <col min="8703" max="8703" width="11.1640625" style="157" bestFit="1" customWidth="1"/>
    <col min="8704" max="8704" width="14.44140625" style="157" bestFit="1" customWidth="1"/>
    <col min="8705" max="8705" width="8.1640625" style="157" customWidth="1"/>
    <col min="8706" max="8706" width="10.83203125" style="157" bestFit="1" customWidth="1"/>
    <col min="8707" max="8707" width="12.1640625" style="157" bestFit="1" customWidth="1"/>
    <col min="8708" max="8708" width="9.1640625" style="157" customWidth="1"/>
    <col min="8709" max="8709" width="10.83203125" style="157" bestFit="1" customWidth="1"/>
    <col min="8710" max="8710" width="12.1640625" style="157" bestFit="1" customWidth="1"/>
    <col min="8711" max="8711" width="8" style="157" customWidth="1"/>
    <col min="8712" max="8712" width="10.83203125" style="157" bestFit="1" customWidth="1"/>
    <col min="8713" max="8713" width="12.1640625" style="157" bestFit="1" customWidth="1"/>
    <col min="8714" max="8714" width="8.1640625" style="157" bestFit="1" customWidth="1"/>
    <col min="8715" max="8715" width="10.83203125" style="157" bestFit="1" customWidth="1"/>
    <col min="8716" max="8716" width="12.1640625" style="157" bestFit="1" customWidth="1"/>
    <col min="8717" max="8717" width="18.1640625" style="157" bestFit="1" customWidth="1"/>
    <col min="8718" max="8718" width="10.83203125" style="157" bestFit="1" customWidth="1"/>
    <col min="8719" max="8954" width="9.1640625" style="157"/>
    <col min="8955" max="8955" width="38.1640625" style="157" customWidth="1"/>
    <col min="8956" max="8956" width="23.44140625" style="157" bestFit="1" customWidth="1"/>
    <col min="8957" max="8958" width="9.1640625" style="157" customWidth="1"/>
    <col min="8959" max="8959" width="11.1640625" style="157" bestFit="1" customWidth="1"/>
    <col min="8960" max="8960" width="14.44140625" style="157" bestFit="1" customWidth="1"/>
    <col min="8961" max="8961" width="8.1640625" style="157" customWidth="1"/>
    <col min="8962" max="8962" width="10.83203125" style="157" bestFit="1" customWidth="1"/>
    <col min="8963" max="8963" width="12.1640625" style="157" bestFit="1" customWidth="1"/>
    <col min="8964" max="8964" width="9.1640625" style="157" customWidth="1"/>
    <col min="8965" max="8965" width="10.83203125" style="157" bestFit="1" customWidth="1"/>
    <col min="8966" max="8966" width="12.1640625" style="157" bestFit="1" customWidth="1"/>
    <col min="8967" max="8967" width="8" style="157" customWidth="1"/>
    <col min="8968" max="8968" width="10.83203125" style="157" bestFit="1" customWidth="1"/>
    <col min="8969" max="8969" width="12.1640625" style="157" bestFit="1" customWidth="1"/>
    <col min="8970" max="8970" width="8.1640625" style="157" bestFit="1" customWidth="1"/>
    <col min="8971" max="8971" width="10.83203125" style="157" bestFit="1" customWidth="1"/>
    <col min="8972" max="8972" width="12.1640625" style="157" bestFit="1" customWidth="1"/>
    <col min="8973" max="8973" width="18.1640625" style="157" bestFit="1" customWidth="1"/>
    <col min="8974" max="8974" width="10.83203125" style="157" bestFit="1" customWidth="1"/>
    <col min="8975" max="9210" width="9.1640625" style="157"/>
    <col min="9211" max="9211" width="38.1640625" style="157" customWidth="1"/>
    <col min="9212" max="9212" width="23.44140625" style="157" bestFit="1" customWidth="1"/>
    <col min="9213" max="9214" width="9.1640625" style="157" customWidth="1"/>
    <col min="9215" max="9215" width="11.1640625" style="157" bestFit="1" customWidth="1"/>
    <col min="9216" max="9216" width="14.44140625" style="157" bestFit="1" customWidth="1"/>
    <col min="9217" max="9217" width="8.1640625" style="157" customWidth="1"/>
    <col min="9218" max="9218" width="10.83203125" style="157" bestFit="1" customWidth="1"/>
    <col min="9219" max="9219" width="12.1640625" style="157" bestFit="1" customWidth="1"/>
    <col min="9220" max="9220" width="9.1640625" style="157" customWidth="1"/>
    <col min="9221" max="9221" width="10.83203125" style="157" bestFit="1" customWidth="1"/>
    <col min="9222" max="9222" width="12.1640625" style="157" bestFit="1" customWidth="1"/>
    <col min="9223" max="9223" width="8" style="157" customWidth="1"/>
    <col min="9224" max="9224" width="10.83203125" style="157" bestFit="1" customWidth="1"/>
    <col min="9225" max="9225" width="12.1640625" style="157" bestFit="1" customWidth="1"/>
    <col min="9226" max="9226" width="8.1640625" style="157" bestFit="1" customWidth="1"/>
    <col min="9227" max="9227" width="10.83203125" style="157" bestFit="1" customWidth="1"/>
    <col min="9228" max="9228" width="12.1640625" style="157" bestFit="1" customWidth="1"/>
    <col min="9229" max="9229" width="18.1640625" style="157" bestFit="1" customWidth="1"/>
    <col min="9230" max="9230" width="10.83203125" style="157" bestFit="1" customWidth="1"/>
    <col min="9231" max="9466" width="9.1640625" style="157"/>
    <col min="9467" max="9467" width="38.1640625" style="157" customWidth="1"/>
    <col min="9468" max="9468" width="23.44140625" style="157" bestFit="1" customWidth="1"/>
    <col min="9469" max="9470" width="9.1640625" style="157" customWidth="1"/>
    <col min="9471" max="9471" width="11.1640625" style="157" bestFit="1" customWidth="1"/>
    <col min="9472" max="9472" width="14.44140625" style="157" bestFit="1" customWidth="1"/>
    <col min="9473" max="9473" width="8.1640625" style="157" customWidth="1"/>
    <col min="9474" max="9474" width="10.83203125" style="157" bestFit="1" customWidth="1"/>
    <col min="9475" max="9475" width="12.1640625" style="157" bestFit="1" customWidth="1"/>
    <col min="9476" max="9476" width="9.1640625" style="157" customWidth="1"/>
    <col min="9477" max="9477" width="10.83203125" style="157" bestFit="1" customWidth="1"/>
    <col min="9478" max="9478" width="12.1640625" style="157" bestFit="1" customWidth="1"/>
    <col min="9479" max="9479" width="8" style="157" customWidth="1"/>
    <col min="9480" max="9480" width="10.83203125" style="157" bestFit="1" customWidth="1"/>
    <col min="9481" max="9481" width="12.1640625" style="157" bestFit="1" customWidth="1"/>
    <col min="9482" max="9482" width="8.1640625" style="157" bestFit="1" customWidth="1"/>
    <col min="9483" max="9483" width="10.83203125" style="157" bestFit="1" customWidth="1"/>
    <col min="9484" max="9484" width="12.1640625" style="157" bestFit="1" customWidth="1"/>
    <col min="9485" max="9485" width="18.1640625" style="157" bestFit="1" customWidth="1"/>
    <col min="9486" max="9486" width="10.83203125" style="157" bestFit="1" customWidth="1"/>
    <col min="9487" max="9722" width="9.1640625" style="157"/>
    <col min="9723" max="9723" width="38.1640625" style="157" customWidth="1"/>
    <col min="9724" max="9724" width="23.44140625" style="157" bestFit="1" customWidth="1"/>
    <col min="9725" max="9726" width="9.1640625" style="157" customWidth="1"/>
    <col min="9727" max="9727" width="11.1640625" style="157" bestFit="1" customWidth="1"/>
    <col min="9728" max="9728" width="14.44140625" style="157" bestFit="1" customWidth="1"/>
    <col min="9729" max="9729" width="8.1640625" style="157" customWidth="1"/>
    <col min="9730" max="9730" width="10.83203125" style="157" bestFit="1" customWidth="1"/>
    <col min="9731" max="9731" width="12.1640625" style="157" bestFit="1" customWidth="1"/>
    <col min="9732" max="9732" width="9.1640625" style="157" customWidth="1"/>
    <col min="9733" max="9733" width="10.83203125" style="157" bestFit="1" customWidth="1"/>
    <col min="9734" max="9734" width="12.1640625" style="157" bestFit="1" customWidth="1"/>
    <col min="9735" max="9735" width="8" style="157" customWidth="1"/>
    <col min="9736" max="9736" width="10.83203125" style="157" bestFit="1" customWidth="1"/>
    <col min="9737" max="9737" width="12.1640625" style="157" bestFit="1" customWidth="1"/>
    <col min="9738" max="9738" width="8.1640625" style="157" bestFit="1" customWidth="1"/>
    <col min="9739" max="9739" width="10.83203125" style="157" bestFit="1" customWidth="1"/>
    <col min="9740" max="9740" width="12.1640625" style="157" bestFit="1" customWidth="1"/>
    <col min="9741" max="9741" width="18.1640625" style="157" bestFit="1" customWidth="1"/>
    <col min="9742" max="9742" width="10.83203125" style="157" bestFit="1" customWidth="1"/>
    <col min="9743" max="9978" width="9.1640625" style="157"/>
    <col min="9979" max="9979" width="38.1640625" style="157" customWidth="1"/>
    <col min="9980" max="9980" width="23.44140625" style="157" bestFit="1" customWidth="1"/>
    <col min="9981" max="9982" width="9.1640625" style="157" customWidth="1"/>
    <col min="9983" max="9983" width="11.1640625" style="157" bestFit="1" customWidth="1"/>
    <col min="9984" max="9984" width="14.44140625" style="157" bestFit="1" customWidth="1"/>
    <col min="9985" max="9985" width="8.1640625" style="157" customWidth="1"/>
    <col min="9986" max="9986" width="10.83203125" style="157" bestFit="1" customWidth="1"/>
    <col min="9987" max="9987" width="12.1640625" style="157" bestFit="1" customWidth="1"/>
    <col min="9988" max="9988" width="9.1640625" style="157" customWidth="1"/>
    <col min="9989" max="9989" width="10.83203125" style="157" bestFit="1" customWidth="1"/>
    <col min="9990" max="9990" width="12.1640625" style="157" bestFit="1" customWidth="1"/>
    <col min="9991" max="9991" width="8" style="157" customWidth="1"/>
    <col min="9992" max="9992" width="10.83203125" style="157" bestFit="1" customWidth="1"/>
    <col min="9993" max="9993" width="12.1640625" style="157" bestFit="1" customWidth="1"/>
    <col min="9994" max="9994" width="8.1640625" style="157" bestFit="1" customWidth="1"/>
    <col min="9995" max="9995" width="10.83203125" style="157" bestFit="1" customWidth="1"/>
    <col min="9996" max="9996" width="12.1640625" style="157" bestFit="1" customWidth="1"/>
    <col min="9997" max="9997" width="18.1640625" style="157" bestFit="1" customWidth="1"/>
    <col min="9998" max="9998" width="10.83203125" style="157" bestFit="1" customWidth="1"/>
    <col min="9999" max="10234" width="9.1640625" style="157"/>
    <col min="10235" max="10235" width="38.1640625" style="157" customWidth="1"/>
    <col min="10236" max="10236" width="23.44140625" style="157" bestFit="1" customWidth="1"/>
    <col min="10237" max="10238" width="9.1640625" style="157" customWidth="1"/>
    <col min="10239" max="10239" width="11.1640625" style="157" bestFit="1" customWidth="1"/>
    <col min="10240" max="10240" width="14.44140625" style="157" bestFit="1" customWidth="1"/>
    <col min="10241" max="10241" width="8.1640625" style="157" customWidth="1"/>
    <col min="10242" max="10242" width="10.83203125" style="157" bestFit="1" customWidth="1"/>
    <col min="10243" max="10243" width="12.1640625" style="157" bestFit="1" customWidth="1"/>
    <col min="10244" max="10244" width="9.1640625" style="157" customWidth="1"/>
    <col min="10245" max="10245" width="10.83203125" style="157" bestFit="1" customWidth="1"/>
    <col min="10246" max="10246" width="12.1640625" style="157" bestFit="1" customWidth="1"/>
    <col min="10247" max="10247" width="8" style="157" customWidth="1"/>
    <col min="10248" max="10248" width="10.83203125" style="157" bestFit="1" customWidth="1"/>
    <col min="10249" max="10249" width="12.1640625" style="157" bestFit="1" customWidth="1"/>
    <col min="10250" max="10250" width="8.1640625" style="157" bestFit="1" customWidth="1"/>
    <col min="10251" max="10251" width="10.83203125" style="157" bestFit="1" customWidth="1"/>
    <col min="10252" max="10252" width="12.1640625" style="157" bestFit="1" customWidth="1"/>
    <col min="10253" max="10253" width="18.1640625" style="157" bestFit="1" customWidth="1"/>
    <col min="10254" max="10254" width="10.83203125" style="157" bestFit="1" customWidth="1"/>
    <col min="10255" max="10490" width="9.1640625" style="157"/>
    <col min="10491" max="10491" width="38.1640625" style="157" customWidth="1"/>
    <col min="10492" max="10492" width="23.44140625" style="157" bestFit="1" customWidth="1"/>
    <col min="10493" max="10494" width="9.1640625" style="157" customWidth="1"/>
    <col min="10495" max="10495" width="11.1640625" style="157" bestFit="1" customWidth="1"/>
    <col min="10496" max="10496" width="14.44140625" style="157" bestFit="1" customWidth="1"/>
    <col min="10497" max="10497" width="8.1640625" style="157" customWidth="1"/>
    <col min="10498" max="10498" width="10.83203125" style="157" bestFit="1" customWidth="1"/>
    <col min="10499" max="10499" width="12.1640625" style="157" bestFit="1" customWidth="1"/>
    <col min="10500" max="10500" width="9.1640625" style="157" customWidth="1"/>
    <col min="10501" max="10501" width="10.83203125" style="157" bestFit="1" customWidth="1"/>
    <col min="10502" max="10502" width="12.1640625" style="157" bestFit="1" customWidth="1"/>
    <col min="10503" max="10503" width="8" style="157" customWidth="1"/>
    <col min="10504" max="10504" width="10.83203125" style="157" bestFit="1" customWidth="1"/>
    <col min="10505" max="10505" width="12.1640625" style="157" bestFit="1" customWidth="1"/>
    <col min="10506" max="10506" width="8.1640625" style="157" bestFit="1" customWidth="1"/>
    <col min="10507" max="10507" width="10.83203125" style="157" bestFit="1" customWidth="1"/>
    <col min="10508" max="10508" width="12.1640625" style="157" bestFit="1" customWidth="1"/>
    <col min="10509" max="10509" width="18.1640625" style="157" bestFit="1" customWidth="1"/>
    <col min="10510" max="10510" width="10.83203125" style="157" bestFit="1" customWidth="1"/>
    <col min="10511" max="10746" width="9.1640625" style="157"/>
    <col min="10747" max="10747" width="38.1640625" style="157" customWidth="1"/>
    <col min="10748" max="10748" width="23.44140625" style="157" bestFit="1" customWidth="1"/>
    <col min="10749" max="10750" width="9.1640625" style="157" customWidth="1"/>
    <col min="10751" max="10751" width="11.1640625" style="157" bestFit="1" customWidth="1"/>
    <col min="10752" max="10752" width="14.44140625" style="157" bestFit="1" customWidth="1"/>
    <col min="10753" max="10753" width="8.1640625" style="157" customWidth="1"/>
    <col min="10754" max="10754" width="10.83203125" style="157" bestFit="1" customWidth="1"/>
    <col min="10755" max="10755" width="12.1640625" style="157" bestFit="1" customWidth="1"/>
    <col min="10756" max="10756" width="9.1640625" style="157" customWidth="1"/>
    <col min="10757" max="10757" width="10.83203125" style="157" bestFit="1" customWidth="1"/>
    <col min="10758" max="10758" width="12.1640625" style="157" bestFit="1" customWidth="1"/>
    <col min="10759" max="10759" width="8" style="157" customWidth="1"/>
    <col min="10760" max="10760" width="10.83203125" style="157" bestFit="1" customWidth="1"/>
    <col min="10761" max="10761" width="12.1640625" style="157" bestFit="1" customWidth="1"/>
    <col min="10762" max="10762" width="8.1640625" style="157" bestFit="1" customWidth="1"/>
    <col min="10763" max="10763" width="10.83203125" style="157" bestFit="1" customWidth="1"/>
    <col min="10764" max="10764" width="12.1640625" style="157" bestFit="1" customWidth="1"/>
    <col min="10765" max="10765" width="18.1640625" style="157" bestFit="1" customWidth="1"/>
    <col min="10766" max="10766" width="10.83203125" style="157" bestFit="1" customWidth="1"/>
    <col min="10767" max="11002" width="9.1640625" style="157"/>
    <col min="11003" max="11003" width="38.1640625" style="157" customWidth="1"/>
    <col min="11004" max="11004" width="23.44140625" style="157" bestFit="1" customWidth="1"/>
    <col min="11005" max="11006" width="9.1640625" style="157" customWidth="1"/>
    <col min="11007" max="11007" width="11.1640625" style="157" bestFit="1" customWidth="1"/>
    <col min="11008" max="11008" width="14.44140625" style="157" bestFit="1" customWidth="1"/>
    <col min="11009" max="11009" width="8.1640625" style="157" customWidth="1"/>
    <col min="11010" max="11010" width="10.83203125" style="157" bestFit="1" customWidth="1"/>
    <col min="11011" max="11011" width="12.1640625" style="157" bestFit="1" customWidth="1"/>
    <col min="11012" max="11012" width="9.1640625" style="157" customWidth="1"/>
    <col min="11013" max="11013" width="10.83203125" style="157" bestFit="1" customWidth="1"/>
    <col min="11014" max="11014" width="12.1640625" style="157" bestFit="1" customWidth="1"/>
    <col min="11015" max="11015" width="8" style="157" customWidth="1"/>
    <col min="11016" max="11016" width="10.83203125" style="157" bestFit="1" customWidth="1"/>
    <col min="11017" max="11017" width="12.1640625" style="157" bestFit="1" customWidth="1"/>
    <col min="11018" max="11018" width="8.1640625" style="157" bestFit="1" customWidth="1"/>
    <col min="11019" max="11019" width="10.83203125" style="157" bestFit="1" customWidth="1"/>
    <col min="11020" max="11020" width="12.1640625" style="157" bestFit="1" customWidth="1"/>
    <col min="11021" max="11021" width="18.1640625" style="157" bestFit="1" customWidth="1"/>
    <col min="11022" max="11022" width="10.83203125" style="157" bestFit="1" customWidth="1"/>
    <col min="11023" max="11258" width="9.1640625" style="157"/>
    <col min="11259" max="11259" width="38.1640625" style="157" customWidth="1"/>
    <col min="11260" max="11260" width="23.44140625" style="157" bestFit="1" customWidth="1"/>
    <col min="11261" max="11262" width="9.1640625" style="157" customWidth="1"/>
    <col min="11263" max="11263" width="11.1640625" style="157" bestFit="1" customWidth="1"/>
    <col min="11264" max="11264" width="14.44140625" style="157" bestFit="1" customWidth="1"/>
    <col min="11265" max="11265" width="8.1640625" style="157" customWidth="1"/>
    <col min="11266" max="11266" width="10.83203125" style="157" bestFit="1" customWidth="1"/>
    <col min="11267" max="11267" width="12.1640625" style="157" bestFit="1" customWidth="1"/>
    <col min="11268" max="11268" width="9.1640625" style="157" customWidth="1"/>
    <col min="11269" max="11269" width="10.83203125" style="157" bestFit="1" customWidth="1"/>
    <col min="11270" max="11270" width="12.1640625" style="157" bestFit="1" customWidth="1"/>
    <col min="11271" max="11271" width="8" style="157" customWidth="1"/>
    <col min="11272" max="11272" width="10.83203125" style="157" bestFit="1" customWidth="1"/>
    <col min="11273" max="11273" width="12.1640625" style="157" bestFit="1" customWidth="1"/>
    <col min="11274" max="11274" width="8.1640625" style="157" bestFit="1" customWidth="1"/>
    <col min="11275" max="11275" width="10.83203125" style="157" bestFit="1" customWidth="1"/>
    <col min="11276" max="11276" width="12.1640625" style="157" bestFit="1" customWidth="1"/>
    <col min="11277" max="11277" width="18.1640625" style="157" bestFit="1" customWidth="1"/>
    <col min="11278" max="11278" width="10.83203125" style="157" bestFit="1" customWidth="1"/>
    <col min="11279" max="11514" width="9.1640625" style="157"/>
    <col min="11515" max="11515" width="38.1640625" style="157" customWidth="1"/>
    <col min="11516" max="11516" width="23.44140625" style="157" bestFit="1" customWidth="1"/>
    <col min="11517" max="11518" width="9.1640625" style="157" customWidth="1"/>
    <col min="11519" max="11519" width="11.1640625" style="157" bestFit="1" customWidth="1"/>
    <col min="11520" max="11520" width="14.44140625" style="157" bestFit="1" customWidth="1"/>
    <col min="11521" max="11521" width="8.1640625" style="157" customWidth="1"/>
    <col min="11522" max="11522" width="10.83203125" style="157" bestFit="1" customWidth="1"/>
    <col min="11523" max="11523" width="12.1640625" style="157" bestFit="1" customWidth="1"/>
    <col min="11524" max="11524" width="9.1640625" style="157" customWidth="1"/>
    <col min="11525" max="11525" width="10.83203125" style="157" bestFit="1" customWidth="1"/>
    <col min="11526" max="11526" width="12.1640625" style="157" bestFit="1" customWidth="1"/>
    <col min="11527" max="11527" width="8" style="157" customWidth="1"/>
    <col min="11528" max="11528" width="10.83203125" style="157" bestFit="1" customWidth="1"/>
    <col min="11529" max="11529" width="12.1640625" style="157" bestFit="1" customWidth="1"/>
    <col min="11530" max="11530" width="8.1640625" style="157" bestFit="1" customWidth="1"/>
    <col min="11531" max="11531" width="10.83203125" style="157" bestFit="1" customWidth="1"/>
    <col min="11532" max="11532" width="12.1640625" style="157" bestFit="1" customWidth="1"/>
    <col min="11533" max="11533" width="18.1640625" style="157" bestFit="1" customWidth="1"/>
    <col min="11534" max="11534" width="10.83203125" style="157" bestFit="1" customWidth="1"/>
    <col min="11535" max="11770" width="9.1640625" style="157"/>
    <col min="11771" max="11771" width="38.1640625" style="157" customWidth="1"/>
    <col min="11772" max="11772" width="23.44140625" style="157" bestFit="1" customWidth="1"/>
    <col min="11773" max="11774" width="9.1640625" style="157" customWidth="1"/>
    <col min="11775" max="11775" width="11.1640625" style="157" bestFit="1" customWidth="1"/>
    <col min="11776" max="11776" width="14.44140625" style="157" bestFit="1" customWidth="1"/>
    <col min="11777" max="11777" width="8.1640625" style="157" customWidth="1"/>
    <col min="11778" max="11778" width="10.83203125" style="157" bestFit="1" customWidth="1"/>
    <col min="11779" max="11779" width="12.1640625" style="157" bestFit="1" customWidth="1"/>
    <col min="11780" max="11780" width="9.1640625" style="157" customWidth="1"/>
    <col min="11781" max="11781" width="10.83203125" style="157" bestFit="1" customWidth="1"/>
    <col min="11782" max="11782" width="12.1640625" style="157" bestFit="1" customWidth="1"/>
    <col min="11783" max="11783" width="8" style="157" customWidth="1"/>
    <col min="11784" max="11784" width="10.83203125" style="157" bestFit="1" customWidth="1"/>
    <col min="11785" max="11785" width="12.1640625" style="157" bestFit="1" customWidth="1"/>
    <col min="11786" max="11786" width="8.1640625" style="157" bestFit="1" customWidth="1"/>
    <col min="11787" max="11787" width="10.83203125" style="157" bestFit="1" customWidth="1"/>
    <col min="11788" max="11788" width="12.1640625" style="157" bestFit="1" customWidth="1"/>
    <col min="11789" max="11789" width="18.1640625" style="157" bestFit="1" customWidth="1"/>
    <col min="11790" max="11790" width="10.83203125" style="157" bestFit="1" customWidth="1"/>
    <col min="11791" max="12026" width="9.1640625" style="157"/>
    <col min="12027" max="12027" width="38.1640625" style="157" customWidth="1"/>
    <col min="12028" max="12028" width="23.44140625" style="157" bestFit="1" customWidth="1"/>
    <col min="12029" max="12030" width="9.1640625" style="157" customWidth="1"/>
    <col min="12031" max="12031" width="11.1640625" style="157" bestFit="1" customWidth="1"/>
    <col min="12032" max="12032" width="14.44140625" style="157" bestFit="1" customWidth="1"/>
    <col min="12033" max="12033" width="8.1640625" style="157" customWidth="1"/>
    <col min="12034" max="12034" width="10.83203125" style="157" bestFit="1" customWidth="1"/>
    <col min="12035" max="12035" width="12.1640625" style="157" bestFit="1" customWidth="1"/>
    <col min="12036" max="12036" width="9.1640625" style="157" customWidth="1"/>
    <col min="12037" max="12037" width="10.83203125" style="157" bestFit="1" customWidth="1"/>
    <col min="12038" max="12038" width="12.1640625" style="157" bestFit="1" customWidth="1"/>
    <col min="12039" max="12039" width="8" style="157" customWidth="1"/>
    <col min="12040" max="12040" width="10.83203125" style="157" bestFit="1" customWidth="1"/>
    <col min="12041" max="12041" width="12.1640625" style="157" bestFit="1" customWidth="1"/>
    <col min="12042" max="12042" width="8.1640625" style="157" bestFit="1" customWidth="1"/>
    <col min="12043" max="12043" width="10.83203125" style="157" bestFit="1" customWidth="1"/>
    <col min="12044" max="12044" width="12.1640625" style="157" bestFit="1" customWidth="1"/>
    <col min="12045" max="12045" width="18.1640625" style="157" bestFit="1" customWidth="1"/>
    <col min="12046" max="12046" width="10.83203125" style="157" bestFit="1" customWidth="1"/>
    <col min="12047" max="12282" width="9.1640625" style="157"/>
    <col min="12283" max="12283" width="38.1640625" style="157" customWidth="1"/>
    <col min="12284" max="12284" width="23.44140625" style="157" bestFit="1" customWidth="1"/>
    <col min="12285" max="12286" width="9.1640625" style="157" customWidth="1"/>
    <col min="12287" max="12287" width="11.1640625" style="157" bestFit="1" customWidth="1"/>
    <col min="12288" max="12288" width="14.44140625" style="157" bestFit="1" customWidth="1"/>
    <col min="12289" max="12289" width="8.1640625" style="157" customWidth="1"/>
    <col min="12290" max="12290" width="10.83203125" style="157" bestFit="1" customWidth="1"/>
    <col min="12291" max="12291" width="12.1640625" style="157" bestFit="1" customWidth="1"/>
    <col min="12292" max="12292" width="9.1640625" style="157" customWidth="1"/>
    <col min="12293" max="12293" width="10.83203125" style="157" bestFit="1" customWidth="1"/>
    <col min="12294" max="12294" width="12.1640625" style="157" bestFit="1" customWidth="1"/>
    <col min="12295" max="12295" width="8" style="157" customWidth="1"/>
    <col min="12296" max="12296" width="10.83203125" style="157" bestFit="1" customWidth="1"/>
    <col min="12297" max="12297" width="12.1640625" style="157" bestFit="1" customWidth="1"/>
    <col min="12298" max="12298" width="8.1640625" style="157" bestFit="1" customWidth="1"/>
    <col min="12299" max="12299" width="10.83203125" style="157" bestFit="1" customWidth="1"/>
    <col min="12300" max="12300" width="12.1640625" style="157" bestFit="1" customWidth="1"/>
    <col min="12301" max="12301" width="18.1640625" style="157" bestFit="1" customWidth="1"/>
    <col min="12302" max="12302" width="10.83203125" style="157" bestFit="1" customWidth="1"/>
    <col min="12303" max="12538" width="9.1640625" style="157"/>
    <col min="12539" max="12539" width="38.1640625" style="157" customWidth="1"/>
    <col min="12540" max="12540" width="23.44140625" style="157" bestFit="1" customWidth="1"/>
    <col min="12541" max="12542" width="9.1640625" style="157" customWidth="1"/>
    <col min="12543" max="12543" width="11.1640625" style="157" bestFit="1" customWidth="1"/>
    <col min="12544" max="12544" width="14.44140625" style="157" bestFit="1" customWidth="1"/>
    <col min="12545" max="12545" width="8.1640625" style="157" customWidth="1"/>
    <col min="12546" max="12546" width="10.83203125" style="157" bestFit="1" customWidth="1"/>
    <col min="12547" max="12547" width="12.1640625" style="157" bestFit="1" customWidth="1"/>
    <col min="12548" max="12548" width="9.1640625" style="157" customWidth="1"/>
    <col min="12549" max="12549" width="10.83203125" style="157" bestFit="1" customWidth="1"/>
    <col min="12550" max="12550" width="12.1640625" style="157" bestFit="1" customWidth="1"/>
    <col min="12551" max="12551" width="8" style="157" customWidth="1"/>
    <col min="12552" max="12552" width="10.83203125" style="157" bestFit="1" customWidth="1"/>
    <col min="12553" max="12553" width="12.1640625" style="157" bestFit="1" customWidth="1"/>
    <col min="12554" max="12554" width="8.1640625" style="157" bestFit="1" customWidth="1"/>
    <col min="12555" max="12555" width="10.83203125" style="157" bestFit="1" customWidth="1"/>
    <col min="12556" max="12556" width="12.1640625" style="157" bestFit="1" customWidth="1"/>
    <col min="12557" max="12557" width="18.1640625" style="157" bestFit="1" customWidth="1"/>
    <col min="12558" max="12558" width="10.83203125" style="157" bestFit="1" customWidth="1"/>
    <col min="12559" max="12794" width="9.1640625" style="157"/>
    <col min="12795" max="12795" width="38.1640625" style="157" customWidth="1"/>
    <col min="12796" max="12796" width="23.44140625" style="157" bestFit="1" customWidth="1"/>
    <col min="12797" max="12798" width="9.1640625" style="157" customWidth="1"/>
    <col min="12799" max="12799" width="11.1640625" style="157" bestFit="1" customWidth="1"/>
    <col min="12800" max="12800" width="14.44140625" style="157" bestFit="1" customWidth="1"/>
    <col min="12801" max="12801" width="8.1640625" style="157" customWidth="1"/>
    <col min="12802" max="12802" width="10.83203125" style="157" bestFit="1" customWidth="1"/>
    <col min="12803" max="12803" width="12.1640625" style="157" bestFit="1" customWidth="1"/>
    <col min="12804" max="12804" width="9.1640625" style="157" customWidth="1"/>
    <col min="12805" max="12805" width="10.83203125" style="157" bestFit="1" customWidth="1"/>
    <col min="12806" max="12806" width="12.1640625" style="157" bestFit="1" customWidth="1"/>
    <col min="12807" max="12807" width="8" style="157" customWidth="1"/>
    <col min="12808" max="12808" width="10.83203125" style="157" bestFit="1" customWidth="1"/>
    <col min="12809" max="12809" width="12.1640625" style="157" bestFit="1" customWidth="1"/>
    <col min="12810" max="12810" width="8.1640625" style="157" bestFit="1" customWidth="1"/>
    <col min="12811" max="12811" width="10.83203125" style="157" bestFit="1" customWidth="1"/>
    <col min="12812" max="12812" width="12.1640625" style="157" bestFit="1" customWidth="1"/>
    <col min="12813" max="12813" width="18.1640625" style="157" bestFit="1" customWidth="1"/>
    <col min="12814" max="12814" width="10.83203125" style="157" bestFit="1" customWidth="1"/>
    <col min="12815" max="13050" width="9.1640625" style="157"/>
    <col min="13051" max="13051" width="38.1640625" style="157" customWidth="1"/>
    <col min="13052" max="13052" width="23.44140625" style="157" bestFit="1" customWidth="1"/>
    <col min="13053" max="13054" width="9.1640625" style="157" customWidth="1"/>
    <col min="13055" max="13055" width="11.1640625" style="157" bestFit="1" customWidth="1"/>
    <col min="13056" max="13056" width="14.44140625" style="157" bestFit="1" customWidth="1"/>
    <col min="13057" max="13057" width="8.1640625" style="157" customWidth="1"/>
    <col min="13058" max="13058" width="10.83203125" style="157" bestFit="1" customWidth="1"/>
    <col min="13059" max="13059" width="12.1640625" style="157" bestFit="1" customWidth="1"/>
    <col min="13060" max="13060" width="9.1640625" style="157" customWidth="1"/>
    <col min="13061" max="13061" width="10.83203125" style="157" bestFit="1" customWidth="1"/>
    <col min="13062" max="13062" width="12.1640625" style="157" bestFit="1" customWidth="1"/>
    <col min="13063" max="13063" width="8" style="157" customWidth="1"/>
    <col min="13064" max="13064" width="10.83203125" style="157" bestFit="1" customWidth="1"/>
    <col min="13065" max="13065" width="12.1640625" style="157" bestFit="1" customWidth="1"/>
    <col min="13066" max="13066" width="8.1640625" style="157" bestFit="1" customWidth="1"/>
    <col min="13067" max="13067" width="10.83203125" style="157" bestFit="1" customWidth="1"/>
    <col min="13068" max="13068" width="12.1640625" style="157" bestFit="1" customWidth="1"/>
    <col min="13069" max="13069" width="18.1640625" style="157" bestFit="1" customWidth="1"/>
    <col min="13070" max="13070" width="10.83203125" style="157" bestFit="1" customWidth="1"/>
    <col min="13071" max="13306" width="9.1640625" style="157"/>
    <col min="13307" max="13307" width="38.1640625" style="157" customWidth="1"/>
    <col min="13308" max="13308" width="23.44140625" style="157" bestFit="1" customWidth="1"/>
    <col min="13309" max="13310" width="9.1640625" style="157" customWidth="1"/>
    <col min="13311" max="13311" width="11.1640625" style="157" bestFit="1" customWidth="1"/>
    <col min="13312" max="13312" width="14.44140625" style="157" bestFit="1" customWidth="1"/>
    <col min="13313" max="13313" width="8.1640625" style="157" customWidth="1"/>
    <col min="13314" max="13314" width="10.83203125" style="157" bestFit="1" customWidth="1"/>
    <col min="13315" max="13315" width="12.1640625" style="157" bestFit="1" customWidth="1"/>
    <col min="13316" max="13316" width="9.1640625" style="157" customWidth="1"/>
    <col min="13317" max="13317" width="10.83203125" style="157" bestFit="1" customWidth="1"/>
    <col min="13318" max="13318" width="12.1640625" style="157" bestFit="1" customWidth="1"/>
    <col min="13319" max="13319" width="8" style="157" customWidth="1"/>
    <col min="13320" max="13320" width="10.83203125" style="157" bestFit="1" customWidth="1"/>
    <col min="13321" max="13321" width="12.1640625" style="157" bestFit="1" customWidth="1"/>
    <col min="13322" max="13322" width="8.1640625" style="157" bestFit="1" customWidth="1"/>
    <col min="13323" max="13323" width="10.83203125" style="157" bestFit="1" customWidth="1"/>
    <col min="13324" max="13324" width="12.1640625" style="157" bestFit="1" customWidth="1"/>
    <col min="13325" max="13325" width="18.1640625" style="157" bestFit="1" customWidth="1"/>
    <col min="13326" max="13326" width="10.83203125" style="157" bestFit="1" customWidth="1"/>
    <col min="13327" max="13562" width="9.1640625" style="157"/>
    <col min="13563" max="13563" width="38.1640625" style="157" customWidth="1"/>
    <col min="13564" max="13564" width="23.44140625" style="157" bestFit="1" customWidth="1"/>
    <col min="13565" max="13566" width="9.1640625" style="157" customWidth="1"/>
    <col min="13567" max="13567" width="11.1640625" style="157" bestFit="1" customWidth="1"/>
    <col min="13568" max="13568" width="14.44140625" style="157" bestFit="1" customWidth="1"/>
    <col min="13569" max="13569" width="8.1640625" style="157" customWidth="1"/>
    <col min="13570" max="13570" width="10.83203125" style="157" bestFit="1" customWidth="1"/>
    <col min="13571" max="13571" width="12.1640625" style="157" bestFit="1" customWidth="1"/>
    <col min="13572" max="13572" width="9.1640625" style="157" customWidth="1"/>
    <col min="13573" max="13573" width="10.83203125" style="157" bestFit="1" customWidth="1"/>
    <col min="13574" max="13574" width="12.1640625" style="157" bestFit="1" customWidth="1"/>
    <col min="13575" max="13575" width="8" style="157" customWidth="1"/>
    <col min="13576" max="13576" width="10.83203125" style="157" bestFit="1" customWidth="1"/>
    <col min="13577" max="13577" width="12.1640625" style="157" bestFit="1" customWidth="1"/>
    <col min="13578" max="13578" width="8.1640625" style="157" bestFit="1" customWidth="1"/>
    <col min="13579" max="13579" width="10.83203125" style="157" bestFit="1" customWidth="1"/>
    <col min="13580" max="13580" width="12.1640625" style="157" bestFit="1" customWidth="1"/>
    <col min="13581" max="13581" width="18.1640625" style="157" bestFit="1" customWidth="1"/>
    <col min="13582" max="13582" width="10.83203125" style="157" bestFit="1" customWidth="1"/>
    <col min="13583" max="13818" width="9.1640625" style="157"/>
    <col min="13819" max="13819" width="38.1640625" style="157" customWidth="1"/>
    <col min="13820" max="13820" width="23.44140625" style="157" bestFit="1" customWidth="1"/>
    <col min="13821" max="13822" width="9.1640625" style="157" customWidth="1"/>
    <col min="13823" max="13823" width="11.1640625" style="157" bestFit="1" customWidth="1"/>
    <col min="13824" max="13824" width="14.44140625" style="157" bestFit="1" customWidth="1"/>
    <col min="13825" max="13825" width="8.1640625" style="157" customWidth="1"/>
    <col min="13826" max="13826" width="10.83203125" style="157" bestFit="1" customWidth="1"/>
    <col min="13827" max="13827" width="12.1640625" style="157" bestFit="1" customWidth="1"/>
    <col min="13828" max="13828" width="9.1640625" style="157" customWidth="1"/>
    <col min="13829" max="13829" width="10.83203125" style="157" bestFit="1" customWidth="1"/>
    <col min="13830" max="13830" width="12.1640625" style="157" bestFit="1" customWidth="1"/>
    <col min="13831" max="13831" width="8" style="157" customWidth="1"/>
    <col min="13832" max="13832" width="10.83203125" style="157" bestFit="1" customWidth="1"/>
    <col min="13833" max="13833" width="12.1640625" style="157" bestFit="1" customWidth="1"/>
    <col min="13834" max="13834" width="8.1640625" style="157" bestFit="1" customWidth="1"/>
    <col min="13835" max="13835" width="10.83203125" style="157" bestFit="1" customWidth="1"/>
    <col min="13836" max="13836" width="12.1640625" style="157" bestFit="1" customWidth="1"/>
    <col min="13837" max="13837" width="18.1640625" style="157" bestFit="1" customWidth="1"/>
    <col min="13838" max="13838" width="10.83203125" style="157" bestFit="1" customWidth="1"/>
    <col min="13839" max="14074" width="9.1640625" style="157"/>
    <col min="14075" max="14075" width="38.1640625" style="157" customWidth="1"/>
    <col min="14076" max="14076" width="23.44140625" style="157" bestFit="1" customWidth="1"/>
    <col min="14077" max="14078" width="9.1640625" style="157" customWidth="1"/>
    <col min="14079" max="14079" width="11.1640625" style="157" bestFit="1" customWidth="1"/>
    <col min="14080" max="14080" width="14.44140625" style="157" bestFit="1" customWidth="1"/>
    <col min="14081" max="14081" width="8.1640625" style="157" customWidth="1"/>
    <col min="14082" max="14082" width="10.83203125" style="157" bestFit="1" customWidth="1"/>
    <col min="14083" max="14083" width="12.1640625" style="157" bestFit="1" customWidth="1"/>
    <col min="14084" max="14084" width="9.1640625" style="157" customWidth="1"/>
    <col min="14085" max="14085" width="10.83203125" style="157" bestFit="1" customWidth="1"/>
    <col min="14086" max="14086" width="12.1640625" style="157" bestFit="1" customWidth="1"/>
    <col min="14087" max="14087" width="8" style="157" customWidth="1"/>
    <col min="14088" max="14088" width="10.83203125" style="157" bestFit="1" customWidth="1"/>
    <col min="14089" max="14089" width="12.1640625" style="157" bestFit="1" customWidth="1"/>
    <col min="14090" max="14090" width="8.1640625" style="157" bestFit="1" customWidth="1"/>
    <col min="14091" max="14091" width="10.83203125" style="157" bestFit="1" customWidth="1"/>
    <col min="14092" max="14092" width="12.1640625" style="157" bestFit="1" customWidth="1"/>
    <col min="14093" max="14093" width="18.1640625" style="157" bestFit="1" customWidth="1"/>
    <col min="14094" max="14094" width="10.83203125" style="157" bestFit="1" customWidth="1"/>
    <col min="14095" max="14330" width="9.1640625" style="157"/>
    <col min="14331" max="14331" width="38.1640625" style="157" customWidth="1"/>
    <col min="14332" max="14332" width="23.44140625" style="157" bestFit="1" customWidth="1"/>
    <col min="14333" max="14334" width="9.1640625" style="157" customWidth="1"/>
    <col min="14335" max="14335" width="11.1640625" style="157" bestFit="1" customWidth="1"/>
    <col min="14336" max="14336" width="14.44140625" style="157" bestFit="1" customWidth="1"/>
    <col min="14337" max="14337" width="8.1640625" style="157" customWidth="1"/>
    <col min="14338" max="14338" width="10.83203125" style="157" bestFit="1" customWidth="1"/>
    <col min="14339" max="14339" width="12.1640625" style="157" bestFit="1" customWidth="1"/>
    <col min="14340" max="14340" width="9.1640625" style="157" customWidth="1"/>
    <col min="14341" max="14341" width="10.83203125" style="157" bestFit="1" customWidth="1"/>
    <col min="14342" max="14342" width="12.1640625" style="157" bestFit="1" customWidth="1"/>
    <col min="14343" max="14343" width="8" style="157" customWidth="1"/>
    <col min="14344" max="14344" width="10.83203125" style="157" bestFit="1" customWidth="1"/>
    <col min="14345" max="14345" width="12.1640625" style="157" bestFit="1" customWidth="1"/>
    <col min="14346" max="14346" width="8.1640625" style="157" bestFit="1" customWidth="1"/>
    <col min="14347" max="14347" width="10.83203125" style="157" bestFit="1" customWidth="1"/>
    <col min="14348" max="14348" width="12.1640625" style="157" bestFit="1" customWidth="1"/>
    <col min="14349" max="14349" width="18.1640625" style="157" bestFit="1" customWidth="1"/>
    <col min="14350" max="14350" width="10.83203125" style="157" bestFit="1" customWidth="1"/>
    <col min="14351" max="14586" width="9.1640625" style="157"/>
    <col min="14587" max="14587" width="38.1640625" style="157" customWidth="1"/>
    <col min="14588" max="14588" width="23.44140625" style="157" bestFit="1" customWidth="1"/>
    <col min="14589" max="14590" width="9.1640625" style="157" customWidth="1"/>
    <col min="14591" max="14591" width="11.1640625" style="157" bestFit="1" customWidth="1"/>
    <col min="14592" max="14592" width="14.44140625" style="157" bestFit="1" customWidth="1"/>
    <col min="14593" max="14593" width="8.1640625" style="157" customWidth="1"/>
    <col min="14594" max="14594" width="10.83203125" style="157" bestFit="1" customWidth="1"/>
    <col min="14595" max="14595" width="12.1640625" style="157" bestFit="1" customWidth="1"/>
    <col min="14596" max="14596" width="9.1640625" style="157" customWidth="1"/>
    <col min="14597" max="14597" width="10.83203125" style="157" bestFit="1" customWidth="1"/>
    <col min="14598" max="14598" width="12.1640625" style="157" bestFit="1" customWidth="1"/>
    <col min="14599" max="14599" width="8" style="157" customWidth="1"/>
    <col min="14600" max="14600" width="10.83203125" style="157" bestFit="1" customWidth="1"/>
    <col min="14601" max="14601" width="12.1640625" style="157" bestFit="1" customWidth="1"/>
    <col min="14602" max="14602" width="8.1640625" style="157" bestFit="1" customWidth="1"/>
    <col min="14603" max="14603" width="10.83203125" style="157" bestFit="1" customWidth="1"/>
    <col min="14604" max="14604" width="12.1640625" style="157" bestFit="1" customWidth="1"/>
    <col min="14605" max="14605" width="18.1640625" style="157" bestFit="1" customWidth="1"/>
    <col min="14606" max="14606" width="10.83203125" style="157" bestFit="1" customWidth="1"/>
    <col min="14607" max="14842" width="9.1640625" style="157"/>
    <col min="14843" max="14843" width="38.1640625" style="157" customWidth="1"/>
    <col min="14844" max="14844" width="23.44140625" style="157" bestFit="1" customWidth="1"/>
    <col min="14845" max="14846" width="9.1640625" style="157" customWidth="1"/>
    <col min="14847" max="14847" width="11.1640625" style="157" bestFit="1" customWidth="1"/>
    <col min="14848" max="14848" width="14.44140625" style="157" bestFit="1" customWidth="1"/>
    <col min="14849" max="14849" width="8.1640625" style="157" customWidth="1"/>
    <col min="14850" max="14850" width="10.83203125" style="157" bestFit="1" customWidth="1"/>
    <col min="14851" max="14851" width="12.1640625" style="157" bestFit="1" customWidth="1"/>
    <col min="14852" max="14852" width="9.1640625" style="157" customWidth="1"/>
    <col min="14853" max="14853" width="10.83203125" style="157" bestFit="1" customWidth="1"/>
    <col min="14854" max="14854" width="12.1640625" style="157" bestFit="1" customWidth="1"/>
    <col min="14855" max="14855" width="8" style="157" customWidth="1"/>
    <col min="14856" max="14856" width="10.83203125" style="157" bestFit="1" customWidth="1"/>
    <col min="14857" max="14857" width="12.1640625" style="157" bestFit="1" customWidth="1"/>
    <col min="14858" max="14858" width="8.1640625" style="157" bestFit="1" customWidth="1"/>
    <col min="14859" max="14859" width="10.83203125" style="157" bestFit="1" customWidth="1"/>
    <col min="14860" max="14860" width="12.1640625" style="157" bestFit="1" customWidth="1"/>
    <col min="14861" max="14861" width="18.1640625" style="157" bestFit="1" customWidth="1"/>
    <col min="14862" max="14862" width="10.83203125" style="157" bestFit="1" customWidth="1"/>
    <col min="14863" max="15098" width="9.1640625" style="157"/>
    <col min="15099" max="15099" width="38.1640625" style="157" customWidth="1"/>
    <col min="15100" max="15100" width="23.44140625" style="157" bestFit="1" customWidth="1"/>
    <col min="15101" max="15102" width="9.1640625" style="157" customWidth="1"/>
    <col min="15103" max="15103" width="11.1640625" style="157" bestFit="1" customWidth="1"/>
    <col min="15104" max="15104" width="14.44140625" style="157" bestFit="1" customWidth="1"/>
    <col min="15105" max="15105" width="8.1640625" style="157" customWidth="1"/>
    <col min="15106" max="15106" width="10.83203125" style="157" bestFit="1" customWidth="1"/>
    <col min="15107" max="15107" width="12.1640625" style="157" bestFit="1" customWidth="1"/>
    <col min="15108" max="15108" width="9.1640625" style="157" customWidth="1"/>
    <col min="15109" max="15109" width="10.83203125" style="157" bestFit="1" customWidth="1"/>
    <col min="15110" max="15110" width="12.1640625" style="157" bestFit="1" customWidth="1"/>
    <col min="15111" max="15111" width="8" style="157" customWidth="1"/>
    <col min="15112" max="15112" width="10.83203125" style="157" bestFit="1" customWidth="1"/>
    <col min="15113" max="15113" width="12.1640625" style="157" bestFit="1" customWidth="1"/>
    <col min="15114" max="15114" width="8.1640625" style="157" bestFit="1" customWidth="1"/>
    <col min="15115" max="15115" width="10.83203125" style="157" bestFit="1" customWidth="1"/>
    <col min="15116" max="15116" width="12.1640625" style="157" bestFit="1" customWidth="1"/>
    <col min="15117" max="15117" width="18.1640625" style="157" bestFit="1" customWidth="1"/>
    <col min="15118" max="15118" width="10.83203125" style="157" bestFit="1" customWidth="1"/>
    <col min="15119" max="15354" width="9.1640625" style="157"/>
    <col min="15355" max="15355" width="38.1640625" style="157" customWidth="1"/>
    <col min="15356" max="15356" width="23.44140625" style="157" bestFit="1" customWidth="1"/>
    <col min="15357" max="15358" width="9.1640625" style="157" customWidth="1"/>
    <col min="15359" max="15359" width="11.1640625" style="157" bestFit="1" customWidth="1"/>
    <col min="15360" max="15360" width="14.44140625" style="157" bestFit="1" customWidth="1"/>
    <col min="15361" max="15361" width="8.1640625" style="157" customWidth="1"/>
    <col min="15362" max="15362" width="10.83203125" style="157" bestFit="1" customWidth="1"/>
    <col min="15363" max="15363" width="12.1640625" style="157" bestFit="1" customWidth="1"/>
    <col min="15364" max="15364" width="9.1640625" style="157" customWidth="1"/>
    <col min="15365" max="15365" width="10.83203125" style="157" bestFit="1" customWidth="1"/>
    <col min="15366" max="15366" width="12.1640625" style="157" bestFit="1" customWidth="1"/>
    <col min="15367" max="15367" width="8" style="157" customWidth="1"/>
    <col min="15368" max="15368" width="10.83203125" style="157" bestFit="1" customWidth="1"/>
    <col min="15369" max="15369" width="12.1640625" style="157" bestFit="1" customWidth="1"/>
    <col min="15370" max="15370" width="8.1640625" style="157" bestFit="1" customWidth="1"/>
    <col min="15371" max="15371" width="10.83203125" style="157" bestFit="1" customWidth="1"/>
    <col min="15372" max="15372" width="12.1640625" style="157" bestFit="1" customWidth="1"/>
    <col min="15373" max="15373" width="18.1640625" style="157" bestFit="1" customWidth="1"/>
    <col min="15374" max="15374" width="10.83203125" style="157" bestFit="1" customWidth="1"/>
    <col min="15375" max="15610" width="9.1640625" style="157"/>
    <col min="15611" max="15611" width="38.1640625" style="157" customWidth="1"/>
    <col min="15612" max="15612" width="23.44140625" style="157" bestFit="1" customWidth="1"/>
    <col min="15613" max="15614" width="9.1640625" style="157" customWidth="1"/>
    <col min="15615" max="15615" width="11.1640625" style="157" bestFit="1" customWidth="1"/>
    <col min="15616" max="15616" width="14.44140625" style="157" bestFit="1" customWidth="1"/>
    <col min="15617" max="15617" width="8.1640625" style="157" customWidth="1"/>
    <col min="15618" max="15618" width="10.83203125" style="157" bestFit="1" customWidth="1"/>
    <col min="15619" max="15619" width="12.1640625" style="157" bestFit="1" customWidth="1"/>
    <col min="15620" max="15620" width="9.1640625" style="157" customWidth="1"/>
    <col min="15621" max="15621" width="10.83203125" style="157" bestFit="1" customWidth="1"/>
    <col min="15622" max="15622" width="12.1640625" style="157" bestFit="1" customWidth="1"/>
    <col min="15623" max="15623" width="8" style="157" customWidth="1"/>
    <col min="15624" max="15624" width="10.83203125" style="157" bestFit="1" customWidth="1"/>
    <col min="15625" max="15625" width="12.1640625" style="157" bestFit="1" customWidth="1"/>
    <col min="15626" max="15626" width="8.1640625" style="157" bestFit="1" customWidth="1"/>
    <col min="15627" max="15627" width="10.83203125" style="157" bestFit="1" customWidth="1"/>
    <col min="15628" max="15628" width="12.1640625" style="157" bestFit="1" customWidth="1"/>
    <col min="15629" max="15629" width="18.1640625" style="157" bestFit="1" customWidth="1"/>
    <col min="15630" max="15630" width="10.83203125" style="157" bestFit="1" customWidth="1"/>
    <col min="15631" max="15866" width="9.1640625" style="157"/>
    <col min="15867" max="15867" width="38.1640625" style="157" customWidth="1"/>
    <col min="15868" max="15868" width="23.44140625" style="157" bestFit="1" customWidth="1"/>
    <col min="15869" max="15870" width="9.1640625" style="157" customWidth="1"/>
    <col min="15871" max="15871" width="11.1640625" style="157" bestFit="1" customWidth="1"/>
    <col min="15872" max="15872" width="14.44140625" style="157" bestFit="1" customWidth="1"/>
    <col min="15873" max="15873" width="8.1640625" style="157" customWidth="1"/>
    <col min="15874" max="15874" width="10.83203125" style="157" bestFit="1" customWidth="1"/>
    <col min="15875" max="15875" width="12.1640625" style="157" bestFit="1" customWidth="1"/>
    <col min="15876" max="15876" width="9.1640625" style="157" customWidth="1"/>
    <col min="15877" max="15877" width="10.83203125" style="157" bestFit="1" customWidth="1"/>
    <col min="15878" max="15878" width="12.1640625" style="157" bestFit="1" customWidth="1"/>
    <col min="15879" max="15879" width="8" style="157" customWidth="1"/>
    <col min="15880" max="15880" width="10.83203125" style="157" bestFit="1" customWidth="1"/>
    <col min="15881" max="15881" width="12.1640625" style="157" bestFit="1" customWidth="1"/>
    <col min="15882" max="15882" width="8.1640625" style="157" bestFit="1" customWidth="1"/>
    <col min="15883" max="15883" width="10.83203125" style="157" bestFit="1" customWidth="1"/>
    <col min="15884" max="15884" width="12.1640625" style="157" bestFit="1" customWidth="1"/>
    <col min="15885" max="15885" width="18.1640625" style="157" bestFit="1" customWidth="1"/>
    <col min="15886" max="15886" width="10.83203125" style="157" bestFit="1" customWidth="1"/>
    <col min="15887" max="16122" width="9.1640625" style="157"/>
    <col min="16123" max="16123" width="38.1640625" style="157" customWidth="1"/>
    <col min="16124" max="16124" width="23.44140625" style="157" bestFit="1" customWidth="1"/>
    <col min="16125" max="16126" width="9.1640625" style="157" customWidth="1"/>
    <col min="16127" max="16127" width="11.1640625" style="157" bestFit="1" customWidth="1"/>
    <col min="16128" max="16128" width="14.44140625" style="157" bestFit="1" customWidth="1"/>
    <col min="16129" max="16129" width="8.1640625" style="157" customWidth="1"/>
    <col min="16130" max="16130" width="10.83203125" style="157" bestFit="1" customWidth="1"/>
    <col min="16131" max="16131" width="12.1640625" style="157" bestFit="1" customWidth="1"/>
    <col min="16132" max="16132" width="9.1640625" style="157" customWidth="1"/>
    <col min="16133" max="16133" width="10.83203125" style="157" bestFit="1" customWidth="1"/>
    <col min="16134" max="16134" width="12.1640625" style="157" bestFit="1" customWidth="1"/>
    <col min="16135" max="16135" width="8" style="157" customWidth="1"/>
    <col min="16136" max="16136" width="10.83203125" style="157" bestFit="1" customWidth="1"/>
    <col min="16137" max="16137" width="12.1640625" style="157" bestFit="1" customWidth="1"/>
    <col min="16138" max="16138" width="8.1640625" style="157" bestFit="1" customWidth="1"/>
    <col min="16139" max="16139" width="10.83203125" style="157" bestFit="1" customWidth="1"/>
    <col min="16140" max="16140" width="12.1640625" style="157" bestFit="1" customWidth="1"/>
    <col min="16141" max="16141" width="18.1640625" style="157" bestFit="1" customWidth="1"/>
    <col min="16142" max="16142" width="10.83203125" style="157" bestFit="1" customWidth="1"/>
    <col min="16143" max="16373" width="9.1640625" style="157"/>
    <col min="16374" max="16384" width="9.1640625" style="157" customWidth="1"/>
  </cols>
  <sheetData>
    <row r="1" spans="1:22" ht="30.6">
      <c r="A1" s="663" t="s">
        <v>579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</row>
    <row r="2" spans="1:22" ht="14.7" thickBot="1">
      <c r="L2" s="482">
        <v>0.08</v>
      </c>
    </row>
    <row r="3" spans="1:22" ht="23.5" customHeight="1">
      <c r="A3" s="658" t="s">
        <v>499</v>
      </c>
      <c r="B3" s="652" t="s">
        <v>500</v>
      </c>
      <c r="C3" s="660" t="s">
        <v>580</v>
      </c>
      <c r="D3" s="645" t="s">
        <v>82</v>
      </c>
      <c r="E3" s="646"/>
      <c r="F3" s="646"/>
      <c r="G3" s="647"/>
      <c r="H3" s="645" t="s">
        <v>84</v>
      </c>
      <c r="I3" s="646"/>
      <c r="J3" s="646"/>
      <c r="K3" s="647"/>
      <c r="L3" s="645" t="s">
        <v>86</v>
      </c>
      <c r="M3" s="646"/>
      <c r="N3" s="646"/>
      <c r="O3" s="647"/>
      <c r="P3" s="645" t="s">
        <v>88</v>
      </c>
      <c r="Q3" s="646"/>
      <c r="R3" s="646"/>
      <c r="S3" s="647"/>
      <c r="T3" s="664" t="s">
        <v>581</v>
      </c>
    </row>
    <row r="4" spans="1:22" ht="47.95" customHeight="1">
      <c r="A4" s="659"/>
      <c r="B4" s="653"/>
      <c r="C4" s="661"/>
      <c r="D4" s="483" t="s">
        <v>503</v>
      </c>
      <c r="E4" s="165" t="s">
        <v>504</v>
      </c>
      <c r="F4" s="484" t="s">
        <v>505</v>
      </c>
      <c r="G4" s="485" t="s">
        <v>502</v>
      </c>
      <c r="H4" s="483" t="s">
        <v>503</v>
      </c>
      <c r="I4" s="165" t="s">
        <v>504</v>
      </c>
      <c r="J4" s="166" t="s">
        <v>505</v>
      </c>
      <c r="K4" s="485" t="s">
        <v>502</v>
      </c>
      <c r="L4" s="483" t="s">
        <v>503</v>
      </c>
      <c r="M4" s="165" t="s">
        <v>504</v>
      </c>
      <c r="N4" s="484" t="s">
        <v>505</v>
      </c>
      <c r="O4" s="485" t="s">
        <v>502</v>
      </c>
      <c r="P4" s="483" t="s">
        <v>503</v>
      </c>
      <c r="Q4" s="165" t="s">
        <v>504</v>
      </c>
      <c r="R4" s="484" t="s">
        <v>505</v>
      </c>
      <c r="S4" s="485" t="s">
        <v>502</v>
      </c>
      <c r="T4" s="665"/>
    </row>
    <row r="5" spans="1:22" ht="20.399999999999999">
      <c r="A5" s="324" t="s">
        <v>506</v>
      </c>
      <c r="B5" s="169"/>
      <c r="C5" s="173"/>
      <c r="D5" s="486"/>
      <c r="E5" s="171"/>
      <c r="F5" s="487"/>
      <c r="G5" s="488"/>
      <c r="H5" s="486"/>
      <c r="I5" s="171"/>
      <c r="J5" s="172"/>
      <c r="K5" s="488"/>
      <c r="L5" s="489"/>
      <c r="M5" s="171"/>
      <c r="N5" s="487"/>
      <c r="O5" s="488"/>
      <c r="P5" s="489"/>
      <c r="Q5" s="171"/>
      <c r="R5" s="487"/>
      <c r="S5" s="490"/>
      <c r="T5" s="488"/>
    </row>
    <row r="6" spans="1:22" s="189" customFormat="1" ht="15" customHeight="1" outlineLevel="1">
      <c r="A6" s="179" t="s">
        <v>53</v>
      </c>
      <c r="B6" s="180"/>
      <c r="C6" s="184"/>
      <c r="D6" s="491"/>
      <c r="E6" s="182"/>
      <c r="F6" s="492"/>
      <c r="G6" s="493"/>
      <c r="H6" s="491"/>
      <c r="I6" s="182"/>
      <c r="J6" s="183"/>
      <c r="K6" s="493"/>
      <c r="L6" s="491"/>
      <c r="M6" s="182"/>
      <c r="N6" s="492"/>
      <c r="O6" s="493"/>
      <c r="P6" s="491"/>
      <c r="Q6" s="182"/>
      <c r="R6" s="492"/>
      <c r="S6" s="493"/>
      <c r="T6" s="494"/>
      <c r="U6" s="157"/>
    </row>
    <row r="7" spans="1:22" ht="15" customHeight="1" outlineLevel="1">
      <c r="A7" s="190" t="s">
        <v>576</v>
      </c>
      <c r="B7" s="216"/>
      <c r="C7" s="198"/>
      <c r="D7" s="495"/>
      <c r="E7" s="218"/>
      <c r="F7" s="496"/>
      <c r="G7" s="497"/>
      <c r="H7" s="495"/>
      <c r="I7" s="218"/>
      <c r="J7" s="219"/>
      <c r="K7" s="497"/>
      <c r="L7" s="495"/>
      <c r="M7" s="218"/>
      <c r="N7" s="496"/>
      <c r="O7" s="497"/>
      <c r="P7" s="495"/>
      <c r="Q7" s="218"/>
      <c r="R7" s="496"/>
      <c r="S7" s="497"/>
      <c r="T7" s="498"/>
      <c r="V7" s="205"/>
    </row>
    <row r="8" spans="1:22" ht="15" customHeight="1" outlineLevel="1">
      <c r="A8" s="499" t="s">
        <v>582</v>
      </c>
      <c r="B8" s="194" t="s">
        <v>95</v>
      </c>
      <c r="C8" s="553">
        <v>6987</v>
      </c>
      <c r="D8" s="195">
        <v>0</v>
      </c>
      <c r="E8" s="196">
        <v>12</v>
      </c>
      <c r="F8" s="565">
        <v>0</v>
      </c>
      <c r="G8" s="198">
        <f>D8*E8*F8</f>
        <v>0</v>
      </c>
      <c r="H8" s="500">
        <v>2971.74</v>
      </c>
      <c r="I8" s="501">
        <v>12</v>
      </c>
      <c r="J8" s="502">
        <v>0</v>
      </c>
      <c r="K8" s="198">
        <f>H8*I8*J8</f>
        <v>0</v>
      </c>
      <c r="L8" s="500">
        <f>H8*(1+$L$2)</f>
        <v>3209.4791999999998</v>
      </c>
      <c r="M8" s="501">
        <v>0</v>
      </c>
      <c r="N8" s="197">
        <f>+J8</f>
        <v>0</v>
      </c>
      <c r="O8" s="198">
        <f>L8*M8*N8</f>
        <v>0</v>
      </c>
      <c r="P8" s="500">
        <v>0</v>
      </c>
      <c r="Q8" s="501">
        <v>0</v>
      </c>
      <c r="R8" s="197">
        <v>0</v>
      </c>
      <c r="S8" s="198">
        <f>P8*Q8*R8</f>
        <v>0</v>
      </c>
      <c r="T8" s="503">
        <f t="shared" ref="T8:T27" si="0">C8+G8+K8+O8+S8</f>
        <v>6987</v>
      </c>
      <c r="U8" s="188"/>
      <c r="V8" s="205"/>
    </row>
    <row r="9" spans="1:22" ht="15" customHeight="1" outlineLevel="1">
      <c r="A9" s="499" t="s">
        <v>583</v>
      </c>
      <c r="B9" s="194" t="s">
        <v>95</v>
      </c>
      <c r="C9" s="553">
        <v>13025</v>
      </c>
      <c r="D9" s="195">
        <v>1225.0875000000001</v>
      </c>
      <c r="E9" s="196">
        <v>12</v>
      </c>
      <c r="F9" s="565">
        <v>1</v>
      </c>
      <c r="G9" s="198">
        <f t="shared" ref="G9:G23" si="1">D9*E9*F9</f>
        <v>14701.050000000001</v>
      </c>
      <c r="H9" s="500">
        <v>1250.5999999999999</v>
      </c>
      <c r="I9" s="501">
        <v>12</v>
      </c>
      <c r="J9" s="502">
        <v>1</v>
      </c>
      <c r="K9" s="198">
        <f t="shared" ref="K9:K28" si="2">H9*I9*J9</f>
        <v>15007.199999999999</v>
      </c>
      <c r="L9" s="500">
        <f t="shared" ref="L9:L28" si="3">H9*(1+$L$2)</f>
        <v>1350.6479999999999</v>
      </c>
      <c r="M9" s="583">
        <v>0</v>
      </c>
      <c r="N9" s="197">
        <f t="shared" ref="N9:N28" si="4">+J9</f>
        <v>1</v>
      </c>
      <c r="O9" s="198">
        <f t="shared" ref="O9:O28" si="5">L9*M9*N9</f>
        <v>0</v>
      </c>
      <c r="P9" s="500">
        <v>0</v>
      </c>
      <c r="Q9" s="501">
        <v>0</v>
      </c>
      <c r="R9" s="197">
        <v>0</v>
      </c>
      <c r="S9" s="198">
        <f t="shared" ref="S9:S29" si="6">P9*Q9*R9</f>
        <v>0</v>
      </c>
      <c r="T9" s="503">
        <f t="shared" si="0"/>
        <v>42733.25</v>
      </c>
      <c r="U9" s="188"/>
      <c r="V9" s="205"/>
    </row>
    <row r="10" spans="1:22" ht="15" customHeight="1" outlineLevel="1">
      <c r="A10" s="499" t="s">
        <v>584</v>
      </c>
      <c r="B10" s="194" t="s">
        <v>95</v>
      </c>
      <c r="C10" s="553">
        <v>12995</v>
      </c>
      <c r="D10" s="195">
        <v>1225.0875000000001</v>
      </c>
      <c r="E10" s="196">
        <v>12</v>
      </c>
      <c r="F10" s="565">
        <v>1</v>
      </c>
      <c r="G10" s="198">
        <f t="shared" si="1"/>
        <v>14701.050000000001</v>
      </c>
      <c r="H10" s="500">
        <v>1250.5999999999999</v>
      </c>
      <c r="I10" s="501">
        <v>12</v>
      </c>
      <c r="J10" s="502">
        <v>1</v>
      </c>
      <c r="K10" s="198">
        <f t="shared" si="2"/>
        <v>15007.199999999999</v>
      </c>
      <c r="L10" s="500">
        <f t="shared" si="3"/>
        <v>1350.6479999999999</v>
      </c>
      <c r="M10" s="583">
        <v>0</v>
      </c>
      <c r="N10" s="197">
        <f t="shared" si="4"/>
        <v>1</v>
      </c>
      <c r="O10" s="198">
        <f t="shared" si="5"/>
        <v>0</v>
      </c>
      <c r="P10" s="500">
        <v>0</v>
      </c>
      <c r="Q10" s="501">
        <v>0</v>
      </c>
      <c r="R10" s="197">
        <v>0</v>
      </c>
      <c r="S10" s="198">
        <f t="shared" si="6"/>
        <v>0</v>
      </c>
      <c r="T10" s="503">
        <f t="shared" si="0"/>
        <v>42703.25</v>
      </c>
      <c r="U10" s="188"/>
      <c r="V10" s="205"/>
    </row>
    <row r="11" spans="1:22" ht="15" customHeight="1" outlineLevel="1">
      <c r="A11" s="499" t="s">
        <v>585</v>
      </c>
      <c r="B11" s="194" t="s">
        <v>95</v>
      </c>
      <c r="C11" s="553">
        <v>6678</v>
      </c>
      <c r="D11" s="195">
        <v>1189.9124999999999</v>
      </c>
      <c r="E11" s="196">
        <v>12</v>
      </c>
      <c r="F11" s="565">
        <v>0.3</v>
      </c>
      <c r="G11" s="198">
        <f t="shared" si="1"/>
        <v>4283.6849999999995</v>
      </c>
      <c r="H11" s="500">
        <v>1214.69</v>
      </c>
      <c r="I11" s="501">
        <v>12</v>
      </c>
      <c r="J11" s="502">
        <v>0.5</v>
      </c>
      <c r="K11" s="198">
        <f t="shared" si="2"/>
        <v>7288.14</v>
      </c>
      <c r="L11" s="500">
        <f t="shared" si="3"/>
        <v>1311.8652000000002</v>
      </c>
      <c r="M11" s="583">
        <v>0</v>
      </c>
      <c r="N11" s="197">
        <f t="shared" si="4"/>
        <v>0.5</v>
      </c>
      <c r="O11" s="198">
        <f t="shared" si="5"/>
        <v>0</v>
      </c>
      <c r="P11" s="500">
        <v>0</v>
      </c>
      <c r="Q11" s="501">
        <v>0</v>
      </c>
      <c r="R11" s="197">
        <v>0</v>
      </c>
      <c r="S11" s="198">
        <f t="shared" si="6"/>
        <v>0</v>
      </c>
      <c r="T11" s="503">
        <f t="shared" si="0"/>
        <v>18249.825000000001</v>
      </c>
      <c r="U11" s="188"/>
      <c r="V11" s="205"/>
    </row>
    <row r="12" spans="1:22" ht="15" customHeight="1" outlineLevel="1">
      <c r="A12" s="582" t="s">
        <v>586</v>
      </c>
      <c r="B12" s="194" t="s">
        <v>95</v>
      </c>
      <c r="C12" s="553">
        <v>0</v>
      </c>
      <c r="D12" s="195">
        <v>830.02499999999998</v>
      </c>
      <c r="E12" s="196">
        <v>12</v>
      </c>
      <c r="F12" s="565">
        <v>0.3</v>
      </c>
      <c r="G12" s="198">
        <f t="shared" si="1"/>
        <v>2988.0899999999997</v>
      </c>
      <c r="H12" s="500">
        <v>847.31</v>
      </c>
      <c r="I12" s="501">
        <v>0</v>
      </c>
      <c r="J12" s="502">
        <v>0.7</v>
      </c>
      <c r="K12" s="198">
        <f t="shared" si="2"/>
        <v>0</v>
      </c>
      <c r="L12" s="500">
        <f t="shared" si="3"/>
        <v>915.09479999999996</v>
      </c>
      <c r="M12" s="501">
        <v>0</v>
      </c>
      <c r="N12" s="197">
        <f t="shared" si="4"/>
        <v>0.7</v>
      </c>
      <c r="O12" s="198">
        <f t="shared" si="5"/>
        <v>0</v>
      </c>
      <c r="P12" s="500">
        <v>0</v>
      </c>
      <c r="Q12" s="501">
        <v>0</v>
      </c>
      <c r="R12" s="197">
        <v>0</v>
      </c>
      <c r="S12" s="198">
        <f t="shared" si="6"/>
        <v>0</v>
      </c>
      <c r="T12" s="503">
        <f t="shared" si="0"/>
        <v>2988.0899999999997</v>
      </c>
      <c r="U12" s="188"/>
      <c r="V12" s="205"/>
    </row>
    <row r="13" spans="1:22" ht="15" customHeight="1" outlineLevel="1">
      <c r="A13" s="499" t="s">
        <v>587</v>
      </c>
      <c r="B13" s="194" t="s">
        <v>95</v>
      </c>
      <c r="C13" s="553">
        <v>12053</v>
      </c>
      <c r="D13" s="195">
        <f>(745.659075)*2</f>
        <v>1491.3181500000001</v>
      </c>
      <c r="E13" s="196">
        <v>12</v>
      </c>
      <c r="F13" s="565">
        <v>1</v>
      </c>
      <c r="G13" s="198">
        <f t="shared" si="1"/>
        <v>17895.817800000001</v>
      </c>
      <c r="H13" s="500">
        <v>1013.89</v>
      </c>
      <c r="I13" s="501">
        <v>12</v>
      </c>
      <c r="J13" s="502">
        <v>0.7</v>
      </c>
      <c r="K13" s="198">
        <f t="shared" si="2"/>
        <v>8516.6759999999995</v>
      </c>
      <c r="L13" s="500">
        <f t="shared" si="3"/>
        <v>1095.0012000000002</v>
      </c>
      <c r="M13" s="583">
        <v>0</v>
      </c>
      <c r="N13" s="197">
        <f t="shared" si="4"/>
        <v>0.7</v>
      </c>
      <c r="O13" s="198">
        <f t="shared" si="5"/>
        <v>0</v>
      </c>
      <c r="P13" s="500">
        <v>0</v>
      </c>
      <c r="Q13" s="501">
        <v>0</v>
      </c>
      <c r="R13" s="197">
        <v>0</v>
      </c>
      <c r="S13" s="198">
        <f t="shared" si="6"/>
        <v>0</v>
      </c>
      <c r="T13" s="503">
        <f t="shared" si="0"/>
        <v>38465.493799999997</v>
      </c>
      <c r="U13" s="188"/>
      <c r="V13" s="205"/>
    </row>
    <row r="14" spans="1:22" ht="15" customHeight="1" outlineLevel="1">
      <c r="A14" s="499" t="s">
        <v>588</v>
      </c>
      <c r="B14" s="194" t="s">
        <v>95</v>
      </c>
      <c r="C14" s="553">
        <v>12053</v>
      </c>
      <c r="D14" s="195">
        <v>730.06815000000006</v>
      </c>
      <c r="E14" s="196">
        <v>12</v>
      </c>
      <c r="F14" s="565">
        <v>0.55000000000000004</v>
      </c>
      <c r="G14" s="198">
        <f t="shared" si="1"/>
        <v>4818.4497900000006</v>
      </c>
      <c r="H14" s="500">
        <v>1013.89</v>
      </c>
      <c r="I14" s="501">
        <v>12</v>
      </c>
      <c r="J14" s="502">
        <v>0.7</v>
      </c>
      <c r="K14" s="198">
        <f t="shared" si="2"/>
        <v>8516.6759999999995</v>
      </c>
      <c r="L14" s="500">
        <f t="shared" si="3"/>
        <v>1095.0012000000002</v>
      </c>
      <c r="M14" s="583">
        <v>0</v>
      </c>
      <c r="N14" s="197">
        <f t="shared" si="4"/>
        <v>0.7</v>
      </c>
      <c r="O14" s="198">
        <f t="shared" si="5"/>
        <v>0</v>
      </c>
      <c r="P14" s="500">
        <v>0</v>
      </c>
      <c r="Q14" s="501">
        <v>0</v>
      </c>
      <c r="R14" s="197">
        <v>0</v>
      </c>
      <c r="S14" s="198">
        <f t="shared" si="6"/>
        <v>0</v>
      </c>
      <c r="T14" s="503">
        <f t="shared" si="0"/>
        <v>25388.125789999998</v>
      </c>
      <c r="U14" s="188"/>
      <c r="V14" s="205"/>
    </row>
    <row r="15" spans="1:22" ht="15" customHeight="1" outlineLevel="1">
      <c r="A15" s="499" t="s">
        <v>589</v>
      </c>
      <c r="B15" s="194" t="s">
        <v>95</v>
      </c>
      <c r="C15" s="553">
        <v>12053</v>
      </c>
      <c r="D15" s="195">
        <f>(955.659075*2)</f>
        <v>1911.3181500000001</v>
      </c>
      <c r="E15" s="196">
        <v>12</v>
      </c>
      <c r="F15" s="565">
        <v>0.3</v>
      </c>
      <c r="G15" s="198">
        <f t="shared" si="1"/>
        <v>6880.7453400000004</v>
      </c>
      <c r="H15" s="500">
        <v>1013.89</v>
      </c>
      <c r="I15" s="501">
        <v>12</v>
      </c>
      <c r="J15" s="502">
        <v>0.7</v>
      </c>
      <c r="K15" s="198">
        <f t="shared" si="2"/>
        <v>8516.6759999999995</v>
      </c>
      <c r="L15" s="500">
        <f t="shared" si="3"/>
        <v>1095.0012000000002</v>
      </c>
      <c r="M15" s="583">
        <v>0</v>
      </c>
      <c r="N15" s="197">
        <f t="shared" si="4"/>
        <v>0.7</v>
      </c>
      <c r="O15" s="198">
        <f t="shared" si="5"/>
        <v>0</v>
      </c>
      <c r="P15" s="500">
        <v>0</v>
      </c>
      <c r="Q15" s="501">
        <v>0</v>
      </c>
      <c r="R15" s="197">
        <v>0</v>
      </c>
      <c r="S15" s="198">
        <f t="shared" si="6"/>
        <v>0</v>
      </c>
      <c r="T15" s="503">
        <f t="shared" si="0"/>
        <v>27450.421340000001</v>
      </c>
      <c r="U15" s="188"/>
      <c r="V15" s="205"/>
    </row>
    <row r="16" spans="1:22" ht="15" customHeight="1" outlineLevel="1">
      <c r="A16" s="499" t="s">
        <v>590</v>
      </c>
      <c r="B16" s="194" t="s">
        <v>95</v>
      </c>
      <c r="C16" s="553">
        <v>12053</v>
      </c>
      <c r="D16" s="195">
        <f>(771.909075*2)</f>
        <v>1543.8181500000001</v>
      </c>
      <c r="E16" s="196">
        <v>12</v>
      </c>
      <c r="F16" s="565">
        <v>1</v>
      </c>
      <c r="G16" s="198">
        <f t="shared" si="1"/>
        <v>18525.817800000001</v>
      </c>
      <c r="H16" s="500">
        <v>1013.89</v>
      </c>
      <c r="I16" s="501">
        <v>12</v>
      </c>
      <c r="J16" s="502">
        <v>1</v>
      </c>
      <c r="K16" s="198">
        <f t="shared" si="2"/>
        <v>12166.68</v>
      </c>
      <c r="L16" s="500">
        <f t="shared" si="3"/>
        <v>1095.0012000000002</v>
      </c>
      <c r="M16" s="583">
        <v>0</v>
      </c>
      <c r="N16" s="197">
        <f t="shared" si="4"/>
        <v>1</v>
      </c>
      <c r="O16" s="198">
        <f t="shared" si="5"/>
        <v>0</v>
      </c>
      <c r="P16" s="500">
        <v>0</v>
      </c>
      <c r="Q16" s="501">
        <v>0</v>
      </c>
      <c r="R16" s="197">
        <v>0</v>
      </c>
      <c r="S16" s="198">
        <f t="shared" si="6"/>
        <v>0</v>
      </c>
      <c r="T16" s="503">
        <f t="shared" si="0"/>
        <v>42745.497799999997</v>
      </c>
      <c r="U16" s="188"/>
      <c r="V16" s="205"/>
    </row>
    <row r="17" spans="1:22" ht="15" customHeight="1" outlineLevel="1">
      <c r="A17" s="499" t="s">
        <v>591</v>
      </c>
      <c r="B17" s="194" t="s">
        <v>95</v>
      </c>
      <c r="C17" s="553">
        <v>12053</v>
      </c>
      <c r="D17" s="195">
        <v>955.65907500000003</v>
      </c>
      <c r="E17" s="196">
        <v>12</v>
      </c>
      <c r="F17" s="565">
        <v>0.4</v>
      </c>
      <c r="G17" s="198">
        <f t="shared" si="1"/>
        <v>4587.16356</v>
      </c>
      <c r="H17" s="500">
        <v>1013.89</v>
      </c>
      <c r="I17" s="501">
        <v>12</v>
      </c>
      <c r="J17" s="502">
        <v>0</v>
      </c>
      <c r="K17" s="198">
        <f t="shared" si="2"/>
        <v>0</v>
      </c>
      <c r="L17" s="500">
        <f t="shared" si="3"/>
        <v>1095.0012000000002</v>
      </c>
      <c r="M17" s="501">
        <v>0</v>
      </c>
      <c r="N17" s="197">
        <f t="shared" si="4"/>
        <v>0</v>
      </c>
      <c r="O17" s="198">
        <f t="shared" si="5"/>
        <v>0</v>
      </c>
      <c r="P17" s="500">
        <v>0</v>
      </c>
      <c r="Q17" s="501">
        <v>0</v>
      </c>
      <c r="R17" s="197">
        <v>0</v>
      </c>
      <c r="S17" s="198">
        <f t="shared" si="6"/>
        <v>0</v>
      </c>
      <c r="T17" s="503">
        <f t="shared" si="0"/>
        <v>16640.163560000001</v>
      </c>
      <c r="U17" s="188"/>
      <c r="V17" s="205"/>
    </row>
    <row r="18" spans="1:22" ht="15" customHeight="1" outlineLevel="1">
      <c r="A18" s="499" t="s">
        <v>592</v>
      </c>
      <c r="B18" s="194" t="s">
        <v>95</v>
      </c>
      <c r="C18" s="553">
        <v>12053</v>
      </c>
      <c r="D18" s="195">
        <f>824.409075*3</f>
        <v>2473.2272250000001</v>
      </c>
      <c r="E18" s="196">
        <v>12</v>
      </c>
      <c r="F18" s="565">
        <v>1</v>
      </c>
      <c r="G18" s="198">
        <f t="shared" si="1"/>
        <v>29678.726699999999</v>
      </c>
      <c r="H18" s="500">
        <v>1013.89</v>
      </c>
      <c r="I18" s="501">
        <v>12</v>
      </c>
      <c r="J18" s="502">
        <v>1</v>
      </c>
      <c r="K18" s="198">
        <f t="shared" si="2"/>
        <v>12166.68</v>
      </c>
      <c r="L18" s="500">
        <f t="shared" si="3"/>
        <v>1095.0012000000002</v>
      </c>
      <c r="M18" s="583">
        <v>0</v>
      </c>
      <c r="N18" s="197">
        <f t="shared" si="4"/>
        <v>1</v>
      </c>
      <c r="O18" s="198">
        <f t="shared" si="5"/>
        <v>0</v>
      </c>
      <c r="P18" s="500">
        <v>0</v>
      </c>
      <c r="Q18" s="501">
        <v>0</v>
      </c>
      <c r="R18" s="197">
        <v>0</v>
      </c>
      <c r="S18" s="198">
        <f t="shared" si="6"/>
        <v>0</v>
      </c>
      <c r="T18" s="503">
        <f t="shared" si="0"/>
        <v>53898.4067</v>
      </c>
      <c r="U18" s="188"/>
      <c r="V18" s="205"/>
    </row>
    <row r="19" spans="1:22" ht="15" customHeight="1" outlineLevel="1">
      <c r="A19" s="193" t="s">
        <v>593</v>
      </c>
      <c r="B19" s="194" t="s">
        <v>95</v>
      </c>
      <c r="C19" s="553">
        <v>0</v>
      </c>
      <c r="D19" s="195">
        <v>745.65907500000003</v>
      </c>
      <c r="E19" s="196">
        <v>12</v>
      </c>
      <c r="F19" s="565">
        <v>0.5</v>
      </c>
      <c r="G19" s="198">
        <f t="shared" ref="G19" si="7">D19*E19*F19</f>
        <v>4473.9544500000002</v>
      </c>
      <c r="H19" s="500">
        <v>0</v>
      </c>
      <c r="I19" s="501">
        <v>0</v>
      </c>
      <c r="J19" s="502">
        <v>0</v>
      </c>
      <c r="K19" s="198">
        <f t="shared" ref="K19" si="8">H19*I19*J19</f>
        <v>0</v>
      </c>
      <c r="L19" s="500">
        <f t="shared" ref="L19" si="9">H19*(1+$L$2)</f>
        <v>0</v>
      </c>
      <c r="M19" s="501">
        <v>0</v>
      </c>
      <c r="N19" s="197">
        <v>0</v>
      </c>
      <c r="O19" s="198">
        <f t="shared" ref="O19" si="10">L19*M19*N19</f>
        <v>0</v>
      </c>
      <c r="P19" s="500">
        <v>0</v>
      </c>
      <c r="Q19" s="501">
        <v>0</v>
      </c>
      <c r="R19" s="197">
        <v>0</v>
      </c>
      <c r="S19" s="198">
        <f t="shared" ref="S19" si="11">P19*Q19*R19</f>
        <v>0</v>
      </c>
      <c r="T19" s="503">
        <f t="shared" ref="T19" si="12">C19+G19+K19+O19+S19</f>
        <v>4473.9544500000002</v>
      </c>
      <c r="U19" s="188"/>
      <c r="V19" s="205"/>
    </row>
    <row r="20" spans="1:22" ht="15" customHeight="1" outlineLevel="1">
      <c r="A20" s="193" t="s">
        <v>594</v>
      </c>
      <c r="B20" s="194" t="s">
        <v>95</v>
      </c>
      <c r="C20" s="553">
        <v>0</v>
      </c>
      <c r="D20" s="195">
        <v>693.15907500000003</v>
      </c>
      <c r="E20" s="196">
        <v>12</v>
      </c>
      <c r="F20" s="565">
        <v>0.4</v>
      </c>
      <c r="G20" s="198">
        <f t="shared" ref="G20:G21" si="13">D20*E20*F20</f>
        <v>3327.1635600000004</v>
      </c>
      <c r="H20" s="500">
        <v>0</v>
      </c>
      <c r="I20" s="501">
        <v>0</v>
      </c>
      <c r="J20" s="502">
        <v>0</v>
      </c>
      <c r="K20" s="198">
        <f t="shared" ref="K20:K21" si="14">H20*I20*J20</f>
        <v>0</v>
      </c>
      <c r="L20" s="500">
        <f t="shared" ref="L20:L21" si="15">H20*(1+$L$2)</f>
        <v>0</v>
      </c>
      <c r="M20" s="501">
        <v>0</v>
      </c>
      <c r="N20" s="197">
        <v>0</v>
      </c>
      <c r="O20" s="198">
        <f t="shared" ref="O20:O21" si="16">L20*M20*N20</f>
        <v>0</v>
      </c>
      <c r="P20" s="500">
        <v>0</v>
      </c>
      <c r="Q20" s="501">
        <v>0</v>
      </c>
      <c r="R20" s="197">
        <v>0</v>
      </c>
      <c r="S20" s="198">
        <f t="shared" ref="S20:S21" si="17">P20*Q20*R20</f>
        <v>0</v>
      </c>
      <c r="T20" s="503">
        <f t="shared" ref="T20:T21" si="18">C20+G20+K20+O20+S20</f>
        <v>3327.1635600000004</v>
      </c>
      <c r="U20" s="188"/>
      <c r="V20" s="205"/>
    </row>
    <row r="21" spans="1:22" ht="15" customHeight="1" outlineLevel="1">
      <c r="A21" s="193" t="s">
        <v>595</v>
      </c>
      <c r="B21" s="194" t="s">
        <v>95</v>
      </c>
      <c r="C21" s="553">
        <v>0</v>
      </c>
      <c r="D21" s="195">
        <v>955.65907500000003</v>
      </c>
      <c r="E21" s="196">
        <v>12</v>
      </c>
      <c r="F21" s="565">
        <v>0.6</v>
      </c>
      <c r="G21" s="198">
        <f t="shared" si="13"/>
        <v>6880.7453400000004</v>
      </c>
      <c r="H21" s="500">
        <v>0</v>
      </c>
      <c r="I21" s="501">
        <v>0</v>
      </c>
      <c r="J21" s="502">
        <v>0</v>
      </c>
      <c r="K21" s="198">
        <f t="shared" si="14"/>
        <v>0</v>
      </c>
      <c r="L21" s="500">
        <f t="shared" si="15"/>
        <v>0</v>
      </c>
      <c r="M21" s="501">
        <v>0</v>
      </c>
      <c r="N21" s="197">
        <v>0</v>
      </c>
      <c r="O21" s="198">
        <f t="shared" si="16"/>
        <v>0</v>
      </c>
      <c r="P21" s="500">
        <v>0</v>
      </c>
      <c r="Q21" s="501">
        <v>0</v>
      </c>
      <c r="R21" s="197">
        <v>0</v>
      </c>
      <c r="S21" s="198">
        <f t="shared" si="17"/>
        <v>0</v>
      </c>
      <c r="T21" s="503">
        <f t="shared" si="18"/>
        <v>6880.7453400000004</v>
      </c>
      <c r="U21" s="188"/>
      <c r="V21" s="205"/>
    </row>
    <row r="22" spans="1:22" ht="15" customHeight="1" outlineLevel="1">
      <c r="A22" s="582" t="s">
        <v>596</v>
      </c>
      <c r="B22" s="194" t="s">
        <v>95</v>
      </c>
      <c r="C22" s="553">
        <v>0</v>
      </c>
      <c r="D22" s="195">
        <v>0</v>
      </c>
      <c r="E22" s="196">
        <v>0</v>
      </c>
      <c r="F22" s="565">
        <v>0</v>
      </c>
      <c r="G22" s="198">
        <f t="shared" si="1"/>
        <v>0</v>
      </c>
      <c r="H22" s="500">
        <v>1607.8</v>
      </c>
      <c r="I22" s="501">
        <v>0</v>
      </c>
      <c r="J22" s="502">
        <v>0</v>
      </c>
      <c r="K22" s="198">
        <f t="shared" si="2"/>
        <v>0</v>
      </c>
      <c r="L22" s="500">
        <f t="shared" si="3"/>
        <v>1736.424</v>
      </c>
      <c r="M22" s="501">
        <v>0</v>
      </c>
      <c r="N22" s="197">
        <f t="shared" si="4"/>
        <v>0</v>
      </c>
      <c r="O22" s="198">
        <f t="shared" si="5"/>
        <v>0</v>
      </c>
      <c r="P22" s="500">
        <v>0</v>
      </c>
      <c r="Q22" s="501">
        <v>0</v>
      </c>
      <c r="R22" s="197">
        <v>0</v>
      </c>
      <c r="S22" s="198">
        <f t="shared" si="6"/>
        <v>0</v>
      </c>
      <c r="T22" s="503">
        <f t="shared" si="0"/>
        <v>0</v>
      </c>
      <c r="U22" s="188"/>
      <c r="V22" s="205"/>
    </row>
    <row r="23" spans="1:22" ht="15" customHeight="1" outlineLevel="1">
      <c r="A23" s="499" t="s">
        <v>597</v>
      </c>
      <c r="B23" s="194" t="s">
        <v>95</v>
      </c>
      <c r="C23" s="553">
        <v>0</v>
      </c>
      <c r="D23" s="195">
        <v>656.25</v>
      </c>
      <c r="E23" s="196">
        <v>12</v>
      </c>
      <c r="F23" s="565">
        <v>1</v>
      </c>
      <c r="G23" s="198">
        <f t="shared" si="1"/>
        <v>7875</v>
      </c>
      <c r="H23" s="500">
        <v>669.92</v>
      </c>
      <c r="I23" s="501">
        <v>12</v>
      </c>
      <c r="J23" s="502">
        <v>0.6</v>
      </c>
      <c r="K23" s="198">
        <f t="shared" si="2"/>
        <v>4823.4239999999991</v>
      </c>
      <c r="L23" s="500">
        <f t="shared" si="3"/>
        <v>723.5136</v>
      </c>
      <c r="M23" s="583">
        <v>0</v>
      </c>
      <c r="N23" s="197">
        <f t="shared" si="4"/>
        <v>0.6</v>
      </c>
      <c r="O23" s="198">
        <f t="shared" si="5"/>
        <v>0</v>
      </c>
      <c r="P23" s="500">
        <v>0</v>
      </c>
      <c r="Q23" s="501">
        <v>0</v>
      </c>
      <c r="R23" s="197">
        <v>0</v>
      </c>
      <c r="S23" s="198">
        <f t="shared" si="6"/>
        <v>0</v>
      </c>
      <c r="T23" s="503">
        <f t="shared" si="0"/>
        <v>12698.423999999999</v>
      </c>
      <c r="U23" s="188"/>
      <c r="V23" s="205"/>
    </row>
    <row r="24" spans="1:22" ht="15" customHeight="1" outlineLevel="1">
      <c r="A24" s="499" t="s">
        <v>598</v>
      </c>
      <c r="B24" s="194" t="s">
        <v>95</v>
      </c>
      <c r="C24" s="553">
        <v>7130</v>
      </c>
      <c r="D24" s="195">
        <v>656.25</v>
      </c>
      <c r="E24" s="196">
        <v>12</v>
      </c>
      <c r="F24" s="565">
        <v>1</v>
      </c>
      <c r="G24" s="198">
        <f t="shared" ref="G24:G27" si="19">D24*E24*F24</f>
        <v>7875</v>
      </c>
      <c r="H24" s="500">
        <v>669.92</v>
      </c>
      <c r="I24" s="501">
        <v>12</v>
      </c>
      <c r="J24" s="502">
        <v>0.6</v>
      </c>
      <c r="K24" s="198">
        <f t="shared" si="2"/>
        <v>4823.4239999999991</v>
      </c>
      <c r="L24" s="500">
        <f t="shared" si="3"/>
        <v>723.5136</v>
      </c>
      <c r="M24" s="583">
        <v>0</v>
      </c>
      <c r="N24" s="197">
        <f t="shared" si="4"/>
        <v>0.6</v>
      </c>
      <c r="O24" s="198">
        <f t="shared" si="5"/>
        <v>0</v>
      </c>
      <c r="P24" s="500">
        <v>0</v>
      </c>
      <c r="Q24" s="501">
        <v>0</v>
      </c>
      <c r="R24" s="197">
        <v>0</v>
      </c>
      <c r="S24" s="198">
        <f t="shared" si="6"/>
        <v>0</v>
      </c>
      <c r="T24" s="503">
        <f t="shared" si="0"/>
        <v>19828.423999999999</v>
      </c>
      <c r="U24" s="188"/>
      <c r="V24" s="205"/>
    </row>
    <row r="25" spans="1:22" ht="15" customHeight="1" outlineLevel="1">
      <c r="A25" s="499" t="s">
        <v>599</v>
      </c>
      <c r="B25" s="194" t="s">
        <v>95</v>
      </c>
      <c r="C25" s="553">
        <v>12053</v>
      </c>
      <c r="D25" s="500">
        <v>0</v>
      </c>
      <c r="E25" s="501">
        <v>0</v>
      </c>
      <c r="F25" s="197">
        <v>0</v>
      </c>
      <c r="G25" s="198">
        <f t="shared" si="19"/>
        <v>0</v>
      </c>
      <c r="H25" s="500">
        <v>1013.89</v>
      </c>
      <c r="I25" s="501">
        <v>12</v>
      </c>
      <c r="J25" s="502">
        <v>0</v>
      </c>
      <c r="K25" s="198">
        <f t="shared" si="2"/>
        <v>0</v>
      </c>
      <c r="L25" s="500">
        <f t="shared" si="3"/>
        <v>1095.0012000000002</v>
      </c>
      <c r="M25" s="501">
        <v>0</v>
      </c>
      <c r="N25" s="197">
        <f t="shared" si="4"/>
        <v>0</v>
      </c>
      <c r="O25" s="198">
        <f t="shared" si="5"/>
        <v>0</v>
      </c>
      <c r="P25" s="500">
        <v>0</v>
      </c>
      <c r="Q25" s="501">
        <v>0</v>
      </c>
      <c r="R25" s="197">
        <v>0</v>
      </c>
      <c r="S25" s="198">
        <f t="shared" si="6"/>
        <v>0</v>
      </c>
      <c r="T25" s="503">
        <f t="shared" si="0"/>
        <v>12053</v>
      </c>
      <c r="U25" s="188"/>
      <c r="V25" s="205"/>
    </row>
    <row r="26" spans="1:22" ht="15" customHeight="1" outlineLevel="1">
      <c r="A26" s="499" t="s">
        <v>600</v>
      </c>
      <c r="B26" s="194" t="s">
        <v>95</v>
      </c>
      <c r="C26" s="553">
        <v>0</v>
      </c>
      <c r="D26" s="500">
        <v>0</v>
      </c>
      <c r="E26" s="501">
        <v>0</v>
      </c>
      <c r="F26" s="197">
        <v>0</v>
      </c>
      <c r="G26" s="198">
        <f t="shared" si="19"/>
        <v>0</v>
      </c>
      <c r="H26" s="500">
        <v>2342.56</v>
      </c>
      <c r="I26" s="501">
        <v>9</v>
      </c>
      <c r="J26" s="502">
        <v>0</v>
      </c>
      <c r="K26" s="198">
        <f t="shared" si="2"/>
        <v>0</v>
      </c>
      <c r="L26" s="500">
        <f t="shared" si="3"/>
        <v>2529.9648000000002</v>
      </c>
      <c r="M26" s="583">
        <v>0</v>
      </c>
      <c r="N26" s="197">
        <f t="shared" si="4"/>
        <v>0</v>
      </c>
      <c r="O26" s="198">
        <f t="shared" si="5"/>
        <v>0</v>
      </c>
      <c r="P26" s="500">
        <v>0</v>
      </c>
      <c r="Q26" s="501">
        <v>0</v>
      </c>
      <c r="R26" s="197">
        <v>0</v>
      </c>
      <c r="S26" s="198">
        <f t="shared" si="6"/>
        <v>0</v>
      </c>
      <c r="T26" s="503">
        <f t="shared" si="0"/>
        <v>0</v>
      </c>
      <c r="U26" s="188"/>
      <c r="V26" s="205"/>
    </row>
    <row r="27" spans="1:22" ht="15" customHeight="1" outlineLevel="1">
      <c r="A27" s="499" t="s">
        <v>601</v>
      </c>
      <c r="B27" s="194" t="s">
        <v>95</v>
      </c>
      <c r="C27" s="553">
        <v>5165</v>
      </c>
      <c r="D27" s="500">
        <v>0</v>
      </c>
      <c r="E27" s="501">
        <v>0</v>
      </c>
      <c r="F27" s="197">
        <v>0</v>
      </c>
      <c r="G27" s="198">
        <f t="shared" si="19"/>
        <v>0</v>
      </c>
      <c r="H27" s="500">
        <v>1205.8499999999999</v>
      </c>
      <c r="I27" s="501">
        <v>9</v>
      </c>
      <c r="J27" s="502">
        <v>0</v>
      </c>
      <c r="K27" s="198">
        <f t="shared" si="2"/>
        <v>0</v>
      </c>
      <c r="L27" s="500">
        <f t="shared" si="3"/>
        <v>1302.318</v>
      </c>
      <c r="M27" s="583">
        <v>0</v>
      </c>
      <c r="N27" s="197">
        <f t="shared" si="4"/>
        <v>0</v>
      </c>
      <c r="O27" s="198">
        <f t="shared" si="5"/>
        <v>0</v>
      </c>
      <c r="P27" s="500">
        <v>0</v>
      </c>
      <c r="Q27" s="501">
        <v>0</v>
      </c>
      <c r="R27" s="197">
        <v>0</v>
      </c>
      <c r="S27" s="198">
        <f t="shared" si="6"/>
        <v>0</v>
      </c>
      <c r="T27" s="503">
        <f t="shared" si="0"/>
        <v>5165</v>
      </c>
      <c r="U27" s="188"/>
      <c r="V27" s="205"/>
    </row>
    <row r="28" spans="1:22" s="189" customFormat="1" ht="15" customHeight="1" outlineLevel="1">
      <c r="A28" s="582" t="s">
        <v>602</v>
      </c>
      <c r="B28" s="194" t="s">
        <v>95</v>
      </c>
      <c r="C28" s="553">
        <v>0</v>
      </c>
      <c r="D28" s="500">
        <v>0</v>
      </c>
      <c r="E28" s="501">
        <v>0</v>
      </c>
      <c r="F28" s="197">
        <v>0</v>
      </c>
      <c r="G28" s="198">
        <f t="shared" ref="G28" si="20">D28*E28*F28</f>
        <v>0</v>
      </c>
      <c r="H28" s="500">
        <v>1135.69</v>
      </c>
      <c r="I28" s="583">
        <v>0</v>
      </c>
      <c r="J28" s="502">
        <v>0.7</v>
      </c>
      <c r="K28" s="198">
        <f t="shared" si="2"/>
        <v>0</v>
      </c>
      <c r="L28" s="500">
        <f t="shared" si="3"/>
        <v>1226.5452000000002</v>
      </c>
      <c r="M28" s="501">
        <v>0</v>
      </c>
      <c r="N28" s="197">
        <f t="shared" si="4"/>
        <v>0.7</v>
      </c>
      <c r="O28" s="198">
        <f t="shared" si="5"/>
        <v>0</v>
      </c>
      <c r="P28" s="500">
        <v>0</v>
      </c>
      <c r="Q28" s="501">
        <v>0</v>
      </c>
      <c r="R28" s="197">
        <v>0</v>
      </c>
      <c r="S28" s="198">
        <f t="shared" si="6"/>
        <v>0</v>
      </c>
      <c r="T28" s="503">
        <f>C28+G28+K28+O28+S28</f>
        <v>0</v>
      </c>
      <c r="U28" s="157"/>
      <c r="V28" s="157"/>
    </row>
    <row r="29" spans="1:22" s="189" customFormat="1" ht="15" customHeight="1" outlineLevel="1">
      <c r="A29" s="582" t="s">
        <v>603</v>
      </c>
      <c r="B29" s="194" t="s">
        <v>95</v>
      </c>
      <c r="C29" s="553">
        <v>0</v>
      </c>
      <c r="D29" s="500">
        <v>0</v>
      </c>
      <c r="E29" s="501">
        <v>0</v>
      </c>
      <c r="F29" s="197">
        <v>0</v>
      </c>
      <c r="G29" s="198">
        <f t="shared" ref="G29" si="21">D29*E29*F29</f>
        <v>0</v>
      </c>
      <c r="H29" s="500">
        <v>1250.5999999999999</v>
      </c>
      <c r="I29" s="501">
        <v>0</v>
      </c>
      <c r="J29" s="502">
        <v>1</v>
      </c>
      <c r="K29" s="198">
        <f t="shared" ref="K29" si="22">H29*I29*J29</f>
        <v>0</v>
      </c>
      <c r="L29" s="500">
        <f t="shared" ref="L29" si="23">H29*(1+$L$2)</f>
        <v>1350.6479999999999</v>
      </c>
      <c r="M29" s="501">
        <v>0</v>
      </c>
      <c r="N29" s="197">
        <f t="shared" ref="N29" si="24">+J29</f>
        <v>1</v>
      </c>
      <c r="O29" s="198">
        <f t="shared" ref="O29" si="25">L29*M29*N29</f>
        <v>0</v>
      </c>
      <c r="P29" s="500">
        <v>0</v>
      </c>
      <c r="Q29" s="501">
        <v>0</v>
      </c>
      <c r="R29" s="197">
        <v>0</v>
      </c>
      <c r="S29" s="198">
        <f t="shared" si="6"/>
        <v>0</v>
      </c>
      <c r="T29" s="503">
        <f t="shared" ref="T29" si="26">C29+G29+K29+O29+S29</f>
        <v>0</v>
      </c>
      <c r="U29" s="157"/>
      <c r="V29" s="157"/>
    </row>
    <row r="30" spans="1:22" s="189" customFormat="1" ht="15" customHeight="1" outlineLevel="1">
      <c r="A30" s="499"/>
      <c r="B30" s="194"/>
      <c r="C30" s="555"/>
      <c r="D30" s="500"/>
      <c r="E30" s="501"/>
      <c r="F30" s="197"/>
      <c r="G30" s="198"/>
      <c r="H30" s="500"/>
      <c r="I30" s="501"/>
      <c r="J30" s="502"/>
      <c r="K30" s="198"/>
      <c r="L30" s="500"/>
      <c r="M30" s="501"/>
      <c r="N30" s="197"/>
      <c r="O30" s="198"/>
      <c r="P30" s="500"/>
      <c r="Q30" s="501"/>
      <c r="R30" s="197"/>
      <c r="S30" s="198"/>
      <c r="T30" s="503"/>
      <c r="U30" s="157"/>
      <c r="V30" s="157"/>
    </row>
    <row r="31" spans="1:22" s="236" customFormat="1" ht="15" customHeight="1">
      <c r="A31" s="226" t="s">
        <v>513</v>
      </c>
      <c r="B31" s="227"/>
      <c r="C31" s="556">
        <f>SUM(C8:C30)</f>
        <v>136351</v>
      </c>
      <c r="D31" s="504"/>
      <c r="E31" s="229"/>
      <c r="F31" s="505"/>
      <c r="G31" s="231">
        <f>SUM(G8:G29)</f>
        <v>149492.45934</v>
      </c>
      <c r="H31" s="504"/>
      <c r="I31" s="229"/>
      <c r="J31" s="230"/>
      <c r="K31" s="231">
        <f>SUM(K8:K29)</f>
        <v>96832.775999999983</v>
      </c>
      <c r="L31" s="504"/>
      <c r="M31" s="229"/>
      <c r="N31" s="505"/>
      <c r="O31" s="231">
        <f>SUM(O8:O29)</f>
        <v>0</v>
      </c>
      <c r="P31" s="504"/>
      <c r="Q31" s="229"/>
      <c r="R31" s="505"/>
      <c r="S31" s="231">
        <f>SUM(S8:S29)</f>
        <v>0</v>
      </c>
      <c r="T31" s="231">
        <f>SUM(T8:T29)</f>
        <v>382676.23534000001</v>
      </c>
      <c r="U31" s="506"/>
      <c r="V31" s="235"/>
    </row>
    <row r="32" spans="1:22" s="189" customFormat="1" ht="15" customHeight="1" outlineLevel="1">
      <c r="A32" s="190" t="s">
        <v>514</v>
      </c>
      <c r="B32" s="191"/>
      <c r="C32" s="557"/>
      <c r="D32" s="491"/>
      <c r="E32" s="182"/>
      <c r="F32" s="492"/>
      <c r="G32" s="493"/>
      <c r="H32" s="491"/>
      <c r="I32" s="182"/>
      <c r="J32" s="183"/>
      <c r="K32" s="493"/>
      <c r="L32" s="491"/>
      <c r="M32" s="182"/>
      <c r="N32" s="492"/>
      <c r="O32" s="493"/>
      <c r="P32" s="491"/>
      <c r="Q32" s="182"/>
      <c r="R32" s="492"/>
      <c r="S32" s="493"/>
      <c r="T32" s="494"/>
      <c r="U32" s="157"/>
      <c r="V32" s="157"/>
    </row>
    <row r="33" spans="1:22" s="189" customFormat="1" ht="15" customHeight="1" outlineLevel="1">
      <c r="A33" s="499" t="str">
        <f>A8</f>
        <v>1.1. Program Coordinator</v>
      </c>
      <c r="B33" s="507">
        <v>0.58289999999999997</v>
      </c>
      <c r="C33" s="553">
        <v>4489</v>
      </c>
      <c r="D33" s="566">
        <v>0</v>
      </c>
      <c r="E33" s="218">
        <v>12</v>
      </c>
      <c r="F33" s="160">
        <v>0</v>
      </c>
      <c r="G33" s="198">
        <f t="shared" ref="G33" si="27">D33*E33*F33</f>
        <v>0</v>
      </c>
      <c r="H33" s="508">
        <f t="shared" ref="H33:H43" si="28">+H8*B33</f>
        <v>1732.2272459999997</v>
      </c>
      <c r="I33" s="218">
        <f t="shared" ref="I33:J43" si="29">+I8</f>
        <v>12</v>
      </c>
      <c r="J33" s="160">
        <f t="shared" si="29"/>
        <v>0</v>
      </c>
      <c r="K33" s="198">
        <f t="shared" ref="K33:K53" si="30">H33*I33*J33</f>
        <v>0</v>
      </c>
      <c r="L33" s="508">
        <f t="shared" ref="L33:L43" si="31">+L8*B33</f>
        <v>1870.8054256799999</v>
      </c>
      <c r="M33" s="218">
        <f t="shared" ref="M33:N43" si="32">+M8</f>
        <v>0</v>
      </c>
      <c r="N33" s="160">
        <f t="shared" si="32"/>
        <v>0</v>
      </c>
      <c r="O33" s="198">
        <f t="shared" ref="O33:O53" si="33">L33*M33*N33</f>
        <v>0</v>
      </c>
      <c r="P33" s="500">
        <v>0</v>
      </c>
      <c r="Q33" s="501">
        <v>0</v>
      </c>
      <c r="R33" s="197">
        <v>0</v>
      </c>
      <c r="S33" s="198">
        <f t="shared" ref="S33:S54" si="34">P33*Q33*R33</f>
        <v>0</v>
      </c>
      <c r="T33" s="503">
        <f>C33+G33+K33+O33+S33</f>
        <v>4489</v>
      </c>
      <c r="U33" s="157"/>
      <c r="V33" s="157"/>
    </row>
    <row r="34" spans="1:22" s="189" customFormat="1" ht="15" customHeight="1" outlineLevel="1">
      <c r="A34" s="499" t="str">
        <f t="shared" ref="A34:A54" si="35">A9</f>
        <v>1.2. Business Strengthening Coordinator</v>
      </c>
      <c r="B34" s="507">
        <v>0.58289999999999997</v>
      </c>
      <c r="C34" s="553">
        <v>6931</v>
      </c>
      <c r="D34" s="566">
        <v>714.10350375000007</v>
      </c>
      <c r="E34" s="218">
        <v>12</v>
      </c>
      <c r="F34" s="160">
        <v>1</v>
      </c>
      <c r="G34" s="198">
        <f t="shared" ref="G34:G53" si="36">D34*E34*F34</f>
        <v>8569.2420450000009</v>
      </c>
      <c r="H34" s="508">
        <f t="shared" si="28"/>
        <v>728.97473999999988</v>
      </c>
      <c r="I34" s="218">
        <f t="shared" si="29"/>
        <v>12</v>
      </c>
      <c r="J34" s="160">
        <f t="shared" si="29"/>
        <v>1</v>
      </c>
      <c r="K34" s="198">
        <f t="shared" si="30"/>
        <v>8747.6968799999995</v>
      </c>
      <c r="L34" s="508">
        <f t="shared" si="31"/>
        <v>787.29271919999996</v>
      </c>
      <c r="M34" s="218">
        <f t="shared" si="32"/>
        <v>0</v>
      </c>
      <c r="N34" s="160">
        <f t="shared" si="32"/>
        <v>1</v>
      </c>
      <c r="O34" s="198">
        <f t="shared" si="33"/>
        <v>0</v>
      </c>
      <c r="P34" s="500">
        <v>0</v>
      </c>
      <c r="Q34" s="501">
        <v>0</v>
      </c>
      <c r="R34" s="197">
        <v>0</v>
      </c>
      <c r="S34" s="198">
        <f t="shared" si="34"/>
        <v>0</v>
      </c>
      <c r="T34" s="503">
        <f t="shared" ref="T34:T52" si="37">C34+G34+K34+O34+S34</f>
        <v>24247.938925000002</v>
      </c>
      <c r="U34" s="157"/>
      <c r="V34" s="157"/>
    </row>
    <row r="35" spans="1:22" s="189" customFormat="1" ht="15" customHeight="1" outlineLevel="1">
      <c r="A35" s="499" t="str">
        <f t="shared" si="35"/>
        <v>1.3. Cacao technical specialist</v>
      </c>
      <c r="B35" s="507">
        <v>0.58289999999999997</v>
      </c>
      <c r="C35" s="553">
        <v>7032</v>
      </c>
      <c r="D35" s="566">
        <v>714.10350375000007</v>
      </c>
      <c r="E35" s="218">
        <v>12</v>
      </c>
      <c r="F35" s="160">
        <v>1</v>
      </c>
      <c r="G35" s="198">
        <f t="shared" si="36"/>
        <v>8569.2420450000009</v>
      </c>
      <c r="H35" s="508">
        <f t="shared" si="28"/>
        <v>728.97473999999988</v>
      </c>
      <c r="I35" s="218">
        <f t="shared" si="29"/>
        <v>12</v>
      </c>
      <c r="J35" s="160">
        <f t="shared" si="29"/>
        <v>1</v>
      </c>
      <c r="K35" s="198">
        <f t="shared" si="30"/>
        <v>8747.6968799999995</v>
      </c>
      <c r="L35" s="508">
        <f t="shared" si="31"/>
        <v>787.29271919999996</v>
      </c>
      <c r="M35" s="218">
        <f t="shared" si="32"/>
        <v>0</v>
      </c>
      <c r="N35" s="160">
        <f t="shared" si="32"/>
        <v>1</v>
      </c>
      <c r="O35" s="198">
        <f t="shared" si="33"/>
        <v>0</v>
      </c>
      <c r="P35" s="500">
        <v>0</v>
      </c>
      <c r="Q35" s="501">
        <v>0</v>
      </c>
      <c r="R35" s="197">
        <v>0</v>
      </c>
      <c r="S35" s="198">
        <f t="shared" si="34"/>
        <v>0</v>
      </c>
      <c r="T35" s="503">
        <f>C35+G35+K35+O35+S35</f>
        <v>24348.938925000002</v>
      </c>
      <c r="U35" s="157"/>
      <c r="V35" s="157"/>
    </row>
    <row r="36" spans="1:22" s="189" customFormat="1" ht="15" customHeight="1" outlineLevel="1">
      <c r="A36" s="499" t="str">
        <f t="shared" si="35"/>
        <v>1.4. F&amp;A Specialist</v>
      </c>
      <c r="B36" s="507">
        <v>0.58289999999999997</v>
      </c>
      <c r="C36" s="553">
        <v>4406</v>
      </c>
      <c r="D36" s="566">
        <v>693.59999624999989</v>
      </c>
      <c r="E36" s="218">
        <v>12</v>
      </c>
      <c r="F36" s="160">
        <v>0.3</v>
      </c>
      <c r="G36" s="198">
        <f t="shared" si="36"/>
        <v>2496.9599864999996</v>
      </c>
      <c r="H36" s="508">
        <f t="shared" si="28"/>
        <v>708.04280100000005</v>
      </c>
      <c r="I36" s="218">
        <f t="shared" si="29"/>
        <v>12</v>
      </c>
      <c r="J36" s="160">
        <f t="shared" si="29"/>
        <v>0.5</v>
      </c>
      <c r="K36" s="198">
        <f t="shared" si="30"/>
        <v>4248.2568060000003</v>
      </c>
      <c r="L36" s="508">
        <f t="shared" si="31"/>
        <v>764.6862250800001</v>
      </c>
      <c r="M36" s="218">
        <f t="shared" si="32"/>
        <v>0</v>
      </c>
      <c r="N36" s="160">
        <f t="shared" si="32"/>
        <v>0.5</v>
      </c>
      <c r="O36" s="198">
        <f t="shared" si="33"/>
        <v>0</v>
      </c>
      <c r="P36" s="500">
        <v>0</v>
      </c>
      <c r="Q36" s="501">
        <v>0</v>
      </c>
      <c r="R36" s="197">
        <v>0</v>
      </c>
      <c r="S36" s="198">
        <f t="shared" si="34"/>
        <v>0</v>
      </c>
      <c r="T36" s="503">
        <f t="shared" si="37"/>
        <v>11151.216792499999</v>
      </c>
      <c r="U36" s="157"/>
      <c r="V36" s="157"/>
    </row>
    <row r="37" spans="1:22" s="189" customFormat="1" ht="15" customHeight="1" outlineLevel="1">
      <c r="A37" s="499" t="str">
        <f t="shared" si="35"/>
        <v>1.5. F&amp;A Specialist</v>
      </c>
      <c r="B37" s="507">
        <v>0.58289999999999997</v>
      </c>
      <c r="C37" s="553">
        <v>0</v>
      </c>
      <c r="D37" s="566">
        <v>483.82157249999995</v>
      </c>
      <c r="E37" s="218">
        <v>12</v>
      </c>
      <c r="F37" s="160">
        <v>0.3</v>
      </c>
      <c r="G37" s="198">
        <f t="shared" si="36"/>
        <v>1741.7576609999996</v>
      </c>
      <c r="H37" s="508">
        <f t="shared" si="28"/>
        <v>493.89699899999994</v>
      </c>
      <c r="I37" s="218">
        <f t="shared" si="29"/>
        <v>0</v>
      </c>
      <c r="J37" s="160">
        <f t="shared" si="29"/>
        <v>0.7</v>
      </c>
      <c r="K37" s="198">
        <f t="shared" si="30"/>
        <v>0</v>
      </c>
      <c r="L37" s="508">
        <f t="shared" si="31"/>
        <v>533.40875891999997</v>
      </c>
      <c r="M37" s="218">
        <f t="shared" si="32"/>
        <v>0</v>
      </c>
      <c r="N37" s="160">
        <f t="shared" si="32"/>
        <v>0.7</v>
      </c>
      <c r="O37" s="198">
        <f t="shared" si="33"/>
        <v>0</v>
      </c>
      <c r="P37" s="500">
        <v>0</v>
      </c>
      <c r="Q37" s="501">
        <v>0</v>
      </c>
      <c r="R37" s="197">
        <v>0</v>
      </c>
      <c r="S37" s="198">
        <f t="shared" si="34"/>
        <v>0</v>
      </c>
      <c r="T37" s="503">
        <f t="shared" si="37"/>
        <v>1741.7576609999996</v>
      </c>
      <c r="U37" s="157"/>
      <c r="V37" s="157"/>
    </row>
    <row r="38" spans="1:22" s="189" customFormat="1" ht="15" customHeight="1" outlineLevel="1">
      <c r="A38" s="499" t="str">
        <f t="shared" si="35"/>
        <v>1.6. Business Partner Professional Antioquia, Córdoba (2 people)</v>
      </c>
      <c r="B38" s="507">
        <v>0.58289999999999997</v>
      </c>
      <c r="C38" s="553">
        <v>6255</v>
      </c>
      <c r="D38" s="566">
        <f>557+434.6446748175</f>
        <v>991.6446748175</v>
      </c>
      <c r="E38" s="218">
        <v>12</v>
      </c>
      <c r="F38" s="160">
        <v>1</v>
      </c>
      <c r="G38" s="198">
        <f t="shared" si="36"/>
        <v>11899.736097810001</v>
      </c>
      <c r="H38" s="508">
        <f t="shared" si="28"/>
        <v>590.99648100000002</v>
      </c>
      <c r="I38" s="218">
        <f t="shared" si="29"/>
        <v>12</v>
      </c>
      <c r="J38" s="160">
        <f t="shared" si="29"/>
        <v>0.7</v>
      </c>
      <c r="K38" s="198">
        <f t="shared" si="30"/>
        <v>4964.3704403999991</v>
      </c>
      <c r="L38" s="508">
        <f t="shared" si="31"/>
        <v>638.27619948000006</v>
      </c>
      <c r="M38" s="218">
        <f t="shared" si="32"/>
        <v>0</v>
      </c>
      <c r="N38" s="160">
        <f t="shared" si="32"/>
        <v>0.7</v>
      </c>
      <c r="O38" s="198">
        <f t="shared" si="33"/>
        <v>0</v>
      </c>
      <c r="P38" s="500">
        <v>0</v>
      </c>
      <c r="Q38" s="501">
        <v>0</v>
      </c>
      <c r="R38" s="197">
        <v>0</v>
      </c>
      <c r="S38" s="198">
        <f t="shared" si="34"/>
        <v>0</v>
      </c>
      <c r="T38" s="503">
        <f t="shared" si="37"/>
        <v>23119.106538209999</v>
      </c>
      <c r="U38" s="157"/>
      <c r="V38" s="157"/>
    </row>
    <row r="39" spans="1:22" s="189" customFormat="1" ht="15" customHeight="1" outlineLevel="1">
      <c r="A39" s="499" t="str">
        <f t="shared" si="35"/>
        <v>1.7. Business Partner Professional Caldas</v>
      </c>
      <c r="B39" s="507">
        <v>0.58289999999999997</v>
      </c>
      <c r="C39" s="553">
        <v>6255</v>
      </c>
      <c r="D39" s="566">
        <v>425.55672463500002</v>
      </c>
      <c r="E39" s="218">
        <v>12</v>
      </c>
      <c r="F39" s="160">
        <v>0.55000000000000004</v>
      </c>
      <c r="G39" s="198">
        <f t="shared" si="36"/>
        <v>2808.6743825910003</v>
      </c>
      <c r="H39" s="508">
        <f t="shared" si="28"/>
        <v>590.99648100000002</v>
      </c>
      <c r="I39" s="218">
        <f t="shared" si="29"/>
        <v>12</v>
      </c>
      <c r="J39" s="160">
        <f t="shared" si="29"/>
        <v>0.7</v>
      </c>
      <c r="K39" s="198">
        <f t="shared" si="30"/>
        <v>4964.3704403999991</v>
      </c>
      <c r="L39" s="508">
        <f t="shared" si="31"/>
        <v>638.27619948000006</v>
      </c>
      <c r="M39" s="218">
        <f t="shared" si="32"/>
        <v>0</v>
      </c>
      <c r="N39" s="160">
        <f t="shared" si="32"/>
        <v>0.7</v>
      </c>
      <c r="O39" s="198">
        <f t="shared" si="33"/>
        <v>0</v>
      </c>
      <c r="P39" s="500">
        <v>0</v>
      </c>
      <c r="Q39" s="501">
        <v>0</v>
      </c>
      <c r="R39" s="197">
        <v>0</v>
      </c>
      <c r="S39" s="198">
        <f t="shared" si="34"/>
        <v>0</v>
      </c>
      <c r="T39" s="503">
        <f t="shared" si="37"/>
        <v>14028.044822991</v>
      </c>
      <c r="U39" s="157"/>
      <c r="V39" s="157"/>
    </row>
    <row r="40" spans="1:22" s="189" customFormat="1" ht="15" customHeight="1" outlineLevel="1">
      <c r="A40" s="499" t="str">
        <f t="shared" si="35"/>
        <v>1.8. Business Partner Professional Guajira, Cesar, Magdalena (2 people)</v>
      </c>
      <c r="B40" s="507">
        <v>0.58289999999999997</v>
      </c>
      <c r="C40" s="553">
        <v>6255</v>
      </c>
      <c r="D40" s="566">
        <f>480+557.0536748175</f>
        <v>1037.0536748175</v>
      </c>
      <c r="E40" s="218">
        <v>12</v>
      </c>
      <c r="F40" s="160">
        <v>0.3</v>
      </c>
      <c r="G40" s="198">
        <f t="shared" si="36"/>
        <v>3733.3932293429998</v>
      </c>
      <c r="H40" s="508">
        <f t="shared" si="28"/>
        <v>590.99648100000002</v>
      </c>
      <c r="I40" s="218">
        <f t="shared" si="29"/>
        <v>12</v>
      </c>
      <c r="J40" s="160">
        <f t="shared" si="29"/>
        <v>0.7</v>
      </c>
      <c r="K40" s="198">
        <f t="shared" si="30"/>
        <v>4964.3704403999991</v>
      </c>
      <c r="L40" s="508">
        <f t="shared" si="31"/>
        <v>638.27619948000006</v>
      </c>
      <c r="M40" s="218">
        <f t="shared" si="32"/>
        <v>0</v>
      </c>
      <c r="N40" s="160">
        <f t="shared" si="32"/>
        <v>0.7</v>
      </c>
      <c r="O40" s="198">
        <f t="shared" si="33"/>
        <v>0</v>
      </c>
      <c r="P40" s="500">
        <v>0</v>
      </c>
      <c r="Q40" s="501">
        <v>0</v>
      </c>
      <c r="R40" s="197">
        <v>0</v>
      </c>
      <c r="S40" s="198">
        <f t="shared" si="34"/>
        <v>0</v>
      </c>
      <c r="T40" s="503">
        <f t="shared" si="37"/>
        <v>14952.763669742999</v>
      </c>
      <c r="U40" s="157"/>
      <c r="V40" s="157"/>
    </row>
    <row r="41" spans="1:22" s="189" customFormat="1" ht="15" customHeight="1" outlineLevel="1">
      <c r="A41" s="499" t="str">
        <f t="shared" si="35"/>
        <v>1.9. Business Partner Professional Huila (2 people)</v>
      </c>
      <c r="B41" s="507">
        <v>0.58289999999999997</v>
      </c>
      <c r="C41" s="553">
        <v>6255</v>
      </c>
      <c r="D41" s="566">
        <f>511+449.9457998175</f>
        <v>960.94579981750007</v>
      </c>
      <c r="E41" s="218">
        <v>12</v>
      </c>
      <c r="F41" s="160">
        <v>1</v>
      </c>
      <c r="G41" s="198">
        <f t="shared" si="36"/>
        <v>11531.34959781</v>
      </c>
      <c r="H41" s="508">
        <f t="shared" si="28"/>
        <v>590.99648100000002</v>
      </c>
      <c r="I41" s="218">
        <f t="shared" si="29"/>
        <v>12</v>
      </c>
      <c r="J41" s="160">
        <f t="shared" si="29"/>
        <v>1</v>
      </c>
      <c r="K41" s="198">
        <f t="shared" si="30"/>
        <v>7091.9577719999997</v>
      </c>
      <c r="L41" s="508">
        <f t="shared" si="31"/>
        <v>638.27619948000006</v>
      </c>
      <c r="M41" s="218">
        <f t="shared" si="32"/>
        <v>0</v>
      </c>
      <c r="N41" s="160">
        <f t="shared" si="32"/>
        <v>1</v>
      </c>
      <c r="O41" s="198">
        <f t="shared" si="33"/>
        <v>0</v>
      </c>
      <c r="P41" s="500">
        <v>0</v>
      </c>
      <c r="Q41" s="501">
        <v>0</v>
      </c>
      <c r="R41" s="197">
        <v>0</v>
      </c>
      <c r="S41" s="198">
        <f t="shared" si="34"/>
        <v>0</v>
      </c>
      <c r="T41" s="503">
        <f t="shared" si="37"/>
        <v>24878.307369809998</v>
      </c>
      <c r="U41" s="157"/>
      <c r="V41" s="157"/>
    </row>
    <row r="42" spans="1:22" s="189" customFormat="1" ht="15" customHeight="1" outlineLevel="1">
      <c r="A42" s="499" t="str">
        <f t="shared" si="35"/>
        <v>1.10. Business Partner Professional Cauca</v>
      </c>
      <c r="B42" s="507">
        <v>0.58289999999999997</v>
      </c>
      <c r="C42" s="553">
        <v>6255</v>
      </c>
      <c r="D42" s="566">
        <v>557.0536748175</v>
      </c>
      <c r="E42" s="218">
        <v>12</v>
      </c>
      <c r="F42" s="160">
        <v>0.4</v>
      </c>
      <c r="G42" s="198">
        <f t="shared" si="36"/>
        <v>2673.8576391240003</v>
      </c>
      <c r="H42" s="508">
        <f t="shared" si="28"/>
        <v>590.99648100000002</v>
      </c>
      <c r="I42" s="218">
        <f t="shared" si="29"/>
        <v>12</v>
      </c>
      <c r="J42" s="160">
        <f t="shared" si="29"/>
        <v>0</v>
      </c>
      <c r="K42" s="198">
        <f t="shared" si="30"/>
        <v>0</v>
      </c>
      <c r="L42" s="508">
        <f t="shared" si="31"/>
        <v>638.27619948000006</v>
      </c>
      <c r="M42" s="218">
        <f t="shared" si="32"/>
        <v>0</v>
      </c>
      <c r="N42" s="160">
        <f t="shared" si="32"/>
        <v>0</v>
      </c>
      <c r="O42" s="198">
        <f t="shared" si="33"/>
        <v>0</v>
      </c>
      <c r="P42" s="500">
        <v>0</v>
      </c>
      <c r="Q42" s="501">
        <v>0</v>
      </c>
      <c r="R42" s="197">
        <v>0</v>
      </c>
      <c r="S42" s="198">
        <f t="shared" si="34"/>
        <v>0</v>
      </c>
      <c r="T42" s="503">
        <f t="shared" si="37"/>
        <v>8928.8576391240003</v>
      </c>
      <c r="U42" s="157"/>
      <c r="V42" s="157"/>
    </row>
    <row r="43" spans="1:22" s="189" customFormat="1" ht="15" customHeight="1" outlineLevel="1">
      <c r="A43" s="499" t="str">
        <f t="shared" si="35"/>
        <v>1.11. Business Partner Professional Tolima (3 people)</v>
      </c>
      <c r="B43" s="507">
        <v>0.58289999999999997</v>
      </c>
      <c r="C43" s="553">
        <v>6255</v>
      </c>
      <c r="D43" s="566">
        <f>480.5480498175*3</f>
        <v>1441.6441494525</v>
      </c>
      <c r="E43" s="218">
        <v>12</v>
      </c>
      <c r="F43" s="160">
        <v>1</v>
      </c>
      <c r="G43" s="198">
        <f t="shared" si="36"/>
        <v>17299.72979343</v>
      </c>
      <c r="H43" s="508">
        <f t="shared" si="28"/>
        <v>590.99648100000002</v>
      </c>
      <c r="I43" s="218">
        <f t="shared" si="29"/>
        <v>12</v>
      </c>
      <c r="J43" s="160">
        <f t="shared" si="29"/>
        <v>1</v>
      </c>
      <c r="K43" s="198">
        <f t="shared" si="30"/>
        <v>7091.9577719999997</v>
      </c>
      <c r="L43" s="508">
        <f t="shared" si="31"/>
        <v>638.27619948000006</v>
      </c>
      <c r="M43" s="218">
        <f t="shared" si="32"/>
        <v>0</v>
      </c>
      <c r="N43" s="160">
        <f t="shared" si="32"/>
        <v>1</v>
      </c>
      <c r="O43" s="198">
        <f t="shared" si="33"/>
        <v>0</v>
      </c>
      <c r="P43" s="500">
        <v>0</v>
      </c>
      <c r="Q43" s="501">
        <v>0</v>
      </c>
      <c r="R43" s="197">
        <v>0</v>
      </c>
      <c r="S43" s="198">
        <f t="shared" si="34"/>
        <v>0</v>
      </c>
      <c r="T43" s="503">
        <f t="shared" si="37"/>
        <v>30646.687565430002</v>
      </c>
      <c r="U43" s="157"/>
      <c r="V43" s="157"/>
    </row>
    <row r="44" spans="1:22" s="189" customFormat="1" ht="15" customHeight="1" outlineLevel="1">
      <c r="A44" s="499" t="str">
        <f t="shared" si="35"/>
        <v>1.12. Business Partner Professional Cundinamarca y Meta</v>
      </c>
      <c r="B44" s="507">
        <v>0.58289999999999997</v>
      </c>
      <c r="C44" s="553">
        <v>0</v>
      </c>
      <c r="D44" s="566">
        <v>434.6446748175</v>
      </c>
      <c r="E44" s="218">
        <v>12</v>
      </c>
      <c r="F44" s="160">
        <v>0.5</v>
      </c>
      <c r="G44" s="198">
        <f t="shared" si="36"/>
        <v>2607.8680489050003</v>
      </c>
      <c r="H44" s="500">
        <v>0</v>
      </c>
      <c r="I44" s="501">
        <v>0</v>
      </c>
      <c r="J44" s="502">
        <v>0</v>
      </c>
      <c r="K44" s="198">
        <f t="shared" si="30"/>
        <v>0</v>
      </c>
      <c r="L44" s="500">
        <f t="shared" ref="L44:L46" si="38">H44*(1+$L$2)</f>
        <v>0</v>
      </c>
      <c r="M44" s="501">
        <v>0</v>
      </c>
      <c r="N44" s="197">
        <v>0</v>
      </c>
      <c r="O44" s="198">
        <f t="shared" si="33"/>
        <v>0</v>
      </c>
      <c r="P44" s="500">
        <v>0</v>
      </c>
      <c r="Q44" s="501">
        <v>0</v>
      </c>
      <c r="R44" s="197">
        <v>0</v>
      </c>
      <c r="S44" s="198">
        <f t="shared" si="34"/>
        <v>0</v>
      </c>
      <c r="T44" s="503">
        <f t="shared" si="37"/>
        <v>2607.8680489050003</v>
      </c>
      <c r="U44" s="157"/>
      <c r="V44" s="157"/>
    </row>
    <row r="45" spans="1:22" s="189" customFormat="1" ht="15" customHeight="1" outlineLevel="1">
      <c r="A45" s="499" t="str">
        <f t="shared" si="35"/>
        <v>1.13. Business Partner Professional Bolivar</v>
      </c>
      <c r="B45" s="507">
        <v>0.58289999999999997</v>
      </c>
      <c r="C45" s="553">
        <v>0</v>
      </c>
      <c r="D45" s="566">
        <v>404.04242481749998</v>
      </c>
      <c r="E45" s="218">
        <v>12</v>
      </c>
      <c r="F45" s="160">
        <v>0.4</v>
      </c>
      <c r="G45" s="198">
        <f t="shared" si="36"/>
        <v>1939.4036391239999</v>
      </c>
      <c r="H45" s="500">
        <v>0</v>
      </c>
      <c r="I45" s="501">
        <v>0</v>
      </c>
      <c r="J45" s="502">
        <v>0</v>
      </c>
      <c r="K45" s="198">
        <f t="shared" si="30"/>
        <v>0</v>
      </c>
      <c r="L45" s="500">
        <f t="shared" si="38"/>
        <v>0</v>
      </c>
      <c r="M45" s="501">
        <v>0</v>
      </c>
      <c r="N45" s="197">
        <v>0</v>
      </c>
      <c r="O45" s="198">
        <f t="shared" si="33"/>
        <v>0</v>
      </c>
      <c r="P45" s="500">
        <v>0</v>
      </c>
      <c r="Q45" s="501">
        <v>0</v>
      </c>
      <c r="R45" s="197">
        <v>0</v>
      </c>
      <c r="S45" s="198">
        <f t="shared" si="34"/>
        <v>0</v>
      </c>
      <c r="T45" s="503">
        <f t="shared" si="37"/>
        <v>1939.4036391239999</v>
      </c>
      <c r="U45" s="157"/>
      <c r="V45" s="157"/>
    </row>
    <row r="46" spans="1:22" s="189" customFormat="1" ht="15" customHeight="1" outlineLevel="1">
      <c r="A46" s="499" t="str">
        <f t="shared" si="35"/>
        <v>1.14. Business Partner Professional Santander</v>
      </c>
      <c r="B46" s="507">
        <v>0.58289999999999997</v>
      </c>
      <c r="C46" s="553">
        <v>0</v>
      </c>
      <c r="D46" s="566">
        <v>557.0536748175</v>
      </c>
      <c r="E46" s="218">
        <v>12</v>
      </c>
      <c r="F46" s="160">
        <v>0.6</v>
      </c>
      <c r="G46" s="198">
        <f t="shared" si="36"/>
        <v>4010.7864586859996</v>
      </c>
      <c r="H46" s="500">
        <v>0</v>
      </c>
      <c r="I46" s="501">
        <v>0</v>
      </c>
      <c r="J46" s="502">
        <v>0</v>
      </c>
      <c r="K46" s="198">
        <f t="shared" si="30"/>
        <v>0</v>
      </c>
      <c r="L46" s="500">
        <f t="shared" si="38"/>
        <v>0</v>
      </c>
      <c r="M46" s="501">
        <v>0</v>
      </c>
      <c r="N46" s="197">
        <v>0</v>
      </c>
      <c r="O46" s="198">
        <f t="shared" si="33"/>
        <v>0</v>
      </c>
      <c r="P46" s="500">
        <v>0</v>
      </c>
      <c r="Q46" s="501">
        <v>0</v>
      </c>
      <c r="R46" s="197">
        <v>0</v>
      </c>
      <c r="S46" s="198">
        <f t="shared" si="34"/>
        <v>0</v>
      </c>
      <c r="T46" s="503">
        <f t="shared" si="37"/>
        <v>4010.7864586859996</v>
      </c>
      <c r="U46" s="157"/>
      <c r="V46" s="157"/>
    </row>
    <row r="47" spans="1:22" s="189" customFormat="1" ht="15" customHeight="1" outlineLevel="1">
      <c r="A47" s="582" t="str">
        <f t="shared" si="35"/>
        <v>1.15. Administrative Coordinator</v>
      </c>
      <c r="B47" s="507">
        <v>0.51849999999999996</v>
      </c>
      <c r="C47" s="553">
        <v>0</v>
      </c>
      <c r="D47" s="566">
        <v>0</v>
      </c>
      <c r="E47" s="218">
        <v>0</v>
      </c>
      <c r="F47" s="160">
        <v>0</v>
      </c>
      <c r="G47" s="198">
        <f t="shared" si="36"/>
        <v>0</v>
      </c>
      <c r="H47" s="508">
        <f t="shared" ref="H47:H54" si="39">+H22*B47</f>
        <v>833.64429999999993</v>
      </c>
      <c r="I47" s="218">
        <f t="shared" ref="I47:J54" si="40">+I22</f>
        <v>0</v>
      </c>
      <c r="J47" s="160">
        <f t="shared" si="40"/>
        <v>0</v>
      </c>
      <c r="K47" s="198">
        <f t="shared" si="30"/>
        <v>0</v>
      </c>
      <c r="L47" s="508">
        <f t="shared" ref="L47:L54" si="41">+L22*B47</f>
        <v>900.33584399999995</v>
      </c>
      <c r="M47" s="218">
        <f t="shared" ref="M47:N54" si="42">+M22</f>
        <v>0</v>
      </c>
      <c r="N47" s="160">
        <f t="shared" si="42"/>
        <v>0</v>
      </c>
      <c r="O47" s="198">
        <f t="shared" si="33"/>
        <v>0</v>
      </c>
      <c r="P47" s="500">
        <v>0</v>
      </c>
      <c r="Q47" s="501">
        <v>0</v>
      </c>
      <c r="R47" s="197">
        <v>0</v>
      </c>
      <c r="S47" s="198">
        <f t="shared" si="34"/>
        <v>0</v>
      </c>
      <c r="T47" s="503">
        <f t="shared" si="37"/>
        <v>0</v>
      </c>
      <c r="U47" s="157"/>
      <c r="V47" s="157"/>
    </row>
    <row r="48" spans="1:22" s="189" customFormat="1" ht="15" customHeight="1" outlineLevel="1">
      <c r="A48" s="582" t="str">
        <f>A23</f>
        <v>1.16. Accountant assistant</v>
      </c>
      <c r="B48" s="507">
        <v>0.51849999999999996</v>
      </c>
      <c r="C48" s="553">
        <v>0</v>
      </c>
      <c r="D48" s="566">
        <v>340.265625</v>
      </c>
      <c r="E48" s="218">
        <v>12</v>
      </c>
      <c r="F48" s="160">
        <v>1</v>
      </c>
      <c r="G48" s="198">
        <f t="shared" si="36"/>
        <v>4083.1875</v>
      </c>
      <c r="H48" s="508">
        <f t="shared" si="39"/>
        <v>347.35351999999995</v>
      </c>
      <c r="I48" s="218">
        <f>+I23</f>
        <v>12</v>
      </c>
      <c r="J48" s="160">
        <f t="shared" si="40"/>
        <v>0.6</v>
      </c>
      <c r="K48" s="198">
        <f t="shared" si="30"/>
        <v>2500.9453439999997</v>
      </c>
      <c r="L48" s="508">
        <f t="shared" si="41"/>
        <v>375.14180159999995</v>
      </c>
      <c r="M48" s="218">
        <f t="shared" si="42"/>
        <v>0</v>
      </c>
      <c r="N48" s="160">
        <f t="shared" si="42"/>
        <v>0.6</v>
      </c>
      <c r="O48" s="198">
        <f t="shared" si="33"/>
        <v>0</v>
      </c>
      <c r="P48" s="500">
        <v>0</v>
      </c>
      <c r="Q48" s="501">
        <v>0</v>
      </c>
      <c r="R48" s="197">
        <v>0</v>
      </c>
      <c r="S48" s="198">
        <f t="shared" si="34"/>
        <v>0</v>
      </c>
      <c r="T48" s="503">
        <f t="shared" si="37"/>
        <v>6584.1328439999997</v>
      </c>
      <c r="U48" s="157"/>
      <c r="V48" s="157"/>
    </row>
    <row r="49" spans="1:22" s="189" customFormat="1" ht="15" customHeight="1" outlineLevel="1">
      <c r="A49" s="499" t="str">
        <f t="shared" si="35"/>
        <v>1.17. Administrative Assistant</v>
      </c>
      <c r="B49" s="507">
        <v>0.51849999999999996</v>
      </c>
      <c r="C49" s="553">
        <v>4211</v>
      </c>
      <c r="D49" s="566">
        <v>340.265625</v>
      </c>
      <c r="E49" s="218">
        <v>12</v>
      </c>
      <c r="F49" s="160">
        <v>1</v>
      </c>
      <c r="G49" s="198">
        <f t="shared" si="36"/>
        <v>4083.1875</v>
      </c>
      <c r="H49" s="508">
        <f t="shared" si="39"/>
        <v>347.35351999999995</v>
      </c>
      <c r="I49" s="218">
        <f t="shared" si="40"/>
        <v>12</v>
      </c>
      <c r="J49" s="160">
        <f t="shared" si="40"/>
        <v>0.6</v>
      </c>
      <c r="K49" s="198">
        <f t="shared" si="30"/>
        <v>2500.9453439999997</v>
      </c>
      <c r="L49" s="508">
        <f t="shared" si="41"/>
        <v>375.14180159999995</v>
      </c>
      <c r="M49" s="218">
        <f t="shared" si="42"/>
        <v>0</v>
      </c>
      <c r="N49" s="160">
        <f t="shared" si="42"/>
        <v>0.6</v>
      </c>
      <c r="O49" s="198">
        <f t="shared" si="33"/>
        <v>0</v>
      </c>
      <c r="P49" s="500">
        <v>0</v>
      </c>
      <c r="Q49" s="501">
        <v>0</v>
      </c>
      <c r="R49" s="197">
        <v>0</v>
      </c>
      <c r="S49" s="198">
        <f t="shared" si="34"/>
        <v>0</v>
      </c>
      <c r="T49" s="503">
        <f t="shared" si="37"/>
        <v>10795.132844</v>
      </c>
      <c r="U49" s="157"/>
      <c r="V49" s="157"/>
    </row>
    <row r="50" spans="1:22" s="189" customFormat="1" ht="15" customHeight="1" outlineLevel="1">
      <c r="A50" s="499" t="str">
        <f t="shared" si="35"/>
        <v>1.18. Business Partner Professional Risaralda</v>
      </c>
      <c r="B50" s="507">
        <v>0.58289999999999997</v>
      </c>
      <c r="C50" s="553">
        <v>6255</v>
      </c>
      <c r="D50" s="500">
        <v>0</v>
      </c>
      <c r="E50" s="501">
        <v>0</v>
      </c>
      <c r="F50" s="197">
        <v>0</v>
      </c>
      <c r="G50" s="198">
        <f t="shared" si="36"/>
        <v>0</v>
      </c>
      <c r="H50" s="508">
        <f t="shared" si="39"/>
        <v>590.99648100000002</v>
      </c>
      <c r="I50" s="218">
        <f t="shared" si="40"/>
        <v>12</v>
      </c>
      <c r="J50" s="160">
        <f t="shared" si="40"/>
        <v>0</v>
      </c>
      <c r="K50" s="198">
        <f t="shared" si="30"/>
        <v>0</v>
      </c>
      <c r="L50" s="508">
        <f t="shared" si="41"/>
        <v>638.27619948000006</v>
      </c>
      <c r="M50" s="218">
        <f t="shared" si="42"/>
        <v>0</v>
      </c>
      <c r="N50" s="160">
        <f t="shared" si="42"/>
        <v>0</v>
      </c>
      <c r="O50" s="198">
        <f t="shared" si="33"/>
        <v>0</v>
      </c>
      <c r="P50" s="500">
        <v>0</v>
      </c>
      <c r="Q50" s="501">
        <v>0</v>
      </c>
      <c r="R50" s="197">
        <v>0</v>
      </c>
      <c r="S50" s="198">
        <f t="shared" si="34"/>
        <v>0</v>
      </c>
      <c r="T50" s="503">
        <f t="shared" si="37"/>
        <v>6255</v>
      </c>
      <c r="U50" s="157"/>
      <c r="V50" s="157"/>
    </row>
    <row r="51" spans="1:22" s="189" customFormat="1" ht="15" customHeight="1" outlineLevel="1">
      <c r="A51" s="499" t="str">
        <f t="shared" si="35"/>
        <v>1.19. Leadership Workshop coordinator</v>
      </c>
      <c r="B51" s="507">
        <v>0.58289999999999997</v>
      </c>
      <c r="C51" s="553">
        <v>0</v>
      </c>
      <c r="D51" s="500">
        <v>0</v>
      </c>
      <c r="E51" s="501">
        <v>0</v>
      </c>
      <c r="F51" s="197">
        <v>0</v>
      </c>
      <c r="G51" s="198">
        <f t="shared" si="36"/>
        <v>0</v>
      </c>
      <c r="H51" s="508">
        <f t="shared" si="39"/>
        <v>1365.478224</v>
      </c>
      <c r="I51" s="218">
        <f t="shared" si="40"/>
        <v>9</v>
      </c>
      <c r="J51" s="160">
        <f t="shared" si="40"/>
        <v>0</v>
      </c>
      <c r="K51" s="198">
        <f t="shared" si="30"/>
        <v>0</v>
      </c>
      <c r="L51" s="508">
        <f t="shared" si="41"/>
        <v>1474.71648192</v>
      </c>
      <c r="M51" s="218">
        <f t="shared" si="42"/>
        <v>0</v>
      </c>
      <c r="N51" s="160">
        <f t="shared" si="42"/>
        <v>0</v>
      </c>
      <c r="O51" s="198">
        <f t="shared" si="33"/>
        <v>0</v>
      </c>
      <c r="P51" s="500">
        <v>0</v>
      </c>
      <c r="Q51" s="501">
        <v>0</v>
      </c>
      <c r="R51" s="197">
        <v>0</v>
      </c>
      <c r="S51" s="198">
        <f t="shared" si="34"/>
        <v>0</v>
      </c>
      <c r="T51" s="503">
        <f t="shared" si="37"/>
        <v>0</v>
      </c>
      <c r="U51" s="157"/>
      <c r="V51" s="157"/>
    </row>
    <row r="52" spans="1:22" s="189" customFormat="1" ht="15" customHeight="1" outlineLevel="1">
      <c r="A52" s="499" t="str">
        <f t="shared" si="35"/>
        <v>1.20. Leadership professional</v>
      </c>
      <c r="B52" s="507">
        <v>0.58289999999999997</v>
      </c>
      <c r="C52" s="553">
        <v>4608</v>
      </c>
      <c r="D52" s="500">
        <v>0</v>
      </c>
      <c r="E52" s="501">
        <v>0</v>
      </c>
      <c r="F52" s="197">
        <v>0</v>
      </c>
      <c r="G52" s="198">
        <f t="shared" si="36"/>
        <v>0</v>
      </c>
      <c r="H52" s="508">
        <f t="shared" si="39"/>
        <v>702.88996499999996</v>
      </c>
      <c r="I52" s="218">
        <f t="shared" si="40"/>
        <v>9</v>
      </c>
      <c r="J52" s="160">
        <f t="shared" si="40"/>
        <v>0</v>
      </c>
      <c r="K52" s="198">
        <f t="shared" si="30"/>
        <v>0</v>
      </c>
      <c r="L52" s="508">
        <f t="shared" si="41"/>
        <v>759.12116219999996</v>
      </c>
      <c r="M52" s="218">
        <f t="shared" si="42"/>
        <v>0</v>
      </c>
      <c r="N52" s="160">
        <f t="shared" si="42"/>
        <v>0</v>
      </c>
      <c r="O52" s="198">
        <f t="shared" si="33"/>
        <v>0</v>
      </c>
      <c r="P52" s="500">
        <v>0</v>
      </c>
      <c r="Q52" s="501">
        <v>0</v>
      </c>
      <c r="R52" s="197">
        <v>0</v>
      </c>
      <c r="S52" s="198">
        <f t="shared" si="34"/>
        <v>0</v>
      </c>
      <c r="T52" s="503">
        <f t="shared" si="37"/>
        <v>4608</v>
      </c>
      <c r="U52" s="157"/>
      <c r="V52" s="157"/>
    </row>
    <row r="53" spans="1:22" ht="15" customHeight="1" outlineLevel="1">
      <c r="A53" s="499" t="str">
        <f t="shared" si="35"/>
        <v>1.21. Commercial Professional</v>
      </c>
      <c r="B53" s="507">
        <v>0.58289999999999997</v>
      </c>
      <c r="C53" s="553">
        <v>0</v>
      </c>
      <c r="D53" s="500">
        <v>0</v>
      </c>
      <c r="E53" s="501">
        <v>0</v>
      </c>
      <c r="F53" s="197">
        <v>0</v>
      </c>
      <c r="G53" s="198">
        <f t="shared" si="36"/>
        <v>0</v>
      </c>
      <c r="H53" s="508">
        <f t="shared" si="39"/>
        <v>661.99370099999999</v>
      </c>
      <c r="I53" s="265">
        <f>+I28</f>
        <v>0</v>
      </c>
      <c r="J53" s="160">
        <f t="shared" si="40"/>
        <v>0.7</v>
      </c>
      <c r="K53" s="198">
        <f t="shared" si="30"/>
        <v>0</v>
      </c>
      <c r="L53" s="508">
        <f t="shared" si="41"/>
        <v>714.95319708000011</v>
      </c>
      <c r="M53" s="218">
        <f t="shared" si="42"/>
        <v>0</v>
      </c>
      <c r="N53" s="160">
        <f t="shared" si="42"/>
        <v>0.7</v>
      </c>
      <c r="O53" s="198">
        <f t="shared" si="33"/>
        <v>0</v>
      </c>
      <c r="P53" s="500">
        <v>0</v>
      </c>
      <c r="Q53" s="501">
        <v>0</v>
      </c>
      <c r="R53" s="197">
        <v>0</v>
      </c>
      <c r="S53" s="198">
        <f t="shared" si="34"/>
        <v>0</v>
      </c>
      <c r="T53" s="503">
        <f>C53+G53+K53+O53+S53</f>
        <v>0</v>
      </c>
    </row>
    <row r="54" spans="1:22" ht="15" customHeight="1" outlineLevel="1">
      <c r="A54" s="499" t="str">
        <f t="shared" si="35"/>
        <v>1.22. Grants Specialist</v>
      </c>
      <c r="B54" s="507">
        <v>0.58289999999999997</v>
      </c>
      <c r="C54" s="553">
        <v>0</v>
      </c>
      <c r="D54" s="500">
        <v>0</v>
      </c>
      <c r="E54" s="501">
        <v>0</v>
      </c>
      <c r="F54" s="197">
        <v>0</v>
      </c>
      <c r="G54" s="198">
        <f t="shared" ref="G54" si="43">D54*E54*F54</f>
        <v>0</v>
      </c>
      <c r="H54" s="508">
        <f t="shared" si="39"/>
        <v>728.97473999999988</v>
      </c>
      <c r="I54" s="218">
        <f t="shared" si="40"/>
        <v>0</v>
      </c>
      <c r="J54" s="160">
        <f t="shared" si="40"/>
        <v>1</v>
      </c>
      <c r="K54" s="198">
        <f t="shared" ref="K54" si="44">H54*I54*J54</f>
        <v>0</v>
      </c>
      <c r="L54" s="508">
        <f t="shared" si="41"/>
        <v>787.29271919999996</v>
      </c>
      <c r="M54" s="218">
        <f t="shared" si="42"/>
        <v>0</v>
      </c>
      <c r="N54" s="160">
        <f t="shared" si="42"/>
        <v>1</v>
      </c>
      <c r="O54" s="198">
        <f t="shared" ref="O54" si="45">L54*M54*N54</f>
        <v>0</v>
      </c>
      <c r="P54" s="500">
        <v>0</v>
      </c>
      <c r="Q54" s="501">
        <v>0</v>
      </c>
      <c r="R54" s="197">
        <v>0</v>
      </c>
      <c r="S54" s="198">
        <f t="shared" si="34"/>
        <v>0</v>
      </c>
      <c r="T54" s="503">
        <f>C54+G54+K54+O54+S54</f>
        <v>0</v>
      </c>
    </row>
    <row r="55" spans="1:22" ht="15" customHeight="1" outlineLevel="1">
      <c r="A55" s="499"/>
      <c r="B55" s="507"/>
      <c r="C55" s="555"/>
      <c r="D55" s="500"/>
      <c r="E55" s="501"/>
      <c r="F55" s="197"/>
      <c r="G55" s="198"/>
      <c r="H55" s="508"/>
      <c r="I55" s="218"/>
      <c r="K55" s="198"/>
      <c r="L55" s="508"/>
      <c r="M55" s="218"/>
      <c r="N55" s="160"/>
      <c r="O55" s="198"/>
      <c r="P55" s="500"/>
      <c r="Q55" s="501"/>
      <c r="R55" s="197"/>
      <c r="S55" s="198"/>
      <c r="T55" s="503"/>
    </row>
    <row r="56" spans="1:22" s="258" customFormat="1" ht="18.3" outlineLevel="1">
      <c r="A56" s="249" t="s">
        <v>521</v>
      </c>
      <c r="B56" s="250"/>
      <c r="C56" s="558">
        <f>SUM(C33:C55)</f>
        <v>75462</v>
      </c>
      <c r="D56" s="509"/>
      <c r="E56" s="252"/>
      <c r="F56" s="510"/>
      <c r="G56" s="254">
        <f>SUM(G33:G55)</f>
        <v>88048.375624323002</v>
      </c>
      <c r="H56" s="509"/>
      <c r="I56" s="252"/>
      <c r="J56" s="253"/>
      <c r="K56" s="254">
        <f>+SUM(K33:K53)</f>
        <v>55822.568119199997</v>
      </c>
      <c r="L56" s="509"/>
      <c r="M56" s="252"/>
      <c r="N56" s="510"/>
      <c r="O56" s="254">
        <f>+SUM(O33:O53)</f>
        <v>0</v>
      </c>
      <c r="P56" s="509"/>
      <c r="Q56" s="252"/>
      <c r="R56" s="510"/>
      <c r="S56" s="254">
        <f>SUM(S33:S55)</f>
        <v>0</v>
      </c>
      <c r="T56" s="254">
        <f>+SUM(T33:T53)</f>
        <v>219332.94374352301</v>
      </c>
      <c r="U56" s="235"/>
      <c r="V56" s="235"/>
    </row>
    <row r="57" spans="1:22" s="260" customFormat="1" ht="15.6" outlineLevel="1">
      <c r="A57" s="190" t="s">
        <v>523</v>
      </c>
      <c r="B57" s="191"/>
      <c r="C57" s="555"/>
      <c r="D57" s="481"/>
      <c r="E57" s="159"/>
      <c r="F57" s="492"/>
      <c r="G57" s="198"/>
      <c r="H57" s="481"/>
      <c r="I57" s="159"/>
      <c r="J57" s="183"/>
      <c r="K57" s="198"/>
      <c r="L57" s="481"/>
      <c r="M57" s="159"/>
      <c r="N57" s="492"/>
      <c r="O57" s="198"/>
      <c r="P57" s="481"/>
      <c r="Q57" s="159"/>
      <c r="R57" s="492"/>
      <c r="S57" s="198"/>
      <c r="T57" s="503"/>
      <c r="U57" s="157"/>
      <c r="V57" s="157"/>
    </row>
    <row r="58" spans="1:22" ht="15" customHeight="1" outlineLevel="1">
      <c r="A58" s="499" t="s">
        <v>604</v>
      </c>
      <c r="B58" s="194" t="s">
        <v>144</v>
      </c>
      <c r="C58" s="553">
        <v>13882</v>
      </c>
      <c r="D58" s="195">
        <v>325</v>
      </c>
      <c r="E58" s="196">
        <v>74</v>
      </c>
      <c r="F58" s="565">
        <v>1</v>
      </c>
      <c r="G58" s="198">
        <f>D58*E58*F58</f>
        <v>24050</v>
      </c>
      <c r="H58" s="500">
        <v>365.41</v>
      </c>
      <c r="I58" s="583">
        <v>50</v>
      </c>
      <c r="J58" s="197">
        <v>1</v>
      </c>
      <c r="K58" s="198">
        <f>H58*I58*J58</f>
        <v>18270.5</v>
      </c>
      <c r="L58" s="500">
        <f>H58*(1+$L$2)</f>
        <v>394.64280000000008</v>
      </c>
      <c r="M58" s="583">
        <v>0</v>
      </c>
      <c r="N58" s="197">
        <v>1</v>
      </c>
      <c r="O58" s="198">
        <f>L58*M58*N58</f>
        <v>0</v>
      </c>
      <c r="P58" s="500">
        <v>0</v>
      </c>
      <c r="Q58" s="501">
        <v>0</v>
      </c>
      <c r="R58" s="197">
        <v>1</v>
      </c>
      <c r="S58" s="198">
        <f>P58*Q58*R58</f>
        <v>0</v>
      </c>
      <c r="T58" s="503">
        <f>C58+G58+K58+O58+S58</f>
        <v>56202.5</v>
      </c>
      <c r="U58" s="188"/>
      <c r="V58" s="205"/>
    </row>
    <row r="59" spans="1:22" ht="15" customHeight="1" outlineLevel="1">
      <c r="A59" s="499" t="s">
        <v>605</v>
      </c>
      <c r="B59" s="194" t="s">
        <v>144</v>
      </c>
      <c r="C59" s="553">
        <v>12036</v>
      </c>
      <c r="D59" s="195">
        <v>37.5</v>
      </c>
      <c r="E59" s="196">
        <v>740</v>
      </c>
      <c r="F59" s="565">
        <v>1</v>
      </c>
      <c r="G59" s="198">
        <f t="shared" ref="G59" si="46">D59*E59*F59</f>
        <v>27750</v>
      </c>
      <c r="H59" s="500">
        <v>48.72</v>
      </c>
      <c r="I59" s="583">
        <v>50</v>
      </c>
      <c r="J59" s="197">
        <v>1</v>
      </c>
      <c r="K59" s="198">
        <f t="shared" ref="K59" si="47">H59*I59*J59</f>
        <v>2436</v>
      </c>
      <c r="L59" s="500">
        <f t="shared" ref="L59:L61" si="48">H59*(1+$L$2)</f>
        <v>52.617600000000003</v>
      </c>
      <c r="M59" s="583">
        <v>0</v>
      </c>
      <c r="N59" s="197">
        <v>1</v>
      </c>
      <c r="O59" s="198">
        <f t="shared" ref="O59" si="49">L59*M59*N59</f>
        <v>0</v>
      </c>
      <c r="P59" s="500">
        <v>0</v>
      </c>
      <c r="Q59" s="501">
        <v>0</v>
      </c>
      <c r="R59" s="197">
        <v>1</v>
      </c>
      <c r="S59" s="198">
        <f t="shared" ref="S59" si="50">P59*Q59*R59</f>
        <v>0</v>
      </c>
      <c r="T59" s="503">
        <f t="shared" ref="T59" si="51">C59+G59+K59+O59+S59</f>
        <v>42222</v>
      </c>
      <c r="U59" s="188"/>
      <c r="V59" s="205"/>
    </row>
    <row r="60" spans="1:22" ht="15" customHeight="1" outlineLevel="1">
      <c r="A60" s="499" t="s">
        <v>606</v>
      </c>
      <c r="B60" s="194" t="s">
        <v>607</v>
      </c>
      <c r="C60" s="553">
        <v>11147</v>
      </c>
      <c r="D60" s="195">
        <v>25</v>
      </c>
      <c r="E60" s="196">
        <v>46</v>
      </c>
      <c r="F60" s="565">
        <v>1</v>
      </c>
      <c r="G60" s="198">
        <f>D60*E60*F60</f>
        <v>1150</v>
      </c>
      <c r="H60" s="500">
        <v>36.54</v>
      </c>
      <c r="I60" s="501">
        <v>5</v>
      </c>
      <c r="J60" s="197">
        <v>1</v>
      </c>
      <c r="K60" s="198">
        <f>H60*I60*J60</f>
        <v>182.7</v>
      </c>
      <c r="L60" s="500">
        <f t="shared" si="48"/>
        <v>39.463200000000001</v>
      </c>
      <c r="M60" s="583">
        <v>0</v>
      </c>
      <c r="N60" s="197">
        <v>1</v>
      </c>
      <c r="O60" s="198">
        <f>L60*M60*N60</f>
        <v>0</v>
      </c>
      <c r="P60" s="500">
        <v>0</v>
      </c>
      <c r="Q60" s="501">
        <v>0</v>
      </c>
      <c r="R60" s="197">
        <v>1</v>
      </c>
      <c r="S60" s="198">
        <f>P60*Q60*R60</f>
        <v>0</v>
      </c>
      <c r="T60" s="503">
        <f>C60+G60+K60+O60+S60</f>
        <v>12479.7</v>
      </c>
      <c r="U60" s="188"/>
      <c r="V60" s="205"/>
    </row>
    <row r="61" spans="1:22" ht="15" customHeight="1" outlineLevel="1">
      <c r="A61" s="499" t="s">
        <v>608</v>
      </c>
      <c r="B61" s="194" t="s">
        <v>146</v>
      </c>
      <c r="C61" s="553">
        <v>17237</v>
      </c>
      <c r="D61" s="195">
        <v>27.5</v>
      </c>
      <c r="E61" s="196">
        <v>71</v>
      </c>
      <c r="F61" s="565">
        <v>1</v>
      </c>
      <c r="G61" s="198">
        <f>D61*E61*F61</f>
        <v>1952.5</v>
      </c>
      <c r="H61" s="500">
        <v>31.67</v>
      </c>
      <c r="I61" s="501">
        <v>10</v>
      </c>
      <c r="J61" s="197">
        <v>1</v>
      </c>
      <c r="K61" s="198">
        <f>H61*I61*J61</f>
        <v>316.70000000000005</v>
      </c>
      <c r="L61" s="500">
        <f t="shared" si="48"/>
        <v>34.203600000000002</v>
      </c>
      <c r="M61" s="583">
        <v>0</v>
      </c>
      <c r="N61" s="197">
        <v>1</v>
      </c>
      <c r="O61" s="198">
        <f>L61*M61*N61</f>
        <v>0</v>
      </c>
      <c r="P61" s="500">
        <v>0</v>
      </c>
      <c r="Q61" s="501">
        <v>0</v>
      </c>
      <c r="R61" s="197">
        <v>1</v>
      </c>
      <c r="S61" s="198">
        <f>P61*Q61*R61</f>
        <v>0</v>
      </c>
      <c r="T61" s="503">
        <f>C61+G61+K61+O61+S61</f>
        <v>19506.2</v>
      </c>
      <c r="U61" s="188"/>
      <c r="V61" s="205"/>
    </row>
    <row r="62" spans="1:22" outlineLevel="1">
      <c r="A62" s="325"/>
      <c r="B62" s="216"/>
      <c r="C62" s="555"/>
      <c r="G62" s="198"/>
      <c r="K62" s="198"/>
      <c r="O62" s="198"/>
      <c r="S62" s="198"/>
      <c r="T62" s="497"/>
    </row>
    <row r="63" spans="1:22" ht="18.3">
      <c r="A63" s="261" t="s">
        <v>526</v>
      </c>
      <c r="B63" s="227"/>
      <c r="C63" s="556">
        <f>SUM(C58:C62)</f>
        <v>54302</v>
      </c>
      <c r="D63" s="504"/>
      <c r="E63" s="262"/>
      <c r="F63" s="505"/>
      <c r="G63" s="231">
        <f>SUM(G57:G62)</f>
        <v>54902.5</v>
      </c>
      <c r="H63" s="504"/>
      <c r="I63" s="262"/>
      <c r="J63" s="263"/>
      <c r="K63" s="231">
        <f>SUM(K57:K62)</f>
        <v>21205.9</v>
      </c>
      <c r="L63" s="504"/>
      <c r="M63" s="262"/>
      <c r="N63" s="505"/>
      <c r="O63" s="231">
        <f>SUM(O57:O62)</f>
        <v>0</v>
      </c>
      <c r="P63" s="504"/>
      <c r="Q63" s="262"/>
      <c r="R63" s="505"/>
      <c r="S63" s="231">
        <f>SUM(S57:S62)</f>
        <v>0</v>
      </c>
      <c r="T63" s="511">
        <f>+C63+G63+K63+O63+S63</f>
        <v>130410.4</v>
      </c>
      <c r="U63" s="512"/>
    </row>
    <row r="64" spans="1:22" ht="15.6" outlineLevel="1">
      <c r="A64" s="190" t="s">
        <v>55</v>
      </c>
      <c r="B64" s="264"/>
      <c r="C64" s="555"/>
      <c r="E64" s="265"/>
      <c r="F64" s="513"/>
      <c r="G64" s="514"/>
      <c r="I64" s="265"/>
      <c r="J64" s="266"/>
      <c r="K64" s="514"/>
      <c r="M64" s="265"/>
      <c r="N64" s="513"/>
      <c r="O64" s="514"/>
      <c r="Q64" s="265"/>
      <c r="R64" s="513"/>
      <c r="S64" s="514"/>
      <c r="T64" s="497"/>
    </row>
    <row r="65" spans="1:20" ht="28.2" outlineLevel="1">
      <c r="A65" s="582" t="s">
        <v>609</v>
      </c>
      <c r="B65" s="194" t="s">
        <v>163</v>
      </c>
      <c r="C65" s="553">
        <v>37142</v>
      </c>
      <c r="D65" s="195">
        <v>75179.324999999997</v>
      </c>
      <c r="E65" s="196">
        <v>1</v>
      </c>
      <c r="F65" s="565">
        <v>1</v>
      </c>
      <c r="G65" s="198">
        <f>D65*E65*F65</f>
        <v>75179.324999999997</v>
      </c>
      <c r="H65" s="500">
        <v>0</v>
      </c>
      <c r="I65" s="501">
        <v>1</v>
      </c>
      <c r="J65" s="197">
        <v>0.5</v>
      </c>
      <c r="K65" s="198">
        <f>H65*I65*J65</f>
        <v>0</v>
      </c>
      <c r="L65" s="500">
        <f>+H65*(1+$L$2)</f>
        <v>0</v>
      </c>
      <c r="M65" s="583">
        <v>0</v>
      </c>
      <c r="N65" s="197">
        <v>0.5</v>
      </c>
      <c r="O65" s="198">
        <f>L65*M65*N65</f>
        <v>0</v>
      </c>
      <c r="P65" s="500">
        <v>0</v>
      </c>
      <c r="Q65" s="501">
        <v>0</v>
      </c>
      <c r="R65" s="197">
        <v>1</v>
      </c>
      <c r="S65" s="198">
        <f>P65*Q65*R65</f>
        <v>0</v>
      </c>
      <c r="T65" s="503">
        <f>C65+G65+K65+O65+S65</f>
        <v>112321.325</v>
      </c>
    </row>
    <row r="66" spans="1:20" outlineLevel="1">
      <c r="A66" s="499" t="s">
        <v>610</v>
      </c>
      <c r="B66" s="194" t="s">
        <v>611</v>
      </c>
      <c r="C66" s="553">
        <v>0</v>
      </c>
      <c r="D66" s="195">
        <v>0</v>
      </c>
      <c r="E66" s="196">
        <v>0</v>
      </c>
      <c r="F66" s="565">
        <v>1</v>
      </c>
      <c r="G66" s="198">
        <f t="shared" ref="G66:G68" si="52">D66*E66*F66</f>
        <v>0</v>
      </c>
      <c r="H66" s="500">
        <v>1125.46</v>
      </c>
      <c r="I66" s="501">
        <v>15</v>
      </c>
      <c r="J66" s="197">
        <v>0</v>
      </c>
      <c r="K66" s="198">
        <f t="shared" ref="K66:K68" si="53">H66*I66*J66</f>
        <v>0</v>
      </c>
      <c r="L66" s="500">
        <f t="shared" ref="L66:L68" si="54">+H66*(1+$L$2)</f>
        <v>1215.4968000000001</v>
      </c>
      <c r="M66" s="583">
        <v>0</v>
      </c>
      <c r="N66" s="197">
        <v>0</v>
      </c>
      <c r="O66" s="198">
        <f t="shared" ref="O66:O68" si="55">L66*M66*N66</f>
        <v>0</v>
      </c>
      <c r="P66" s="500">
        <v>0</v>
      </c>
      <c r="Q66" s="501">
        <v>0</v>
      </c>
      <c r="R66" s="197">
        <v>1</v>
      </c>
      <c r="S66" s="198">
        <f t="shared" ref="S66:S68" si="56">P66*Q66*R66</f>
        <v>0</v>
      </c>
      <c r="T66" s="503">
        <f t="shared" ref="T66:T68" si="57">C66+G66+K66+O66+S66</f>
        <v>0</v>
      </c>
    </row>
    <row r="67" spans="1:20" ht="28.2" outlineLevel="1">
      <c r="A67" s="582" t="s">
        <v>612</v>
      </c>
      <c r="B67" s="194" t="s">
        <v>95</v>
      </c>
      <c r="C67" s="553">
        <v>0</v>
      </c>
      <c r="D67" s="195">
        <v>800</v>
      </c>
      <c r="E67" s="196">
        <v>7</v>
      </c>
      <c r="F67" s="565">
        <v>1</v>
      </c>
      <c r="G67" s="198">
        <f t="shared" si="52"/>
        <v>5600</v>
      </c>
      <c r="H67" s="500">
        <v>1218.03</v>
      </c>
      <c r="I67" s="501">
        <v>0</v>
      </c>
      <c r="J67" s="197">
        <v>1</v>
      </c>
      <c r="K67" s="198">
        <f t="shared" si="53"/>
        <v>0</v>
      </c>
      <c r="L67" s="500">
        <f t="shared" si="54"/>
        <v>1315.4724000000001</v>
      </c>
      <c r="M67" s="501">
        <v>0</v>
      </c>
      <c r="N67" s="197">
        <v>1</v>
      </c>
      <c r="O67" s="198">
        <f t="shared" si="55"/>
        <v>0</v>
      </c>
      <c r="P67" s="500">
        <v>0</v>
      </c>
      <c r="Q67" s="501">
        <v>0</v>
      </c>
      <c r="R67" s="197">
        <v>1</v>
      </c>
      <c r="S67" s="198">
        <f t="shared" si="56"/>
        <v>0</v>
      </c>
      <c r="T67" s="503">
        <f t="shared" si="57"/>
        <v>5600</v>
      </c>
    </row>
    <row r="68" spans="1:20" outlineLevel="1">
      <c r="A68" s="582" t="s">
        <v>613</v>
      </c>
      <c r="B68" s="194" t="s">
        <v>95</v>
      </c>
      <c r="C68" s="553">
        <v>0</v>
      </c>
      <c r="D68" s="195">
        <v>0</v>
      </c>
      <c r="E68" s="196">
        <v>0</v>
      </c>
      <c r="F68" s="565">
        <v>1</v>
      </c>
      <c r="G68" s="198">
        <f t="shared" si="52"/>
        <v>0</v>
      </c>
      <c r="H68" s="500">
        <v>13398.29</v>
      </c>
      <c r="I68" s="501">
        <v>0</v>
      </c>
      <c r="J68" s="197">
        <v>1</v>
      </c>
      <c r="K68" s="198">
        <f t="shared" si="53"/>
        <v>0</v>
      </c>
      <c r="L68" s="500">
        <f t="shared" si="54"/>
        <v>14470.153200000002</v>
      </c>
      <c r="M68" s="501">
        <v>0</v>
      </c>
      <c r="N68" s="197">
        <v>1</v>
      </c>
      <c r="O68" s="198">
        <f t="shared" si="55"/>
        <v>0</v>
      </c>
      <c r="P68" s="500">
        <v>0</v>
      </c>
      <c r="Q68" s="501">
        <v>0</v>
      </c>
      <c r="R68" s="197">
        <v>1</v>
      </c>
      <c r="S68" s="198">
        <f t="shared" si="56"/>
        <v>0</v>
      </c>
      <c r="T68" s="503">
        <f t="shared" si="57"/>
        <v>0</v>
      </c>
    </row>
    <row r="69" spans="1:20" ht="15.6" outlineLevel="1">
      <c r="A69" s="269"/>
      <c r="B69" s="194"/>
      <c r="C69" s="555"/>
      <c r="D69" s="500"/>
      <c r="E69" s="501"/>
      <c r="F69" s="197"/>
      <c r="G69" s="198"/>
      <c r="H69" s="500"/>
      <c r="I69" s="501"/>
      <c r="J69" s="197"/>
      <c r="K69" s="198"/>
      <c r="L69" s="500"/>
      <c r="M69" s="501"/>
      <c r="N69" s="197"/>
      <c r="O69" s="198"/>
      <c r="P69" s="500"/>
      <c r="Q69" s="501"/>
      <c r="R69" s="197"/>
      <c r="S69" s="198"/>
      <c r="T69" s="503"/>
    </row>
    <row r="70" spans="1:20" ht="18.3" outlineLevel="1">
      <c r="A70" s="261" t="s">
        <v>527</v>
      </c>
      <c r="B70" s="227"/>
      <c r="C70" s="556">
        <f>SUM(C65:C69)</f>
        <v>37142</v>
      </c>
      <c r="D70" s="504"/>
      <c r="E70" s="262"/>
      <c r="F70" s="505"/>
      <c r="G70" s="231">
        <f>SUM(G65:G69)</f>
        <v>80779.324999999997</v>
      </c>
      <c r="H70" s="504"/>
      <c r="I70" s="262"/>
      <c r="J70" s="263"/>
      <c r="K70" s="231">
        <f>SUM(K65:K69)</f>
        <v>0</v>
      </c>
      <c r="L70" s="504"/>
      <c r="M70" s="262"/>
      <c r="N70" s="505"/>
      <c r="O70" s="231">
        <f>SUM(O65:O69)</f>
        <v>0</v>
      </c>
      <c r="P70" s="504"/>
      <c r="Q70" s="262"/>
      <c r="R70" s="505"/>
      <c r="S70" s="231">
        <f>SUM(S65:S69)</f>
        <v>0</v>
      </c>
      <c r="T70" s="231">
        <f>SUM(T65:T69)</f>
        <v>117921.325</v>
      </c>
    </row>
    <row r="71" spans="1:20" ht="15.6" outlineLevel="1">
      <c r="A71" s="190" t="s">
        <v>528</v>
      </c>
      <c r="B71" s="273"/>
      <c r="C71" s="555"/>
      <c r="E71" s="265"/>
      <c r="G71" s="497"/>
      <c r="I71" s="265"/>
      <c r="K71" s="497"/>
      <c r="M71" s="265"/>
      <c r="O71" s="497"/>
      <c r="Q71" s="265"/>
      <c r="S71" s="497"/>
      <c r="T71" s="497"/>
    </row>
    <row r="72" spans="1:20" outlineLevel="1">
      <c r="A72" s="499" t="s">
        <v>458</v>
      </c>
      <c r="B72" s="216"/>
      <c r="C72" s="553">
        <v>0</v>
      </c>
      <c r="E72" s="515"/>
      <c r="F72" s="160"/>
      <c r="G72" s="198">
        <f t="shared" ref="G72" si="58">D72*E72*F72</f>
        <v>0</v>
      </c>
      <c r="I72" s="515"/>
      <c r="K72" s="198">
        <f t="shared" ref="K72" si="59">H72*I72*J72</f>
        <v>0</v>
      </c>
      <c r="M72" s="515"/>
      <c r="N72" s="160"/>
      <c r="O72" s="198">
        <f t="shared" ref="O72" si="60">L72*M72*N72</f>
        <v>0</v>
      </c>
      <c r="Q72" s="515"/>
      <c r="R72" s="160"/>
      <c r="S72" s="198">
        <f t="shared" ref="S72" si="61">P72*Q72*R72</f>
        <v>0</v>
      </c>
      <c r="T72" s="497">
        <f t="shared" ref="T72" si="62">C72+G72+K72+O72+S72</f>
        <v>0</v>
      </c>
    </row>
    <row r="73" spans="1:20" ht="18.3" outlineLevel="1">
      <c r="A73" s="261" t="s">
        <v>529</v>
      </c>
      <c r="B73" s="227"/>
      <c r="C73" s="556">
        <f>SUM(C72)</f>
        <v>0</v>
      </c>
      <c r="D73" s="504"/>
      <c r="E73" s="262"/>
      <c r="F73" s="505"/>
      <c r="G73" s="231">
        <f>SUM(G72:G72)</f>
        <v>0</v>
      </c>
      <c r="H73" s="504"/>
      <c r="I73" s="262"/>
      <c r="J73" s="263"/>
      <c r="K73" s="231">
        <f>SUM(K72:K72)</f>
        <v>0</v>
      </c>
      <c r="L73" s="504"/>
      <c r="M73" s="262"/>
      <c r="N73" s="505"/>
      <c r="O73" s="231">
        <f>SUM(O72:O72)</f>
        <v>0</v>
      </c>
      <c r="P73" s="504"/>
      <c r="Q73" s="262"/>
      <c r="R73" s="505"/>
      <c r="S73" s="231">
        <f>SUM(S72:S72)</f>
        <v>0</v>
      </c>
      <c r="T73" s="511">
        <f>+C73+G73+K73+O73+S73</f>
        <v>0</v>
      </c>
    </row>
    <row r="74" spans="1:20" ht="15.6" outlineLevel="1">
      <c r="A74" s="190" t="s">
        <v>33</v>
      </c>
      <c r="B74" s="216"/>
      <c r="C74" s="555"/>
      <c r="E74" s="265"/>
      <c r="F74" s="160"/>
      <c r="G74" s="198"/>
      <c r="I74" s="265"/>
      <c r="K74" s="198"/>
      <c r="M74" s="265"/>
      <c r="N74" s="160"/>
      <c r="O74" s="198"/>
      <c r="Q74" s="265"/>
      <c r="R74" s="160"/>
      <c r="S74" s="198"/>
      <c r="T74" s="497"/>
    </row>
    <row r="75" spans="1:20" outlineLevel="1">
      <c r="A75" s="499" t="s">
        <v>614</v>
      </c>
      <c r="B75" s="194" t="s">
        <v>95</v>
      </c>
      <c r="C75" s="553">
        <v>7523</v>
      </c>
      <c r="D75" s="195">
        <v>676.9</v>
      </c>
      <c r="E75" s="196">
        <v>12</v>
      </c>
      <c r="F75" s="565">
        <v>1</v>
      </c>
      <c r="G75" s="198">
        <f t="shared" ref="G75:G77" si="63">D75*E75*F75</f>
        <v>8122.7999999999993</v>
      </c>
      <c r="H75" s="500">
        <v>365.77</v>
      </c>
      <c r="I75" s="583">
        <v>10</v>
      </c>
      <c r="J75" s="197">
        <v>1</v>
      </c>
      <c r="K75" s="198">
        <f t="shared" ref="K75:K77" si="64">H75*I75*J75</f>
        <v>3657.7</v>
      </c>
      <c r="L75" s="500">
        <f>H75*(1+$L$2)</f>
        <v>395.03160000000003</v>
      </c>
      <c r="M75" s="583">
        <v>0</v>
      </c>
      <c r="N75" s="197">
        <v>1</v>
      </c>
      <c r="O75" s="198">
        <f t="shared" ref="O75:O77" si="65">L75*M75*N75</f>
        <v>0</v>
      </c>
      <c r="P75" s="500">
        <v>0</v>
      </c>
      <c r="Q75" s="501">
        <v>0</v>
      </c>
      <c r="R75" s="197">
        <v>1</v>
      </c>
      <c r="S75" s="198">
        <f t="shared" ref="S75:S77" si="66">P75*Q75*R75</f>
        <v>0</v>
      </c>
      <c r="T75" s="503">
        <f t="shared" ref="T75:T77" si="67">C75+G75+K75+O75+S75</f>
        <v>19303.5</v>
      </c>
    </row>
    <row r="76" spans="1:20" ht="15" customHeight="1">
      <c r="A76" s="499" t="s">
        <v>615</v>
      </c>
      <c r="B76" s="194" t="s">
        <v>95</v>
      </c>
      <c r="C76" s="553">
        <v>1647</v>
      </c>
      <c r="D76" s="195">
        <v>90.750000000000014</v>
      </c>
      <c r="E76" s="196">
        <v>12</v>
      </c>
      <c r="F76" s="565">
        <v>1</v>
      </c>
      <c r="G76" s="198">
        <f t="shared" si="63"/>
        <v>1089.0000000000002</v>
      </c>
      <c r="H76" s="500">
        <v>73.08</v>
      </c>
      <c r="I76" s="583">
        <v>10</v>
      </c>
      <c r="J76" s="197">
        <v>1</v>
      </c>
      <c r="K76" s="198">
        <f t="shared" si="64"/>
        <v>730.8</v>
      </c>
      <c r="L76" s="517">
        <f>+H76*(1+$L$2)</f>
        <v>78.926400000000001</v>
      </c>
      <c r="M76" s="583">
        <v>0</v>
      </c>
      <c r="N76" s="197">
        <v>1</v>
      </c>
      <c r="O76" s="198">
        <f t="shared" si="65"/>
        <v>0</v>
      </c>
      <c r="P76" s="500">
        <v>0</v>
      </c>
      <c r="Q76" s="501">
        <v>0</v>
      </c>
      <c r="R76" s="197">
        <v>1</v>
      </c>
      <c r="S76" s="198">
        <f t="shared" si="66"/>
        <v>0</v>
      </c>
      <c r="T76" s="503">
        <f t="shared" si="67"/>
        <v>3466.8</v>
      </c>
    </row>
    <row r="77" spans="1:20" ht="15" customHeight="1">
      <c r="A77" s="499" t="s">
        <v>616</v>
      </c>
      <c r="B77" s="194" t="s">
        <v>95</v>
      </c>
      <c r="C77" s="553">
        <v>1680</v>
      </c>
      <c r="D77" s="195">
        <v>76.11</v>
      </c>
      <c r="E77" s="196">
        <v>12</v>
      </c>
      <c r="F77" s="565">
        <v>1</v>
      </c>
      <c r="G77" s="198">
        <f t="shared" si="63"/>
        <v>913.31999999999994</v>
      </c>
      <c r="H77" s="500">
        <v>31.38</v>
      </c>
      <c r="I77" s="583">
        <v>10</v>
      </c>
      <c r="J77" s="197">
        <v>1</v>
      </c>
      <c r="K77" s="198">
        <f t="shared" si="64"/>
        <v>313.8</v>
      </c>
      <c r="L77" s="517">
        <f t="shared" ref="L77" si="68">+H77*(1+$L$2)</f>
        <v>33.8904</v>
      </c>
      <c r="M77" s="583">
        <v>0</v>
      </c>
      <c r="N77" s="197">
        <v>1</v>
      </c>
      <c r="O77" s="198">
        <f t="shared" si="65"/>
        <v>0</v>
      </c>
      <c r="P77" s="500">
        <v>0</v>
      </c>
      <c r="Q77" s="501">
        <v>0</v>
      </c>
      <c r="R77" s="197">
        <v>1</v>
      </c>
      <c r="S77" s="198">
        <f t="shared" si="66"/>
        <v>0</v>
      </c>
      <c r="T77" s="503">
        <f t="shared" si="67"/>
        <v>2907.12</v>
      </c>
    </row>
    <row r="78" spans="1:20" ht="15.6" outlineLevel="1">
      <c r="A78" s="269"/>
      <c r="B78" s="194"/>
      <c r="C78" s="555"/>
      <c r="D78" s="500"/>
      <c r="E78" s="501"/>
      <c r="F78" s="197"/>
      <c r="G78" s="198"/>
      <c r="H78" s="500"/>
      <c r="I78" s="501"/>
      <c r="J78" s="197"/>
      <c r="K78" s="198"/>
      <c r="L78" s="500"/>
      <c r="M78" s="501"/>
      <c r="N78" s="197"/>
      <c r="O78" s="198"/>
      <c r="P78" s="500"/>
      <c r="Q78" s="501"/>
      <c r="R78" s="197"/>
      <c r="S78" s="198"/>
      <c r="T78" s="503"/>
    </row>
    <row r="79" spans="1:20" ht="18.3" outlineLevel="1">
      <c r="A79" s="261" t="s">
        <v>530</v>
      </c>
      <c r="B79" s="227"/>
      <c r="C79" s="556">
        <f>SUM(C75:C78)</f>
        <v>10850</v>
      </c>
      <c r="D79" s="504"/>
      <c r="E79" s="262"/>
      <c r="F79" s="505"/>
      <c r="G79" s="231">
        <f>SUM(G74:G78)</f>
        <v>10125.119999999999</v>
      </c>
      <c r="H79" s="504"/>
      <c r="I79" s="262"/>
      <c r="J79" s="263"/>
      <c r="K79" s="231">
        <f>SUM(K74:K78)</f>
        <v>4702.3</v>
      </c>
      <c r="L79" s="504"/>
      <c r="M79" s="262"/>
      <c r="N79" s="505"/>
      <c r="O79" s="231">
        <f>SUM(O74:O78)</f>
        <v>0</v>
      </c>
      <c r="P79" s="504"/>
      <c r="Q79" s="262"/>
      <c r="R79" s="505"/>
      <c r="S79" s="231">
        <f>SUM(S74:S78)</f>
        <v>0</v>
      </c>
      <c r="T79" s="231">
        <f>SUM(T74:T78)</f>
        <v>25677.42</v>
      </c>
    </row>
    <row r="80" spans="1:20" ht="15.6" outlineLevel="1">
      <c r="A80" s="190" t="s">
        <v>34</v>
      </c>
      <c r="B80" s="264"/>
      <c r="C80" s="555"/>
      <c r="E80" s="265"/>
      <c r="F80" s="513"/>
      <c r="G80" s="514"/>
      <c r="I80" s="265"/>
      <c r="J80" s="266"/>
      <c r="K80" s="514"/>
      <c r="M80" s="265"/>
      <c r="N80" s="513"/>
      <c r="O80" s="514"/>
      <c r="Q80" s="265"/>
      <c r="R80" s="513"/>
      <c r="S80" s="514"/>
      <c r="T80" s="497"/>
    </row>
    <row r="81" spans="1:20" outlineLevel="1">
      <c r="A81" s="499" t="s">
        <v>196</v>
      </c>
      <c r="B81" s="194" t="s">
        <v>163</v>
      </c>
      <c r="C81" s="553">
        <v>2119</v>
      </c>
      <c r="D81" s="500">
        <v>0</v>
      </c>
      <c r="E81" s="501">
        <v>0</v>
      </c>
      <c r="F81" s="197">
        <v>1</v>
      </c>
      <c r="G81" s="198">
        <f t="shared" ref="G81" si="69">D81*E81*F81</f>
        <v>0</v>
      </c>
      <c r="H81" s="500">
        <v>0</v>
      </c>
      <c r="I81" s="501">
        <v>0</v>
      </c>
      <c r="J81" s="197">
        <v>1</v>
      </c>
      <c r="K81" s="198">
        <f t="shared" ref="K81:K83" si="70">H81*I81*J81</f>
        <v>0</v>
      </c>
      <c r="L81" s="500">
        <f t="shared" ref="L81" si="71">H81</f>
        <v>0</v>
      </c>
      <c r="M81" s="501">
        <v>0</v>
      </c>
      <c r="N81" s="197">
        <v>1</v>
      </c>
      <c r="O81" s="198">
        <f t="shared" ref="O81:O83" si="72">L81*M81*N81</f>
        <v>0</v>
      </c>
      <c r="P81" s="500">
        <v>0</v>
      </c>
      <c r="Q81" s="501">
        <v>0</v>
      </c>
      <c r="R81" s="197">
        <v>1</v>
      </c>
      <c r="S81" s="198">
        <f t="shared" ref="S81:S83" si="73">P81*Q81*R81</f>
        <v>0</v>
      </c>
      <c r="T81" s="503">
        <f t="shared" ref="T81:T83" si="74">C81+G81+K81+O81+S81</f>
        <v>2119</v>
      </c>
    </row>
    <row r="82" spans="1:20" ht="15" customHeight="1">
      <c r="A82" s="499" t="s">
        <v>617</v>
      </c>
      <c r="B82" s="194" t="s">
        <v>618</v>
      </c>
      <c r="C82" s="553">
        <v>2053</v>
      </c>
      <c r="D82" s="195">
        <v>25.93</v>
      </c>
      <c r="E82" s="196">
        <v>10</v>
      </c>
      <c r="F82" s="565">
        <v>1</v>
      </c>
      <c r="G82" s="198">
        <f t="shared" ref="G82:G83" si="75">D82*E82*F82</f>
        <v>259.3</v>
      </c>
      <c r="H82" s="500">
        <v>243.61</v>
      </c>
      <c r="I82" s="583">
        <v>10</v>
      </c>
      <c r="J82" s="197">
        <v>1</v>
      </c>
      <c r="K82" s="198">
        <f t="shared" si="70"/>
        <v>2436.1000000000004</v>
      </c>
      <c r="L82" s="517">
        <f t="shared" ref="L82:L83" si="76">+H82*(1+$L$2)</f>
        <v>263.09880000000004</v>
      </c>
      <c r="M82" s="583">
        <v>0</v>
      </c>
      <c r="N82" s="197">
        <v>1</v>
      </c>
      <c r="O82" s="198">
        <f t="shared" si="72"/>
        <v>0</v>
      </c>
      <c r="P82" s="500">
        <v>0</v>
      </c>
      <c r="Q82" s="501">
        <v>0</v>
      </c>
      <c r="R82" s="197">
        <v>1</v>
      </c>
      <c r="S82" s="198">
        <f t="shared" si="73"/>
        <v>0</v>
      </c>
      <c r="T82" s="503">
        <f t="shared" si="74"/>
        <v>4748.4000000000005</v>
      </c>
    </row>
    <row r="83" spans="1:20" ht="15" customHeight="1">
      <c r="A83" s="499" t="s">
        <v>619</v>
      </c>
      <c r="B83" s="194" t="s">
        <v>95</v>
      </c>
      <c r="C83" s="553">
        <v>1680</v>
      </c>
      <c r="D83" s="195">
        <v>43.91</v>
      </c>
      <c r="E83" s="196">
        <v>12</v>
      </c>
      <c r="F83" s="565">
        <v>1</v>
      </c>
      <c r="G83" s="198">
        <f t="shared" si="75"/>
        <v>526.91999999999996</v>
      </c>
      <c r="H83" s="500">
        <v>119.71</v>
      </c>
      <c r="I83" s="583">
        <v>10</v>
      </c>
      <c r="J83" s="197">
        <v>1</v>
      </c>
      <c r="K83" s="198">
        <f t="shared" si="70"/>
        <v>1197.0999999999999</v>
      </c>
      <c r="L83" s="517">
        <f t="shared" si="76"/>
        <v>129.2868</v>
      </c>
      <c r="M83" s="583">
        <v>0</v>
      </c>
      <c r="N83" s="197">
        <v>1</v>
      </c>
      <c r="O83" s="198">
        <f t="shared" si="72"/>
        <v>0</v>
      </c>
      <c r="P83" s="500">
        <v>0</v>
      </c>
      <c r="Q83" s="501">
        <v>0</v>
      </c>
      <c r="R83" s="197">
        <v>1</v>
      </c>
      <c r="S83" s="198">
        <f t="shared" si="73"/>
        <v>0</v>
      </c>
      <c r="T83" s="503">
        <f t="shared" si="74"/>
        <v>3404.02</v>
      </c>
    </row>
    <row r="84" spans="1:20" outlineLevel="1">
      <c r="A84" s="499"/>
      <c r="B84" s="216"/>
      <c r="C84" s="555"/>
      <c r="E84" s="515"/>
      <c r="F84" s="160"/>
      <c r="G84" s="198"/>
      <c r="I84" s="515"/>
      <c r="K84" s="198"/>
      <c r="M84" s="515"/>
      <c r="N84" s="160"/>
      <c r="O84" s="198"/>
      <c r="Q84" s="515"/>
      <c r="R84" s="160"/>
      <c r="S84" s="198"/>
      <c r="T84" s="497"/>
    </row>
    <row r="85" spans="1:20" ht="18.3" outlineLevel="1">
      <c r="A85" s="261" t="s">
        <v>531</v>
      </c>
      <c r="B85" s="227"/>
      <c r="C85" s="556">
        <f>SUM(C81:C84)</f>
        <v>5852</v>
      </c>
      <c r="D85" s="504"/>
      <c r="E85" s="262"/>
      <c r="F85" s="505"/>
      <c r="G85" s="231">
        <f>SUM(G81:G84)</f>
        <v>786.22</v>
      </c>
      <c r="H85" s="504"/>
      <c r="I85" s="262"/>
      <c r="J85" s="263"/>
      <c r="K85" s="231">
        <f>SUM(K81:K84)</f>
        <v>3633.2000000000003</v>
      </c>
      <c r="L85" s="504"/>
      <c r="M85" s="262"/>
      <c r="N85" s="505"/>
      <c r="O85" s="231">
        <f>SUM(O81:O84)</f>
        <v>0</v>
      </c>
      <c r="P85" s="504"/>
      <c r="Q85" s="262"/>
      <c r="R85" s="505"/>
      <c r="S85" s="231">
        <f>SUM(S81:S84)</f>
        <v>0</v>
      </c>
      <c r="T85" s="231">
        <f>SUM(T81:T84)</f>
        <v>10271.42</v>
      </c>
    </row>
    <row r="86" spans="1:20" ht="15.6" outlineLevel="1">
      <c r="A86" s="276" t="s">
        <v>532</v>
      </c>
      <c r="B86" s="216"/>
      <c r="C86" s="555"/>
      <c r="D86" s="516"/>
      <c r="E86" s="278"/>
      <c r="G86" s="514"/>
      <c r="H86" s="516"/>
      <c r="I86" s="278"/>
      <c r="K86" s="514"/>
      <c r="L86" s="516"/>
      <c r="M86" s="278"/>
      <c r="O86" s="514"/>
      <c r="P86" s="516"/>
      <c r="Q86" s="278"/>
      <c r="S86" s="514"/>
      <c r="T86" s="497"/>
    </row>
    <row r="87" spans="1:20" ht="15.6" outlineLevel="1">
      <c r="A87" s="190" t="s">
        <v>568</v>
      </c>
      <c r="B87" s="216"/>
      <c r="C87" s="555"/>
      <c r="D87" s="516"/>
      <c r="E87" s="278"/>
      <c r="F87" s="160"/>
      <c r="G87" s="198"/>
      <c r="H87" s="516"/>
      <c r="I87" s="278"/>
      <c r="K87" s="198"/>
      <c r="L87" s="517"/>
      <c r="M87" s="518"/>
      <c r="N87" s="160"/>
      <c r="O87" s="198"/>
      <c r="P87" s="516"/>
      <c r="Q87" s="278"/>
      <c r="R87" s="160"/>
      <c r="S87" s="198"/>
      <c r="T87" s="497"/>
    </row>
    <row r="88" spans="1:20" outlineLevel="1">
      <c r="A88" s="499" t="s">
        <v>620</v>
      </c>
      <c r="B88" s="239" t="s">
        <v>621</v>
      </c>
      <c r="C88" s="553">
        <v>15172</v>
      </c>
      <c r="D88" s="195">
        <v>11.25</v>
      </c>
      <c r="E88" s="518">
        <v>1480</v>
      </c>
      <c r="F88" s="565">
        <v>1</v>
      </c>
      <c r="G88" s="198">
        <f t="shared" ref="G88" si="77">D88*E88*F88</f>
        <v>16650</v>
      </c>
      <c r="H88" s="500">
        <v>14.13</v>
      </c>
      <c r="I88" s="584">
        <v>400</v>
      </c>
      <c r="J88" s="197">
        <v>1</v>
      </c>
      <c r="K88" s="198">
        <f t="shared" ref="K88:K93" si="78">H88*I88*J88</f>
        <v>5652</v>
      </c>
      <c r="L88" s="517">
        <f>+H88*(1+$L$2)</f>
        <v>15.260400000000002</v>
      </c>
      <c r="M88" s="583">
        <v>0</v>
      </c>
      <c r="N88" s="197">
        <v>1</v>
      </c>
      <c r="O88" s="198">
        <f t="shared" ref="O88:O99" si="79">L88*M88*N88</f>
        <v>0</v>
      </c>
      <c r="P88" s="500">
        <v>0</v>
      </c>
      <c r="Q88" s="501">
        <v>0</v>
      </c>
      <c r="R88" s="197">
        <v>1</v>
      </c>
      <c r="S88" s="198">
        <f t="shared" ref="S88:S99" si="80">P88*Q88*R88</f>
        <v>0</v>
      </c>
      <c r="T88" s="503">
        <f t="shared" ref="T88:T99" si="81">C88+G88+K88+O88+S88</f>
        <v>37474</v>
      </c>
    </row>
    <row r="89" spans="1:20" ht="28.2" outlineLevel="1">
      <c r="A89" s="499" t="s">
        <v>622</v>
      </c>
      <c r="B89" s="239" t="s">
        <v>621</v>
      </c>
      <c r="C89" s="553">
        <v>5363</v>
      </c>
      <c r="D89" s="195">
        <v>1.075</v>
      </c>
      <c r="E89" s="518">
        <v>1480</v>
      </c>
      <c r="F89" s="565">
        <v>1</v>
      </c>
      <c r="G89" s="198">
        <f t="shared" ref="G89:G99" si="82">D89*E89*F89</f>
        <v>1591</v>
      </c>
      <c r="H89" s="500">
        <v>1.1000000000000001</v>
      </c>
      <c r="I89" s="585">
        <v>400</v>
      </c>
      <c r="J89" s="197">
        <v>1</v>
      </c>
      <c r="K89" s="198">
        <f t="shared" si="78"/>
        <v>440.00000000000006</v>
      </c>
      <c r="L89" s="517">
        <f>+H89*(1+$L$2)</f>
        <v>1.1880000000000002</v>
      </c>
      <c r="M89" s="583">
        <v>0</v>
      </c>
      <c r="N89" s="197">
        <v>1</v>
      </c>
      <c r="O89" s="198">
        <f t="shared" si="79"/>
        <v>0</v>
      </c>
      <c r="P89" s="500">
        <v>0</v>
      </c>
      <c r="Q89" s="501">
        <v>0</v>
      </c>
      <c r="R89" s="197">
        <v>1</v>
      </c>
      <c r="S89" s="198">
        <f t="shared" si="80"/>
        <v>0</v>
      </c>
      <c r="T89" s="503">
        <f t="shared" si="81"/>
        <v>7394</v>
      </c>
    </row>
    <row r="90" spans="1:20" outlineLevel="1">
      <c r="A90" s="499" t="s">
        <v>623</v>
      </c>
      <c r="B90" s="239" t="s">
        <v>163</v>
      </c>
      <c r="C90" s="553">
        <v>0</v>
      </c>
      <c r="D90" s="195">
        <v>0</v>
      </c>
      <c r="E90" s="518">
        <v>1</v>
      </c>
      <c r="F90" s="565">
        <v>0</v>
      </c>
      <c r="G90" s="198">
        <f t="shared" si="82"/>
        <v>0</v>
      </c>
      <c r="H90" s="500">
        <v>146163.22</v>
      </c>
      <c r="I90" s="518">
        <v>1</v>
      </c>
      <c r="J90" s="197">
        <v>0</v>
      </c>
      <c r="K90" s="198">
        <f t="shared" si="78"/>
        <v>0</v>
      </c>
      <c r="L90" s="517">
        <v>0</v>
      </c>
      <c r="M90" s="583">
        <v>0</v>
      </c>
      <c r="N90" s="197">
        <v>0</v>
      </c>
      <c r="O90" s="198">
        <f t="shared" si="79"/>
        <v>0</v>
      </c>
      <c r="P90" s="500">
        <v>0</v>
      </c>
      <c r="Q90" s="501">
        <v>0</v>
      </c>
      <c r="R90" s="197">
        <v>1</v>
      </c>
      <c r="S90" s="198">
        <f t="shared" si="80"/>
        <v>0</v>
      </c>
      <c r="T90" s="503">
        <f t="shared" si="81"/>
        <v>0</v>
      </c>
    </row>
    <row r="91" spans="1:20" ht="28.2" outlineLevel="1">
      <c r="A91" s="499" t="s">
        <v>624</v>
      </c>
      <c r="B91" s="239" t="s">
        <v>625</v>
      </c>
      <c r="C91" s="553">
        <v>0</v>
      </c>
      <c r="D91" s="195">
        <v>0</v>
      </c>
      <c r="E91" s="518">
        <v>134</v>
      </c>
      <c r="F91" s="565">
        <v>0</v>
      </c>
      <c r="G91" s="198">
        <f t="shared" si="82"/>
        <v>0</v>
      </c>
      <c r="H91" s="500">
        <v>487.21</v>
      </c>
      <c r="I91" s="518">
        <v>134</v>
      </c>
      <c r="J91" s="197">
        <v>0</v>
      </c>
      <c r="K91" s="198">
        <f t="shared" si="78"/>
        <v>0</v>
      </c>
      <c r="L91" s="517">
        <f>+H91*(1+$L$2)</f>
        <v>526.18680000000006</v>
      </c>
      <c r="M91" s="583">
        <v>0</v>
      </c>
      <c r="N91" s="197">
        <v>0</v>
      </c>
      <c r="O91" s="198">
        <f t="shared" si="79"/>
        <v>0</v>
      </c>
      <c r="P91" s="500">
        <v>0</v>
      </c>
      <c r="Q91" s="501">
        <v>0</v>
      </c>
      <c r="R91" s="197">
        <v>1</v>
      </c>
      <c r="S91" s="198">
        <f t="shared" si="80"/>
        <v>0</v>
      </c>
      <c r="T91" s="503">
        <f t="shared" si="81"/>
        <v>0</v>
      </c>
    </row>
    <row r="92" spans="1:20" outlineLevel="1">
      <c r="A92" s="499" t="s">
        <v>626</v>
      </c>
      <c r="B92" s="239" t="s">
        <v>144</v>
      </c>
      <c r="C92" s="553">
        <v>0</v>
      </c>
      <c r="D92" s="195">
        <v>7</v>
      </c>
      <c r="E92" s="518">
        <v>500</v>
      </c>
      <c r="F92" s="565">
        <v>1</v>
      </c>
      <c r="G92" s="198">
        <f t="shared" si="82"/>
        <v>3500</v>
      </c>
      <c r="H92" s="500">
        <v>7.31</v>
      </c>
      <c r="I92" s="518">
        <v>40</v>
      </c>
      <c r="J92" s="197">
        <v>1</v>
      </c>
      <c r="K92" s="198">
        <f t="shared" si="78"/>
        <v>292.39999999999998</v>
      </c>
      <c r="L92" s="517">
        <f t="shared" ref="L92:L99" si="83">+H92*(1+$L$2)</f>
        <v>7.8948</v>
      </c>
      <c r="M92" s="583">
        <v>0</v>
      </c>
      <c r="N92" s="197">
        <v>1</v>
      </c>
      <c r="O92" s="198">
        <f t="shared" si="79"/>
        <v>0</v>
      </c>
      <c r="P92" s="500">
        <v>0</v>
      </c>
      <c r="Q92" s="501">
        <v>0</v>
      </c>
      <c r="R92" s="197">
        <v>1</v>
      </c>
      <c r="S92" s="198">
        <f t="shared" si="80"/>
        <v>0</v>
      </c>
      <c r="T92" s="503">
        <f t="shared" si="81"/>
        <v>3792.4</v>
      </c>
    </row>
    <row r="93" spans="1:20" outlineLevel="1">
      <c r="A93" s="499" t="s">
        <v>627</v>
      </c>
      <c r="B93" s="239" t="s">
        <v>607</v>
      </c>
      <c r="C93" s="553">
        <v>0</v>
      </c>
      <c r="D93" s="195">
        <v>8.75</v>
      </c>
      <c r="E93" s="518">
        <v>500</v>
      </c>
      <c r="F93" s="565">
        <v>1</v>
      </c>
      <c r="G93" s="198">
        <f t="shared" si="82"/>
        <v>4375</v>
      </c>
      <c r="H93" s="500">
        <v>9.74</v>
      </c>
      <c r="I93" s="518">
        <v>80</v>
      </c>
      <c r="J93" s="197">
        <v>1</v>
      </c>
      <c r="K93" s="198">
        <f t="shared" si="78"/>
        <v>779.2</v>
      </c>
      <c r="L93" s="517">
        <f t="shared" si="83"/>
        <v>10.519200000000001</v>
      </c>
      <c r="M93" s="583">
        <v>0</v>
      </c>
      <c r="N93" s="197">
        <v>1</v>
      </c>
      <c r="O93" s="198">
        <f t="shared" si="79"/>
        <v>0</v>
      </c>
      <c r="P93" s="500">
        <v>0</v>
      </c>
      <c r="Q93" s="501">
        <v>0</v>
      </c>
      <c r="R93" s="197">
        <v>1</v>
      </c>
      <c r="S93" s="198">
        <f t="shared" si="80"/>
        <v>0</v>
      </c>
      <c r="T93" s="503">
        <f t="shared" si="81"/>
        <v>5154.2</v>
      </c>
    </row>
    <row r="94" spans="1:20" outlineLevel="1">
      <c r="A94" s="582" t="s">
        <v>628</v>
      </c>
      <c r="B94" s="239" t="s">
        <v>629</v>
      </c>
      <c r="C94" s="553">
        <v>0</v>
      </c>
      <c r="D94" s="195">
        <v>325</v>
      </c>
      <c r="E94" s="518">
        <v>30</v>
      </c>
      <c r="F94" s="565">
        <v>1</v>
      </c>
      <c r="G94" s="198">
        <f t="shared" si="82"/>
        <v>9750</v>
      </c>
      <c r="H94" s="500">
        <v>365.41</v>
      </c>
      <c r="I94" s="518">
        <v>0</v>
      </c>
      <c r="J94" s="197">
        <v>1</v>
      </c>
      <c r="K94" s="198">
        <f>H94*I94*J94</f>
        <v>0</v>
      </c>
      <c r="L94" s="517">
        <f t="shared" si="83"/>
        <v>394.64280000000008</v>
      </c>
      <c r="M94" s="583">
        <v>0</v>
      </c>
      <c r="N94" s="197">
        <v>1</v>
      </c>
      <c r="O94" s="198">
        <f t="shared" si="79"/>
        <v>0</v>
      </c>
      <c r="P94" s="500">
        <v>0</v>
      </c>
      <c r="Q94" s="501">
        <v>0</v>
      </c>
      <c r="R94" s="197">
        <v>1</v>
      </c>
      <c r="S94" s="198">
        <f t="shared" si="80"/>
        <v>0</v>
      </c>
      <c r="T94" s="503">
        <f t="shared" si="81"/>
        <v>9750</v>
      </c>
    </row>
    <row r="95" spans="1:20" outlineLevel="1">
      <c r="A95" s="499" t="s">
        <v>630</v>
      </c>
      <c r="B95" s="239" t="s">
        <v>607</v>
      </c>
      <c r="C95" s="553">
        <v>0</v>
      </c>
      <c r="D95" s="195">
        <v>0</v>
      </c>
      <c r="E95" s="586">
        <v>25</v>
      </c>
      <c r="F95" s="565">
        <v>1</v>
      </c>
      <c r="G95" s="198">
        <f t="shared" si="82"/>
        <v>0</v>
      </c>
      <c r="H95" s="500">
        <v>48.72</v>
      </c>
      <c r="I95" s="584">
        <v>20</v>
      </c>
      <c r="J95" s="197">
        <v>1</v>
      </c>
      <c r="K95" s="198">
        <f t="shared" ref="K95:K99" si="84">H95*I95*J95</f>
        <v>974.4</v>
      </c>
      <c r="L95" s="517">
        <f t="shared" si="83"/>
        <v>52.617600000000003</v>
      </c>
      <c r="M95" s="583">
        <v>0</v>
      </c>
      <c r="N95" s="197">
        <v>1</v>
      </c>
      <c r="O95" s="198">
        <f t="shared" si="79"/>
        <v>0</v>
      </c>
      <c r="P95" s="500">
        <v>0</v>
      </c>
      <c r="Q95" s="501">
        <v>0</v>
      </c>
      <c r="R95" s="197">
        <v>1</v>
      </c>
      <c r="S95" s="198">
        <f t="shared" si="80"/>
        <v>0</v>
      </c>
      <c r="T95" s="503">
        <f t="shared" si="81"/>
        <v>974.4</v>
      </c>
    </row>
    <row r="96" spans="1:20" outlineLevel="1">
      <c r="A96" s="582" t="s">
        <v>631</v>
      </c>
      <c r="B96" s="239" t="s">
        <v>144</v>
      </c>
      <c r="C96" s="553">
        <v>0</v>
      </c>
      <c r="D96" s="195">
        <v>0</v>
      </c>
      <c r="E96" s="586">
        <v>25</v>
      </c>
      <c r="F96" s="565">
        <v>1</v>
      </c>
      <c r="G96" s="198">
        <f t="shared" si="82"/>
        <v>0</v>
      </c>
      <c r="H96" s="500">
        <v>414.13</v>
      </c>
      <c r="I96" s="518">
        <v>0</v>
      </c>
      <c r="J96" s="197">
        <v>1</v>
      </c>
      <c r="K96" s="198">
        <f t="shared" si="84"/>
        <v>0</v>
      </c>
      <c r="L96" s="517">
        <f t="shared" si="83"/>
        <v>447.2604</v>
      </c>
      <c r="M96" s="583">
        <v>0</v>
      </c>
      <c r="N96" s="197">
        <v>1</v>
      </c>
      <c r="O96" s="198">
        <f t="shared" si="79"/>
        <v>0</v>
      </c>
      <c r="P96" s="500">
        <v>0</v>
      </c>
      <c r="Q96" s="501">
        <v>0</v>
      </c>
      <c r="R96" s="197">
        <v>1</v>
      </c>
      <c r="S96" s="198">
        <f t="shared" si="80"/>
        <v>0</v>
      </c>
      <c r="T96" s="503">
        <f t="shared" si="81"/>
        <v>0</v>
      </c>
    </row>
    <row r="97" spans="1:20" outlineLevel="1">
      <c r="A97" s="499" t="s">
        <v>632</v>
      </c>
      <c r="B97" s="239" t="s">
        <v>629</v>
      </c>
      <c r="C97" s="553">
        <v>0</v>
      </c>
      <c r="D97" s="195">
        <v>0</v>
      </c>
      <c r="E97" s="586">
        <v>25</v>
      </c>
      <c r="F97" s="565">
        <v>1</v>
      </c>
      <c r="G97" s="198">
        <f t="shared" si="82"/>
        <v>0</v>
      </c>
      <c r="H97" s="500">
        <v>85.26</v>
      </c>
      <c r="I97" s="584">
        <v>20</v>
      </c>
      <c r="J97" s="197">
        <v>1</v>
      </c>
      <c r="K97" s="198">
        <f t="shared" si="84"/>
        <v>1705.2</v>
      </c>
      <c r="L97" s="517">
        <f t="shared" si="83"/>
        <v>92.080800000000011</v>
      </c>
      <c r="M97" s="583">
        <v>0</v>
      </c>
      <c r="N97" s="197">
        <v>1</v>
      </c>
      <c r="O97" s="198">
        <f t="shared" si="79"/>
        <v>0</v>
      </c>
      <c r="P97" s="500">
        <v>0</v>
      </c>
      <c r="Q97" s="501">
        <v>0</v>
      </c>
      <c r="R97" s="197">
        <v>1</v>
      </c>
      <c r="S97" s="198">
        <f t="shared" si="80"/>
        <v>0</v>
      </c>
      <c r="T97" s="503">
        <f t="shared" si="81"/>
        <v>1705.2</v>
      </c>
    </row>
    <row r="98" spans="1:20" outlineLevel="1">
      <c r="A98" s="499" t="s">
        <v>633</v>
      </c>
      <c r="B98" s="239" t="s">
        <v>246</v>
      </c>
      <c r="C98" s="553">
        <v>0</v>
      </c>
      <c r="D98" s="195">
        <v>0</v>
      </c>
      <c r="E98" s="586">
        <v>25</v>
      </c>
      <c r="F98" s="565">
        <v>1</v>
      </c>
      <c r="G98" s="198">
        <f t="shared" si="82"/>
        <v>0</v>
      </c>
      <c r="H98" s="500">
        <v>24.36</v>
      </c>
      <c r="I98" s="584">
        <v>20</v>
      </c>
      <c r="J98" s="197">
        <v>1</v>
      </c>
      <c r="K98" s="198">
        <f t="shared" si="84"/>
        <v>487.2</v>
      </c>
      <c r="L98" s="517">
        <f t="shared" si="83"/>
        <v>26.308800000000002</v>
      </c>
      <c r="M98" s="583">
        <v>0</v>
      </c>
      <c r="N98" s="197">
        <v>1</v>
      </c>
      <c r="O98" s="198">
        <f t="shared" si="79"/>
        <v>0</v>
      </c>
      <c r="P98" s="500">
        <v>0</v>
      </c>
      <c r="Q98" s="501">
        <v>0</v>
      </c>
      <c r="R98" s="197">
        <v>1</v>
      </c>
      <c r="S98" s="198">
        <f t="shared" si="80"/>
        <v>0</v>
      </c>
      <c r="T98" s="503">
        <f t="shared" si="81"/>
        <v>487.2</v>
      </c>
    </row>
    <row r="99" spans="1:20" outlineLevel="1">
      <c r="A99" s="499" t="s">
        <v>634</v>
      </c>
      <c r="B99" s="239" t="s">
        <v>246</v>
      </c>
      <c r="C99" s="553">
        <v>0</v>
      </c>
      <c r="D99" s="195">
        <v>0</v>
      </c>
      <c r="E99" s="586">
        <v>25</v>
      </c>
      <c r="F99" s="565">
        <v>1</v>
      </c>
      <c r="G99" s="198">
        <f t="shared" si="82"/>
        <v>0</v>
      </c>
      <c r="H99" s="500">
        <v>48.72</v>
      </c>
      <c r="I99" s="584">
        <v>20</v>
      </c>
      <c r="J99" s="197">
        <v>1</v>
      </c>
      <c r="K99" s="198">
        <f t="shared" si="84"/>
        <v>974.4</v>
      </c>
      <c r="L99" s="517">
        <f t="shared" si="83"/>
        <v>52.617600000000003</v>
      </c>
      <c r="M99" s="583">
        <v>0</v>
      </c>
      <c r="N99" s="197">
        <v>1</v>
      </c>
      <c r="O99" s="198">
        <f t="shared" si="79"/>
        <v>0</v>
      </c>
      <c r="P99" s="500">
        <v>0</v>
      </c>
      <c r="Q99" s="501">
        <v>0</v>
      </c>
      <c r="R99" s="197">
        <v>1</v>
      </c>
      <c r="S99" s="198">
        <f t="shared" si="80"/>
        <v>0</v>
      </c>
      <c r="T99" s="503">
        <f t="shared" si="81"/>
        <v>974.4</v>
      </c>
    </row>
    <row r="100" spans="1:20" ht="15.6" outlineLevel="1">
      <c r="A100" s="281"/>
      <c r="B100" s="241"/>
      <c r="C100" s="559"/>
      <c r="D100" s="519"/>
      <c r="E100" s="243"/>
      <c r="F100" s="244"/>
      <c r="G100" s="245"/>
      <c r="H100" s="519"/>
      <c r="I100" s="280"/>
      <c r="J100" s="244"/>
      <c r="K100" s="245"/>
      <c r="L100" s="519"/>
      <c r="M100" s="280"/>
      <c r="N100" s="244"/>
      <c r="O100" s="245"/>
      <c r="P100" s="520"/>
      <c r="Q100" s="280"/>
      <c r="R100" s="244"/>
      <c r="S100" s="245"/>
      <c r="T100" s="497"/>
    </row>
    <row r="101" spans="1:20" ht="18.3" outlineLevel="1">
      <c r="A101" s="282" t="s">
        <v>537</v>
      </c>
      <c r="B101" s="227"/>
      <c r="C101" s="558">
        <f>SUM(C88:C100)</f>
        <v>20535</v>
      </c>
      <c r="D101" s="509"/>
      <c r="E101" s="252"/>
      <c r="F101" s="510"/>
      <c r="G101" s="254">
        <f>SUM(G87:G99)</f>
        <v>35866</v>
      </c>
      <c r="H101" s="509"/>
      <c r="I101" s="252"/>
      <c r="J101" s="283"/>
      <c r="K101" s="254">
        <f>SUM(K87:K99)</f>
        <v>11304.8</v>
      </c>
      <c r="L101" s="509"/>
      <c r="M101" s="252"/>
      <c r="N101" s="510"/>
      <c r="O101" s="254">
        <f>SUM(O87:O99)</f>
        <v>0</v>
      </c>
      <c r="P101" s="509"/>
      <c r="Q101" s="252"/>
      <c r="R101" s="510"/>
      <c r="S101" s="254">
        <f>SUM(S87:S99)</f>
        <v>0</v>
      </c>
      <c r="T101" s="511">
        <f>+SUM(T88:T100)</f>
        <v>67705.799999999988</v>
      </c>
    </row>
    <row r="102" spans="1:20" ht="15.6" outlineLevel="1">
      <c r="A102" s="284"/>
      <c r="B102" s="239"/>
      <c r="C102" s="555"/>
      <c r="D102" s="516"/>
      <c r="E102" s="278"/>
      <c r="G102" s="497"/>
      <c r="H102" s="516"/>
      <c r="I102" s="278"/>
      <c r="K102" s="497"/>
      <c r="L102" s="516"/>
      <c r="M102" s="278"/>
      <c r="O102" s="497"/>
      <c r="P102" s="516"/>
      <c r="Q102" s="278"/>
      <c r="S102" s="497"/>
      <c r="T102" s="497"/>
    </row>
    <row r="103" spans="1:20" ht="18.3" outlineLevel="1">
      <c r="A103" s="285" t="s">
        <v>538</v>
      </c>
      <c r="B103" s="286"/>
      <c r="C103" s="560">
        <v>340495</v>
      </c>
      <c r="D103" s="521"/>
      <c r="E103" s="288"/>
      <c r="F103" s="522"/>
      <c r="G103" s="290">
        <f>G31+G56+G63+G79+G85+G70+G101</f>
        <v>419999.99996432295</v>
      </c>
      <c r="H103" s="521"/>
      <c r="I103" s="288"/>
      <c r="J103" s="289"/>
      <c r="K103" s="290">
        <f>K31+K56+K63+K79+K85+K70+K101</f>
        <v>193501.54411919997</v>
      </c>
      <c r="L103" s="521"/>
      <c r="M103" s="288"/>
      <c r="N103" s="522"/>
      <c r="O103" s="290">
        <f>O31+O56+O63+O79+O85+O70+O101</f>
        <v>0</v>
      </c>
      <c r="P103" s="521"/>
      <c r="Q103" s="288"/>
      <c r="R103" s="522"/>
      <c r="S103" s="290">
        <f>S31+S56+S63+S79+S85+S70+S101</f>
        <v>0</v>
      </c>
      <c r="T103" s="290">
        <f>T31+T56+T63+T79+T85+T70+T101</f>
        <v>953995.5440835231</v>
      </c>
    </row>
    <row r="104" spans="1:20">
      <c r="A104" s="329"/>
      <c r="B104" s="239"/>
      <c r="C104" s="555"/>
      <c r="D104" s="516"/>
      <c r="E104" s="278"/>
      <c r="G104" s="497"/>
      <c r="H104" s="516"/>
      <c r="I104" s="278"/>
      <c r="K104" s="497"/>
      <c r="L104" s="516"/>
      <c r="M104" s="278"/>
      <c r="O104" s="497"/>
      <c r="P104" s="516"/>
      <c r="Q104" s="278"/>
      <c r="S104" s="497"/>
      <c r="T104" s="497"/>
    </row>
    <row r="105" spans="1:20" ht="20.399999999999999">
      <c r="A105" s="292" t="s">
        <v>59</v>
      </c>
      <c r="B105" s="293"/>
      <c r="C105" s="561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3"/>
    </row>
    <row r="106" spans="1:20">
      <c r="A106" s="499" t="s">
        <v>59</v>
      </c>
      <c r="B106" s="523">
        <v>0.05</v>
      </c>
      <c r="C106" s="553">
        <v>17921.28</v>
      </c>
      <c r="D106" s="524"/>
      <c r="E106" s="525"/>
      <c r="F106" s="502"/>
      <c r="G106" s="198">
        <f>G103*B106</f>
        <v>20999.99999821615</v>
      </c>
      <c r="H106" s="535">
        <f>K103</f>
        <v>193501.54411919997</v>
      </c>
      <c r="I106" s="501">
        <v>1</v>
      </c>
      <c r="J106" s="299">
        <f>B106</f>
        <v>0.05</v>
      </c>
      <c r="K106" s="198">
        <f t="shared" ref="K106" si="85">H106*I106*J106</f>
        <v>9675.0772059599985</v>
      </c>
      <c r="L106" s="536">
        <f>O103</f>
        <v>0</v>
      </c>
      <c r="M106" s="501">
        <v>1</v>
      </c>
      <c r="N106" s="197">
        <f>B106</f>
        <v>0.05</v>
      </c>
      <c r="O106" s="198">
        <f>L106*M106*N106</f>
        <v>0</v>
      </c>
      <c r="P106" s="524"/>
      <c r="Q106" s="525"/>
      <c r="R106" s="502"/>
      <c r="S106" s="198"/>
      <c r="T106" s="503">
        <f t="shared" ref="T106" si="86">C106+G106+K106+O106+S106</f>
        <v>48596.357204176151</v>
      </c>
    </row>
    <row r="107" spans="1:20" ht="18.3">
      <c r="A107" s="285" t="s">
        <v>539</v>
      </c>
      <c r="B107" s="286"/>
      <c r="C107" s="560">
        <f>SUM(C106)</f>
        <v>17921.28</v>
      </c>
      <c r="D107" s="521"/>
      <c r="E107" s="288"/>
      <c r="F107" s="522"/>
      <c r="G107" s="290">
        <f>SUM(G106:G106)</f>
        <v>20999.99999821615</v>
      </c>
      <c r="H107" s="521"/>
      <c r="I107" s="288"/>
      <c r="J107" s="289"/>
      <c r="K107" s="290">
        <f>SUM(K106:K106)</f>
        <v>9675.0772059599985</v>
      </c>
      <c r="L107" s="521"/>
      <c r="M107" s="288"/>
      <c r="N107" s="522"/>
      <c r="O107" s="290">
        <f>SUM(O106:O106)</f>
        <v>0</v>
      </c>
      <c r="P107" s="521"/>
      <c r="Q107" s="288"/>
      <c r="R107" s="522"/>
      <c r="S107" s="290">
        <f>SUM(S106:S106)</f>
        <v>0</v>
      </c>
      <c r="T107" s="290">
        <f>SUM(T106:T106)</f>
        <v>48596.357204176151</v>
      </c>
    </row>
    <row r="108" spans="1:20">
      <c r="A108" s="198"/>
      <c r="B108" s="239"/>
      <c r="C108" s="555"/>
      <c r="D108" s="524"/>
      <c r="E108" s="525"/>
      <c r="F108" s="502"/>
      <c r="G108" s="198"/>
      <c r="H108" s="524"/>
      <c r="I108" s="525"/>
      <c r="J108" s="299"/>
      <c r="K108" s="198"/>
      <c r="L108" s="524"/>
      <c r="M108" s="525"/>
      <c r="N108" s="502"/>
      <c r="O108" s="198"/>
      <c r="P108" s="524"/>
      <c r="Q108" s="525"/>
      <c r="R108" s="502"/>
      <c r="S108" s="198"/>
      <c r="T108" s="497"/>
    </row>
    <row r="109" spans="1:20" ht="18.3">
      <c r="A109" s="304" t="s">
        <v>540</v>
      </c>
      <c r="B109" s="305"/>
      <c r="C109" s="562">
        <f>C107+C103</f>
        <v>358416.28</v>
      </c>
      <c r="D109" s="526"/>
      <c r="E109" s="307"/>
      <c r="F109" s="527"/>
      <c r="G109" s="309">
        <f>G103+G107</f>
        <v>440999.99996253912</v>
      </c>
      <c r="H109" s="526"/>
      <c r="I109" s="307"/>
      <c r="J109" s="308"/>
      <c r="K109" s="309">
        <f>K103+K107</f>
        <v>203176.62132515997</v>
      </c>
      <c r="L109" s="526"/>
      <c r="M109" s="307"/>
      <c r="N109" s="527"/>
      <c r="O109" s="309">
        <f>O103+O107</f>
        <v>0</v>
      </c>
      <c r="P109" s="526"/>
      <c r="Q109" s="307"/>
      <c r="R109" s="527"/>
      <c r="S109" s="309">
        <f>S103+S107</f>
        <v>0</v>
      </c>
      <c r="T109" s="309">
        <f>T103+T107</f>
        <v>1002591.9012876992</v>
      </c>
    </row>
    <row r="110" spans="1:20" ht="15.6">
      <c r="A110" s="312" t="s">
        <v>575</v>
      </c>
      <c r="B110" s="313"/>
      <c r="C110" s="563">
        <f>'Program Budget'!E268</f>
        <v>12219.19</v>
      </c>
      <c r="D110" s="528"/>
      <c r="E110" s="314"/>
      <c r="F110" s="529"/>
      <c r="G110" s="245">
        <f t="shared" ref="G110" si="87">D110*E110*F110</f>
        <v>0</v>
      </c>
      <c r="H110" s="528"/>
      <c r="I110" s="314"/>
      <c r="J110" s="244"/>
      <c r="K110" s="245">
        <f t="shared" ref="K110" si="88">H110*I110*J110</f>
        <v>0</v>
      </c>
      <c r="L110" s="528"/>
      <c r="M110" s="314"/>
      <c r="N110" s="529"/>
      <c r="O110" s="245">
        <f t="shared" ref="O110" si="89">L110*M110*N110</f>
        <v>0</v>
      </c>
      <c r="P110" s="528"/>
      <c r="Q110" s="314"/>
      <c r="R110" s="529"/>
      <c r="S110" s="245">
        <f t="shared" ref="S110" si="90">P110*Q110*R110</f>
        <v>0</v>
      </c>
      <c r="T110" s="530">
        <f>C110+G110+K110+O110+S110</f>
        <v>12219.19</v>
      </c>
    </row>
    <row r="111" spans="1:20" ht="18.3">
      <c r="A111" s="304" t="s">
        <v>541</v>
      </c>
      <c r="B111" s="305"/>
      <c r="C111" s="309">
        <f>C110+C109</f>
        <v>370635.47000000003</v>
      </c>
      <c r="D111" s="526"/>
      <c r="E111" s="307"/>
      <c r="F111" s="527"/>
      <c r="G111" s="309">
        <f>G109+G110</f>
        <v>440999.99996253912</v>
      </c>
      <c r="H111" s="526"/>
      <c r="I111" s="307"/>
      <c r="J111" s="308"/>
      <c r="K111" s="309">
        <f>K109+K110</f>
        <v>203176.62132515997</v>
      </c>
      <c r="L111" s="526"/>
      <c r="M111" s="307"/>
      <c r="N111" s="527"/>
      <c r="O111" s="309">
        <f>O109+O110</f>
        <v>0</v>
      </c>
      <c r="P111" s="526"/>
      <c r="Q111" s="307"/>
      <c r="R111" s="527"/>
      <c r="S111" s="309">
        <f>S109+S110</f>
        <v>0</v>
      </c>
      <c r="T111" s="309">
        <f>T103+T107</f>
        <v>1002591.9012876992</v>
      </c>
    </row>
    <row r="112" spans="1:20">
      <c r="A112" s="194"/>
      <c r="B112" s="194"/>
      <c r="C112" s="554"/>
      <c r="T112" s="497"/>
    </row>
    <row r="113" spans="1:20" ht="31.2">
      <c r="A113" s="316" t="s">
        <v>542</v>
      </c>
      <c r="B113" s="317"/>
      <c r="C113" s="564"/>
      <c r="D113" s="531"/>
      <c r="E113" s="319"/>
      <c r="F113" s="532"/>
      <c r="G113" s="533"/>
      <c r="H113" s="531"/>
      <c r="I113" s="319"/>
      <c r="J113" s="320"/>
      <c r="K113" s="533"/>
      <c r="L113" s="531"/>
      <c r="M113" s="319"/>
      <c r="N113" s="532"/>
      <c r="O113" s="533"/>
      <c r="P113" s="531"/>
      <c r="Q113" s="319"/>
      <c r="R113" s="532"/>
      <c r="S113" s="533"/>
      <c r="T113" s="533"/>
    </row>
    <row r="115" spans="1:20">
      <c r="C115" s="204"/>
    </row>
    <row r="116" spans="1:20">
      <c r="G116" s="567"/>
      <c r="K116" s="534"/>
      <c r="O116" s="534"/>
    </row>
    <row r="117" spans="1:20">
      <c r="G117" s="567"/>
    </row>
  </sheetData>
  <mergeCells count="9">
    <mergeCell ref="A1:T1"/>
    <mergeCell ref="P3:S3"/>
    <mergeCell ref="T3:T4"/>
    <mergeCell ref="A3:A4"/>
    <mergeCell ref="B3:B4"/>
    <mergeCell ref="C3:C4"/>
    <mergeCell ref="D3:G3"/>
    <mergeCell ref="H3:K3"/>
    <mergeCell ref="L3:O3"/>
  </mergeCells>
  <printOptions horizontalCentered="1"/>
  <pageMargins left="0.25" right="0.25" top="0.75" bottom="0.75" header="0.3" footer="0.3"/>
  <pageSetup scale="28" orientation="landscape" r:id="rId1"/>
  <headerFooter alignWithMargins="0"/>
  <rowBreaks count="1" manualBreakCount="1">
    <brk id="108" max="17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0CB6-660F-44F2-A222-D4DC3A20B7B0}">
  <sheetPr>
    <pageSetUpPr fitToPage="1"/>
  </sheetPr>
  <dimension ref="A1:J76"/>
  <sheetViews>
    <sheetView zoomScale="120" zoomScaleNormal="120" zoomScaleSheetLayoutView="90" workbookViewId="0">
      <pane ySplit="7" topLeftCell="A55" activePane="bottomLeft" state="frozen"/>
      <selection activeCell="B75" sqref="B75"/>
      <selection pane="bottomLeft" activeCell="D55" sqref="D55:H55"/>
    </sheetView>
  </sheetViews>
  <sheetFormatPr defaultColWidth="11.44140625" defaultRowHeight="12.6"/>
  <cols>
    <col min="1" max="1" width="3.44140625" style="5" customWidth="1"/>
    <col min="2" max="2" width="64.1640625" style="7" bestFit="1" customWidth="1"/>
    <col min="3" max="3" width="10.83203125" style="50" bestFit="1" customWidth="1"/>
    <col min="4" max="8" width="10.83203125" style="31" bestFit="1" customWidth="1"/>
    <col min="9" max="9" width="11.83203125" style="31" bestFit="1" customWidth="1"/>
    <col min="10" max="10" width="32.1640625" style="5" bestFit="1" customWidth="1"/>
    <col min="11" max="11" width="12.44140625" style="5" bestFit="1" customWidth="1"/>
    <col min="12" max="16384" width="11.44140625" style="5"/>
  </cols>
  <sheetData>
    <row r="1" spans="2:10" ht="13.8">
      <c r="B1" s="640" t="s">
        <v>635</v>
      </c>
      <c r="C1" s="640"/>
      <c r="D1" s="640"/>
      <c r="E1" s="640"/>
      <c r="F1" s="640"/>
      <c r="G1" s="640"/>
      <c r="H1" s="640"/>
      <c r="I1" s="640"/>
    </row>
    <row r="2" spans="2:10" ht="13.8">
      <c r="B2" s="643" t="s">
        <v>636</v>
      </c>
      <c r="C2" s="643"/>
      <c r="D2" s="643"/>
      <c r="E2" s="643"/>
      <c r="F2" s="643"/>
      <c r="G2" s="643"/>
      <c r="H2" s="643"/>
      <c r="I2" s="643"/>
    </row>
    <row r="3" spans="2:10" ht="13.8">
      <c r="B3" s="640" t="s">
        <v>637</v>
      </c>
      <c r="C3" s="640"/>
      <c r="D3" s="640"/>
      <c r="E3" s="640"/>
      <c r="F3" s="640"/>
      <c r="G3" s="640"/>
      <c r="H3" s="640"/>
      <c r="I3" s="640"/>
    </row>
    <row r="4" spans="2:10" ht="13.8">
      <c r="B4" s="640" t="s">
        <v>638</v>
      </c>
      <c r="C4" s="640"/>
      <c r="D4" s="640"/>
      <c r="E4" s="640"/>
      <c r="F4" s="640"/>
      <c r="G4" s="640"/>
      <c r="H4" s="640"/>
      <c r="I4" s="640"/>
    </row>
    <row r="5" spans="2:10" ht="13.8">
      <c r="B5" s="640" t="s">
        <v>639</v>
      </c>
      <c r="C5" s="640"/>
      <c r="D5" s="640"/>
      <c r="E5" s="640"/>
      <c r="F5" s="640"/>
      <c r="G5" s="640"/>
      <c r="H5" s="640"/>
      <c r="I5" s="640"/>
    </row>
    <row r="7" spans="2:10" ht="24.9">
      <c r="B7" s="145" t="s">
        <v>76</v>
      </c>
      <c r="C7" s="146" t="s">
        <v>79</v>
      </c>
      <c r="D7" s="147" t="s">
        <v>640</v>
      </c>
      <c r="E7" s="147" t="s">
        <v>641</v>
      </c>
      <c r="F7" s="147" t="s">
        <v>642</v>
      </c>
      <c r="G7" s="146" t="s">
        <v>643</v>
      </c>
      <c r="H7" s="146" t="s">
        <v>644</v>
      </c>
      <c r="I7" s="146" t="s">
        <v>89</v>
      </c>
    </row>
    <row r="8" spans="2:10">
      <c r="B8" s="36" t="s">
        <v>645</v>
      </c>
      <c r="C8" s="38"/>
      <c r="D8" s="39"/>
      <c r="E8" s="39"/>
      <c r="F8" s="39"/>
      <c r="G8" s="39"/>
      <c r="H8" s="39"/>
      <c r="I8" s="39"/>
    </row>
    <row r="9" spans="2:10" hidden="1">
      <c r="B9" s="75" t="s">
        <v>646</v>
      </c>
      <c r="C9" s="77"/>
      <c r="D9" s="78"/>
      <c r="E9" s="78"/>
      <c r="F9" s="78"/>
      <c r="G9" s="78"/>
      <c r="H9" s="78"/>
      <c r="I9" s="78"/>
    </row>
    <row r="10" spans="2:10" hidden="1">
      <c r="B10" s="7" t="s">
        <v>647</v>
      </c>
      <c r="C10" s="43">
        <f>141500/12</f>
        <v>11791.666666666666</v>
      </c>
      <c r="D10" s="43" t="e">
        <f>#REF!*C10*#REF!</f>
        <v>#REF!</v>
      </c>
      <c r="E10" s="43" t="e">
        <f>#REF!*C10*#REF!*#REF!</f>
        <v>#REF!</v>
      </c>
      <c r="F10" s="43" t="e">
        <f>#REF!*C10*#REF!*#REF!*#REF!</f>
        <v>#REF!</v>
      </c>
      <c r="G10" s="43" t="e">
        <f>#REF!*C10*#REF!*#REF!*#REF!*#REF!</f>
        <v>#REF!</v>
      </c>
      <c r="H10" s="43" t="e">
        <f>#REF!*C10*#REF!*#REF!*#REF!*#REF!*#REF!</f>
        <v>#REF!</v>
      </c>
      <c r="I10" s="43" t="e">
        <f t="shared" ref="I10:I24" si="0">SUM(G10,F10,E10,D10,H10)</f>
        <v>#REF!</v>
      </c>
    </row>
    <row r="11" spans="2:10" hidden="1">
      <c r="B11" s="7" t="s">
        <v>648</v>
      </c>
      <c r="C11" s="43">
        <f>110000/12</f>
        <v>9166.6666666666661</v>
      </c>
      <c r="D11" s="43" t="e">
        <f>#REF!*C11*#REF!</f>
        <v>#REF!</v>
      </c>
      <c r="E11" s="43" t="e">
        <f>#REF!*C11*#REF!*#REF!</f>
        <v>#REF!</v>
      </c>
      <c r="F11" s="43" t="e">
        <f>#REF!*C11*#REF!*#REF!*#REF!</f>
        <v>#REF!</v>
      </c>
      <c r="G11" s="43" t="e">
        <f>#REF!*C11*#REF!*#REF!*#REF!*#REF!</f>
        <v>#REF!</v>
      </c>
      <c r="H11" s="43" t="e">
        <f>#REF!*C11*#REF!*#REF!*#REF!*#REF!*#REF!</f>
        <v>#REF!</v>
      </c>
      <c r="I11" s="43" t="e">
        <f t="shared" si="0"/>
        <v>#REF!</v>
      </c>
    </row>
    <row r="12" spans="2:10" hidden="1">
      <c r="B12" s="7" t="s">
        <v>118</v>
      </c>
      <c r="C12" s="43">
        <f>39000/12</f>
        <v>3250</v>
      </c>
      <c r="D12" s="43" t="e">
        <f>#REF!*C12*#REF!</f>
        <v>#REF!</v>
      </c>
      <c r="E12" s="43" t="e">
        <f>#REF!*C12*#REF!*#REF!</f>
        <v>#REF!</v>
      </c>
      <c r="F12" s="43" t="e">
        <f>#REF!*C12*#REF!*#REF!*#REF!</f>
        <v>#REF!</v>
      </c>
      <c r="G12" s="43" t="e">
        <f>#REF!*C12*#REF!*#REF!*#REF!*#REF!</f>
        <v>#REF!</v>
      </c>
      <c r="H12" s="43" t="e">
        <f>#REF!*C12*#REF!*#REF!*#REF!*#REF!*#REF!</f>
        <v>#REF!</v>
      </c>
      <c r="I12" s="43" t="e">
        <f t="shared" si="0"/>
        <v>#REF!</v>
      </c>
    </row>
    <row r="13" spans="2:10" hidden="1">
      <c r="B13" s="7" t="s">
        <v>649</v>
      </c>
      <c r="C13" s="43">
        <f>39000/12</f>
        <v>3250</v>
      </c>
      <c r="D13" s="43" t="e">
        <f>#REF!*C13*#REF!</f>
        <v>#REF!</v>
      </c>
      <c r="E13" s="43" t="e">
        <f>#REF!*C13*#REF!*#REF!</f>
        <v>#REF!</v>
      </c>
      <c r="F13" s="43" t="e">
        <f>#REF!*C13*#REF!*#REF!*#REF!</f>
        <v>#REF!</v>
      </c>
      <c r="G13" s="43" t="e">
        <f>#REF!*C13*#REF!*#REF!*#REF!*#REF!</f>
        <v>#REF!</v>
      </c>
      <c r="H13" s="43" t="e">
        <f>#REF!*C13*#REF!*#REF!*#REF!*#REF!*#REF!</f>
        <v>#REF!</v>
      </c>
      <c r="I13" s="43" t="e">
        <f t="shared" si="0"/>
        <v>#REF!</v>
      </c>
    </row>
    <row r="14" spans="2:10" hidden="1">
      <c r="B14" s="7" t="s">
        <v>650</v>
      </c>
      <c r="C14" s="43">
        <f t="shared" ref="C14:C22" si="1">22000/12</f>
        <v>1833.3333333333333</v>
      </c>
      <c r="D14" s="43" t="e">
        <f>#REF!*C14*#REF!</f>
        <v>#REF!</v>
      </c>
      <c r="E14" s="43" t="e">
        <f>#REF!*C14*#REF!*#REF!</f>
        <v>#REF!</v>
      </c>
      <c r="F14" s="43" t="e">
        <f>#REF!*C14*#REF!*#REF!*#REF!</f>
        <v>#REF!</v>
      </c>
      <c r="G14" s="43" t="e">
        <f>#REF!*C14*#REF!*#REF!*#REF!*#REF!</f>
        <v>#REF!</v>
      </c>
      <c r="H14" s="43" t="e">
        <f>#REF!*C14*#REF!*#REF!*#REF!*#REF!*#REF!</f>
        <v>#REF!</v>
      </c>
      <c r="I14" s="43" t="e">
        <f t="shared" si="0"/>
        <v>#REF!</v>
      </c>
      <c r="J14" s="61"/>
    </row>
    <row r="15" spans="2:10" hidden="1">
      <c r="B15" s="7" t="s">
        <v>650</v>
      </c>
      <c r="C15" s="43">
        <f t="shared" si="1"/>
        <v>1833.3333333333333</v>
      </c>
      <c r="D15" s="43" t="e">
        <f>#REF!*C15*#REF!</f>
        <v>#REF!</v>
      </c>
      <c r="E15" s="43" t="e">
        <f>#REF!*C15*#REF!*#REF!</f>
        <v>#REF!</v>
      </c>
      <c r="F15" s="43" t="e">
        <f>#REF!*C15*#REF!*#REF!*#REF!</f>
        <v>#REF!</v>
      </c>
      <c r="G15" s="43" t="e">
        <f>#REF!*C15*#REF!*#REF!*#REF!*#REF!</f>
        <v>#REF!</v>
      </c>
      <c r="H15" s="43" t="e">
        <f>#REF!*C15*#REF!*#REF!*#REF!*#REF!*#REF!</f>
        <v>#REF!</v>
      </c>
      <c r="I15" s="43" t="e">
        <f t="shared" si="0"/>
        <v>#REF!</v>
      </c>
      <c r="J15" s="61"/>
    </row>
    <row r="16" spans="2:10" hidden="1">
      <c r="B16" s="7" t="s">
        <v>651</v>
      </c>
      <c r="C16" s="43">
        <f t="shared" si="1"/>
        <v>1833.3333333333333</v>
      </c>
      <c r="D16" s="43" t="e">
        <f>#REF!*C16*#REF!</f>
        <v>#REF!</v>
      </c>
      <c r="E16" s="43" t="e">
        <f>#REF!*C16*#REF!*#REF!</f>
        <v>#REF!</v>
      </c>
      <c r="F16" s="43" t="e">
        <f>#REF!*C16*#REF!*#REF!*#REF!</f>
        <v>#REF!</v>
      </c>
      <c r="G16" s="43" t="e">
        <f>#REF!*C16*#REF!*#REF!*#REF!*#REF!</f>
        <v>#REF!</v>
      </c>
      <c r="H16" s="43" t="e">
        <f>#REF!*C16*#REF!*#REF!*#REF!*#REF!*#REF!</f>
        <v>#REF!</v>
      </c>
      <c r="I16" s="43" t="e">
        <f t="shared" si="0"/>
        <v>#REF!</v>
      </c>
    </row>
    <row r="17" spans="2:10" hidden="1">
      <c r="B17" s="7" t="s">
        <v>651</v>
      </c>
      <c r="C17" s="43">
        <f>18000/12</f>
        <v>1500</v>
      </c>
      <c r="D17" s="43" t="e">
        <f>#REF!*C17*#REF!</f>
        <v>#REF!</v>
      </c>
      <c r="E17" s="43" t="e">
        <f>#REF!*C17*#REF!*#REF!</f>
        <v>#REF!</v>
      </c>
      <c r="F17" s="43" t="e">
        <f>#REF!*C17*#REF!*#REF!*#REF!</f>
        <v>#REF!</v>
      </c>
      <c r="G17" s="43" t="e">
        <f>#REF!*C17*#REF!*#REF!*#REF!*#REF!</f>
        <v>#REF!</v>
      </c>
      <c r="H17" s="43" t="e">
        <f>#REF!*C17*#REF!*#REF!*#REF!*#REF!*#REF!</f>
        <v>#REF!</v>
      </c>
      <c r="I17" s="43" t="e">
        <f t="shared" si="0"/>
        <v>#REF!</v>
      </c>
    </row>
    <row r="18" spans="2:10" hidden="1">
      <c r="B18" s="7" t="s">
        <v>652</v>
      </c>
      <c r="C18" s="43">
        <f t="shared" si="1"/>
        <v>1833.3333333333333</v>
      </c>
      <c r="D18" s="43" t="e">
        <f>#REF!*C18*#REF!</f>
        <v>#REF!</v>
      </c>
      <c r="E18" s="43" t="e">
        <f>#REF!*C18*#REF!*#REF!</f>
        <v>#REF!</v>
      </c>
      <c r="F18" s="43" t="e">
        <f>#REF!*C18*#REF!*#REF!*#REF!</f>
        <v>#REF!</v>
      </c>
      <c r="G18" s="43" t="e">
        <f>#REF!*C18*#REF!*#REF!*#REF!*#REF!</f>
        <v>#REF!</v>
      </c>
      <c r="H18" s="43" t="e">
        <f>#REF!*C18*#REF!*#REF!*#REF!*#REF!*#REF!</f>
        <v>#REF!</v>
      </c>
      <c r="I18" s="43" t="e">
        <f t="shared" si="0"/>
        <v>#REF!</v>
      </c>
    </row>
    <row r="19" spans="2:10" hidden="1">
      <c r="B19" s="7" t="s">
        <v>652</v>
      </c>
      <c r="C19" s="43">
        <f t="shared" si="1"/>
        <v>1833.3333333333333</v>
      </c>
      <c r="D19" s="43" t="e">
        <f>#REF!*C19*#REF!</f>
        <v>#REF!</v>
      </c>
      <c r="E19" s="43" t="e">
        <f>#REF!*C19*#REF!*#REF!</f>
        <v>#REF!</v>
      </c>
      <c r="F19" s="43" t="e">
        <f>#REF!*C19*#REF!*#REF!*#REF!</f>
        <v>#REF!</v>
      </c>
      <c r="G19" s="43" t="e">
        <f>#REF!*C19*#REF!*#REF!*#REF!*#REF!</f>
        <v>#REF!</v>
      </c>
      <c r="H19" s="43" t="e">
        <f>#REF!*C19*#REF!*#REF!*#REF!*#REF!*#REF!</f>
        <v>#REF!</v>
      </c>
      <c r="I19" s="43" t="e">
        <f t="shared" si="0"/>
        <v>#REF!</v>
      </c>
    </row>
    <row r="20" spans="2:10" hidden="1">
      <c r="B20" s="7" t="s">
        <v>652</v>
      </c>
      <c r="C20" s="43">
        <f>18000/12</f>
        <v>1500</v>
      </c>
      <c r="D20" s="43" t="e">
        <f>#REF!*C20*#REF!</f>
        <v>#REF!</v>
      </c>
      <c r="E20" s="43" t="e">
        <f>#REF!*C20*#REF!*#REF!</f>
        <v>#REF!</v>
      </c>
      <c r="F20" s="43" t="e">
        <f>#REF!*C20*#REF!*#REF!*#REF!</f>
        <v>#REF!</v>
      </c>
      <c r="G20" s="43" t="e">
        <f>#REF!*C20*#REF!*#REF!*#REF!*#REF!</f>
        <v>#REF!</v>
      </c>
      <c r="H20" s="43" t="e">
        <f>#REF!*C20*#REF!*#REF!*#REF!*#REF!*#REF!</f>
        <v>#REF!</v>
      </c>
      <c r="I20" s="43" t="e">
        <f t="shared" si="0"/>
        <v>#REF!</v>
      </c>
    </row>
    <row r="21" spans="2:10" hidden="1">
      <c r="B21" s="7" t="s">
        <v>652</v>
      </c>
      <c r="C21" s="43">
        <f>18000/12</f>
        <v>1500</v>
      </c>
      <c r="D21" s="43" t="e">
        <f>#REF!*C21*#REF!</f>
        <v>#REF!</v>
      </c>
      <c r="E21" s="43" t="e">
        <f>#REF!*C21*#REF!*#REF!</f>
        <v>#REF!</v>
      </c>
      <c r="F21" s="43" t="e">
        <f>#REF!*C21*#REF!*#REF!*#REF!</f>
        <v>#REF!</v>
      </c>
      <c r="G21" s="43" t="e">
        <f>#REF!*C21*#REF!*#REF!*#REF!*#REF!</f>
        <v>#REF!</v>
      </c>
      <c r="H21" s="43" t="e">
        <f>#REF!*C21*#REF!*#REF!*#REF!*#REF!*#REF!</f>
        <v>#REF!</v>
      </c>
      <c r="I21" s="43" t="e">
        <f t="shared" si="0"/>
        <v>#REF!</v>
      </c>
    </row>
    <row r="22" spans="2:10" hidden="1">
      <c r="B22" s="7" t="s">
        <v>653</v>
      </c>
      <c r="C22" s="43">
        <f t="shared" si="1"/>
        <v>1833.3333333333333</v>
      </c>
      <c r="D22" s="43" t="e">
        <f>#REF!*C22*#REF!</f>
        <v>#REF!</v>
      </c>
      <c r="E22" s="43" t="e">
        <f>#REF!*C22*#REF!*#REF!</f>
        <v>#REF!</v>
      </c>
      <c r="F22" s="43" t="e">
        <f>#REF!*C22*#REF!*#REF!*#REF!</f>
        <v>#REF!</v>
      </c>
      <c r="G22" s="43" t="e">
        <f>#REF!*C22*#REF!*#REF!*#REF!*#REF!</f>
        <v>#REF!</v>
      </c>
      <c r="H22" s="43" t="e">
        <f>#REF!*C22*#REF!*#REF!*#REF!*#REF!*#REF!</f>
        <v>#REF!</v>
      </c>
      <c r="I22" s="43" t="e">
        <f t="shared" si="0"/>
        <v>#REF!</v>
      </c>
    </row>
    <row r="23" spans="2:10" hidden="1">
      <c r="B23" s="7" t="s">
        <v>120</v>
      </c>
      <c r="C23" s="43">
        <f>18000/12</f>
        <v>1500</v>
      </c>
      <c r="D23" s="43" t="e">
        <f>#REF!*C23*#REF!</f>
        <v>#REF!</v>
      </c>
      <c r="E23" s="43" t="e">
        <f>#REF!*C23*#REF!*#REF!</f>
        <v>#REF!</v>
      </c>
      <c r="F23" s="43" t="e">
        <f>#REF!*C23*#REF!*#REF!*#REF!</f>
        <v>#REF!</v>
      </c>
      <c r="G23" s="43" t="e">
        <f>#REF!*C23*#REF!*#REF!*#REF!*#REF!</f>
        <v>#REF!</v>
      </c>
      <c r="H23" s="43" t="e">
        <f>#REF!*C23*#REF!*#REF!*#REF!*#REF!*#REF!</f>
        <v>#REF!</v>
      </c>
      <c r="I23" s="43" t="e">
        <f t="shared" si="0"/>
        <v>#REF!</v>
      </c>
    </row>
    <row r="24" spans="2:10" hidden="1">
      <c r="B24" s="7" t="s">
        <v>654</v>
      </c>
      <c r="C24" s="43">
        <f>15000/12</f>
        <v>1250</v>
      </c>
      <c r="D24" s="43" t="e">
        <f>#REF!*C24*#REF!</f>
        <v>#REF!</v>
      </c>
      <c r="E24" s="43" t="e">
        <f>#REF!*C24*#REF!*#REF!</f>
        <v>#REF!</v>
      </c>
      <c r="F24" s="43" t="e">
        <f>#REF!*C24*#REF!*#REF!*#REF!</f>
        <v>#REF!</v>
      </c>
      <c r="G24" s="43" t="e">
        <f>#REF!*C24*#REF!*#REF!*#REF!*#REF!</f>
        <v>#REF!</v>
      </c>
      <c r="H24" s="43" t="e">
        <f>#REF!*C24*#REF!*#REF!*#REF!*#REF!*#REF!</f>
        <v>#REF!</v>
      </c>
      <c r="I24" s="43" t="e">
        <f t="shared" si="0"/>
        <v>#REF!</v>
      </c>
    </row>
    <row r="25" spans="2:10" hidden="1">
      <c r="C25" s="43"/>
      <c r="D25" s="43"/>
      <c r="E25" s="43"/>
      <c r="F25" s="43"/>
      <c r="G25" s="43"/>
      <c r="H25" s="43"/>
      <c r="I25" s="43"/>
    </row>
    <row r="26" spans="2:10" hidden="1">
      <c r="B26" s="75" t="s">
        <v>655</v>
      </c>
      <c r="C26" s="80"/>
      <c r="D26" s="80"/>
      <c r="E26" s="80"/>
      <c r="F26" s="80"/>
      <c r="G26" s="80"/>
      <c r="H26" s="80"/>
      <c r="I26" s="80"/>
    </row>
    <row r="27" spans="2:10" hidden="1">
      <c r="B27" s="7" t="s">
        <v>656</v>
      </c>
      <c r="C27" s="43">
        <f>55000/12</f>
        <v>4583.333333333333</v>
      </c>
      <c r="D27" s="43" t="e">
        <f>#REF!*C27*#REF!</f>
        <v>#REF!</v>
      </c>
      <c r="E27" s="43" t="e">
        <f>#REF!*C27*#REF!*#REF!</f>
        <v>#REF!</v>
      </c>
      <c r="F27" s="43" t="e">
        <f>#REF!*C27*#REF!*#REF!*#REF!</f>
        <v>#REF!</v>
      </c>
      <c r="G27" s="43" t="e">
        <f>#REF!*C27*#REF!*#REF!*#REF!*#REF!</f>
        <v>#REF!</v>
      </c>
      <c r="H27" s="43" t="e">
        <f>#REF!*C27*#REF!*#REF!*#REF!*#REF!*#REF!</f>
        <v>#REF!</v>
      </c>
      <c r="I27" s="43" t="e">
        <f>SUM(G27,F27,E27,D27,H27)</f>
        <v>#REF!</v>
      </c>
      <c r="J27" s="65"/>
    </row>
    <row r="28" spans="2:10" hidden="1">
      <c r="C28" s="43"/>
      <c r="D28" s="43"/>
      <c r="E28" s="43"/>
      <c r="F28" s="43"/>
      <c r="G28" s="43"/>
      <c r="H28" s="43"/>
      <c r="I28" s="43"/>
    </row>
    <row r="29" spans="2:10">
      <c r="B29" s="142" t="s">
        <v>129</v>
      </c>
      <c r="C29" s="142"/>
      <c r="D29" s="149">
        <f>'Program Budget'!E48</f>
        <v>933268.52000000014</v>
      </c>
      <c r="E29" s="149">
        <f>'Program Budget'!J48</f>
        <v>234397.91999999998</v>
      </c>
      <c r="F29" s="149">
        <f>'Program Budget'!M48</f>
        <v>243114.81599999999</v>
      </c>
      <c r="G29" s="149">
        <f>'Program Budget'!P48</f>
        <v>255270.55679999999</v>
      </c>
      <c r="H29" s="149">
        <f>'Program Budget'!S48</f>
        <v>116879.3688825</v>
      </c>
      <c r="I29" s="148">
        <f>SUM(D29:H29)</f>
        <v>1782931.1816825001</v>
      </c>
    </row>
    <row r="30" spans="2:10">
      <c r="B30" s="37" t="s">
        <v>657</v>
      </c>
      <c r="C30" s="38"/>
      <c r="D30" s="39"/>
      <c r="E30" s="39"/>
      <c r="F30" s="39"/>
      <c r="G30" s="39"/>
      <c r="H30" s="39"/>
      <c r="I30" s="39"/>
    </row>
    <row r="31" spans="2:10">
      <c r="B31" s="150" t="s">
        <v>141</v>
      </c>
      <c r="C31" s="151"/>
      <c r="D31" s="149">
        <f>'Program Budget'!E60</f>
        <v>553963.94999999995</v>
      </c>
      <c r="E31" s="149">
        <f>'Program Budget'!J60</f>
        <v>119053.5836288</v>
      </c>
      <c r="F31" s="149">
        <f>'Program Budget'!M60</f>
        <v>121135.69324023998</v>
      </c>
      <c r="G31" s="149">
        <f>'Program Budget'!P60</f>
        <v>129601.41659025199</v>
      </c>
      <c r="H31" s="149">
        <f>'Program Budget'!S60</f>
        <v>37428.2470849948</v>
      </c>
      <c r="I31" s="148">
        <f>SUM(D31:H31)</f>
        <v>961182.8905442867</v>
      </c>
    </row>
    <row r="32" spans="2:10">
      <c r="B32" s="37" t="s">
        <v>658</v>
      </c>
      <c r="C32" s="38"/>
      <c r="D32" s="39"/>
      <c r="E32" s="39"/>
      <c r="F32" s="39"/>
      <c r="G32" s="39"/>
      <c r="H32" s="39"/>
      <c r="I32" s="39"/>
    </row>
    <row r="33" spans="1:10">
      <c r="A33" s="86"/>
      <c r="B33" s="142" t="s">
        <v>158</v>
      </c>
      <c r="C33" s="151"/>
      <c r="D33" s="149">
        <f>'Program Budget'!E77</f>
        <v>101664.63</v>
      </c>
      <c r="E33" s="149">
        <f>'Program Budget'!J77</f>
        <v>52128</v>
      </c>
      <c r="F33" s="149">
        <f>'Program Budget'!M77</f>
        <v>54072.119999999995</v>
      </c>
      <c r="G33" s="149">
        <f>'Program Budget'!P77</f>
        <v>56089.774799999999</v>
      </c>
      <c r="H33" s="149">
        <f>'Program Budget'!S77</f>
        <v>34048.696907999998</v>
      </c>
      <c r="I33" s="148">
        <f>SUM(D33:H33)</f>
        <v>298003.221708</v>
      </c>
    </row>
    <row r="34" spans="1:10">
      <c r="B34" s="37" t="s">
        <v>659</v>
      </c>
      <c r="C34" s="38"/>
      <c r="D34" s="39"/>
      <c r="E34" s="39"/>
      <c r="F34" s="39"/>
      <c r="G34" s="39"/>
      <c r="H34" s="39"/>
      <c r="I34" s="39"/>
    </row>
    <row r="35" spans="1:10">
      <c r="A35" s="86"/>
      <c r="B35" s="142" t="s">
        <v>183</v>
      </c>
      <c r="C35" s="151"/>
      <c r="D35" s="149">
        <f>'Program Budget'!E101</f>
        <v>1469246.1800000002</v>
      </c>
      <c r="E35" s="149">
        <f>'Program Budget'!J101</f>
        <v>501849</v>
      </c>
      <c r="F35" s="149">
        <f>'Program Budget'!M101</f>
        <v>72725</v>
      </c>
      <c r="G35" s="149">
        <f>'Program Budget'!P101</f>
        <v>116528.95</v>
      </c>
      <c r="H35" s="149">
        <f>'Program Budget'!S101</f>
        <v>265175</v>
      </c>
      <c r="I35" s="148">
        <f>SUM(D35:H35)</f>
        <v>2425524.1300000004</v>
      </c>
    </row>
    <row r="36" spans="1:10">
      <c r="B36" s="37" t="s">
        <v>660</v>
      </c>
      <c r="C36" s="38"/>
      <c r="D36" s="39"/>
      <c r="E36" s="39"/>
      <c r="F36" s="39"/>
      <c r="G36" s="39"/>
      <c r="H36" s="39"/>
      <c r="I36" s="39"/>
    </row>
    <row r="37" spans="1:10">
      <c r="B37" s="142" t="s">
        <v>185</v>
      </c>
      <c r="C37" s="142"/>
      <c r="D37" s="144">
        <f>'Program Budget'!E106</f>
        <v>72554.429999999993</v>
      </c>
      <c r="E37" s="144">
        <f>'Program Budget'!J106</f>
        <v>0</v>
      </c>
      <c r="F37" s="144">
        <f>'Program Budget'!M106</f>
        <v>0</v>
      </c>
      <c r="G37" s="144">
        <f>'Program Budget'!P106</f>
        <v>0</v>
      </c>
      <c r="H37" s="144">
        <f>'Program Budget'!S106</f>
        <v>0</v>
      </c>
      <c r="I37" s="148">
        <f>SUM(D37:H37)</f>
        <v>72554.429999999993</v>
      </c>
    </row>
    <row r="38" spans="1:10">
      <c r="A38" s="86"/>
      <c r="B38" s="37" t="s">
        <v>661</v>
      </c>
      <c r="C38" s="38"/>
      <c r="D38" s="39"/>
      <c r="E38" s="39"/>
      <c r="F38" s="39"/>
      <c r="G38" s="39"/>
      <c r="H38" s="39"/>
      <c r="I38" s="39"/>
    </row>
    <row r="39" spans="1:10">
      <c r="B39" s="142" t="s">
        <v>195</v>
      </c>
      <c r="C39" s="143"/>
      <c r="D39" s="144">
        <f>'Program Budget'!E118</f>
        <v>220651.82</v>
      </c>
      <c r="E39" s="144">
        <f>'Program Budget'!J118</f>
        <v>83904</v>
      </c>
      <c r="F39" s="144">
        <f>'Program Budget'!M118</f>
        <v>87260.160000000003</v>
      </c>
      <c r="G39" s="144">
        <f>'Program Budget'!P118</f>
        <v>90750.566400000011</v>
      </c>
      <c r="H39" s="144">
        <f>'Program Budget'!S118</f>
        <v>47190.294527999999</v>
      </c>
      <c r="I39" s="148">
        <f>SUM(D39:H39)</f>
        <v>529756.84092799993</v>
      </c>
    </row>
    <row r="40" spans="1:10">
      <c r="A40" s="86"/>
      <c r="B40" s="37" t="s">
        <v>662</v>
      </c>
      <c r="C40" s="38"/>
      <c r="D40" s="39"/>
      <c r="E40" s="39"/>
      <c r="F40" s="39"/>
      <c r="G40" s="39"/>
      <c r="H40" s="39"/>
      <c r="I40" s="39"/>
    </row>
    <row r="41" spans="1:10" ht="12.9" thickBot="1">
      <c r="B41" s="53" t="s">
        <v>204</v>
      </c>
      <c r="C41" s="67"/>
      <c r="D41" s="68">
        <f>'Program Budget'!E129</f>
        <v>107936.11000000002</v>
      </c>
      <c r="E41" s="68">
        <f>'Program Budget'!J129</f>
        <v>26500</v>
      </c>
      <c r="F41" s="68">
        <f>'Program Budget'!M129</f>
        <v>26660</v>
      </c>
      <c r="G41" s="68">
        <f>'Program Budget'!P129</f>
        <v>25958.400000000001</v>
      </c>
      <c r="H41" s="68">
        <f>'Program Budget'!S129</f>
        <v>13498.368</v>
      </c>
      <c r="I41" s="68">
        <f>SUM(D41:H41)</f>
        <v>200552.878</v>
      </c>
    </row>
    <row r="42" spans="1:10">
      <c r="A42" s="86"/>
      <c r="B42" s="37" t="s">
        <v>663</v>
      </c>
      <c r="C42" s="38"/>
      <c r="D42" s="39"/>
      <c r="E42" s="39"/>
      <c r="F42" s="39"/>
      <c r="G42" s="39"/>
      <c r="H42" s="39"/>
      <c r="I42" s="39"/>
    </row>
    <row r="43" spans="1:10" ht="12.9" thickBot="1">
      <c r="B43" s="53" t="s">
        <v>214</v>
      </c>
      <c r="C43" s="67"/>
      <c r="D43" s="68">
        <f>'Program Budget'!E141</f>
        <v>50466.479999999996</v>
      </c>
      <c r="E43" s="68">
        <f>'Program Budget'!J141</f>
        <v>8225</v>
      </c>
      <c r="F43" s="68">
        <f>'Program Budget'!M141</f>
        <v>8554</v>
      </c>
      <c r="G43" s="68">
        <f>'Program Budget'!P141</f>
        <v>8896.16</v>
      </c>
      <c r="H43" s="68">
        <f>'Program Budget'!S141</f>
        <v>8577.0879999999997</v>
      </c>
      <c r="I43" s="68">
        <f>SUM(D43:H43)</f>
        <v>84718.728000000003</v>
      </c>
    </row>
    <row r="44" spans="1:10" ht="12.9" thickBot="1">
      <c r="B44" s="106" t="s">
        <v>664</v>
      </c>
      <c r="C44" s="107"/>
      <c r="D44" s="108">
        <f t="shared" ref="D44:I44" si="2">SUM(D29:D43)</f>
        <v>3509752.12</v>
      </c>
      <c r="E44" s="108">
        <f t="shared" si="2"/>
        <v>1026057.5036287999</v>
      </c>
      <c r="F44" s="108">
        <f t="shared" si="2"/>
        <v>613521.78924024</v>
      </c>
      <c r="G44" s="108">
        <f t="shared" si="2"/>
        <v>683095.82459025201</v>
      </c>
      <c r="H44" s="108">
        <f t="shared" si="2"/>
        <v>522797.06340349477</v>
      </c>
      <c r="I44" s="108">
        <f t="shared" si="2"/>
        <v>6355224.3008627864</v>
      </c>
    </row>
    <row r="45" spans="1:10">
      <c r="B45" s="57"/>
      <c r="C45" s="42"/>
      <c r="D45" s="60"/>
      <c r="E45" s="60"/>
      <c r="F45" s="60"/>
      <c r="G45" s="60"/>
      <c r="H45" s="60"/>
      <c r="I45" s="60"/>
    </row>
    <row r="46" spans="1:10">
      <c r="B46" s="57" t="s">
        <v>665</v>
      </c>
      <c r="C46" s="63">
        <v>0.2828</v>
      </c>
      <c r="D46" s="60">
        <f>Admin!C141</f>
        <v>1023613.2522324189</v>
      </c>
      <c r="E46" s="60">
        <f>E44*$C$46</f>
        <v>290169.06202622462</v>
      </c>
      <c r="F46" s="60">
        <f>F44*$C$46</f>
        <v>173503.96199713988</v>
      </c>
      <c r="G46" s="60">
        <f>G44*$C$46</f>
        <v>193179.49919412326</v>
      </c>
      <c r="H46" s="60">
        <f>H44*$C$46</f>
        <v>147847.00953050831</v>
      </c>
      <c r="I46" s="60">
        <f>SUM(H46+G46,F46,E46,D46)</f>
        <v>1828312.7849804149</v>
      </c>
      <c r="J46" s="140"/>
    </row>
    <row r="47" spans="1:10">
      <c r="B47" s="109"/>
      <c r="C47" s="41"/>
      <c r="D47" s="588"/>
      <c r="E47" s="588"/>
      <c r="F47" s="588"/>
      <c r="G47" s="588"/>
      <c r="H47" s="588"/>
      <c r="I47" s="588"/>
    </row>
    <row r="48" spans="1:10" ht="12.9" thickBot="1">
      <c r="B48" s="112" t="s">
        <v>666</v>
      </c>
      <c r="C48" s="113"/>
      <c r="D48" s="114">
        <f>D46</f>
        <v>1023613.2522324189</v>
      </c>
      <c r="E48" s="114">
        <f t="shared" ref="E48:H48" si="3">E46</f>
        <v>290169.06202622462</v>
      </c>
      <c r="F48" s="114">
        <f t="shared" si="3"/>
        <v>173503.96199713988</v>
      </c>
      <c r="G48" s="114">
        <f t="shared" si="3"/>
        <v>193179.49919412326</v>
      </c>
      <c r="H48" s="114">
        <f t="shared" si="3"/>
        <v>147847.00953050831</v>
      </c>
      <c r="I48" s="114">
        <f>I46</f>
        <v>1828312.7849804149</v>
      </c>
    </row>
    <row r="49" spans="2:10" ht="12.9" thickTop="1">
      <c r="B49" s="142"/>
      <c r="C49" s="143"/>
      <c r="D49" s="144"/>
      <c r="E49" s="144"/>
      <c r="F49" s="144"/>
      <c r="G49" s="144"/>
      <c r="H49" s="144"/>
      <c r="I49" s="144"/>
    </row>
    <row r="50" spans="2:10">
      <c r="B50" s="98" t="str">
        <f>'USDA Budget Summary'!A29</f>
        <v>Activity 1: Value Chain Development (Value Chain Analysis, Carbon Assessment, and Living Incomes)</v>
      </c>
      <c r="C50" s="38"/>
      <c r="D50" s="99"/>
      <c r="E50" s="99"/>
      <c r="F50" s="99"/>
      <c r="G50" s="99"/>
      <c r="H50" s="99"/>
      <c r="I50" s="99"/>
    </row>
    <row r="51" spans="2:10">
      <c r="B51" s="142" t="s">
        <v>229</v>
      </c>
      <c r="C51" s="46"/>
      <c r="D51" s="148">
        <f>'Program Budget'!E195</f>
        <v>272696.75</v>
      </c>
      <c r="E51" s="148">
        <f>'Program Budget'!J195</f>
        <v>0</v>
      </c>
      <c r="F51" s="148">
        <f>'Program Budget'!M195</f>
        <v>0</v>
      </c>
      <c r="G51" s="148">
        <f>'Program Budget'!P195</f>
        <v>0</v>
      </c>
      <c r="H51" s="148">
        <f>'Program Budget'!S195</f>
        <v>0</v>
      </c>
      <c r="I51" s="148">
        <f>SUM(D51:H51)</f>
        <v>272696.75</v>
      </c>
      <c r="J51" s="152"/>
    </row>
    <row r="52" spans="2:10">
      <c r="B52" s="98" t="str">
        <f>'USDA Budget Summary'!A30</f>
        <v>Activity 2: Producer Organization Development &amp; Commercialization</v>
      </c>
      <c r="C52" s="38"/>
      <c r="D52" s="99"/>
      <c r="E52" s="99"/>
      <c r="F52" s="99"/>
      <c r="G52" s="99"/>
      <c r="H52" s="99"/>
      <c r="I52" s="99"/>
      <c r="J52" s="152"/>
    </row>
    <row r="53" spans="2:10">
      <c r="B53" s="142" t="s">
        <v>266</v>
      </c>
      <c r="C53" s="46"/>
      <c r="D53" s="148">
        <f>'Program Budget'!E272</f>
        <v>559496.95000000007</v>
      </c>
      <c r="E53" s="148">
        <f>'Program Budget'!J272</f>
        <v>726949.30138173909</v>
      </c>
      <c r="F53" s="148">
        <f>'Program Budget'!M272</f>
        <v>547208.19519548002</v>
      </c>
      <c r="G53" s="148">
        <f>'Program Budget'!P272</f>
        <v>308636.93176383601</v>
      </c>
      <c r="H53" s="148">
        <f>'Program Budget'!S272</f>
        <v>67638.718428026405</v>
      </c>
      <c r="I53" s="148">
        <f>SUM(D53:H53)</f>
        <v>2209930.0967690814</v>
      </c>
      <c r="J53" s="152"/>
    </row>
    <row r="54" spans="2:10">
      <c r="B54" s="98" t="str">
        <f>'USDA Budget Summary'!A31</f>
        <v>Activity 3: Agriculture Extension and Production Support</v>
      </c>
      <c r="C54" s="38"/>
      <c r="D54" s="99"/>
      <c r="E54" s="99"/>
      <c r="F54" s="99"/>
      <c r="G54" s="99"/>
      <c r="H54" s="99"/>
      <c r="I54" s="99"/>
      <c r="J54" s="152"/>
    </row>
    <row r="55" spans="2:10">
      <c r="B55" s="142" t="s">
        <v>318</v>
      </c>
      <c r="C55" s="46"/>
      <c r="D55" s="148">
        <f>'Program Budget'!E369</f>
        <v>1977754.02</v>
      </c>
      <c r="E55" s="148">
        <f>'Program Budget'!J369</f>
        <v>2328193.0276287999</v>
      </c>
      <c r="F55" s="148">
        <f>'Program Budget'!M369</f>
        <v>1814163.3129503201</v>
      </c>
      <c r="G55" s="148">
        <f>'Program Budget'!P369</f>
        <v>1252875.329797836</v>
      </c>
      <c r="H55" s="148">
        <f>'Program Budget'!S369</f>
        <v>96439.01391437641</v>
      </c>
      <c r="I55" s="148">
        <f>SUM(D55:H55)</f>
        <v>7469424.7042913325</v>
      </c>
      <c r="J55" s="587"/>
    </row>
    <row r="56" spans="2:10">
      <c r="B56" s="98" t="str">
        <f>'USDA Budget Summary'!A32</f>
        <v>Activity 4: Post-Harvest Aggregation &amp; Processing</v>
      </c>
      <c r="C56" s="38"/>
      <c r="D56" s="99"/>
      <c r="E56" s="99"/>
      <c r="F56" s="99"/>
      <c r="G56" s="99"/>
      <c r="H56" s="99"/>
      <c r="I56" s="99"/>
      <c r="J56" s="152"/>
    </row>
    <row r="57" spans="2:10">
      <c r="B57" s="142" t="s">
        <v>344</v>
      </c>
      <c r="C57" s="46"/>
      <c r="D57" s="148">
        <f>'Program Budget'!E442</f>
        <v>699861.3189999999</v>
      </c>
      <c r="E57" s="148">
        <f>'Program Budget'!J442</f>
        <v>405172.07962879998</v>
      </c>
      <c r="F57" s="148">
        <f>'Program Budget'!M442</f>
        <v>477658.02338023996</v>
      </c>
      <c r="G57" s="148">
        <f>'Program Budget'!P442</f>
        <v>342157.26374925196</v>
      </c>
      <c r="H57" s="148">
        <f>'Program Budget'!S442</f>
        <v>67419.479152369808</v>
      </c>
      <c r="I57" s="148">
        <f>SUM(D57:H57)</f>
        <v>1992268.1649106615</v>
      </c>
      <c r="J57" s="152"/>
    </row>
    <row r="58" spans="2:10">
      <c r="B58" s="98" t="str">
        <f>'USDA Budget Summary'!A33</f>
        <v>Activity 5: Ensure Financial Service/ Capital Access for Actors in the Value Chains</v>
      </c>
      <c r="C58" s="38"/>
      <c r="D58" s="99"/>
      <c r="E58" s="99"/>
      <c r="F58" s="99"/>
      <c r="G58" s="99"/>
      <c r="H58" s="99"/>
      <c r="I58" s="99"/>
      <c r="J58" s="152"/>
    </row>
    <row r="59" spans="2:10">
      <c r="B59" s="142" t="s">
        <v>373</v>
      </c>
      <c r="C59" s="46"/>
      <c r="D59" s="148">
        <f>'Program Budget'!E516</f>
        <v>206249.83</v>
      </c>
      <c r="E59" s="148">
        <f>'Program Budget'!J516</f>
        <v>378861.57442879997</v>
      </c>
      <c r="F59" s="148">
        <f>'Program Budget'!M516</f>
        <v>234319.47258023999</v>
      </c>
      <c r="G59" s="148">
        <f>'Program Budget'!P516</f>
        <v>233660.446209252</v>
      </c>
      <c r="H59" s="148">
        <f>'Program Budget'!S516</f>
        <v>52082.311178494798</v>
      </c>
      <c r="I59" s="148">
        <f>SUM(D59:H59)</f>
        <v>1105173.6343967868</v>
      </c>
      <c r="J59" s="152"/>
    </row>
    <row r="60" spans="2:10">
      <c r="B60" s="98" t="str">
        <f>'USDA Budget Summary'!A34</f>
        <v>Activity 6: Innovation and Job Creation Through Youth Engagement</v>
      </c>
      <c r="C60" s="38"/>
      <c r="D60" s="99"/>
      <c r="E60" s="99"/>
      <c r="F60" s="99"/>
      <c r="G60" s="99"/>
      <c r="H60" s="99"/>
      <c r="I60" s="99"/>
      <c r="J60" s="152"/>
    </row>
    <row r="61" spans="2:10">
      <c r="B61" s="142" t="s">
        <v>408</v>
      </c>
      <c r="C61" s="46"/>
      <c r="D61" s="148">
        <f>'Program Budget'!E596</f>
        <v>275001.48</v>
      </c>
      <c r="E61" s="148">
        <f>'Program Budget'!J596</f>
        <v>544622.92401920003</v>
      </c>
      <c r="F61" s="148">
        <f>'Program Budget'!M596</f>
        <v>0</v>
      </c>
      <c r="G61" s="148">
        <f>'Program Budget'!P596</f>
        <v>0</v>
      </c>
      <c r="H61" s="148">
        <f>'Program Budget'!S596</f>
        <v>0</v>
      </c>
      <c r="I61" s="148">
        <f>SUM(D61:H61)</f>
        <v>819624.40401920001</v>
      </c>
      <c r="J61" s="152"/>
    </row>
    <row r="62" spans="2:10">
      <c r="B62" s="98" t="str">
        <f>'USDA Budget Summary'!A35</f>
        <v>Activity 7: Establishment of Regional Community of Practice</v>
      </c>
      <c r="C62" s="38"/>
      <c r="D62" s="99"/>
      <c r="E62" s="99"/>
      <c r="F62" s="99"/>
      <c r="G62" s="99"/>
      <c r="H62" s="99"/>
      <c r="I62" s="99"/>
      <c r="J62" s="152"/>
    </row>
    <row r="63" spans="2:10">
      <c r="B63" s="142" t="s">
        <v>436</v>
      </c>
      <c r="C63" s="46"/>
      <c r="D63" s="148">
        <f>'Program Budget'!E666</f>
        <v>326182.83</v>
      </c>
      <c r="E63" s="148">
        <f>'Program Budget'!J666</f>
        <v>223852.69801919998</v>
      </c>
      <c r="F63" s="148">
        <f>'Program Budget'!M666</f>
        <v>334430.92318023997</v>
      </c>
      <c r="G63" s="148">
        <f>'Program Budget'!P666</f>
        <v>302757.75413925201</v>
      </c>
      <c r="H63" s="148">
        <f>'Program Budget'!S666</f>
        <v>87026.802994869795</v>
      </c>
      <c r="I63" s="148">
        <f>SUM(D63:H63)</f>
        <v>1274251.0083335617</v>
      </c>
      <c r="J63" s="152"/>
    </row>
    <row r="64" spans="2:10">
      <c r="B64" s="98" t="str">
        <f>'USDA Budget Summary'!A36</f>
        <v>Activity 8: Financial Services: Endowment Establishment, Fundraising and Management</v>
      </c>
      <c r="C64" s="38"/>
      <c r="D64" s="99"/>
      <c r="E64" s="99"/>
      <c r="F64" s="99"/>
      <c r="G64" s="99"/>
      <c r="H64" s="99"/>
      <c r="I64" s="99"/>
      <c r="J64" s="152"/>
    </row>
    <row r="65" spans="2:10">
      <c r="B65" s="142" t="s">
        <v>456</v>
      </c>
      <c r="C65" s="46"/>
      <c r="D65" s="148">
        <f>'Program Budget'!E729</f>
        <v>313876.62</v>
      </c>
      <c r="E65" s="148">
        <f>'Program Budget'!J729</f>
        <v>3225908.1414191998</v>
      </c>
      <c r="F65" s="148">
        <f>'Program Budget'!M729</f>
        <v>0</v>
      </c>
      <c r="G65" s="148">
        <f>'Program Budget'!P729</f>
        <v>0</v>
      </c>
      <c r="H65" s="148">
        <f>'Program Budget'!S729</f>
        <v>0</v>
      </c>
      <c r="I65" s="148">
        <f>SUM(D65:H65)</f>
        <v>3539784.7614191999</v>
      </c>
      <c r="J65" s="152"/>
    </row>
    <row r="66" spans="2:10" ht="12.9" thickBot="1">
      <c r="B66" s="106" t="s">
        <v>667</v>
      </c>
      <c r="C66" s="107"/>
      <c r="D66" s="108">
        <f t="shared" ref="D66:I66" si="4">SUM(D51:D65)</f>
        <v>4631119.7989999996</v>
      </c>
      <c r="E66" s="108">
        <f t="shared" si="4"/>
        <v>7833559.7465257384</v>
      </c>
      <c r="F66" s="108">
        <f t="shared" si="4"/>
        <v>3407779.9272865197</v>
      </c>
      <c r="G66" s="108">
        <f t="shared" si="4"/>
        <v>2440087.7256594277</v>
      </c>
      <c r="H66" s="108">
        <f t="shared" si="4"/>
        <v>370606.32566813717</v>
      </c>
      <c r="I66" s="108">
        <f t="shared" si="4"/>
        <v>18683153.524139825</v>
      </c>
      <c r="J66" s="32"/>
    </row>
    <row r="67" spans="2:10">
      <c r="B67" s="57"/>
      <c r="C67" s="42"/>
      <c r="D67" s="60"/>
      <c r="E67" s="60"/>
      <c r="F67" s="60"/>
      <c r="G67" s="60"/>
      <c r="H67" s="60"/>
      <c r="I67" s="60"/>
    </row>
    <row r="68" spans="2:10">
      <c r="B68" s="57" t="s">
        <v>668</v>
      </c>
      <c r="C68" s="63">
        <v>0.2828</v>
      </c>
      <c r="D68" s="60">
        <f>'Program Budget'!E739-'Indirect Calculations'!D48</f>
        <v>1350658.1529974211</v>
      </c>
      <c r="E68" s="60">
        <f>(E66-'Program Budget'!J721)*$C$68</f>
        <v>1366930.6963174788</v>
      </c>
      <c r="F68" s="60">
        <f>F66*$C$68</f>
        <v>963720.16343662771</v>
      </c>
      <c r="G68" s="60">
        <f>G66*$C$68</f>
        <v>690056.80881648615</v>
      </c>
      <c r="H68" s="60">
        <f>H66*$C$68</f>
        <v>104807.46889894918</v>
      </c>
      <c r="I68" s="60">
        <f>SUM(H68+G68,F68,E68,D68)</f>
        <v>4476173.2904669633</v>
      </c>
      <c r="J68" s="570" t="s">
        <v>669</v>
      </c>
    </row>
    <row r="69" spans="2:10">
      <c r="B69" s="109"/>
      <c r="C69" s="41"/>
      <c r="D69" s="111"/>
      <c r="E69" s="111"/>
      <c r="F69" s="111"/>
      <c r="G69" s="111"/>
      <c r="H69" s="111"/>
      <c r="I69" s="111"/>
    </row>
    <row r="70" spans="2:10" ht="12.9" thickBot="1">
      <c r="B70" s="112" t="s">
        <v>670</v>
      </c>
      <c r="C70" s="113"/>
      <c r="D70" s="114">
        <f>D68</f>
        <v>1350658.1529974211</v>
      </c>
      <c r="E70" s="114">
        <f t="shared" ref="E70:I70" si="5">E68</f>
        <v>1366930.6963174788</v>
      </c>
      <c r="F70" s="114">
        <f t="shared" si="5"/>
        <v>963720.16343662771</v>
      </c>
      <c r="G70" s="114">
        <f>G68</f>
        <v>690056.80881648615</v>
      </c>
      <c r="H70" s="114">
        <f t="shared" si="5"/>
        <v>104807.46889894918</v>
      </c>
      <c r="I70" s="114">
        <f t="shared" si="5"/>
        <v>4476173.2904669633</v>
      </c>
    </row>
    <row r="71" spans="2:10" ht="12.9" thickTop="1"/>
    <row r="72" spans="2:10" ht="12.9" thickBot="1">
      <c r="B72" s="112" t="s">
        <v>671</v>
      </c>
      <c r="C72" s="113"/>
      <c r="D72" s="114">
        <f t="shared" ref="D72:H72" si="6">D70+D48</f>
        <v>2374271.40522984</v>
      </c>
      <c r="E72" s="114">
        <f t="shared" si="6"/>
        <v>1657099.7583437033</v>
      </c>
      <c r="F72" s="114">
        <f t="shared" si="6"/>
        <v>1137224.1254337677</v>
      </c>
      <c r="G72" s="114">
        <f t="shared" si="6"/>
        <v>883236.30801060935</v>
      </c>
      <c r="H72" s="114">
        <f t="shared" si="6"/>
        <v>252654.47842945749</v>
      </c>
      <c r="I72" s="114">
        <f>I70+I48</f>
        <v>6304486.0754473787</v>
      </c>
    </row>
    <row r="73" spans="2:10" ht="12.9" thickTop="1">
      <c r="I73" s="51"/>
    </row>
    <row r="75" spans="2:10">
      <c r="B75" s="115"/>
      <c r="D75" s="480"/>
    </row>
    <row r="76" spans="2:10">
      <c r="B76" s="115"/>
    </row>
  </sheetData>
  <mergeCells count="5">
    <mergeCell ref="B1:I1"/>
    <mergeCell ref="B2:I2"/>
    <mergeCell ref="B3:I3"/>
    <mergeCell ref="B5:I5"/>
    <mergeCell ref="B4:I4"/>
  </mergeCells>
  <pageMargins left="0.7" right="0.7" top="0.75" bottom="0.75" header="0.3" footer="0.3"/>
  <pageSetup scale="84" orientation="landscape" r:id="rId1"/>
  <headerFooter alignWithMargins="0"/>
  <rowBreaks count="1" manualBreakCount="1">
    <brk id="49" min="1" max="1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D2B3-BD7A-4BE0-B928-4167DE756D06}">
  <sheetPr>
    <pageSetUpPr fitToPage="1"/>
  </sheetPr>
  <dimension ref="A1:J76"/>
  <sheetViews>
    <sheetView zoomScale="88" zoomScaleNormal="100" zoomScaleSheetLayoutView="90" workbookViewId="0">
      <pane ySplit="7" topLeftCell="A69" activePane="bottomLeft" state="frozen"/>
      <selection activeCell="B75" sqref="B75"/>
      <selection pane="bottomLeft" activeCell="C69" sqref="C69"/>
    </sheetView>
  </sheetViews>
  <sheetFormatPr defaultColWidth="11.44140625" defaultRowHeight="12.6"/>
  <cols>
    <col min="1" max="1" width="3.44140625" style="5" customWidth="1"/>
    <col min="2" max="2" width="64.1640625" style="7" bestFit="1" customWidth="1"/>
    <col min="3" max="3" width="10.83203125" style="50" bestFit="1" customWidth="1"/>
    <col min="4" max="4" width="10.83203125" style="31" bestFit="1" customWidth="1"/>
    <col min="5" max="8" width="12.1640625" style="31" bestFit="1" customWidth="1"/>
    <col min="9" max="9" width="11.83203125" style="31" bestFit="1" customWidth="1"/>
    <col min="10" max="10" width="32.1640625" style="5" bestFit="1" customWidth="1"/>
    <col min="11" max="11" width="12.44140625" style="5" bestFit="1" customWidth="1"/>
    <col min="12" max="16384" width="11.44140625" style="5"/>
  </cols>
  <sheetData>
    <row r="1" spans="2:10" ht="14.2" customHeight="1">
      <c r="B1" s="640" t="s">
        <v>635</v>
      </c>
      <c r="C1" s="640"/>
      <c r="D1" s="640"/>
      <c r="E1" s="640"/>
      <c r="F1" s="640"/>
      <c r="G1" s="640"/>
      <c r="H1" s="640"/>
      <c r="I1" s="640"/>
    </row>
    <row r="2" spans="2:10" ht="14.2" customHeight="1">
      <c r="B2" s="643" t="s">
        <v>636</v>
      </c>
      <c r="C2" s="643"/>
      <c r="D2" s="643"/>
      <c r="E2" s="643"/>
      <c r="F2" s="643"/>
      <c r="G2" s="643"/>
      <c r="H2" s="643"/>
      <c r="I2" s="643"/>
    </row>
    <row r="3" spans="2:10" ht="14.2" customHeight="1">
      <c r="B3" s="640" t="s">
        <v>637</v>
      </c>
      <c r="C3" s="640"/>
      <c r="D3" s="640"/>
      <c r="E3" s="640"/>
      <c r="F3" s="640"/>
      <c r="G3" s="640"/>
      <c r="H3" s="640"/>
      <c r="I3" s="640"/>
    </row>
    <row r="4" spans="2:10" ht="14.2" customHeight="1">
      <c r="B4" s="640" t="s">
        <v>638</v>
      </c>
      <c r="C4" s="640"/>
      <c r="D4" s="640"/>
      <c r="E4" s="640"/>
      <c r="F4" s="640"/>
      <c r="G4" s="640"/>
      <c r="H4" s="640"/>
      <c r="I4" s="640"/>
    </row>
    <row r="5" spans="2:10" ht="14.2" customHeight="1">
      <c r="B5" s="640" t="s">
        <v>639</v>
      </c>
      <c r="C5" s="640"/>
      <c r="D5" s="640"/>
      <c r="E5" s="640"/>
      <c r="F5" s="640"/>
      <c r="G5" s="640"/>
      <c r="H5" s="640"/>
      <c r="I5" s="640"/>
    </row>
    <row r="7" spans="2:10" ht="24.9">
      <c r="B7" s="145" t="s">
        <v>76</v>
      </c>
      <c r="C7" s="146" t="s">
        <v>79</v>
      </c>
      <c r="D7" s="147" t="s">
        <v>640</v>
      </c>
      <c r="E7" s="147" t="s">
        <v>641</v>
      </c>
      <c r="F7" s="147" t="s">
        <v>642</v>
      </c>
      <c r="G7" s="146" t="s">
        <v>643</v>
      </c>
      <c r="H7" s="146" t="s">
        <v>644</v>
      </c>
      <c r="I7" s="146" t="s">
        <v>89</v>
      </c>
    </row>
    <row r="8" spans="2:10">
      <c r="B8" s="36" t="s">
        <v>645</v>
      </c>
      <c r="C8" s="38"/>
      <c r="D8" s="39"/>
      <c r="E8" s="39"/>
      <c r="F8" s="39"/>
      <c r="G8" s="39"/>
      <c r="H8" s="39"/>
      <c r="I8" s="39"/>
    </row>
    <row r="9" spans="2:10" hidden="1">
      <c r="B9" s="75" t="s">
        <v>646</v>
      </c>
      <c r="C9" s="77"/>
      <c r="D9" s="78"/>
      <c r="E9" s="78"/>
      <c r="F9" s="78"/>
      <c r="G9" s="78"/>
      <c r="H9" s="78"/>
      <c r="I9" s="78"/>
    </row>
    <row r="10" spans="2:10" hidden="1">
      <c r="B10" s="7" t="s">
        <v>647</v>
      </c>
      <c r="C10" s="43">
        <f>141500/12</f>
        <v>11791.666666666666</v>
      </c>
      <c r="D10" s="43" t="e">
        <f>#REF!*C10*#REF!</f>
        <v>#REF!</v>
      </c>
      <c r="E10" s="43" t="e">
        <f>#REF!*C10*#REF!*#REF!</f>
        <v>#REF!</v>
      </c>
      <c r="F10" s="43" t="e">
        <f>#REF!*C10*#REF!*#REF!*#REF!</f>
        <v>#REF!</v>
      </c>
      <c r="G10" s="43" t="e">
        <f>#REF!*C10*#REF!*#REF!*#REF!*#REF!</f>
        <v>#REF!</v>
      </c>
      <c r="H10" s="43" t="e">
        <f>#REF!*C10*#REF!*#REF!*#REF!*#REF!*#REF!</f>
        <v>#REF!</v>
      </c>
      <c r="I10" s="43" t="e">
        <f t="shared" ref="I10:I24" si="0">SUM(G10,F10,E10,D10,H10)</f>
        <v>#REF!</v>
      </c>
    </row>
    <row r="11" spans="2:10" hidden="1">
      <c r="B11" s="7" t="s">
        <v>648</v>
      </c>
      <c r="C11" s="43">
        <f>110000/12</f>
        <v>9166.6666666666661</v>
      </c>
      <c r="D11" s="43" t="e">
        <f>#REF!*C11*#REF!</f>
        <v>#REF!</v>
      </c>
      <c r="E11" s="43" t="e">
        <f>#REF!*C11*#REF!*#REF!</f>
        <v>#REF!</v>
      </c>
      <c r="F11" s="43" t="e">
        <f>#REF!*C11*#REF!*#REF!*#REF!</f>
        <v>#REF!</v>
      </c>
      <c r="G11" s="43" t="e">
        <f>#REF!*C11*#REF!*#REF!*#REF!*#REF!</f>
        <v>#REF!</v>
      </c>
      <c r="H11" s="43" t="e">
        <f>#REF!*C11*#REF!*#REF!*#REF!*#REF!*#REF!</f>
        <v>#REF!</v>
      </c>
      <c r="I11" s="43" t="e">
        <f t="shared" si="0"/>
        <v>#REF!</v>
      </c>
    </row>
    <row r="12" spans="2:10" hidden="1">
      <c r="B12" s="7" t="s">
        <v>118</v>
      </c>
      <c r="C12" s="43">
        <f>39000/12</f>
        <v>3250</v>
      </c>
      <c r="D12" s="43" t="e">
        <f>#REF!*C12*#REF!</f>
        <v>#REF!</v>
      </c>
      <c r="E12" s="43" t="e">
        <f>#REF!*C12*#REF!*#REF!</f>
        <v>#REF!</v>
      </c>
      <c r="F12" s="43" t="e">
        <f>#REF!*C12*#REF!*#REF!*#REF!</f>
        <v>#REF!</v>
      </c>
      <c r="G12" s="43" t="e">
        <f>#REF!*C12*#REF!*#REF!*#REF!*#REF!</f>
        <v>#REF!</v>
      </c>
      <c r="H12" s="43" t="e">
        <f>#REF!*C12*#REF!*#REF!*#REF!*#REF!*#REF!</f>
        <v>#REF!</v>
      </c>
      <c r="I12" s="43" t="e">
        <f t="shared" si="0"/>
        <v>#REF!</v>
      </c>
    </row>
    <row r="13" spans="2:10" hidden="1">
      <c r="B13" s="7" t="s">
        <v>649</v>
      </c>
      <c r="C13" s="43">
        <f>39000/12</f>
        <v>3250</v>
      </c>
      <c r="D13" s="43" t="e">
        <f>#REF!*C13*#REF!</f>
        <v>#REF!</v>
      </c>
      <c r="E13" s="43" t="e">
        <f>#REF!*C13*#REF!*#REF!</f>
        <v>#REF!</v>
      </c>
      <c r="F13" s="43" t="e">
        <f>#REF!*C13*#REF!*#REF!*#REF!</f>
        <v>#REF!</v>
      </c>
      <c r="G13" s="43" t="e">
        <f>#REF!*C13*#REF!*#REF!*#REF!*#REF!</f>
        <v>#REF!</v>
      </c>
      <c r="H13" s="43" t="e">
        <f>#REF!*C13*#REF!*#REF!*#REF!*#REF!*#REF!</f>
        <v>#REF!</v>
      </c>
      <c r="I13" s="43" t="e">
        <f t="shared" si="0"/>
        <v>#REF!</v>
      </c>
    </row>
    <row r="14" spans="2:10" hidden="1">
      <c r="B14" s="7" t="s">
        <v>650</v>
      </c>
      <c r="C14" s="43">
        <f>22000/12</f>
        <v>1833.3333333333333</v>
      </c>
      <c r="D14" s="43" t="e">
        <f>#REF!*C14*#REF!</f>
        <v>#REF!</v>
      </c>
      <c r="E14" s="43" t="e">
        <f>#REF!*C14*#REF!*#REF!</f>
        <v>#REF!</v>
      </c>
      <c r="F14" s="43" t="e">
        <f>#REF!*C14*#REF!*#REF!*#REF!</f>
        <v>#REF!</v>
      </c>
      <c r="G14" s="43" t="e">
        <f>#REF!*C14*#REF!*#REF!*#REF!*#REF!</f>
        <v>#REF!</v>
      </c>
      <c r="H14" s="43" t="e">
        <f>#REF!*C14*#REF!*#REF!*#REF!*#REF!*#REF!</f>
        <v>#REF!</v>
      </c>
      <c r="I14" s="43" t="e">
        <f t="shared" si="0"/>
        <v>#REF!</v>
      </c>
      <c r="J14" s="61"/>
    </row>
    <row r="15" spans="2:10" hidden="1">
      <c r="B15" s="7" t="s">
        <v>650</v>
      </c>
      <c r="C15" s="43">
        <f>22000/12</f>
        <v>1833.3333333333333</v>
      </c>
      <c r="D15" s="43" t="e">
        <f>#REF!*C15*#REF!</f>
        <v>#REF!</v>
      </c>
      <c r="E15" s="43" t="e">
        <f>#REF!*C15*#REF!*#REF!</f>
        <v>#REF!</v>
      </c>
      <c r="F15" s="43" t="e">
        <f>#REF!*C15*#REF!*#REF!*#REF!</f>
        <v>#REF!</v>
      </c>
      <c r="G15" s="43" t="e">
        <f>#REF!*C15*#REF!*#REF!*#REF!*#REF!</f>
        <v>#REF!</v>
      </c>
      <c r="H15" s="43" t="e">
        <f>#REF!*C15*#REF!*#REF!*#REF!*#REF!*#REF!</f>
        <v>#REF!</v>
      </c>
      <c r="I15" s="43" t="e">
        <f t="shared" si="0"/>
        <v>#REF!</v>
      </c>
      <c r="J15" s="61"/>
    </row>
    <row r="16" spans="2:10" hidden="1">
      <c r="B16" s="7" t="s">
        <v>651</v>
      </c>
      <c r="C16" s="43">
        <f>22000/12</f>
        <v>1833.3333333333333</v>
      </c>
      <c r="D16" s="43" t="e">
        <f>#REF!*C16*#REF!</f>
        <v>#REF!</v>
      </c>
      <c r="E16" s="43" t="e">
        <f>#REF!*C16*#REF!*#REF!</f>
        <v>#REF!</v>
      </c>
      <c r="F16" s="43" t="e">
        <f>#REF!*C16*#REF!*#REF!*#REF!</f>
        <v>#REF!</v>
      </c>
      <c r="G16" s="43" t="e">
        <f>#REF!*C16*#REF!*#REF!*#REF!*#REF!</f>
        <v>#REF!</v>
      </c>
      <c r="H16" s="43" t="e">
        <f>#REF!*C16*#REF!*#REF!*#REF!*#REF!*#REF!</f>
        <v>#REF!</v>
      </c>
      <c r="I16" s="43" t="e">
        <f t="shared" si="0"/>
        <v>#REF!</v>
      </c>
    </row>
    <row r="17" spans="2:10" hidden="1">
      <c r="B17" s="7" t="s">
        <v>651</v>
      </c>
      <c r="C17" s="43">
        <f>18000/12</f>
        <v>1500</v>
      </c>
      <c r="D17" s="43" t="e">
        <f>#REF!*C17*#REF!</f>
        <v>#REF!</v>
      </c>
      <c r="E17" s="43" t="e">
        <f>#REF!*C17*#REF!*#REF!</f>
        <v>#REF!</v>
      </c>
      <c r="F17" s="43" t="e">
        <f>#REF!*C17*#REF!*#REF!*#REF!</f>
        <v>#REF!</v>
      </c>
      <c r="G17" s="43" t="e">
        <f>#REF!*C17*#REF!*#REF!*#REF!*#REF!</f>
        <v>#REF!</v>
      </c>
      <c r="H17" s="43" t="e">
        <f>#REF!*C17*#REF!*#REF!*#REF!*#REF!*#REF!</f>
        <v>#REF!</v>
      </c>
      <c r="I17" s="43" t="e">
        <f t="shared" si="0"/>
        <v>#REF!</v>
      </c>
    </row>
    <row r="18" spans="2:10" hidden="1">
      <c r="B18" s="7" t="s">
        <v>652</v>
      </c>
      <c r="C18" s="43">
        <f>22000/12</f>
        <v>1833.3333333333333</v>
      </c>
      <c r="D18" s="43" t="e">
        <f>#REF!*C18*#REF!</f>
        <v>#REF!</v>
      </c>
      <c r="E18" s="43" t="e">
        <f>#REF!*C18*#REF!*#REF!</f>
        <v>#REF!</v>
      </c>
      <c r="F18" s="43" t="e">
        <f>#REF!*C18*#REF!*#REF!*#REF!</f>
        <v>#REF!</v>
      </c>
      <c r="G18" s="43" t="e">
        <f>#REF!*C18*#REF!*#REF!*#REF!*#REF!</f>
        <v>#REF!</v>
      </c>
      <c r="H18" s="43" t="e">
        <f>#REF!*C18*#REF!*#REF!*#REF!*#REF!*#REF!</f>
        <v>#REF!</v>
      </c>
      <c r="I18" s="43" t="e">
        <f t="shared" si="0"/>
        <v>#REF!</v>
      </c>
    </row>
    <row r="19" spans="2:10" hidden="1">
      <c r="B19" s="7" t="s">
        <v>652</v>
      </c>
      <c r="C19" s="43">
        <f>22000/12</f>
        <v>1833.3333333333333</v>
      </c>
      <c r="D19" s="43" t="e">
        <f>#REF!*C19*#REF!</f>
        <v>#REF!</v>
      </c>
      <c r="E19" s="43" t="e">
        <f>#REF!*C19*#REF!*#REF!</f>
        <v>#REF!</v>
      </c>
      <c r="F19" s="43" t="e">
        <f>#REF!*C19*#REF!*#REF!*#REF!</f>
        <v>#REF!</v>
      </c>
      <c r="G19" s="43" t="e">
        <f>#REF!*C19*#REF!*#REF!*#REF!*#REF!</f>
        <v>#REF!</v>
      </c>
      <c r="H19" s="43" t="e">
        <f>#REF!*C19*#REF!*#REF!*#REF!*#REF!*#REF!</f>
        <v>#REF!</v>
      </c>
      <c r="I19" s="43" t="e">
        <f t="shared" si="0"/>
        <v>#REF!</v>
      </c>
    </row>
    <row r="20" spans="2:10" hidden="1">
      <c r="B20" s="7" t="s">
        <v>652</v>
      </c>
      <c r="C20" s="43">
        <f>18000/12</f>
        <v>1500</v>
      </c>
      <c r="D20" s="43" t="e">
        <f>#REF!*C20*#REF!</f>
        <v>#REF!</v>
      </c>
      <c r="E20" s="43" t="e">
        <f>#REF!*C20*#REF!*#REF!</f>
        <v>#REF!</v>
      </c>
      <c r="F20" s="43" t="e">
        <f>#REF!*C20*#REF!*#REF!*#REF!</f>
        <v>#REF!</v>
      </c>
      <c r="G20" s="43" t="e">
        <f>#REF!*C20*#REF!*#REF!*#REF!*#REF!</f>
        <v>#REF!</v>
      </c>
      <c r="H20" s="43" t="e">
        <f>#REF!*C20*#REF!*#REF!*#REF!*#REF!*#REF!</f>
        <v>#REF!</v>
      </c>
      <c r="I20" s="43" t="e">
        <f t="shared" si="0"/>
        <v>#REF!</v>
      </c>
    </row>
    <row r="21" spans="2:10" hidden="1">
      <c r="B21" s="7" t="s">
        <v>652</v>
      </c>
      <c r="C21" s="43">
        <f>18000/12</f>
        <v>1500</v>
      </c>
      <c r="D21" s="43" t="e">
        <f>#REF!*C21*#REF!</f>
        <v>#REF!</v>
      </c>
      <c r="E21" s="43" t="e">
        <f>#REF!*C21*#REF!*#REF!</f>
        <v>#REF!</v>
      </c>
      <c r="F21" s="43" t="e">
        <f>#REF!*C21*#REF!*#REF!*#REF!</f>
        <v>#REF!</v>
      </c>
      <c r="G21" s="43" t="e">
        <f>#REF!*C21*#REF!*#REF!*#REF!*#REF!</f>
        <v>#REF!</v>
      </c>
      <c r="H21" s="43" t="e">
        <f>#REF!*C21*#REF!*#REF!*#REF!*#REF!*#REF!</f>
        <v>#REF!</v>
      </c>
      <c r="I21" s="43" t="e">
        <f t="shared" si="0"/>
        <v>#REF!</v>
      </c>
    </row>
    <row r="22" spans="2:10" hidden="1">
      <c r="B22" s="7" t="s">
        <v>653</v>
      </c>
      <c r="C22" s="43">
        <f>22000/12</f>
        <v>1833.3333333333333</v>
      </c>
      <c r="D22" s="43" t="e">
        <f>#REF!*C22*#REF!</f>
        <v>#REF!</v>
      </c>
      <c r="E22" s="43" t="e">
        <f>#REF!*C22*#REF!*#REF!</f>
        <v>#REF!</v>
      </c>
      <c r="F22" s="43" t="e">
        <f>#REF!*C22*#REF!*#REF!*#REF!</f>
        <v>#REF!</v>
      </c>
      <c r="G22" s="43" t="e">
        <f>#REF!*C22*#REF!*#REF!*#REF!*#REF!</f>
        <v>#REF!</v>
      </c>
      <c r="H22" s="43" t="e">
        <f>#REF!*C22*#REF!*#REF!*#REF!*#REF!*#REF!</f>
        <v>#REF!</v>
      </c>
      <c r="I22" s="43" t="e">
        <f t="shared" si="0"/>
        <v>#REF!</v>
      </c>
    </row>
    <row r="23" spans="2:10" hidden="1">
      <c r="B23" s="7" t="s">
        <v>120</v>
      </c>
      <c r="C23" s="43">
        <f>18000/12</f>
        <v>1500</v>
      </c>
      <c r="D23" s="43" t="e">
        <f>#REF!*C23*#REF!</f>
        <v>#REF!</v>
      </c>
      <c r="E23" s="43" t="e">
        <f>#REF!*C23*#REF!*#REF!</f>
        <v>#REF!</v>
      </c>
      <c r="F23" s="43" t="e">
        <f>#REF!*C23*#REF!*#REF!*#REF!</f>
        <v>#REF!</v>
      </c>
      <c r="G23" s="43" t="e">
        <f>#REF!*C23*#REF!*#REF!*#REF!*#REF!</f>
        <v>#REF!</v>
      </c>
      <c r="H23" s="43" t="e">
        <f>#REF!*C23*#REF!*#REF!*#REF!*#REF!*#REF!</f>
        <v>#REF!</v>
      </c>
      <c r="I23" s="43" t="e">
        <f t="shared" si="0"/>
        <v>#REF!</v>
      </c>
    </row>
    <row r="24" spans="2:10" hidden="1">
      <c r="B24" s="7" t="s">
        <v>654</v>
      </c>
      <c r="C24" s="43">
        <f>15000/12</f>
        <v>1250</v>
      </c>
      <c r="D24" s="43" t="e">
        <f>#REF!*C24*#REF!</f>
        <v>#REF!</v>
      </c>
      <c r="E24" s="43" t="e">
        <f>#REF!*C24*#REF!*#REF!</f>
        <v>#REF!</v>
      </c>
      <c r="F24" s="43" t="e">
        <f>#REF!*C24*#REF!*#REF!*#REF!</f>
        <v>#REF!</v>
      </c>
      <c r="G24" s="43" t="e">
        <f>#REF!*C24*#REF!*#REF!*#REF!*#REF!</f>
        <v>#REF!</v>
      </c>
      <c r="H24" s="43" t="e">
        <f>#REF!*C24*#REF!*#REF!*#REF!*#REF!*#REF!</f>
        <v>#REF!</v>
      </c>
      <c r="I24" s="43" t="e">
        <f t="shared" si="0"/>
        <v>#REF!</v>
      </c>
    </row>
    <row r="25" spans="2:10" hidden="1">
      <c r="C25" s="43"/>
      <c r="D25" s="43"/>
      <c r="E25" s="43"/>
      <c r="F25" s="43"/>
      <c r="G25" s="43"/>
      <c r="H25" s="43"/>
      <c r="I25" s="43"/>
    </row>
    <row r="26" spans="2:10" hidden="1">
      <c r="B26" s="75" t="s">
        <v>655</v>
      </c>
      <c r="C26" s="80"/>
      <c r="D26" s="80"/>
      <c r="E26" s="80"/>
      <c r="F26" s="80"/>
      <c r="G26" s="80"/>
      <c r="H26" s="80"/>
      <c r="I26" s="80"/>
    </row>
    <row r="27" spans="2:10" hidden="1">
      <c r="B27" s="7" t="s">
        <v>656</v>
      </c>
      <c r="C27" s="43">
        <f>55000/12</f>
        <v>4583.333333333333</v>
      </c>
      <c r="D27" s="43" t="e">
        <f>#REF!*C27*#REF!</f>
        <v>#REF!</v>
      </c>
      <c r="E27" s="43" t="e">
        <f>#REF!*C27*#REF!*#REF!</f>
        <v>#REF!</v>
      </c>
      <c r="F27" s="43" t="e">
        <f>#REF!*C27*#REF!*#REF!*#REF!</f>
        <v>#REF!</v>
      </c>
      <c r="G27" s="43" t="e">
        <f>#REF!*C27*#REF!*#REF!*#REF!*#REF!</f>
        <v>#REF!</v>
      </c>
      <c r="H27" s="43" t="e">
        <f>#REF!*C27*#REF!*#REF!*#REF!*#REF!*#REF!</f>
        <v>#REF!</v>
      </c>
      <c r="I27" s="43" t="e">
        <f>SUM(G27,F27,E27,D27,H27)</f>
        <v>#REF!</v>
      </c>
      <c r="J27" s="65"/>
    </row>
    <row r="28" spans="2:10" hidden="1">
      <c r="C28" s="43"/>
      <c r="D28" s="43"/>
      <c r="E28" s="43"/>
      <c r="F28" s="43"/>
      <c r="G28" s="43"/>
      <c r="H28" s="43"/>
      <c r="I28" s="43"/>
    </row>
    <row r="29" spans="2:10">
      <c r="B29" s="142" t="s">
        <v>129</v>
      </c>
      <c r="C29" s="142"/>
      <c r="D29" s="149">
        <f>'Program Budget'!E48*('Program Budget'!E739/'Program Budget'!E737)</f>
        <v>272186.17151630111</v>
      </c>
      <c r="E29" s="149">
        <f>'Program Budget'!J48*$C$46</f>
        <v>66287.731776000001</v>
      </c>
      <c r="F29" s="149">
        <f>'Program Budget'!M48*$C$46</f>
        <v>68752.869964800004</v>
      </c>
      <c r="G29" s="149">
        <f>'Program Budget'!P48*$C$46</f>
        <v>72190.513463039999</v>
      </c>
      <c r="H29" s="149">
        <f>'Program Budget'!S48*$C$46</f>
        <v>33053.485519971</v>
      </c>
      <c r="I29" s="148">
        <f>SUM(D29:H29)</f>
        <v>512470.77224011213</v>
      </c>
    </row>
    <row r="30" spans="2:10">
      <c r="B30" s="37" t="s">
        <v>657</v>
      </c>
      <c r="C30" s="38"/>
      <c r="D30" s="39"/>
      <c r="E30" s="39"/>
      <c r="F30" s="39"/>
      <c r="G30" s="39"/>
      <c r="H30" s="39"/>
      <c r="I30" s="39"/>
    </row>
    <row r="31" spans="2:10">
      <c r="B31" s="150" t="s">
        <v>141</v>
      </c>
      <c r="C31" s="151"/>
      <c r="D31" s="149">
        <f>'Program Budget'!E60*('Program Budget'!E739/'Program Budget'!E737)</f>
        <v>161562.64084483168</v>
      </c>
      <c r="E31" s="149">
        <f>'Program Budget'!J60*$C$46</f>
        <v>33668.35345022464</v>
      </c>
      <c r="F31" s="149">
        <f>'Program Budget'!M60*$C$46</f>
        <v>34257.174048339868</v>
      </c>
      <c r="G31" s="149">
        <f>'Program Budget'!P60*$C$46</f>
        <v>36651.280611723261</v>
      </c>
      <c r="H31" s="149">
        <f>'Program Budget'!S60*$C$46</f>
        <v>10584.708275636529</v>
      </c>
      <c r="I31" s="148">
        <f>SUM(D31:H31)</f>
        <v>276724.15723075601</v>
      </c>
    </row>
    <row r="32" spans="2:10">
      <c r="B32" s="37" t="s">
        <v>658</v>
      </c>
      <c r="C32" s="38"/>
      <c r="D32" s="39"/>
      <c r="E32" s="39"/>
      <c r="F32" s="39"/>
      <c r="G32" s="39"/>
      <c r="H32" s="39"/>
      <c r="I32" s="39"/>
    </row>
    <row r="33" spans="1:10">
      <c r="A33" s="86"/>
      <c r="B33" s="142" t="s">
        <v>158</v>
      </c>
      <c r="C33" s="151"/>
      <c r="D33" s="149">
        <f>'Program Budget'!E77*('Program Budget'!E739/'Program Budget'!E737)</f>
        <v>29650.315879422662</v>
      </c>
      <c r="E33" s="149">
        <f>'Program Budget'!J77*$C$46</f>
        <v>14741.7984</v>
      </c>
      <c r="F33" s="149">
        <f>'Program Budget'!M77*$C$46</f>
        <v>15291.595535999999</v>
      </c>
      <c r="G33" s="149">
        <f>'Program Budget'!P77*$C$46</f>
        <v>15862.18831344</v>
      </c>
      <c r="H33" s="149">
        <f>'Program Budget'!S77*$C$46</f>
        <v>9628.9714855823986</v>
      </c>
      <c r="I33" s="148">
        <f>SUM(D33:H33)</f>
        <v>85174.869614445066</v>
      </c>
    </row>
    <row r="34" spans="1:10">
      <c r="B34" s="37" t="s">
        <v>659</v>
      </c>
      <c r="C34" s="38"/>
      <c r="D34" s="39"/>
      <c r="E34" s="39"/>
      <c r="F34" s="39"/>
      <c r="G34" s="39"/>
      <c r="H34" s="39"/>
      <c r="I34" s="39"/>
    </row>
    <row r="35" spans="1:10">
      <c r="A35" s="86"/>
      <c r="B35" s="142" t="s">
        <v>183</v>
      </c>
      <c r="C35" s="151"/>
      <c r="D35" s="149">
        <f>'Program Budget'!E101*('Program Budget'!E739/'Program Budget'!E737)</f>
        <v>428503.14157082053</v>
      </c>
      <c r="E35" s="149">
        <f>'Program Budget'!J101*$C$46</f>
        <v>141922.89720000001</v>
      </c>
      <c r="F35" s="149">
        <f>'Program Budget'!M101*$C$46</f>
        <v>20566.63</v>
      </c>
      <c r="G35" s="149">
        <f>'Program Budget'!P101*$C$46</f>
        <v>32954.387060000001</v>
      </c>
      <c r="H35" s="149">
        <f>'Program Budget'!S101*$C$46</f>
        <v>74991.490000000005</v>
      </c>
      <c r="I35" s="148">
        <f>SUM(D35:H35)</f>
        <v>698938.54583082045</v>
      </c>
    </row>
    <row r="36" spans="1:10">
      <c r="B36" s="37" t="s">
        <v>660</v>
      </c>
      <c r="C36" s="38"/>
      <c r="D36" s="39"/>
      <c r="E36" s="39"/>
      <c r="F36" s="39"/>
      <c r="G36" s="39"/>
      <c r="H36" s="39"/>
      <c r="I36" s="39"/>
    </row>
    <row r="37" spans="1:10">
      <c r="B37" s="142" t="s">
        <v>185</v>
      </c>
      <c r="C37" s="142"/>
      <c r="D37" s="474">
        <f>'Program Budget'!E106*('Program Budget'!E739/'Program Budget'!E737)</f>
        <v>21160.375717213152</v>
      </c>
      <c r="E37" s="474">
        <f>'Program Budget'!J106*$C$46</f>
        <v>0</v>
      </c>
      <c r="F37" s="474">
        <f>'Program Budget'!M106*$C$46</f>
        <v>0</v>
      </c>
      <c r="G37" s="474">
        <f>'Program Budget'!P106*$C$46</f>
        <v>0</v>
      </c>
      <c r="H37" s="474">
        <f>'Program Budget'!S106*$C$46</f>
        <v>0</v>
      </c>
      <c r="I37" s="148">
        <f>SUM(D37:H37)</f>
        <v>21160.375717213152</v>
      </c>
    </row>
    <row r="38" spans="1:10">
      <c r="A38" s="86"/>
      <c r="B38" s="37" t="s">
        <v>661</v>
      </c>
      <c r="C38" s="38"/>
      <c r="D38" s="39"/>
      <c r="E38" s="39"/>
      <c r="F38" s="39"/>
      <c r="G38" s="39"/>
      <c r="H38" s="39"/>
      <c r="I38" s="39"/>
    </row>
    <row r="39" spans="1:10">
      <c r="B39" s="142" t="s">
        <v>195</v>
      </c>
      <c r="C39" s="143"/>
      <c r="D39" s="474">
        <f>'Program Budget'!E118*('Program Budget'!E739/'Program Budget'!E737)</f>
        <v>64352.726827112943</v>
      </c>
      <c r="E39" s="474">
        <f>'Program Budget'!J118*$C$46</f>
        <v>23728.051199999998</v>
      </c>
      <c r="F39" s="474">
        <f>'Program Budget'!M118*$C$46</f>
        <v>24677.173247999999</v>
      </c>
      <c r="G39" s="474">
        <f>'Program Budget'!P118*$C$46</f>
        <v>25664.260177920001</v>
      </c>
      <c r="H39" s="474">
        <f>'Program Budget'!S118*$C$46</f>
        <v>13345.415292518399</v>
      </c>
      <c r="I39" s="148">
        <f>SUM(D39:H39)</f>
        <v>151767.62674555133</v>
      </c>
    </row>
    <row r="40" spans="1:10">
      <c r="A40" s="86"/>
      <c r="B40" s="37" t="s">
        <v>662</v>
      </c>
      <c r="C40" s="38"/>
      <c r="D40" s="39"/>
      <c r="E40" s="39"/>
      <c r="F40" s="39"/>
      <c r="G40" s="39"/>
      <c r="H40" s="39"/>
      <c r="I40" s="39"/>
    </row>
    <row r="41" spans="1:10" ht="12.9" thickBot="1">
      <c r="B41" s="53" t="s">
        <v>204</v>
      </c>
      <c r="C41" s="67"/>
      <c r="D41" s="68">
        <f>'Program Budget'!E129*('Program Budget'!E739/'Program Budget'!E737)</f>
        <v>31479.382321030545</v>
      </c>
      <c r="E41" s="68">
        <f>'Program Budget'!J129*$C$46</f>
        <v>7494.2</v>
      </c>
      <c r="F41" s="68">
        <f>'Program Budget'!M129*$C$46</f>
        <v>7539.4480000000003</v>
      </c>
      <c r="G41" s="68">
        <f>'Program Budget'!P129*$C$46</f>
        <v>7341.0355200000004</v>
      </c>
      <c r="H41" s="68">
        <f>'Program Budget'!S129*$C$46</f>
        <v>3817.3384704</v>
      </c>
      <c r="I41" s="68">
        <f>SUM(D41:H41)</f>
        <v>57671.404311430539</v>
      </c>
    </row>
    <row r="42" spans="1:10">
      <c r="A42" s="86"/>
      <c r="B42" s="37" t="s">
        <v>663</v>
      </c>
      <c r="C42" s="38"/>
      <c r="D42" s="39"/>
      <c r="E42" s="39"/>
      <c r="F42" s="39"/>
      <c r="G42" s="39"/>
      <c r="H42" s="39"/>
      <c r="I42" s="39"/>
    </row>
    <row r="43" spans="1:10" ht="12.9" thickBot="1">
      <c r="B43" s="53" t="s">
        <v>214</v>
      </c>
      <c r="C43" s="67"/>
      <c r="D43" s="68">
        <f>'Program Budget'!E141*('Program Budget'!E739/'Program Budget'!E737)</f>
        <v>14718.462786148595</v>
      </c>
      <c r="E43" s="68">
        <f>'Program Budget'!J141*$C$46</f>
        <v>2326.0299999999997</v>
      </c>
      <c r="F43" s="68">
        <f>'Program Budget'!M141*$C$46</f>
        <v>2419.0711999999999</v>
      </c>
      <c r="G43" s="68">
        <f>'Program Budget'!P141*$C$46</f>
        <v>2515.8340479999997</v>
      </c>
      <c r="H43" s="68">
        <f>'Program Budget'!S141*$C$46</f>
        <v>2425.6004863999997</v>
      </c>
      <c r="I43" s="68">
        <f>SUM(D43:H43)</f>
        <v>24404.998520548594</v>
      </c>
    </row>
    <row r="44" spans="1:10" ht="12.9" thickBot="1">
      <c r="B44" s="106" t="s">
        <v>664</v>
      </c>
      <c r="C44" s="107"/>
      <c r="D44" s="108">
        <f t="shared" ref="D44:I44" si="1">SUM(D29:D43)</f>
        <v>1023613.2174628814</v>
      </c>
      <c r="E44" s="108">
        <f t="shared" si="1"/>
        <v>290169.06202622468</v>
      </c>
      <c r="F44" s="108">
        <f t="shared" si="1"/>
        <v>173503.96199713988</v>
      </c>
      <c r="G44" s="108">
        <f t="shared" si="1"/>
        <v>193179.49919412323</v>
      </c>
      <c r="H44" s="108">
        <f t="shared" si="1"/>
        <v>147847.00953050834</v>
      </c>
      <c r="I44" s="108">
        <f t="shared" si="1"/>
        <v>1828312.7502108775</v>
      </c>
    </row>
    <row r="45" spans="1:10">
      <c r="B45" s="57"/>
      <c r="C45" s="42"/>
      <c r="D45" s="60"/>
      <c r="E45" s="60"/>
      <c r="F45" s="60"/>
      <c r="G45" s="60"/>
      <c r="H45" s="60"/>
      <c r="I45" s="60"/>
    </row>
    <row r="46" spans="1:10">
      <c r="B46" s="57" t="s">
        <v>665</v>
      </c>
      <c r="C46" s="63">
        <v>0.2828</v>
      </c>
      <c r="D46" s="60">
        <f>D44</f>
        <v>1023613.2174628814</v>
      </c>
      <c r="E46" s="60">
        <f>E44</f>
        <v>290169.06202622468</v>
      </c>
      <c r="F46" s="60">
        <f>F44</f>
        <v>173503.96199713988</v>
      </c>
      <c r="G46" s="60">
        <f>G44</f>
        <v>193179.49919412323</v>
      </c>
      <c r="H46" s="60">
        <f>H44</f>
        <v>147847.00953050834</v>
      </c>
      <c r="I46" s="60">
        <f>SUM(H46+G46,F46,E46,D46)</f>
        <v>1828312.7502108775</v>
      </c>
      <c r="J46" s="140"/>
    </row>
    <row r="47" spans="1:10">
      <c r="B47" s="109"/>
      <c r="C47" s="41"/>
      <c r="D47" s="111"/>
      <c r="E47" s="111"/>
      <c r="F47" s="111"/>
      <c r="G47" s="111"/>
      <c r="H47" s="111"/>
      <c r="I47" s="111"/>
    </row>
    <row r="48" spans="1:10" ht="12.9" thickBot="1">
      <c r="B48" s="112" t="s">
        <v>666</v>
      </c>
      <c r="C48" s="113"/>
      <c r="D48" s="114">
        <f t="shared" ref="D48:I48" si="2">D46</f>
        <v>1023613.2174628814</v>
      </c>
      <c r="E48" s="114">
        <f t="shared" si="2"/>
        <v>290169.06202622468</v>
      </c>
      <c r="F48" s="114">
        <f t="shared" si="2"/>
        <v>173503.96199713988</v>
      </c>
      <c r="G48" s="114">
        <f t="shared" si="2"/>
        <v>193179.49919412323</v>
      </c>
      <c r="H48" s="114">
        <f t="shared" si="2"/>
        <v>147847.00953050834</v>
      </c>
      <c r="I48" s="114">
        <f t="shared" si="2"/>
        <v>1828312.7502108775</v>
      </c>
    </row>
    <row r="49" spans="2:10" ht="12.9" thickTop="1">
      <c r="B49" s="142"/>
      <c r="C49" s="143"/>
      <c r="D49" s="474"/>
      <c r="E49" s="474"/>
      <c r="F49" s="474"/>
      <c r="G49" s="474"/>
      <c r="H49" s="474"/>
      <c r="I49" s="474"/>
    </row>
    <row r="50" spans="2:10">
      <c r="B50" s="98" t="str">
        <f>'USDA Budget Summary'!A29</f>
        <v>Activity 1: Value Chain Development (Value Chain Analysis, Carbon Assessment, and Living Incomes)</v>
      </c>
      <c r="C50" s="38"/>
      <c r="D50" s="99"/>
      <c r="E50" s="99"/>
      <c r="F50" s="99"/>
      <c r="G50" s="99"/>
      <c r="H50" s="99"/>
      <c r="I50" s="99"/>
    </row>
    <row r="51" spans="2:10">
      <c r="B51" s="142" t="s">
        <v>229</v>
      </c>
      <c r="C51" s="46"/>
      <c r="D51" s="148">
        <f>'Program Budget'!E195*('Program Budget'!E739/'Program Budget'!E737)</f>
        <v>79531.541862611921</v>
      </c>
      <c r="E51" s="148">
        <f>'Program Budget'!J195*$C$68</f>
        <v>0</v>
      </c>
      <c r="F51" s="148">
        <f>'Program Budget'!M195*$C$68</f>
        <v>0</v>
      </c>
      <c r="G51" s="148">
        <f>'Program Budget'!P195*$C$68</f>
        <v>0</v>
      </c>
      <c r="H51" s="148">
        <f>'Program Budget'!S195*$C$68</f>
        <v>0</v>
      </c>
      <c r="I51" s="148">
        <f>SUM(D51:H51)</f>
        <v>79531.541862611921</v>
      </c>
      <c r="J51" s="152"/>
    </row>
    <row r="52" spans="2:10">
      <c r="B52" s="98" t="str">
        <f>'USDA Budget Summary'!A30</f>
        <v>Activity 2: Producer Organization Development &amp; Commercialization</v>
      </c>
      <c r="C52" s="38"/>
      <c r="D52" s="99"/>
      <c r="E52" s="99"/>
      <c r="F52" s="99"/>
      <c r="G52" s="99"/>
      <c r="H52" s="99"/>
      <c r="I52" s="99"/>
      <c r="J52" s="152"/>
    </row>
    <row r="53" spans="2:10">
      <c r="B53" s="142" t="s">
        <v>266</v>
      </c>
      <c r="C53" s="46"/>
      <c r="D53" s="148">
        <f>'Program Budget'!E272*('Program Budget'!E739/'Program Budget'!E737)</f>
        <v>163176.33085443333</v>
      </c>
      <c r="E53" s="148">
        <f>'Program Budget'!J272*$C$68</f>
        <v>205581.2624307558</v>
      </c>
      <c r="F53" s="148">
        <f>'Program Budget'!M272*$C$68</f>
        <v>154750.47760128175</v>
      </c>
      <c r="G53" s="148">
        <f>'Program Budget'!P272*$C$68</f>
        <v>87282.524302812817</v>
      </c>
      <c r="H53" s="148">
        <f>'Program Budget'!S272*$C$68</f>
        <v>19128.229571445867</v>
      </c>
      <c r="I53" s="148">
        <f>SUM(D53:H53)</f>
        <v>629918.82476072945</v>
      </c>
      <c r="J53" s="152"/>
    </row>
    <row r="54" spans="2:10">
      <c r="B54" s="98" t="str">
        <f>'USDA Budget Summary'!A31</f>
        <v>Activity 3: Agriculture Extension and Production Support</v>
      </c>
      <c r="C54" s="38"/>
      <c r="D54" s="99"/>
      <c r="E54" s="99"/>
      <c r="F54" s="99"/>
      <c r="G54" s="99"/>
      <c r="H54" s="99"/>
      <c r="I54" s="99"/>
      <c r="J54" s="152"/>
    </row>
    <row r="55" spans="2:10">
      <c r="B55" s="142" t="s">
        <v>318</v>
      </c>
      <c r="C55" s="46"/>
      <c r="D55" s="148">
        <f>'Program Budget'!E369*('Program Budget'!E739/'Program Budget'!E737)</f>
        <v>576808.58549131593</v>
      </c>
      <c r="E55" s="148">
        <f>'Program Budget'!J369*$C$68</f>
        <v>658412.98821342457</v>
      </c>
      <c r="F55" s="148">
        <f>'Program Budget'!M369*$C$68</f>
        <v>513045.38490235049</v>
      </c>
      <c r="G55" s="148">
        <f>'Program Budget'!P369*$C$68</f>
        <v>354313.14326682803</v>
      </c>
      <c r="H55" s="148">
        <f>'Program Budget'!S369*$C$68</f>
        <v>27272.953134985648</v>
      </c>
      <c r="I55" s="148">
        <f>SUM(D55:H55)</f>
        <v>2129853.055008905</v>
      </c>
      <c r="J55" s="152"/>
    </row>
    <row r="56" spans="2:10">
      <c r="B56" s="98" t="str">
        <f>'USDA Budget Summary'!A32</f>
        <v>Activity 4: Post-Harvest Aggregation &amp; Processing</v>
      </c>
      <c r="C56" s="38"/>
      <c r="D56" s="99"/>
      <c r="E56" s="99"/>
      <c r="F56" s="99"/>
      <c r="G56" s="99"/>
      <c r="H56" s="99"/>
      <c r="I56" s="99"/>
      <c r="J56" s="152"/>
    </row>
    <row r="57" spans="2:10">
      <c r="B57" s="142" t="s">
        <v>344</v>
      </c>
      <c r="C57" s="46"/>
      <c r="D57" s="148">
        <f>'Program Budget'!E442*('Program Budget'!E739/'Program Budget'!E737)</f>
        <v>204113.35958375479</v>
      </c>
      <c r="E57" s="148">
        <f>'Program Budget'!J442*$C$68</f>
        <v>114582.66411902463</v>
      </c>
      <c r="F57" s="148">
        <f>'Program Budget'!M442*$C$68</f>
        <v>135081.68901193186</v>
      </c>
      <c r="G57" s="148">
        <f>'Program Budget'!P442*$C$68</f>
        <v>96762.074188288447</v>
      </c>
      <c r="H57" s="148">
        <f>'Program Budget'!S442*$C$68</f>
        <v>19066.228704290181</v>
      </c>
      <c r="I57" s="148">
        <f>SUM(D57:H57)</f>
        <v>569606.01560728997</v>
      </c>
      <c r="J57" s="152"/>
    </row>
    <row r="58" spans="2:10">
      <c r="B58" s="98" t="str">
        <f>'USDA Budget Summary'!A33</f>
        <v>Activity 5: Ensure Financial Service/ Capital Access for Actors in the Value Chains</v>
      </c>
      <c r="C58" s="38"/>
      <c r="D58" s="99"/>
      <c r="E58" s="99"/>
      <c r="F58" s="99"/>
      <c r="G58" s="99"/>
      <c r="H58" s="99"/>
      <c r="I58" s="99"/>
      <c r="J58" s="152"/>
    </row>
    <row r="59" spans="2:10">
      <c r="B59" s="142" t="s">
        <v>373</v>
      </c>
      <c r="C59" s="46"/>
      <c r="D59" s="148">
        <f>'Program Budget'!E516*('Program Budget'!E739/'Program Budget'!E737)</f>
        <v>60152.411016272068</v>
      </c>
      <c r="E59" s="148">
        <f>'Program Budget'!J516*$C$68</f>
        <v>107142.05324846462</v>
      </c>
      <c r="F59" s="148">
        <f>'Program Budget'!M516*$C$68</f>
        <v>66265.546845691875</v>
      </c>
      <c r="G59" s="148">
        <f>'Program Budget'!P516*$C$68</f>
        <v>66079.17418797646</v>
      </c>
      <c r="H59" s="148">
        <f>'Program Budget'!S516*$C$68</f>
        <v>14728.877601278329</v>
      </c>
      <c r="I59" s="148">
        <f>SUM(D59:H59)</f>
        <v>314368.06289968331</v>
      </c>
      <c r="J59" s="152"/>
    </row>
    <row r="60" spans="2:10">
      <c r="B60" s="98" t="str">
        <f>'USDA Budget Summary'!A34</f>
        <v>Activity 6: Innovation and Job Creation Through Youth Engagement</v>
      </c>
      <c r="C60" s="38"/>
      <c r="D60" s="99"/>
      <c r="E60" s="99"/>
      <c r="F60" s="99"/>
      <c r="G60" s="99"/>
      <c r="H60" s="99"/>
      <c r="I60" s="99"/>
      <c r="J60" s="152"/>
    </row>
    <row r="61" spans="2:10">
      <c r="B61" s="142" t="s">
        <v>408</v>
      </c>
      <c r="C61" s="46"/>
      <c r="D61" s="148">
        <f>'Program Budget'!E596*('Program Budget'!E739/'Program Budget'!E737)</f>
        <v>80203.712434784175</v>
      </c>
      <c r="E61" s="148">
        <f>'Program Budget'!J596*$C$68</f>
        <v>154019.36291262976</v>
      </c>
      <c r="F61" s="148">
        <f>'Program Budget'!M596*$C$68</f>
        <v>0</v>
      </c>
      <c r="G61" s="148">
        <f>'Program Budget'!P596*$C$68</f>
        <v>0</v>
      </c>
      <c r="H61" s="148">
        <f>'Program Budget'!S596*$C$68</f>
        <v>0</v>
      </c>
      <c r="I61" s="148">
        <f>SUM(D61:H61)</f>
        <v>234223.07534741395</v>
      </c>
      <c r="J61" s="152"/>
    </row>
    <row r="62" spans="2:10">
      <c r="B62" s="98" t="str">
        <f>'USDA Budget Summary'!A35</f>
        <v>Activity 7: Establishment of Regional Community of Practice</v>
      </c>
      <c r="C62" s="38"/>
      <c r="D62" s="99"/>
      <c r="E62" s="99"/>
      <c r="F62" s="99"/>
      <c r="G62" s="99"/>
      <c r="H62" s="99"/>
      <c r="I62" s="99"/>
      <c r="J62" s="152"/>
    </row>
    <row r="63" spans="2:10">
      <c r="B63" s="142" t="s">
        <v>436</v>
      </c>
      <c r="C63" s="46"/>
      <c r="D63" s="148">
        <f>'Program Budget'!E666*('Program Budget'!E739/'Program Budget'!E737)</f>
        <v>95130.665836722401</v>
      </c>
      <c r="E63" s="148">
        <f>'Program Budget'!J666*$C$68</f>
        <v>63305.542999829755</v>
      </c>
      <c r="F63" s="148">
        <f>'Program Budget'!M666*$C$68</f>
        <v>94577.065075371866</v>
      </c>
      <c r="G63" s="148">
        <f>'Program Budget'!P666*$C$68</f>
        <v>85619.892870580472</v>
      </c>
      <c r="H63" s="148">
        <f>'Program Budget'!S666*$C$68</f>
        <v>24611.179886949176</v>
      </c>
      <c r="I63" s="148">
        <f>SUM(D63:H63)</f>
        <v>363244.34666945372</v>
      </c>
      <c r="J63" s="152"/>
    </row>
    <row r="64" spans="2:10">
      <c r="B64" s="98" t="str">
        <f>'USDA Budget Summary'!A36</f>
        <v>Activity 8: Financial Services: Endowment Establishment, Fundraising and Management</v>
      </c>
      <c r="C64" s="38"/>
      <c r="D64" s="99"/>
      <c r="E64" s="99"/>
      <c r="F64" s="99"/>
      <c r="G64" s="99"/>
      <c r="H64" s="99"/>
      <c r="I64" s="99"/>
      <c r="J64" s="152"/>
    </row>
    <row r="65" spans="2:10">
      <c r="B65" s="142" t="s">
        <v>456</v>
      </c>
      <c r="C65" s="46"/>
      <c r="D65" s="148">
        <f>'Program Budget'!E729*('Program Budget'!E739/'Program Budget'!E737)</f>
        <v>91541.580687064052</v>
      </c>
      <c r="E65" s="148">
        <f>('Program Budget'!J729-'Program Budget'!J721)*$C$68</f>
        <v>63886.822393349692</v>
      </c>
      <c r="F65" s="148">
        <f>'Program Budget'!M729*$C$68</f>
        <v>0</v>
      </c>
      <c r="G65" s="148">
        <f>'Program Budget'!P729*$C$68</f>
        <v>0</v>
      </c>
      <c r="H65" s="148">
        <f>'Program Budget'!S729*$C$68</f>
        <v>0</v>
      </c>
      <c r="I65" s="148">
        <f>SUM(D65:H65)</f>
        <v>155428.40308041376</v>
      </c>
      <c r="J65" s="152"/>
    </row>
    <row r="66" spans="2:10" ht="12.9" thickBot="1">
      <c r="B66" s="106" t="s">
        <v>667</v>
      </c>
      <c r="C66" s="107"/>
      <c r="D66" s="108">
        <f t="shared" ref="D66:I66" si="3">SUM(D51:D65)</f>
        <v>1350658.1877669587</v>
      </c>
      <c r="E66" s="108">
        <f t="shared" si="3"/>
        <v>1366930.6963174788</v>
      </c>
      <c r="F66" s="108">
        <f t="shared" si="3"/>
        <v>963720.16343662783</v>
      </c>
      <c r="G66" s="108">
        <f t="shared" si="3"/>
        <v>690056.80881648615</v>
      </c>
      <c r="H66" s="108">
        <f t="shared" si="3"/>
        <v>104807.4688989492</v>
      </c>
      <c r="I66" s="108">
        <f t="shared" si="3"/>
        <v>4476173.3252365012</v>
      </c>
      <c r="J66" s="32"/>
    </row>
    <row r="67" spans="2:10">
      <c r="B67" s="57"/>
      <c r="C67" s="42"/>
      <c r="D67" s="60"/>
      <c r="E67" s="60"/>
      <c r="F67" s="60"/>
      <c r="G67" s="60"/>
      <c r="H67" s="60"/>
      <c r="I67" s="60"/>
    </row>
    <row r="68" spans="2:10">
      <c r="B68" s="57" t="s">
        <v>668</v>
      </c>
      <c r="C68" s="63">
        <v>0.2828</v>
      </c>
      <c r="D68" s="60">
        <f>D66</f>
        <v>1350658.1877669587</v>
      </c>
      <c r="E68" s="60">
        <f>(E66)</f>
        <v>1366930.6963174788</v>
      </c>
      <c r="F68" s="60">
        <f>F66</f>
        <v>963720.16343662783</v>
      </c>
      <c r="G68" s="60">
        <f>G66</f>
        <v>690056.80881648615</v>
      </c>
      <c r="H68" s="60">
        <f>H66</f>
        <v>104807.4688989492</v>
      </c>
      <c r="I68" s="60">
        <f>SUM(H68+G68,F68,E68,D68)</f>
        <v>4476173.3252365012</v>
      </c>
      <c r="J68" s="140" t="s">
        <v>669</v>
      </c>
    </row>
    <row r="69" spans="2:10">
      <c r="B69" s="109"/>
      <c r="C69" s="41"/>
      <c r="D69" s="111"/>
      <c r="E69" s="111"/>
      <c r="F69" s="111"/>
      <c r="G69" s="111"/>
      <c r="H69" s="111"/>
      <c r="I69" s="111"/>
    </row>
    <row r="70" spans="2:10" ht="12.9" thickBot="1">
      <c r="B70" s="112" t="s">
        <v>670</v>
      </c>
      <c r="C70" s="113"/>
      <c r="D70" s="114">
        <f t="shared" ref="D70:I70" si="4">D68</f>
        <v>1350658.1877669587</v>
      </c>
      <c r="E70" s="114">
        <f t="shared" si="4"/>
        <v>1366930.6963174788</v>
      </c>
      <c r="F70" s="114">
        <f t="shared" si="4"/>
        <v>963720.16343662783</v>
      </c>
      <c r="G70" s="114">
        <f t="shared" si="4"/>
        <v>690056.80881648615</v>
      </c>
      <c r="H70" s="114">
        <f t="shared" si="4"/>
        <v>104807.4688989492</v>
      </c>
      <c r="I70" s="114">
        <f t="shared" si="4"/>
        <v>4476173.3252365012</v>
      </c>
    </row>
    <row r="71" spans="2:10" ht="12.9" thickTop="1"/>
    <row r="72" spans="2:10" ht="12.9" thickBot="1">
      <c r="B72" s="112" t="s">
        <v>671</v>
      </c>
      <c r="C72" s="113"/>
      <c r="D72" s="114">
        <f t="shared" ref="D72:I72" si="5">D70+D48</f>
        <v>2374271.40522984</v>
      </c>
      <c r="E72" s="114">
        <f t="shared" si="5"/>
        <v>1657099.7583437036</v>
      </c>
      <c r="F72" s="114">
        <f t="shared" si="5"/>
        <v>1137224.1254337677</v>
      </c>
      <c r="G72" s="114">
        <f t="shared" si="5"/>
        <v>883236.30801060935</v>
      </c>
      <c r="H72" s="114">
        <f t="shared" si="5"/>
        <v>252654.47842945752</v>
      </c>
      <c r="I72" s="114">
        <f t="shared" si="5"/>
        <v>6304486.0754473787</v>
      </c>
    </row>
    <row r="73" spans="2:10" ht="12.9" thickTop="1">
      <c r="I73" s="51"/>
    </row>
    <row r="75" spans="2:10">
      <c r="B75" s="115"/>
    </row>
    <row r="76" spans="2:10">
      <c r="B76" s="115"/>
    </row>
  </sheetData>
  <mergeCells count="5">
    <mergeCell ref="B1:I1"/>
    <mergeCell ref="B2:I2"/>
    <mergeCell ref="B3:I3"/>
    <mergeCell ref="B4:I4"/>
    <mergeCell ref="B5:I5"/>
  </mergeCells>
  <pageMargins left="0.7" right="0.7" top="0.75" bottom="0.75" header="0.3" footer="0.3"/>
  <pageSetup scale="84" orientation="landscape" r:id="rId1"/>
  <headerFooter alignWithMargins="0"/>
  <rowBreaks count="1" manualBreakCount="1">
    <brk id="49" min="1" max="1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023C-3AE7-4E9C-A381-4C4F2117FE7B}">
  <dimension ref="B1:Q64"/>
  <sheetViews>
    <sheetView topLeftCell="A37" zoomScale="85" zoomScaleNormal="85" workbookViewId="0">
      <selection activeCell="E42" sqref="E42"/>
    </sheetView>
  </sheetViews>
  <sheetFormatPr defaultColWidth="8.83203125" defaultRowHeight="12.6" outlineLevelRow="1"/>
  <cols>
    <col min="1" max="1" width="2.44140625" style="5" customWidth="1"/>
    <col min="2" max="2" width="52.44140625" style="6" customWidth="1"/>
    <col min="3" max="3" width="18.44140625" style="9" bestFit="1" customWidth="1"/>
    <col min="4" max="4" width="15.1640625" style="7" bestFit="1" customWidth="1"/>
    <col min="5" max="5" width="10.44140625" style="6" bestFit="1" customWidth="1"/>
    <col min="6" max="6" width="18.44140625" style="9" bestFit="1" customWidth="1"/>
    <col min="7" max="7" width="15.1640625" style="7" bestFit="1" customWidth="1"/>
    <col min="8" max="8" width="10.44140625" style="6" bestFit="1" customWidth="1"/>
    <col min="9" max="9" width="18.1640625" style="6" bestFit="1" customWidth="1"/>
    <col min="10" max="10" width="15.1640625" style="7" bestFit="1" customWidth="1"/>
    <col min="11" max="11" width="10.44140625" style="6" bestFit="1" customWidth="1"/>
    <col min="12" max="12" width="18.1640625" style="6" bestFit="1" customWidth="1"/>
    <col min="13" max="13" width="15.1640625" style="7" bestFit="1" customWidth="1"/>
    <col min="14" max="14" width="10.44140625" style="10" bestFit="1" customWidth="1"/>
    <col min="15" max="15" width="18.1640625" style="6" bestFit="1" customWidth="1"/>
    <col min="16" max="16" width="16.44140625" style="6" bestFit="1" customWidth="1"/>
    <col min="17" max="17" width="9.44140625" style="5" bestFit="1" customWidth="1"/>
    <col min="18" max="16384" width="8.83203125" style="5"/>
  </cols>
  <sheetData>
    <row r="1" spans="2:17" ht="13.5" customHeight="1">
      <c r="B1" s="666" t="s">
        <v>635</v>
      </c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</row>
    <row r="2" spans="2:17" ht="13.5" customHeight="1">
      <c r="B2" s="666" t="s">
        <v>636</v>
      </c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</row>
    <row r="3" spans="2:17">
      <c r="B3" s="666" t="s">
        <v>637</v>
      </c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  <c r="N3" s="666"/>
      <c r="O3" s="666"/>
      <c r="P3" s="666"/>
    </row>
    <row r="4" spans="2:17">
      <c r="B4" s="666" t="s">
        <v>638</v>
      </c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  <c r="N4" s="666"/>
      <c r="O4" s="666"/>
      <c r="P4" s="666"/>
    </row>
    <row r="5" spans="2:17">
      <c r="B5" s="666" t="s">
        <v>672</v>
      </c>
      <c r="C5" s="666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666"/>
    </row>
    <row r="6" spans="2:17">
      <c r="B6" s="1"/>
      <c r="C6" s="3"/>
      <c r="D6" s="2"/>
      <c r="E6" s="2"/>
      <c r="F6" s="3"/>
      <c r="G6" s="2"/>
      <c r="H6" s="1"/>
      <c r="I6" s="1"/>
      <c r="J6" s="2"/>
      <c r="K6" s="1"/>
      <c r="L6" s="1"/>
      <c r="M6" s="2"/>
      <c r="N6" s="1"/>
      <c r="O6" s="1"/>
      <c r="P6" s="1"/>
    </row>
    <row r="7" spans="2:17" ht="24.6">
      <c r="B7" s="4"/>
      <c r="C7" s="12" t="s">
        <v>673</v>
      </c>
      <c r="D7" s="11" t="s">
        <v>674</v>
      </c>
      <c r="E7" s="11" t="s">
        <v>675</v>
      </c>
      <c r="F7" s="12" t="s">
        <v>676</v>
      </c>
      <c r="G7" s="11" t="s">
        <v>677</v>
      </c>
      <c r="H7" s="11" t="s">
        <v>678</v>
      </c>
      <c r="I7" s="11" t="s">
        <v>679</v>
      </c>
      <c r="J7" s="11" t="s">
        <v>680</v>
      </c>
      <c r="K7" s="11" t="s">
        <v>681</v>
      </c>
      <c r="L7" s="11" t="s">
        <v>682</v>
      </c>
      <c r="M7" s="11" t="s">
        <v>683</v>
      </c>
      <c r="N7" s="11" t="s">
        <v>684</v>
      </c>
      <c r="O7" s="11" t="s">
        <v>685</v>
      </c>
      <c r="P7" s="11" t="s">
        <v>686</v>
      </c>
    </row>
    <row r="8" spans="2:17" s="16" customFormat="1" ht="12.3">
      <c r="B8" s="13"/>
      <c r="C8" s="15" t="s">
        <v>687</v>
      </c>
      <c r="D8" s="14" t="s">
        <v>688</v>
      </c>
      <c r="E8" s="14" t="s">
        <v>687</v>
      </c>
      <c r="F8" s="15" t="s">
        <v>687</v>
      </c>
      <c r="G8" s="14" t="s">
        <v>688</v>
      </c>
      <c r="H8" s="14" t="s">
        <v>687</v>
      </c>
      <c r="I8" s="14" t="s">
        <v>687</v>
      </c>
      <c r="J8" s="14" t="s">
        <v>688</v>
      </c>
      <c r="K8" s="14" t="s">
        <v>687</v>
      </c>
      <c r="L8" s="14" t="s">
        <v>687</v>
      </c>
      <c r="M8" s="14" t="s">
        <v>688</v>
      </c>
      <c r="N8" s="14" t="s">
        <v>687</v>
      </c>
      <c r="O8" s="14" t="s">
        <v>687</v>
      </c>
      <c r="P8" s="14" t="s">
        <v>687</v>
      </c>
    </row>
    <row r="9" spans="2:17" s="7" customFormat="1">
      <c r="B9" s="17" t="s">
        <v>689</v>
      </c>
      <c r="C9" s="18"/>
      <c r="D9" s="17"/>
      <c r="E9" s="17"/>
      <c r="F9" s="18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2:17" s="7" customFormat="1" outlineLevel="1">
      <c r="B10" s="19" t="s">
        <v>690</v>
      </c>
      <c r="C10" s="20"/>
      <c r="D10" s="19"/>
      <c r="E10" s="19"/>
      <c r="F10" s="20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2:17" s="7" customFormat="1" outlineLevel="1">
      <c r="B11" s="21" t="str">
        <f>'Program Budget'!D13</f>
        <v>Key Personnel: Chief of Party</v>
      </c>
      <c r="C11" s="23">
        <f>'Program Budget'!E13+'Program Budget'!E146+'Program Budget'!E200+'Program Budget'!E277+'Program Budget'!E374+'Program Budget'!E447+'Program Budget'!E521+'Program Budget'!E601+'Program Budget'!E671</f>
        <v>568684.68999999994</v>
      </c>
      <c r="D11" s="73">
        <f>'Program Budget'!I13</f>
        <v>12</v>
      </c>
      <c r="E11" s="22">
        <f>'Program Budget'!H13+'Program Budget'!H146+'Program Budget'!H200+'Program Budget'!H277+'Program Budget'!H374+'Program Budget'!H447+'Program Budget'!H521+'Program Budget'!H601+'Program Budget'!H671</f>
        <v>0.99999999999999989</v>
      </c>
      <c r="F11" s="23">
        <f>'Program Budget'!J13+'Program Budget'!J146+'Program Budget'!J200+'Program Budget'!J277+'Program Budget'!J374+'Program Budget'!J447+'Program Budget'!J521+'Program Budget'!J601+'Program Budget'!J671</f>
        <v>171000</v>
      </c>
      <c r="G11" s="73">
        <f>'Program Budget'!L13</f>
        <v>12</v>
      </c>
      <c r="H11" s="22">
        <f>'Program Budget'!K13+'Program Budget'!K146+'Program Budget'!K200+'Program Budget'!K277+'Program Budget'!K374+'Program Budget'!K447+'Program Budget'!K521+'Program Budget'!K601+'Program Budget'!K671</f>
        <v>1</v>
      </c>
      <c r="I11" s="23">
        <f>'Program Budget'!M13+'Program Budget'!M146+'Program Budget'!M200+'Program Budget'!M277+'Program Budget'!M374+'Program Budget'!M447+'Program Budget'!M521+'Program Budget'!M601+'Program Budget'!M671</f>
        <v>179550</v>
      </c>
      <c r="J11" s="73">
        <f>'Program Budget'!O13</f>
        <v>12</v>
      </c>
      <c r="K11" s="22">
        <f>'Program Budget'!N13+'Program Budget'!N146+'Program Budget'!N200+'Program Budget'!N277+'Program Budget'!N374+'Program Budget'!N447+'Program Budget'!N521+'Program Budget'!N601+'Program Budget'!N671</f>
        <v>1</v>
      </c>
      <c r="L11" s="23">
        <f>'Program Budget'!P13+'Program Budget'!P146+'Program Budget'!P200+'Program Budget'!P277+'Program Budget'!P374+'Program Budget'!P447+'Program Budget'!P521+'Program Budget'!P601+'Program Budget'!P671</f>
        <v>188527.5</v>
      </c>
      <c r="M11" s="73">
        <f>'Program Budget'!R13</f>
        <v>0</v>
      </c>
      <c r="N11" s="22">
        <f>'Program Budget'!Q13+'Program Budget'!Q146+'Program Budget'!Q200+'Program Budget'!Q277+'Program Budget'!Q374+'Program Budget'!Q447+'Program Budget'!Q521+'Program Budget'!Q601+'Program Budget'!Q671</f>
        <v>1</v>
      </c>
      <c r="O11" s="23">
        <f>'Program Budget'!S13+'Program Budget'!S146+'Program Budget'!S200+'Program Budget'!S277+'Program Budget'!S374+'Program Budget'!S447+'Program Budget'!S521+'Program Budget'!S601+'Program Budget'!S671</f>
        <v>0</v>
      </c>
      <c r="P11" s="154">
        <f>F11+I11+L11+O11+C11</f>
        <v>1107762.19</v>
      </c>
      <c r="Q11" s="141"/>
    </row>
    <row r="12" spans="2:17" s="7" customFormat="1" outlineLevel="1">
      <c r="B12" s="21" t="str">
        <f>'Program Budget'!D14</f>
        <v>Deputy Chief of Party / Value Chain Strengthening Director</v>
      </c>
      <c r="C12" s="23">
        <f>'Program Budget'!E14+'Program Budget'!E147+'Program Budget'!E201+'Program Budget'!E278+'Program Budget'!E375+'Program Budget'!E448+'Program Budget'!E522+'Program Budget'!E602+'Program Budget'!E672</f>
        <v>0</v>
      </c>
      <c r="D12" s="73">
        <f>'Program Budget'!I14</f>
        <v>12</v>
      </c>
      <c r="E12" s="22">
        <f>'Program Budget'!H14+'Program Budget'!H147+'Program Budget'!H201+'Program Budget'!H278+'Program Budget'!H375+'Program Budget'!H448+'Program Budget'!H522+'Program Budget'!H602+'Program Budget'!H672</f>
        <v>1</v>
      </c>
      <c r="F12" s="23">
        <f>'Program Budget'!J14+'Program Budget'!J147+'Program Budget'!J201+'Program Budget'!J278+'Program Budget'!J375+'Program Budget'!J448+'Program Budget'!J522+'Program Budget'!J602+'Program Budget'!J672</f>
        <v>60000</v>
      </c>
      <c r="G12" s="73">
        <f>'Program Budget'!L14</f>
        <v>12</v>
      </c>
      <c r="H12" s="22">
        <f>'Program Budget'!K14+'Program Budget'!K147+'Program Budget'!K201+'Program Budget'!K278+'Program Budget'!K375+'Program Budget'!K448+'Program Budget'!K522+'Program Budget'!K602+'Program Budget'!K672</f>
        <v>1</v>
      </c>
      <c r="I12" s="23">
        <f>'Program Budget'!M14+'Program Budget'!M147+'Program Budget'!M201+'Program Budget'!M278+'Program Budget'!M375+'Program Budget'!M448+'Program Budget'!M522+'Program Budget'!M602+'Program Budget'!M672</f>
        <v>63000</v>
      </c>
      <c r="J12" s="73">
        <f>'Program Budget'!O14</f>
        <v>12</v>
      </c>
      <c r="K12" s="22">
        <f>'Program Budget'!N14+'Program Budget'!N147+'Program Budget'!N201+'Program Budget'!N278+'Program Budget'!N375+'Program Budget'!N448+'Program Budget'!N522+'Program Budget'!N602+'Program Budget'!N672</f>
        <v>1</v>
      </c>
      <c r="L12" s="23">
        <f>'Program Budget'!P14+'Program Budget'!P147+'Program Budget'!P201+'Program Budget'!P278+'Program Budget'!P375+'Program Budget'!P448+'Program Budget'!P522+'Program Budget'!P602+'Program Budget'!P672</f>
        <v>66150</v>
      </c>
      <c r="M12" s="73">
        <f>'Program Budget'!R14</f>
        <v>6</v>
      </c>
      <c r="N12" s="22">
        <f>'Program Budget'!Q14+'Program Budget'!Q147+'Program Budget'!Q201+'Program Budget'!Q278+'Program Budget'!Q375+'Program Budget'!Q448+'Program Budget'!Q522+'Program Budget'!Q602+'Program Budget'!Q672</f>
        <v>1</v>
      </c>
      <c r="O12" s="23">
        <f>'Program Budget'!S14+'Program Budget'!S147+'Program Budget'!S201+'Program Budget'!S278+'Program Budget'!S375+'Program Budget'!S448+'Program Budget'!S522+'Program Budget'!S602+'Program Budget'!S672</f>
        <v>34728.75</v>
      </c>
      <c r="P12" s="154">
        <f>F12+I12+L12+O12+C12</f>
        <v>223878.75</v>
      </c>
      <c r="Q12" s="141"/>
    </row>
    <row r="13" spans="2:17" s="7" customFormat="1" outlineLevel="1">
      <c r="B13" s="21" t="str">
        <f>'Program Budget'!D15</f>
        <v>Key Personnel: Technical Director</v>
      </c>
      <c r="C13" s="23">
        <f>'Program Budget'!E15+'Program Budget'!E148+'Program Budget'!E202+'Program Budget'!E279+'Program Budget'!E376+'Program Budget'!E449+'Program Budget'!E523+'Program Budget'!E603+'Program Budget'!E673</f>
        <v>296291.11000000004</v>
      </c>
      <c r="D13" s="73">
        <f>'Program Budget'!I15</f>
        <v>12</v>
      </c>
      <c r="E13" s="22">
        <f>'Program Budget'!H15+'Program Budget'!H148+'Program Budget'!H202+'Program Budget'!H279+'Program Budget'!H376+'Program Budget'!H449+'Program Budget'!H523+'Program Budget'!H603+'Program Budget'!H673</f>
        <v>1</v>
      </c>
      <c r="F13" s="23">
        <f>'Program Budget'!J15+'Program Budget'!J148+'Program Budget'!J202+'Program Budget'!J279+'Program Budget'!J376+'Program Budget'!J449+'Program Budget'!J523+'Program Budget'!J603+'Program Budget'!J673</f>
        <v>55000</v>
      </c>
      <c r="G13" s="73">
        <f>'Program Budget'!L15</f>
        <v>12</v>
      </c>
      <c r="H13" s="22">
        <f>'Program Budget'!K15+'Program Budget'!K148+'Program Budget'!K202+'Program Budget'!K279+'Program Budget'!K376+'Program Budget'!K449+'Program Budget'!K523+'Program Budget'!K603+'Program Budget'!K673</f>
        <v>1</v>
      </c>
      <c r="I13" s="23">
        <f>'Program Budget'!M15+'Program Budget'!M148+'Program Budget'!M202+'Program Budget'!M279+'Program Budget'!M376+'Program Budget'!M449+'Program Budget'!M523+'Program Budget'!M603+'Program Budget'!M673</f>
        <v>57750</v>
      </c>
      <c r="J13" s="73">
        <f>'Program Budget'!O15</f>
        <v>12</v>
      </c>
      <c r="K13" s="22">
        <f>'Program Budget'!N15+'Program Budget'!N148+'Program Budget'!N202+'Program Budget'!N279+'Program Budget'!N376+'Program Budget'!N449+'Program Budget'!N523+'Program Budget'!N603+'Program Budget'!N673</f>
        <v>1</v>
      </c>
      <c r="L13" s="23">
        <f>'Program Budget'!P15+'Program Budget'!P148+'Program Budget'!P202+'Program Budget'!P279+'Program Budget'!P376+'Program Budget'!P449+'Program Budget'!P523+'Program Budget'!P603+'Program Budget'!P673</f>
        <v>60637.5</v>
      </c>
      <c r="M13" s="73">
        <f>'Program Budget'!R15</f>
        <v>5</v>
      </c>
      <c r="N13" s="22">
        <f>'Program Budget'!Q15+'Program Budget'!Q148+'Program Budget'!Q202+'Program Budget'!Q279+'Program Budget'!Q376+'Program Budget'!Q449+'Program Budget'!Q523+'Program Budget'!Q603+'Program Budget'!Q673</f>
        <v>1</v>
      </c>
      <c r="O13" s="23">
        <f>'Program Budget'!S15+'Program Budget'!S148+'Program Budget'!S202+'Program Budget'!S279+'Program Budget'!S376+'Program Budget'!S449+'Program Budget'!S523+'Program Budget'!S603+'Program Budget'!S673</f>
        <v>26528.90625</v>
      </c>
      <c r="P13" s="154">
        <f t="shared" ref="P13:P44" si="0">F13+I13+L13+O13+C13</f>
        <v>496207.51625000004</v>
      </c>
      <c r="Q13" s="141"/>
    </row>
    <row r="14" spans="2:17" s="7" customFormat="1" outlineLevel="1">
      <c r="B14" s="21" t="str">
        <f>'Program Budget'!D16</f>
        <v>Activity Lead Agribusiness Senior Specialist (Cacao)</v>
      </c>
      <c r="C14" s="23">
        <f>'Program Budget'!E16+'Program Budget'!E149+'Program Budget'!E203+'Program Budget'!E280+'Program Budget'!E377+'Program Budget'!E450+'Program Budget'!E524+'Program Budget'!E604+'Program Budget'!E674</f>
        <v>160735.87</v>
      </c>
      <c r="D14" s="73">
        <f>'Program Budget'!I16</f>
        <v>12</v>
      </c>
      <c r="E14" s="22">
        <f>'Program Budget'!H16+'Program Budget'!H149+'Program Budget'!H203+'Program Budget'!H280+'Program Budget'!H377+'Program Budget'!H450+'Program Budget'!H524+'Program Budget'!H604+'Program Budget'!H674</f>
        <v>0.99999999999999989</v>
      </c>
      <c r="F14" s="23">
        <f>'Program Budget'!J16+'Program Budget'!J149+'Program Budget'!J203+'Program Budget'!J280+'Program Budget'!J377+'Program Budget'!J450+'Program Budget'!J524+'Program Budget'!J604+'Program Budget'!J674</f>
        <v>34000</v>
      </c>
      <c r="G14" s="73">
        <f>'Program Budget'!L16</f>
        <v>12</v>
      </c>
      <c r="H14" s="22">
        <f>'Program Budget'!K16+'Program Budget'!K149+'Program Budget'!K203+'Program Budget'!K280+'Program Budget'!K377+'Program Budget'!K450+'Program Budget'!K524+'Program Budget'!K604+'Program Budget'!K674</f>
        <v>1</v>
      </c>
      <c r="I14" s="23">
        <f>'Program Budget'!M16+'Program Budget'!M149+'Program Budget'!M203+'Program Budget'!M280+'Program Budget'!M377+'Program Budget'!M450+'Program Budget'!M524+'Program Budget'!M604+'Program Budget'!M674</f>
        <v>35700</v>
      </c>
      <c r="J14" s="73">
        <f>'Program Budget'!O16</f>
        <v>12</v>
      </c>
      <c r="K14" s="22">
        <f>'Program Budget'!N16+'Program Budget'!N149+'Program Budget'!N203+'Program Budget'!N280+'Program Budget'!N377+'Program Budget'!N450+'Program Budget'!N524+'Program Budget'!N604+'Program Budget'!N674</f>
        <v>1</v>
      </c>
      <c r="L14" s="23">
        <f>'Program Budget'!P16+'Program Budget'!P149+'Program Budget'!P203+'Program Budget'!P280+'Program Budget'!P377+'Program Budget'!P450+'Program Budget'!P524+'Program Budget'!P604+'Program Budget'!P674</f>
        <v>37485</v>
      </c>
      <c r="M14" s="73">
        <f>'Program Budget'!R16</f>
        <v>2</v>
      </c>
      <c r="N14" s="22">
        <f>'Program Budget'!Q16+'Program Budget'!Q149+'Program Budget'!Q203+'Program Budget'!Q280+'Program Budget'!Q377+'Program Budget'!Q450+'Program Budget'!Q524+'Program Budget'!Q604+'Program Budget'!Q674</f>
        <v>1</v>
      </c>
      <c r="O14" s="23">
        <f>'Program Budget'!S16+'Program Budget'!S149+'Program Budget'!S203+'Program Budget'!S280+'Program Budget'!S377+'Program Budget'!S450+'Program Budget'!S524+'Program Budget'!S604+'Program Budget'!S674</f>
        <v>6559.8750000000018</v>
      </c>
      <c r="P14" s="154">
        <f t="shared" si="0"/>
        <v>274480.745</v>
      </c>
      <c r="Q14" s="141"/>
    </row>
    <row r="15" spans="2:17" s="7" customFormat="1" outlineLevel="1">
      <c r="B15" s="21" t="str">
        <f>'Program Budget'!D17</f>
        <v>Cacao Field Officer</v>
      </c>
      <c r="C15" s="23">
        <f>'Program Budget'!E17+'Program Budget'!E150+'Program Budget'!E204+'Program Budget'!E281+'Program Budget'!E378+'Program Budget'!E451+'Program Budget'!E525+'Program Budget'!E605+'Program Budget'!E675</f>
        <v>0</v>
      </c>
      <c r="D15" s="73">
        <f>'Program Budget'!I17</f>
        <v>12</v>
      </c>
      <c r="E15" s="22">
        <f>'Program Budget'!H17+'Program Budget'!H150+'Program Budget'!H204+'Program Budget'!H281+'Program Budget'!H378+'Program Budget'!H451+'Program Budget'!H525+'Program Budget'!H605+'Program Budget'!H675</f>
        <v>1</v>
      </c>
      <c r="F15" s="23">
        <f>'Program Budget'!J17+'Program Budget'!J150+'Program Budget'!J204+'Program Budget'!J281+'Program Budget'!J378+'Program Budget'!J451+'Program Budget'!J525+'Program Budget'!J605+'Program Budget'!J675</f>
        <v>16000</v>
      </c>
      <c r="G15" s="73">
        <f>'Program Budget'!L17</f>
        <v>12</v>
      </c>
      <c r="H15" s="22">
        <f>'Program Budget'!K17+'Program Budget'!K150+'Program Budget'!K204+'Program Budget'!K281+'Program Budget'!K378+'Program Budget'!K451+'Program Budget'!K525+'Program Budget'!K605+'Program Budget'!K675</f>
        <v>1</v>
      </c>
      <c r="I15" s="23">
        <f>'Program Budget'!M17+'Program Budget'!M150+'Program Budget'!M204+'Program Budget'!M281+'Program Budget'!M378+'Program Budget'!M451+'Program Budget'!M525+'Program Budget'!M605+'Program Budget'!M675</f>
        <v>16800</v>
      </c>
      <c r="J15" s="73">
        <f>'Program Budget'!O17</f>
        <v>12</v>
      </c>
      <c r="K15" s="22">
        <f>'Program Budget'!N17+'Program Budget'!N150+'Program Budget'!N204+'Program Budget'!N281+'Program Budget'!N378+'Program Budget'!N451+'Program Budget'!N525+'Program Budget'!N605+'Program Budget'!N675</f>
        <v>1</v>
      </c>
      <c r="L15" s="23">
        <f>'Program Budget'!P17+'Program Budget'!P150+'Program Budget'!P204+'Program Budget'!P281+'Program Budget'!P378+'Program Budget'!P451+'Program Budget'!P525+'Program Budget'!P605+'Program Budget'!P675</f>
        <v>17640</v>
      </c>
      <c r="M15" s="73">
        <f>'Program Budget'!R17</f>
        <v>0</v>
      </c>
      <c r="N15" s="22">
        <f>'Program Budget'!Q17+'Program Budget'!Q150+'Program Budget'!Q204+'Program Budget'!Q281+'Program Budget'!Q378+'Program Budget'!Q451+'Program Budget'!Q525+'Program Budget'!Q605+'Program Budget'!Q675</f>
        <v>1</v>
      </c>
      <c r="O15" s="23">
        <f>'Program Budget'!S17+'Program Budget'!S150+'Program Budget'!S204+'Program Budget'!S281+'Program Budget'!S378+'Program Budget'!S451+'Program Budget'!S525+'Program Budget'!S605+'Program Budget'!S675</f>
        <v>0</v>
      </c>
      <c r="P15" s="154">
        <f t="shared" si="0"/>
        <v>50440</v>
      </c>
      <c r="Q15" s="141"/>
    </row>
    <row r="16" spans="2:17" s="7" customFormat="1" outlineLevel="1">
      <c r="B16" s="21" t="str">
        <f>'Program Budget'!D18</f>
        <v>Cacao &amp; Complementary Crop Technical Field Leader (2)</v>
      </c>
      <c r="C16" s="23">
        <f>'Program Budget'!E18+'Program Budget'!E151+'Program Budget'!E205+'Program Budget'!E282+'Program Budget'!E379+'Program Budget'!E452+'Program Budget'!E526+'Program Budget'!E606+'Program Budget'!E676</f>
        <v>0</v>
      </c>
      <c r="D16" s="73">
        <f>'Program Budget'!I18</f>
        <v>6</v>
      </c>
      <c r="E16" s="22">
        <f>'Program Budget'!H18+'Program Budget'!H151+'Program Budget'!H205+'Program Budget'!H282+'Program Budget'!H379+'Program Budget'!H452+'Program Budget'!H526+'Program Budget'!H606+'Program Budget'!H676</f>
        <v>1</v>
      </c>
      <c r="F16" s="23">
        <f>'Program Budget'!J18+'Program Budget'!J151+'Program Budget'!J205+'Program Budget'!J282+'Program Budget'!J379+'Program Budget'!J452+'Program Budget'!J526+'Program Budget'!J606+'Program Budget'!J676</f>
        <v>21000</v>
      </c>
      <c r="G16" s="73">
        <f>'Program Budget'!L18</f>
        <v>12</v>
      </c>
      <c r="H16" s="22">
        <f>'Program Budget'!K18+'Program Budget'!K151+'Program Budget'!K205+'Program Budget'!K282+'Program Budget'!K379+'Program Budget'!K452+'Program Budget'!K526+'Program Budget'!K606+'Program Budget'!K676</f>
        <v>1</v>
      </c>
      <c r="I16" s="23">
        <f>'Program Budget'!M18+'Program Budget'!M151+'Program Budget'!M205+'Program Budget'!M282+'Program Budget'!M379+'Program Budget'!M452+'Program Budget'!M526+'Program Budget'!M606+'Program Budget'!M676</f>
        <v>44100</v>
      </c>
      <c r="J16" s="73">
        <f>'Program Budget'!O18</f>
        <v>12</v>
      </c>
      <c r="K16" s="22">
        <f>'Program Budget'!N18+'Program Budget'!N151+'Program Budget'!N205+'Program Budget'!N282+'Program Budget'!N379+'Program Budget'!N452+'Program Budget'!N526+'Program Budget'!N606+'Program Budget'!N676</f>
        <v>1</v>
      </c>
      <c r="L16" s="23">
        <f>'Program Budget'!P18+'Program Budget'!P151+'Program Budget'!P205+'Program Budget'!P282+'Program Budget'!P379+'Program Budget'!P452+'Program Budget'!P526+'Program Budget'!P606+'Program Budget'!P676</f>
        <v>46305</v>
      </c>
      <c r="M16" s="73">
        <f>'Program Budget'!R18</f>
        <v>0</v>
      </c>
      <c r="N16" s="22">
        <f>'Program Budget'!Q18+'Program Budget'!Q151+'Program Budget'!Q205+'Program Budget'!Q282+'Program Budget'!Q379+'Program Budget'!Q452+'Program Budget'!Q526+'Program Budget'!Q606+'Program Budget'!Q676</f>
        <v>1</v>
      </c>
      <c r="O16" s="23">
        <f>'Program Budget'!S18+'Program Budget'!S151+'Program Budget'!S205+'Program Budget'!S282+'Program Budget'!S379+'Program Budget'!S452+'Program Budget'!S526+'Program Budget'!S606+'Program Budget'!S676</f>
        <v>0</v>
      </c>
      <c r="P16" s="154">
        <f t="shared" si="0"/>
        <v>111405</v>
      </c>
      <c r="Q16" s="141"/>
    </row>
    <row r="17" spans="2:17" s="7" customFormat="1" outlineLevel="1">
      <c r="B17" s="21" t="str">
        <f>'Program Budget'!D19</f>
        <v>Extension Agents (45 in Y5 and 25 in Y6)</v>
      </c>
      <c r="C17" s="23">
        <f>'Program Budget'!E19+'Program Budget'!E152+'Program Budget'!E206+'Program Budget'!E283+'Program Budget'!E380+'Program Budget'!E453+'Program Budget'!E527+'Program Budget'!E607+'Program Budget'!E677</f>
        <v>187435.61000000002</v>
      </c>
      <c r="D17" s="73">
        <f>'Program Budget'!I19</f>
        <v>12</v>
      </c>
      <c r="E17" s="22">
        <f>'Program Budget'!H19+'Program Budget'!H152+'Program Budget'!H206+'Program Budget'!H283+'Program Budget'!H380+'Program Budget'!H453+'Program Budget'!H527+'Program Budget'!H607+'Program Budget'!H677</f>
        <v>1</v>
      </c>
      <c r="F17" s="23">
        <f>'Program Budget'!J19+'Program Budget'!J152+'Program Budget'!J206+'Program Budget'!J283+'Program Budget'!J380+'Program Budget'!J453+'Program Budget'!J527+'Program Budget'!J607+'Program Budget'!J677</f>
        <v>540000</v>
      </c>
      <c r="G17" s="73">
        <f>'Program Budget'!L19</f>
        <v>12</v>
      </c>
      <c r="H17" s="22">
        <f>'Program Budget'!K19+'Program Budget'!K152+'Program Budget'!K206+'Program Budget'!K283+'Program Budget'!K380+'Program Budget'!K453+'Program Budget'!K527+'Program Budget'!K607+'Program Budget'!K677</f>
        <v>1</v>
      </c>
      <c r="I17" s="23">
        <f>'Program Budget'!M19+'Program Budget'!M152+'Program Budget'!M206+'Program Budget'!M283+'Program Budget'!M380+'Program Budget'!M453+'Program Budget'!M527+'Program Budget'!M607+'Program Budget'!M677</f>
        <v>315000</v>
      </c>
      <c r="J17" s="73">
        <f>'Program Budget'!O19</f>
        <v>0</v>
      </c>
      <c r="K17" s="22">
        <f>'Program Budget'!N19+'Program Budget'!N152+'Program Budget'!N206+'Program Budget'!N283+'Program Budget'!N380+'Program Budget'!N453+'Program Budget'!N527+'Program Budget'!N607+'Program Budget'!N677</f>
        <v>1</v>
      </c>
      <c r="L17" s="23">
        <f>'Program Budget'!P19+'Program Budget'!P152+'Program Budget'!P206+'Program Budget'!P283+'Program Budget'!P380+'Program Budget'!P453+'Program Budget'!P527+'Program Budget'!P607+'Program Budget'!P677</f>
        <v>0</v>
      </c>
      <c r="M17" s="73">
        <f>'Program Budget'!R19</f>
        <v>0</v>
      </c>
      <c r="N17" s="22">
        <f>'Program Budget'!Q19+'Program Budget'!Q152+'Program Budget'!Q206+'Program Budget'!Q283+'Program Budget'!Q380+'Program Budget'!Q453+'Program Budget'!Q527+'Program Budget'!Q607+'Program Budget'!Q677</f>
        <v>1</v>
      </c>
      <c r="O17" s="23">
        <f>'Program Budget'!S19+'Program Budget'!S152+'Program Budget'!S206+'Program Budget'!S283+'Program Budget'!S380+'Program Budget'!S453+'Program Budget'!S527+'Program Budget'!S607+'Program Budget'!S677</f>
        <v>0</v>
      </c>
      <c r="P17" s="154">
        <f t="shared" si="0"/>
        <v>1042435.61</v>
      </c>
      <c r="Q17" s="141"/>
    </row>
    <row r="18" spans="2:17" s="7" customFormat="1" outlineLevel="1">
      <c r="B18" s="21" t="str">
        <f>'Program Budget'!D20</f>
        <v>Activity Lead Agribusiness Senior Specialist (Complementary Crop)</v>
      </c>
      <c r="C18" s="23">
        <f>'Program Budget'!E20+'Program Budget'!E153+'Program Budget'!E207+'Program Budget'!E284+'Program Budget'!E381+'Program Budget'!E454+'Program Budget'!E528+'Program Budget'!E608+'Program Budget'!E678</f>
        <v>151336.29999999999</v>
      </c>
      <c r="D18" s="73">
        <f>'Program Budget'!I20</f>
        <v>12</v>
      </c>
      <c r="E18" s="22">
        <f>'Program Budget'!H20+'Program Budget'!H153+'Program Budget'!H207+'Program Budget'!H284+'Program Budget'!H381+'Program Budget'!H454+'Program Budget'!H528+'Program Budget'!H608+'Program Budget'!H678</f>
        <v>1</v>
      </c>
      <c r="F18" s="23">
        <f>'Program Budget'!J20+'Program Budget'!J153+'Program Budget'!J207+'Program Budget'!J284+'Program Budget'!J381+'Program Budget'!J454+'Program Budget'!J528+'Program Budget'!J608+'Program Budget'!J678</f>
        <v>34000</v>
      </c>
      <c r="G18" s="73">
        <f>'Program Budget'!L20</f>
        <v>12</v>
      </c>
      <c r="H18" s="22">
        <f>'Program Budget'!K20+'Program Budget'!K153+'Program Budget'!K207+'Program Budget'!K284+'Program Budget'!K381+'Program Budget'!K454+'Program Budget'!K528+'Program Budget'!K608+'Program Budget'!K678</f>
        <v>1</v>
      </c>
      <c r="I18" s="23">
        <f>'Program Budget'!M20+'Program Budget'!M153+'Program Budget'!M207+'Program Budget'!M284+'Program Budget'!M381+'Program Budget'!M454+'Program Budget'!M528+'Program Budget'!M608+'Program Budget'!M678</f>
        <v>35700</v>
      </c>
      <c r="J18" s="73">
        <f>'Program Budget'!O20</f>
        <v>12</v>
      </c>
      <c r="K18" s="22">
        <f>'Program Budget'!N20+'Program Budget'!N153+'Program Budget'!N207+'Program Budget'!N284+'Program Budget'!N381+'Program Budget'!N454+'Program Budget'!N528+'Program Budget'!N608+'Program Budget'!N678</f>
        <v>1</v>
      </c>
      <c r="L18" s="23">
        <f>'Program Budget'!P20+'Program Budget'!P153+'Program Budget'!P207+'Program Budget'!P284+'Program Budget'!P381+'Program Budget'!P454+'Program Budget'!P528+'Program Budget'!P608+'Program Budget'!P678</f>
        <v>37485</v>
      </c>
      <c r="M18" s="73">
        <f>'Program Budget'!R20</f>
        <v>0</v>
      </c>
      <c r="N18" s="22">
        <f>'Program Budget'!Q20+'Program Budget'!Q153+'Program Budget'!Q207+'Program Budget'!Q284+'Program Budget'!Q381+'Program Budget'!Q454+'Program Budget'!Q528+'Program Budget'!Q608+'Program Budget'!Q678</f>
        <v>1</v>
      </c>
      <c r="O18" s="23">
        <f>'Program Budget'!S20+'Program Budget'!S153+'Program Budget'!S207+'Program Budget'!S284+'Program Budget'!S381+'Program Budget'!S454+'Program Budget'!S528+'Program Budget'!S608+'Program Budget'!S678</f>
        <v>0</v>
      </c>
      <c r="P18" s="154">
        <f t="shared" si="0"/>
        <v>258521.3</v>
      </c>
      <c r="Q18" s="141"/>
    </row>
    <row r="19" spans="2:17" s="7" customFormat="1" outlineLevel="1">
      <c r="B19" s="21" t="str">
        <f>'Program Budget'!D21</f>
        <v>Complementary Crops Field Officer</v>
      </c>
      <c r="C19" s="23">
        <f>'Program Budget'!E21+'Program Budget'!E154+'Program Budget'!E208+'Program Budget'!E285+'Program Budget'!E382+'Program Budget'!E455+'Program Budget'!E529+'Program Budget'!E609+'Program Budget'!E679</f>
        <v>0</v>
      </c>
      <c r="D19" s="73">
        <f>'Program Budget'!I21</f>
        <v>0</v>
      </c>
      <c r="E19" s="22">
        <f>'Program Budget'!H21+'Program Budget'!H154+'Program Budget'!H208+'Program Budget'!H285+'Program Budget'!H382+'Program Budget'!H455+'Program Budget'!H529+'Program Budget'!H609+'Program Budget'!H679</f>
        <v>1</v>
      </c>
      <c r="F19" s="23">
        <f>'Program Budget'!J21+'Program Budget'!J154+'Program Budget'!J208+'Program Budget'!J285+'Program Budget'!J382+'Program Budget'!J455+'Program Budget'!J529+'Program Budget'!J609+'Program Budget'!J679</f>
        <v>0</v>
      </c>
      <c r="G19" s="73">
        <f>'Program Budget'!L21</f>
        <v>12</v>
      </c>
      <c r="H19" s="22">
        <f>'Program Budget'!K21+'Program Budget'!K154+'Program Budget'!K208+'Program Budget'!K285+'Program Budget'!K382+'Program Budget'!K455+'Program Budget'!K529+'Program Budget'!K609+'Program Budget'!K679</f>
        <v>1</v>
      </c>
      <c r="I19" s="23">
        <f>'Program Budget'!M21+'Program Budget'!M154+'Program Budget'!M208+'Program Budget'!M285+'Program Budget'!M382+'Program Budget'!M455+'Program Budget'!M529+'Program Budget'!M609+'Program Budget'!M679</f>
        <v>0</v>
      </c>
      <c r="J19" s="73">
        <f>'Program Budget'!O21</f>
        <v>12</v>
      </c>
      <c r="K19" s="22">
        <f>'Program Budget'!N21+'Program Budget'!N154+'Program Budget'!N208+'Program Budget'!N285+'Program Budget'!N382+'Program Budget'!N455+'Program Budget'!N529+'Program Budget'!N609+'Program Budget'!N679</f>
        <v>1</v>
      </c>
      <c r="L19" s="23">
        <f>'Program Budget'!P21+'Program Budget'!P154+'Program Budget'!P208+'Program Budget'!P285+'Program Budget'!P382+'Program Budget'!P455+'Program Budget'!P529+'Program Budget'!P609+'Program Budget'!P679</f>
        <v>0</v>
      </c>
      <c r="M19" s="73">
        <f>'Program Budget'!R21</f>
        <v>0</v>
      </c>
      <c r="N19" s="22">
        <f>'Program Budget'!Q21+'Program Budget'!Q154+'Program Budget'!Q208+'Program Budget'!Q285+'Program Budget'!Q382+'Program Budget'!Q455+'Program Budget'!Q529+'Program Budget'!Q609+'Program Budget'!Q679</f>
        <v>1</v>
      </c>
      <c r="O19" s="23">
        <f>'Program Budget'!S21+'Program Budget'!S154+'Program Budget'!S208+'Program Budget'!S285+'Program Budget'!S382+'Program Budget'!S455+'Program Budget'!S529+'Program Budget'!S609+'Program Budget'!S679</f>
        <v>0</v>
      </c>
      <c r="P19" s="154">
        <f t="shared" si="0"/>
        <v>0</v>
      </c>
      <c r="Q19" s="141"/>
    </row>
    <row r="20" spans="2:17" s="7" customFormat="1" outlineLevel="1">
      <c r="B20" s="21" t="str">
        <f>'Program Budget'!D22</f>
        <v>EPSEAS Specialist</v>
      </c>
      <c r="C20" s="23">
        <f>'Program Budget'!E22+'Program Budget'!E155+'Program Budget'!E209+'Program Budget'!E286+'Program Budget'!E383+'Program Budget'!E456+'Program Budget'!E530+'Program Budget'!E610+'Program Budget'!E680</f>
        <v>0</v>
      </c>
      <c r="D20" s="73">
        <f>'Program Budget'!I22</f>
        <v>0</v>
      </c>
      <c r="E20" s="22">
        <f>'Program Budget'!H22+'Program Budget'!H155+'Program Budget'!H209+'Program Budget'!H286+'Program Budget'!H383+'Program Budget'!H456+'Program Budget'!H530+'Program Budget'!H610+'Program Budget'!H680</f>
        <v>1</v>
      </c>
      <c r="F20" s="23">
        <f>'Program Budget'!J22+'Program Budget'!J155+'Program Budget'!J209+'Program Budget'!J286+'Program Budget'!J383+'Program Budget'!J456+'Program Budget'!J530+'Program Budget'!J610+'Program Budget'!J680</f>
        <v>0</v>
      </c>
      <c r="G20" s="73">
        <f>'Program Budget'!L22</f>
        <v>12</v>
      </c>
      <c r="H20" s="22">
        <f>'Program Budget'!K22+'Program Budget'!K155+'Program Budget'!K209+'Program Budget'!K286+'Program Budget'!K383+'Program Budget'!K456+'Program Budget'!K530+'Program Budget'!K610+'Program Budget'!K680</f>
        <v>1</v>
      </c>
      <c r="I20" s="23">
        <f>'Program Budget'!M22+'Program Budget'!M155+'Program Budget'!M209+'Program Budget'!M286+'Program Budget'!M383+'Program Budget'!M456+'Program Budget'!M530+'Program Budget'!M610+'Program Budget'!M680</f>
        <v>0</v>
      </c>
      <c r="J20" s="73">
        <f>'Program Budget'!O22</f>
        <v>12</v>
      </c>
      <c r="K20" s="22">
        <f>'Program Budget'!N22+'Program Budget'!N155+'Program Budget'!N209+'Program Budget'!N286+'Program Budget'!N383+'Program Budget'!N456+'Program Budget'!N530+'Program Budget'!N610+'Program Budget'!N680</f>
        <v>1</v>
      </c>
      <c r="L20" s="23">
        <f>'Program Budget'!P22+'Program Budget'!P155+'Program Budget'!P209+'Program Budget'!P286+'Program Budget'!P383+'Program Budget'!P456+'Program Budget'!P530+'Program Budget'!P610+'Program Budget'!P680</f>
        <v>0</v>
      </c>
      <c r="M20" s="73">
        <f>'Program Budget'!R22</f>
        <v>0</v>
      </c>
      <c r="N20" s="22">
        <f>'Program Budget'!Q22+'Program Budget'!Q155+'Program Budget'!Q209+'Program Budget'!Q286+'Program Budget'!Q383+'Program Budget'!Q456+'Program Budget'!Q530+'Program Budget'!Q610+'Program Budget'!Q680</f>
        <v>1</v>
      </c>
      <c r="O20" s="23">
        <f>'Program Budget'!S22+'Program Budget'!S155+'Program Budget'!S209+'Program Budget'!S286+'Program Budget'!S383+'Program Budget'!S456+'Program Budget'!S530+'Program Budget'!S610+'Program Budget'!S680</f>
        <v>0</v>
      </c>
      <c r="P20" s="154">
        <f t="shared" si="0"/>
        <v>0</v>
      </c>
      <c r="Q20" s="141"/>
    </row>
    <row r="21" spans="2:17" s="7" customFormat="1" outlineLevel="1">
      <c r="B21" s="21" t="str">
        <f>'Program Budget'!D23</f>
        <v>Extension Agents for EPSEAS (20 in Y6 and 25 in Y7)</v>
      </c>
      <c r="C21" s="23">
        <f>'Program Budget'!E23+'Program Budget'!E156+'Program Budget'!E210+'Program Budget'!E287+'Program Budget'!E384+'Program Budget'!E457+'Program Budget'!E531+'Program Budget'!E611+'Program Budget'!E681</f>
        <v>0</v>
      </c>
      <c r="D21" s="73">
        <f>'Program Budget'!I23</f>
        <v>0</v>
      </c>
      <c r="E21" s="22">
        <f>'Program Budget'!H23+'Program Budget'!H156+'Program Budget'!H210+'Program Budget'!H287+'Program Budget'!H384+'Program Budget'!H457+'Program Budget'!H531+'Program Budget'!H611+'Program Budget'!H681</f>
        <v>1</v>
      </c>
      <c r="F21" s="23">
        <f>'Program Budget'!J23+'Program Budget'!J156+'Program Budget'!J210+'Program Budget'!J287+'Program Budget'!J384+'Program Budget'!J457+'Program Budget'!J531+'Program Budget'!J611+'Program Budget'!J681</f>
        <v>0</v>
      </c>
      <c r="G21" s="73">
        <f>'Program Budget'!L23</f>
        <v>12</v>
      </c>
      <c r="H21" s="22">
        <f>'Program Budget'!K23+'Program Budget'!K156+'Program Budget'!K210+'Program Budget'!K287+'Program Budget'!K384+'Program Budget'!K457+'Program Budget'!K531+'Program Budget'!K611+'Program Budget'!K681</f>
        <v>1</v>
      </c>
      <c r="I21" s="23">
        <f>'Program Budget'!M23+'Program Budget'!M156+'Program Budget'!M210+'Program Budget'!M287+'Program Budget'!M384+'Program Budget'!M457+'Program Budget'!M531+'Program Budget'!M611+'Program Budget'!M681</f>
        <v>252000</v>
      </c>
      <c r="J21" s="73">
        <f>'Program Budget'!O23</f>
        <v>12</v>
      </c>
      <c r="K21" s="22">
        <f>'Program Budget'!N23+'Program Budget'!N156+'Program Budget'!N210+'Program Budget'!N287+'Program Budget'!N384+'Program Budget'!N457+'Program Budget'!N531+'Program Budget'!N611+'Program Budget'!N681</f>
        <v>1</v>
      </c>
      <c r="L21" s="23">
        <f>'Program Budget'!P23+'Program Budget'!P156+'Program Budget'!P210+'Program Budget'!P287+'Program Budget'!P384+'Program Budget'!P457+'Program Budget'!P531+'Program Budget'!P611+'Program Budget'!P681</f>
        <v>330750</v>
      </c>
      <c r="M21" s="73">
        <f>'Program Budget'!R23</f>
        <v>0</v>
      </c>
      <c r="N21" s="22">
        <f>'Program Budget'!Q23+'Program Budget'!Q156+'Program Budget'!Q210+'Program Budget'!Q287+'Program Budget'!Q384+'Program Budget'!Q457+'Program Budget'!Q531+'Program Budget'!Q611+'Program Budget'!Q681</f>
        <v>1</v>
      </c>
      <c r="O21" s="23">
        <f>'Program Budget'!S23+'Program Budget'!S156+'Program Budget'!S210+'Program Budget'!S287+'Program Budget'!S384+'Program Budget'!S457+'Program Budget'!S531+'Program Budget'!S611+'Program Budget'!S681</f>
        <v>0</v>
      </c>
      <c r="P21" s="154">
        <f t="shared" si="0"/>
        <v>582750</v>
      </c>
      <c r="Q21" s="141"/>
    </row>
    <row r="22" spans="2:17" s="7" customFormat="1" outlineLevel="1">
      <c r="B22" s="21" t="str">
        <f>'Program Budget'!D24</f>
        <v xml:space="preserve">Senior M&amp;E Director </v>
      </c>
      <c r="C22" s="23">
        <f>'Program Budget'!E24+'Program Budget'!E157+'Program Budget'!E211+'Program Budget'!E288+'Program Budget'!E385+'Program Budget'!E458+'Program Budget'!E532+'Program Budget'!E612+'Program Budget'!E682</f>
        <v>124292.19</v>
      </c>
      <c r="D22" s="73">
        <f>'Program Budget'!I24</f>
        <v>12</v>
      </c>
      <c r="E22" s="22">
        <f>'Program Budget'!H24+'Program Budget'!H157+'Program Budget'!H211+'Program Budget'!H288+'Program Budget'!H385+'Program Budget'!H458+'Program Budget'!H532+'Program Budget'!H612+'Program Budget'!H682</f>
        <v>0.99999999999999989</v>
      </c>
      <c r="F22" s="23">
        <f>'Program Budget'!J24+'Program Budget'!J157+'Program Budget'!J211+'Program Budget'!J288+'Program Budget'!J385+'Program Budget'!J458+'Program Budget'!J532+'Program Budget'!J612+'Program Budget'!J682</f>
        <v>75000</v>
      </c>
      <c r="G22" s="73">
        <f>'Program Budget'!L24</f>
        <v>12</v>
      </c>
      <c r="H22" s="22">
        <f>'Program Budget'!K24+'Program Budget'!K157+'Program Budget'!K211+'Program Budget'!K288+'Program Budget'!K385+'Program Budget'!K458+'Program Budget'!K532+'Program Budget'!K612+'Program Budget'!K682</f>
        <v>1</v>
      </c>
      <c r="I22" s="23">
        <f>'Program Budget'!M24+'Program Budget'!M157+'Program Budget'!M211+'Program Budget'!M288+'Program Budget'!M385+'Program Budget'!M458+'Program Budget'!M532+'Program Budget'!M612+'Program Budget'!M682</f>
        <v>78750</v>
      </c>
      <c r="J22" s="73">
        <f>'Program Budget'!O24</f>
        <v>12</v>
      </c>
      <c r="K22" s="22">
        <f>'Program Budget'!N24+'Program Budget'!N157+'Program Budget'!N211+'Program Budget'!N288+'Program Budget'!N385+'Program Budget'!N458+'Program Budget'!N532+'Program Budget'!N612+'Program Budget'!N682</f>
        <v>1</v>
      </c>
      <c r="L22" s="23">
        <f>'Program Budget'!P24+'Program Budget'!P157+'Program Budget'!P211+'Program Budget'!P288+'Program Budget'!P385+'Program Budget'!P458+'Program Budget'!P532+'Program Budget'!P612+'Program Budget'!P682</f>
        <v>82687.5</v>
      </c>
      <c r="M22" s="73">
        <f>'Program Budget'!R24</f>
        <v>6</v>
      </c>
      <c r="N22" s="22">
        <f>'Program Budget'!Q24+'Program Budget'!Q157+'Program Budget'!Q211+'Program Budget'!Q288+'Program Budget'!Q385+'Program Budget'!Q458+'Program Budget'!Q532+'Program Budget'!Q612+'Program Budget'!Q682</f>
        <v>1</v>
      </c>
      <c r="O22" s="23">
        <f>'Program Budget'!S24+'Program Budget'!S157+'Program Budget'!S211+'Program Budget'!S288+'Program Budget'!S385+'Program Budget'!S458+'Program Budget'!S532+'Program Budget'!S612+'Program Budget'!S682</f>
        <v>43410.9375</v>
      </c>
      <c r="P22" s="154">
        <f t="shared" si="0"/>
        <v>404140.6275</v>
      </c>
      <c r="Q22" s="141"/>
    </row>
    <row r="23" spans="2:17" s="7" customFormat="1" outlineLevel="1">
      <c r="B23" s="21" t="str">
        <f>'Program Budget'!D25</f>
        <v>Senior M&amp;E Specialist</v>
      </c>
      <c r="C23" s="23">
        <f>'Program Budget'!E25+'Program Budget'!E158+'Program Budget'!E212+'Program Budget'!E289+'Program Budget'!E386+'Program Budget'!E459+'Program Budget'!E533+'Program Budget'!E613+'Program Budget'!E683</f>
        <v>97588.950000000012</v>
      </c>
      <c r="D23" s="73">
        <f>'Program Budget'!I25</f>
        <v>12</v>
      </c>
      <c r="E23" s="22">
        <f>'Program Budget'!H25+'Program Budget'!H158+'Program Budget'!H212+'Program Budget'!H289+'Program Budget'!H386+'Program Budget'!H459+'Program Budget'!H533+'Program Budget'!H613+'Program Budget'!H683</f>
        <v>0.99999999999999989</v>
      </c>
      <c r="F23" s="23">
        <f>'Program Budget'!J25+'Program Budget'!J158+'Program Budget'!J212+'Program Budget'!J289+'Program Budget'!J386+'Program Budget'!J459+'Program Budget'!J533+'Program Budget'!J613+'Program Budget'!J683</f>
        <v>34000</v>
      </c>
      <c r="G23" s="73">
        <f>'Program Budget'!L25</f>
        <v>12</v>
      </c>
      <c r="H23" s="22">
        <f>'Program Budget'!K25+'Program Budget'!K158+'Program Budget'!K212+'Program Budget'!K289+'Program Budget'!K386+'Program Budget'!K459+'Program Budget'!K533+'Program Budget'!K613+'Program Budget'!K683</f>
        <v>1</v>
      </c>
      <c r="I23" s="23">
        <f>'Program Budget'!M25+'Program Budget'!M158+'Program Budget'!M212+'Program Budget'!M289+'Program Budget'!M386+'Program Budget'!M459+'Program Budget'!M533+'Program Budget'!M613+'Program Budget'!M683</f>
        <v>35700</v>
      </c>
      <c r="J23" s="73">
        <f>'Program Budget'!O25</f>
        <v>12</v>
      </c>
      <c r="K23" s="22">
        <f>'Program Budget'!N25+'Program Budget'!N158+'Program Budget'!N212+'Program Budget'!N289+'Program Budget'!N386+'Program Budget'!N459+'Program Budget'!N533+'Program Budget'!N613+'Program Budget'!N683</f>
        <v>1</v>
      </c>
      <c r="L23" s="23">
        <f>'Program Budget'!P25+'Program Budget'!P158+'Program Budget'!P212+'Program Budget'!P289+'Program Budget'!P386+'Program Budget'!P459+'Program Budget'!P533+'Program Budget'!P613+'Program Budget'!P683</f>
        <v>37485.000000000007</v>
      </c>
      <c r="M23" s="73">
        <f>'Program Budget'!R25</f>
        <v>6</v>
      </c>
      <c r="N23" s="22">
        <f>'Program Budget'!Q25+'Program Budget'!Q158+'Program Budget'!Q212+'Program Budget'!Q289+'Program Budget'!Q386+'Program Budget'!Q459+'Program Budget'!Q533+'Program Budget'!Q613+'Program Budget'!Q683</f>
        <v>1</v>
      </c>
      <c r="O23" s="23">
        <f>'Program Budget'!S25+'Program Budget'!S158+'Program Budget'!S212+'Program Budget'!S289+'Program Budget'!S386+'Program Budget'!S459+'Program Budget'!S533+'Program Budget'!S613+'Program Budget'!S683</f>
        <v>19679.625</v>
      </c>
      <c r="P23" s="154">
        <f t="shared" si="0"/>
        <v>224453.57500000001</v>
      </c>
      <c r="Q23" s="141"/>
    </row>
    <row r="24" spans="2:17" s="7" customFormat="1" outlineLevel="1">
      <c r="B24" s="21" t="str">
        <f>'Program Budget'!D26</f>
        <v>M&amp;E Specialist</v>
      </c>
      <c r="C24" s="23">
        <f>'Program Budget'!E26+'Program Budget'!E159+'Program Budget'!E213+'Program Budget'!E290+'Program Budget'!E387+'Program Budget'!E460+'Program Budget'!E534+'Program Budget'!E614+'Program Budget'!E684</f>
        <v>77001.794999999998</v>
      </c>
      <c r="D24" s="73">
        <f>'Program Budget'!I26</f>
        <v>12</v>
      </c>
      <c r="E24" s="22">
        <f>'Program Budget'!H26+'Program Budget'!H159+'Program Budget'!H213+'Program Budget'!H290+'Program Budget'!H387+'Program Budget'!H460+'Program Budget'!H534+'Program Budget'!H614+'Program Budget'!H684</f>
        <v>0.99999999999999989</v>
      </c>
      <c r="F24" s="23">
        <f>'Program Budget'!J26+'Program Budget'!J159+'Program Budget'!J213+'Program Budget'!J290+'Program Budget'!J387+'Program Budget'!J460+'Program Budget'!J534+'Program Budget'!J614+'Program Budget'!J684</f>
        <v>30000</v>
      </c>
      <c r="G24" s="73">
        <f>'Program Budget'!L26</f>
        <v>12</v>
      </c>
      <c r="H24" s="22">
        <f>'Program Budget'!K26+'Program Budget'!K159+'Program Budget'!K213+'Program Budget'!K290+'Program Budget'!K387+'Program Budget'!K460+'Program Budget'!K534+'Program Budget'!K614+'Program Budget'!K684</f>
        <v>1</v>
      </c>
      <c r="I24" s="23">
        <f>'Program Budget'!M26+'Program Budget'!M159+'Program Budget'!M213+'Program Budget'!M290+'Program Budget'!M387+'Program Budget'!M460+'Program Budget'!M534+'Program Budget'!M614+'Program Budget'!M684</f>
        <v>31500</v>
      </c>
      <c r="J24" s="73">
        <f>'Program Budget'!O26</f>
        <v>12</v>
      </c>
      <c r="K24" s="22">
        <f>'Program Budget'!N26+'Program Budget'!N159+'Program Budget'!N213+'Program Budget'!N290+'Program Budget'!N387+'Program Budget'!N460+'Program Budget'!N534+'Program Budget'!N614+'Program Budget'!N684</f>
        <v>1</v>
      </c>
      <c r="L24" s="23">
        <f>'Program Budget'!P26+'Program Budget'!P159+'Program Budget'!P213+'Program Budget'!P290+'Program Budget'!P387+'Program Budget'!P460+'Program Budget'!P534+'Program Budget'!P614+'Program Budget'!P684</f>
        <v>33075</v>
      </c>
      <c r="M24" s="73">
        <f>'Program Budget'!R26</f>
        <v>3</v>
      </c>
      <c r="N24" s="22">
        <f>'Program Budget'!Q26+'Program Budget'!Q159+'Program Budget'!Q213+'Program Budget'!Q290+'Program Budget'!Q387+'Program Budget'!Q460+'Program Budget'!Q534+'Program Budget'!Q614+'Program Budget'!Q684</f>
        <v>1</v>
      </c>
      <c r="O24" s="23">
        <f>'Program Budget'!S26+'Program Budget'!S159+'Program Budget'!S213+'Program Budget'!S290+'Program Budget'!S387+'Program Budget'!S460+'Program Budget'!S534+'Program Budget'!S614+'Program Budget'!S684</f>
        <v>8682.1875000000018</v>
      </c>
      <c r="P24" s="154">
        <f t="shared" si="0"/>
        <v>180258.98249999998</v>
      </c>
      <c r="Q24" s="141"/>
    </row>
    <row r="25" spans="2:17" s="7" customFormat="1" outlineLevel="1">
      <c r="B25" s="21" t="str">
        <f>'Program Budget'!D27</f>
        <v>M&amp;E Officer</v>
      </c>
      <c r="C25" s="23">
        <f>'Program Budget'!E27+'Program Budget'!E160+'Program Budget'!E214+'Program Budget'!E291+'Program Budget'!E388+'Program Budget'!E461+'Program Budget'!E535+'Program Budget'!E615+'Program Budget'!E685</f>
        <v>48959.525000000001</v>
      </c>
      <c r="D25" s="73">
        <f>'Program Budget'!I27</f>
        <v>12</v>
      </c>
      <c r="E25" s="22">
        <f>'Program Budget'!H27+'Program Budget'!H160+'Program Budget'!H214+'Program Budget'!H291+'Program Budget'!H388+'Program Budget'!H461+'Program Budget'!H535+'Program Budget'!H615+'Program Budget'!H685</f>
        <v>0.99999999999999989</v>
      </c>
      <c r="F25" s="23">
        <f>'Program Budget'!J27+'Program Budget'!J160+'Program Budget'!J214+'Program Budget'!J291+'Program Budget'!J388+'Program Budget'!J461+'Program Budget'!J535+'Program Budget'!J615+'Program Budget'!J685</f>
        <v>12000</v>
      </c>
      <c r="G25" s="73">
        <f>'Program Budget'!L27</f>
        <v>12</v>
      </c>
      <c r="H25" s="22">
        <f>'Program Budget'!K27+'Program Budget'!K160+'Program Budget'!K214+'Program Budget'!K291+'Program Budget'!K388+'Program Budget'!K461+'Program Budget'!K535+'Program Budget'!K615+'Program Budget'!K685</f>
        <v>1</v>
      </c>
      <c r="I25" s="23">
        <f>'Program Budget'!M27+'Program Budget'!M160+'Program Budget'!M214+'Program Budget'!M291+'Program Budget'!M388+'Program Budget'!M461+'Program Budget'!M535+'Program Budget'!M615+'Program Budget'!M685</f>
        <v>12600</v>
      </c>
      <c r="J25" s="73">
        <f>'Program Budget'!O27</f>
        <v>12</v>
      </c>
      <c r="K25" s="22">
        <f>'Program Budget'!N27+'Program Budget'!N160+'Program Budget'!N214+'Program Budget'!N291+'Program Budget'!N388+'Program Budget'!N461+'Program Budget'!N535+'Program Budget'!N615+'Program Budget'!N685</f>
        <v>1</v>
      </c>
      <c r="L25" s="23">
        <f>'Program Budget'!P27+'Program Budget'!P160+'Program Budget'!P214+'Program Budget'!P291+'Program Budget'!P388+'Program Budget'!P461+'Program Budget'!P535+'Program Budget'!P615+'Program Budget'!P685</f>
        <v>13230</v>
      </c>
      <c r="M25" s="73">
        <f>'Program Budget'!R27</f>
        <v>3</v>
      </c>
      <c r="N25" s="22">
        <f>'Program Budget'!Q27+'Program Budget'!Q160+'Program Budget'!Q214+'Program Budget'!Q291+'Program Budget'!Q388+'Program Budget'!Q461+'Program Budget'!Q535+'Program Budget'!Q615+'Program Budget'!Q685</f>
        <v>1</v>
      </c>
      <c r="O25" s="23">
        <f>'Program Budget'!S27+'Program Budget'!S160+'Program Budget'!S214+'Program Budget'!S291+'Program Budget'!S388+'Program Budget'!S461+'Program Budget'!S535+'Program Budget'!S615+'Program Budget'!S685</f>
        <v>3472.8750000000005</v>
      </c>
      <c r="P25" s="154">
        <f t="shared" si="0"/>
        <v>90262.399999999994</v>
      </c>
      <c r="Q25" s="141"/>
    </row>
    <row r="26" spans="2:17" s="7" customFormat="1" outlineLevel="1">
      <c r="B26" s="21" t="str">
        <f>'Program Budget'!D28</f>
        <v>Partnerships and Investment Director</v>
      </c>
      <c r="C26" s="23">
        <f>'Program Budget'!E28+'Program Budget'!E161+'Program Budget'!E215+'Program Budget'!E292+'Program Budget'!E389+'Program Budget'!E462+'Program Budget'!E536+'Program Budget'!E616+'Program Budget'!E686</f>
        <v>235574.48000000004</v>
      </c>
      <c r="D26" s="73">
        <f>'Program Budget'!I28</f>
        <v>12</v>
      </c>
      <c r="E26" s="22">
        <f>'Program Budget'!H28+'Program Budget'!H161+'Program Budget'!H215+'Program Budget'!H292+'Program Budget'!H389+'Program Budget'!H462+'Program Budget'!H536+'Program Budget'!H616+'Program Budget'!H686</f>
        <v>0.99999999999999989</v>
      </c>
      <c r="F26" s="23">
        <f>'Program Budget'!J28+'Program Budget'!J161+'Program Budget'!J215+'Program Budget'!J292+'Program Budget'!J389+'Program Budget'!J462+'Program Budget'!J536+'Program Budget'!J616+'Program Budget'!J686</f>
        <v>55000</v>
      </c>
      <c r="G26" s="73">
        <f>'Program Budget'!L28</f>
        <v>12</v>
      </c>
      <c r="H26" s="22">
        <f>'Program Budget'!K28+'Program Budget'!K161+'Program Budget'!K215+'Program Budget'!K292+'Program Budget'!K389+'Program Budget'!K462+'Program Budget'!K536+'Program Budget'!K616+'Program Budget'!K686</f>
        <v>1</v>
      </c>
      <c r="I26" s="23">
        <f>'Program Budget'!M28+'Program Budget'!M161+'Program Budget'!M215+'Program Budget'!M292+'Program Budget'!M389+'Program Budget'!M462+'Program Budget'!M536+'Program Budget'!M616+'Program Budget'!M686</f>
        <v>57750</v>
      </c>
      <c r="J26" s="73">
        <f>'Program Budget'!O28</f>
        <v>12</v>
      </c>
      <c r="K26" s="22">
        <f>'Program Budget'!N28+'Program Budget'!N161+'Program Budget'!N215+'Program Budget'!N292+'Program Budget'!N389+'Program Budget'!N462+'Program Budget'!N536+'Program Budget'!N616+'Program Budget'!N686</f>
        <v>1</v>
      </c>
      <c r="L26" s="23">
        <f>'Program Budget'!P28+'Program Budget'!P161+'Program Budget'!P215+'Program Budget'!P292+'Program Budget'!P389+'Program Budget'!P462+'Program Budget'!P536+'Program Budget'!P616+'Program Budget'!P686</f>
        <v>60637.5</v>
      </c>
      <c r="M26" s="73">
        <f>'Program Budget'!R28</f>
        <v>0</v>
      </c>
      <c r="N26" s="22">
        <f>'Program Budget'!Q28+'Program Budget'!Q161+'Program Budget'!Q215+'Program Budget'!Q292+'Program Budget'!Q389+'Program Budget'!Q462+'Program Budget'!Q536+'Program Budget'!Q616+'Program Budget'!Q686</f>
        <v>1</v>
      </c>
      <c r="O26" s="23">
        <f>'Program Budget'!S28+'Program Budget'!S161+'Program Budget'!S215+'Program Budget'!S292+'Program Budget'!S389+'Program Budget'!S462+'Program Budget'!S536+'Program Budget'!S616+'Program Budget'!S686</f>
        <v>0</v>
      </c>
      <c r="P26" s="154">
        <f t="shared" si="0"/>
        <v>408961.98000000004</v>
      </c>
      <c r="Q26" s="141"/>
    </row>
    <row r="27" spans="2:17" s="7" customFormat="1" outlineLevel="1">
      <c r="B27" s="21" t="str">
        <f>'Program Budget'!D29</f>
        <v>Partnerships and Investment Specialist</v>
      </c>
      <c r="C27" s="23">
        <f>'Program Budget'!E29+'Program Budget'!E162+'Program Budget'!E216+'Program Budget'!E293+'Program Budget'!E390+'Program Budget'!E463+'Program Budget'!E537+'Program Budget'!E617+'Program Budget'!E687</f>
        <v>0</v>
      </c>
      <c r="D27" s="73">
        <f>'Program Budget'!I29</f>
        <v>12</v>
      </c>
      <c r="E27" s="22">
        <f>'Program Budget'!H29+'Program Budget'!H162+'Program Budget'!H216+'Program Budget'!H293+'Program Budget'!H390+'Program Budget'!H463+'Program Budget'!H537+'Program Budget'!H617+'Program Budget'!H687</f>
        <v>0.99999999999999989</v>
      </c>
      <c r="F27" s="23">
        <f>'Program Budget'!J29+'Program Budget'!J162+'Program Budget'!J216+'Program Budget'!J293+'Program Budget'!J390+'Program Budget'!J463+'Program Budget'!J537+'Program Budget'!J617+'Program Budget'!J687</f>
        <v>21000</v>
      </c>
      <c r="G27" s="73">
        <f>'Program Budget'!L29</f>
        <v>12</v>
      </c>
      <c r="H27" s="22">
        <f>'Program Budget'!K29+'Program Budget'!K162+'Program Budget'!K216+'Program Budget'!K293+'Program Budget'!K390+'Program Budget'!K463+'Program Budget'!K537+'Program Budget'!K617+'Program Budget'!K687</f>
        <v>1</v>
      </c>
      <c r="I27" s="23">
        <f>'Program Budget'!M29+'Program Budget'!M162+'Program Budget'!M216+'Program Budget'!M293+'Program Budget'!M390+'Program Budget'!M463+'Program Budget'!M537+'Program Budget'!M617+'Program Budget'!M687</f>
        <v>22050</v>
      </c>
      <c r="J27" s="73">
        <f>'Program Budget'!O29</f>
        <v>12</v>
      </c>
      <c r="K27" s="22">
        <f>'Program Budget'!N29+'Program Budget'!N162+'Program Budget'!N216+'Program Budget'!N293+'Program Budget'!N390+'Program Budget'!N463+'Program Budget'!N537+'Program Budget'!N617+'Program Budget'!N687</f>
        <v>1</v>
      </c>
      <c r="L27" s="23">
        <f>'Program Budget'!P29+'Program Budget'!P162+'Program Budget'!P216+'Program Budget'!P293+'Program Budget'!P390+'Program Budget'!P463+'Program Budget'!P537+'Program Budget'!P617+'Program Budget'!P687</f>
        <v>23152.5</v>
      </c>
      <c r="M27" s="73">
        <f>'Program Budget'!R29</f>
        <v>0</v>
      </c>
      <c r="N27" s="22">
        <f>'Program Budget'!Q29+'Program Budget'!Q162+'Program Budget'!Q216+'Program Budget'!Q293+'Program Budget'!Q390+'Program Budget'!Q463+'Program Budget'!Q537+'Program Budget'!Q617+'Program Budget'!Q687</f>
        <v>1</v>
      </c>
      <c r="O27" s="23">
        <f>'Program Budget'!S29+'Program Budget'!S162+'Program Budget'!S216+'Program Budget'!S293+'Program Budget'!S390+'Program Budget'!S463+'Program Budget'!S537+'Program Budget'!S617+'Program Budget'!S687</f>
        <v>0</v>
      </c>
      <c r="P27" s="154">
        <f t="shared" si="0"/>
        <v>66202.5</v>
      </c>
      <c r="Q27" s="141"/>
    </row>
    <row r="28" spans="2:17" s="7" customFormat="1" outlineLevel="1">
      <c r="B28" s="21" t="str">
        <f>'Program Budget'!D30</f>
        <v>Organizational Strengthening Specialist</v>
      </c>
      <c r="C28" s="23">
        <f>'Program Budget'!E30+'Program Budget'!E163+'Program Budget'!E217+'Program Budget'!E294+'Program Budget'!E391+'Program Budget'!E464+'Program Budget'!E538+'Program Budget'!E618+'Program Budget'!E688</f>
        <v>0</v>
      </c>
      <c r="D28" s="73">
        <f>'Program Budget'!I30</f>
        <v>12</v>
      </c>
      <c r="E28" s="22">
        <f>'Program Budget'!H30+'Program Budget'!H163+'Program Budget'!H217+'Program Budget'!H294+'Program Budget'!H391+'Program Budget'!H464+'Program Budget'!H538+'Program Budget'!H618+'Program Budget'!H688</f>
        <v>0.99999999999999989</v>
      </c>
      <c r="F28" s="23">
        <f>'Program Budget'!J30+'Program Budget'!J163+'Program Budget'!J217+'Program Budget'!J294+'Program Budget'!J391+'Program Budget'!J464+'Program Budget'!J538+'Program Budget'!J618+'Program Budget'!J688</f>
        <v>21000</v>
      </c>
      <c r="G28" s="73">
        <f>'Program Budget'!L30</f>
        <v>12</v>
      </c>
      <c r="H28" s="22">
        <f>'Program Budget'!K30+'Program Budget'!K163+'Program Budget'!K217+'Program Budget'!K294+'Program Budget'!K391+'Program Budget'!K464+'Program Budget'!K538+'Program Budget'!K618+'Program Budget'!K688</f>
        <v>1</v>
      </c>
      <c r="I28" s="23">
        <f>'Program Budget'!M30+'Program Budget'!M163+'Program Budget'!M217+'Program Budget'!M294+'Program Budget'!M391+'Program Budget'!M464+'Program Budget'!M538+'Program Budget'!M618+'Program Budget'!M688</f>
        <v>22050</v>
      </c>
      <c r="J28" s="73">
        <f>'Program Budget'!O30</f>
        <v>12</v>
      </c>
      <c r="K28" s="22">
        <f>'Program Budget'!N30+'Program Budget'!N163+'Program Budget'!N217+'Program Budget'!N294+'Program Budget'!N391+'Program Budget'!N464+'Program Budget'!N538+'Program Budget'!N618+'Program Budget'!N688</f>
        <v>1</v>
      </c>
      <c r="L28" s="23">
        <f>'Program Budget'!P30+'Program Budget'!P163+'Program Budget'!P217+'Program Budget'!P294+'Program Budget'!P391+'Program Budget'!P464+'Program Budget'!P538+'Program Budget'!P618+'Program Budget'!P688</f>
        <v>23152.5</v>
      </c>
      <c r="M28" s="73">
        <f>'Program Budget'!R30</f>
        <v>0</v>
      </c>
      <c r="N28" s="22">
        <f>'Program Budget'!Q30+'Program Budget'!Q163+'Program Budget'!Q217+'Program Budget'!Q294+'Program Budget'!Q391+'Program Budget'!Q464+'Program Budget'!Q538+'Program Budget'!Q618+'Program Budget'!Q688</f>
        <v>1</v>
      </c>
      <c r="O28" s="23">
        <f>'Program Budget'!S30+'Program Budget'!S163+'Program Budget'!S217+'Program Budget'!S294+'Program Budget'!S391+'Program Budget'!S464+'Program Budget'!S538+'Program Budget'!S618+'Program Budget'!S688</f>
        <v>0</v>
      </c>
      <c r="P28" s="154">
        <f t="shared" si="0"/>
        <v>66202.5</v>
      </c>
      <c r="Q28" s="141"/>
    </row>
    <row r="29" spans="2:17" s="7" customFormat="1" outlineLevel="1">
      <c r="B29" s="21" t="str">
        <f>'Program Budget'!D31</f>
        <v>Value Chain Strengthening Director</v>
      </c>
      <c r="C29" s="23">
        <f>'Program Budget'!E31+'Program Budget'!E164+'Program Budget'!E218+'Program Budget'!E295+'Program Budget'!E392+'Program Budget'!E465+'Program Budget'!E539+'Program Budget'!E619+'Program Budget'!E689</f>
        <v>0</v>
      </c>
      <c r="D29" s="73">
        <f>'Program Budget'!I31</f>
        <v>12</v>
      </c>
      <c r="E29" s="22">
        <f>'Program Budget'!H31+'Program Budget'!H164+'Program Budget'!H218+'Program Budget'!H295+'Program Budget'!H392+'Program Budget'!H465+'Program Budget'!H539+'Program Budget'!H619+'Program Budget'!H689</f>
        <v>0.99999999999999989</v>
      </c>
      <c r="F29" s="23">
        <f>'Program Budget'!J31+'Program Budget'!J164+'Program Budget'!J218+'Program Budget'!J295+'Program Budget'!J392+'Program Budget'!J465+'Program Budget'!J539+'Program Budget'!J619+'Program Budget'!J689</f>
        <v>0</v>
      </c>
      <c r="G29" s="73">
        <f>'Program Budget'!L31</f>
        <v>12</v>
      </c>
      <c r="H29" s="22">
        <f>'Program Budget'!K31+'Program Budget'!K164+'Program Budget'!K218+'Program Budget'!K295+'Program Budget'!K392+'Program Budget'!K465+'Program Budget'!K539+'Program Budget'!K619+'Program Budget'!K689</f>
        <v>1</v>
      </c>
      <c r="I29" s="23">
        <f>'Program Budget'!M31+'Program Budget'!M164+'Program Budget'!M218+'Program Budget'!M295+'Program Budget'!M392+'Program Budget'!M465+'Program Budget'!M539+'Program Budget'!M619+'Program Budget'!M689</f>
        <v>0</v>
      </c>
      <c r="J29" s="73">
        <f>'Program Budget'!O31</f>
        <v>12</v>
      </c>
      <c r="K29" s="22">
        <f>'Program Budget'!N31+'Program Budget'!N164+'Program Budget'!N218+'Program Budget'!N295+'Program Budget'!N392+'Program Budget'!N465+'Program Budget'!N539+'Program Budget'!N619+'Program Budget'!N689</f>
        <v>1</v>
      </c>
      <c r="L29" s="23">
        <f>'Program Budget'!P31+'Program Budget'!P164+'Program Budget'!P218+'Program Budget'!P295+'Program Budget'!P392+'Program Budget'!P465+'Program Budget'!P539+'Program Budget'!P619+'Program Budget'!P689</f>
        <v>0</v>
      </c>
      <c r="M29" s="73">
        <f>'Program Budget'!R31</f>
        <v>4</v>
      </c>
      <c r="N29" s="22">
        <f>'Program Budget'!Q31+'Program Budget'!Q164+'Program Budget'!Q218+'Program Budget'!Q295+'Program Budget'!Q392+'Program Budget'!Q465+'Program Budget'!Q539+'Program Budget'!Q619+'Program Budget'!Q689</f>
        <v>1</v>
      </c>
      <c r="O29" s="23">
        <f>'Program Budget'!S31+'Program Budget'!S164+'Program Budget'!S218+'Program Budget'!S295+'Program Budget'!S392+'Program Budget'!S465+'Program Budget'!S539+'Program Budget'!S619+'Program Budget'!S689</f>
        <v>0</v>
      </c>
      <c r="P29" s="154">
        <f t="shared" si="0"/>
        <v>0</v>
      </c>
      <c r="Q29" s="141"/>
    </row>
    <row r="30" spans="2:17" s="7" customFormat="1" outlineLevel="1">
      <c r="B30" s="21" t="str">
        <f>'Program Budget'!D32</f>
        <v>Communications Specialist</v>
      </c>
      <c r="C30" s="23">
        <f>'Program Budget'!E32+'Program Budget'!E165+'Program Budget'!E219+'Program Budget'!E296+'Program Budget'!E393+'Program Budget'!E466+'Program Budget'!E540+'Program Budget'!E620+'Program Budget'!E690</f>
        <v>0</v>
      </c>
      <c r="D30" s="73">
        <f>'Program Budget'!I32</f>
        <v>12</v>
      </c>
      <c r="E30" s="22">
        <f>'Program Budget'!H32+'Program Budget'!H165+'Program Budget'!H219+'Program Budget'!H296+'Program Budget'!H393+'Program Budget'!H466+'Program Budget'!H540+'Program Budget'!H620+'Program Budget'!H690</f>
        <v>0.99999999999999989</v>
      </c>
      <c r="F30" s="23">
        <f>'Program Budget'!J32+'Program Budget'!J165+'Program Budget'!J219+'Program Budget'!J296+'Program Budget'!J393+'Program Budget'!J466+'Program Budget'!J540+'Program Budget'!J620+'Program Budget'!J690</f>
        <v>21000</v>
      </c>
      <c r="G30" s="73">
        <f>'Program Budget'!L32</f>
        <v>12</v>
      </c>
      <c r="H30" s="22">
        <f>'Program Budget'!K32+'Program Budget'!K165+'Program Budget'!K219+'Program Budget'!K296+'Program Budget'!K393+'Program Budget'!K466+'Program Budget'!K540+'Program Budget'!K620+'Program Budget'!K690</f>
        <v>1</v>
      </c>
      <c r="I30" s="23">
        <f>'Program Budget'!M32+'Program Budget'!M165+'Program Budget'!M219+'Program Budget'!M296+'Program Budget'!M393+'Program Budget'!M466+'Program Budget'!M540+'Program Budget'!M620+'Program Budget'!M690</f>
        <v>22050</v>
      </c>
      <c r="J30" s="73">
        <f>'Program Budget'!O32</f>
        <v>12</v>
      </c>
      <c r="K30" s="22">
        <f>'Program Budget'!N32+'Program Budget'!N165+'Program Budget'!N219+'Program Budget'!N296+'Program Budget'!N393+'Program Budget'!N466+'Program Budget'!N540+'Program Budget'!N620+'Program Budget'!N690</f>
        <v>1</v>
      </c>
      <c r="L30" s="23">
        <f>'Program Budget'!P32+'Program Budget'!P165+'Program Budget'!P219+'Program Budget'!P296+'Program Budget'!P393+'Program Budget'!P466+'Program Budget'!P540+'Program Budget'!P620+'Program Budget'!P690</f>
        <v>23152.5</v>
      </c>
      <c r="M30" s="73">
        <f>'Program Budget'!R32</f>
        <v>0</v>
      </c>
      <c r="N30" s="22">
        <f>'Program Budget'!Q32+'Program Budget'!Q165+'Program Budget'!Q219+'Program Budget'!Q296+'Program Budget'!Q393+'Program Budget'!Q466+'Program Budget'!Q540+'Program Budget'!Q620+'Program Budget'!Q690</f>
        <v>1</v>
      </c>
      <c r="O30" s="23">
        <f>'Program Budget'!S32+'Program Budget'!S165+'Program Budget'!S219+'Program Budget'!S296+'Program Budget'!S393+'Program Budget'!S466+'Program Budget'!S540+'Program Budget'!S620+'Program Budget'!S690</f>
        <v>0</v>
      </c>
      <c r="P30" s="154">
        <f t="shared" si="0"/>
        <v>66202.5</v>
      </c>
      <c r="Q30" s="141"/>
    </row>
    <row r="31" spans="2:17" s="7" customFormat="1" outlineLevel="1">
      <c r="B31" s="21" t="str">
        <f>'Program Budget'!D33</f>
        <v>Value Chain Specialist</v>
      </c>
      <c r="C31" s="23">
        <f>'Program Budget'!E33+'Program Budget'!E166+'Program Budget'!E220+'Program Budget'!E297+'Program Budget'!E394+'Program Budget'!E467+'Program Budget'!E541+'Program Budget'!E621+'Program Budget'!E691</f>
        <v>0</v>
      </c>
      <c r="D31" s="73">
        <f>'Program Budget'!I33</f>
        <v>12</v>
      </c>
      <c r="E31" s="22">
        <f>'Program Budget'!H33+'Program Budget'!H166+'Program Budget'!H220+'Program Budget'!H297+'Program Budget'!H394+'Program Budget'!H467+'Program Budget'!H541+'Program Budget'!H621+'Program Budget'!H691</f>
        <v>0.99999999999999989</v>
      </c>
      <c r="F31" s="23">
        <f>'Program Budget'!J33+'Program Budget'!J166+'Program Budget'!J220+'Program Budget'!J297+'Program Budget'!J394+'Program Budget'!J467+'Program Budget'!J541+'Program Budget'!J621+'Program Budget'!J691</f>
        <v>30000</v>
      </c>
      <c r="G31" s="73">
        <f>'Program Budget'!L33</f>
        <v>12</v>
      </c>
      <c r="H31" s="22">
        <f>'Program Budget'!K33+'Program Budget'!K166+'Program Budget'!K220+'Program Budget'!K297+'Program Budget'!K394+'Program Budget'!K467+'Program Budget'!K541+'Program Budget'!K621+'Program Budget'!K691</f>
        <v>1</v>
      </c>
      <c r="I31" s="23">
        <f>'Program Budget'!M33+'Program Budget'!M166+'Program Budget'!M220+'Program Budget'!M297+'Program Budget'!M394+'Program Budget'!M467+'Program Budget'!M541+'Program Budget'!M621+'Program Budget'!M691</f>
        <v>31500</v>
      </c>
      <c r="J31" s="73">
        <f>'Program Budget'!O33</f>
        <v>12</v>
      </c>
      <c r="K31" s="22">
        <f>'Program Budget'!N33+'Program Budget'!N166+'Program Budget'!N220+'Program Budget'!N297+'Program Budget'!N394+'Program Budget'!N467+'Program Budget'!N541+'Program Budget'!N621+'Program Budget'!N691</f>
        <v>1</v>
      </c>
      <c r="L31" s="23">
        <f>'Program Budget'!P33+'Program Budget'!P166+'Program Budget'!P220+'Program Budget'!P297+'Program Budget'!P394+'Program Budget'!P467+'Program Budget'!P541+'Program Budget'!P621+'Program Budget'!P691</f>
        <v>33075</v>
      </c>
      <c r="M31" s="73">
        <f>'Program Budget'!R33</f>
        <v>0</v>
      </c>
      <c r="N31" s="22">
        <f>'Program Budget'!Q33+'Program Budget'!Q166+'Program Budget'!Q220+'Program Budget'!Q297+'Program Budget'!Q394+'Program Budget'!Q467+'Program Budget'!Q541+'Program Budget'!Q621+'Program Budget'!Q691</f>
        <v>1</v>
      </c>
      <c r="O31" s="23">
        <f>'Program Budget'!S33+'Program Budget'!S166+'Program Budget'!S220+'Program Budget'!S297+'Program Budget'!S394+'Program Budget'!S467+'Program Budget'!S541+'Program Budget'!S621+'Program Budget'!S691</f>
        <v>0</v>
      </c>
      <c r="P31" s="154">
        <f t="shared" si="0"/>
        <v>94575</v>
      </c>
      <c r="Q31" s="141"/>
    </row>
    <row r="32" spans="2:17" s="7" customFormat="1" outlineLevel="1">
      <c r="B32" s="21" t="str">
        <f>'Program Budget'!D34</f>
        <v>Contracts &amp; Compliance Director</v>
      </c>
      <c r="C32" s="23">
        <f>'Program Budget'!E34+'Program Budget'!E167+'Program Budget'!E221+'Program Budget'!E298+'Program Budget'!E395+'Program Budget'!E468+'Program Budget'!E542+'Program Budget'!E622+'Program Budget'!E692</f>
        <v>166155.62999999998</v>
      </c>
      <c r="D32" s="73">
        <f>'Program Budget'!I34</f>
        <v>12</v>
      </c>
      <c r="E32" s="22">
        <f>'Program Budget'!H34+'Program Budget'!H167+'Program Budget'!H221+'Program Budget'!H298+'Program Budget'!H395+'Program Budget'!H468+'Program Budget'!H542+'Program Budget'!H622+'Program Budget'!H692</f>
        <v>0.99999999999999989</v>
      </c>
      <c r="F32" s="23">
        <f>'Program Budget'!J34+'Program Budget'!J167+'Program Budget'!J221+'Program Budget'!J298+'Program Budget'!J395+'Program Budget'!J468+'Program Budget'!J542+'Program Budget'!J622+'Program Budget'!J692</f>
        <v>55000</v>
      </c>
      <c r="G32" s="73">
        <f>'Program Budget'!L34</f>
        <v>12</v>
      </c>
      <c r="H32" s="22">
        <f>'Program Budget'!K34+'Program Budget'!K167+'Program Budget'!K221+'Program Budget'!K298+'Program Budget'!K395+'Program Budget'!K468+'Program Budget'!K542+'Program Budget'!K622+'Program Budget'!K692</f>
        <v>1</v>
      </c>
      <c r="I32" s="23">
        <f>'Program Budget'!M34+'Program Budget'!M167+'Program Budget'!M221+'Program Budget'!M298+'Program Budget'!M395+'Program Budget'!M468+'Program Budget'!M542+'Program Budget'!M622+'Program Budget'!M692</f>
        <v>57750</v>
      </c>
      <c r="J32" s="73">
        <f>'Program Budget'!O34</f>
        <v>12</v>
      </c>
      <c r="K32" s="22">
        <f>'Program Budget'!N34+'Program Budget'!N167+'Program Budget'!N221+'Program Budget'!N298+'Program Budget'!N395+'Program Budget'!N468+'Program Budget'!N542+'Program Budget'!N622+'Program Budget'!N692</f>
        <v>1</v>
      </c>
      <c r="L32" s="23">
        <f>'Program Budget'!P34+'Program Budget'!P167+'Program Budget'!P221+'Program Budget'!P298+'Program Budget'!P395+'Program Budget'!P468+'Program Budget'!P542+'Program Budget'!P622+'Program Budget'!P692</f>
        <v>60637.5</v>
      </c>
      <c r="M32" s="73">
        <f>'Program Budget'!R34</f>
        <v>3</v>
      </c>
      <c r="N32" s="22">
        <f>'Program Budget'!Q34+'Program Budget'!Q167+'Program Budget'!Q221+'Program Budget'!Q298+'Program Budget'!Q395+'Program Budget'!Q468+'Program Budget'!Q542+'Program Budget'!Q622+'Program Budget'!Q692</f>
        <v>1</v>
      </c>
      <c r="O32" s="23">
        <f>'Program Budget'!S34+'Program Budget'!S167+'Program Budget'!S221+'Program Budget'!S298+'Program Budget'!S395+'Program Budget'!S468+'Program Budget'!S542+'Program Budget'!S622+'Program Budget'!S692</f>
        <v>15917.343750000004</v>
      </c>
      <c r="P32" s="154">
        <f t="shared" si="0"/>
        <v>355460.47375</v>
      </c>
      <c r="Q32" s="141"/>
    </row>
    <row r="33" spans="2:17" s="7" customFormat="1" outlineLevel="1">
      <c r="B33" s="21" t="str">
        <f>'Program Budget'!D35</f>
        <v>Grants &amp; Procurement Specialist (2)</v>
      </c>
      <c r="C33" s="23">
        <f>'Program Budget'!E35+'Program Budget'!E168+'Program Budget'!E222+'Program Budget'!E299+'Program Budget'!E396+'Program Budget'!E469+'Program Budget'!E543+'Program Budget'!E623+'Program Budget'!E693</f>
        <v>0</v>
      </c>
      <c r="D33" s="73">
        <f>'Program Budget'!I35</f>
        <v>12</v>
      </c>
      <c r="E33" s="22">
        <f>'Program Budget'!H35+'Program Budget'!H168+'Program Budget'!H222+'Program Budget'!H299+'Program Budget'!H396+'Program Budget'!H469+'Program Budget'!H543+'Program Budget'!H623+'Program Budget'!H693</f>
        <v>1.0000000000000002</v>
      </c>
      <c r="F33" s="23">
        <f>'Program Budget'!J35+'Program Budget'!J168+'Program Budget'!J222+'Program Budget'!J299+'Program Budget'!J396+'Program Budget'!J469+'Program Budget'!J543+'Program Budget'!J623+'Program Budget'!J693</f>
        <v>42000</v>
      </c>
      <c r="G33" s="73">
        <f>'Program Budget'!L35</f>
        <v>12</v>
      </c>
      <c r="H33" s="22">
        <f>'Program Budget'!K35+'Program Budget'!K168+'Program Budget'!K222+'Program Budget'!K299+'Program Budget'!K396+'Program Budget'!K469+'Program Budget'!K543+'Program Budget'!K623+'Program Budget'!K693</f>
        <v>1</v>
      </c>
      <c r="I33" s="23">
        <f>'Program Budget'!M35+'Program Budget'!M168+'Program Budget'!M222+'Program Budget'!M299+'Program Budget'!M396+'Program Budget'!M469+'Program Budget'!M543+'Program Budget'!M623+'Program Budget'!M693</f>
        <v>44100</v>
      </c>
      <c r="J33" s="73">
        <f>'Program Budget'!O35</f>
        <v>12</v>
      </c>
      <c r="K33" s="22">
        <f>'Program Budget'!N35+'Program Budget'!N168+'Program Budget'!N222+'Program Budget'!N299+'Program Budget'!N396+'Program Budget'!N469+'Program Budget'!N543+'Program Budget'!N623+'Program Budget'!N693</f>
        <v>1</v>
      </c>
      <c r="L33" s="23">
        <f>'Program Budget'!P35+'Program Budget'!P168+'Program Budget'!P222+'Program Budget'!P299+'Program Budget'!P396+'Program Budget'!P469+'Program Budget'!P543+'Program Budget'!P623+'Program Budget'!P693</f>
        <v>46305</v>
      </c>
      <c r="M33" s="73">
        <f>'Program Budget'!R35</f>
        <v>0</v>
      </c>
      <c r="N33" s="22">
        <f>'Program Budget'!Q35+'Program Budget'!Q168+'Program Budget'!Q222+'Program Budget'!Q299+'Program Budget'!Q396+'Program Budget'!Q469+'Program Budget'!Q543+'Program Budget'!Q623+'Program Budget'!Q693</f>
        <v>1</v>
      </c>
      <c r="O33" s="23">
        <f>'Program Budget'!S35+'Program Budget'!S168+'Program Budget'!S222+'Program Budget'!S299+'Program Budget'!S396+'Program Budget'!S469+'Program Budget'!S543+'Program Budget'!S623+'Program Budget'!S693</f>
        <v>0</v>
      </c>
      <c r="P33" s="154">
        <f t="shared" si="0"/>
        <v>132405</v>
      </c>
      <c r="Q33" s="141"/>
    </row>
    <row r="34" spans="2:17" s="7" customFormat="1" outlineLevel="1">
      <c r="B34" s="21" t="str">
        <f>'Program Budget'!D36</f>
        <v xml:space="preserve">F&amp;A Director </v>
      </c>
      <c r="C34" s="23">
        <f>'Program Budget'!E36+'Program Budget'!E169+'Program Budget'!E223+'Program Budget'!E300+'Program Budget'!E397+'Program Budget'!E470+'Program Budget'!E544+'Program Budget'!E624+'Program Budget'!E694</f>
        <v>242528.58000000002</v>
      </c>
      <c r="D34" s="73">
        <f>'Program Budget'!I36</f>
        <v>12</v>
      </c>
      <c r="E34" s="22">
        <f>'Program Budget'!H36+'Program Budget'!H169+'Program Budget'!H223+'Program Budget'!H300+'Program Budget'!H397+'Program Budget'!H470+'Program Budget'!H544+'Program Budget'!H624+'Program Budget'!H694</f>
        <v>1</v>
      </c>
      <c r="F34" s="23">
        <f>'Program Budget'!J36+'Program Budget'!J169+'Program Budget'!J223+'Program Budget'!J300+'Program Budget'!J397+'Program Budget'!J470+'Program Budget'!J544+'Program Budget'!J624+'Program Budget'!J694</f>
        <v>63352.799999999988</v>
      </c>
      <c r="G34" s="73">
        <f>'Program Budget'!L36</f>
        <v>12</v>
      </c>
      <c r="H34" s="22">
        <f>'Program Budget'!K36+'Program Budget'!K169+'Program Budget'!K223+'Program Budget'!K300+'Program Budget'!K397+'Program Budget'!K470+'Program Budget'!K544+'Program Budget'!K624+'Program Budget'!K694</f>
        <v>1</v>
      </c>
      <c r="I34" s="23">
        <f>'Program Budget'!M36+'Program Budget'!M169+'Program Budget'!M223+'Program Budget'!M300+'Program Budget'!M397+'Program Budget'!M470+'Program Budget'!M544+'Program Budget'!M624+'Program Budget'!M694</f>
        <v>66520.44</v>
      </c>
      <c r="J34" s="73">
        <f>'Program Budget'!O36</f>
        <v>12</v>
      </c>
      <c r="K34" s="22">
        <f>'Program Budget'!N36+'Program Budget'!N169+'Program Budget'!N223+'Program Budget'!N300+'Program Budget'!N397+'Program Budget'!N470+'Program Budget'!N544+'Program Budget'!N624+'Program Budget'!N694</f>
        <v>1</v>
      </c>
      <c r="L34" s="23">
        <f>'Program Budget'!P36+'Program Budget'!P169+'Program Budget'!P223+'Program Budget'!P300+'Program Budget'!P397+'Program Budget'!P470+'Program Budget'!P544+'Program Budget'!P624+'Program Budget'!P694</f>
        <v>69846.462</v>
      </c>
      <c r="M34" s="73">
        <f>'Program Budget'!R36</f>
        <v>6</v>
      </c>
      <c r="N34" s="22">
        <f>'Program Budget'!Q36+'Program Budget'!Q169+'Program Budget'!Q223+'Program Budget'!Q300+'Program Budget'!Q397+'Program Budget'!Q470+'Program Budget'!Q544+'Program Budget'!Q624+'Program Budget'!Q694</f>
        <v>1</v>
      </c>
      <c r="O34" s="23">
        <f>'Program Budget'!S36+'Program Budget'!S169+'Program Budget'!S223+'Program Budget'!S300+'Program Budget'!S397+'Program Budget'!S470+'Program Budget'!S544+'Program Budget'!S624+'Program Budget'!S694</f>
        <v>36669.392550000004</v>
      </c>
      <c r="P34" s="154">
        <f t="shared" si="0"/>
        <v>478917.67455</v>
      </c>
      <c r="Q34" s="141"/>
    </row>
    <row r="35" spans="2:17" s="24" customFormat="1" outlineLevel="1">
      <c r="B35" s="21" t="str">
        <f>'Program Budget'!D37</f>
        <v>Accounting &amp; Finance Specialist</v>
      </c>
      <c r="C35" s="23">
        <f>'Program Budget'!E37+'Program Budget'!E170+'Program Budget'!E224+'Program Budget'!E301+'Program Budget'!E398+'Program Budget'!E471+'Program Budget'!E545+'Program Budget'!E625+'Program Budget'!E695</f>
        <v>0</v>
      </c>
      <c r="D35" s="73">
        <f>'Program Budget'!I37</f>
        <v>12</v>
      </c>
      <c r="E35" s="22">
        <f>'Program Budget'!H37+'Program Budget'!H170+'Program Budget'!H224+'Program Budget'!H301+'Program Budget'!H398+'Program Budget'!H471+'Program Budget'!H545+'Program Budget'!H625+'Program Budget'!H695</f>
        <v>0.99999999999999989</v>
      </c>
      <c r="F35" s="23">
        <f>'Program Budget'!J37+'Program Budget'!J170+'Program Budget'!J224+'Program Budget'!J301+'Program Budget'!J398+'Program Budget'!J471+'Program Budget'!J545+'Program Budget'!J625+'Program Budget'!J695</f>
        <v>21000</v>
      </c>
      <c r="G35" s="73">
        <f>'Program Budget'!L37</f>
        <v>12</v>
      </c>
      <c r="H35" s="22">
        <f>'Program Budget'!K37+'Program Budget'!K170+'Program Budget'!K224+'Program Budget'!K301+'Program Budget'!K398+'Program Budget'!K471+'Program Budget'!K545+'Program Budget'!K625+'Program Budget'!K695</f>
        <v>1</v>
      </c>
      <c r="I35" s="23">
        <f>'Program Budget'!M37+'Program Budget'!M170+'Program Budget'!M224+'Program Budget'!M301+'Program Budget'!M398+'Program Budget'!M471+'Program Budget'!M545+'Program Budget'!M625+'Program Budget'!M695</f>
        <v>22050</v>
      </c>
      <c r="J35" s="73">
        <f>'Program Budget'!O37</f>
        <v>12</v>
      </c>
      <c r="K35" s="22">
        <f>'Program Budget'!N37+'Program Budget'!N170+'Program Budget'!N224+'Program Budget'!N301+'Program Budget'!N398+'Program Budget'!N471+'Program Budget'!N545+'Program Budget'!N625+'Program Budget'!N695</f>
        <v>1</v>
      </c>
      <c r="L35" s="23">
        <f>'Program Budget'!P37+'Program Budget'!P170+'Program Budget'!P224+'Program Budget'!P301+'Program Budget'!P398+'Program Budget'!P471+'Program Budget'!P545+'Program Budget'!P625+'Program Budget'!P695</f>
        <v>23152.5</v>
      </c>
      <c r="M35" s="73">
        <f>'Program Budget'!R37</f>
        <v>3</v>
      </c>
      <c r="N35" s="22">
        <f>'Program Budget'!Q37+'Program Budget'!Q170+'Program Budget'!Q224+'Program Budget'!Q301+'Program Budget'!Q398+'Program Budget'!Q471+'Program Budget'!Q545+'Program Budget'!Q625+'Program Budget'!Q695</f>
        <v>1</v>
      </c>
      <c r="O35" s="23">
        <f>'Program Budget'!S37+'Program Budget'!S170+'Program Budget'!S224+'Program Budget'!S301+'Program Budget'!S398+'Program Budget'!S471+'Program Budget'!S545+'Program Budget'!S625+'Program Budget'!S695</f>
        <v>6077.53125</v>
      </c>
      <c r="P35" s="154">
        <f t="shared" si="0"/>
        <v>72280.03125</v>
      </c>
      <c r="Q35" s="141"/>
    </row>
    <row r="36" spans="2:17" s="24" customFormat="1" outlineLevel="1">
      <c r="B36" s="21" t="str">
        <f>'Program Budget'!D38</f>
        <v xml:space="preserve">Accountant </v>
      </c>
      <c r="C36" s="23">
        <f>'Program Budget'!E38+'Program Budget'!E171+'Program Budget'!E225+'Program Budget'!E302+'Program Budget'!E399+'Program Budget'!E472+'Program Budget'!E546+'Program Budget'!E626+'Program Budget'!E696</f>
        <v>63999.21</v>
      </c>
      <c r="D36" s="73">
        <f>'Program Budget'!I38</f>
        <v>12</v>
      </c>
      <c r="E36" s="22">
        <f>'Program Budget'!H38+'Program Budget'!H171+'Program Budget'!H225+'Program Budget'!H302+'Program Budget'!H399+'Program Budget'!H472+'Program Budget'!H546+'Program Budget'!H626+'Program Budget'!H696</f>
        <v>0.99999999999999989</v>
      </c>
      <c r="F36" s="23">
        <f>'Program Budget'!J38+'Program Budget'!J171+'Program Budget'!J225+'Program Budget'!J302+'Program Budget'!J399+'Program Budget'!J472+'Program Budget'!J546+'Program Budget'!J626+'Program Budget'!J696</f>
        <v>21000</v>
      </c>
      <c r="G36" s="73">
        <f>'Program Budget'!L38</f>
        <v>12</v>
      </c>
      <c r="H36" s="22">
        <f>'Program Budget'!K38+'Program Budget'!K171+'Program Budget'!K225+'Program Budget'!K302+'Program Budget'!K399+'Program Budget'!K472+'Program Budget'!K546+'Program Budget'!K626+'Program Budget'!K696</f>
        <v>1</v>
      </c>
      <c r="I36" s="23">
        <f>'Program Budget'!M38+'Program Budget'!M171+'Program Budget'!M225+'Program Budget'!M302+'Program Budget'!M399+'Program Budget'!M472+'Program Budget'!M546+'Program Budget'!M626+'Program Budget'!M696</f>
        <v>22050</v>
      </c>
      <c r="J36" s="73">
        <f>'Program Budget'!O38</f>
        <v>12</v>
      </c>
      <c r="K36" s="22">
        <f>'Program Budget'!N38+'Program Budget'!N171+'Program Budget'!N225+'Program Budget'!N302+'Program Budget'!N399+'Program Budget'!N472+'Program Budget'!N546+'Program Budget'!N626+'Program Budget'!N696</f>
        <v>1</v>
      </c>
      <c r="L36" s="23">
        <f>'Program Budget'!P38+'Program Budget'!P171+'Program Budget'!P225+'Program Budget'!P302+'Program Budget'!P399+'Program Budget'!P472+'Program Budget'!P546+'Program Budget'!P626+'Program Budget'!P696</f>
        <v>23152.5</v>
      </c>
      <c r="M36" s="73">
        <f>'Program Budget'!R38</f>
        <v>5</v>
      </c>
      <c r="N36" s="22">
        <f>'Program Budget'!Q38+'Program Budget'!Q171+'Program Budget'!Q225+'Program Budget'!Q302+'Program Budget'!Q399+'Program Budget'!Q472+'Program Budget'!Q546+'Program Budget'!Q626+'Program Budget'!Q696</f>
        <v>1</v>
      </c>
      <c r="O36" s="23">
        <f>'Program Budget'!S38+'Program Budget'!S171+'Program Budget'!S225+'Program Budget'!S302+'Program Budget'!S399+'Program Budget'!S472+'Program Budget'!S546+'Program Budget'!S626+'Program Budget'!S696</f>
        <v>10129.21875</v>
      </c>
      <c r="P36" s="154">
        <f t="shared" si="0"/>
        <v>140330.92874999999</v>
      </c>
      <c r="Q36" s="141"/>
    </row>
    <row r="37" spans="2:17" s="7" customFormat="1" outlineLevel="1">
      <c r="B37" s="21" t="str">
        <f>'Program Budget'!D39</f>
        <v>Finance &amp; Admin Coordinator - 50% LOE</v>
      </c>
      <c r="C37" s="23">
        <f>'Program Budget'!E39+'Program Budget'!E172+'Program Budget'!E226+'Program Budget'!E303+'Program Budget'!E400+'Program Budget'!E473+'Program Budget'!E547+'Program Budget'!E627+'Program Budget'!E697</f>
        <v>0</v>
      </c>
      <c r="D37" s="73">
        <f>'Program Budget'!I39</f>
        <v>12</v>
      </c>
      <c r="E37" s="22">
        <f>'Program Budget'!H39+'Program Budget'!H172+'Program Budget'!H226+'Program Budget'!H303+'Program Budget'!H400+'Program Budget'!H473+'Program Budget'!H547+'Program Budget'!H627+'Program Budget'!H697</f>
        <v>0.5</v>
      </c>
      <c r="F37" s="23">
        <f>'Program Budget'!J39+'Program Budget'!J172+'Program Budget'!J226+'Program Budget'!J303+'Program Budget'!J400+'Program Budget'!J473+'Program Budget'!J547+'Program Budget'!J627+'Program Budget'!J697</f>
        <v>15500</v>
      </c>
      <c r="G37" s="73">
        <f>'Program Budget'!L39</f>
        <v>12</v>
      </c>
      <c r="H37" s="22">
        <f>'Program Budget'!K39+'Program Budget'!K172+'Program Budget'!K226+'Program Budget'!K303+'Program Budget'!K400+'Program Budget'!K473+'Program Budget'!K547+'Program Budget'!K627+'Program Budget'!K697</f>
        <v>0.5</v>
      </c>
      <c r="I37" s="23">
        <f>'Program Budget'!M39+'Program Budget'!M172+'Program Budget'!M226+'Program Budget'!M303+'Program Budget'!M400+'Program Budget'!M473+'Program Budget'!M547+'Program Budget'!M627+'Program Budget'!M697</f>
        <v>16275</v>
      </c>
      <c r="J37" s="73">
        <f>'Program Budget'!O39</f>
        <v>12</v>
      </c>
      <c r="K37" s="22">
        <f>'Program Budget'!N39+'Program Budget'!N172+'Program Budget'!N226+'Program Budget'!N303+'Program Budget'!N400+'Program Budget'!N473+'Program Budget'!N547+'Program Budget'!N627+'Program Budget'!N697</f>
        <v>0.5</v>
      </c>
      <c r="L37" s="23">
        <f>'Program Budget'!P39+'Program Budget'!P172+'Program Budget'!P226+'Program Budget'!P303+'Program Budget'!P400+'Program Budget'!P473+'Program Budget'!P547+'Program Budget'!P627+'Program Budget'!P697</f>
        <v>17088.75</v>
      </c>
      <c r="M37" s="73">
        <f>'Program Budget'!R39</f>
        <v>6</v>
      </c>
      <c r="N37" s="22">
        <f>'Program Budget'!Q39+'Program Budget'!Q172+'Program Budget'!Q226+'Program Budget'!Q303+'Program Budget'!Q400+'Program Budget'!Q473+'Program Budget'!Q547+'Program Budget'!Q627+'Program Budget'!Q697</f>
        <v>0.5</v>
      </c>
      <c r="O37" s="23">
        <f>'Program Budget'!S39+'Program Budget'!S172+'Program Budget'!S226+'Program Budget'!S303+'Program Budget'!S400+'Program Budget'!S473+'Program Budget'!S547+'Program Budget'!S627+'Program Budget'!S697</f>
        <v>8971.59375</v>
      </c>
      <c r="P37" s="154">
        <f t="shared" si="0"/>
        <v>57835.34375</v>
      </c>
      <c r="Q37" s="141"/>
    </row>
    <row r="38" spans="2:17" s="7" customFormat="1" outlineLevel="1">
      <c r="B38" s="21" t="str">
        <f>'Program Budget'!D40</f>
        <v xml:space="preserve">Administrative Officer </v>
      </c>
      <c r="C38" s="23">
        <f>'Program Budget'!E40+'Program Budget'!E173+'Program Budget'!E227+'Program Budget'!E304+'Program Budget'!E401+'Program Budget'!E474+'Program Budget'!E548+'Program Budget'!E628+'Program Budget'!E698</f>
        <v>54409.919999999998</v>
      </c>
      <c r="D38" s="73">
        <f>'Program Budget'!I40</f>
        <v>12</v>
      </c>
      <c r="E38" s="22">
        <f>'Program Budget'!H40+'Program Budget'!H173+'Program Budget'!H227+'Program Budget'!H304+'Program Budget'!H401+'Program Budget'!H474+'Program Budget'!H548+'Program Budget'!H628+'Program Budget'!H698</f>
        <v>0.99999999999999989</v>
      </c>
      <c r="F38" s="23">
        <f>'Program Budget'!J40+'Program Budget'!J173+'Program Budget'!J227+'Program Budget'!J304+'Program Budget'!J401+'Program Budget'!J474+'Program Budget'!J548+'Program Budget'!J628+'Program Budget'!J698</f>
        <v>12000</v>
      </c>
      <c r="G38" s="73">
        <f>'Program Budget'!L40</f>
        <v>12</v>
      </c>
      <c r="H38" s="22">
        <f>'Program Budget'!K40+'Program Budget'!K173+'Program Budget'!K227+'Program Budget'!K304+'Program Budget'!K401+'Program Budget'!K474+'Program Budget'!K548+'Program Budget'!K628+'Program Budget'!K698</f>
        <v>0.99999999999999989</v>
      </c>
      <c r="I38" s="23">
        <f>'Program Budget'!M40+'Program Budget'!M173+'Program Budget'!M227+'Program Budget'!M304+'Program Budget'!M401+'Program Budget'!M474+'Program Budget'!M548+'Program Budget'!M628+'Program Budget'!M698</f>
        <v>12600</v>
      </c>
      <c r="J38" s="73">
        <f>'Program Budget'!O40</f>
        <v>12</v>
      </c>
      <c r="K38" s="22">
        <f>'Program Budget'!N40+'Program Budget'!N173+'Program Budget'!N227+'Program Budget'!N304+'Program Budget'!N401+'Program Budget'!N474+'Program Budget'!N548+'Program Budget'!N628+'Program Budget'!N698</f>
        <v>0.99999999999999989</v>
      </c>
      <c r="L38" s="23">
        <f>'Program Budget'!P40+'Program Budget'!P173+'Program Budget'!P227+'Program Budget'!P304+'Program Budget'!P401+'Program Budget'!P474+'Program Budget'!P548+'Program Budget'!P628+'Program Budget'!P698</f>
        <v>13230</v>
      </c>
      <c r="M38" s="73">
        <f>'Program Budget'!R40</f>
        <v>3</v>
      </c>
      <c r="N38" s="22">
        <f>'Program Budget'!Q40+'Program Budget'!Q173+'Program Budget'!Q227+'Program Budget'!Q304+'Program Budget'!Q401+'Program Budget'!Q474+'Program Budget'!Q548+'Program Budget'!Q628+'Program Budget'!Q698</f>
        <v>0.99999999999999989</v>
      </c>
      <c r="O38" s="23">
        <f>'Program Budget'!S40+'Program Budget'!S173+'Program Budget'!S227+'Program Budget'!S304+'Program Budget'!S401+'Program Budget'!S474+'Program Budget'!S548+'Program Budget'!S628+'Program Budget'!S698</f>
        <v>3472.8749999999995</v>
      </c>
      <c r="P38" s="154">
        <f t="shared" si="0"/>
        <v>95712.794999999998</v>
      </c>
      <c r="Q38" s="141"/>
    </row>
    <row r="39" spans="2:17" s="7" customFormat="1" outlineLevel="1">
      <c r="B39" s="21" t="str">
        <f>'Program Budget'!D41</f>
        <v>Human Resource Manager</v>
      </c>
      <c r="C39" s="23">
        <f>'Program Budget'!E41+'Program Budget'!E174+'Program Budget'!E228+'Program Budget'!E305+'Program Budget'!E402+'Program Budget'!E475+'Program Budget'!E549+'Program Budget'!E629+'Program Budget'!E699</f>
        <v>0</v>
      </c>
      <c r="D39" s="73">
        <f>'Program Budget'!I41</f>
        <v>12</v>
      </c>
      <c r="E39" s="22">
        <f>'Program Budget'!H41+'Program Budget'!H174+'Program Budget'!H228+'Program Budget'!H305+'Program Budget'!H402+'Program Budget'!H475+'Program Budget'!H549+'Program Budget'!H629+'Program Budget'!H699</f>
        <v>0.99999999999999989</v>
      </c>
      <c r="F39" s="23">
        <f>'Program Budget'!J41+'Program Budget'!J174+'Program Budget'!J228+'Program Budget'!J305+'Program Budget'!J402+'Program Budget'!J475+'Program Budget'!J549+'Program Budget'!J629+'Program Budget'!J699</f>
        <v>23450</v>
      </c>
      <c r="G39" s="73">
        <f>'Program Budget'!L41</f>
        <v>12</v>
      </c>
      <c r="H39" s="22">
        <f>'Program Budget'!K41+'Program Budget'!K174+'Program Budget'!K228+'Program Budget'!K305+'Program Budget'!K402+'Program Budget'!K475+'Program Budget'!K549+'Program Budget'!K629+'Program Budget'!K699</f>
        <v>0.99999999999999989</v>
      </c>
      <c r="I39" s="23">
        <f>'Program Budget'!M41+'Program Budget'!M174+'Program Budget'!M228+'Program Budget'!M305+'Program Budget'!M402+'Program Budget'!M475+'Program Budget'!M549+'Program Budget'!M629+'Program Budget'!M699</f>
        <v>24622.5</v>
      </c>
      <c r="J39" s="73">
        <f>'Program Budget'!O41</f>
        <v>12</v>
      </c>
      <c r="K39" s="22">
        <f>'Program Budget'!N41+'Program Budget'!N174+'Program Budget'!N228+'Program Budget'!N305+'Program Budget'!N402+'Program Budget'!N475+'Program Budget'!N549+'Program Budget'!N629+'Program Budget'!N699</f>
        <v>0.99999999999999989</v>
      </c>
      <c r="L39" s="23">
        <f>'Program Budget'!P41+'Program Budget'!P174+'Program Budget'!P228+'Program Budget'!P305+'Program Budget'!P402+'Program Budget'!P475+'Program Budget'!P549+'Program Budget'!P629+'Program Budget'!P699</f>
        <v>25853.625</v>
      </c>
      <c r="M39" s="73">
        <f>'Program Budget'!R41</f>
        <v>6</v>
      </c>
      <c r="N39" s="22">
        <f>'Program Budget'!Q41+'Program Budget'!Q174+'Program Budget'!Q228+'Program Budget'!Q305+'Program Budget'!Q402+'Program Budget'!Q475+'Program Budget'!Q549+'Program Budget'!Q629+'Program Budget'!Q699</f>
        <v>0.99999999999999989</v>
      </c>
      <c r="O39" s="23">
        <f>'Program Budget'!S41+'Program Budget'!S174+'Program Budget'!S228+'Program Budget'!S305+'Program Budget'!S402+'Program Budget'!S475+'Program Budget'!S549+'Program Budget'!S629+'Program Budget'!S699</f>
        <v>13573.153125000003</v>
      </c>
      <c r="P39" s="154">
        <f t="shared" si="0"/>
        <v>87499.278124999997</v>
      </c>
      <c r="Q39" s="141"/>
    </row>
    <row r="40" spans="2:17" s="7" customFormat="1" outlineLevel="1">
      <c r="B40" s="21" t="str">
        <f>'Program Budget'!D42</f>
        <v>Human Resource Specialist</v>
      </c>
      <c r="C40" s="23">
        <f>'Program Budget'!E42+'Program Budget'!E175+'Program Budget'!E229+'Program Budget'!E306+'Program Budget'!E403+'Program Budget'!E476+'Program Budget'!E550+'Program Budget'!E630+'Program Budget'!E700</f>
        <v>0</v>
      </c>
      <c r="D40" s="73">
        <f>'Program Budget'!I42</f>
        <v>12</v>
      </c>
      <c r="E40" s="22">
        <f>'Program Budget'!H42+'Program Budget'!H175+'Program Budget'!H229+'Program Budget'!H306+'Program Budget'!H403+'Program Budget'!H476+'Program Budget'!H550+'Program Budget'!H630+'Program Budget'!H700</f>
        <v>0.99999999999999989</v>
      </c>
      <c r="F40" s="23">
        <f>'Program Budget'!J42+'Program Budget'!J175+'Program Budget'!J229+'Program Budget'!J306+'Program Budget'!J403+'Program Budget'!J476+'Program Budget'!J550+'Program Budget'!J630+'Program Budget'!J700</f>
        <v>21000</v>
      </c>
      <c r="G40" s="73">
        <f>'Program Budget'!L42</f>
        <v>12</v>
      </c>
      <c r="H40" s="22">
        <f>'Program Budget'!K42+'Program Budget'!K175+'Program Budget'!K229+'Program Budget'!K306+'Program Budget'!K403+'Program Budget'!K476+'Program Budget'!K550+'Program Budget'!K630+'Program Budget'!K700</f>
        <v>0.99999999999999989</v>
      </c>
      <c r="I40" s="23">
        <f>'Program Budget'!M42+'Program Budget'!M175+'Program Budget'!M229+'Program Budget'!M306+'Program Budget'!M403+'Program Budget'!M476+'Program Budget'!M550+'Program Budget'!M630+'Program Budget'!M700</f>
        <v>22050</v>
      </c>
      <c r="J40" s="73">
        <f>'Program Budget'!O42</f>
        <v>12</v>
      </c>
      <c r="K40" s="22">
        <f>'Program Budget'!N42+'Program Budget'!N175+'Program Budget'!N229+'Program Budget'!N306+'Program Budget'!N403+'Program Budget'!N476+'Program Budget'!N550+'Program Budget'!N630+'Program Budget'!N700</f>
        <v>0.99999999999999989</v>
      </c>
      <c r="L40" s="23">
        <f>'Program Budget'!P42+'Program Budget'!P175+'Program Budget'!P229+'Program Budget'!P306+'Program Budget'!P403+'Program Budget'!P476+'Program Budget'!P550+'Program Budget'!P630+'Program Budget'!P700</f>
        <v>23152.5</v>
      </c>
      <c r="M40" s="73">
        <f>'Program Budget'!R42</f>
        <v>3</v>
      </c>
      <c r="N40" s="22">
        <f>'Program Budget'!Q42+'Program Budget'!Q175+'Program Budget'!Q229+'Program Budget'!Q306+'Program Budget'!Q403+'Program Budget'!Q476+'Program Budget'!Q550+'Program Budget'!Q630+'Program Budget'!Q700</f>
        <v>0.99999999999999989</v>
      </c>
      <c r="O40" s="23">
        <f>'Program Budget'!S42+'Program Budget'!S175+'Program Budget'!S229+'Program Budget'!S306+'Program Budget'!S403+'Program Budget'!S476+'Program Budget'!S550+'Program Budget'!S630+'Program Budget'!S700</f>
        <v>6077.5312500000009</v>
      </c>
      <c r="P40" s="154">
        <f t="shared" si="0"/>
        <v>72280.03125</v>
      </c>
      <c r="Q40" s="141"/>
    </row>
    <row r="41" spans="2:17" s="7" customFormat="1" outlineLevel="1">
      <c r="B41" s="19" t="s">
        <v>691</v>
      </c>
      <c r="C41" s="20"/>
      <c r="D41" s="72"/>
      <c r="E41" s="25"/>
      <c r="F41" s="20"/>
      <c r="G41" s="72"/>
      <c r="H41" s="25"/>
      <c r="I41" s="25"/>
      <c r="J41" s="72"/>
      <c r="K41" s="25"/>
      <c r="L41" s="25"/>
      <c r="M41" s="72"/>
      <c r="N41" s="25"/>
      <c r="O41" s="25"/>
      <c r="P41" s="155"/>
    </row>
    <row r="42" spans="2:17" s="7" customFormat="1" outlineLevel="1">
      <c r="B42" s="21" t="str">
        <f>'Program Budget'!D44</f>
        <v xml:space="preserve">Senior Program Director </v>
      </c>
      <c r="C42" s="23">
        <f>'Program Budget'!E44</f>
        <v>105808.88</v>
      </c>
      <c r="D42" s="73">
        <f>'Program Budget'!I44</f>
        <v>12</v>
      </c>
      <c r="E42" s="22">
        <f>'Program Budget'!H44</f>
        <v>0.25</v>
      </c>
      <c r="F42" s="23">
        <f>'Program Budget'!J44</f>
        <v>37500</v>
      </c>
      <c r="G42" s="73">
        <f>'Program Budget'!L44</f>
        <v>12</v>
      </c>
      <c r="H42" s="22">
        <f>'Program Budget'!K44</f>
        <v>0.25</v>
      </c>
      <c r="I42" s="23">
        <f>'Program Budget'!M44</f>
        <v>39375</v>
      </c>
      <c r="J42" s="73">
        <f>'Program Budget'!O44</f>
        <v>12</v>
      </c>
      <c r="K42" s="22">
        <f>'Program Budget'!N44</f>
        <v>0.25</v>
      </c>
      <c r="L42" s="23">
        <f>'Program Budget'!P44</f>
        <v>41343.75</v>
      </c>
      <c r="M42" s="73">
        <f>'Program Budget'!R44</f>
        <v>6</v>
      </c>
      <c r="N42" s="22">
        <f>'Program Budget'!Q44</f>
        <v>0.25</v>
      </c>
      <c r="O42" s="23">
        <f>'Program Budget'!S44</f>
        <v>21705.46875</v>
      </c>
      <c r="P42" s="154">
        <f t="shared" si="0"/>
        <v>245733.09875</v>
      </c>
    </row>
    <row r="43" spans="2:17" s="7" customFormat="1" outlineLevel="1">
      <c r="B43" s="21" t="str">
        <f>'Program Budget'!D45</f>
        <v>Associate Director</v>
      </c>
      <c r="C43" s="23">
        <f>'Program Budget'!E45</f>
        <v>170702.65000000002</v>
      </c>
      <c r="D43" s="73">
        <f>'Program Budget'!I45</f>
        <v>12</v>
      </c>
      <c r="E43" s="22">
        <f>'Program Budget'!H45</f>
        <v>0.65</v>
      </c>
      <c r="F43" s="23">
        <f>'Program Budget'!J45</f>
        <v>65000</v>
      </c>
      <c r="G43" s="73">
        <f>'Program Budget'!L45</f>
        <v>12</v>
      </c>
      <c r="H43" s="22">
        <f>'Program Budget'!K45</f>
        <v>0.65</v>
      </c>
      <c r="I43" s="23">
        <f>'Program Budget'!M45</f>
        <v>68250</v>
      </c>
      <c r="J43" s="73">
        <f>'Program Budget'!O45</f>
        <v>12</v>
      </c>
      <c r="K43" s="22">
        <f>'Program Budget'!N45</f>
        <v>0.65</v>
      </c>
      <c r="L43" s="23">
        <f>'Program Budget'!P45</f>
        <v>71662.5</v>
      </c>
      <c r="M43" s="73">
        <f>'Program Budget'!R45</f>
        <v>6</v>
      </c>
      <c r="N43" s="22">
        <f>'Program Budget'!Q45</f>
        <v>0.65</v>
      </c>
      <c r="O43" s="23">
        <f>'Program Budget'!S45</f>
        <v>37622.8125</v>
      </c>
      <c r="P43" s="154">
        <f t="shared" si="0"/>
        <v>413237.96250000002</v>
      </c>
    </row>
    <row r="44" spans="2:17" s="7" customFormat="1" outlineLevel="1">
      <c r="B44" s="21" t="str">
        <f>'Program Budget'!D46</f>
        <v xml:space="preserve">Senior Program Officer </v>
      </c>
      <c r="C44" s="23">
        <f>'Program Budget'!E46</f>
        <v>0</v>
      </c>
      <c r="D44" s="73">
        <f>'Program Budget'!I46</f>
        <v>12</v>
      </c>
      <c r="E44" s="22">
        <f>'Program Budget'!H46</f>
        <v>0.61</v>
      </c>
      <c r="F44" s="23">
        <f>'Program Budget'!J46</f>
        <v>42700</v>
      </c>
      <c r="G44" s="73">
        <f>'Program Budget'!L46</f>
        <v>12</v>
      </c>
      <c r="H44" s="22">
        <f>'Program Budget'!K46</f>
        <v>0.61</v>
      </c>
      <c r="I44" s="23">
        <f>'Program Budget'!M46</f>
        <v>44835</v>
      </c>
      <c r="J44" s="73">
        <f>'Program Budget'!O46</f>
        <v>12</v>
      </c>
      <c r="K44" s="22">
        <f>'Program Budget'!N46</f>
        <v>0.61</v>
      </c>
      <c r="L44" s="23">
        <f>'Program Budget'!P46</f>
        <v>47076.75</v>
      </c>
      <c r="M44" s="73">
        <f>'Program Budget'!R46</f>
        <v>6</v>
      </c>
      <c r="N44" s="22">
        <f>'Program Budget'!Q46</f>
        <v>0.61</v>
      </c>
      <c r="O44" s="23">
        <f>'Program Budget'!S46</f>
        <v>24715.293750000001</v>
      </c>
      <c r="P44" s="154">
        <f t="shared" si="0"/>
        <v>159327.04375000001</v>
      </c>
    </row>
    <row r="45" spans="2:17" s="7" customFormat="1" outlineLevel="1">
      <c r="B45" s="26" t="s">
        <v>129</v>
      </c>
      <c r="C45" s="28">
        <f>SUM(C11:C44)</f>
        <v>2751505.3899999997</v>
      </c>
      <c r="D45" s="27"/>
      <c r="E45" s="27"/>
      <c r="F45" s="28">
        <f>SUM(F11:F44)</f>
        <v>1649502.8</v>
      </c>
      <c r="G45" s="27"/>
      <c r="H45" s="27"/>
      <c r="I45" s="28">
        <f>SUM(I11:I44)</f>
        <v>1754027.94</v>
      </c>
      <c r="J45" s="27"/>
      <c r="K45" s="27"/>
      <c r="L45" s="28">
        <f>SUM(L11:L44)</f>
        <v>1577129.3370000001</v>
      </c>
      <c r="M45" s="27"/>
      <c r="N45" s="27"/>
      <c r="O45" s="28">
        <f>SUM(O11:O44)</f>
        <v>327995.37067500001</v>
      </c>
      <c r="P45" s="28">
        <f>SUM(P11:P44)</f>
        <v>8060160.8376750005</v>
      </c>
    </row>
    <row r="47" spans="2:17">
      <c r="C47" s="8"/>
      <c r="D47" s="141"/>
      <c r="F47" s="8"/>
      <c r="G47" s="141"/>
    </row>
    <row r="48" spans="2:17">
      <c r="C48" s="8"/>
      <c r="D48" s="141"/>
      <c r="F48" s="8"/>
      <c r="G48" s="141"/>
    </row>
    <row r="49" spans="3:7">
      <c r="C49" s="8"/>
      <c r="D49" s="141"/>
      <c r="F49" s="8"/>
      <c r="G49" s="141"/>
    </row>
    <row r="50" spans="3:7">
      <c r="C50" s="8"/>
      <c r="D50" s="141"/>
      <c r="F50" s="8"/>
      <c r="G50" s="141"/>
    </row>
    <row r="51" spans="3:7">
      <c r="C51" s="8"/>
      <c r="D51" s="141"/>
      <c r="F51" s="8"/>
      <c r="G51" s="141"/>
    </row>
    <row r="52" spans="3:7">
      <c r="C52" s="8"/>
      <c r="D52" s="141"/>
      <c r="F52" s="8"/>
      <c r="G52" s="141"/>
    </row>
    <row r="53" spans="3:7">
      <c r="C53" s="8"/>
      <c r="D53" s="141"/>
      <c r="F53" s="8"/>
      <c r="G53" s="141"/>
    </row>
    <row r="54" spans="3:7">
      <c r="C54" s="8"/>
      <c r="D54" s="141"/>
      <c r="F54" s="8"/>
      <c r="G54" s="141"/>
    </row>
    <row r="55" spans="3:7">
      <c r="C55" s="8"/>
      <c r="D55" s="141"/>
      <c r="F55" s="8"/>
      <c r="G55" s="141"/>
    </row>
    <row r="56" spans="3:7">
      <c r="C56" s="8"/>
      <c r="D56" s="141"/>
      <c r="F56" s="8"/>
      <c r="G56" s="141"/>
    </row>
    <row r="57" spans="3:7">
      <c r="C57" s="8"/>
      <c r="D57" s="141"/>
      <c r="F57" s="8"/>
      <c r="G57" s="141"/>
    </row>
    <row r="58" spans="3:7">
      <c r="C58" s="8"/>
      <c r="D58" s="141"/>
      <c r="F58" s="8"/>
      <c r="G58" s="141"/>
    </row>
    <row r="59" spans="3:7">
      <c r="C59" s="8"/>
      <c r="D59" s="141"/>
      <c r="F59" s="8"/>
      <c r="G59" s="141"/>
    </row>
    <row r="60" spans="3:7">
      <c r="C60" s="8"/>
      <c r="D60" s="141"/>
      <c r="F60" s="8"/>
      <c r="G60" s="141"/>
    </row>
    <row r="61" spans="3:7">
      <c r="C61" s="8"/>
      <c r="D61" s="141"/>
      <c r="F61" s="8"/>
      <c r="G61" s="141"/>
    </row>
    <row r="62" spans="3:7">
      <c r="C62" s="8"/>
      <c r="D62" s="141"/>
      <c r="F62" s="8"/>
      <c r="G62" s="141"/>
    </row>
    <row r="63" spans="3:7">
      <c r="C63" s="8"/>
      <c r="D63" s="141"/>
      <c r="F63" s="8"/>
      <c r="G63" s="141"/>
    </row>
    <row r="64" spans="3:7">
      <c r="D64" s="141"/>
      <c r="G64" s="141"/>
    </row>
  </sheetData>
  <mergeCells count="5">
    <mergeCell ref="B1:P1"/>
    <mergeCell ref="B2:P2"/>
    <mergeCell ref="B3:P3"/>
    <mergeCell ref="B4:P4"/>
    <mergeCell ref="B5:P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65"/>
  <sheetViews>
    <sheetView topLeftCell="A3" zoomScale="70" zoomScaleNormal="70" workbookViewId="0">
      <selection activeCell="B40" sqref="B40"/>
    </sheetView>
  </sheetViews>
  <sheetFormatPr defaultColWidth="8.83203125" defaultRowHeight="12.6" outlineLevelRow="1"/>
  <cols>
    <col min="1" max="1" width="2.44140625" style="5" customWidth="1"/>
    <col min="2" max="2" width="52.1640625" style="6" bestFit="1" customWidth="1"/>
    <col min="3" max="3" width="5.83203125" style="6" customWidth="1"/>
    <col min="4" max="4" width="13.83203125" style="7" bestFit="1" customWidth="1"/>
    <col min="5" max="5" width="19.44140625" style="8" bestFit="1" customWidth="1"/>
    <col min="6" max="6" width="17.1640625" style="6" bestFit="1" customWidth="1"/>
    <col min="7" max="7" width="18.44140625" style="10" bestFit="1" customWidth="1"/>
    <col min="8" max="8" width="18.83203125" style="6" bestFit="1" customWidth="1"/>
    <col min="9" max="12" width="18.83203125" style="6" customWidth="1"/>
    <col min="13" max="13" width="9.44140625" style="6" bestFit="1" customWidth="1"/>
    <col min="14" max="16384" width="8.83203125" style="5"/>
  </cols>
  <sheetData>
    <row r="1" spans="2:13" ht="13.5" customHeight="1">
      <c r="B1" s="666" t="s">
        <v>635</v>
      </c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</row>
    <row r="2" spans="2:13" ht="13.5" customHeight="1">
      <c r="B2" s="666" t="s">
        <v>636</v>
      </c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</row>
    <row r="3" spans="2:13">
      <c r="B3" s="666" t="s">
        <v>637</v>
      </c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</row>
    <row r="4" spans="2:13">
      <c r="B4" s="666" t="s">
        <v>638</v>
      </c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</row>
    <row r="5" spans="2:13">
      <c r="B5" s="666" t="s">
        <v>672</v>
      </c>
      <c r="C5" s="666"/>
      <c r="D5" s="666"/>
      <c r="E5" s="666"/>
      <c r="F5" s="666"/>
      <c r="G5" s="666"/>
      <c r="H5" s="666"/>
      <c r="I5" s="666"/>
      <c r="J5" s="666"/>
      <c r="K5" s="666"/>
      <c r="L5" s="666"/>
      <c r="M5" s="666"/>
    </row>
    <row r="6" spans="2:13">
      <c r="B6" s="1"/>
      <c r="C6" s="1"/>
      <c r="D6" s="2"/>
      <c r="E6" s="2"/>
      <c r="F6" s="2"/>
      <c r="G6" s="1"/>
      <c r="H6" s="1"/>
      <c r="I6" s="1"/>
      <c r="J6" s="1"/>
      <c r="K6" s="1"/>
      <c r="L6" s="1"/>
      <c r="M6" s="1"/>
    </row>
    <row r="7" spans="2:13" ht="61.5">
      <c r="B7" s="4"/>
      <c r="C7" s="4"/>
      <c r="D7" s="11" t="s">
        <v>692</v>
      </c>
      <c r="E7" s="11" t="str">
        <f>'USDA Budget Summary'!A29</f>
        <v>Activity 1: Value Chain Development (Value Chain Analysis, Carbon Assessment, and Living Incomes)</v>
      </c>
      <c r="F7" s="11" t="str">
        <f>'USDA Budget Summary'!A30</f>
        <v>Activity 2: Producer Organization Development &amp; Commercialization</v>
      </c>
      <c r="G7" s="11" t="str">
        <f>'USDA Budget Summary'!A31</f>
        <v>Activity 3: Agriculture Extension and Production Support</v>
      </c>
      <c r="H7" s="11" t="str">
        <f>'USDA Budget Summary'!A32</f>
        <v>Activity 4: Post-Harvest Aggregation &amp; Processing</v>
      </c>
      <c r="I7" s="11" t="str">
        <f>'USDA Budget Summary'!A33</f>
        <v>Activity 5: Ensure Financial Service/ Capital Access for Actors in the Value Chains</v>
      </c>
      <c r="J7" s="11" t="str">
        <f>'USDA Budget Summary'!A34</f>
        <v>Activity 6: Innovation and Job Creation Through Youth Engagement</v>
      </c>
      <c r="K7" s="11" t="str">
        <f>'USDA Budget Summary'!A35</f>
        <v>Activity 7: Establishment of Regional Community of Practice</v>
      </c>
      <c r="L7" s="11" t="str">
        <f>'USDA Budget Summary'!A36</f>
        <v>Activity 8: Financial Services: Endowment Establishment, Fundraising and Management</v>
      </c>
      <c r="M7" s="11" t="s">
        <v>693</v>
      </c>
    </row>
    <row r="8" spans="2:13" s="16" customFormat="1" ht="12.3">
      <c r="B8" s="13" t="s">
        <v>694</v>
      </c>
      <c r="C8" s="13"/>
      <c r="D8" s="14" t="s">
        <v>688</v>
      </c>
      <c r="E8" s="14" t="s">
        <v>688</v>
      </c>
      <c r="F8" s="14" t="s">
        <v>687</v>
      </c>
      <c r="G8" s="14" t="s">
        <v>687</v>
      </c>
      <c r="H8" s="14" t="s">
        <v>687</v>
      </c>
      <c r="I8" s="14"/>
      <c r="J8" s="14"/>
      <c r="K8" s="14"/>
      <c r="L8" s="14"/>
      <c r="M8" s="14" t="s">
        <v>687</v>
      </c>
    </row>
    <row r="9" spans="2:13" s="7" customFormat="1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2:13" s="7" customFormat="1" outlineLevel="1">
      <c r="B10" s="19" t="s">
        <v>695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2:13" s="7" customFormat="1" outlineLevel="1">
      <c r="B11" s="21" t="str">
        <f>'Program Budget'!D13</f>
        <v>Key Personnel: Chief of Party</v>
      </c>
      <c r="C11" s="21"/>
      <c r="D11" s="22">
        <v>0.1</v>
      </c>
      <c r="E11" s="464"/>
      <c r="F11" s="22">
        <v>0.15</v>
      </c>
      <c r="G11" s="22">
        <v>0.1</v>
      </c>
      <c r="H11" s="22">
        <v>0.1</v>
      </c>
      <c r="I11" s="22">
        <v>0.2</v>
      </c>
      <c r="J11" s="22">
        <v>0.1</v>
      </c>
      <c r="K11" s="22">
        <v>0.1</v>
      </c>
      <c r="L11" s="22">
        <v>0.15</v>
      </c>
      <c r="M11" s="22">
        <f>SUM(D11:L11)</f>
        <v>0.99999999999999989</v>
      </c>
    </row>
    <row r="12" spans="2:13" s="7" customFormat="1" outlineLevel="1">
      <c r="B12" s="21" t="str">
        <f>'Program Budget'!D14</f>
        <v>Deputy Chief of Party / Value Chain Strengthening Director</v>
      </c>
      <c r="C12" s="21"/>
      <c r="D12" s="22">
        <v>0.1</v>
      </c>
      <c r="E12" s="464"/>
      <c r="F12" s="22">
        <v>0.15</v>
      </c>
      <c r="G12" s="22">
        <v>0.15</v>
      </c>
      <c r="H12" s="22">
        <v>0.15</v>
      </c>
      <c r="I12" s="22">
        <v>0.15</v>
      </c>
      <c r="J12" s="22">
        <v>0.1</v>
      </c>
      <c r="K12" s="22">
        <v>0.1</v>
      </c>
      <c r="L12" s="22">
        <v>0.1</v>
      </c>
      <c r="M12" s="22">
        <f>SUM(D12:L12)</f>
        <v>1</v>
      </c>
    </row>
    <row r="13" spans="2:13" s="7" customFormat="1" outlineLevel="1">
      <c r="B13" s="21" t="str">
        <f>'Program Budget'!D15</f>
        <v>Key Personnel: Technical Director</v>
      </c>
      <c r="C13" s="21"/>
      <c r="D13" s="22">
        <v>0.05</v>
      </c>
      <c r="E13" s="464"/>
      <c r="F13" s="22">
        <v>0.1</v>
      </c>
      <c r="G13" s="22">
        <v>0.4</v>
      </c>
      <c r="H13" s="22">
        <v>0.15</v>
      </c>
      <c r="I13" s="22">
        <v>0.15</v>
      </c>
      <c r="J13" s="22">
        <v>0.15</v>
      </c>
      <c r="K13" s="22">
        <v>0</v>
      </c>
      <c r="L13" s="22">
        <v>0</v>
      </c>
      <c r="M13" s="22">
        <f t="shared" ref="M13:M37" si="0">SUM(D13:L13)</f>
        <v>1</v>
      </c>
    </row>
    <row r="14" spans="2:13" s="7" customFormat="1" outlineLevel="1">
      <c r="B14" s="21" t="str">
        <f>'Program Budget'!D16</f>
        <v>Activity Lead Agribusiness Senior Specialist (Cacao)</v>
      </c>
      <c r="C14" s="21"/>
      <c r="D14" s="22">
        <v>0.1</v>
      </c>
      <c r="E14" s="464"/>
      <c r="F14" s="22">
        <v>0.15</v>
      </c>
      <c r="G14" s="22">
        <v>0.1</v>
      </c>
      <c r="H14" s="22">
        <v>0.1</v>
      </c>
      <c r="I14" s="22">
        <v>0.2</v>
      </c>
      <c r="J14" s="22">
        <v>0.1</v>
      </c>
      <c r="K14" s="22">
        <v>0.1</v>
      </c>
      <c r="L14" s="22">
        <v>0.15</v>
      </c>
      <c r="M14" s="22">
        <f t="shared" si="0"/>
        <v>0.99999999999999989</v>
      </c>
    </row>
    <row r="15" spans="2:13" s="7" customFormat="1" outlineLevel="1">
      <c r="B15" s="21" t="str">
        <f>'Program Budget'!D17</f>
        <v>Cacao Field Officer</v>
      </c>
      <c r="C15" s="21"/>
      <c r="D15" s="22">
        <v>0</v>
      </c>
      <c r="E15" s="464"/>
      <c r="F15" s="22">
        <v>0</v>
      </c>
      <c r="G15" s="22">
        <v>1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f t="shared" si="0"/>
        <v>1</v>
      </c>
    </row>
    <row r="16" spans="2:13" s="7" customFormat="1" outlineLevel="1">
      <c r="B16" s="21" t="str">
        <f>'Program Budget'!D18</f>
        <v>Cacao &amp; Complementary Crop Technical Field Leader (2)</v>
      </c>
      <c r="C16" s="21"/>
      <c r="D16" s="22">
        <v>0</v>
      </c>
      <c r="E16" s="464"/>
      <c r="F16" s="22">
        <v>0</v>
      </c>
      <c r="G16" s="22">
        <v>1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f t="shared" si="0"/>
        <v>1</v>
      </c>
    </row>
    <row r="17" spans="2:13" s="7" customFormat="1" outlineLevel="1">
      <c r="B17" s="21" t="str">
        <f>'Program Budget'!D19</f>
        <v>Extension Agents (45 in Y5 and 25 in Y6)</v>
      </c>
      <c r="C17" s="21"/>
      <c r="D17" s="22">
        <v>0</v>
      </c>
      <c r="E17" s="464"/>
      <c r="F17" s="22">
        <v>0</v>
      </c>
      <c r="G17" s="22">
        <v>1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f t="shared" si="0"/>
        <v>1</v>
      </c>
    </row>
    <row r="18" spans="2:13" s="7" customFormat="1" outlineLevel="1">
      <c r="B18" s="21" t="str">
        <f>'Program Budget'!D20</f>
        <v>Activity Lead Agribusiness Senior Specialist (Complementary Crop)</v>
      </c>
      <c r="C18" s="21"/>
      <c r="D18" s="22">
        <v>0</v>
      </c>
      <c r="E18" s="464"/>
      <c r="F18" s="22">
        <v>0</v>
      </c>
      <c r="G18" s="22">
        <v>1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f t="shared" si="0"/>
        <v>1</v>
      </c>
    </row>
    <row r="19" spans="2:13" s="7" customFormat="1" outlineLevel="1">
      <c r="B19" s="21" t="str">
        <f>'Program Budget'!D21</f>
        <v>Complementary Crops Field Officer</v>
      </c>
      <c r="C19" s="21"/>
      <c r="D19" s="22">
        <v>0</v>
      </c>
      <c r="E19" s="464"/>
      <c r="F19" s="22">
        <v>0</v>
      </c>
      <c r="G19" s="22">
        <v>1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f t="shared" si="0"/>
        <v>1</v>
      </c>
    </row>
    <row r="20" spans="2:13" s="7" customFormat="1" outlineLevel="1">
      <c r="B20" s="21" t="str">
        <f>'Program Budget'!D22</f>
        <v>EPSEAS Specialist</v>
      </c>
      <c r="C20" s="21"/>
      <c r="D20" s="22">
        <v>0</v>
      </c>
      <c r="E20" s="464"/>
      <c r="F20" s="22">
        <v>0</v>
      </c>
      <c r="G20" s="22">
        <v>1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f t="shared" si="0"/>
        <v>1</v>
      </c>
    </row>
    <row r="21" spans="2:13" s="7" customFormat="1" outlineLevel="1">
      <c r="B21" s="21" t="str">
        <f>'Program Budget'!D23</f>
        <v>Extension Agents for EPSEAS (20 in Y6 and 25 in Y7)</v>
      </c>
      <c r="C21" s="21"/>
      <c r="D21" s="22">
        <v>0</v>
      </c>
      <c r="E21" s="464"/>
      <c r="F21" s="22">
        <v>0</v>
      </c>
      <c r="G21" s="22">
        <v>1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f t="shared" si="0"/>
        <v>1</v>
      </c>
    </row>
    <row r="22" spans="2:13" s="7" customFormat="1" outlineLevel="1">
      <c r="B22" s="21" t="str">
        <f>'Program Budget'!D24</f>
        <v xml:space="preserve">Senior M&amp;E Director </v>
      </c>
      <c r="C22" s="21"/>
      <c r="D22" s="22">
        <v>0.1</v>
      </c>
      <c r="E22" s="464"/>
      <c r="F22" s="22">
        <v>0.15</v>
      </c>
      <c r="G22" s="22">
        <v>0.1</v>
      </c>
      <c r="H22" s="22">
        <v>0.1</v>
      </c>
      <c r="I22" s="22">
        <v>0.2</v>
      </c>
      <c r="J22" s="22">
        <v>0.1</v>
      </c>
      <c r="K22" s="22">
        <v>0.1</v>
      </c>
      <c r="L22" s="22">
        <v>0.15</v>
      </c>
      <c r="M22" s="22">
        <f t="shared" si="0"/>
        <v>0.99999999999999989</v>
      </c>
    </row>
    <row r="23" spans="2:13" s="7" customFormat="1" outlineLevel="1">
      <c r="B23" s="21" t="str">
        <f>'Program Budget'!D25</f>
        <v>Senior M&amp;E Specialist</v>
      </c>
      <c r="C23" s="21"/>
      <c r="D23" s="22">
        <v>0.1</v>
      </c>
      <c r="E23" s="464"/>
      <c r="F23" s="22">
        <v>0.15</v>
      </c>
      <c r="G23" s="22">
        <v>0.1</v>
      </c>
      <c r="H23" s="22">
        <v>0.1</v>
      </c>
      <c r="I23" s="22">
        <v>0.2</v>
      </c>
      <c r="J23" s="22">
        <v>0.1</v>
      </c>
      <c r="K23" s="22">
        <v>0.1</v>
      </c>
      <c r="L23" s="22">
        <v>0.15</v>
      </c>
      <c r="M23" s="22">
        <f t="shared" si="0"/>
        <v>0.99999999999999989</v>
      </c>
    </row>
    <row r="24" spans="2:13" s="7" customFormat="1" outlineLevel="1">
      <c r="B24" s="21" t="str">
        <f>'Program Budget'!D26</f>
        <v>M&amp;E Specialist</v>
      </c>
      <c r="C24" s="21"/>
      <c r="D24" s="22">
        <v>0.1</v>
      </c>
      <c r="E24" s="464"/>
      <c r="F24" s="22">
        <v>0.15</v>
      </c>
      <c r="G24" s="22">
        <v>0.1</v>
      </c>
      <c r="H24" s="22">
        <v>0.1</v>
      </c>
      <c r="I24" s="22">
        <v>0.2</v>
      </c>
      <c r="J24" s="22">
        <v>0.1</v>
      </c>
      <c r="K24" s="22">
        <v>0.1</v>
      </c>
      <c r="L24" s="22">
        <v>0.15</v>
      </c>
      <c r="M24" s="22">
        <f t="shared" si="0"/>
        <v>0.99999999999999989</v>
      </c>
    </row>
    <row r="25" spans="2:13" s="7" customFormat="1" outlineLevel="1">
      <c r="B25" s="21" t="str">
        <f>'Program Budget'!D27</f>
        <v>M&amp;E Officer</v>
      </c>
      <c r="C25" s="21"/>
      <c r="D25" s="22">
        <v>0.1</v>
      </c>
      <c r="E25" s="464"/>
      <c r="F25" s="22">
        <v>0.15</v>
      </c>
      <c r="G25" s="22">
        <v>0.1</v>
      </c>
      <c r="H25" s="22">
        <v>0.1</v>
      </c>
      <c r="I25" s="22">
        <v>0.2</v>
      </c>
      <c r="J25" s="22">
        <v>0.1</v>
      </c>
      <c r="K25" s="22">
        <v>0.1</v>
      </c>
      <c r="L25" s="22">
        <v>0.15</v>
      </c>
      <c r="M25" s="22">
        <f t="shared" si="0"/>
        <v>0.99999999999999989</v>
      </c>
    </row>
    <row r="26" spans="2:13" s="7" customFormat="1" outlineLevel="1">
      <c r="B26" s="21" t="str">
        <f>'Program Budget'!D28</f>
        <v>Partnerships and Investment Director</v>
      </c>
      <c r="C26" s="21"/>
      <c r="D26" s="22">
        <v>0.1</v>
      </c>
      <c r="E26" s="464"/>
      <c r="F26" s="22">
        <v>0.15</v>
      </c>
      <c r="G26" s="22">
        <v>0.1</v>
      </c>
      <c r="H26" s="22">
        <v>0.1</v>
      </c>
      <c r="I26" s="22">
        <v>0.2</v>
      </c>
      <c r="J26" s="22">
        <v>0.1</v>
      </c>
      <c r="K26" s="22">
        <v>0.1</v>
      </c>
      <c r="L26" s="22">
        <v>0.15</v>
      </c>
      <c r="M26" s="22">
        <f t="shared" si="0"/>
        <v>0.99999999999999989</v>
      </c>
    </row>
    <row r="27" spans="2:13" s="7" customFormat="1" outlineLevel="1">
      <c r="B27" s="21" t="str">
        <f>'Program Budget'!D29</f>
        <v>Partnerships and Investment Specialist</v>
      </c>
      <c r="C27" s="21"/>
      <c r="D27" s="22">
        <v>0.1</v>
      </c>
      <c r="E27" s="464"/>
      <c r="F27" s="22">
        <v>0.15</v>
      </c>
      <c r="G27" s="22">
        <v>0.1</v>
      </c>
      <c r="H27" s="22">
        <v>0.1</v>
      </c>
      <c r="I27" s="22">
        <v>0.2</v>
      </c>
      <c r="J27" s="22">
        <v>0.1</v>
      </c>
      <c r="K27" s="22">
        <v>0.1</v>
      </c>
      <c r="L27" s="22">
        <v>0.15</v>
      </c>
      <c r="M27" s="22">
        <f t="shared" si="0"/>
        <v>0.99999999999999989</v>
      </c>
    </row>
    <row r="28" spans="2:13" s="7" customFormat="1" outlineLevel="1">
      <c r="B28" s="21" t="str">
        <f>'Program Budget'!D30</f>
        <v>Organizational Strengthening Specialist</v>
      </c>
      <c r="C28" s="21"/>
      <c r="D28" s="22">
        <v>0.1</v>
      </c>
      <c r="E28" s="464"/>
      <c r="F28" s="22">
        <v>0.15</v>
      </c>
      <c r="G28" s="22">
        <v>0.1</v>
      </c>
      <c r="H28" s="22">
        <v>0.1</v>
      </c>
      <c r="I28" s="22">
        <v>0.2</v>
      </c>
      <c r="J28" s="22">
        <v>0.1</v>
      </c>
      <c r="K28" s="22">
        <v>0.1</v>
      </c>
      <c r="L28" s="22">
        <v>0.15</v>
      </c>
      <c r="M28" s="22">
        <f t="shared" si="0"/>
        <v>0.99999999999999989</v>
      </c>
    </row>
    <row r="29" spans="2:13" s="7" customFormat="1" outlineLevel="1">
      <c r="B29" s="21" t="str">
        <f>'Program Budget'!D31</f>
        <v>Value Chain Strengthening Director</v>
      </c>
      <c r="C29" s="21"/>
      <c r="D29" s="22">
        <v>0.1</v>
      </c>
      <c r="E29" s="464"/>
      <c r="F29" s="22">
        <v>0.15</v>
      </c>
      <c r="G29" s="22">
        <v>0.1</v>
      </c>
      <c r="H29" s="22">
        <v>0.1</v>
      </c>
      <c r="I29" s="22">
        <v>0.2</v>
      </c>
      <c r="J29" s="22">
        <v>0.1</v>
      </c>
      <c r="K29" s="22">
        <v>0.1</v>
      </c>
      <c r="L29" s="22">
        <v>0.15</v>
      </c>
      <c r="M29" s="22">
        <f t="shared" si="0"/>
        <v>0.99999999999999989</v>
      </c>
    </row>
    <row r="30" spans="2:13" s="7" customFormat="1" outlineLevel="1">
      <c r="B30" s="21" t="str">
        <f>'Program Budget'!D32</f>
        <v>Communications Specialist</v>
      </c>
      <c r="C30" s="21"/>
      <c r="D30" s="22">
        <v>0.1</v>
      </c>
      <c r="E30" s="464"/>
      <c r="F30" s="22">
        <v>0.15</v>
      </c>
      <c r="G30" s="22">
        <v>0.1</v>
      </c>
      <c r="H30" s="22">
        <v>0.1</v>
      </c>
      <c r="I30" s="22">
        <v>0.2</v>
      </c>
      <c r="J30" s="22">
        <v>0.1</v>
      </c>
      <c r="K30" s="22">
        <v>0.1</v>
      </c>
      <c r="L30" s="22">
        <v>0.15</v>
      </c>
      <c r="M30" s="22">
        <f t="shared" si="0"/>
        <v>0.99999999999999989</v>
      </c>
    </row>
    <row r="31" spans="2:13" s="7" customFormat="1" outlineLevel="1">
      <c r="B31" s="21" t="str">
        <f>'Program Budget'!D33</f>
        <v>Value Chain Specialist</v>
      </c>
      <c r="C31" s="21"/>
      <c r="D31" s="22">
        <v>0.1</v>
      </c>
      <c r="E31" s="464"/>
      <c r="F31" s="22">
        <v>0.15</v>
      </c>
      <c r="G31" s="22">
        <v>0.1</v>
      </c>
      <c r="H31" s="22">
        <v>0.1</v>
      </c>
      <c r="I31" s="22">
        <v>0.2</v>
      </c>
      <c r="J31" s="22">
        <v>0.1</v>
      </c>
      <c r="K31" s="22">
        <v>0.1</v>
      </c>
      <c r="L31" s="22">
        <v>0.15</v>
      </c>
      <c r="M31" s="22">
        <f t="shared" si="0"/>
        <v>0.99999999999999989</v>
      </c>
    </row>
    <row r="32" spans="2:13" s="7" customFormat="1" outlineLevel="1">
      <c r="B32" s="21" t="str">
        <f>'Program Budget'!D34</f>
        <v>Contracts &amp; Compliance Director</v>
      </c>
      <c r="C32" s="21"/>
      <c r="D32" s="22">
        <v>0.1</v>
      </c>
      <c r="E32" s="464"/>
      <c r="F32" s="22">
        <v>0.15</v>
      </c>
      <c r="G32" s="22">
        <v>0.1</v>
      </c>
      <c r="H32" s="22">
        <v>0.1</v>
      </c>
      <c r="I32" s="22">
        <v>0.2</v>
      </c>
      <c r="J32" s="22">
        <v>0.1</v>
      </c>
      <c r="K32" s="22">
        <v>0.1</v>
      </c>
      <c r="L32" s="22">
        <v>0.15</v>
      </c>
      <c r="M32" s="22">
        <f t="shared" si="0"/>
        <v>0.99999999999999989</v>
      </c>
    </row>
    <row r="33" spans="2:13" s="7" customFormat="1" outlineLevel="1">
      <c r="B33" s="21" t="str">
        <f>'Program Budget'!D35</f>
        <v>Grants &amp; Procurement Specialist (2)</v>
      </c>
      <c r="C33" s="21"/>
      <c r="D33" s="22">
        <v>0.05</v>
      </c>
      <c r="E33" s="464"/>
      <c r="F33" s="22">
        <v>0.25</v>
      </c>
      <c r="G33" s="22">
        <v>0.25</v>
      </c>
      <c r="H33" s="22">
        <v>0.25</v>
      </c>
      <c r="I33" s="22">
        <v>0.05</v>
      </c>
      <c r="J33" s="22">
        <v>0.05</v>
      </c>
      <c r="K33" s="22">
        <v>0.1</v>
      </c>
      <c r="L33" s="22">
        <v>0</v>
      </c>
      <c r="M33" s="22">
        <f t="shared" si="0"/>
        <v>1.0000000000000002</v>
      </c>
    </row>
    <row r="34" spans="2:13" s="7" customFormat="1" outlineLevel="1">
      <c r="B34" s="21" t="str">
        <f>'Program Budget'!D36</f>
        <v xml:space="preserve">F&amp;A Director </v>
      </c>
      <c r="C34" s="21"/>
      <c r="D34" s="22">
        <v>0.15</v>
      </c>
      <c r="E34" s="464"/>
      <c r="F34" s="22">
        <v>0.1</v>
      </c>
      <c r="G34" s="22">
        <v>0.15</v>
      </c>
      <c r="H34" s="22">
        <v>0.15</v>
      </c>
      <c r="I34" s="22">
        <v>0.15</v>
      </c>
      <c r="J34" s="22">
        <v>0.1</v>
      </c>
      <c r="K34" s="22">
        <v>0.1</v>
      </c>
      <c r="L34" s="22">
        <v>0.1</v>
      </c>
      <c r="M34" s="22">
        <f t="shared" si="0"/>
        <v>1</v>
      </c>
    </row>
    <row r="35" spans="2:13" s="7" customFormat="1" outlineLevel="1">
      <c r="B35" s="21" t="str">
        <f>'Program Budget'!D37</f>
        <v>Accounting &amp; Finance Specialist</v>
      </c>
      <c r="C35" s="21"/>
      <c r="D35" s="22">
        <v>0.1</v>
      </c>
      <c r="E35" s="464"/>
      <c r="F35" s="22">
        <v>0.15</v>
      </c>
      <c r="G35" s="22">
        <v>0.1</v>
      </c>
      <c r="H35" s="22">
        <v>0.1</v>
      </c>
      <c r="I35" s="22">
        <v>0.2</v>
      </c>
      <c r="J35" s="22">
        <v>0.1</v>
      </c>
      <c r="K35" s="22">
        <v>0.1</v>
      </c>
      <c r="L35" s="22">
        <v>0.15</v>
      </c>
      <c r="M35" s="22">
        <f t="shared" si="0"/>
        <v>0.99999999999999989</v>
      </c>
    </row>
    <row r="36" spans="2:13" s="7" customFormat="1" outlineLevel="1">
      <c r="B36" s="21" t="str">
        <f>'Program Budget'!D38</f>
        <v xml:space="preserve">Accountant </v>
      </c>
      <c r="C36" s="21"/>
      <c r="D36" s="22">
        <v>0.1</v>
      </c>
      <c r="E36" s="464"/>
      <c r="F36" s="22">
        <v>0.15</v>
      </c>
      <c r="G36" s="22">
        <v>0.1</v>
      </c>
      <c r="H36" s="22">
        <v>0.1</v>
      </c>
      <c r="I36" s="22">
        <v>0.2</v>
      </c>
      <c r="J36" s="22">
        <v>0.1</v>
      </c>
      <c r="K36" s="22">
        <v>0.1</v>
      </c>
      <c r="L36" s="22">
        <v>0.15</v>
      </c>
      <c r="M36" s="22">
        <f t="shared" si="0"/>
        <v>0.99999999999999989</v>
      </c>
    </row>
    <row r="37" spans="2:13" s="7" customFormat="1" outlineLevel="1">
      <c r="B37" s="21" t="str">
        <f>'Program Budget'!D39</f>
        <v>Finance &amp; Admin Coordinator - 50% LOE</v>
      </c>
      <c r="C37" s="21"/>
      <c r="D37" s="22">
        <v>0.1</v>
      </c>
      <c r="E37" s="464"/>
      <c r="F37" s="22">
        <v>0.05</v>
      </c>
      <c r="G37" s="22">
        <v>0.05</v>
      </c>
      <c r="H37" s="22">
        <v>0.1</v>
      </c>
      <c r="I37" s="22">
        <v>0.05</v>
      </c>
      <c r="J37" s="22">
        <v>0.05</v>
      </c>
      <c r="K37" s="22">
        <v>0.05</v>
      </c>
      <c r="L37" s="22">
        <v>0.05</v>
      </c>
      <c r="M37" s="22">
        <f t="shared" si="0"/>
        <v>0.5</v>
      </c>
    </row>
    <row r="38" spans="2:13" s="7" customFormat="1" outlineLevel="1">
      <c r="B38" s="21" t="str">
        <f>'Program Budget'!D40</f>
        <v xml:space="preserve">Administrative Officer </v>
      </c>
      <c r="C38" s="21"/>
      <c r="D38" s="22">
        <v>0.1</v>
      </c>
      <c r="E38" s="464"/>
      <c r="F38" s="22">
        <v>0.15</v>
      </c>
      <c r="G38" s="22">
        <v>0.1</v>
      </c>
      <c r="H38" s="22">
        <v>0.1</v>
      </c>
      <c r="I38" s="22">
        <v>0.2</v>
      </c>
      <c r="J38" s="22">
        <v>0.1</v>
      </c>
      <c r="K38" s="22">
        <v>0.1</v>
      </c>
      <c r="L38" s="22">
        <v>0.15</v>
      </c>
      <c r="M38" s="22">
        <f t="shared" ref="M38:M40" si="1">SUM(D38:L38)</f>
        <v>0.99999999999999989</v>
      </c>
    </row>
    <row r="39" spans="2:13" s="7" customFormat="1" outlineLevel="1">
      <c r="B39" s="21" t="str">
        <f>'Program Budget'!D41</f>
        <v>Human Resource Manager</v>
      </c>
      <c r="C39" s="21"/>
      <c r="D39" s="22">
        <v>0.1</v>
      </c>
      <c r="E39" s="464"/>
      <c r="F39" s="22">
        <v>0.15</v>
      </c>
      <c r="G39" s="22">
        <v>0.1</v>
      </c>
      <c r="H39" s="22">
        <v>0.1</v>
      </c>
      <c r="I39" s="22">
        <v>0.2</v>
      </c>
      <c r="J39" s="22">
        <v>0.1</v>
      </c>
      <c r="K39" s="22">
        <v>0.1</v>
      </c>
      <c r="L39" s="22">
        <v>0.15</v>
      </c>
      <c r="M39" s="22">
        <f t="shared" si="1"/>
        <v>0.99999999999999989</v>
      </c>
    </row>
    <row r="40" spans="2:13" s="7" customFormat="1" outlineLevel="1">
      <c r="B40" s="21" t="str">
        <f>'Program Budget'!D42</f>
        <v>Human Resource Specialist</v>
      </c>
      <c r="C40" s="21"/>
      <c r="D40" s="22">
        <v>0.1</v>
      </c>
      <c r="E40" s="464"/>
      <c r="F40" s="22">
        <v>0.15</v>
      </c>
      <c r="G40" s="22">
        <v>0.1</v>
      </c>
      <c r="H40" s="22">
        <v>0.1</v>
      </c>
      <c r="I40" s="22">
        <v>0.2</v>
      </c>
      <c r="J40" s="22">
        <v>0.1</v>
      </c>
      <c r="K40" s="22">
        <v>0.1</v>
      </c>
      <c r="L40" s="22">
        <v>0.15</v>
      </c>
      <c r="M40" s="22">
        <f t="shared" si="1"/>
        <v>0.99999999999999989</v>
      </c>
    </row>
    <row r="41" spans="2:13" s="7" customFormat="1" outlineLevel="1">
      <c r="B41" s="19" t="s">
        <v>691</v>
      </c>
      <c r="C41" s="19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2:13" s="7" customFormat="1" outlineLevel="1">
      <c r="B42" s="21" t="str">
        <f>'Program Budget'!D44</f>
        <v xml:space="preserve">Senior Program Director </v>
      </c>
      <c r="C42" s="21"/>
      <c r="D42" s="22">
        <v>0.25</v>
      </c>
      <c r="E42" s="22"/>
      <c r="F42" s="22"/>
      <c r="G42" s="22"/>
      <c r="H42" s="22"/>
      <c r="I42" s="22"/>
      <c r="J42" s="22"/>
      <c r="K42" s="22"/>
      <c r="L42" s="22"/>
      <c r="M42" s="22">
        <f t="shared" ref="M42:M43" si="2">SUM(D42:L42)</f>
        <v>0.25</v>
      </c>
    </row>
    <row r="43" spans="2:13" s="7" customFormat="1" outlineLevel="1">
      <c r="B43" s="21" t="str">
        <f>'Program Budget'!D45</f>
        <v>Associate Director</v>
      </c>
      <c r="C43" s="21"/>
      <c r="D43" s="22">
        <v>0.65</v>
      </c>
      <c r="E43" s="22"/>
      <c r="F43" s="22"/>
      <c r="G43" s="22"/>
      <c r="H43" s="22"/>
      <c r="I43" s="22"/>
      <c r="J43" s="22"/>
      <c r="K43" s="22"/>
      <c r="L43" s="22"/>
      <c r="M43" s="22">
        <f t="shared" si="2"/>
        <v>0.65</v>
      </c>
    </row>
    <row r="44" spans="2:13" s="7" customFormat="1" outlineLevel="1">
      <c r="B44" s="21" t="str">
        <f>'Program Budget'!D46</f>
        <v xml:space="preserve">Senior Program Officer </v>
      </c>
      <c r="C44" s="21"/>
      <c r="D44" s="22">
        <v>0.61</v>
      </c>
      <c r="E44" s="22"/>
      <c r="F44" s="22"/>
      <c r="G44" s="22"/>
      <c r="H44" s="22"/>
      <c r="I44" s="22"/>
      <c r="J44" s="22"/>
      <c r="K44" s="22"/>
      <c r="L44" s="22"/>
      <c r="M44" s="22">
        <f t="shared" ref="M44" si="3">SUM(D44:L44)</f>
        <v>0.61</v>
      </c>
    </row>
    <row r="45" spans="2:13" s="7" customFormat="1" outlineLevel="1">
      <c r="B45" s="26" t="s">
        <v>129</v>
      </c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2:13">
      <c r="D46" s="10"/>
      <c r="E46" s="6"/>
      <c r="G46" s="6"/>
      <c r="H46" s="10"/>
      <c r="I46" s="10"/>
      <c r="J46" s="10"/>
      <c r="K46" s="10"/>
      <c r="L46" s="10"/>
      <c r="M46" s="10"/>
    </row>
    <row r="47" spans="2:13" ht="61.5">
      <c r="B47" s="4"/>
      <c r="C47" s="4"/>
      <c r="D47" s="11" t="str">
        <f t="shared" ref="D47:L47" si="4">D7</f>
        <v>Administration</v>
      </c>
      <c r="E47" s="11" t="str">
        <f t="shared" si="4"/>
        <v>Activity 1: Value Chain Development (Value Chain Analysis, Carbon Assessment, and Living Incomes)</v>
      </c>
      <c r="F47" s="11" t="str">
        <f t="shared" si="4"/>
        <v>Activity 2: Producer Organization Development &amp; Commercialization</v>
      </c>
      <c r="G47" s="11" t="str">
        <f t="shared" si="4"/>
        <v>Activity 3: Agriculture Extension and Production Support</v>
      </c>
      <c r="H47" s="11" t="str">
        <f t="shared" si="4"/>
        <v>Activity 4: Post-Harvest Aggregation &amp; Processing</v>
      </c>
      <c r="I47" s="11" t="str">
        <f t="shared" si="4"/>
        <v>Activity 5: Ensure Financial Service/ Capital Access for Actors in the Value Chains</v>
      </c>
      <c r="J47" s="11" t="str">
        <f t="shared" si="4"/>
        <v>Activity 6: Innovation and Job Creation Through Youth Engagement</v>
      </c>
      <c r="K47" s="11" t="str">
        <f t="shared" si="4"/>
        <v>Activity 7: Establishment of Regional Community of Practice</v>
      </c>
      <c r="L47" s="11" t="str">
        <f t="shared" si="4"/>
        <v>Activity 8: Financial Services: Endowment Establishment, Fundraising and Management</v>
      </c>
      <c r="M47" s="11" t="s">
        <v>693</v>
      </c>
    </row>
    <row r="48" spans="2:13" s="16" customFormat="1" ht="12.3">
      <c r="B48" s="13" t="s">
        <v>696</v>
      </c>
      <c r="C48" s="13"/>
      <c r="D48" s="14" t="s">
        <v>688</v>
      </c>
      <c r="E48" s="14" t="s">
        <v>688</v>
      </c>
      <c r="F48" s="14" t="s">
        <v>687</v>
      </c>
      <c r="G48" s="14" t="s">
        <v>687</v>
      </c>
      <c r="H48" s="14" t="s">
        <v>687</v>
      </c>
      <c r="I48" s="14"/>
      <c r="J48" s="14"/>
      <c r="K48" s="14"/>
      <c r="L48" s="14"/>
      <c r="M48" s="14" t="s">
        <v>687</v>
      </c>
    </row>
    <row r="49" spans="2:13" s="7" customFormat="1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2:13" s="7" customFormat="1" outlineLevel="1">
      <c r="B50" s="19" t="s">
        <v>695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2:13" s="7" customFormat="1" outlineLevel="1">
      <c r="B51" s="21" t="str">
        <f>'Program Budget'!D13</f>
        <v>Key Personnel: Chief of Party</v>
      </c>
      <c r="C51" s="21"/>
      <c r="D51" s="116">
        <v>0.05</v>
      </c>
      <c r="E51" s="464"/>
      <c r="F51" s="22">
        <v>0.19</v>
      </c>
      <c r="G51" s="22">
        <v>0.19</v>
      </c>
      <c r="H51" s="22">
        <v>0.19</v>
      </c>
      <c r="I51" s="22">
        <v>0.19</v>
      </c>
      <c r="J51" s="464"/>
      <c r="K51" s="22">
        <v>0.19</v>
      </c>
      <c r="L51" s="464"/>
      <c r="M51" s="22">
        <f>SUM(D51:L51)</f>
        <v>1</v>
      </c>
    </row>
    <row r="52" spans="2:13" s="7" customFormat="1" outlineLevel="1">
      <c r="B52" s="21" t="str">
        <f>'Program Budget'!D14</f>
        <v>Deputy Chief of Party / Value Chain Strengthening Director</v>
      </c>
      <c r="C52" s="21"/>
      <c r="D52" s="116">
        <v>0.25</v>
      </c>
      <c r="E52" s="464"/>
      <c r="F52" s="22">
        <v>0.15</v>
      </c>
      <c r="G52" s="22">
        <v>0.15</v>
      </c>
      <c r="H52" s="22">
        <v>0.15</v>
      </c>
      <c r="I52" s="22">
        <v>0.15</v>
      </c>
      <c r="J52" s="464"/>
      <c r="K52" s="22">
        <v>0.15</v>
      </c>
      <c r="L52" s="464"/>
      <c r="M52" s="22">
        <f t="shared" ref="M52:M53" si="5">SUM(D52:L52)</f>
        <v>1</v>
      </c>
    </row>
    <row r="53" spans="2:13" s="7" customFormat="1" outlineLevel="1">
      <c r="B53" s="21" t="str">
        <f>'Program Budget'!D15</f>
        <v>Key Personnel: Technical Director</v>
      </c>
      <c r="C53" s="21"/>
      <c r="D53" s="116">
        <v>0.05</v>
      </c>
      <c r="E53" s="464"/>
      <c r="F53" s="22">
        <v>0.2</v>
      </c>
      <c r="G53" s="22">
        <v>0.5</v>
      </c>
      <c r="H53" s="22">
        <v>0.2</v>
      </c>
      <c r="I53" s="22">
        <v>0.05</v>
      </c>
      <c r="J53" s="464"/>
      <c r="K53" s="22">
        <v>0</v>
      </c>
      <c r="L53" s="464"/>
      <c r="M53" s="22">
        <f t="shared" si="5"/>
        <v>1</v>
      </c>
    </row>
    <row r="54" spans="2:13" s="7" customFormat="1" outlineLevel="1">
      <c r="B54" s="21" t="str">
        <f>'Program Budget'!D16</f>
        <v>Activity Lead Agribusiness Senior Specialist (Cacao)</v>
      </c>
      <c r="C54" s="21"/>
      <c r="D54" s="116">
        <v>0</v>
      </c>
      <c r="E54" s="464"/>
      <c r="F54" s="22">
        <v>0.1</v>
      </c>
      <c r="G54" s="22">
        <v>0.8</v>
      </c>
      <c r="H54" s="22">
        <v>0.1</v>
      </c>
      <c r="I54" s="22">
        <v>0</v>
      </c>
      <c r="J54" s="464"/>
      <c r="K54" s="22">
        <v>0</v>
      </c>
      <c r="L54" s="464"/>
      <c r="M54" s="22">
        <f t="shared" ref="M54:M77" si="6">SUM(D54:L54)</f>
        <v>1</v>
      </c>
    </row>
    <row r="55" spans="2:13" s="7" customFormat="1" outlineLevel="1">
      <c r="B55" s="21" t="str">
        <f>'Program Budget'!D17</f>
        <v>Cacao Field Officer</v>
      </c>
      <c r="C55" s="21"/>
      <c r="D55" s="116">
        <v>0</v>
      </c>
      <c r="E55" s="464"/>
      <c r="F55" s="22">
        <v>0</v>
      </c>
      <c r="G55" s="22">
        <v>1</v>
      </c>
      <c r="H55" s="22">
        <v>0</v>
      </c>
      <c r="I55" s="22">
        <v>0</v>
      </c>
      <c r="J55" s="464"/>
      <c r="K55" s="22">
        <v>0</v>
      </c>
      <c r="L55" s="464"/>
      <c r="M55" s="22">
        <f t="shared" si="6"/>
        <v>1</v>
      </c>
    </row>
    <row r="56" spans="2:13" s="7" customFormat="1" outlineLevel="1">
      <c r="B56" s="21" t="str">
        <f>'Program Budget'!D18</f>
        <v>Cacao &amp; Complementary Crop Technical Field Leader (2)</v>
      </c>
      <c r="C56" s="21"/>
      <c r="D56" s="116">
        <v>0</v>
      </c>
      <c r="E56" s="464"/>
      <c r="F56" s="22">
        <v>0</v>
      </c>
      <c r="G56" s="22">
        <v>1</v>
      </c>
      <c r="H56" s="22">
        <v>0</v>
      </c>
      <c r="I56" s="22">
        <v>0</v>
      </c>
      <c r="J56" s="464"/>
      <c r="K56" s="22">
        <v>0</v>
      </c>
      <c r="L56" s="464"/>
      <c r="M56" s="22">
        <f t="shared" si="6"/>
        <v>1</v>
      </c>
    </row>
    <row r="57" spans="2:13" s="7" customFormat="1" outlineLevel="1">
      <c r="B57" s="21" t="str">
        <f>'Program Budget'!D19</f>
        <v>Extension Agents (45 in Y5 and 25 in Y6)</v>
      </c>
      <c r="C57" s="21"/>
      <c r="D57" s="116">
        <v>0</v>
      </c>
      <c r="E57" s="464"/>
      <c r="F57" s="22">
        <v>0</v>
      </c>
      <c r="G57" s="22">
        <v>1</v>
      </c>
      <c r="H57" s="22">
        <v>0</v>
      </c>
      <c r="I57" s="22">
        <v>0</v>
      </c>
      <c r="J57" s="464"/>
      <c r="K57" s="22">
        <v>0</v>
      </c>
      <c r="L57" s="464"/>
      <c r="M57" s="22">
        <f t="shared" si="6"/>
        <v>1</v>
      </c>
    </row>
    <row r="58" spans="2:13" s="7" customFormat="1" outlineLevel="1">
      <c r="B58" s="21" t="str">
        <f>'Program Budget'!D20</f>
        <v>Activity Lead Agribusiness Senior Specialist (Complementary Crop)</v>
      </c>
      <c r="C58" s="21"/>
      <c r="D58" s="116">
        <v>0</v>
      </c>
      <c r="E58" s="464"/>
      <c r="F58" s="22">
        <v>0</v>
      </c>
      <c r="G58" s="22">
        <v>1</v>
      </c>
      <c r="H58" s="22">
        <v>0</v>
      </c>
      <c r="I58" s="22">
        <v>0</v>
      </c>
      <c r="J58" s="464"/>
      <c r="K58" s="22">
        <v>0</v>
      </c>
      <c r="L58" s="464"/>
      <c r="M58" s="22">
        <f t="shared" si="6"/>
        <v>1</v>
      </c>
    </row>
    <row r="59" spans="2:13" s="7" customFormat="1" outlineLevel="1">
      <c r="B59" s="21" t="str">
        <f>'Program Budget'!D21</f>
        <v>Complementary Crops Field Officer</v>
      </c>
      <c r="C59" s="21"/>
      <c r="D59" s="116">
        <v>0</v>
      </c>
      <c r="E59" s="464"/>
      <c r="F59" s="22">
        <v>0</v>
      </c>
      <c r="G59" s="22">
        <v>1</v>
      </c>
      <c r="H59" s="22">
        <v>0</v>
      </c>
      <c r="I59" s="22">
        <v>0</v>
      </c>
      <c r="J59" s="464"/>
      <c r="K59" s="22">
        <v>0</v>
      </c>
      <c r="L59" s="464"/>
      <c r="M59" s="22">
        <f t="shared" si="6"/>
        <v>1</v>
      </c>
    </row>
    <row r="60" spans="2:13" s="7" customFormat="1" outlineLevel="1">
      <c r="B60" s="21" t="str">
        <f>'Program Budget'!D22</f>
        <v>EPSEAS Specialist</v>
      </c>
      <c r="C60" s="21"/>
      <c r="D60" s="116">
        <v>0</v>
      </c>
      <c r="E60" s="464"/>
      <c r="F60" s="22">
        <v>0</v>
      </c>
      <c r="G60" s="22">
        <v>1</v>
      </c>
      <c r="H60" s="22">
        <v>0</v>
      </c>
      <c r="I60" s="22">
        <v>0</v>
      </c>
      <c r="J60" s="464"/>
      <c r="K60" s="22">
        <v>0</v>
      </c>
      <c r="L60" s="464"/>
      <c r="M60" s="22">
        <f t="shared" si="6"/>
        <v>1</v>
      </c>
    </row>
    <row r="61" spans="2:13" s="7" customFormat="1" outlineLevel="1">
      <c r="B61" s="21" t="str">
        <f>'Program Budget'!D23</f>
        <v>Extension Agents for EPSEAS (20 in Y6 and 25 in Y7)</v>
      </c>
      <c r="C61" s="21"/>
      <c r="D61" s="116">
        <v>0</v>
      </c>
      <c r="E61" s="464"/>
      <c r="F61" s="22">
        <v>0</v>
      </c>
      <c r="G61" s="22">
        <v>1</v>
      </c>
      <c r="H61" s="22">
        <v>0</v>
      </c>
      <c r="I61" s="22">
        <v>0</v>
      </c>
      <c r="J61" s="464"/>
      <c r="K61" s="22">
        <v>0</v>
      </c>
      <c r="L61" s="464"/>
      <c r="M61" s="22">
        <f t="shared" si="6"/>
        <v>1</v>
      </c>
    </row>
    <row r="62" spans="2:13" s="7" customFormat="1" outlineLevel="1">
      <c r="B62" s="21" t="str">
        <f>'Program Budget'!D24</f>
        <v xml:space="preserve">Senior M&amp;E Director </v>
      </c>
      <c r="C62" s="21"/>
      <c r="D62" s="116">
        <v>0.05</v>
      </c>
      <c r="E62" s="464"/>
      <c r="F62" s="22">
        <v>0.19</v>
      </c>
      <c r="G62" s="22">
        <v>0.19</v>
      </c>
      <c r="H62" s="22">
        <v>0.19</v>
      </c>
      <c r="I62" s="22">
        <v>0.19</v>
      </c>
      <c r="J62" s="464"/>
      <c r="K62" s="22">
        <v>0.19</v>
      </c>
      <c r="L62" s="464"/>
      <c r="M62" s="22">
        <f t="shared" si="6"/>
        <v>1</v>
      </c>
    </row>
    <row r="63" spans="2:13" s="7" customFormat="1" outlineLevel="1">
      <c r="B63" s="21" t="str">
        <f>'Program Budget'!D25</f>
        <v>Senior M&amp;E Specialist</v>
      </c>
      <c r="C63" s="21"/>
      <c r="D63" s="116">
        <v>0.05</v>
      </c>
      <c r="E63" s="464"/>
      <c r="F63" s="22">
        <v>0.19</v>
      </c>
      <c r="G63" s="22">
        <v>0.19</v>
      </c>
      <c r="H63" s="22">
        <v>0.19</v>
      </c>
      <c r="I63" s="22">
        <v>0.19</v>
      </c>
      <c r="J63" s="464"/>
      <c r="K63" s="22">
        <v>0.19</v>
      </c>
      <c r="L63" s="464"/>
      <c r="M63" s="22">
        <f t="shared" si="6"/>
        <v>1</v>
      </c>
    </row>
    <row r="64" spans="2:13" s="7" customFormat="1" outlineLevel="1">
      <c r="B64" s="21" t="str">
        <f>'Program Budget'!D26</f>
        <v>M&amp;E Specialist</v>
      </c>
      <c r="C64" s="21"/>
      <c r="D64" s="116">
        <v>0.05</v>
      </c>
      <c r="E64" s="464"/>
      <c r="F64" s="22">
        <v>0.19</v>
      </c>
      <c r="G64" s="22">
        <v>0.19</v>
      </c>
      <c r="H64" s="22">
        <v>0.19</v>
      </c>
      <c r="I64" s="22">
        <v>0.19</v>
      </c>
      <c r="J64" s="464"/>
      <c r="K64" s="22">
        <v>0.19</v>
      </c>
      <c r="L64" s="464"/>
      <c r="M64" s="22">
        <f t="shared" si="6"/>
        <v>1</v>
      </c>
    </row>
    <row r="65" spans="2:13" s="7" customFormat="1" outlineLevel="1">
      <c r="B65" s="21" t="str">
        <f>'Program Budget'!D27</f>
        <v>M&amp;E Officer</v>
      </c>
      <c r="C65" s="21"/>
      <c r="D65" s="116">
        <v>0.05</v>
      </c>
      <c r="E65" s="464"/>
      <c r="F65" s="22">
        <v>0.4</v>
      </c>
      <c r="G65" s="22">
        <v>0.05</v>
      </c>
      <c r="H65" s="22">
        <v>0.4</v>
      </c>
      <c r="I65" s="22">
        <v>0.05</v>
      </c>
      <c r="J65" s="464"/>
      <c r="K65" s="22">
        <v>0.05</v>
      </c>
      <c r="L65" s="464"/>
      <c r="M65" s="22">
        <f t="shared" si="6"/>
        <v>1</v>
      </c>
    </row>
    <row r="66" spans="2:13" s="7" customFormat="1" outlineLevel="1">
      <c r="B66" s="21" t="str">
        <f>'Program Budget'!D28</f>
        <v>Partnerships and Investment Director</v>
      </c>
      <c r="C66" s="21"/>
      <c r="D66" s="116">
        <v>0.05</v>
      </c>
      <c r="E66" s="464"/>
      <c r="F66" s="22">
        <v>0.4</v>
      </c>
      <c r="G66" s="22">
        <v>0.05</v>
      </c>
      <c r="H66" s="22">
        <v>0.4</v>
      </c>
      <c r="I66" s="22">
        <v>0.05</v>
      </c>
      <c r="J66" s="464"/>
      <c r="K66" s="22">
        <v>0.05</v>
      </c>
      <c r="L66" s="464"/>
      <c r="M66" s="22">
        <f t="shared" si="6"/>
        <v>1</v>
      </c>
    </row>
    <row r="67" spans="2:13" s="7" customFormat="1" outlineLevel="1">
      <c r="B67" s="21" t="str">
        <f>'Program Budget'!D29</f>
        <v>Partnerships and Investment Specialist</v>
      </c>
      <c r="C67" s="21"/>
      <c r="D67" s="116">
        <v>0</v>
      </c>
      <c r="E67" s="464"/>
      <c r="F67" s="22">
        <v>0.2</v>
      </c>
      <c r="G67" s="22">
        <v>0.2</v>
      </c>
      <c r="H67" s="22">
        <v>0.2</v>
      </c>
      <c r="I67" s="22">
        <v>0.2</v>
      </c>
      <c r="J67" s="464"/>
      <c r="K67" s="22">
        <v>0.2</v>
      </c>
      <c r="L67" s="464"/>
      <c r="M67" s="22">
        <f t="shared" si="6"/>
        <v>1</v>
      </c>
    </row>
    <row r="68" spans="2:13" s="7" customFormat="1" outlineLevel="1">
      <c r="B68" s="21" t="str">
        <f>'Program Budget'!D30</f>
        <v>Organizational Strengthening Specialist</v>
      </c>
      <c r="C68" s="21"/>
      <c r="D68" s="116">
        <v>0</v>
      </c>
      <c r="E68" s="464"/>
      <c r="F68" s="22">
        <v>0.5</v>
      </c>
      <c r="G68" s="22">
        <v>0</v>
      </c>
      <c r="H68" s="22">
        <v>0.5</v>
      </c>
      <c r="I68" s="22">
        <v>0</v>
      </c>
      <c r="J68" s="464"/>
      <c r="K68" s="22">
        <v>0</v>
      </c>
      <c r="L68" s="464"/>
      <c r="M68" s="22">
        <f t="shared" si="6"/>
        <v>1</v>
      </c>
    </row>
    <row r="69" spans="2:13" s="7" customFormat="1" outlineLevel="1">
      <c r="B69" s="21" t="str">
        <f>'Program Budget'!D31</f>
        <v>Value Chain Strengthening Director</v>
      </c>
      <c r="C69" s="21"/>
      <c r="D69" s="116">
        <v>0.05</v>
      </c>
      <c r="E69" s="464"/>
      <c r="F69" s="22">
        <v>0.05</v>
      </c>
      <c r="G69" s="22">
        <v>0.05</v>
      </c>
      <c r="H69" s="22">
        <v>0.05</v>
      </c>
      <c r="I69" s="22">
        <v>0.4</v>
      </c>
      <c r="J69" s="464"/>
      <c r="K69" s="22">
        <v>0.4</v>
      </c>
      <c r="L69" s="464"/>
      <c r="M69" s="22">
        <f t="shared" si="6"/>
        <v>1</v>
      </c>
    </row>
    <row r="70" spans="2:13" s="7" customFormat="1" outlineLevel="1">
      <c r="B70" s="21" t="str">
        <f>'Program Budget'!D32</f>
        <v>Communications Specialist</v>
      </c>
      <c r="C70" s="21"/>
      <c r="D70" s="116">
        <v>0.1</v>
      </c>
      <c r="E70" s="464"/>
      <c r="F70" s="22">
        <v>0.18</v>
      </c>
      <c r="G70" s="22">
        <v>0.18</v>
      </c>
      <c r="H70" s="22">
        <v>0.18</v>
      </c>
      <c r="I70" s="22">
        <v>0.18</v>
      </c>
      <c r="J70" s="464"/>
      <c r="K70" s="22">
        <v>0.18</v>
      </c>
      <c r="L70" s="464"/>
      <c r="M70" s="22">
        <f t="shared" si="6"/>
        <v>1</v>
      </c>
    </row>
    <row r="71" spans="2:13" s="7" customFormat="1" outlineLevel="1">
      <c r="B71" s="21" t="str">
        <f>'Program Budget'!D33</f>
        <v>Value Chain Specialist</v>
      </c>
      <c r="C71" s="21"/>
      <c r="D71" s="116">
        <v>0</v>
      </c>
      <c r="E71" s="464"/>
      <c r="F71" s="22">
        <v>0</v>
      </c>
      <c r="G71" s="22">
        <v>0</v>
      </c>
      <c r="H71" s="22">
        <v>0</v>
      </c>
      <c r="I71" s="22">
        <v>0.5</v>
      </c>
      <c r="J71" s="464"/>
      <c r="K71" s="22">
        <v>0.5</v>
      </c>
      <c r="L71" s="464"/>
      <c r="M71" s="22">
        <f t="shared" si="6"/>
        <v>1</v>
      </c>
    </row>
    <row r="72" spans="2:13" s="7" customFormat="1" outlineLevel="1">
      <c r="B72" s="21" t="str">
        <f>'Program Budget'!D34</f>
        <v>Contracts &amp; Compliance Director</v>
      </c>
      <c r="C72" s="21"/>
      <c r="D72" s="116">
        <v>0.1</v>
      </c>
      <c r="E72" s="464"/>
      <c r="F72" s="22">
        <v>0.18</v>
      </c>
      <c r="G72" s="22">
        <v>0.18</v>
      </c>
      <c r="H72" s="22">
        <v>0.18</v>
      </c>
      <c r="I72" s="22">
        <v>0.18</v>
      </c>
      <c r="J72" s="464"/>
      <c r="K72" s="22">
        <v>0.18</v>
      </c>
      <c r="L72" s="464"/>
      <c r="M72" s="22">
        <f t="shared" si="6"/>
        <v>1</v>
      </c>
    </row>
    <row r="73" spans="2:13" s="7" customFormat="1" outlineLevel="1">
      <c r="B73" s="21" t="str">
        <f>'Program Budget'!D35</f>
        <v>Grants &amp; Procurement Specialist (2)</v>
      </c>
      <c r="C73" s="21"/>
      <c r="D73" s="116">
        <v>0.1</v>
      </c>
      <c r="E73" s="464"/>
      <c r="F73" s="22">
        <v>0.25</v>
      </c>
      <c r="G73" s="22">
        <v>0.25</v>
      </c>
      <c r="H73" s="22">
        <v>0.25</v>
      </c>
      <c r="I73" s="22">
        <v>0</v>
      </c>
      <c r="J73" s="464"/>
      <c r="K73" s="22">
        <v>0.15</v>
      </c>
      <c r="L73" s="464"/>
      <c r="M73" s="22">
        <f t="shared" si="6"/>
        <v>1</v>
      </c>
    </row>
    <row r="74" spans="2:13" s="7" customFormat="1" outlineLevel="1">
      <c r="B74" s="21" t="str">
        <f>'Program Budget'!D36</f>
        <v xml:space="preserve">F&amp;A Director </v>
      </c>
      <c r="C74" s="21"/>
      <c r="D74" s="116">
        <v>0.15</v>
      </c>
      <c r="E74" s="464"/>
      <c r="F74" s="22">
        <v>0.2</v>
      </c>
      <c r="G74" s="22">
        <v>0.2</v>
      </c>
      <c r="H74" s="22">
        <v>0.15</v>
      </c>
      <c r="I74" s="22">
        <v>0.15</v>
      </c>
      <c r="J74" s="464"/>
      <c r="K74" s="22">
        <v>0.15</v>
      </c>
      <c r="L74" s="464"/>
      <c r="M74" s="22">
        <f t="shared" si="6"/>
        <v>1</v>
      </c>
    </row>
    <row r="75" spans="2:13" s="24" customFormat="1" outlineLevel="1">
      <c r="B75" s="21" t="str">
        <f>'Program Budget'!D37</f>
        <v>Accounting &amp; Finance Specialist</v>
      </c>
      <c r="C75" s="21"/>
      <c r="D75" s="116">
        <v>0.2</v>
      </c>
      <c r="E75" s="464"/>
      <c r="F75" s="22">
        <v>0.16</v>
      </c>
      <c r="G75" s="22">
        <v>0.16</v>
      </c>
      <c r="H75" s="22">
        <v>0.16</v>
      </c>
      <c r="I75" s="22">
        <v>0.16</v>
      </c>
      <c r="J75" s="464"/>
      <c r="K75" s="22">
        <v>0.16</v>
      </c>
      <c r="L75" s="464"/>
      <c r="M75" s="22">
        <f t="shared" si="6"/>
        <v>1</v>
      </c>
    </row>
    <row r="76" spans="2:13" s="24" customFormat="1" outlineLevel="1">
      <c r="B76" s="21" t="str">
        <f>'Program Budget'!D38</f>
        <v xml:space="preserve">Accountant </v>
      </c>
      <c r="C76" s="21"/>
      <c r="D76" s="116">
        <v>0.2</v>
      </c>
      <c r="E76" s="464"/>
      <c r="F76" s="22">
        <v>0.16</v>
      </c>
      <c r="G76" s="22">
        <v>0.16</v>
      </c>
      <c r="H76" s="22">
        <v>0.16</v>
      </c>
      <c r="I76" s="22">
        <v>0.16</v>
      </c>
      <c r="J76" s="464"/>
      <c r="K76" s="22">
        <v>0.16</v>
      </c>
      <c r="L76" s="464"/>
      <c r="M76" s="22">
        <f t="shared" si="6"/>
        <v>1</v>
      </c>
    </row>
    <row r="77" spans="2:13" s="7" customFormat="1" outlineLevel="1">
      <c r="B77" s="21" t="str">
        <f>'Program Budget'!D39</f>
        <v>Finance &amp; Admin Coordinator - 50% LOE</v>
      </c>
      <c r="C77" s="21"/>
      <c r="D77" s="116">
        <v>0.1</v>
      </c>
      <c r="E77" s="464"/>
      <c r="F77" s="22">
        <v>0.1</v>
      </c>
      <c r="G77" s="22">
        <v>0.1</v>
      </c>
      <c r="H77" s="22">
        <v>0.1</v>
      </c>
      <c r="I77" s="22">
        <v>0.05</v>
      </c>
      <c r="J77" s="464"/>
      <c r="K77" s="22">
        <v>0.05</v>
      </c>
      <c r="L77" s="464"/>
      <c r="M77" s="22">
        <f t="shared" si="6"/>
        <v>0.5</v>
      </c>
    </row>
    <row r="78" spans="2:13" s="7" customFormat="1" outlineLevel="1">
      <c r="B78" s="21" t="str">
        <f>'Program Budget'!D40</f>
        <v xml:space="preserve">Administrative Officer </v>
      </c>
      <c r="C78" s="21"/>
      <c r="D78" s="116">
        <v>0.3</v>
      </c>
      <c r="E78" s="464"/>
      <c r="F78" s="22">
        <v>0.1</v>
      </c>
      <c r="G78" s="22">
        <v>0.3</v>
      </c>
      <c r="H78" s="22">
        <v>0.1</v>
      </c>
      <c r="I78" s="22">
        <v>0.1</v>
      </c>
      <c r="J78" s="464"/>
      <c r="K78" s="22">
        <v>0.1</v>
      </c>
      <c r="L78" s="464"/>
      <c r="M78" s="22">
        <f t="shared" ref="M78:M80" si="7">SUM(D78:L78)</f>
        <v>0.99999999999999989</v>
      </c>
    </row>
    <row r="79" spans="2:13" s="7" customFormat="1" outlineLevel="1">
      <c r="B79" s="21" t="str">
        <f>'Program Budget'!D41</f>
        <v>Human Resource Manager</v>
      </c>
      <c r="C79" s="21"/>
      <c r="D79" s="116">
        <v>0.3</v>
      </c>
      <c r="E79" s="464"/>
      <c r="F79" s="22">
        <v>0.1</v>
      </c>
      <c r="G79" s="22">
        <v>0.3</v>
      </c>
      <c r="H79" s="22">
        <v>0.1</v>
      </c>
      <c r="I79" s="22">
        <v>0.1</v>
      </c>
      <c r="J79" s="464"/>
      <c r="K79" s="22">
        <v>0.1</v>
      </c>
      <c r="L79" s="464"/>
      <c r="M79" s="22">
        <f t="shared" si="7"/>
        <v>0.99999999999999989</v>
      </c>
    </row>
    <row r="80" spans="2:13" s="7" customFormat="1" outlineLevel="1">
      <c r="B80" s="21" t="str">
        <f>'Program Budget'!D42</f>
        <v>Human Resource Specialist</v>
      </c>
      <c r="C80" s="21"/>
      <c r="D80" s="116">
        <v>0.3</v>
      </c>
      <c r="E80" s="464"/>
      <c r="F80" s="22">
        <v>0.1</v>
      </c>
      <c r="G80" s="22">
        <v>0.3</v>
      </c>
      <c r="H80" s="22">
        <v>0.1</v>
      </c>
      <c r="I80" s="22">
        <v>0.1</v>
      </c>
      <c r="J80" s="464"/>
      <c r="K80" s="22">
        <v>0.1</v>
      </c>
      <c r="L80" s="464"/>
      <c r="M80" s="22">
        <f t="shared" si="7"/>
        <v>0.99999999999999989</v>
      </c>
    </row>
    <row r="81" spans="2:13" s="7" customFormat="1" outlineLevel="1">
      <c r="B81" s="19" t="s">
        <v>691</v>
      </c>
      <c r="C81" s="19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2:13" s="7" customFormat="1" outlineLevel="1">
      <c r="B82" s="21" t="str">
        <f>'Program Budget'!D44</f>
        <v xml:space="preserve">Senior Program Director </v>
      </c>
      <c r="C82" s="21"/>
      <c r="D82" s="22">
        <v>0.25</v>
      </c>
      <c r="E82" s="22"/>
      <c r="F82" s="22"/>
      <c r="G82" s="22"/>
      <c r="H82" s="22"/>
      <c r="I82" s="22"/>
      <c r="J82" s="22"/>
      <c r="K82" s="22"/>
      <c r="L82" s="22"/>
      <c r="M82" s="22">
        <f t="shared" ref="M82" si="8">SUM(D82:L82)</f>
        <v>0.25</v>
      </c>
    </row>
    <row r="83" spans="2:13" s="7" customFormat="1" outlineLevel="1">
      <c r="B83" s="21" t="str">
        <f>'Program Budget'!D45</f>
        <v>Associate Director</v>
      </c>
      <c r="C83" s="21"/>
      <c r="D83" s="22">
        <v>0.65</v>
      </c>
      <c r="E83" s="22"/>
      <c r="F83" s="22"/>
      <c r="G83" s="22"/>
      <c r="H83" s="22"/>
      <c r="I83" s="22"/>
      <c r="J83" s="22"/>
      <c r="K83" s="22"/>
      <c r="L83" s="22"/>
      <c r="M83" s="22">
        <f t="shared" ref="M83:M84" si="9">SUM(D83:L83)</f>
        <v>0.65</v>
      </c>
    </row>
    <row r="84" spans="2:13" s="7" customFormat="1" outlineLevel="1">
      <c r="B84" s="21" t="str">
        <f>'Program Budget'!D46</f>
        <v xml:space="preserve">Senior Program Officer </v>
      </c>
      <c r="C84" s="21"/>
      <c r="D84" s="22">
        <v>0.61</v>
      </c>
      <c r="E84" s="22"/>
      <c r="F84" s="22"/>
      <c r="G84" s="22"/>
      <c r="H84" s="22"/>
      <c r="I84" s="22"/>
      <c r="J84" s="22"/>
      <c r="K84" s="22"/>
      <c r="L84" s="22"/>
      <c r="M84" s="22">
        <f t="shared" si="9"/>
        <v>0.61</v>
      </c>
    </row>
    <row r="85" spans="2:13" s="7" customFormat="1" outlineLevel="1">
      <c r="B85" s="26" t="s">
        <v>129</v>
      </c>
      <c r="C85" s="26"/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2:13">
      <c r="D86" s="10"/>
      <c r="E86" s="6"/>
      <c r="G86" s="6"/>
      <c r="H86" s="10"/>
      <c r="I86" s="10"/>
      <c r="J86" s="10"/>
      <c r="K86" s="10"/>
      <c r="L86" s="10"/>
      <c r="M86" s="10"/>
    </row>
    <row r="87" spans="2:13" ht="61.5">
      <c r="B87" s="4"/>
      <c r="C87" s="4"/>
      <c r="D87" s="11" t="str">
        <f t="shared" ref="D87:L87" si="10">D47</f>
        <v>Administration</v>
      </c>
      <c r="E87" s="11" t="str">
        <f t="shared" si="10"/>
        <v>Activity 1: Value Chain Development (Value Chain Analysis, Carbon Assessment, and Living Incomes)</v>
      </c>
      <c r="F87" s="11" t="str">
        <f t="shared" si="10"/>
        <v>Activity 2: Producer Organization Development &amp; Commercialization</v>
      </c>
      <c r="G87" s="11" t="str">
        <f t="shared" si="10"/>
        <v>Activity 3: Agriculture Extension and Production Support</v>
      </c>
      <c r="H87" s="11" t="str">
        <f t="shared" si="10"/>
        <v>Activity 4: Post-Harvest Aggregation &amp; Processing</v>
      </c>
      <c r="I87" s="11" t="str">
        <f t="shared" si="10"/>
        <v>Activity 5: Ensure Financial Service/ Capital Access for Actors in the Value Chains</v>
      </c>
      <c r="J87" s="11" t="str">
        <f t="shared" si="10"/>
        <v>Activity 6: Innovation and Job Creation Through Youth Engagement</v>
      </c>
      <c r="K87" s="11" t="str">
        <f t="shared" si="10"/>
        <v>Activity 7: Establishment of Regional Community of Practice</v>
      </c>
      <c r="L87" s="11" t="str">
        <f t="shared" si="10"/>
        <v>Activity 8: Financial Services: Endowment Establishment, Fundraising and Management</v>
      </c>
      <c r="M87" s="11" t="s">
        <v>693</v>
      </c>
    </row>
    <row r="88" spans="2:13" s="16" customFormat="1" ht="12.3">
      <c r="B88" s="13" t="s">
        <v>697</v>
      </c>
      <c r="C88" s="13"/>
      <c r="D88" s="14" t="s">
        <v>688</v>
      </c>
      <c r="E88" s="14" t="s">
        <v>688</v>
      </c>
      <c r="F88" s="14" t="s">
        <v>687</v>
      </c>
      <c r="G88" s="14" t="s">
        <v>687</v>
      </c>
      <c r="H88" s="14" t="s">
        <v>687</v>
      </c>
      <c r="I88" s="14"/>
      <c r="J88" s="14"/>
      <c r="K88" s="14"/>
      <c r="L88" s="14"/>
      <c r="M88" s="14" t="s">
        <v>687</v>
      </c>
    </row>
    <row r="89" spans="2:13" s="7" customFormat="1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2:13" s="7" customFormat="1" outlineLevel="1">
      <c r="B90" s="19" t="s">
        <v>695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2:13" s="7" customFormat="1" outlineLevel="1">
      <c r="B91" s="21" t="str">
        <f>'Program Budget'!D13</f>
        <v>Key Personnel: Chief of Party</v>
      </c>
      <c r="C91" s="21"/>
      <c r="D91" s="116">
        <v>0.05</v>
      </c>
      <c r="E91" s="464"/>
      <c r="F91" s="116">
        <v>0.19</v>
      </c>
      <c r="G91" s="116">
        <v>0.19</v>
      </c>
      <c r="H91" s="116">
        <v>0.19</v>
      </c>
      <c r="I91" s="116">
        <v>0.19</v>
      </c>
      <c r="J91" s="464"/>
      <c r="K91" s="22">
        <v>0.19</v>
      </c>
      <c r="L91" s="464"/>
      <c r="M91" s="22">
        <f>SUM(D91:L91)</f>
        <v>1</v>
      </c>
    </row>
    <row r="92" spans="2:13" s="7" customFormat="1" outlineLevel="1">
      <c r="B92" s="21" t="str">
        <f>'Program Budget'!D14</f>
        <v>Deputy Chief of Party / Value Chain Strengthening Director</v>
      </c>
      <c r="C92" s="21"/>
      <c r="D92" s="116">
        <v>0.25</v>
      </c>
      <c r="E92" s="464"/>
      <c r="F92" s="116">
        <v>0.15</v>
      </c>
      <c r="G92" s="116">
        <v>0.15</v>
      </c>
      <c r="H92" s="116">
        <v>0.15</v>
      </c>
      <c r="I92" s="116">
        <v>0.15</v>
      </c>
      <c r="J92" s="464"/>
      <c r="K92" s="22">
        <v>0.15</v>
      </c>
      <c r="L92" s="464"/>
      <c r="M92" s="22">
        <f t="shared" ref="M92:M93" si="11">SUM(D92:L92)</f>
        <v>1</v>
      </c>
    </row>
    <row r="93" spans="2:13" s="7" customFormat="1" outlineLevel="1">
      <c r="B93" s="21" t="str">
        <f>'Program Budget'!D15</f>
        <v>Key Personnel: Technical Director</v>
      </c>
      <c r="C93" s="21"/>
      <c r="D93" s="116">
        <v>0.05</v>
      </c>
      <c r="E93" s="464"/>
      <c r="F93" s="116">
        <v>0.2</v>
      </c>
      <c r="G93" s="116">
        <v>0.5</v>
      </c>
      <c r="H93" s="116">
        <v>0.2</v>
      </c>
      <c r="I93" s="116">
        <v>0.05</v>
      </c>
      <c r="J93" s="464"/>
      <c r="K93" s="22">
        <v>0</v>
      </c>
      <c r="L93" s="464"/>
      <c r="M93" s="22">
        <f t="shared" si="11"/>
        <v>1</v>
      </c>
    </row>
    <row r="94" spans="2:13" s="7" customFormat="1" outlineLevel="1">
      <c r="B94" s="21" t="str">
        <f>'Program Budget'!D16</f>
        <v>Activity Lead Agribusiness Senior Specialist (Cacao)</v>
      </c>
      <c r="C94" s="21"/>
      <c r="D94" s="116">
        <v>0</v>
      </c>
      <c r="E94" s="464"/>
      <c r="F94" s="116">
        <v>0.1</v>
      </c>
      <c r="G94" s="116">
        <v>0.8</v>
      </c>
      <c r="H94" s="116">
        <v>0.1</v>
      </c>
      <c r="I94" s="116">
        <v>0</v>
      </c>
      <c r="J94" s="464"/>
      <c r="K94" s="22">
        <v>0</v>
      </c>
      <c r="L94" s="464"/>
      <c r="M94" s="22">
        <f t="shared" ref="M94:M117" si="12">SUM(D94:L94)</f>
        <v>1</v>
      </c>
    </row>
    <row r="95" spans="2:13" s="7" customFormat="1" outlineLevel="1">
      <c r="B95" s="21" t="str">
        <f>'Program Budget'!D17</f>
        <v>Cacao Field Officer</v>
      </c>
      <c r="C95" s="21"/>
      <c r="D95" s="116">
        <v>0</v>
      </c>
      <c r="E95" s="464"/>
      <c r="F95" s="116">
        <v>0</v>
      </c>
      <c r="G95" s="116">
        <v>1</v>
      </c>
      <c r="H95" s="116">
        <v>0</v>
      </c>
      <c r="I95" s="116">
        <v>0</v>
      </c>
      <c r="J95" s="464"/>
      <c r="K95" s="22">
        <v>0</v>
      </c>
      <c r="L95" s="464"/>
      <c r="M95" s="22">
        <f t="shared" si="12"/>
        <v>1</v>
      </c>
    </row>
    <row r="96" spans="2:13" s="7" customFormat="1" outlineLevel="1">
      <c r="B96" s="21" t="str">
        <f>'Program Budget'!D18</f>
        <v>Cacao &amp; Complementary Crop Technical Field Leader (2)</v>
      </c>
      <c r="C96" s="21"/>
      <c r="D96" s="116">
        <v>0</v>
      </c>
      <c r="E96" s="464"/>
      <c r="F96" s="116">
        <v>0</v>
      </c>
      <c r="G96" s="116">
        <v>1</v>
      </c>
      <c r="H96" s="116">
        <v>0</v>
      </c>
      <c r="I96" s="116">
        <v>0</v>
      </c>
      <c r="J96" s="464"/>
      <c r="K96" s="22">
        <v>0</v>
      </c>
      <c r="L96" s="464"/>
      <c r="M96" s="22">
        <f t="shared" si="12"/>
        <v>1</v>
      </c>
    </row>
    <row r="97" spans="2:13" s="7" customFormat="1" outlineLevel="1">
      <c r="B97" s="21" t="str">
        <f>'Program Budget'!D19</f>
        <v>Extension Agents (45 in Y5 and 25 in Y6)</v>
      </c>
      <c r="C97" s="21"/>
      <c r="D97" s="116">
        <v>0</v>
      </c>
      <c r="E97" s="464"/>
      <c r="F97" s="116">
        <v>0</v>
      </c>
      <c r="G97" s="116">
        <v>1</v>
      </c>
      <c r="H97" s="116">
        <v>0</v>
      </c>
      <c r="I97" s="116">
        <v>0</v>
      </c>
      <c r="J97" s="464"/>
      <c r="K97" s="22">
        <v>0</v>
      </c>
      <c r="L97" s="464"/>
      <c r="M97" s="22">
        <f t="shared" si="12"/>
        <v>1</v>
      </c>
    </row>
    <row r="98" spans="2:13" s="7" customFormat="1" outlineLevel="1">
      <c r="B98" s="21" t="str">
        <f>'Program Budget'!D20</f>
        <v>Activity Lead Agribusiness Senior Specialist (Complementary Crop)</v>
      </c>
      <c r="C98" s="21"/>
      <c r="D98" s="116">
        <v>0</v>
      </c>
      <c r="E98" s="464"/>
      <c r="F98" s="116">
        <v>0</v>
      </c>
      <c r="G98" s="116">
        <v>1</v>
      </c>
      <c r="H98" s="116">
        <v>0</v>
      </c>
      <c r="I98" s="116">
        <v>0</v>
      </c>
      <c r="J98" s="464"/>
      <c r="K98" s="22">
        <v>0</v>
      </c>
      <c r="L98" s="464"/>
      <c r="M98" s="22">
        <f t="shared" si="12"/>
        <v>1</v>
      </c>
    </row>
    <row r="99" spans="2:13" s="7" customFormat="1" outlineLevel="1">
      <c r="B99" s="21" t="str">
        <f>'Program Budget'!D21</f>
        <v>Complementary Crops Field Officer</v>
      </c>
      <c r="C99" s="21"/>
      <c r="D99" s="116">
        <v>0</v>
      </c>
      <c r="E99" s="464"/>
      <c r="F99" s="116">
        <v>0</v>
      </c>
      <c r="G99" s="116">
        <v>1</v>
      </c>
      <c r="H99" s="116">
        <v>0</v>
      </c>
      <c r="I99" s="116">
        <v>0</v>
      </c>
      <c r="J99" s="464"/>
      <c r="K99" s="22">
        <v>0</v>
      </c>
      <c r="L99" s="464"/>
      <c r="M99" s="22">
        <f t="shared" si="12"/>
        <v>1</v>
      </c>
    </row>
    <row r="100" spans="2:13" s="7" customFormat="1" outlineLevel="1">
      <c r="B100" s="21" t="str">
        <f>'Program Budget'!D22</f>
        <v>EPSEAS Specialist</v>
      </c>
      <c r="C100" s="21"/>
      <c r="D100" s="116">
        <v>0</v>
      </c>
      <c r="E100" s="464"/>
      <c r="F100" s="116">
        <v>0</v>
      </c>
      <c r="G100" s="116">
        <v>1</v>
      </c>
      <c r="H100" s="116">
        <v>0</v>
      </c>
      <c r="I100" s="116">
        <v>0</v>
      </c>
      <c r="J100" s="464"/>
      <c r="K100" s="22">
        <v>0</v>
      </c>
      <c r="L100" s="464"/>
      <c r="M100" s="22">
        <f t="shared" si="12"/>
        <v>1</v>
      </c>
    </row>
    <row r="101" spans="2:13" s="7" customFormat="1" outlineLevel="1">
      <c r="B101" s="21" t="str">
        <f>'Program Budget'!D23</f>
        <v>Extension Agents for EPSEAS (20 in Y6 and 25 in Y7)</v>
      </c>
      <c r="C101" s="21"/>
      <c r="D101" s="116">
        <v>0</v>
      </c>
      <c r="E101" s="464"/>
      <c r="F101" s="116">
        <v>0</v>
      </c>
      <c r="G101" s="116">
        <v>1</v>
      </c>
      <c r="H101" s="116">
        <v>0</v>
      </c>
      <c r="I101" s="116">
        <v>0</v>
      </c>
      <c r="J101" s="464"/>
      <c r="K101" s="22">
        <v>0</v>
      </c>
      <c r="L101" s="464"/>
      <c r="M101" s="22">
        <f t="shared" si="12"/>
        <v>1</v>
      </c>
    </row>
    <row r="102" spans="2:13" s="7" customFormat="1" outlineLevel="1">
      <c r="B102" s="21" t="str">
        <f>'Program Budget'!D24</f>
        <v xml:space="preserve">Senior M&amp;E Director </v>
      </c>
      <c r="C102" s="21"/>
      <c r="D102" s="116">
        <v>0.05</v>
      </c>
      <c r="E102" s="464"/>
      <c r="F102" s="116">
        <v>0.19</v>
      </c>
      <c r="G102" s="116">
        <v>0.19</v>
      </c>
      <c r="H102" s="116">
        <v>0.19</v>
      </c>
      <c r="I102" s="116">
        <v>0.19</v>
      </c>
      <c r="J102" s="464"/>
      <c r="K102" s="22">
        <v>0.19</v>
      </c>
      <c r="L102" s="464"/>
      <c r="M102" s="22">
        <f t="shared" si="12"/>
        <v>1</v>
      </c>
    </row>
    <row r="103" spans="2:13" s="7" customFormat="1" outlineLevel="1">
      <c r="B103" s="21" t="str">
        <f>'Program Budget'!D25</f>
        <v>Senior M&amp;E Specialist</v>
      </c>
      <c r="C103" s="21"/>
      <c r="D103" s="116">
        <v>0.05</v>
      </c>
      <c r="E103" s="464"/>
      <c r="F103" s="116">
        <v>0.19</v>
      </c>
      <c r="G103" s="116">
        <v>0.19</v>
      </c>
      <c r="H103" s="116">
        <v>0.19</v>
      </c>
      <c r="I103" s="116">
        <v>0.19</v>
      </c>
      <c r="J103" s="464"/>
      <c r="K103" s="22">
        <v>0.19</v>
      </c>
      <c r="L103" s="464"/>
      <c r="M103" s="22">
        <f t="shared" si="12"/>
        <v>1</v>
      </c>
    </row>
    <row r="104" spans="2:13" s="7" customFormat="1" outlineLevel="1">
      <c r="B104" s="21" t="str">
        <f>'Program Budget'!D26</f>
        <v>M&amp;E Specialist</v>
      </c>
      <c r="C104" s="21"/>
      <c r="D104" s="116">
        <v>0.05</v>
      </c>
      <c r="E104" s="464"/>
      <c r="F104" s="116">
        <v>0.19</v>
      </c>
      <c r="G104" s="116">
        <v>0.19</v>
      </c>
      <c r="H104" s="116">
        <v>0.19</v>
      </c>
      <c r="I104" s="116">
        <v>0.19</v>
      </c>
      <c r="J104" s="464"/>
      <c r="K104" s="22">
        <v>0.19</v>
      </c>
      <c r="L104" s="464"/>
      <c r="M104" s="22">
        <f t="shared" si="12"/>
        <v>1</v>
      </c>
    </row>
    <row r="105" spans="2:13" s="7" customFormat="1" outlineLevel="1">
      <c r="B105" s="21" t="str">
        <f>'Program Budget'!D27</f>
        <v>M&amp;E Officer</v>
      </c>
      <c r="C105" s="21"/>
      <c r="D105" s="116">
        <v>0.05</v>
      </c>
      <c r="E105" s="464"/>
      <c r="F105" s="116">
        <v>0.4</v>
      </c>
      <c r="G105" s="116">
        <v>0.05</v>
      </c>
      <c r="H105" s="116">
        <v>0.4</v>
      </c>
      <c r="I105" s="116">
        <v>0.05</v>
      </c>
      <c r="J105" s="464"/>
      <c r="K105" s="22">
        <v>0.05</v>
      </c>
      <c r="L105" s="464"/>
      <c r="M105" s="22">
        <f t="shared" si="12"/>
        <v>1</v>
      </c>
    </row>
    <row r="106" spans="2:13" s="7" customFormat="1" outlineLevel="1">
      <c r="B106" s="21" t="str">
        <f>'Program Budget'!D28</f>
        <v>Partnerships and Investment Director</v>
      </c>
      <c r="C106" s="21"/>
      <c r="D106" s="116">
        <v>0.05</v>
      </c>
      <c r="E106" s="464"/>
      <c r="F106" s="116">
        <v>0.4</v>
      </c>
      <c r="G106" s="116">
        <v>0.05</v>
      </c>
      <c r="H106" s="116">
        <v>0.4</v>
      </c>
      <c r="I106" s="116">
        <v>0.05</v>
      </c>
      <c r="J106" s="464"/>
      <c r="K106" s="22">
        <v>0.05</v>
      </c>
      <c r="L106" s="464"/>
      <c r="M106" s="22">
        <f t="shared" si="12"/>
        <v>1</v>
      </c>
    </row>
    <row r="107" spans="2:13" s="7" customFormat="1" outlineLevel="1">
      <c r="B107" s="21" t="str">
        <f>'Program Budget'!D29</f>
        <v>Partnerships and Investment Specialist</v>
      </c>
      <c r="C107" s="21"/>
      <c r="D107" s="116">
        <v>0</v>
      </c>
      <c r="E107" s="464"/>
      <c r="F107" s="116">
        <v>0.2</v>
      </c>
      <c r="G107" s="116">
        <v>0.2</v>
      </c>
      <c r="H107" s="116">
        <v>0.2</v>
      </c>
      <c r="I107" s="116">
        <v>0.2</v>
      </c>
      <c r="J107" s="464"/>
      <c r="K107" s="22">
        <v>0.2</v>
      </c>
      <c r="L107" s="464"/>
      <c r="M107" s="22">
        <f t="shared" si="12"/>
        <v>1</v>
      </c>
    </row>
    <row r="108" spans="2:13" s="7" customFormat="1" outlineLevel="1">
      <c r="B108" s="21" t="str">
        <f>'Program Budget'!D30</f>
        <v>Organizational Strengthening Specialist</v>
      </c>
      <c r="C108" s="21"/>
      <c r="D108" s="116">
        <v>0</v>
      </c>
      <c r="E108" s="464"/>
      <c r="F108" s="116">
        <v>0.5</v>
      </c>
      <c r="G108" s="116">
        <v>0</v>
      </c>
      <c r="H108" s="116">
        <v>0.5</v>
      </c>
      <c r="I108" s="116">
        <v>0</v>
      </c>
      <c r="J108" s="464"/>
      <c r="K108" s="22">
        <v>0</v>
      </c>
      <c r="L108" s="464"/>
      <c r="M108" s="22">
        <f t="shared" si="12"/>
        <v>1</v>
      </c>
    </row>
    <row r="109" spans="2:13" s="7" customFormat="1" outlineLevel="1">
      <c r="B109" s="21" t="str">
        <f>'Program Budget'!D31</f>
        <v>Value Chain Strengthening Director</v>
      </c>
      <c r="C109" s="21"/>
      <c r="D109" s="116">
        <v>0.05</v>
      </c>
      <c r="E109" s="464"/>
      <c r="F109" s="116">
        <v>0.05</v>
      </c>
      <c r="G109" s="116">
        <v>0.05</v>
      </c>
      <c r="H109" s="116">
        <v>0.05</v>
      </c>
      <c r="I109" s="116">
        <v>0.4</v>
      </c>
      <c r="J109" s="464"/>
      <c r="K109" s="22">
        <v>0.4</v>
      </c>
      <c r="L109" s="464"/>
      <c r="M109" s="22">
        <f t="shared" si="12"/>
        <v>1</v>
      </c>
    </row>
    <row r="110" spans="2:13" s="7" customFormat="1" outlineLevel="1">
      <c r="B110" s="21" t="str">
        <f>'Program Budget'!D32</f>
        <v>Communications Specialist</v>
      </c>
      <c r="C110" s="21"/>
      <c r="D110" s="116">
        <v>0.1</v>
      </c>
      <c r="E110" s="464"/>
      <c r="F110" s="116">
        <v>0.18</v>
      </c>
      <c r="G110" s="116">
        <v>0.18</v>
      </c>
      <c r="H110" s="116">
        <v>0.18</v>
      </c>
      <c r="I110" s="116">
        <v>0.18</v>
      </c>
      <c r="J110" s="464"/>
      <c r="K110" s="22">
        <v>0.18</v>
      </c>
      <c r="L110" s="464"/>
      <c r="M110" s="22">
        <f t="shared" si="12"/>
        <v>1</v>
      </c>
    </row>
    <row r="111" spans="2:13" s="7" customFormat="1" outlineLevel="1">
      <c r="B111" s="21" t="str">
        <f>'Program Budget'!D33</f>
        <v>Value Chain Specialist</v>
      </c>
      <c r="C111" s="21"/>
      <c r="D111" s="116">
        <v>0</v>
      </c>
      <c r="E111" s="464"/>
      <c r="F111" s="116">
        <v>0</v>
      </c>
      <c r="G111" s="116">
        <v>0</v>
      </c>
      <c r="H111" s="116">
        <v>0</v>
      </c>
      <c r="I111" s="116">
        <v>0.5</v>
      </c>
      <c r="J111" s="464"/>
      <c r="K111" s="22">
        <v>0.5</v>
      </c>
      <c r="L111" s="464"/>
      <c r="M111" s="22">
        <f t="shared" si="12"/>
        <v>1</v>
      </c>
    </row>
    <row r="112" spans="2:13" s="7" customFormat="1" outlineLevel="1">
      <c r="B112" s="21" t="str">
        <f>'Program Budget'!D34</f>
        <v>Contracts &amp; Compliance Director</v>
      </c>
      <c r="C112" s="21"/>
      <c r="D112" s="116">
        <v>0.1</v>
      </c>
      <c r="E112" s="464"/>
      <c r="F112" s="116">
        <v>0.18</v>
      </c>
      <c r="G112" s="116">
        <v>0.18</v>
      </c>
      <c r="H112" s="116">
        <v>0.18</v>
      </c>
      <c r="I112" s="116">
        <v>0.18</v>
      </c>
      <c r="J112" s="464"/>
      <c r="K112" s="22">
        <v>0.18</v>
      </c>
      <c r="L112" s="464"/>
      <c r="M112" s="22">
        <f t="shared" si="12"/>
        <v>1</v>
      </c>
    </row>
    <row r="113" spans="2:13" s="7" customFormat="1" outlineLevel="1">
      <c r="B113" s="21" t="str">
        <f>'Program Budget'!D35</f>
        <v>Grants &amp; Procurement Specialist (2)</v>
      </c>
      <c r="C113" s="21"/>
      <c r="D113" s="116">
        <v>0.1</v>
      </c>
      <c r="E113" s="464"/>
      <c r="F113" s="22">
        <v>0.25</v>
      </c>
      <c r="G113" s="22">
        <v>0.25</v>
      </c>
      <c r="H113" s="22">
        <v>0.25</v>
      </c>
      <c r="I113" s="22">
        <v>0</v>
      </c>
      <c r="J113" s="464"/>
      <c r="K113" s="22">
        <v>0.15</v>
      </c>
      <c r="L113" s="464"/>
      <c r="M113" s="22">
        <f t="shared" si="12"/>
        <v>1</v>
      </c>
    </row>
    <row r="114" spans="2:13" s="7" customFormat="1" outlineLevel="1">
      <c r="B114" s="21" t="str">
        <f>'Program Budget'!D36</f>
        <v xml:space="preserve">F&amp;A Director </v>
      </c>
      <c r="C114" s="21"/>
      <c r="D114" s="116">
        <v>0.15</v>
      </c>
      <c r="E114" s="464"/>
      <c r="F114" s="22">
        <v>0.2</v>
      </c>
      <c r="G114" s="22">
        <v>0.2</v>
      </c>
      <c r="H114" s="22">
        <v>0.15</v>
      </c>
      <c r="I114" s="22">
        <v>0.15</v>
      </c>
      <c r="J114" s="464"/>
      <c r="K114" s="22">
        <v>0.15</v>
      </c>
      <c r="L114" s="464"/>
      <c r="M114" s="22">
        <f t="shared" si="12"/>
        <v>1</v>
      </c>
    </row>
    <row r="115" spans="2:13" s="24" customFormat="1" outlineLevel="1">
      <c r="B115" s="21" t="str">
        <f>'Program Budget'!D37</f>
        <v>Accounting &amp; Finance Specialist</v>
      </c>
      <c r="C115" s="21"/>
      <c r="D115" s="116">
        <v>0.2</v>
      </c>
      <c r="E115" s="464"/>
      <c r="F115" s="116">
        <v>0.16</v>
      </c>
      <c r="G115" s="116">
        <v>0.16</v>
      </c>
      <c r="H115" s="116">
        <v>0.16</v>
      </c>
      <c r="I115" s="116">
        <v>0.16</v>
      </c>
      <c r="J115" s="464"/>
      <c r="K115" s="22">
        <v>0.16</v>
      </c>
      <c r="L115" s="464"/>
      <c r="M115" s="22">
        <f t="shared" si="12"/>
        <v>1</v>
      </c>
    </row>
    <row r="116" spans="2:13" s="24" customFormat="1" outlineLevel="1">
      <c r="B116" s="21" t="str">
        <f>'Program Budget'!D38</f>
        <v xml:space="preserve">Accountant </v>
      </c>
      <c r="C116" s="21"/>
      <c r="D116" s="116">
        <v>0.2</v>
      </c>
      <c r="E116" s="464"/>
      <c r="F116" s="116">
        <v>0.16</v>
      </c>
      <c r="G116" s="116">
        <v>0.16</v>
      </c>
      <c r="H116" s="116">
        <v>0.16</v>
      </c>
      <c r="I116" s="116">
        <v>0.16</v>
      </c>
      <c r="J116" s="464"/>
      <c r="K116" s="22">
        <v>0.16</v>
      </c>
      <c r="L116" s="464"/>
      <c r="M116" s="22">
        <f t="shared" si="12"/>
        <v>1</v>
      </c>
    </row>
    <row r="117" spans="2:13" s="7" customFormat="1" outlineLevel="1">
      <c r="B117" s="21" t="str">
        <f>'Program Budget'!D39</f>
        <v>Finance &amp; Admin Coordinator - 50% LOE</v>
      </c>
      <c r="C117" s="21"/>
      <c r="D117" s="116">
        <v>0.1</v>
      </c>
      <c r="E117" s="464"/>
      <c r="F117" s="22">
        <v>0.1</v>
      </c>
      <c r="G117" s="22">
        <v>0.1</v>
      </c>
      <c r="H117" s="22">
        <v>0.1</v>
      </c>
      <c r="I117" s="22">
        <v>0.05</v>
      </c>
      <c r="J117" s="464"/>
      <c r="K117" s="22">
        <v>0.05</v>
      </c>
      <c r="L117" s="464"/>
      <c r="M117" s="22">
        <f t="shared" si="12"/>
        <v>0.5</v>
      </c>
    </row>
    <row r="118" spans="2:13" s="7" customFormat="1" outlineLevel="1">
      <c r="B118" s="21" t="str">
        <f>'Program Budget'!D40</f>
        <v xml:space="preserve">Administrative Officer </v>
      </c>
      <c r="C118" s="21"/>
      <c r="D118" s="116">
        <v>0.3</v>
      </c>
      <c r="E118" s="464"/>
      <c r="F118" s="116">
        <v>0.1</v>
      </c>
      <c r="G118" s="116">
        <v>0.3</v>
      </c>
      <c r="H118" s="116">
        <v>0.1</v>
      </c>
      <c r="I118" s="116">
        <v>0.1</v>
      </c>
      <c r="J118" s="464"/>
      <c r="K118" s="22">
        <v>0.1</v>
      </c>
      <c r="L118" s="464"/>
      <c r="M118" s="22">
        <f t="shared" ref="M118:M120" si="13">SUM(D118:L118)</f>
        <v>0.99999999999999989</v>
      </c>
    </row>
    <row r="119" spans="2:13" s="7" customFormat="1" outlineLevel="1">
      <c r="B119" s="21" t="str">
        <f>'Program Budget'!D41</f>
        <v>Human Resource Manager</v>
      </c>
      <c r="C119" s="21"/>
      <c r="D119" s="116">
        <v>0.3</v>
      </c>
      <c r="E119" s="464"/>
      <c r="F119" s="116">
        <v>0.1</v>
      </c>
      <c r="G119" s="116">
        <v>0.3</v>
      </c>
      <c r="H119" s="116">
        <v>0.1</v>
      </c>
      <c r="I119" s="116">
        <v>0.1</v>
      </c>
      <c r="J119" s="464"/>
      <c r="K119" s="22">
        <v>0.1</v>
      </c>
      <c r="L119" s="464"/>
      <c r="M119" s="22">
        <f t="shared" si="13"/>
        <v>0.99999999999999989</v>
      </c>
    </row>
    <row r="120" spans="2:13" s="7" customFormat="1" outlineLevel="1">
      <c r="B120" s="21" t="str">
        <f>'Program Budget'!D42</f>
        <v>Human Resource Specialist</v>
      </c>
      <c r="C120" s="21"/>
      <c r="D120" s="116">
        <v>0.3</v>
      </c>
      <c r="E120" s="464"/>
      <c r="F120" s="116">
        <v>0.1</v>
      </c>
      <c r="G120" s="116">
        <v>0.3</v>
      </c>
      <c r="H120" s="116">
        <v>0.1</v>
      </c>
      <c r="I120" s="116">
        <v>0.1</v>
      </c>
      <c r="J120" s="464"/>
      <c r="K120" s="22">
        <v>0.1</v>
      </c>
      <c r="L120" s="464"/>
      <c r="M120" s="22">
        <f t="shared" si="13"/>
        <v>0.99999999999999989</v>
      </c>
    </row>
    <row r="121" spans="2:13" s="7" customFormat="1" outlineLevel="1">
      <c r="B121" s="19" t="s">
        <v>691</v>
      </c>
      <c r="C121" s="19"/>
      <c r="D121" s="25"/>
      <c r="E121" s="25"/>
      <c r="F121" s="25"/>
      <c r="G121" s="25"/>
      <c r="H121" s="25"/>
      <c r="I121" s="25"/>
      <c r="J121" s="25"/>
      <c r="K121" s="25"/>
      <c r="L121" s="25"/>
      <c r="M121" s="25"/>
    </row>
    <row r="122" spans="2:13" s="7" customFormat="1" outlineLevel="1">
      <c r="B122" s="21" t="str">
        <f>'Program Budget'!D44</f>
        <v xml:space="preserve">Senior Program Director </v>
      </c>
      <c r="C122" s="21"/>
      <c r="D122" s="22">
        <v>0.25</v>
      </c>
      <c r="E122" s="22"/>
      <c r="F122" s="22"/>
      <c r="G122" s="22"/>
      <c r="H122" s="22"/>
      <c r="I122" s="22"/>
      <c r="J122" s="22"/>
      <c r="K122" s="22"/>
      <c r="L122" s="22"/>
      <c r="M122" s="22">
        <f t="shared" ref="M122" si="14">SUM(D122:L122)</f>
        <v>0.25</v>
      </c>
    </row>
    <row r="123" spans="2:13" s="7" customFormat="1" outlineLevel="1">
      <c r="B123" s="21" t="str">
        <f>'Program Budget'!D45</f>
        <v>Associate Director</v>
      </c>
      <c r="C123" s="21"/>
      <c r="D123" s="22">
        <v>0.65</v>
      </c>
      <c r="E123" s="22"/>
      <c r="F123" s="22"/>
      <c r="G123" s="22"/>
      <c r="H123" s="22"/>
      <c r="I123" s="22"/>
      <c r="J123" s="22"/>
      <c r="K123" s="22"/>
      <c r="L123" s="22"/>
      <c r="M123" s="22">
        <f t="shared" ref="M123:M124" si="15">SUM(D123:L123)</f>
        <v>0.65</v>
      </c>
    </row>
    <row r="124" spans="2:13" s="7" customFormat="1" outlineLevel="1">
      <c r="B124" s="21" t="str">
        <f>'Program Budget'!D46</f>
        <v xml:space="preserve">Senior Program Officer </v>
      </c>
      <c r="C124" s="21"/>
      <c r="D124" s="22">
        <v>0.61</v>
      </c>
      <c r="E124" s="22"/>
      <c r="F124" s="22"/>
      <c r="G124" s="22"/>
      <c r="H124" s="22"/>
      <c r="I124" s="22"/>
      <c r="J124" s="22"/>
      <c r="K124" s="22"/>
      <c r="L124" s="22"/>
      <c r="M124" s="22">
        <f t="shared" si="15"/>
        <v>0.61</v>
      </c>
    </row>
    <row r="125" spans="2:13" s="7" customFormat="1" outlineLevel="1">
      <c r="B125" s="26" t="s">
        <v>129</v>
      </c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</row>
    <row r="126" spans="2:13">
      <c r="D126" s="10"/>
      <c r="E126" s="6"/>
      <c r="G126" s="6"/>
      <c r="H126" s="10"/>
      <c r="I126" s="10"/>
      <c r="J126" s="10"/>
      <c r="K126" s="10"/>
      <c r="L126" s="10"/>
      <c r="M126" s="10"/>
    </row>
    <row r="127" spans="2:13" ht="61.5">
      <c r="B127" s="4"/>
      <c r="C127" s="4"/>
      <c r="D127" s="11" t="str">
        <f t="shared" ref="D127:L127" si="16">D7</f>
        <v>Administration</v>
      </c>
      <c r="E127" s="11" t="str">
        <f t="shared" si="16"/>
        <v>Activity 1: Value Chain Development (Value Chain Analysis, Carbon Assessment, and Living Incomes)</v>
      </c>
      <c r="F127" s="11" t="str">
        <f t="shared" si="16"/>
        <v>Activity 2: Producer Organization Development &amp; Commercialization</v>
      </c>
      <c r="G127" s="11" t="str">
        <f t="shared" si="16"/>
        <v>Activity 3: Agriculture Extension and Production Support</v>
      </c>
      <c r="H127" s="11" t="str">
        <f t="shared" si="16"/>
        <v>Activity 4: Post-Harvest Aggregation &amp; Processing</v>
      </c>
      <c r="I127" s="11" t="str">
        <f t="shared" si="16"/>
        <v>Activity 5: Ensure Financial Service/ Capital Access for Actors in the Value Chains</v>
      </c>
      <c r="J127" s="11" t="str">
        <f t="shared" si="16"/>
        <v>Activity 6: Innovation and Job Creation Through Youth Engagement</v>
      </c>
      <c r="K127" s="11" t="str">
        <f t="shared" si="16"/>
        <v>Activity 7: Establishment of Regional Community of Practice</v>
      </c>
      <c r="L127" s="11" t="str">
        <f t="shared" si="16"/>
        <v>Activity 8: Financial Services: Endowment Establishment, Fundraising and Management</v>
      </c>
      <c r="M127" s="11" t="s">
        <v>693</v>
      </c>
    </row>
    <row r="128" spans="2:13" s="16" customFormat="1" ht="12.3">
      <c r="B128" s="13" t="s">
        <v>698</v>
      </c>
      <c r="C128" s="13"/>
      <c r="D128" s="14" t="s">
        <v>688</v>
      </c>
      <c r="E128" s="14" t="s">
        <v>688</v>
      </c>
      <c r="F128" s="14" t="s">
        <v>687</v>
      </c>
      <c r="G128" s="14" t="s">
        <v>687</v>
      </c>
      <c r="H128" s="14" t="s">
        <v>687</v>
      </c>
      <c r="I128" s="14"/>
      <c r="J128" s="14"/>
      <c r="K128" s="14"/>
      <c r="L128" s="14"/>
      <c r="M128" s="14" t="s">
        <v>687</v>
      </c>
    </row>
    <row r="129" spans="2:13" s="7" customFormat="1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2:13" s="7" customFormat="1" outlineLevel="1">
      <c r="B130" s="19" t="s">
        <v>695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2:13" s="7" customFormat="1" outlineLevel="1">
      <c r="B131" s="21" t="str">
        <f>'Program Budget'!D13</f>
        <v>Key Personnel: Chief of Party</v>
      </c>
      <c r="C131" s="21"/>
      <c r="D131" s="116">
        <v>0.05</v>
      </c>
      <c r="E131" s="464"/>
      <c r="F131" s="116">
        <v>0.19</v>
      </c>
      <c r="G131" s="116">
        <v>0.19</v>
      </c>
      <c r="H131" s="116">
        <v>0.19</v>
      </c>
      <c r="I131" s="116">
        <v>0.19</v>
      </c>
      <c r="J131" s="464"/>
      <c r="K131" s="22">
        <v>0.19</v>
      </c>
      <c r="L131" s="464"/>
      <c r="M131" s="22">
        <f>SUM(D131:L131)</f>
        <v>1</v>
      </c>
    </row>
    <row r="132" spans="2:13" s="7" customFormat="1" outlineLevel="1">
      <c r="B132" s="21" t="str">
        <f>'Program Budget'!D14</f>
        <v>Deputy Chief of Party / Value Chain Strengthening Director</v>
      </c>
      <c r="C132" s="21"/>
      <c r="D132" s="116">
        <v>0.25</v>
      </c>
      <c r="E132" s="464"/>
      <c r="F132" s="116">
        <v>0.15</v>
      </c>
      <c r="G132" s="116">
        <v>0.15</v>
      </c>
      <c r="H132" s="116">
        <v>0.15</v>
      </c>
      <c r="I132" s="116">
        <v>0.15</v>
      </c>
      <c r="J132" s="464"/>
      <c r="K132" s="22">
        <v>0.15</v>
      </c>
      <c r="L132" s="464"/>
      <c r="M132" s="22">
        <f>SUM(D132:L132)</f>
        <v>1</v>
      </c>
    </row>
    <row r="133" spans="2:13" s="7" customFormat="1" outlineLevel="1">
      <c r="B133" s="21" t="str">
        <f>'Program Budget'!D15</f>
        <v>Key Personnel: Technical Director</v>
      </c>
      <c r="C133" s="21"/>
      <c r="D133" s="116">
        <v>0.05</v>
      </c>
      <c r="E133" s="464"/>
      <c r="F133" s="116">
        <v>0.2</v>
      </c>
      <c r="G133" s="116">
        <v>0.5</v>
      </c>
      <c r="H133" s="116">
        <v>0.2</v>
      </c>
      <c r="I133" s="116">
        <v>0.05</v>
      </c>
      <c r="J133" s="464"/>
      <c r="K133" s="22">
        <v>0</v>
      </c>
      <c r="L133" s="464"/>
      <c r="M133" s="22">
        <f t="shared" ref="M133:M135" si="17">SUM(D133:L133)</f>
        <v>1</v>
      </c>
    </row>
    <row r="134" spans="2:13" s="7" customFormat="1" outlineLevel="1">
      <c r="B134" s="21" t="str">
        <f>'Program Budget'!D16</f>
        <v>Activity Lead Agribusiness Senior Specialist (Cacao)</v>
      </c>
      <c r="C134" s="21"/>
      <c r="D134" s="116">
        <v>0</v>
      </c>
      <c r="E134" s="464"/>
      <c r="F134" s="116">
        <v>0.1</v>
      </c>
      <c r="G134" s="116">
        <v>0.8</v>
      </c>
      <c r="H134" s="116">
        <v>0.1</v>
      </c>
      <c r="I134" s="116">
        <v>0</v>
      </c>
      <c r="J134" s="464"/>
      <c r="K134" s="22">
        <v>0</v>
      </c>
      <c r="L134" s="464"/>
      <c r="M134" s="22">
        <f t="shared" si="17"/>
        <v>1</v>
      </c>
    </row>
    <row r="135" spans="2:13" s="7" customFormat="1" outlineLevel="1">
      <c r="B135" s="21" t="str">
        <f>'Program Budget'!D17</f>
        <v>Cacao Field Officer</v>
      </c>
      <c r="C135" s="21"/>
      <c r="D135" s="116">
        <v>0</v>
      </c>
      <c r="E135" s="464"/>
      <c r="F135" s="116">
        <v>0</v>
      </c>
      <c r="G135" s="116">
        <v>1</v>
      </c>
      <c r="H135" s="116">
        <v>0</v>
      </c>
      <c r="I135" s="116">
        <v>0</v>
      </c>
      <c r="J135" s="464"/>
      <c r="K135" s="22">
        <v>0</v>
      </c>
      <c r="L135" s="464"/>
      <c r="M135" s="22">
        <f t="shared" si="17"/>
        <v>1</v>
      </c>
    </row>
    <row r="136" spans="2:13" s="7" customFormat="1" outlineLevel="1">
      <c r="B136" s="21" t="str">
        <f>'Program Budget'!D18</f>
        <v>Cacao &amp; Complementary Crop Technical Field Leader (2)</v>
      </c>
      <c r="C136" s="21"/>
      <c r="D136" s="116">
        <v>0</v>
      </c>
      <c r="E136" s="464"/>
      <c r="F136" s="116">
        <v>0</v>
      </c>
      <c r="G136" s="116">
        <v>1</v>
      </c>
      <c r="H136" s="116">
        <v>0</v>
      </c>
      <c r="I136" s="116">
        <v>0</v>
      </c>
      <c r="J136" s="464"/>
      <c r="K136" s="22">
        <v>0</v>
      </c>
      <c r="L136" s="464"/>
      <c r="M136" s="22">
        <f t="shared" ref="M136:M157" si="18">SUM(D136:L136)</f>
        <v>1</v>
      </c>
    </row>
    <row r="137" spans="2:13" s="7" customFormat="1" outlineLevel="1">
      <c r="B137" s="21" t="str">
        <f>'Program Budget'!D19</f>
        <v>Extension Agents (45 in Y5 and 25 in Y6)</v>
      </c>
      <c r="C137" s="21"/>
      <c r="D137" s="116">
        <v>0</v>
      </c>
      <c r="E137" s="464"/>
      <c r="F137" s="116">
        <v>0</v>
      </c>
      <c r="G137" s="116">
        <v>1</v>
      </c>
      <c r="H137" s="116">
        <v>0</v>
      </c>
      <c r="I137" s="116">
        <v>0</v>
      </c>
      <c r="J137" s="464"/>
      <c r="K137" s="22">
        <v>0</v>
      </c>
      <c r="L137" s="464"/>
      <c r="M137" s="22">
        <f t="shared" si="18"/>
        <v>1</v>
      </c>
    </row>
    <row r="138" spans="2:13" s="7" customFormat="1" outlineLevel="1">
      <c r="B138" s="21" t="str">
        <f>'Program Budget'!D20</f>
        <v>Activity Lead Agribusiness Senior Specialist (Complementary Crop)</v>
      </c>
      <c r="C138" s="21"/>
      <c r="D138" s="116">
        <v>0</v>
      </c>
      <c r="E138" s="464"/>
      <c r="F138" s="116">
        <v>0</v>
      </c>
      <c r="G138" s="116">
        <v>1</v>
      </c>
      <c r="H138" s="116">
        <v>0</v>
      </c>
      <c r="I138" s="116">
        <v>0</v>
      </c>
      <c r="J138" s="464"/>
      <c r="K138" s="22">
        <v>0</v>
      </c>
      <c r="L138" s="464"/>
      <c r="M138" s="22">
        <f t="shared" si="18"/>
        <v>1</v>
      </c>
    </row>
    <row r="139" spans="2:13" s="7" customFormat="1" outlineLevel="1">
      <c r="B139" s="21" t="str">
        <f>'Program Budget'!D21</f>
        <v>Complementary Crops Field Officer</v>
      </c>
      <c r="C139" s="21"/>
      <c r="D139" s="116">
        <v>0</v>
      </c>
      <c r="E139" s="464"/>
      <c r="F139" s="116">
        <v>0</v>
      </c>
      <c r="G139" s="116">
        <v>1</v>
      </c>
      <c r="H139" s="116">
        <v>0</v>
      </c>
      <c r="I139" s="116">
        <v>0</v>
      </c>
      <c r="J139" s="464"/>
      <c r="K139" s="22">
        <v>0</v>
      </c>
      <c r="L139" s="464"/>
      <c r="M139" s="22">
        <f t="shared" si="18"/>
        <v>1</v>
      </c>
    </row>
    <row r="140" spans="2:13" s="7" customFormat="1" outlineLevel="1">
      <c r="B140" s="21" t="str">
        <f>'Program Budget'!D22</f>
        <v>EPSEAS Specialist</v>
      </c>
      <c r="C140" s="21"/>
      <c r="D140" s="116">
        <v>0</v>
      </c>
      <c r="E140" s="464"/>
      <c r="F140" s="116">
        <v>0</v>
      </c>
      <c r="G140" s="116">
        <v>1</v>
      </c>
      <c r="H140" s="116">
        <v>0</v>
      </c>
      <c r="I140" s="116">
        <v>0</v>
      </c>
      <c r="J140" s="464"/>
      <c r="K140" s="22">
        <v>0</v>
      </c>
      <c r="L140" s="464"/>
      <c r="M140" s="22">
        <f t="shared" si="18"/>
        <v>1</v>
      </c>
    </row>
    <row r="141" spans="2:13" s="7" customFormat="1" outlineLevel="1">
      <c r="B141" s="21" t="str">
        <f>'Program Budget'!D23</f>
        <v>Extension Agents for EPSEAS (20 in Y6 and 25 in Y7)</v>
      </c>
      <c r="C141" s="21"/>
      <c r="D141" s="116">
        <v>0</v>
      </c>
      <c r="E141" s="464"/>
      <c r="F141" s="116">
        <v>0</v>
      </c>
      <c r="G141" s="116">
        <v>1</v>
      </c>
      <c r="H141" s="116">
        <v>0</v>
      </c>
      <c r="I141" s="116">
        <v>0</v>
      </c>
      <c r="J141" s="464"/>
      <c r="K141" s="22">
        <v>0</v>
      </c>
      <c r="L141" s="464"/>
      <c r="M141" s="22">
        <f t="shared" si="18"/>
        <v>1</v>
      </c>
    </row>
    <row r="142" spans="2:13" s="7" customFormat="1" outlineLevel="1">
      <c r="B142" s="21" t="str">
        <f>'Program Budget'!D24</f>
        <v xml:space="preserve">Senior M&amp;E Director </v>
      </c>
      <c r="C142" s="21"/>
      <c r="D142" s="116">
        <v>0.05</v>
      </c>
      <c r="E142" s="464"/>
      <c r="F142" s="116">
        <v>0.19</v>
      </c>
      <c r="G142" s="116">
        <v>0.19</v>
      </c>
      <c r="H142" s="116">
        <v>0.19</v>
      </c>
      <c r="I142" s="116">
        <v>0.19</v>
      </c>
      <c r="J142" s="464"/>
      <c r="K142" s="22">
        <v>0.19</v>
      </c>
      <c r="L142" s="464"/>
      <c r="M142" s="22">
        <f t="shared" si="18"/>
        <v>1</v>
      </c>
    </row>
    <row r="143" spans="2:13" s="7" customFormat="1" outlineLevel="1">
      <c r="B143" s="21" t="str">
        <f>'Program Budget'!D25</f>
        <v>Senior M&amp;E Specialist</v>
      </c>
      <c r="C143" s="21"/>
      <c r="D143" s="116">
        <v>0.05</v>
      </c>
      <c r="E143" s="464"/>
      <c r="F143" s="116">
        <v>0.19</v>
      </c>
      <c r="G143" s="116">
        <v>0.19</v>
      </c>
      <c r="H143" s="116">
        <v>0.19</v>
      </c>
      <c r="I143" s="116">
        <v>0.19</v>
      </c>
      <c r="J143" s="464"/>
      <c r="K143" s="22">
        <v>0.19</v>
      </c>
      <c r="L143" s="464"/>
      <c r="M143" s="22">
        <f t="shared" si="18"/>
        <v>1</v>
      </c>
    </row>
    <row r="144" spans="2:13" s="7" customFormat="1" outlineLevel="1">
      <c r="B144" s="21" t="str">
        <f>'Program Budget'!D26</f>
        <v>M&amp;E Specialist</v>
      </c>
      <c r="C144" s="21"/>
      <c r="D144" s="116">
        <v>0.05</v>
      </c>
      <c r="E144" s="464"/>
      <c r="F144" s="116">
        <v>0.19</v>
      </c>
      <c r="G144" s="116">
        <v>0.19</v>
      </c>
      <c r="H144" s="116">
        <v>0.19</v>
      </c>
      <c r="I144" s="116">
        <v>0.19</v>
      </c>
      <c r="J144" s="464"/>
      <c r="K144" s="22">
        <v>0.19</v>
      </c>
      <c r="L144" s="464"/>
      <c r="M144" s="22">
        <f t="shared" si="18"/>
        <v>1</v>
      </c>
    </row>
    <row r="145" spans="2:13" s="7" customFormat="1" outlineLevel="1">
      <c r="B145" s="21" t="str">
        <f>'Program Budget'!D27</f>
        <v>M&amp;E Officer</v>
      </c>
      <c r="C145" s="21"/>
      <c r="D145" s="116">
        <v>0.05</v>
      </c>
      <c r="E145" s="464"/>
      <c r="F145" s="116">
        <v>0.4</v>
      </c>
      <c r="G145" s="116">
        <v>0.05</v>
      </c>
      <c r="H145" s="116">
        <v>0.4</v>
      </c>
      <c r="I145" s="116">
        <v>0.05</v>
      </c>
      <c r="J145" s="464"/>
      <c r="K145" s="22">
        <v>0.05</v>
      </c>
      <c r="L145" s="464"/>
      <c r="M145" s="22">
        <f t="shared" si="18"/>
        <v>1</v>
      </c>
    </row>
    <row r="146" spans="2:13" s="7" customFormat="1" outlineLevel="1">
      <c r="B146" s="21" t="str">
        <f>'Program Budget'!D28</f>
        <v>Partnerships and Investment Director</v>
      </c>
      <c r="C146" s="21"/>
      <c r="D146" s="116">
        <v>0.05</v>
      </c>
      <c r="E146" s="464"/>
      <c r="F146" s="116">
        <v>0.4</v>
      </c>
      <c r="G146" s="116">
        <v>0.05</v>
      </c>
      <c r="H146" s="116">
        <v>0.4</v>
      </c>
      <c r="I146" s="116">
        <v>0.05</v>
      </c>
      <c r="J146" s="464"/>
      <c r="K146" s="22">
        <v>0.05</v>
      </c>
      <c r="L146" s="464"/>
      <c r="M146" s="22">
        <f t="shared" si="18"/>
        <v>1</v>
      </c>
    </row>
    <row r="147" spans="2:13" s="7" customFormat="1" outlineLevel="1">
      <c r="B147" s="21" t="str">
        <f>'Program Budget'!D29</f>
        <v>Partnerships and Investment Specialist</v>
      </c>
      <c r="C147" s="21"/>
      <c r="D147" s="116">
        <v>0</v>
      </c>
      <c r="E147" s="464"/>
      <c r="F147" s="116">
        <v>0.2</v>
      </c>
      <c r="G147" s="116">
        <v>0.2</v>
      </c>
      <c r="H147" s="116">
        <v>0.2</v>
      </c>
      <c r="I147" s="116">
        <v>0.2</v>
      </c>
      <c r="J147" s="464"/>
      <c r="K147" s="22">
        <v>0.2</v>
      </c>
      <c r="L147" s="464"/>
      <c r="M147" s="22">
        <f t="shared" si="18"/>
        <v>1</v>
      </c>
    </row>
    <row r="148" spans="2:13" s="7" customFormat="1" outlineLevel="1">
      <c r="B148" s="21" t="str">
        <f>'Program Budget'!D30</f>
        <v>Organizational Strengthening Specialist</v>
      </c>
      <c r="C148" s="21"/>
      <c r="D148" s="116">
        <v>0</v>
      </c>
      <c r="E148" s="464"/>
      <c r="F148" s="116">
        <v>0.5</v>
      </c>
      <c r="G148" s="116">
        <v>0</v>
      </c>
      <c r="H148" s="116">
        <v>0.5</v>
      </c>
      <c r="I148" s="116">
        <v>0</v>
      </c>
      <c r="J148" s="464"/>
      <c r="K148" s="22">
        <v>0</v>
      </c>
      <c r="L148" s="464"/>
      <c r="M148" s="22">
        <f t="shared" si="18"/>
        <v>1</v>
      </c>
    </row>
    <row r="149" spans="2:13" s="7" customFormat="1" outlineLevel="1">
      <c r="B149" s="21" t="str">
        <f>'Program Budget'!D31</f>
        <v>Value Chain Strengthening Director</v>
      </c>
      <c r="C149" s="21"/>
      <c r="D149" s="116">
        <v>0.05</v>
      </c>
      <c r="E149" s="464"/>
      <c r="F149" s="116">
        <v>0.05</v>
      </c>
      <c r="G149" s="116">
        <v>0.05</v>
      </c>
      <c r="H149" s="116">
        <v>0.05</v>
      </c>
      <c r="I149" s="116">
        <v>0.4</v>
      </c>
      <c r="J149" s="464"/>
      <c r="K149" s="22">
        <v>0.4</v>
      </c>
      <c r="L149" s="464"/>
      <c r="M149" s="22">
        <f t="shared" si="18"/>
        <v>1</v>
      </c>
    </row>
    <row r="150" spans="2:13" s="7" customFormat="1" outlineLevel="1">
      <c r="B150" s="21" t="str">
        <f>'Program Budget'!D32</f>
        <v>Communications Specialist</v>
      </c>
      <c r="C150" s="21"/>
      <c r="D150" s="116">
        <v>0.1</v>
      </c>
      <c r="E150" s="464"/>
      <c r="F150" s="116">
        <v>0.18</v>
      </c>
      <c r="G150" s="116">
        <v>0.18</v>
      </c>
      <c r="H150" s="116">
        <v>0.18</v>
      </c>
      <c r="I150" s="116">
        <v>0.18</v>
      </c>
      <c r="J150" s="464"/>
      <c r="K150" s="22">
        <v>0.18</v>
      </c>
      <c r="L150" s="464"/>
      <c r="M150" s="22">
        <f t="shared" si="18"/>
        <v>1</v>
      </c>
    </row>
    <row r="151" spans="2:13" s="7" customFormat="1" outlineLevel="1">
      <c r="B151" s="21" t="str">
        <f>'Program Budget'!D33</f>
        <v>Value Chain Specialist</v>
      </c>
      <c r="C151" s="21"/>
      <c r="D151" s="116">
        <v>0</v>
      </c>
      <c r="E151" s="464"/>
      <c r="F151" s="116">
        <v>0</v>
      </c>
      <c r="G151" s="116">
        <v>0</v>
      </c>
      <c r="H151" s="116">
        <v>0</v>
      </c>
      <c r="I151" s="116">
        <v>0.5</v>
      </c>
      <c r="J151" s="464"/>
      <c r="K151" s="22">
        <v>0.5</v>
      </c>
      <c r="L151" s="464"/>
      <c r="M151" s="22">
        <f t="shared" si="18"/>
        <v>1</v>
      </c>
    </row>
    <row r="152" spans="2:13" s="7" customFormat="1" outlineLevel="1">
      <c r="B152" s="21" t="str">
        <f>'Program Budget'!D34</f>
        <v>Contracts &amp; Compliance Director</v>
      </c>
      <c r="C152" s="21"/>
      <c r="D152" s="116">
        <v>0.1</v>
      </c>
      <c r="E152" s="464"/>
      <c r="F152" s="116">
        <v>0.18</v>
      </c>
      <c r="G152" s="116">
        <v>0.18</v>
      </c>
      <c r="H152" s="116">
        <v>0.18</v>
      </c>
      <c r="I152" s="116">
        <v>0.18</v>
      </c>
      <c r="J152" s="464"/>
      <c r="K152" s="22">
        <v>0.18</v>
      </c>
      <c r="L152" s="464"/>
      <c r="M152" s="22">
        <f t="shared" si="18"/>
        <v>1</v>
      </c>
    </row>
    <row r="153" spans="2:13" s="7" customFormat="1" outlineLevel="1">
      <c r="B153" s="21" t="str">
        <f>'Program Budget'!D35</f>
        <v>Grants &amp; Procurement Specialist (2)</v>
      </c>
      <c r="C153" s="21"/>
      <c r="D153" s="116">
        <v>0.1</v>
      </c>
      <c r="E153" s="464"/>
      <c r="F153" s="22">
        <v>0.25</v>
      </c>
      <c r="G153" s="22">
        <v>0.25</v>
      </c>
      <c r="H153" s="22">
        <v>0.25</v>
      </c>
      <c r="I153" s="22">
        <v>0</v>
      </c>
      <c r="J153" s="464"/>
      <c r="K153" s="22">
        <v>0.15</v>
      </c>
      <c r="L153" s="464"/>
      <c r="M153" s="22">
        <f t="shared" si="18"/>
        <v>1</v>
      </c>
    </row>
    <row r="154" spans="2:13" s="7" customFormat="1" outlineLevel="1">
      <c r="B154" s="21" t="str">
        <f>'Program Budget'!D36</f>
        <v xml:space="preserve">F&amp;A Director </v>
      </c>
      <c r="C154" s="21"/>
      <c r="D154" s="116">
        <v>0.15</v>
      </c>
      <c r="E154" s="464"/>
      <c r="F154" s="22">
        <v>0.2</v>
      </c>
      <c r="G154" s="22">
        <v>0.2</v>
      </c>
      <c r="H154" s="22">
        <v>0.15</v>
      </c>
      <c r="I154" s="22">
        <v>0.15</v>
      </c>
      <c r="J154" s="464"/>
      <c r="K154" s="22">
        <v>0.15</v>
      </c>
      <c r="L154" s="464"/>
      <c r="M154" s="22">
        <f t="shared" si="18"/>
        <v>1</v>
      </c>
    </row>
    <row r="155" spans="2:13" s="24" customFormat="1" outlineLevel="1">
      <c r="B155" s="21" t="str">
        <f>'Program Budget'!D37</f>
        <v>Accounting &amp; Finance Specialist</v>
      </c>
      <c r="C155" s="21"/>
      <c r="D155" s="116">
        <v>0.2</v>
      </c>
      <c r="E155" s="464"/>
      <c r="F155" s="116">
        <v>0.16</v>
      </c>
      <c r="G155" s="116">
        <v>0.16</v>
      </c>
      <c r="H155" s="116">
        <v>0.16</v>
      </c>
      <c r="I155" s="116">
        <v>0.16</v>
      </c>
      <c r="J155" s="464"/>
      <c r="K155" s="22">
        <v>0.16</v>
      </c>
      <c r="L155" s="464"/>
      <c r="M155" s="22">
        <f t="shared" si="18"/>
        <v>1</v>
      </c>
    </row>
    <row r="156" spans="2:13" s="24" customFormat="1" outlineLevel="1">
      <c r="B156" s="21" t="str">
        <f>'Program Budget'!D38</f>
        <v xml:space="preserve">Accountant </v>
      </c>
      <c r="C156" s="21"/>
      <c r="D156" s="116">
        <v>0.2</v>
      </c>
      <c r="E156" s="464"/>
      <c r="F156" s="116">
        <v>0.16</v>
      </c>
      <c r="G156" s="116">
        <v>0.16</v>
      </c>
      <c r="H156" s="116">
        <v>0.16</v>
      </c>
      <c r="I156" s="116">
        <v>0.16</v>
      </c>
      <c r="J156" s="464"/>
      <c r="K156" s="22">
        <v>0.16</v>
      </c>
      <c r="L156" s="464"/>
      <c r="M156" s="22">
        <f t="shared" si="18"/>
        <v>1</v>
      </c>
    </row>
    <row r="157" spans="2:13" s="7" customFormat="1" outlineLevel="1">
      <c r="B157" s="21" t="str">
        <f>'Program Budget'!D39</f>
        <v>Finance &amp; Admin Coordinator - 50% LOE</v>
      </c>
      <c r="C157" s="21"/>
      <c r="D157" s="116">
        <v>0.1</v>
      </c>
      <c r="E157" s="464"/>
      <c r="F157" s="22">
        <v>0.1</v>
      </c>
      <c r="G157" s="22">
        <v>0.1</v>
      </c>
      <c r="H157" s="22">
        <v>0.1</v>
      </c>
      <c r="I157" s="22">
        <v>0.05</v>
      </c>
      <c r="J157" s="464"/>
      <c r="K157" s="22">
        <v>0.05</v>
      </c>
      <c r="L157" s="464"/>
      <c r="M157" s="22">
        <f t="shared" si="18"/>
        <v>0.5</v>
      </c>
    </row>
    <row r="158" spans="2:13" s="7" customFormat="1" outlineLevel="1">
      <c r="B158" s="21" t="str">
        <f>'Program Budget'!D40</f>
        <v xml:space="preserve">Administrative Officer </v>
      </c>
      <c r="C158" s="21"/>
      <c r="D158" s="116">
        <v>0.3</v>
      </c>
      <c r="E158" s="464"/>
      <c r="F158" s="116">
        <v>0.1</v>
      </c>
      <c r="G158" s="116">
        <v>0.3</v>
      </c>
      <c r="H158" s="116">
        <v>0.1</v>
      </c>
      <c r="I158" s="116">
        <v>0.1</v>
      </c>
      <c r="J158" s="464"/>
      <c r="K158" s="22">
        <v>0.1</v>
      </c>
      <c r="L158" s="464"/>
      <c r="M158" s="22">
        <f t="shared" ref="M158:M160" si="19">SUM(D158:L158)</f>
        <v>0.99999999999999989</v>
      </c>
    </row>
    <row r="159" spans="2:13" s="7" customFormat="1" outlineLevel="1">
      <c r="B159" s="21" t="str">
        <f>'Program Budget'!D41</f>
        <v>Human Resource Manager</v>
      </c>
      <c r="C159" s="21"/>
      <c r="D159" s="116">
        <v>0.3</v>
      </c>
      <c r="E159" s="464"/>
      <c r="F159" s="116">
        <v>0.1</v>
      </c>
      <c r="G159" s="116">
        <v>0.3</v>
      </c>
      <c r="H159" s="116">
        <v>0.1</v>
      </c>
      <c r="I159" s="116">
        <v>0.1</v>
      </c>
      <c r="J159" s="464"/>
      <c r="K159" s="22">
        <v>0.1</v>
      </c>
      <c r="L159" s="464"/>
      <c r="M159" s="22">
        <f t="shared" si="19"/>
        <v>0.99999999999999989</v>
      </c>
    </row>
    <row r="160" spans="2:13" s="7" customFormat="1" outlineLevel="1">
      <c r="B160" s="21" t="str">
        <f>'Program Budget'!D42</f>
        <v>Human Resource Specialist</v>
      </c>
      <c r="C160" s="21"/>
      <c r="D160" s="116">
        <v>0.3</v>
      </c>
      <c r="E160" s="464"/>
      <c r="F160" s="116">
        <v>0.1</v>
      </c>
      <c r="G160" s="116">
        <v>0.3</v>
      </c>
      <c r="H160" s="116">
        <v>0.1</v>
      </c>
      <c r="I160" s="116">
        <v>0.1</v>
      </c>
      <c r="J160" s="464"/>
      <c r="K160" s="22">
        <v>0.1</v>
      </c>
      <c r="L160" s="464"/>
      <c r="M160" s="22">
        <f t="shared" si="19"/>
        <v>0.99999999999999989</v>
      </c>
    </row>
    <row r="161" spans="2:13" s="7" customFormat="1" outlineLevel="1">
      <c r="B161" s="19" t="s">
        <v>691</v>
      </c>
      <c r="C161" s="19"/>
      <c r="D161" s="25"/>
      <c r="E161" s="25"/>
      <c r="F161" s="25"/>
      <c r="G161" s="25"/>
      <c r="H161" s="25"/>
      <c r="I161" s="25"/>
      <c r="J161" s="25"/>
      <c r="K161" s="25"/>
      <c r="L161" s="25"/>
      <c r="M161" s="25"/>
    </row>
    <row r="162" spans="2:13" s="7" customFormat="1" outlineLevel="1">
      <c r="B162" s="21" t="str">
        <f>'Program Budget'!D44</f>
        <v xml:space="preserve">Senior Program Director </v>
      </c>
      <c r="C162" s="21"/>
      <c r="D162" s="22">
        <v>0.25</v>
      </c>
      <c r="E162" s="22"/>
      <c r="F162" s="22"/>
      <c r="G162" s="22"/>
      <c r="H162" s="22"/>
      <c r="I162" s="22"/>
      <c r="J162" s="22"/>
      <c r="K162" s="22"/>
      <c r="L162" s="22"/>
      <c r="M162" s="22">
        <f t="shared" ref="M162" si="20">SUM(D162:L162)</f>
        <v>0.25</v>
      </c>
    </row>
    <row r="163" spans="2:13" s="7" customFormat="1" outlineLevel="1">
      <c r="B163" s="21" t="str">
        <f>'Program Budget'!D45</f>
        <v>Associate Director</v>
      </c>
      <c r="C163" s="21"/>
      <c r="D163" s="22">
        <v>0.65</v>
      </c>
      <c r="E163" s="22"/>
      <c r="F163" s="22"/>
      <c r="G163" s="22"/>
      <c r="H163" s="22"/>
      <c r="I163" s="22"/>
      <c r="J163" s="22"/>
      <c r="K163" s="22"/>
      <c r="L163" s="22"/>
      <c r="M163" s="22">
        <f t="shared" ref="M163:M164" si="21">SUM(D163:L163)</f>
        <v>0.65</v>
      </c>
    </row>
    <row r="164" spans="2:13" s="7" customFormat="1" outlineLevel="1">
      <c r="B164" s="21" t="str">
        <f>'Program Budget'!D46</f>
        <v xml:space="preserve">Senior Program Officer </v>
      </c>
      <c r="C164" s="21"/>
      <c r="D164" s="22">
        <v>0.61</v>
      </c>
      <c r="E164" s="22"/>
      <c r="F164" s="22"/>
      <c r="G164" s="22"/>
      <c r="H164" s="22"/>
      <c r="I164" s="22"/>
      <c r="J164" s="22"/>
      <c r="K164" s="22"/>
      <c r="L164" s="22"/>
      <c r="M164" s="22">
        <f t="shared" si="21"/>
        <v>0.61</v>
      </c>
    </row>
    <row r="165" spans="2:13" s="7" customFormat="1" outlineLevel="1">
      <c r="B165" s="26" t="s">
        <v>129</v>
      </c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</sheetData>
  <mergeCells count="5">
    <mergeCell ref="B1:M1"/>
    <mergeCell ref="B2:M2"/>
    <mergeCell ref="B3:M3"/>
    <mergeCell ref="B4:M4"/>
    <mergeCell ref="B5:M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MediaLengthInSeconds xmlns="f2466082-b6bf-4153-98c3-3c41e85fda18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16A195-F478-4256-96CF-892E1E48171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694317B-D0E0-4282-8BFC-94619C138F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E7B32A-376E-41F5-8BAD-5BA7D75DB916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ba2e8617-29ee-40b9-b822-c9e0f853d80d"/>
    <ds:schemaRef ds:uri="f2466082-b6bf-4153-98c3-3c41e85fda18"/>
  </ds:schemaRefs>
</ds:datastoreItem>
</file>

<file path=customXml/itemProps4.xml><?xml version="1.0" encoding="utf-8"?>
<ds:datastoreItem xmlns:ds="http://schemas.openxmlformats.org/officeDocument/2006/customXml" ds:itemID="{E5285F1F-C882-42CD-A54C-2B353F97C3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26</vt:i4>
      </vt:variant>
    </vt:vector>
  </HeadingPairs>
  <TitlesOfParts>
    <vt:vector size="44" baseType="lpstr">
      <vt:lpstr>USDA Budget Summary</vt:lpstr>
      <vt:lpstr>Program Budget</vt:lpstr>
      <vt:lpstr>Project Funds Snapshots</vt:lpstr>
      <vt:lpstr>Detailed Budget</vt:lpstr>
      <vt:lpstr>Admin</vt:lpstr>
      <vt:lpstr>Activity 1</vt:lpstr>
      <vt:lpstr>Activity 2</vt:lpstr>
      <vt:lpstr>Activity 3</vt:lpstr>
      <vt:lpstr>Activity 4</vt:lpstr>
      <vt:lpstr>Activity 5</vt:lpstr>
      <vt:lpstr>Activity 6</vt:lpstr>
      <vt:lpstr>Activity 7</vt:lpstr>
      <vt:lpstr>Activity 8</vt:lpstr>
      <vt:lpstr>Sub Budget Fundacion IC</vt:lpstr>
      <vt:lpstr>Indirect Calculations</vt:lpstr>
      <vt:lpstr>Indirect Costs Detail</vt:lpstr>
      <vt:lpstr>Personnel &amp; LOE Summary</vt:lpstr>
      <vt:lpstr>LOE Breakdown by Year</vt:lpstr>
      <vt:lpstr>'Activity 1'!Print_Area</vt:lpstr>
      <vt:lpstr>'Activity 2'!Print_Area</vt:lpstr>
      <vt:lpstr>'Activity 3'!Print_Area</vt:lpstr>
      <vt:lpstr>'Activity 4'!Print_Area</vt:lpstr>
      <vt:lpstr>'Activity 5'!Print_Area</vt:lpstr>
      <vt:lpstr>'Activity 6'!Print_Area</vt:lpstr>
      <vt:lpstr>'Activity 7'!Print_Area</vt:lpstr>
      <vt:lpstr>'Activity 8'!Print_Area</vt:lpstr>
      <vt:lpstr>Admin!Print_Area</vt:lpstr>
      <vt:lpstr>'Detailed Budget'!Print_Area</vt:lpstr>
      <vt:lpstr>'Indirect Calculations'!Print_Area</vt:lpstr>
      <vt:lpstr>'Indirect Costs Detail'!Print_Area</vt:lpstr>
      <vt:lpstr>'Program Budget'!Print_Area</vt:lpstr>
      <vt:lpstr>'Sub Budget Fundacion IC'!Print_Area</vt:lpstr>
      <vt:lpstr>'USDA Budget Summary'!Print_Area</vt:lpstr>
      <vt:lpstr>'Activity 1'!Print_Titles</vt:lpstr>
      <vt:lpstr>'Activity 2'!Print_Titles</vt:lpstr>
      <vt:lpstr>'Activity 3'!Print_Titles</vt:lpstr>
      <vt:lpstr>'Activity 4'!Print_Titles</vt:lpstr>
      <vt:lpstr>'Activity 5'!Print_Titles</vt:lpstr>
      <vt:lpstr>'Activity 6'!Print_Titles</vt:lpstr>
      <vt:lpstr>'Activity 7'!Print_Titles</vt:lpstr>
      <vt:lpstr>'Activity 8'!Print_Titles</vt:lpstr>
      <vt:lpstr>Admin!Print_Titles</vt:lpstr>
      <vt:lpstr>'Detailed Budget'!Print_Titles</vt:lpstr>
      <vt:lpstr>'Sub Budget Fundacion IC'!Print_Titles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>Food For Development</cp:keywords>
  <dc:description/>
  <cp:lastModifiedBy>Danielle Martin</cp:lastModifiedBy>
  <cp:revision/>
  <dcterms:created xsi:type="dcterms:W3CDTF">2007-06-26T13:33:20Z</dcterms:created>
  <dcterms:modified xsi:type="dcterms:W3CDTF">2026-02-10T04:50:46Z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7412600</vt:r8>
  </property>
  <property fmtid="{D5CDD505-2E9C-101B-9397-08002B2CF9AE}" pid="3" name="ContentTypeId">
    <vt:lpwstr>0x0101003206C8355D678A459F2EF8957171B231</vt:lpwstr>
  </property>
  <property fmtid="{D5CDD505-2E9C-101B-9397-08002B2CF9AE}" pid="4" name="WorkbookGuid">
    <vt:lpwstr>f9165d3f-2e95-4cb0-b0d6-1503465abe40</vt:lpwstr>
  </property>
  <property fmtid="{D5CDD505-2E9C-101B-9397-08002B2CF9AE}" pid="5" name="TaxKeyword">
    <vt:lpwstr>81;#Food For Development|98747836-2529-4530-bb6a-d74dee1d6b61</vt:lpwstr>
  </property>
  <property fmtid="{D5CDD505-2E9C-101B-9397-08002B2CF9AE}" pid="6" name="Tags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