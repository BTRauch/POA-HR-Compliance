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"/>
    </mc:Choice>
  </mc:AlternateContent>
  <xr:revisionPtr revIDLastSave="29" documentId="13_ncr:1_{0F6C0E93-862A-4AAC-AD32-F1B9BA301EE8}" xr6:coauthVersionLast="47" xr6:coauthVersionMax="47" xr10:uidLastSave="{367C03B4-491C-4723-8008-9CF172AF4F84}"/>
  <bookViews>
    <workbookView minimized="1" xWindow="336" yWindow="936" windowWidth="23040" windowHeight="12360" tabRatio="798" firstSheet="3" activeTab="3" xr2:uid="{00000000-000D-0000-FFFF-FFFF00000000}"/>
  </bookViews>
  <sheets>
    <sheet name="Project Funds Snapshots" sheetId="43" r:id="rId1"/>
    <sheet name="USDA Budget Summary" sheetId="28" r:id="rId2"/>
    <sheet name="Indirect Calculations" sheetId="41" r:id="rId3"/>
    <sheet name="Program Budget" sheetId="4" r:id="rId4"/>
    <sheet name="Partners by Activity" sheetId="51" r:id="rId5"/>
    <sheet name="Personnel &amp; LOE Summary" sheetId="39" r:id="rId6"/>
    <sheet name="LOE Breakdown by Year" sheetId="30" r:id="rId7"/>
    <sheet name="Activity 2 Sub Budget" sheetId="52" r:id="rId8"/>
    <sheet name="CIAT Sub Budget" sheetId="47" r:id="rId9"/>
    <sheet name="Agrosavia Sub Budget" sheetId="38" r:id="rId10"/>
    <sheet name="Supplies" sheetId="32" r:id="rId11"/>
    <sheet name="Education Worksheet " sheetId="17" state="hidden" r:id="rId12"/>
  </sheets>
  <definedNames>
    <definedName name="_xlchart.v1.0" hidden="1">'Project Funds Snapshots'!$J$20:$J$29</definedName>
    <definedName name="_xlchart.v1.1" hidden="1">'Project Funds Snapshots'!$K$20:$K$29</definedName>
    <definedName name="_xlchart.v1.2" hidden="1">'Project Funds Snapshots'!$J$11:$J$16</definedName>
    <definedName name="_xlchart.v1.3" hidden="1">'Project Funds Snapshots'!$K$11:$K$16</definedName>
    <definedName name="inf">#REF!</definedName>
    <definedName name="_xlnm.Print_Area" localSheetId="2">'Indirect Calculations'!$B$6:$I$70</definedName>
    <definedName name="_xlnm.Print_Area" localSheetId="3">'Program Budget'!$E$7:$Y$538</definedName>
    <definedName name="TRM" localSheetId="7">'Activity 2 Sub Budget'!$B$1</definedName>
    <definedName name="TRM">'Agrosavia Sub Budget'!$B$1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71" i="4" l="1"/>
  <c r="F171" i="4"/>
  <c r="H171" i="4"/>
  <c r="G150" i="47" l="1"/>
  <c r="I86" i="47"/>
  <c r="I85" i="47"/>
  <c r="I84" i="47"/>
  <c r="V42" i="4" l="1"/>
  <c r="S42" i="4"/>
  <c r="P42" i="4"/>
  <c r="M42" i="4"/>
  <c r="J42" i="4"/>
  <c r="W42" i="4" l="1"/>
  <c r="Y42" i="4" s="1"/>
  <c r="X523" i="4"/>
  <c r="S523" i="4"/>
  <c r="J523" i="4"/>
  <c r="W522" i="4"/>
  <c r="U522" i="4"/>
  <c r="R522" i="4"/>
  <c r="O522" i="4"/>
  <c r="I522" i="4"/>
  <c r="X522" i="4" s="1"/>
  <c r="W523" i="4" l="1"/>
  <c r="Y523" i="4" s="1"/>
  <c r="Y522" i="4"/>
  <c r="V110" i="4"/>
  <c r="S110" i="4"/>
  <c r="P110" i="4"/>
  <c r="M110" i="4"/>
  <c r="J110" i="4"/>
  <c r="W110" i="4" l="1"/>
  <c r="Y110" i="4" s="1"/>
  <c r="D42" i="43"/>
  <c r="F42" i="43"/>
  <c r="G42" i="43"/>
  <c r="C42" i="43"/>
  <c r="G38" i="43"/>
  <c r="F38" i="43"/>
  <c r="D38" i="43"/>
  <c r="C38" i="43"/>
  <c r="F15" i="43"/>
  <c r="F14" i="43"/>
  <c r="D15" i="43"/>
  <c r="D14" i="43"/>
  <c r="C15" i="43"/>
  <c r="C14" i="43"/>
  <c r="K14" i="43" s="1"/>
  <c r="L155" i="4" l="1"/>
  <c r="G14" i="43" l="1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84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38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72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18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70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11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68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30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J25" i="39" s="1"/>
  <c r="N13" i="4"/>
  <c r="M60" i="30"/>
  <c r="M61" i="30"/>
  <c r="M62" i="30"/>
  <c r="M63" i="30"/>
  <c r="M64" i="30"/>
  <c r="M65" i="30"/>
  <c r="M66" i="30"/>
  <c r="M67" i="30"/>
  <c r="M68" i="30"/>
  <c r="M69" i="30"/>
  <c r="M70" i="30"/>
  <c r="M71" i="30"/>
  <c r="M72" i="30"/>
  <c r="M73" i="30"/>
  <c r="M59" i="30"/>
  <c r="G44" i="52"/>
  <c r="G24" i="52"/>
  <c r="M41" i="52"/>
  <c r="M42" i="52" s="1"/>
  <c r="K41" i="52"/>
  <c r="K42" i="52" s="1"/>
  <c r="I41" i="52"/>
  <c r="I42" i="52" s="1"/>
  <c r="G41" i="52"/>
  <c r="G42" i="52" s="1"/>
  <c r="Q44" i="52"/>
  <c r="Q42" i="52"/>
  <c r="O41" i="52"/>
  <c r="O42" i="52" s="1"/>
  <c r="V263" i="4"/>
  <c r="S263" i="4"/>
  <c r="P263" i="4"/>
  <c r="M263" i="4"/>
  <c r="J263" i="4"/>
  <c r="X260" i="4"/>
  <c r="W260" i="4"/>
  <c r="O429" i="4"/>
  <c r="L429" i="4"/>
  <c r="I429" i="4"/>
  <c r="O364" i="4"/>
  <c r="L364" i="4"/>
  <c r="I364" i="4"/>
  <c r="O362" i="4"/>
  <c r="L362" i="4"/>
  <c r="O361" i="4"/>
  <c r="L361" i="4"/>
  <c r="I362" i="4"/>
  <c r="I361" i="4"/>
  <c r="U360" i="4"/>
  <c r="R360" i="4"/>
  <c r="O360" i="4"/>
  <c r="L360" i="4"/>
  <c r="H360" i="4"/>
  <c r="I360" i="4"/>
  <c r="X521" i="4"/>
  <c r="X524" i="4" s="1"/>
  <c r="X476" i="4"/>
  <c r="X430" i="4"/>
  <c r="X160" i="4"/>
  <c r="G13" i="43" s="1"/>
  <c r="X363" i="4"/>
  <c r="X310" i="4"/>
  <c r="U261" i="4"/>
  <c r="R261" i="4"/>
  <c r="O261" i="4"/>
  <c r="L261" i="4"/>
  <c r="H261" i="4"/>
  <c r="X262" i="4"/>
  <c r="I261" i="4"/>
  <c r="X429" i="4" l="1"/>
  <c r="X431" i="4" s="1"/>
  <c r="J24" i="39"/>
  <c r="J16" i="39"/>
  <c r="G40" i="43"/>
  <c r="J17" i="39"/>
  <c r="J15" i="39"/>
  <c r="J14" i="39"/>
  <c r="J21" i="39"/>
  <c r="J13" i="39"/>
  <c r="J22" i="39"/>
  <c r="J23" i="39"/>
  <c r="J18" i="39"/>
  <c r="J19" i="39"/>
  <c r="J20" i="39"/>
  <c r="J12" i="39"/>
  <c r="J11" i="39"/>
  <c r="P41" i="52"/>
  <c r="Y260" i="4"/>
  <c r="X362" i="4"/>
  <c r="X364" i="4"/>
  <c r="X361" i="4"/>
  <c r="X360" i="4"/>
  <c r="X261" i="4"/>
  <c r="X263" i="4" s="1"/>
  <c r="X365" i="4" l="1"/>
  <c r="R41" i="52"/>
  <c r="R42" i="52" s="1"/>
  <c r="P42" i="52"/>
  <c r="U203" i="4" l="1"/>
  <c r="R203" i="4"/>
  <c r="O203" i="4"/>
  <c r="L203" i="4"/>
  <c r="H203" i="4"/>
  <c r="I203" i="4"/>
  <c r="U201" i="4"/>
  <c r="R201" i="4"/>
  <c r="O201" i="4"/>
  <c r="L201" i="4"/>
  <c r="H201" i="4"/>
  <c r="I201" i="4"/>
  <c r="L159" i="4"/>
  <c r="H159" i="4"/>
  <c r="I159" i="4"/>
  <c r="X159" i="4" l="1"/>
  <c r="X201" i="4"/>
  <c r="X202" i="4"/>
  <c r="X203" i="4"/>
  <c r="P306" i="4"/>
  <c r="V412" i="4"/>
  <c r="I14" i="4"/>
  <c r="X348" i="4"/>
  <c r="W347" i="4"/>
  <c r="Y347" i="4" s="1"/>
  <c r="V348" i="4"/>
  <c r="S348" i="4"/>
  <c r="P348" i="4"/>
  <c r="M348" i="4"/>
  <c r="J348" i="4"/>
  <c r="Q148" i="47"/>
  <c r="H155" i="4"/>
  <c r="W202" i="4"/>
  <c r="J204" i="4"/>
  <c r="X204" i="4" l="1"/>
  <c r="Y202" i="4"/>
  <c r="W348" i="4"/>
  <c r="Y348" i="4"/>
  <c r="I20" i="4"/>
  <c r="I119" i="4"/>
  <c r="S119" i="4" s="1"/>
  <c r="I235" i="4"/>
  <c r="I294" i="4"/>
  <c r="N30" i="52"/>
  <c r="L30" i="52"/>
  <c r="J30" i="52"/>
  <c r="H30" i="52"/>
  <c r="E30" i="52"/>
  <c r="E31" i="52" s="1"/>
  <c r="J119" i="4" l="1"/>
  <c r="M119" i="4"/>
  <c r="V119" i="4"/>
  <c r="P119" i="4"/>
  <c r="O14" i="52"/>
  <c r="M14" i="52"/>
  <c r="K14" i="52"/>
  <c r="I14" i="52"/>
  <c r="G14" i="52"/>
  <c r="N31" i="52"/>
  <c r="O31" i="52" s="1"/>
  <c r="N32" i="52"/>
  <c r="O32" i="52" s="1"/>
  <c r="L32" i="52"/>
  <c r="M32" i="52" s="1"/>
  <c r="L31" i="52"/>
  <c r="M31" i="52" s="1"/>
  <c r="J32" i="52"/>
  <c r="K32" i="52" s="1"/>
  <c r="J31" i="52"/>
  <c r="K31" i="52" s="1"/>
  <c r="H32" i="52"/>
  <c r="I32" i="52" s="1"/>
  <c r="H31" i="52"/>
  <c r="I31" i="52" s="1"/>
  <c r="E32" i="52"/>
  <c r="G32" i="52" s="1"/>
  <c r="G31" i="52"/>
  <c r="Q34" i="52"/>
  <c r="Q25" i="52"/>
  <c r="I12" i="52"/>
  <c r="K12" i="52"/>
  <c r="M12" i="52"/>
  <c r="O12" i="52"/>
  <c r="O13" i="52"/>
  <c r="O16" i="52"/>
  <c r="O17" i="52"/>
  <c r="O18" i="52"/>
  <c r="O19" i="52"/>
  <c r="O11" i="52"/>
  <c r="M13" i="52"/>
  <c r="M16" i="52"/>
  <c r="M17" i="52"/>
  <c r="M18" i="52"/>
  <c r="M19" i="52"/>
  <c r="M11" i="52"/>
  <c r="K11" i="52"/>
  <c r="K13" i="52"/>
  <c r="K16" i="52"/>
  <c r="K17" i="52"/>
  <c r="K18" i="52"/>
  <c r="K19" i="52"/>
  <c r="I16" i="52"/>
  <c r="I17" i="52"/>
  <c r="I18" i="52"/>
  <c r="I19" i="52"/>
  <c r="I13" i="52"/>
  <c r="I11" i="52"/>
  <c r="I11" i="38"/>
  <c r="G11" i="52"/>
  <c r="Q20" i="52"/>
  <c r="G19" i="52"/>
  <c r="G18" i="52"/>
  <c r="G17" i="52"/>
  <c r="G16" i="52"/>
  <c r="G13" i="52"/>
  <c r="G12" i="52"/>
  <c r="A8" i="52"/>
  <c r="Q38" i="52"/>
  <c r="O37" i="52"/>
  <c r="M37" i="52"/>
  <c r="K37" i="52"/>
  <c r="I37" i="52"/>
  <c r="G37" i="52"/>
  <c r="O33" i="52"/>
  <c r="M33" i="52"/>
  <c r="G33" i="52"/>
  <c r="O30" i="52"/>
  <c r="M30" i="52"/>
  <c r="G30" i="52"/>
  <c r="O28" i="52"/>
  <c r="M28" i="52"/>
  <c r="K28" i="52"/>
  <c r="I28" i="52"/>
  <c r="G28" i="52"/>
  <c r="W119" i="4" l="1"/>
  <c r="Y119" i="4" s="1"/>
  <c r="G23" i="52"/>
  <c r="I23" i="52"/>
  <c r="K23" i="52"/>
  <c r="M23" i="52"/>
  <c r="O23" i="52"/>
  <c r="P14" i="52"/>
  <c r="R14" i="52" s="1"/>
  <c r="M20" i="52"/>
  <c r="G20" i="52"/>
  <c r="O34" i="52"/>
  <c r="M34" i="52"/>
  <c r="G34" i="52"/>
  <c r="K20" i="52"/>
  <c r="P32" i="52"/>
  <c r="R32" i="52" s="1"/>
  <c r="I24" i="52"/>
  <c r="O20" i="52"/>
  <c r="O38" i="52"/>
  <c r="I20" i="52"/>
  <c r="P28" i="52"/>
  <c r="R28" i="52" s="1"/>
  <c r="K33" i="52"/>
  <c r="P37" i="52"/>
  <c r="R37" i="52" s="1"/>
  <c r="I38" i="52"/>
  <c r="K38" i="52"/>
  <c r="M38" i="52"/>
  <c r="Q48" i="52"/>
  <c r="Q50" i="52" s="1"/>
  <c r="P31" i="52"/>
  <c r="K30" i="52"/>
  <c r="G38" i="52"/>
  <c r="I30" i="52"/>
  <c r="I33" i="52"/>
  <c r="P33" i="52" l="1"/>
  <c r="R33" i="52" s="1"/>
  <c r="I34" i="52"/>
  <c r="I25" i="52"/>
  <c r="I44" i="52" s="1"/>
  <c r="K34" i="52"/>
  <c r="P38" i="52"/>
  <c r="R31" i="52"/>
  <c r="G25" i="52"/>
  <c r="P17" i="52"/>
  <c r="R17" i="52" s="1"/>
  <c r="K24" i="52"/>
  <c r="P18" i="52"/>
  <c r="R18" i="52" s="1"/>
  <c r="P12" i="52"/>
  <c r="R12" i="52" s="1"/>
  <c r="P13" i="52"/>
  <c r="R13" i="52" s="1"/>
  <c r="R38" i="52"/>
  <c r="P30" i="52"/>
  <c r="P34" i="52" l="1"/>
  <c r="G46" i="52"/>
  <c r="G48" i="52" s="1"/>
  <c r="G50" i="52" s="1"/>
  <c r="I46" i="52"/>
  <c r="I48" i="52" s="1"/>
  <c r="K25" i="52"/>
  <c r="K44" i="52" s="1"/>
  <c r="M24" i="52"/>
  <c r="M25" i="52" s="1"/>
  <c r="M44" i="52" s="1"/>
  <c r="R30" i="52"/>
  <c r="R34" i="52" s="1"/>
  <c r="J197" i="4" l="1"/>
  <c r="I50" i="52"/>
  <c r="M197" i="4"/>
  <c r="P16" i="52"/>
  <c r="R16" i="52" s="1"/>
  <c r="O24" i="52"/>
  <c r="P24" i="52" s="1"/>
  <c r="P19" i="52"/>
  <c r="K46" i="52"/>
  <c r="K48" i="52" s="1"/>
  <c r="K50" i="52" l="1"/>
  <c r="P197" i="4"/>
  <c r="P23" i="52"/>
  <c r="O25" i="52"/>
  <c r="O44" i="52" s="1"/>
  <c r="R19" i="52"/>
  <c r="P11" i="52"/>
  <c r="P20" i="52" s="1"/>
  <c r="M46" i="52"/>
  <c r="M48" i="52" s="1"/>
  <c r="M50" i="52" l="1"/>
  <c r="S197" i="4"/>
  <c r="R23" i="52"/>
  <c r="P25" i="52"/>
  <c r="P44" i="52" s="1"/>
  <c r="O46" i="52"/>
  <c r="O48" i="52" s="1"/>
  <c r="R11" i="52"/>
  <c r="R20" i="52" s="1"/>
  <c r="R24" i="52"/>
  <c r="O50" i="52" l="1"/>
  <c r="V197" i="4"/>
  <c r="R25" i="52"/>
  <c r="R44" i="52" s="1"/>
  <c r="P46" i="52"/>
  <c r="R46" i="52" s="1"/>
  <c r="R48" i="52" l="1"/>
  <c r="R50" i="52" s="1"/>
  <c r="P48" i="52"/>
  <c r="P50" i="52" s="1"/>
  <c r="J524" i="4" l="1"/>
  <c r="V524" i="4"/>
  <c r="S524" i="4"/>
  <c r="P524" i="4"/>
  <c r="M524" i="4"/>
  <c r="W521" i="4"/>
  <c r="J477" i="4"/>
  <c r="V477" i="4"/>
  <c r="S477" i="4"/>
  <c r="P477" i="4"/>
  <c r="M477" i="4"/>
  <c r="W476" i="4"/>
  <c r="W477" i="4" s="1"/>
  <c r="V431" i="4"/>
  <c r="S431" i="4"/>
  <c r="P431" i="4"/>
  <c r="M431" i="4"/>
  <c r="J431" i="4"/>
  <c r="W430" i="4"/>
  <c r="Y430" i="4" s="1"/>
  <c r="V365" i="4"/>
  <c r="S365" i="4"/>
  <c r="P365" i="4"/>
  <c r="M365" i="4"/>
  <c r="J365" i="4"/>
  <c r="W361" i="4"/>
  <c r="Y361" i="4" s="1"/>
  <c r="W362" i="4"/>
  <c r="Y362" i="4" s="1"/>
  <c r="W364" i="4"/>
  <c r="Y364" i="4" s="1"/>
  <c r="W363" i="4"/>
  <c r="Y363" i="4" s="1"/>
  <c r="W360" i="4"/>
  <c r="J311" i="4"/>
  <c r="X311" i="4"/>
  <c r="V311" i="4"/>
  <c r="S311" i="4"/>
  <c r="P311" i="4"/>
  <c r="M311" i="4"/>
  <c r="W310" i="4"/>
  <c r="W311" i="4" s="1"/>
  <c r="E315" i="4"/>
  <c r="W262" i="4"/>
  <c r="Y262" i="4" s="1"/>
  <c r="W261" i="4"/>
  <c r="V204" i="4"/>
  <c r="S204" i="4"/>
  <c r="P204" i="4"/>
  <c r="M204" i="4"/>
  <c r="W203" i="4"/>
  <c r="Y203" i="4" s="1"/>
  <c r="W201" i="4"/>
  <c r="Y201" i="4" s="1"/>
  <c r="X161" i="4"/>
  <c r="V161" i="4"/>
  <c r="S161" i="4"/>
  <c r="P161" i="4"/>
  <c r="M161" i="4"/>
  <c r="J161" i="4"/>
  <c r="Y261" i="4" l="1"/>
  <c r="W263" i="4"/>
  <c r="W524" i="4"/>
  <c r="W365" i="4"/>
  <c r="Y476" i="4"/>
  <c r="Y477" i="4" s="1"/>
  <c r="X477" i="4"/>
  <c r="Y360" i="4"/>
  <c r="Y365" i="4" s="1"/>
  <c r="Y204" i="4"/>
  <c r="W204" i="4"/>
  <c r="Y310" i="4"/>
  <c r="Y311" i="4" s="1"/>
  <c r="W159" i="4"/>
  <c r="W160" i="4"/>
  <c r="Y160" i="4" s="1"/>
  <c r="M12" i="38"/>
  <c r="M13" i="38"/>
  <c r="M14" i="38"/>
  <c r="M11" i="38"/>
  <c r="K12" i="38"/>
  <c r="K13" i="38"/>
  <c r="K14" i="38"/>
  <c r="K11" i="38"/>
  <c r="I12" i="38"/>
  <c r="I13" i="38"/>
  <c r="I14" i="38"/>
  <c r="G12" i="38"/>
  <c r="G13" i="38"/>
  <c r="G14" i="38"/>
  <c r="G11" i="38"/>
  <c r="Y263" i="4" l="1"/>
  <c r="AD265" i="4"/>
  <c r="G56" i="43" s="1"/>
  <c r="AE265" i="4"/>
  <c r="G57" i="43" s="1"/>
  <c r="Y521" i="4"/>
  <c r="Y524" i="4" s="1"/>
  <c r="Y159" i="4"/>
  <c r="Y161" i="4" s="1"/>
  <c r="W161" i="4"/>
  <c r="M15" i="38"/>
  <c r="O13" i="38" l="1"/>
  <c r="P13" i="38" s="1"/>
  <c r="R13" i="38" s="1"/>
  <c r="O12" i="38"/>
  <c r="P12" i="38"/>
  <c r="R12" i="38" s="1"/>
  <c r="Q24" i="38"/>
  <c r="O18" i="38"/>
  <c r="M18" i="38"/>
  <c r="K18" i="38"/>
  <c r="I18" i="38"/>
  <c r="G18" i="38"/>
  <c r="E23" i="38"/>
  <c r="E22" i="38"/>
  <c r="E21" i="38"/>
  <c r="P18" i="38" l="1"/>
  <c r="X307" i="4"/>
  <c r="V306" i="4"/>
  <c r="V307" i="4" s="1"/>
  <c r="S306" i="4"/>
  <c r="S307" i="4" s="1"/>
  <c r="P307" i="4"/>
  <c r="M306" i="4"/>
  <c r="J306" i="4"/>
  <c r="J307" i="4" s="1"/>
  <c r="X302" i="4"/>
  <c r="W301" i="4"/>
  <c r="Y301" i="4" s="1"/>
  <c r="R18" i="38" l="1"/>
  <c r="W306" i="4"/>
  <c r="W307" i="4" s="1"/>
  <c r="M307" i="4"/>
  <c r="X414" i="4"/>
  <c r="W413" i="4"/>
  <c r="Y413" i="4" s="1"/>
  <c r="U398" i="4"/>
  <c r="O398" i="4"/>
  <c r="X473" i="4"/>
  <c r="V470" i="4"/>
  <c r="S470" i="4"/>
  <c r="P470" i="4"/>
  <c r="M470" i="4"/>
  <c r="J470" i="4"/>
  <c r="W246" i="4"/>
  <c r="Y246" i="4" s="1"/>
  <c r="X248" i="4"/>
  <c r="W247" i="4"/>
  <c r="Y247" i="4" s="1"/>
  <c r="H47" i="47"/>
  <c r="E47" i="47"/>
  <c r="E44" i="47"/>
  <c r="W470" i="4" l="1"/>
  <c r="Y470" i="4" s="1"/>
  <c r="Y306" i="4"/>
  <c r="Y307" i="4" s="1"/>
  <c r="W244" i="4"/>
  <c r="Y244" i="4" s="1"/>
  <c r="G58" i="47"/>
  <c r="G107" i="47"/>
  <c r="I107" i="47"/>
  <c r="I108" i="47" s="1"/>
  <c r="K107" i="47"/>
  <c r="K108" i="47" s="1"/>
  <c r="M107" i="47"/>
  <c r="O107" i="47"/>
  <c r="Q108" i="47"/>
  <c r="Q136" i="47"/>
  <c r="O25" i="47"/>
  <c r="M25" i="47"/>
  <c r="K25" i="47"/>
  <c r="I25" i="47"/>
  <c r="G25" i="47"/>
  <c r="O23" i="47"/>
  <c r="M23" i="47"/>
  <c r="K23" i="47"/>
  <c r="I23" i="47"/>
  <c r="G23" i="47"/>
  <c r="O24" i="47"/>
  <c r="M24" i="47"/>
  <c r="K24" i="47"/>
  <c r="I24" i="47"/>
  <c r="G24" i="47"/>
  <c r="O125" i="47"/>
  <c r="M125" i="47"/>
  <c r="K125" i="47"/>
  <c r="I125" i="47"/>
  <c r="G125" i="47"/>
  <c r="G81" i="47"/>
  <c r="I81" i="47"/>
  <c r="K81" i="47"/>
  <c r="M81" i="47"/>
  <c r="O81" i="47"/>
  <c r="P25" i="47" l="1"/>
  <c r="R25" i="47" s="1"/>
  <c r="P23" i="47"/>
  <c r="R23" i="47" s="1"/>
  <c r="P125" i="47"/>
  <c r="R125" i="47" s="1"/>
  <c r="P107" i="47"/>
  <c r="R107" i="47" s="1"/>
  <c r="O108" i="47"/>
  <c r="M108" i="47"/>
  <c r="G108" i="47"/>
  <c r="P24" i="47"/>
  <c r="R24" i="47" s="1"/>
  <c r="P81" i="47"/>
  <c r="R81" i="47" s="1"/>
  <c r="K58" i="47"/>
  <c r="M58" i="47"/>
  <c r="O58" i="47"/>
  <c r="K59" i="47"/>
  <c r="M59" i="47"/>
  <c r="O59" i="47"/>
  <c r="K60" i="47"/>
  <c r="M60" i="47"/>
  <c r="O60" i="47"/>
  <c r="H44" i="47"/>
  <c r="E41" i="47"/>
  <c r="H41" i="47"/>
  <c r="E40" i="47"/>
  <c r="H40" i="47"/>
  <c r="R108" i="47" l="1"/>
  <c r="P108" i="47"/>
  <c r="O17" i="47"/>
  <c r="M17" i="47"/>
  <c r="K17" i="47"/>
  <c r="I17" i="47"/>
  <c r="G17" i="47"/>
  <c r="P17" i="47" l="1"/>
  <c r="R17" i="47" s="1"/>
  <c r="G101" i="47"/>
  <c r="G102" i="47"/>
  <c r="G103" i="47"/>
  <c r="H92" i="47"/>
  <c r="J92" i="47"/>
  <c r="L92" i="47"/>
  <c r="M92" i="47" s="1"/>
  <c r="M79" i="47"/>
  <c r="M80" i="47"/>
  <c r="M82" i="47"/>
  <c r="M83" i="47"/>
  <c r="M85" i="47"/>
  <c r="M86" i="47"/>
  <c r="M91" i="47"/>
  <c r="M96" i="47"/>
  <c r="M97" i="47" s="1"/>
  <c r="M100" i="47"/>
  <c r="M111" i="47"/>
  <c r="O85" i="47"/>
  <c r="K85" i="47"/>
  <c r="G85" i="47"/>
  <c r="M87" i="47" l="1"/>
  <c r="M93" i="47"/>
  <c r="M104" i="47"/>
  <c r="P85" i="47"/>
  <c r="R85" i="47" s="1"/>
  <c r="X297" i="4" l="1"/>
  <c r="V294" i="4"/>
  <c r="X238" i="4"/>
  <c r="V235" i="4"/>
  <c r="U59" i="4"/>
  <c r="R59" i="4"/>
  <c r="O59" i="4"/>
  <c r="L59" i="4"/>
  <c r="H59" i="4"/>
  <c r="H60" i="4" s="1"/>
  <c r="U54" i="4"/>
  <c r="R54" i="4"/>
  <c r="O54" i="4"/>
  <c r="L54" i="4"/>
  <c r="H54" i="4"/>
  <c r="O52" i="47"/>
  <c r="M52" i="47"/>
  <c r="K52" i="47"/>
  <c r="I52" i="47"/>
  <c r="G52" i="47"/>
  <c r="Q54" i="47"/>
  <c r="O53" i="47"/>
  <c r="M53" i="47"/>
  <c r="K53" i="47"/>
  <c r="I53" i="47"/>
  <c r="G53" i="47"/>
  <c r="U124" i="4"/>
  <c r="V124" i="4" s="1"/>
  <c r="R124" i="4"/>
  <c r="S124" i="4" s="1"/>
  <c r="O124" i="4"/>
  <c r="P124" i="4" s="1"/>
  <c r="L124" i="4"/>
  <c r="M124" i="4" s="1"/>
  <c r="H124" i="4"/>
  <c r="J124" i="4" s="1"/>
  <c r="U123" i="4"/>
  <c r="V123" i="4" s="1"/>
  <c r="R123" i="4"/>
  <c r="S123" i="4" s="1"/>
  <c r="O123" i="4"/>
  <c r="P123" i="4" s="1"/>
  <c r="L123" i="4"/>
  <c r="M123" i="4" s="1"/>
  <c r="H123" i="4"/>
  <c r="J123" i="4" s="1"/>
  <c r="X125" i="4"/>
  <c r="V120" i="4"/>
  <c r="S120" i="4"/>
  <c r="P120" i="4"/>
  <c r="M120" i="4"/>
  <c r="J120" i="4"/>
  <c r="V116" i="4"/>
  <c r="S116" i="4"/>
  <c r="P116" i="4"/>
  <c r="M116" i="4"/>
  <c r="J116" i="4"/>
  <c r="V122" i="4"/>
  <c r="S122" i="4"/>
  <c r="P122" i="4"/>
  <c r="M122" i="4"/>
  <c r="J122" i="4"/>
  <c r="V118" i="4"/>
  <c r="S118" i="4"/>
  <c r="P118" i="4"/>
  <c r="M118" i="4"/>
  <c r="J118" i="4"/>
  <c r="M125" i="4" l="1"/>
  <c r="J294" i="4"/>
  <c r="M294" i="4"/>
  <c r="P294" i="4"/>
  <c r="S294" i="4"/>
  <c r="M235" i="4"/>
  <c r="J235" i="4"/>
  <c r="P235" i="4"/>
  <c r="S235" i="4"/>
  <c r="P52" i="47"/>
  <c r="R52" i="47" s="1"/>
  <c r="W120" i="4"/>
  <c r="Y120" i="4" s="1"/>
  <c r="P53" i="47"/>
  <c r="R53" i="47" s="1"/>
  <c r="S125" i="4"/>
  <c r="G43" i="41" s="1"/>
  <c r="V125" i="4"/>
  <c r="H43" i="41" s="1"/>
  <c r="P125" i="4"/>
  <c r="F43" i="41" s="1"/>
  <c r="J125" i="4"/>
  <c r="D43" i="41" s="1"/>
  <c r="W122" i="4"/>
  <c r="Y122" i="4" s="1"/>
  <c r="W123" i="4"/>
  <c r="W116" i="4"/>
  <c r="Y116" i="4" s="1"/>
  <c r="W124" i="4"/>
  <c r="Y124" i="4" s="1"/>
  <c r="W118" i="4"/>
  <c r="Y118" i="4" s="1"/>
  <c r="C24" i="28" l="1"/>
  <c r="E43" i="41"/>
  <c r="I43" i="41" s="1"/>
  <c r="W235" i="4"/>
  <c r="Y235" i="4" s="1"/>
  <c r="W294" i="4"/>
  <c r="Y123" i="4"/>
  <c r="AB125" i="4" s="1"/>
  <c r="W125" i="4"/>
  <c r="X144" i="4"/>
  <c r="E142" i="4"/>
  <c r="F142" i="4"/>
  <c r="H142" i="4"/>
  <c r="K142" i="4"/>
  <c r="L142" i="4"/>
  <c r="O142" i="4"/>
  <c r="Q142" i="4"/>
  <c r="R142" i="4"/>
  <c r="T142" i="4"/>
  <c r="U142" i="4"/>
  <c r="E143" i="4"/>
  <c r="F143" i="4"/>
  <c r="H143" i="4"/>
  <c r="K143" i="4"/>
  <c r="L143" i="4"/>
  <c r="O143" i="4"/>
  <c r="Q143" i="4"/>
  <c r="R143" i="4"/>
  <c r="T143" i="4"/>
  <c r="U143" i="4"/>
  <c r="X182" i="4"/>
  <c r="E180" i="4"/>
  <c r="F180" i="4"/>
  <c r="H180" i="4"/>
  <c r="K180" i="4"/>
  <c r="L180" i="4"/>
  <c r="O180" i="4"/>
  <c r="Q180" i="4"/>
  <c r="R180" i="4"/>
  <c r="T180" i="4"/>
  <c r="U180" i="4"/>
  <c r="E181" i="4"/>
  <c r="F181" i="4"/>
  <c r="H181" i="4"/>
  <c r="K181" i="4"/>
  <c r="L181" i="4"/>
  <c r="O181" i="4"/>
  <c r="Q181" i="4"/>
  <c r="R181" i="4"/>
  <c r="T181" i="4"/>
  <c r="U181" i="4"/>
  <c r="X225" i="4"/>
  <c r="E223" i="4"/>
  <c r="F223" i="4"/>
  <c r="H223" i="4"/>
  <c r="K223" i="4"/>
  <c r="L223" i="4"/>
  <c r="O223" i="4"/>
  <c r="Q223" i="4"/>
  <c r="R223" i="4"/>
  <c r="T223" i="4"/>
  <c r="U223" i="4"/>
  <c r="E224" i="4"/>
  <c r="F224" i="4"/>
  <c r="H224" i="4"/>
  <c r="K224" i="4"/>
  <c r="L224" i="4"/>
  <c r="O224" i="4"/>
  <c r="Q224" i="4"/>
  <c r="R224" i="4"/>
  <c r="T224" i="4"/>
  <c r="U224" i="4"/>
  <c r="X284" i="4"/>
  <c r="E282" i="4"/>
  <c r="F282" i="4"/>
  <c r="H282" i="4"/>
  <c r="K282" i="4"/>
  <c r="L282" i="4"/>
  <c r="O282" i="4"/>
  <c r="Q282" i="4"/>
  <c r="R282" i="4"/>
  <c r="T282" i="4"/>
  <c r="U282" i="4"/>
  <c r="E283" i="4"/>
  <c r="F283" i="4"/>
  <c r="H283" i="4"/>
  <c r="K283" i="4"/>
  <c r="L283" i="4"/>
  <c r="O283" i="4"/>
  <c r="Q283" i="4"/>
  <c r="R283" i="4"/>
  <c r="T283" i="4"/>
  <c r="U283" i="4"/>
  <c r="X332" i="4"/>
  <c r="E330" i="4"/>
  <c r="F330" i="4"/>
  <c r="H330" i="4"/>
  <c r="K330" i="4"/>
  <c r="L330" i="4"/>
  <c r="O330" i="4"/>
  <c r="Q330" i="4"/>
  <c r="R330" i="4"/>
  <c r="T330" i="4"/>
  <c r="U330" i="4"/>
  <c r="E331" i="4"/>
  <c r="F331" i="4"/>
  <c r="H331" i="4"/>
  <c r="K331" i="4"/>
  <c r="L331" i="4"/>
  <c r="O331" i="4"/>
  <c r="Q331" i="4"/>
  <c r="R331" i="4"/>
  <c r="T331" i="4"/>
  <c r="U331" i="4"/>
  <c r="X386" i="4"/>
  <c r="E384" i="4"/>
  <c r="F384" i="4"/>
  <c r="H384" i="4"/>
  <c r="K384" i="4"/>
  <c r="L384" i="4"/>
  <c r="O384" i="4"/>
  <c r="Q384" i="4"/>
  <c r="R384" i="4"/>
  <c r="T384" i="4"/>
  <c r="U384" i="4"/>
  <c r="E385" i="4"/>
  <c r="F385" i="4"/>
  <c r="H385" i="4"/>
  <c r="K385" i="4"/>
  <c r="L385" i="4"/>
  <c r="O385" i="4"/>
  <c r="Q385" i="4"/>
  <c r="R385" i="4"/>
  <c r="T385" i="4"/>
  <c r="U385" i="4"/>
  <c r="X498" i="4"/>
  <c r="F485" i="4"/>
  <c r="H485" i="4"/>
  <c r="K485" i="4"/>
  <c r="L485" i="4"/>
  <c r="O485" i="4"/>
  <c r="Q485" i="4"/>
  <c r="R485" i="4"/>
  <c r="T485" i="4"/>
  <c r="U485" i="4"/>
  <c r="F486" i="4"/>
  <c r="H486" i="4"/>
  <c r="K486" i="4"/>
  <c r="L486" i="4"/>
  <c r="O486" i="4"/>
  <c r="Q486" i="4"/>
  <c r="R486" i="4"/>
  <c r="T486" i="4"/>
  <c r="U486" i="4"/>
  <c r="F487" i="4"/>
  <c r="H487" i="4"/>
  <c r="K487" i="4"/>
  <c r="L487" i="4"/>
  <c r="O487" i="4"/>
  <c r="Q487" i="4"/>
  <c r="R487" i="4"/>
  <c r="T487" i="4"/>
  <c r="U487" i="4"/>
  <c r="F488" i="4"/>
  <c r="H488" i="4"/>
  <c r="K488" i="4"/>
  <c r="L488" i="4"/>
  <c r="O488" i="4"/>
  <c r="Q488" i="4"/>
  <c r="R488" i="4"/>
  <c r="T488" i="4"/>
  <c r="U488" i="4"/>
  <c r="F489" i="4"/>
  <c r="H489" i="4"/>
  <c r="K489" i="4"/>
  <c r="L489" i="4"/>
  <c r="O489" i="4"/>
  <c r="Q489" i="4"/>
  <c r="R489" i="4"/>
  <c r="T489" i="4"/>
  <c r="U489" i="4"/>
  <c r="F490" i="4"/>
  <c r="H490" i="4"/>
  <c r="K490" i="4"/>
  <c r="L490" i="4"/>
  <c r="O490" i="4"/>
  <c r="Q490" i="4"/>
  <c r="R490" i="4"/>
  <c r="T490" i="4"/>
  <c r="U490" i="4"/>
  <c r="F491" i="4"/>
  <c r="H491" i="4"/>
  <c r="K491" i="4"/>
  <c r="L491" i="4"/>
  <c r="O491" i="4"/>
  <c r="Q491" i="4"/>
  <c r="R491" i="4"/>
  <c r="T491" i="4"/>
  <c r="U491" i="4"/>
  <c r="F492" i="4"/>
  <c r="H492" i="4"/>
  <c r="K492" i="4"/>
  <c r="L492" i="4"/>
  <c r="O492" i="4"/>
  <c r="Q492" i="4"/>
  <c r="R492" i="4"/>
  <c r="T492" i="4"/>
  <c r="U492" i="4"/>
  <c r="F493" i="4"/>
  <c r="H493" i="4"/>
  <c r="K493" i="4"/>
  <c r="L493" i="4"/>
  <c r="O493" i="4"/>
  <c r="Q493" i="4"/>
  <c r="R493" i="4"/>
  <c r="T493" i="4"/>
  <c r="U493" i="4"/>
  <c r="F494" i="4"/>
  <c r="H494" i="4"/>
  <c r="K494" i="4"/>
  <c r="L494" i="4"/>
  <c r="O494" i="4"/>
  <c r="Q494" i="4"/>
  <c r="R494" i="4"/>
  <c r="T494" i="4"/>
  <c r="U494" i="4"/>
  <c r="F495" i="4"/>
  <c r="H495" i="4"/>
  <c r="K495" i="4"/>
  <c r="L495" i="4"/>
  <c r="O495" i="4"/>
  <c r="Q495" i="4"/>
  <c r="R495" i="4"/>
  <c r="T495" i="4"/>
  <c r="U495" i="4"/>
  <c r="F496" i="4"/>
  <c r="H496" i="4"/>
  <c r="K496" i="4"/>
  <c r="L496" i="4"/>
  <c r="O496" i="4"/>
  <c r="Q496" i="4"/>
  <c r="R496" i="4"/>
  <c r="T496" i="4"/>
  <c r="U496" i="4"/>
  <c r="F497" i="4"/>
  <c r="H497" i="4"/>
  <c r="K497" i="4"/>
  <c r="L497" i="4"/>
  <c r="O497" i="4"/>
  <c r="Q497" i="4"/>
  <c r="R497" i="4"/>
  <c r="T497" i="4"/>
  <c r="U497" i="4"/>
  <c r="E496" i="4"/>
  <c r="E497" i="4"/>
  <c r="X452" i="4"/>
  <c r="E451" i="4"/>
  <c r="F451" i="4"/>
  <c r="H451" i="4"/>
  <c r="K451" i="4"/>
  <c r="L451" i="4"/>
  <c r="O451" i="4"/>
  <c r="Q451" i="4"/>
  <c r="R451" i="4"/>
  <c r="T451" i="4"/>
  <c r="U451" i="4"/>
  <c r="E450" i="4"/>
  <c r="F450" i="4"/>
  <c r="H450" i="4"/>
  <c r="K450" i="4"/>
  <c r="L450" i="4"/>
  <c r="O450" i="4"/>
  <c r="Q450" i="4"/>
  <c r="R450" i="4"/>
  <c r="T450" i="4"/>
  <c r="U450" i="4"/>
  <c r="D118" i="30"/>
  <c r="D94" i="30"/>
  <c r="D70" i="30"/>
  <c r="D46" i="30"/>
  <c r="D22" i="30"/>
  <c r="I491" i="4"/>
  <c r="I485" i="4"/>
  <c r="I23" i="4"/>
  <c r="I494" i="4" s="1"/>
  <c r="B24" i="28" l="1"/>
  <c r="C25" i="28"/>
  <c r="AA125" i="4"/>
  <c r="Y294" i="4"/>
  <c r="Y125" i="4"/>
  <c r="J485" i="4"/>
  <c r="V485" i="4"/>
  <c r="S494" i="4"/>
  <c r="J491" i="4"/>
  <c r="M485" i="4"/>
  <c r="J494" i="4"/>
  <c r="V494" i="4"/>
  <c r="S491" i="4"/>
  <c r="P491" i="4"/>
  <c r="P494" i="4"/>
  <c r="M491" i="4"/>
  <c r="S485" i="4"/>
  <c r="M494" i="4"/>
  <c r="V491" i="4"/>
  <c r="P485" i="4"/>
  <c r="M517" i="4"/>
  <c r="W494" i="4" l="1"/>
  <c r="Y494" i="4" s="1"/>
  <c r="W485" i="4"/>
  <c r="Y485" i="4" s="1"/>
  <c r="W491" i="4"/>
  <c r="Y491" i="4" s="1"/>
  <c r="O14" i="47"/>
  <c r="M14" i="47"/>
  <c r="K14" i="47"/>
  <c r="I14" i="47"/>
  <c r="G14" i="47"/>
  <c r="G23" i="38"/>
  <c r="L23" i="38"/>
  <c r="M23" i="38" s="1"/>
  <c r="O23" i="38"/>
  <c r="P14" i="47" l="1"/>
  <c r="R14" i="47" s="1"/>
  <c r="J66" i="4" l="1"/>
  <c r="I30" i="4" l="1"/>
  <c r="G50" i="43" l="1"/>
  <c r="Q28" i="38"/>
  <c r="F28" i="38"/>
  <c r="O27" i="38"/>
  <c r="O28" i="38" s="1"/>
  <c r="M27" i="38"/>
  <c r="M28" i="38" s="1"/>
  <c r="K27" i="38"/>
  <c r="K28" i="38" s="1"/>
  <c r="I28" i="38"/>
  <c r="G28" i="38"/>
  <c r="Q35" i="38"/>
  <c r="O34" i="38"/>
  <c r="M34" i="38"/>
  <c r="K34" i="38"/>
  <c r="L22" i="38"/>
  <c r="L21" i="38"/>
  <c r="J20" i="38"/>
  <c r="H20" i="38"/>
  <c r="H21" i="38" l="1"/>
  <c r="H23" i="38"/>
  <c r="I23" i="38" s="1"/>
  <c r="J21" i="38"/>
  <c r="J23" i="38"/>
  <c r="K23" i="38" s="1"/>
  <c r="P27" i="38"/>
  <c r="P34" i="38"/>
  <c r="R34" i="38" s="1"/>
  <c r="J22" i="38"/>
  <c r="H22" i="38"/>
  <c r="P23" i="38" l="1"/>
  <c r="R23" i="38" s="1"/>
  <c r="R27" i="38"/>
  <c r="R28" i="38" s="1"/>
  <c r="P28" i="38"/>
  <c r="V466" i="4" l="1"/>
  <c r="S466" i="4"/>
  <c r="P466" i="4"/>
  <c r="M466" i="4"/>
  <c r="J466" i="4"/>
  <c r="I25" i="4"/>
  <c r="I26" i="4"/>
  <c r="I27" i="4"/>
  <c r="X463" i="4"/>
  <c r="X409" i="4"/>
  <c r="I283" i="4" l="1"/>
  <c r="I143" i="4"/>
  <c r="I331" i="4"/>
  <c r="I451" i="4"/>
  <c r="I385" i="4"/>
  <c r="I497" i="4"/>
  <c r="I181" i="4"/>
  <c r="I224" i="4"/>
  <c r="I180" i="4"/>
  <c r="I496" i="4"/>
  <c r="I223" i="4"/>
  <c r="I450" i="4"/>
  <c r="I282" i="4"/>
  <c r="I142" i="4"/>
  <c r="I330" i="4"/>
  <c r="I384" i="4"/>
  <c r="W466" i="4"/>
  <c r="Y466" i="4" s="1"/>
  <c r="Y467" i="4" s="1"/>
  <c r="G111" i="47"/>
  <c r="I111" i="47"/>
  <c r="K111" i="47"/>
  <c r="K112" i="47" s="1"/>
  <c r="O111" i="47"/>
  <c r="O112" i="47" s="1"/>
  <c r="G100" i="47"/>
  <c r="G104" i="47" s="1"/>
  <c r="I100" i="47"/>
  <c r="I104" i="47" s="1"/>
  <c r="K100" i="47"/>
  <c r="K104" i="47" s="1"/>
  <c r="O100" i="47"/>
  <c r="O101" i="47"/>
  <c r="O102" i="47"/>
  <c r="O103" i="47"/>
  <c r="P103" i="47" s="1"/>
  <c r="R103" i="47" s="1"/>
  <c r="G91" i="47"/>
  <c r="I91" i="47"/>
  <c r="K91" i="47"/>
  <c r="O91" i="47"/>
  <c r="G92" i="47"/>
  <c r="I92" i="47"/>
  <c r="K92" i="47"/>
  <c r="O92" i="47"/>
  <c r="G79" i="47"/>
  <c r="I79" i="47"/>
  <c r="K79" i="47"/>
  <c r="O79" i="47"/>
  <c r="G80" i="47"/>
  <c r="I80" i="47"/>
  <c r="K80" i="47"/>
  <c r="O80" i="47"/>
  <c r="G82" i="47"/>
  <c r="I82" i="47"/>
  <c r="K82" i="47"/>
  <c r="O82" i="47"/>
  <c r="G83" i="47"/>
  <c r="I83" i="47"/>
  <c r="K83" i="47"/>
  <c r="O83" i="47"/>
  <c r="G86" i="47"/>
  <c r="K86" i="47"/>
  <c r="O86" i="47"/>
  <c r="G96" i="47"/>
  <c r="G97" i="47" s="1"/>
  <c r="I96" i="47"/>
  <c r="I97" i="47" s="1"/>
  <c r="K96" i="47"/>
  <c r="K97" i="47" s="1"/>
  <c r="O96" i="47"/>
  <c r="O97" i="47" s="1"/>
  <c r="Q112" i="47"/>
  <c r="Q104" i="47"/>
  <c r="Q93" i="47"/>
  <c r="Q87" i="47"/>
  <c r="Q97" i="47"/>
  <c r="M112" i="47"/>
  <c r="M114" i="47" s="1"/>
  <c r="I112" i="47"/>
  <c r="G146" i="47"/>
  <c r="I146" i="47"/>
  <c r="I148" i="47" s="1"/>
  <c r="K146" i="47"/>
  <c r="K148" i="47" s="1"/>
  <c r="M146" i="47"/>
  <c r="M148" i="47" s="1"/>
  <c r="O146" i="47"/>
  <c r="O148" i="47" s="1"/>
  <c r="G147" i="47"/>
  <c r="P147" i="47" s="1"/>
  <c r="I147" i="47"/>
  <c r="K147" i="47"/>
  <c r="M147" i="47"/>
  <c r="O147" i="47"/>
  <c r="G139" i="47"/>
  <c r="I139" i="47"/>
  <c r="I143" i="47" s="1"/>
  <c r="K139" i="47"/>
  <c r="K143" i="47" s="1"/>
  <c r="M139" i="47"/>
  <c r="O139" i="47"/>
  <c r="O140" i="47"/>
  <c r="O141" i="47"/>
  <c r="O142" i="47"/>
  <c r="G134" i="47"/>
  <c r="I134" i="47"/>
  <c r="K134" i="47"/>
  <c r="M134" i="47"/>
  <c r="O134" i="47"/>
  <c r="G135" i="47"/>
  <c r="H135" i="47"/>
  <c r="I135" i="47" s="1"/>
  <c r="J135" i="47"/>
  <c r="K135" i="47" s="1"/>
  <c r="M135" i="47"/>
  <c r="O135" i="47"/>
  <c r="G124" i="47"/>
  <c r="I124" i="47"/>
  <c r="K124" i="47"/>
  <c r="M124" i="47"/>
  <c r="O124" i="47"/>
  <c r="G126" i="47"/>
  <c r="I126" i="47"/>
  <c r="K126" i="47"/>
  <c r="M126" i="47"/>
  <c r="O126" i="47"/>
  <c r="G127" i="47"/>
  <c r="I127" i="47"/>
  <c r="K127" i="47"/>
  <c r="M127" i="47"/>
  <c r="O127" i="47"/>
  <c r="G129" i="47"/>
  <c r="I129" i="47"/>
  <c r="K129" i="47"/>
  <c r="M129" i="47"/>
  <c r="O129" i="47"/>
  <c r="Q143" i="47"/>
  <c r="Q130" i="47"/>
  <c r="X467" i="4"/>
  <c r="V467" i="4"/>
  <c r="S467" i="4"/>
  <c r="P467" i="4"/>
  <c r="M467" i="4"/>
  <c r="J467" i="4"/>
  <c r="X459" i="4"/>
  <c r="F444" i="4"/>
  <c r="F439" i="4"/>
  <c r="F440" i="4"/>
  <c r="F441" i="4"/>
  <c r="F449" i="4"/>
  <c r="F442" i="4"/>
  <c r="F443" i="4"/>
  <c r="F445" i="4"/>
  <c r="F446" i="4"/>
  <c r="F447" i="4"/>
  <c r="F448" i="4"/>
  <c r="F438" i="4"/>
  <c r="X257" i="4"/>
  <c r="H217" i="4"/>
  <c r="F217" i="4"/>
  <c r="H212" i="4"/>
  <c r="F212" i="4"/>
  <c r="H213" i="4"/>
  <c r="F213" i="4"/>
  <c r="H214" i="4"/>
  <c r="F214" i="4"/>
  <c r="H222" i="4"/>
  <c r="F222" i="4"/>
  <c r="H215" i="4"/>
  <c r="F215" i="4"/>
  <c r="H216" i="4"/>
  <c r="F216" i="4"/>
  <c r="H218" i="4"/>
  <c r="F218" i="4"/>
  <c r="H219" i="4"/>
  <c r="F219" i="4"/>
  <c r="H220" i="4"/>
  <c r="F220" i="4"/>
  <c r="H221" i="4"/>
  <c r="F221" i="4"/>
  <c r="H211" i="4"/>
  <c r="F211" i="4"/>
  <c r="S472" i="4"/>
  <c r="S473" i="4" s="1"/>
  <c r="P472" i="4"/>
  <c r="P473" i="4" s="1"/>
  <c r="M472" i="4"/>
  <c r="M473" i="4" s="1"/>
  <c r="J472" i="4"/>
  <c r="J473" i="4" s="1"/>
  <c r="V472" i="4"/>
  <c r="V473" i="4" s="1"/>
  <c r="S462" i="4"/>
  <c r="P462" i="4"/>
  <c r="M462" i="4"/>
  <c r="J462" i="4"/>
  <c r="V462" i="4"/>
  <c r="R444" i="4"/>
  <c r="I19" i="4"/>
  <c r="Q444" i="4"/>
  <c r="R439" i="4"/>
  <c r="I439" i="4"/>
  <c r="Q439" i="4"/>
  <c r="R440" i="4"/>
  <c r="I15" i="4"/>
  <c r="Q440" i="4"/>
  <c r="R441" i="4"/>
  <c r="I16" i="4"/>
  <c r="I487" i="4" s="1"/>
  <c r="Q441" i="4"/>
  <c r="R449" i="4"/>
  <c r="I24" i="4"/>
  <c r="I383" i="4" s="1"/>
  <c r="Q449" i="4"/>
  <c r="I455" i="4"/>
  <c r="O444" i="4"/>
  <c r="O439" i="4"/>
  <c r="O440" i="4"/>
  <c r="O441" i="4"/>
  <c r="O449" i="4"/>
  <c r="L444" i="4"/>
  <c r="K444" i="4"/>
  <c r="L439" i="4"/>
  <c r="K439" i="4"/>
  <c r="L440" i="4"/>
  <c r="K440" i="4"/>
  <c r="L441" i="4"/>
  <c r="K441" i="4"/>
  <c r="L449" i="4"/>
  <c r="K449" i="4"/>
  <c r="H444" i="4"/>
  <c r="H439" i="4"/>
  <c r="H440" i="4"/>
  <c r="H441" i="4"/>
  <c r="H449" i="4"/>
  <c r="U444" i="4"/>
  <c r="T444" i="4"/>
  <c r="U439" i="4"/>
  <c r="T439" i="4"/>
  <c r="U440" i="4"/>
  <c r="T440" i="4"/>
  <c r="U441" i="4"/>
  <c r="T441" i="4"/>
  <c r="U449" i="4"/>
  <c r="T449" i="4"/>
  <c r="R442" i="4"/>
  <c r="I17" i="4"/>
  <c r="I134" i="4" s="1"/>
  <c r="Q442" i="4"/>
  <c r="R443" i="4"/>
  <c r="I18" i="4"/>
  <c r="Q443" i="4"/>
  <c r="R445" i="4"/>
  <c r="Q445" i="4"/>
  <c r="R446" i="4"/>
  <c r="I21" i="4"/>
  <c r="Q446" i="4"/>
  <c r="R447" i="4"/>
  <c r="I22" i="4"/>
  <c r="Q447" i="4"/>
  <c r="R448" i="4"/>
  <c r="I448" i="4"/>
  <c r="Q448" i="4"/>
  <c r="I456" i="4"/>
  <c r="O442" i="4"/>
  <c r="O443" i="4"/>
  <c r="O445" i="4"/>
  <c r="O446" i="4"/>
  <c r="O447" i="4"/>
  <c r="O448" i="4"/>
  <c r="L442" i="4"/>
  <c r="K442" i="4"/>
  <c r="L443" i="4"/>
  <c r="K443" i="4"/>
  <c r="L445" i="4"/>
  <c r="K445" i="4"/>
  <c r="L446" i="4"/>
  <c r="K446" i="4"/>
  <c r="L447" i="4"/>
  <c r="K447" i="4"/>
  <c r="L448" i="4"/>
  <c r="K448" i="4"/>
  <c r="H442" i="4"/>
  <c r="H443" i="4"/>
  <c r="H445" i="4"/>
  <c r="H446" i="4"/>
  <c r="H447" i="4"/>
  <c r="H448" i="4"/>
  <c r="U442" i="4"/>
  <c r="T442" i="4"/>
  <c r="U443" i="4"/>
  <c r="T443" i="4"/>
  <c r="U445" i="4"/>
  <c r="T445" i="4"/>
  <c r="U446" i="4"/>
  <c r="T446" i="4"/>
  <c r="U447" i="4"/>
  <c r="T447" i="4"/>
  <c r="U448" i="4"/>
  <c r="T448" i="4"/>
  <c r="R438" i="4"/>
  <c r="I13" i="4"/>
  <c r="I211" i="4" s="1"/>
  <c r="Q438" i="4"/>
  <c r="I457" i="4"/>
  <c r="O438" i="4"/>
  <c r="L438" i="4"/>
  <c r="K438" i="4"/>
  <c r="H438" i="4"/>
  <c r="U438" i="4"/>
  <c r="T438" i="4"/>
  <c r="I458" i="4"/>
  <c r="S236" i="4"/>
  <c r="P236" i="4"/>
  <c r="M236" i="4"/>
  <c r="J236" i="4"/>
  <c r="V236" i="4"/>
  <c r="R237" i="4"/>
  <c r="S237" i="4" s="1"/>
  <c r="O237" i="4"/>
  <c r="P237" i="4" s="1"/>
  <c r="L237" i="4"/>
  <c r="M237" i="4" s="1"/>
  <c r="H237" i="4"/>
  <c r="J237" i="4" s="1"/>
  <c r="U237" i="4"/>
  <c r="V237" i="4" s="1"/>
  <c r="S48" i="4"/>
  <c r="P48" i="4"/>
  <c r="M48" i="4"/>
  <c r="J48" i="4"/>
  <c r="V48" i="4"/>
  <c r="R49" i="4"/>
  <c r="S49" i="4" s="1"/>
  <c r="O49" i="4"/>
  <c r="P49" i="4" s="1"/>
  <c r="L49" i="4"/>
  <c r="M49" i="4" s="1"/>
  <c r="H49" i="4"/>
  <c r="J49" i="4" s="1"/>
  <c r="U49" i="4"/>
  <c r="V49" i="4" s="1"/>
  <c r="R50" i="4"/>
  <c r="S50" i="4" s="1"/>
  <c r="O50" i="4"/>
  <c r="P50" i="4" s="1"/>
  <c r="L50" i="4"/>
  <c r="M50" i="4" s="1"/>
  <c r="H50" i="4"/>
  <c r="J50" i="4" s="1"/>
  <c r="U50" i="4"/>
  <c r="V50" i="4" s="1"/>
  <c r="R51" i="4"/>
  <c r="S51" i="4" s="1"/>
  <c r="O51" i="4"/>
  <c r="P51" i="4" s="1"/>
  <c r="L51" i="4"/>
  <c r="M51" i="4" s="1"/>
  <c r="H51" i="4"/>
  <c r="J51" i="4" s="1"/>
  <c r="U51" i="4"/>
  <c r="V51" i="4" s="1"/>
  <c r="S53" i="4"/>
  <c r="P53" i="4"/>
  <c r="M53" i="4"/>
  <c r="J53" i="4"/>
  <c r="V53" i="4"/>
  <c r="S54" i="4"/>
  <c r="P54" i="4"/>
  <c r="M54" i="4"/>
  <c r="J54" i="4"/>
  <c r="V54" i="4"/>
  <c r="R55" i="4"/>
  <c r="S55" i="4" s="1"/>
  <c r="O55" i="4"/>
  <c r="P55" i="4" s="1"/>
  <c r="L55" i="4"/>
  <c r="M55" i="4" s="1"/>
  <c r="H55" i="4"/>
  <c r="J55" i="4" s="1"/>
  <c r="U55" i="4"/>
  <c r="V55" i="4" s="1"/>
  <c r="R56" i="4"/>
  <c r="S56" i="4" s="1"/>
  <c r="O56" i="4"/>
  <c r="P56" i="4" s="1"/>
  <c r="L56" i="4"/>
  <c r="M56" i="4" s="1"/>
  <c r="H56" i="4"/>
  <c r="J56" i="4" s="1"/>
  <c r="U56" i="4"/>
  <c r="V56" i="4" s="1"/>
  <c r="S58" i="4"/>
  <c r="P58" i="4"/>
  <c r="M58" i="4"/>
  <c r="J58" i="4"/>
  <c r="V58" i="4"/>
  <c r="S59" i="4"/>
  <c r="O60" i="4"/>
  <c r="P60" i="4" s="1"/>
  <c r="S93" i="4"/>
  <c r="P93" i="4"/>
  <c r="M93" i="4"/>
  <c r="J93" i="4"/>
  <c r="V93" i="4"/>
  <c r="S94" i="4"/>
  <c r="P94" i="4"/>
  <c r="M94" i="4"/>
  <c r="J94" i="4"/>
  <c r="V94" i="4"/>
  <c r="S95" i="4"/>
  <c r="P95" i="4"/>
  <c r="M95" i="4"/>
  <c r="J95" i="4"/>
  <c r="V95" i="4"/>
  <c r="S96" i="4"/>
  <c r="P96" i="4"/>
  <c r="M96" i="4"/>
  <c r="J96" i="4"/>
  <c r="V96" i="4"/>
  <c r="S97" i="4"/>
  <c r="P97" i="4"/>
  <c r="M97" i="4"/>
  <c r="J97" i="4"/>
  <c r="V97" i="4"/>
  <c r="S98" i="4"/>
  <c r="P98" i="4"/>
  <c r="M98" i="4"/>
  <c r="J98" i="4"/>
  <c r="V98" i="4"/>
  <c r="S99" i="4"/>
  <c r="P99" i="4"/>
  <c r="M99" i="4"/>
  <c r="J99" i="4"/>
  <c r="V99" i="4"/>
  <c r="S100" i="4"/>
  <c r="P100" i="4"/>
  <c r="M100" i="4"/>
  <c r="J100" i="4"/>
  <c r="V100" i="4"/>
  <c r="S87" i="4"/>
  <c r="S89" i="4" s="1"/>
  <c r="G37" i="41" s="1"/>
  <c r="P87" i="4"/>
  <c r="P89" i="4" s="1"/>
  <c r="F37" i="41" s="1"/>
  <c r="M87" i="4"/>
  <c r="M89" i="4" s="1"/>
  <c r="E37" i="41" s="1"/>
  <c r="J87" i="4"/>
  <c r="J89" i="4" s="1"/>
  <c r="D37" i="41" s="1"/>
  <c r="V87" i="4"/>
  <c r="V89" i="4" s="1"/>
  <c r="H37" i="41" s="1"/>
  <c r="X89" i="4"/>
  <c r="D21" i="28" s="1"/>
  <c r="S64" i="4"/>
  <c r="P64" i="4"/>
  <c r="M64" i="4"/>
  <c r="J64" i="4"/>
  <c r="S65" i="4"/>
  <c r="P65" i="4"/>
  <c r="M65" i="4"/>
  <c r="J65" i="4"/>
  <c r="V65" i="4"/>
  <c r="S66" i="4"/>
  <c r="P66" i="4"/>
  <c r="M66" i="4"/>
  <c r="V66" i="4"/>
  <c r="S67" i="4"/>
  <c r="P67" i="4"/>
  <c r="M67" i="4"/>
  <c r="J67" i="4"/>
  <c r="V67" i="4"/>
  <c r="S68" i="4"/>
  <c r="P68" i="4"/>
  <c r="M68" i="4"/>
  <c r="J68" i="4"/>
  <c r="V68" i="4"/>
  <c r="I71" i="4"/>
  <c r="P71" i="4" s="1"/>
  <c r="I72" i="4"/>
  <c r="M72" i="4" s="1"/>
  <c r="I73" i="4"/>
  <c r="S76" i="4"/>
  <c r="P76" i="4"/>
  <c r="M76" i="4"/>
  <c r="J76" i="4"/>
  <c r="V76" i="4"/>
  <c r="S77" i="4"/>
  <c r="P77" i="4"/>
  <c r="M77" i="4"/>
  <c r="J77" i="4"/>
  <c r="V77" i="4"/>
  <c r="S79" i="4"/>
  <c r="P79" i="4"/>
  <c r="M79" i="4"/>
  <c r="J79" i="4"/>
  <c r="V79" i="4"/>
  <c r="S80" i="4"/>
  <c r="P80" i="4"/>
  <c r="M80" i="4"/>
  <c r="J80" i="4"/>
  <c r="V80" i="4"/>
  <c r="S81" i="4"/>
  <c r="P81" i="4"/>
  <c r="M81" i="4"/>
  <c r="J81" i="4"/>
  <c r="V81" i="4"/>
  <c r="X32" i="4"/>
  <c r="D17" i="28" s="1"/>
  <c r="X44" i="4"/>
  <c r="D18" i="28" s="1"/>
  <c r="X61" i="4"/>
  <c r="D19" i="28" s="1"/>
  <c r="X102" i="4"/>
  <c r="D22" i="28" s="1"/>
  <c r="X113" i="4"/>
  <c r="D23" i="28" s="1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D23" i="39" s="1"/>
  <c r="F26" i="4"/>
  <c r="D24" i="39" s="1"/>
  <c r="F27" i="4"/>
  <c r="D25" i="39" s="1"/>
  <c r="I29" i="4"/>
  <c r="J29" i="4" s="1"/>
  <c r="E27" i="39" s="1"/>
  <c r="F30" i="4"/>
  <c r="J30" i="4" s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G23" i="39" s="1"/>
  <c r="K26" i="4"/>
  <c r="G24" i="39" s="1"/>
  <c r="K27" i="4"/>
  <c r="G25" i="39" s="1"/>
  <c r="K30" i="4"/>
  <c r="G28" i="39" s="1"/>
  <c r="N30" i="4"/>
  <c r="P30" i="4" s="1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M23" i="39" s="1"/>
  <c r="Q26" i="4"/>
  <c r="M24" i="39" s="1"/>
  <c r="Q27" i="4"/>
  <c r="M25" i="39" s="1"/>
  <c r="Q30" i="4"/>
  <c r="M28" i="39" s="1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P23" i="39" s="1"/>
  <c r="T26" i="4"/>
  <c r="P24" i="39" s="1"/>
  <c r="T27" i="4"/>
  <c r="P25" i="39" s="1"/>
  <c r="T30" i="4"/>
  <c r="P28" i="39" s="1"/>
  <c r="J40" i="4"/>
  <c r="J41" i="4"/>
  <c r="M40" i="4"/>
  <c r="M41" i="4"/>
  <c r="P40" i="4"/>
  <c r="P41" i="4"/>
  <c r="S40" i="4"/>
  <c r="S41" i="4"/>
  <c r="V40" i="4"/>
  <c r="V41" i="4"/>
  <c r="J105" i="4"/>
  <c r="I106" i="4"/>
  <c r="J106" i="4" s="1"/>
  <c r="I107" i="4"/>
  <c r="J107" i="4" s="1"/>
  <c r="I108" i="4"/>
  <c r="S108" i="4" s="1"/>
  <c r="I109" i="4"/>
  <c r="S109" i="4" s="1"/>
  <c r="J111" i="4"/>
  <c r="M105" i="4"/>
  <c r="M111" i="4"/>
  <c r="P105" i="4"/>
  <c r="P111" i="4"/>
  <c r="S105" i="4"/>
  <c r="S111" i="4"/>
  <c r="V105" i="4"/>
  <c r="V106" i="4"/>
  <c r="V107" i="4"/>
  <c r="V108" i="4"/>
  <c r="V109" i="4"/>
  <c r="V111" i="4"/>
  <c r="M64" i="47"/>
  <c r="M65" i="47"/>
  <c r="M66" i="47"/>
  <c r="M57" i="47"/>
  <c r="M61" i="47" s="1"/>
  <c r="M38" i="47"/>
  <c r="M40" i="47"/>
  <c r="M41" i="47"/>
  <c r="M43" i="47"/>
  <c r="M44" i="47"/>
  <c r="M46" i="47"/>
  <c r="M47" i="47"/>
  <c r="M12" i="47"/>
  <c r="M13" i="47"/>
  <c r="M15" i="47"/>
  <c r="M16" i="47"/>
  <c r="M18" i="47"/>
  <c r="M19" i="47"/>
  <c r="M20" i="47"/>
  <c r="M21" i="47"/>
  <c r="M22" i="47"/>
  <c r="M26" i="47"/>
  <c r="M27" i="47"/>
  <c r="M28" i="47"/>
  <c r="M29" i="47"/>
  <c r="M31" i="47"/>
  <c r="M32" i="47"/>
  <c r="M33" i="47"/>
  <c r="M34" i="47"/>
  <c r="M51" i="47"/>
  <c r="M54" i="47" s="1"/>
  <c r="K64" i="47"/>
  <c r="K65" i="47"/>
  <c r="K66" i="47"/>
  <c r="K57" i="47"/>
  <c r="K61" i="47" s="1"/>
  <c r="K38" i="47"/>
  <c r="K40" i="47"/>
  <c r="K41" i="47"/>
  <c r="K43" i="47"/>
  <c r="K44" i="47"/>
  <c r="K46" i="47"/>
  <c r="K47" i="47"/>
  <c r="K12" i="47"/>
  <c r="K13" i="47"/>
  <c r="K15" i="47"/>
  <c r="K16" i="47"/>
  <c r="K18" i="47"/>
  <c r="K19" i="47"/>
  <c r="K20" i="47"/>
  <c r="K21" i="47"/>
  <c r="K22" i="47"/>
  <c r="K26" i="47"/>
  <c r="K27" i="47"/>
  <c r="K28" i="47"/>
  <c r="K29" i="47"/>
  <c r="K31" i="47"/>
  <c r="K32" i="47"/>
  <c r="K33" i="47"/>
  <c r="K34" i="47"/>
  <c r="K51" i="47"/>
  <c r="K54" i="47" s="1"/>
  <c r="I64" i="47"/>
  <c r="I65" i="47"/>
  <c r="I66" i="47"/>
  <c r="I57" i="47"/>
  <c r="I61" i="47" s="1"/>
  <c r="I38" i="47"/>
  <c r="I40" i="47"/>
  <c r="I41" i="47"/>
  <c r="I43" i="47"/>
  <c r="I44" i="47"/>
  <c r="I46" i="47"/>
  <c r="I47" i="47"/>
  <c r="I12" i="47"/>
  <c r="I13" i="47"/>
  <c r="I15" i="47"/>
  <c r="I16" i="47"/>
  <c r="I18" i="47"/>
  <c r="I19" i="47"/>
  <c r="I20" i="47"/>
  <c r="I21" i="47"/>
  <c r="I22" i="47"/>
  <c r="I26" i="47"/>
  <c r="I27" i="47"/>
  <c r="I28" i="47"/>
  <c r="I29" i="47"/>
  <c r="I31" i="47"/>
  <c r="I32" i="47"/>
  <c r="I33" i="47"/>
  <c r="I34" i="47"/>
  <c r="I51" i="47"/>
  <c r="I54" i="47" s="1"/>
  <c r="G64" i="47"/>
  <c r="G65" i="47"/>
  <c r="G66" i="47"/>
  <c r="G57" i="47"/>
  <c r="P58" i="47"/>
  <c r="G60" i="47"/>
  <c r="P60" i="47" s="1"/>
  <c r="R60" i="47" s="1"/>
  <c r="G38" i="47"/>
  <c r="G40" i="47"/>
  <c r="G41" i="47"/>
  <c r="G43" i="47"/>
  <c r="G44" i="47"/>
  <c r="G46" i="47"/>
  <c r="G47" i="47"/>
  <c r="G12" i="47"/>
  <c r="G13" i="47"/>
  <c r="G15" i="47"/>
  <c r="G16" i="47"/>
  <c r="G18" i="47"/>
  <c r="G19" i="47"/>
  <c r="G20" i="47"/>
  <c r="G21" i="47"/>
  <c r="G22" i="47"/>
  <c r="G26" i="47"/>
  <c r="G27" i="47"/>
  <c r="G28" i="47"/>
  <c r="G29" i="47"/>
  <c r="G31" i="47"/>
  <c r="G32" i="47"/>
  <c r="G33" i="47"/>
  <c r="G34" i="47"/>
  <c r="G51" i="47"/>
  <c r="G54" i="47" s="1"/>
  <c r="O64" i="47"/>
  <c r="O65" i="47"/>
  <c r="O66" i="47"/>
  <c r="O57" i="47"/>
  <c r="O61" i="47" s="1"/>
  <c r="O38" i="47"/>
  <c r="O40" i="47"/>
  <c r="O41" i="47"/>
  <c r="O43" i="47"/>
  <c r="O44" i="47"/>
  <c r="O46" i="47"/>
  <c r="O47" i="47"/>
  <c r="O12" i="47"/>
  <c r="O13" i="47"/>
  <c r="O15" i="47"/>
  <c r="O16" i="47"/>
  <c r="O18" i="47"/>
  <c r="O19" i="47"/>
  <c r="O20" i="47"/>
  <c r="O21" i="47"/>
  <c r="O22" i="47"/>
  <c r="O26" i="47"/>
  <c r="O27" i="47"/>
  <c r="O28" i="47"/>
  <c r="O29" i="47"/>
  <c r="O31" i="47"/>
  <c r="O32" i="47"/>
  <c r="O33" i="47"/>
  <c r="O34" i="47"/>
  <c r="O51" i="47"/>
  <c r="O54" i="47" s="1"/>
  <c r="S154" i="4"/>
  <c r="P154" i="4"/>
  <c r="M154" i="4"/>
  <c r="J154" i="4"/>
  <c r="V154" i="4"/>
  <c r="R155" i="4"/>
  <c r="S155" i="4" s="1"/>
  <c r="O155" i="4"/>
  <c r="P155" i="4" s="1"/>
  <c r="M155" i="4"/>
  <c r="J155" i="4"/>
  <c r="U155" i="4"/>
  <c r="V155" i="4" s="1"/>
  <c r="R136" i="4"/>
  <c r="Q136" i="4"/>
  <c r="R131" i="4"/>
  <c r="Q131" i="4"/>
  <c r="R132" i="4"/>
  <c r="Q132" i="4"/>
  <c r="R133" i="4"/>
  <c r="Q133" i="4"/>
  <c r="R141" i="4"/>
  <c r="Q141" i="4"/>
  <c r="I147" i="4"/>
  <c r="O136" i="4"/>
  <c r="O131" i="4"/>
  <c r="O132" i="4"/>
  <c r="O133" i="4"/>
  <c r="O141" i="4"/>
  <c r="L136" i="4"/>
  <c r="K136" i="4"/>
  <c r="L131" i="4"/>
  <c r="K131" i="4"/>
  <c r="L132" i="4"/>
  <c r="K132" i="4"/>
  <c r="L133" i="4"/>
  <c r="K133" i="4"/>
  <c r="L141" i="4"/>
  <c r="K141" i="4"/>
  <c r="H136" i="4"/>
  <c r="F136" i="4"/>
  <c r="H131" i="4"/>
  <c r="F131" i="4"/>
  <c r="H132" i="4"/>
  <c r="F132" i="4"/>
  <c r="H133" i="4"/>
  <c r="F133" i="4"/>
  <c r="H141" i="4"/>
  <c r="F141" i="4"/>
  <c r="U136" i="4"/>
  <c r="T136" i="4"/>
  <c r="U131" i="4"/>
  <c r="T131" i="4"/>
  <c r="U132" i="4"/>
  <c r="T132" i="4"/>
  <c r="U133" i="4"/>
  <c r="T133" i="4"/>
  <c r="U141" i="4"/>
  <c r="T141" i="4"/>
  <c r="R134" i="4"/>
  <c r="Q134" i="4"/>
  <c r="R135" i="4"/>
  <c r="Q135" i="4"/>
  <c r="R137" i="4"/>
  <c r="Q137" i="4"/>
  <c r="R138" i="4"/>
  <c r="Q138" i="4"/>
  <c r="R139" i="4"/>
  <c r="Q139" i="4"/>
  <c r="R140" i="4"/>
  <c r="Q140" i="4"/>
  <c r="I148" i="4"/>
  <c r="O134" i="4"/>
  <c r="O135" i="4"/>
  <c r="O137" i="4"/>
  <c r="O138" i="4"/>
  <c r="O139" i="4"/>
  <c r="O140" i="4"/>
  <c r="L134" i="4"/>
  <c r="K134" i="4"/>
  <c r="L135" i="4"/>
  <c r="K135" i="4"/>
  <c r="L137" i="4"/>
  <c r="K137" i="4"/>
  <c r="L138" i="4"/>
  <c r="K138" i="4"/>
  <c r="L139" i="4"/>
  <c r="K139" i="4"/>
  <c r="L140" i="4"/>
  <c r="K140" i="4"/>
  <c r="H134" i="4"/>
  <c r="F134" i="4"/>
  <c r="H135" i="4"/>
  <c r="F135" i="4"/>
  <c r="H137" i="4"/>
  <c r="F137" i="4"/>
  <c r="H138" i="4"/>
  <c r="F138" i="4"/>
  <c r="H139" i="4"/>
  <c r="F139" i="4"/>
  <c r="H140" i="4"/>
  <c r="F140" i="4"/>
  <c r="U134" i="4"/>
  <c r="T134" i="4"/>
  <c r="U135" i="4"/>
  <c r="T135" i="4"/>
  <c r="U137" i="4"/>
  <c r="T137" i="4"/>
  <c r="U138" i="4"/>
  <c r="T138" i="4"/>
  <c r="U139" i="4"/>
  <c r="T139" i="4"/>
  <c r="U140" i="4"/>
  <c r="T140" i="4"/>
  <c r="R130" i="4"/>
  <c r="Q130" i="4"/>
  <c r="I149" i="4"/>
  <c r="O130" i="4"/>
  <c r="L130" i="4"/>
  <c r="K130" i="4"/>
  <c r="H130" i="4"/>
  <c r="F130" i="4"/>
  <c r="U130" i="4"/>
  <c r="T130" i="4"/>
  <c r="I150" i="4"/>
  <c r="Q67" i="47"/>
  <c r="Q61" i="47"/>
  <c r="Q48" i="47"/>
  <c r="Q35" i="47"/>
  <c r="X156" i="4"/>
  <c r="X151" i="4"/>
  <c r="S192" i="4"/>
  <c r="P192" i="4"/>
  <c r="M192" i="4"/>
  <c r="J192" i="4"/>
  <c r="V192" i="4"/>
  <c r="R193" i="4"/>
  <c r="S193" i="4" s="1"/>
  <c r="O193" i="4"/>
  <c r="P193" i="4" s="1"/>
  <c r="L193" i="4"/>
  <c r="M193" i="4" s="1"/>
  <c r="H193" i="4"/>
  <c r="U193" i="4"/>
  <c r="V193" i="4" s="1"/>
  <c r="R174" i="4"/>
  <c r="Q174" i="4"/>
  <c r="R169" i="4"/>
  <c r="Q169" i="4"/>
  <c r="R170" i="4"/>
  <c r="Q170" i="4"/>
  <c r="R171" i="4"/>
  <c r="Q171" i="4"/>
  <c r="R179" i="4"/>
  <c r="Q179" i="4"/>
  <c r="I185" i="4"/>
  <c r="O174" i="4"/>
  <c r="O169" i="4"/>
  <c r="O170" i="4"/>
  <c r="O171" i="4"/>
  <c r="O179" i="4"/>
  <c r="L174" i="4"/>
  <c r="K174" i="4"/>
  <c r="L169" i="4"/>
  <c r="K169" i="4"/>
  <c r="L170" i="4"/>
  <c r="K170" i="4"/>
  <c r="L171" i="4"/>
  <c r="K171" i="4"/>
  <c r="L179" i="4"/>
  <c r="K179" i="4"/>
  <c r="H174" i="4"/>
  <c r="F174" i="4"/>
  <c r="H169" i="4"/>
  <c r="F169" i="4"/>
  <c r="H170" i="4"/>
  <c r="F170" i="4"/>
  <c r="H179" i="4"/>
  <c r="F179" i="4"/>
  <c r="U174" i="4"/>
  <c r="T174" i="4"/>
  <c r="U169" i="4"/>
  <c r="T169" i="4"/>
  <c r="U170" i="4"/>
  <c r="T170" i="4"/>
  <c r="U171" i="4"/>
  <c r="T171" i="4"/>
  <c r="U179" i="4"/>
  <c r="T179" i="4"/>
  <c r="R172" i="4"/>
  <c r="Q172" i="4"/>
  <c r="R173" i="4"/>
  <c r="Q173" i="4"/>
  <c r="R175" i="4"/>
  <c r="I175" i="4"/>
  <c r="Q175" i="4"/>
  <c r="R176" i="4"/>
  <c r="Q176" i="4"/>
  <c r="R177" i="4"/>
  <c r="Q177" i="4"/>
  <c r="R178" i="4"/>
  <c r="Q178" i="4"/>
  <c r="I186" i="4"/>
  <c r="O172" i="4"/>
  <c r="O173" i="4"/>
  <c r="O175" i="4"/>
  <c r="O176" i="4"/>
  <c r="O177" i="4"/>
  <c r="O178" i="4"/>
  <c r="L172" i="4"/>
  <c r="K172" i="4"/>
  <c r="L173" i="4"/>
  <c r="K173" i="4"/>
  <c r="L175" i="4"/>
  <c r="K175" i="4"/>
  <c r="L176" i="4"/>
  <c r="K176" i="4"/>
  <c r="L177" i="4"/>
  <c r="K177" i="4"/>
  <c r="L178" i="4"/>
  <c r="K178" i="4"/>
  <c r="H172" i="4"/>
  <c r="F172" i="4"/>
  <c r="H173" i="4"/>
  <c r="F173" i="4"/>
  <c r="H175" i="4"/>
  <c r="F175" i="4"/>
  <c r="H176" i="4"/>
  <c r="F176" i="4"/>
  <c r="H177" i="4"/>
  <c r="F177" i="4"/>
  <c r="H178" i="4"/>
  <c r="F178" i="4"/>
  <c r="U172" i="4"/>
  <c r="T172" i="4"/>
  <c r="U173" i="4"/>
  <c r="T173" i="4"/>
  <c r="U175" i="4"/>
  <c r="T175" i="4"/>
  <c r="U176" i="4"/>
  <c r="T176" i="4"/>
  <c r="U177" i="4"/>
  <c r="T177" i="4"/>
  <c r="U178" i="4"/>
  <c r="T178" i="4"/>
  <c r="R168" i="4"/>
  <c r="Q168" i="4"/>
  <c r="I187" i="4"/>
  <c r="O168" i="4"/>
  <c r="L168" i="4"/>
  <c r="K168" i="4"/>
  <c r="H168" i="4"/>
  <c r="F168" i="4"/>
  <c r="U168" i="4"/>
  <c r="T168" i="4"/>
  <c r="X194" i="4"/>
  <c r="X189" i="4"/>
  <c r="S252" i="4"/>
  <c r="P252" i="4"/>
  <c r="M252" i="4"/>
  <c r="J252" i="4"/>
  <c r="R217" i="4"/>
  <c r="Q217" i="4"/>
  <c r="R212" i="4"/>
  <c r="Q212" i="4"/>
  <c r="R213" i="4"/>
  <c r="Q213" i="4"/>
  <c r="R214" i="4"/>
  <c r="Q214" i="4"/>
  <c r="R222" i="4"/>
  <c r="Q222" i="4"/>
  <c r="I228" i="4"/>
  <c r="O217" i="4"/>
  <c r="O212" i="4"/>
  <c r="O213" i="4"/>
  <c r="O214" i="4"/>
  <c r="O222" i="4"/>
  <c r="L217" i="4"/>
  <c r="K217" i="4"/>
  <c r="L212" i="4"/>
  <c r="K212" i="4"/>
  <c r="L213" i="4"/>
  <c r="K213" i="4"/>
  <c r="L214" i="4"/>
  <c r="K214" i="4"/>
  <c r="L222" i="4"/>
  <c r="K222" i="4"/>
  <c r="U217" i="4"/>
  <c r="T217" i="4"/>
  <c r="U212" i="4"/>
  <c r="T212" i="4"/>
  <c r="U213" i="4"/>
  <c r="T213" i="4"/>
  <c r="U214" i="4"/>
  <c r="T214" i="4"/>
  <c r="U222" i="4"/>
  <c r="T222" i="4"/>
  <c r="R215" i="4"/>
  <c r="Q215" i="4"/>
  <c r="R216" i="4"/>
  <c r="Q216" i="4"/>
  <c r="R218" i="4"/>
  <c r="Q218" i="4"/>
  <c r="R219" i="4"/>
  <c r="Q219" i="4"/>
  <c r="R220" i="4"/>
  <c r="Q220" i="4"/>
  <c r="R221" i="4"/>
  <c r="Q221" i="4"/>
  <c r="I229" i="4"/>
  <c r="O215" i="4"/>
  <c r="O216" i="4"/>
  <c r="O218" i="4"/>
  <c r="O219" i="4"/>
  <c r="O220" i="4"/>
  <c r="O221" i="4"/>
  <c r="L215" i="4"/>
  <c r="K215" i="4"/>
  <c r="L216" i="4"/>
  <c r="K216" i="4"/>
  <c r="L218" i="4"/>
  <c r="K218" i="4"/>
  <c r="L219" i="4"/>
  <c r="K219" i="4"/>
  <c r="L220" i="4"/>
  <c r="K220" i="4"/>
  <c r="L221" i="4"/>
  <c r="K221" i="4"/>
  <c r="U215" i="4"/>
  <c r="T215" i="4"/>
  <c r="U216" i="4"/>
  <c r="T216" i="4"/>
  <c r="U218" i="4"/>
  <c r="T218" i="4"/>
  <c r="U219" i="4"/>
  <c r="T219" i="4"/>
  <c r="U220" i="4"/>
  <c r="T220" i="4"/>
  <c r="U221" i="4"/>
  <c r="T221" i="4"/>
  <c r="R211" i="4"/>
  <c r="Q211" i="4"/>
  <c r="I230" i="4"/>
  <c r="O211" i="4"/>
  <c r="L211" i="4"/>
  <c r="K211" i="4"/>
  <c r="U211" i="4"/>
  <c r="T211" i="4"/>
  <c r="X252" i="4"/>
  <c r="X232" i="4"/>
  <c r="S295" i="4"/>
  <c r="P295" i="4"/>
  <c r="M295" i="4"/>
  <c r="J295" i="4"/>
  <c r="V295" i="4"/>
  <c r="R296" i="4"/>
  <c r="S296" i="4" s="1"/>
  <c r="O296" i="4"/>
  <c r="P296" i="4" s="1"/>
  <c r="L296" i="4"/>
  <c r="M296" i="4" s="1"/>
  <c r="H296" i="4"/>
  <c r="J296" i="4" s="1"/>
  <c r="U296" i="4"/>
  <c r="V296" i="4" s="1"/>
  <c r="R276" i="4"/>
  <c r="Q276" i="4"/>
  <c r="R271" i="4"/>
  <c r="I271" i="4"/>
  <c r="Q271" i="4"/>
  <c r="R272" i="4"/>
  <c r="Q272" i="4"/>
  <c r="R273" i="4"/>
  <c r="Q273" i="4"/>
  <c r="R281" i="4"/>
  <c r="Q281" i="4"/>
  <c r="I287" i="4"/>
  <c r="O276" i="4"/>
  <c r="O271" i="4"/>
  <c r="O272" i="4"/>
  <c r="O273" i="4"/>
  <c r="O281" i="4"/>
  <c r="L276" i="4"/>
  <c r="K276" i="4"/>
  <c r="L271" i="4"/>
  <c r="K271" i="4"/>
  <c r="L272" i="4"/>
  <c r="K272" i="4"/>
  <c r="L273" i="4"/>
  <c r="K273" i="4"/>
  <c r="L281" i="4"/>
  <c r="K281" i="4"/>
  <c r="H276" i="4"/>
  <c r="F276" i="4"/>
  <c r="H271" i="4"/>
  <c r="F271" i="4"/>
  <c r="H272" i="4"/>
  <c r="F272" i="4"/>
  <c r="H273" i="4"/>
  <c r="F273" i="4"/>
  <c r="H281" i="4"/>
  <c r="F281" i="4"/>
  <c r="U276" i="4"/>
  <c r="T276" i="4"/>
  <c r="U271" i="4"/>
  <c r="T271" i="4"/>
  <c r="U272" i="4"/>
  <c r="T272" i="4"/>
  <c r="U273" i="4"/>
  <c r="T273" i="4"/>
  <c r="U281" i="4"/>
  <c r="T281" i="4"/>
  <c r="R274" i="4"/>
  <c r="Q274" i="4"/>
  <c r="R275" i="4"/>
  <c r="Q275" i="4"/>
  <c r="R277" i="4"/>
  <c r="I277" i="4"/>
  <c r="Q277" i="4"/>
  <c r="R278" i="4"/>
  <c r="Q278" i="4"/>
  <c r="R279" i="4"/>
  <c r="Q279" i="4"/>
  <c r="R280" i="4"/>
  <c r="Q280" i="4"/>
  <c r="I288" i="4"/>
  <c r="O274" i="4"/>
  <c r="O275" i="4"/>
  <c r="O277" i="4"/>
  <c r="O278" i="4"/>
  <c r="O279" i="4"/>
  <c r="O280" i="4"/>
  <c r="L274" i="4"/>
  <c r="K274" i="4"/>
  <c r="L275" i="4"/>
  <c r="K275" i="4"/>
  <c r="L277" i="4"/>
  <c r="K277" i="4"/>
  <c r="L278" i="4"/>
  <c r="K278" i="4"/>
  <c r="L279" i="4"/>
  <c r="K279" i="4"/>
  <c r="L280" i="4"/>
  <c r="K280" i="4"/>
  <c r="H274" i="4"/>
  <c r="F274" i="4"/>
  <c r="H275" i="4"/>
  <c r="F275" i="4"/>
  <c r="H277" i="4"/>
  <c r="F277" i="4"/>
  <c r="H278" i="4"/>
  <c r="F278" i="4"/>
  <c r="H279" i="4"/>
  <c r="F279" i="4"/>
  <c r="H280" i="4"/>
  <c r="F280" i="4"/>
  <c r="U274" i="4"/>
  <c r="T274" i="4"/>
  <c r="U275" i="4"/>
  <c r="T275" i="4"/>
  <c r="U277" i="4"/>
  <c r="T277" i="4"/>
  <c r="U278" i="4"/>
  <c r="T278" i="4"/>
  <c r="U279" i="4"/>
  <c r="T279" i="4"/>
  <c r="U280" i="4"/>
  <c r="T280" i="4"/>
  <c r="R270" i="4"/>
  <c r="Q270" i="4"/>
  <c r="I289" i="4"/>
  <c r="O270" i="4"/>
  <c r="L270" i="4"/>
  <c r="K270" i="4"/>
  <c r="H270" i="4"/>
  <c r="F270" i="4"/>
  <c r="U270" i="4"/>
  <c r="T270" i="4"/>
  <c r="I290" i="4"/>
  <c r="X291" i="4"/>
  <c r="X313" i="4" s="1"/>
  <c r="S351" i="4"/>
  <c r="S352" i="4" s="1"/>
  <c r="P351" i="4"/>
  <c r="P352" i="4" s="1"/>
  <c r="M351" i="4"/>
  <c r="M352" i="4" s="1"/>
  <c r="J351" i="4"/>
  <c r="J352" i="4" s="1"/>
  <c r="V351" i="4"/>
  <c r="V352" i="4" s="1"/>
  <c r="S356" i="4"/>
  <c r="S357" i="4" s="1"/>
  <c r="P356" i="4"/>
  <c r="P357" i="4" s="1"/>
  <c r="M356" i="4"/>
  <c r="M357" i="4" s="1"/>
  <c r="J356" i="4"/>
  <c r="J357" i="4" s="1"/>
  <c r="V356" i="4"/>
  <c r="V357" i="4" s="1"/>
  <c r="S342" i="4"/>
  <c r="P342" i="4"/>
  <c r="M342" i="4"/>
  <c r="J342" i="4"/>
  <c r="V342" i="4"/>
  <c r="R343" i="4"/>
  <c r="S343" i="4" s="1"/>
  <c r="O343" i="4"/>
  <c r="P343" i="4" s="1"/>
  <c r="L343" i="4"/>
  <c r="M343" i="4" s="1"/>
  <c r="H343" i="4"/>
  <c r="J343" i="4" s="1"/>
  <c r="U343" i="4"/>
  <c r="V343" i="4" s="1"/>
  <c r="R324" i="4"/>
  <c r="Q324" i="4"/>
  <c r="R319" i="4"/>
  <c r="Q319" i="4"/>
  <c r="R320" i="4"/>
  <c r="Q320" i="4"/>
  <c r="R321" i="4"/>
  <c r="Q321" i="4"/>
  <c r="R329" i="4"/>
  <c r="Q329" i="4"/>
  <c r="I335" i="4"/>
  <c r="O324" i="4"/>
  <c r="O319" i="4"/>
  <c r="O320" i="4"/>
  <c r="O321" i="4"/>
  <c r="O329" i="4"/>
  <c r="L324" i="4"/>
  <c r="K324" i="4"/>
  <c r="L319" i="4"/>
  <c r="K319" i="4"/>
  <c r="L320" i="4"/>
  <c r="K320" i="4"/>
  <c r="L321" i="4"/>
  <c r="K321" i="4"/>
  <c r="L329" i="4"/>
  <c r="K329" i="4"/>
  <c r="H324" i="4"/>
  <c r="F324" i="4"/>
  <c r="H319" i="4"/>
  <c r="F319" i="4"/>
  <c r="H320" i="4"/>
  <c r="F320" i="4"/>
  <c r="H321" i="4"/>
  <c r="F321" i="4"/>
  <c r="H329" i="4"/>
  <c r="F329" i="4"/>
  <c r="U324" i="4"/>
  <c r="T324" i="4"/>
  <c r="U319" i="4"/>
  <c r="T319" i="4"/>
  <c r="U320" i="4"/>
  <c r="T320" i="4"/>
  <c r="U321" i="4"/>
  <c r="T321" i="4"/>
  <c r="U329" i="4"/>
  <c r="T329" i="4"/>
  <c r="R322" i="4"/>
  <c r="Q322" i="4"/>
  <c r="R323" i="4"/>
  <c r="Q323" i="4"/>
  <c r="R325" i="4"/>
  <c r="I325" i="4"/>
  <c r="Q325" i="4"/>
  <c r="R326" i="4"/>
  <c r="Q326" i="4"/>
  <c r="R327" i="4"/>
  <c r="Q327" i="4"/>
  <c r="R328" i="4"/>
  <c r="Q328" i="4"/>
  <c r="I336" i="4"/>
  <c r="O322" i="4"/>
  <c r="O323" i="4"/>
  <c r="O325" i="4"/>
  <c r="O326" i="4"/>
  <c r="O327" i="4"/>
  <c r="O328" i="4"/>
  <c r="L322" i="4"/>
  <c r="K322" i="4"/>
  <c r="L323" i="4"/>
  <c r="K323" i="4"/>
  <c r="L325" i="4"/>
  <c r="K325" i="4"/>
  <c r="L326" i="4"/>
  <c r="K326" i="4"/>
  <c r="L327" i="4"/>
  <c r="K327" i="4"/>
  <c r="L328" i="4"/>
  <c r="K328" i="4"/>
  <c r="H322" i="4"/>
  <c r="F322" i="4"/>
  <c r="H323" i="4"/>
  <c r="F323" i="4"/>
  <c r="H325" i="4"/>
  <c r="F325" i="4"/>
  <c r="H326" i="4"/>
  <c r="F326" i="4"/>
  <c r="H327" i="4"/>
  <c r="F327" i="4"/>
  <c r="H328" i="4"/>
  <c r="F328" i="4"/>
  <c r="U322" i="4"/>
  <c r="T322" i="4"/>
  <c r="U323" i="4"/>
  <c r="T323" i="4"/>
  <c r="U325" i="4"/>
  <c r="T325" i="4"/>
  <c r="U326" i="4"/>
  <c r="T326" i="4"/>
  <c r="U327" i="4"/>
  <c r="T327" i="4"/>
  <c r="U328" i="4"/>
  <c r="T328" i="4"/>
  <c r="R318" i="4"/>
  <c r="Q318" i="4"/>
  <c r="I337" i="4"/>
  <c r="O318" i="4"/>
  <c r="L318" i="4"/>
  <c r="K318" i="4"/>
  <c r="H318" i="4"/>
  <c r="F318" i="4"/>
  <c r="U318" i="4"/>
  <c r="T318" i="4"/>
  <c r="I338" i="4"/>
  <c r="X352" i="4"/>
  <c r="X357" i="4"/>
  <c r="X344" i="4"/>
  <c r="X339" i="4"/>
  <c r="S417" i="4"/>
  <c r="P417" i="4"/>
  <c r="M417" i="4"/>
  <c r="J417" i="4"/>
  <c r="V417" i="4"/>
  <c r="S418" i="4"/>
  <c r="O418" i="4"/>
  <c r="P418" i="4" s="1"/>
  <c r="L418" i="4"/>
  <c r="M418" i="4" s="1"/>
  <c r="J418" i="4"/>
  <c r="V418" i="4"/>
  <c r="S419" i="4"/>
  <c r="P419" i="4"/>
  <c r="M419" i="4"/>
  <c r="J419" i="4"/>
  <c r="V419" i="4"/>
  <c r="S412" i="4"/>
  <c r="S414" i="4" s="1"/>
  <c r="P412" i="4"/>
  <c r="P414" i="4" s="1"/>
  <c r="M412" i="4"/>
  <c r="M414" i="4" s="1"/>
  <c r="J412" i="4"/>
  <c r="J414" i="4" s="1"/>
  <c r="V414" i="4"/>
  <c r="S424" i="4"/>
  <c r="P424" i="4"/>
  <c r="M424" i="4"/>
  <c r="J424" i="4"/>
  <c r="V424" i="4"/>
  <c r="S425" i="4"/>
  <c r="P425" i="4"/>
  <c r="M425" i="4"/>
  <c r="J425" i="4"/>
  <c r="V425" i="4"/>
  <c r="S397" i="4"/>
  <c r="P397" i="4"/>
  <c r="M397" i="4"/>
  <c r="J397" i="4"/>
  <c r="V397" i="4"/>
  <c r="R398" i="4"/>
  <c r="S398" i="4" s="1"/>
  <c r="P398" i="4"/>
  <c r="L398" i="4"/>
  <c r="M398" i="4" s="1"/>
  <c r="H398" i="4"/>
  <c r="J398" i="4" s="1"/>
  <c r="V398" i="4"/>
  <c r="S400" i="4"/>
  <c r="P400" i="4"/>
  <c r="M400" i="4"/>
  <c r="J400" i="4"/>
  <c r="V400" i="4"/>
  <c r="R401" i="4"/>
  <c r="S401" i="4" s="1"/>
  <c r="O401" i="4"/>
  <c r="P401" i="4" s="1"/>
  <c r="L401" i="4"/>
  <c r="M401" i="4" s="1"/>
  <c r="H401" i="4"/>
  <c r="J401" i="4" s="1"/>
  <c r="U401" i="4"/>
  <c r="V401" i="4" s="1"/>
  <c r="S403" i="4"/>
  <c r="O403" i="4"/>
  <c r="P403" i="4" s="1"/>
  <c r="L403" i="4"/>
  <c r="L404" i="4" s="1"/>
  <c r="M404" i="4" s="1"/>
  <c r="J403" i="4"/>
  <c r="V403" i="4"/>
  <c r="R404" i="4"/>
  <c r="S404" i="4" s="1"/>
  <c r="J404" i="4"/>
  <c r="V404" i="4"/>
  <c r="R405" i="4"/>
  <c r="S405" i="4" s="1"/>
  <c r="J405" i="4"/>
  <c r="V405" i="4"/>
  <c r="R406" i="4"/>
  <c r="S406" i="4" s="1"/>
  <c r="H406" i="4"/>
  <c r="J406" i="4" s="1"/>
  <c r="U406" i="4"/>
  <c r="V406" i="4" s="1"/>
  <c r="R378" i="4"/>
  <c r="Q378" i="4"/>
  <c r="R373" i="4"/>
  <c r="Q373" i="4"/>
  <c r="R374" i="4"/>
  <c r="Q374" i="4"/>
  <c r="R375" i="4"/>
  <c r="Q375" i="4"/>
  <c r="R383" i="4"/>
  <c r="Q383" i="4"/>
  <c r="I389" i="4"/>
  <c r="O378" i="4"/>
  <c r="O373" i="4"/>
  <c r="O374" i="4"/>
  <c r="O375" i="4"/>
  <c r="O383" i="4"/>
  <c r="L378" i="4"/>
  <c r="K378" i="4"/>
  <c r="L373" i="4"/>
  <c r="K373" i="4"/>
  <c r="L374" i="4"/>
  <c r="K374" i="4"/>
  <c r="L375" i="4"/>
  <c r="K375" i="4"/>
  <c r="L383" i="4"/>
  <c r="K383" i="4"/>
  <c r="H378" i="4"/>
  <c r="F378" i="4"/>
  <c r="H373" i="4"/>
  <c r="F373" i="4"/>
  <c r="H374" i="4"/>
  <c r="F374" i="4"/>
  <c r="H375" i="4"/>
  <c r="F375" i="4"/>
  <c r="H383" i="4"/>
  <c r="F383" i="4"/>
  <c r="U378" i="4"/>
  <c r="T378" i="4"/>
  <c r="U373" i="4"/>
  <c r="T373" i="4"/>
  <c r="U374" i="4"/>
  <c r="T374" i="4"/>
  <c r="U375" i="4"/>
  <c r="T375" i="4"/>
  <c r="U383" i="4"/>
  <c r="T383" i="4"/>
  <c r="R376" i="4"/>
  <c r="Q376" i="4"/>
  <c r="R377" i="4"/>
  <c r="Q377" i="4"/>
  <c r="R379" i="4"/>
  <c r="I379" i="4"/>
  <c r="Q379" i="4"/>
  <c r="R380" i="4"/>
  <c r="Q380" i="4"/>
  <c r="R381" i="4"/>
  <c r="Q381" i="4"/>
  <c r="R382" i="4"/>
  <c r="Q382" i="4"/>
  <c r="I390" i="4"/>
  <c r="O376" i="4"/>
  <c r="O377" i="4"/>
  <c r="O379" i="4"/>
  <c r="O380" i="4"/>
  <c r="O381" i="4"/>
  <c r="O382" i="4"/>
  <c r="L376" i="4"/>
  <c r="K376" i="4"/>
  <c r="L377" i="4"/>
  <c r="K377" i="4"/>
  <c r="L379" i="4"/>
  <c r="K379" i="4"/>
  <c r="L380" i="4"/>
  <c r="K380" i="4"/>
  <c r="L381" i="4"/>
  <c r="K381" i="4"/>
  <c r="L382" i="4"/>
  <c r="K382" i="4"/>
  <c r="H376" i="4"/>
  <c r="F376" i="4"/>
  <c r="H377" i="4"/>
  <c r="F377" i="4"/>
  <c r="H379" i="4"/>
  <c r="F379" i="4"/>
  <c r="H380" i="4"/>
  <c r="F380" i="4"/>
  <c r="H381" i="4"/>
  <c r="F381" i="4"/>
  <c r="H382" i="4"/>
  <c r="F382" i="4"/>
  <c r="U376" i="4"/>
  <c r="T376" i="4"/>
  <c r="U377" i="4"/>
  <c r="T377" i="4"/>
  <c r="U379" i="4"/>
  <c r="T379" i="4"/>
  <c r="U380" i="4"/>
  <c r="T380" i="4"/>
  <c r="U381" i="4"/>
  <c r="T381" i="4"/>
  <c r="U382" i="4"/>
  <c r="T382" i="4"/>
  <c r="R372" i="4"/>
  <c r="Q372" i="4"/>
  <c r="I391" i="4"/>
  <c r="O372" i="4"/>
  <c r="L372" i="4"/>
  <c r="K372" i="4"/>
  <c r="H372" i="4"/>
  <c r="F372" i="4"/>
  <c r="U372" i="4"/>
  <c r="T372" i="4"/>
  <c r="I392" i="4"/>
  <c r="W429" i="4"/>
  <c r="W431" i="4" s="1"/>
  <c r="X420" i="4"/>
  <c r="X426" i="4"/>
  <c r="X393" i="4"/>
  <c r="S517" i="4"/>
  <c r="J517" i="4"/>
  <c r="J518" i="4" s="1"/>
  <c r="S512" i="4"/>
  <c r="P512" i="4"/>
  <c r="M512" i="4"/>
  <c r="J512" i="4"/>
  <c r="V512" i="4"/>
  <c r="S513" i="4"/>
  <c r="P513" i="4"/>
  <c r="M513" i="4"/>
  <c r="J513" i="4"/>
  <c r="V513" i="4"/>
  <c r="S508" i="4"/>
  <c r="S509" i="4" s="1"/>
  <c r="P508" i="4"/>
  <c r="M508" i="4"/>
  <c r="M509" i="4" s="1"/>
  <c r="J508" i="4"/>
  <c r="J509" i="4" s="1"/>
  <c r="V508" i="4"/>
  <c r="V509" i="4" s="1"/>
  <c r="I501" i="4"/>
  <c r="I502" i="4"/>
  <c r="R484" i="4"/>
  <c r="Q484" i="4"/>
  <c r="I503" i="4"/>
  <c r="O484" i="4"/>
  <c r="L484" i="4"/>
  <c r="K484" i="4"/>
  <c r="H484" i="4"/>
  <c r="F484" i="4"/>
  <c r="U484" i="4"/>
  <c r="T484" i="4"/>
  <c r="I504" i="4"/>
  <c r="X518" i="4"/>
  <c r="X514" i="4"/>
  <c r="X509" i="4"/>
  <c r="X505" i="4"/>
  <c r="K18" i="43"/>
  <c r="P59" i="47"/>
  <c r="R59" i="47" s="1"/>
  <c r="J530" i="4"/>
  <c r="J532" i="4" s="1"/>
  <c r="M532" i="4"/>
  <c r="M518" i="4"/>
  <c r="P532" i="4"/>
  <c r="P518" i="4"/>
  <c r="S532" i="4"/>
  <c r="V532" i="4"/>
  <c r="V518" i="4"/>
  <c r="X532" i="4"/>
  <c r="F12" i="28"/>
  <c r="D48" i="28"/>
  <c r="D52" i="28"/>
  <c r="D42" i="28"/>
  <c r="B42" i="28"/>
  <c r="B59" i="28" s="1"/>
  <c r="E59" i="28" s="1"/>
  <c r="B52" i="28"/>
  <c r="B60" i="28"/>
  <c r="E60" i="28" s="1"/>
  <c r="C36" i="28"/>
  <c r="C58" i="28" s="1"/>
  <c r="C42" i="28"/>
  <c r="C59" i="28" s="1"/>
  <c r="C60" i="28"/>
  <c r="A75" i="47"/>
  <c r="A120" i="47" s="1"/>
  <c r="B25" i="30"/>
  <c r="M25" i="30"/>
  <c r="B49" i="30"/>
  <c r="M49" i="30"/>
  <c r="B121" i="30"/>
  <c r="M121" i="30"/>
  <c r="B97" i="30"/>
  <c r="M97" i="30"/>
  <c r="B73" i="30"/>
  <c r="B25" i="39"/>
  <c r="C25" i="39"/>
  <c r="F25" i="39"/>
  <c r="I25" i="39"/>
  <c r="L25" i="39"/>
  <c r="O25" i="39"/>
  <c r="O14" i="38"/>
  <c r="O11" i="38"/>
  <c r="K15" i="38"/>
  <c r="I15" i="38"/>
  <c r="E24" i="28"/>
  <c r="M38" i="38"/>
  <c r="M39" i="38" s="1"/>
  <c r="M31" i="38"/>
  <c r="M32" i="38"/>
  <c r="M33" i="38"/>
  <c r="M20" i="38"/>
  <c r="M21" i="38"/>
  <c r="M22" i="38"/>
  <c r="K38" i="38"/>
  <c r="K39" i="38" s="1"/>
  <c r="K31" i="38"/>
  <c r="K32" i="38"/>
  <c r="K33" i="38"/>
  <c r="K20" i="38"/>
  <c r="K21" i="38"/>
  <c r="K22" i="38"/>
  <c r="I38" i="38"/>
  <c r="I39" i="38" s="1"/>
  <c r="I31" i="38"/>
  <c r="I32" i="38"/>
  <c r="I33" i="38"/>
  <c r="I20" i="38"/>
  <c r="I21" i="38"/>
  <c r="I22" i="38"/>
  <c r="G38" i="38"/>
  <c r="G39" i="38" s="1"/>
  <c r="G31" i="38"/>
  <c r="G32" i="38"/>
  <c r="G33" i="38"/>
  <c r="G20" i="38"/>
  <c r="G21" i="38"/>
  <c r="G22" i="38"/>
  <c r="P22" i="38" s="1"/>
  <c r="R22" i="38" s="1"/>
  <c r="O38" i="38"/>
  <c r="O39" i="38" s="1"/>
  <c r="O31" i="38"/>
  <c r="O32" i="38"/>
  <c r="O33" i="38"/>
  <c r="O20" i="38"/>
  <c r="O24" i="38" s="1"/>
  <c r="O21" i="38"/>
  <c r="O22" i="38"/>
  <c r="A9" i="47"/>
  <c r="E39" i="28"/>
  <c r="E42" i="28"/>
  <c r="E45" i="28"/>
  <c r="E46" i="28"/>
  <c r="E47" i="28"/>
  <c r="E48" i="28"/>
  <c r="E49" i="28"/>
  <c r="E50" i="28"/>
  <c r="E51" i="28"/>
  <c r="E52" i="28"/>
  <c r="F24" i="28"/>
  <c r="F39" i="28"/>
  <c r="F42" i="28" s="1"/>
  <c r="F45" i="28"/>
  <c r="F52" i="28" s="1"/>
  <c r="F46" i="28"/>
  <c r="F47" i="28"/>
  <c r="F48" i="28"/>
  <c r="F49" i="28"/>
  <c r="F50" i="28"/>
  <c r="F51" i="28"/>
  <c r="B13" i="30"/>
  <c r="J408" i="4"/>
  <c r="M408" i="4"/>
  <c r="P408" i="4"/>
  <c r="S408" i="4"/>
  <c r="V408" i="4"/>
  <c r="Q39" i="38"/>
  <c r="Q15" i="38"/>
  <c r="F12" i="39"/>
  <c r="I12" i="39"/>
  <c r="L12" i="39"/>
  <c r="O12" i="39"/>
  <c r="F13" i="39"/>
  <c r="I13" i="39"/>
  <c r="L13" i="39"/>
  <c r="O13" i="39"/>
  <c r="F14" i="39"/>
  <c r="I14" i="39"/>
  <c r="L14" i="39"/>
  <c r="O14" i="39"/>
  <c r="F15" i="39"/>
  <c r="I15" i="39"/>
  <c r="L15" i="39"/>
  <c r="O15" i="39"/>
  <c r="F16" i="39"/>
  <c r="I16" i="39"/>
  <c r="L16" i="39"/>
  <c r="O16" i="39"/>
  <c r="F17" i="39"/>
  <c r="I17" i="39"/>
  <c r="L17" i="39"/>
  <c r="O17" i="39"/>
  <c r="F18" i="39"/>
  <c r="I18" i="39"/>
  <c r="L18" i="39"/>
  <c r="O18" i="39"/>
  <c r="F19" i="39"/>
  <c r="I19" i="39"/>
  <c r="L19" i="39"/>
  <c r="O19" i="39"/>
  <c r="F20" i="39"/>
  <c r="I20" i="39"/>
  <c r="L20" i="39"/>
  <c r="O20" i="39"/>
  <c r="F21" i="39"/>
  <c r="I21" i="39"/>
  <c r="L21" i="39"/>
  <c r="O21" i="39"/>
  <c r="F22" i="39"/>
  <c r="I22" i="39"/>
  <c r="L22" i="39"/>
  <c r="O22" i="39"/>
  <c r="E504" i="4"/>
  <c r="E503" i="4"/>
  <c r="E502" i="4"/>
  <c r="E501" i="4"/>
  <c r="E485" i="4"/>
  <c r="E486" i="4"/>
  <c r="E487" i="4"/>
  <c r="E488" i="4"/>
  <c r="E489" i="4"/>
  <c r="E490" i="4"/>
  <c r="E491" i="4"/>
  <c r="E492" i="4"/>
  <c r="E493" i="4"/>
  <c r="E494" i="4"/>
  <c r="E495" i="4"/>
  <c r="E458" i="4"/>
  <c r="E457" i="4"/>
  <c r="E456" i="4"/>
  <c r="E455" i="4"/>
  <c r="E439" i="4"/>
  <c r="E440" i="4"/>
  <c r="E441" i="4"/>
  <c r="E442" i="4"/>
  <c r="E443" i="4"/>
  <c r="E444" i="4"/>
  <c r="E445" i="4"/>
  <c r="E446" i="4"/>
  <c r="E447" i="4"/>
  <c r="E448" i="4"/>
  <c r="E449" i="4"/>
  <c r="E392" i="4"/>
  <c r="E391" i="4"/>
  <c r="E390" i="4"/>
  <c r="E389" i="4"/>
  <c r="E373" i="4"/>
  <c r="E374" i="4"/>
  <c r="E375" i="4"/>
  <c r="E376" i="4"/>
  <c r="E377" i="4"/>
  <c r="E378" i="4"/>
  <c r="E379" i="4"/>
  <c r="E380" i="4"/>
  <c r="E381" i="4"/>
  <c r="E382" i="4"/>
  <c r="E383" i="4"/>
  <c r="E338" i="4"/>
  <c r="E337" i="4"/>
  <c r="E336" i="4"/>
  <c r="E335" i="4"/>
  <c r="E319" i="4"/>
  <c r="E320" i="4"/>
  <c r="E321" i="4"/>
  <c r="E322" i="4"/>
  <c r="E323" i="4"/>
  <c r="E324" i="4"/>
  <c r="E325" i="4"/>
  <c r="E326" i="4"/>
  <c r="E327" i="4"/>
  <c r="E328" i="4"/>
  <c r="E329" i="4"/>
  <c r="E290" i="4"/>
  <c r="E289" i="4"/>
  <c r="E288" i="4"/>
  <c r="E287" i="4"/>
  <c r="E271" i="4"/>
  <c r="E272" i="4"/>
  <c r="E273" i="4"/>
  <c r="E274" i="4"/>
  <c r="E275" i="4"/>
  <c r="E276" i="4"/>
  <c r="E277" i="4"/>
  <c r="E278" i="4"/>
  <c r="E279" i="4"/>
  <c r="E280" i="4"/>
  <c r="E281" i="4"/>
  <c r="E231" i="4"/>
  <c r="E230" i="4"/>
  <c r="E229" i="4"/>
  <c r="E228" i="4"/>
  <c r="E212" i="4"/>
  <c r="E213" i="4"/>
  <c r="E214" i="4"/>
  <c r="E215" i="4"/>
  <c r="E216" i="4"/>
  <c r="E217" i="4"/>
  <c r="E218" i="4"/>
  <c r="E219" i="4"/>
  <c r="E220" i="4"/>
  <c r="E221" i="4"/>
  <c r="E222" i="4"/>
  <c r="E188" i="4"/>
  <c r="E187" i="4"/>
  <c r="E186" i="4"/>
  <c r="E185" i="4"/>
  <c r="E169" i="4"/>
  <c r="E170" i="4"/>
  <c r="E172" i="4"/>
  <c r="E173" i="4"/>
  <c r="E174" i="4"/>
  <c r="E175" i="4"/>
  <c r="E176" i="4"/>
  <c r="E177" i="4"/>
  <c r="E178" i="4"/>
  <c r="E179" i="4"/>
  <c r="O23" i="39"/>
  <c r="O24" i="39"/>
  <c r="L23" i="39"/>
  <c r="L24" i="39"/>
  <c r="I23" i="39"/>
  <c r="I24" i="39"/>
  <c r="F23" i="39"/>
  <c r="F24" i="39"/>
  <c r="C14" i="39"/>
  <c r="C15" i="39"/>
  <c r="C16" i="39"/>
  <c r="C17" i="39"/>
  <c r="C18" i="39"/>
  <c r="C19" i="39"/>
  <c r="C20" i="39"/>
  <c r="C21" i="39"/>
  <c r="C22" i="39"/>
  <c r="C23" i="39"/>
  <c r="C24" i="39"/>
  <c r="E150" i="4"/>
  <c r="E149" i="4"/>
  <c r="E148" i="4"/>
  <c r="E131" i="4"/>
  <c r="E132" i="4"/>
  <c r="E133" i="4"/>
  <c r="E134" i="4"/>
  <c r="E135" i="4"/>
  <c r="E136" i="4"/>
  <c r="E137" i="4"/>
  <c r="E138" i="4"/>
  <c r="E139" i="4"/>
  <c r="E140" i="4"/>
  <c r="E141" i="4"/>
  <c r="B113" i="30"/>
  <c r="M113" i="30"/>
  <c r="B17" i="39"/>
  <c r="B18" i="39"/>
  <c r="B19" i="39"/>
  <c r="B20" i="39"/>
  <c r="B21" i="39"/>
  <c r="B22" i="39"/>
  <c r="B23" i="39"/>
  <c r="B24" i="39"/>
  <c r="B46" i="43"/>
  <c r="B45" i="43"/>
  <c r="B44" i="43"/>
  <c r="B43" i="43"/>
  <c r="B41" i="43"/>
  <c r="B39" i="43"/>
  <c r="B37" i="43"/>
  <c r="B36" i="43"/>
  <c r="B35" i="43"/>
  <c r="B33" i="43"/>
  <c r="J22" i="43"/>
  <c r="J23" i="43"/>
  <c r="J24" i="43"/>
  <c r="J25" i="43"/>
  <c r="J26" i="43"/>
  <c r="J27" i="43"/>
  <c r="J28" i="43"/>
  <c r="J29" i="43"/>
  <c r="J21" i="43"/>
  <c r="K9" i="43"/>
  <c r="O11" i="39"/>
  <c r="O28" i="39"/>
  <c r="O27" i="39"/>
  <c r="L28" i="39"/>
  <c r="L27" i="39"/>
  <c r="L11" i="39"/>
  <c r="I28" i="39"/>
  <c r="I27" i="39"/>
  <c r="I11" i="39"/>
  <c r="F28" i="39"/>
  <c r="F27" i="39"/>
  <c r="F11" i="39"/>
  <c r="C28" i="39"/>
  <c r="C27" i="39"/>
  <c r="C12" i="39"/>
  <c r="C13" i="39"/>
  <c r="C11" i="39"/>
  <c r="B17" i="32"/>
  <c r="B12" i="32"/>
  <c r="B22" i="32"/>
  <c r="B21" i="30"/>
  <c r="B12" i="39"/>
  <c r="B13" i="39"/>
  <c r="B14" i="39"/>
  <c r="B15" i="39"/>
  <c r="B16" i="39"/>
  <c r="M123" i="30"/>
  <c r="B123" i="30"/>
  <c r="M99" i="30"/>
  <c r="B99" i="30"/>
  <c r="M75" i="30"/>
  <c r="B75" i="30"/>
  <c r="M51" i="30"/>
  <c r="B51" i="30"/>
  <c r="M27" i="30"/>
  <c r="B27" i="30"/>
  <c r="D27" i="39"/>
  <c r="B27" i="39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7" i="41"/>
  <c r="B64" i="41"/>
  <c r="B62" i="41"/>
  <c r="B60" i="41"/>
  <c r="B58" i="41"/>
  <c r="B56" i="41"/>
  <c r="B54" i="41"/>
  <c r="B52" i="41"/>
  <c r="B50" i="41"/>
  <c r="H22" i="41"/>
  <c r="H14" i="41"/>
  <c r="D24" i="41"/>
  <c r="D17" i="41"/>
  <c r="D21" i="41"/>
  <c r="D27" i="41"/>
  <c r="E20" i="41"/>
  <c r="F12" i="41"/>
  <c r="G11" i="41"/>
  <c r="G15" i="41"/>
  <c r="H13" i="41"/>
  <c r="E11" i="41"/>
  <c r="F16" i="41"/>
  <c r="H17" i="41"/>
  <c r="F20" i="41"/>
  <c r="H21" i="41"/>
  <c r="H27" i="41"/>
  <c r="E15" i="41"/>
  <c r="D13" i="41"/>
  <c r="H16" i="41"/>
  <c r="H20" i="41"/>
  <c r="G19" i="41"/>
  <c r="F10" i="41"/>
  <c r="D12" i="41"/>
  <c r="E19" i="41"/>
  <c r="H24" i="41"/>
  <c r="H23" i="41"/>
  <c r="G23" i="41"/>
  <c r="E24" i="41"/>
  <c r="E12" i="41"/>
  <c r="D16" i="41"/>
  <c r="H12" i="41"/>
  <c r="E16" i="41"/>
  <c r="D20" i="41"/>
  <c r="E23" i="41"/>
  <c r="F24" i="41"/>
  <c r="G12" i="41"/>
  <c r="I12" i="41"/>
  <c r="G13" i="41"/>
  <c r="F13" i="41"/>
  <c r="G16" i="41"/>
  <c r="I16" i="41"/>
  <c r="G17" i="41"/>
  <c r="F17" i="41"/>
  <c r="G20" i="41"/>
  <c r="I20" i="41"/>
  <c r="G21" i="41"/>
  <c r="I21" i="41"/>
  <c r="F21" i="41"/>
  <c r="G24" i="41"/>
  <c r="I24" i="41"/>
  <c r="G27" i="41"/>
  <c r="F27" i="41"/>
  <c r="H10" i="41"/>
  <c r="D14" i="41"/>
  <c r="F14" i="41"/>
  <c r="D18" i="41"/>
  <c r="F18" i="41"/>
  <c r="H18" i="41"/>
  <c r="D22" i="41"/>
  <c r="F22" i="41"/>
  <c r="D10" i="41"/>
  <c r="D11" i="41"/>
  <c r="F11" i="41"/>
  <c r="H11" i="41"/>
  <c r="E13" i="41"/>
  <c r="D15" i="41"/>
  <c r="F15" i="41"/>
  <c r="H15" i="41"/>
  <c r="E17" i="41"/>
  <c r="D19" i="41"/>
  <c r="F19" i="41"/>
  <c r="H19" i="41"/>
  <c r="E21" i="41"/>
  <c r="D23" i="41"/>
  <c r="F23" i="41"/>
  <c r="E27" i="41"/>
  <c r="E10" i="41"/>
  <c r="G10" i="41"/>
  <c r="E14" i="41"/>
  <c r="G14" i="41"/>
  <c r="E18" i="41"/>
  <c r="G18" i="41"/>
  <c r="E22" i="41"/>
  <c r="G22" i="41"/>
  <c r="I11" i="41"/>
  <c r="I15" i="41"/>
  <c r="I13" i="41"/>
  <c r="I23" i="41"/>
  <c r="I17" i="41"/>
  <c r="I19" i="41"/>
  <c r="I14" i="41"/>
  <c r="I27" i="41"/>
  <c r="I18" i="41"/>
  <c r="I10" i="41"/>
  <c r="I22" i="41"/>
  <c r="B28" i="39"/>
  <c r="B11" i="39"/>
  <c r="E211" i="4"/>
  <c r="E168" i="4"/>
  <c r="E130" i="4"/>
  <c r="B108" i="30"/>
  <c r="B109" i="30"/>
  <c r="B110" i="30"/>
  <c r="B111" i="30"/>
  <c r="B112" i="30"/>
  <c r="B114" i="30"/>
  <c r="B115" i="30"/>
  <c r="B116" i="30"/>
  <c r="B117" i="30"/>
  <c r="B118" i="30"/>
  <c r="B119" i="30"/>
  <c r="B120" i="30"/>
  <c r="B107" i="30"/>
  <c r="M117" i="30"/>
  <c r="M114" i="30"/>
  <c r="B84" i="30"/>
  <c r="B85" i="30"/>
  <c r="B86" i="30"/>
  <c r="B87" i="30"/>
  <c r="B88" i="30"/>
  <c r="B89" i="30"/>
  <c r="B90" i="30"/>
  <c r="B91" i="30"/>
  <c r="B92" i="30"/>
  <c r="B93" i="30"/>
  <c r="B94" i="30"/>
  <c r="B95" i="30"/>
  <c r="B96" i="30"/>
  <c r="B83" i="30"/>
  <c r="M93" i="30"/>
  <c r="M90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59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35" i="30"/>
  <c r="M45" i="30"/>
  <c r="M42" i="30"/>
  <c r="B12" i="30"/>
  <c r="B14" i="30"/>
  <c r="B15" i="30"/>
  <c r="B16" i="30"/>
  <c r="B17" i="30"/>
  <c r="B18" i="30"/>
  <c r="B19" i="30"/>
  <c r="B20" i="30"/>
  <c r="B22" i="30"/>
  <c r="B23" i="30"/>
  <c r="B24" i="30"/>
  <c r="B11" i="30"/>
  <c r="M21" i="30"/>
  <c r="M18" i="30"/>
  <c r="A8" i="38"/>
  <c r="B124" i="30"/>
  <c r="L103" i="30"/>
  <c r="K103" i="30"/>
  <c r="J103" i="30"/>
  <c r="I103" i="30"/>
  <c r="H103" i="30"/>
  <c r="G103" i="30"/>
  <c r="F103" i="30"/>
  <c r="E103" i="30"/>
  <c r="M124" i="30"/>
  <c r="M120" i="30"/>
  <c r="M119" i="30"/>
  <c r="M118" i="30"/>
  <c r="M116" i="30"/>
  <c r="M115" i="30"/>
  <c r="M112" i="30"/>
  <c r="M111" i="30"/>
  <c r="M110" i="30"/>
  <c r="M109" i="30"/>
  <c r="M108" i="30"/>
  <c r="M107" i="30"/>
  <c r="L79" i="30"/>
  <c r="K79" i="30"/>
  <c r="J79" i="30"/>
  <c r="I79" i="30"/>
  <c r="H79" i="30"/>
  <c r="B100" i="30"/>
  <c r="B76" i="30"/>
  <c r="B52" i="30"/>
  <c r="G79" i="30"/>
  <c r="F79" i="30"/>
  <c r="E79" i="30"/>
  <c r="M100" i="30"/>
  <c r="M96" i="30"/>
  <c r="M95" i="30"/>
  <c r="M94" i="30"/>
  <c r="M92" i="30"/>
  <c r="M91" i="30"/>
  <c r="M89" i="30"/>
  <c r="M88" i="30"/>
  <c r="M87" i="30"/>
  <c r="M86" i="30"/>
  <c r="M85" i="30"/>
  <c r="M84" i="30"/>
  <c r="M83" i="30"/>
  <c r="L55" i="30"/>
  <c r="K55" i="30"/>
  <c r="J55" i="30"/>
  <c r="I55" i="30"/>
  <c r="H55" i="30"/>
  <c r="G55" i="30"/>
  <c r="F55" i="30"/>
  <c r="E55" i="30"/>
  <c r="M76" i="30"/>
  <c r="M35" i="30"/>
  <c r="L31" i="30"/>
  <c r="K31" i="30"/>
  <c r="J31" i="30"/>
  <c r="I31" i="30"/>
  <c r="H31" i="30"/>
  <c r="G31" i="30"/>
  <c r="F31" i="30"/>
  <c r="E7" i="30"/>
  <c r="E31" i="30"/>
  <c r="M52" i="30"/>
  <c r="M48" i="30"/>
  <c r="M47" i="30"/>
  <c r="M46" i="30"/>
  <c r="M44" i="30"/>
  <c r="M43" i="30"/>
  <c r="M41" i="30"/>
  <c r="M40" i="30"/>
  <c r="M39" i="30"/>
  <c r="M38" i="30"/>
  <c r="M37" i="30"/>
  <c r="M36" i="30"/>
  <c r="B6" i="32"/>
  <c r="E165" i="4"/>
  <c r="E208" i="4"/>
  <c r="E267" i="4"/>
  <c r="E270" i="4"/>
  <c r="E318" i="4"/>
  <c r="E369" i="4"/>
  <c r="E372" i="4"/>
  <c r="M16" i="30"/>
  <c r="M17" i="30"/>
  <c r="M19" i="30"/>
  <c r="M24" i="30"/>
  <c r="E484" i="4"/>
  <c r="E438" i="4"/>
  <c r="E481" i="4"/>
  <c r="E147" i="4"/>
  <c r="B28" i="30"/>
  <c r="M28" i="30"/>
  <c r="M12" i="30"/>
  <c r="M13" i="30"/>
  <c r="M14" i="30"/>
  <c r="M15" i="30"/>
  <c r="M20" i="30"/>
  <c r="M22" i="30"/>
  <c r="M23" i="30"/>
  <c r="M11" i="30"/>
  <c r="F7" i="30"/>
  <c r="G7" i="30"/>
  <c r="H7" i="30"/>
  <c r="I7" i="30"/>
  <c r="J7" i="30"/>
  <c r="K7" i="30"/>
  <c r="L7" i="30"/>
  <c r="E435" i="4"/>
  <c r="E127" i="4"/>
  <c r="H4" i="17"/>
  <c r="I4" i="17"/>
  <c r="J8" i="17"/>
  <c r="H5" i="17"/>
  <c r="H6" i="17"/>
  <c r="H11" i="17"/>
  <c r="I11" i="17"/>
  <c r="H12" i="17"/>
  <c r="H13" i="17"/>
  <c r="B18" i="17"/>
  <c r="C18" i="17"/>
  <c r="D18" i="17"/>
  <c r="E18" i="17"/>
  <c r="F18" i="17"/>
  <c r="G18" i="17"/>
  <c r="H18" i="17"/>
  <c r="B19" i="17"/>
  <c r="C19" i="17"/>
  <c r="E19" i="17"/>
  <c r="H19" i="17"/>
  <c r="I18" i="17"/>
  <c r="B20" i="17"/>
  <c r="C20" i="17"/>
  <c r="E20" i="17"/>
  <c r="H20" i="17"/>
  <c r="B21" i="17"/>
  <c r="C21" i="17"/>
  <c r="K18" i="17"/>
  <c r="D19" i="17"/>
  <c r="F19" i="17"/>
  <c r="F21" i="17"/>
  <c r="N35" i="17"/>
  <c r="G19" i="17"/>
  <c r="D20" i="17"/>
  <c r="D21" i="17"/>
  <c r="L35" i="17"/>
  <c r="F20" i="17"/>
  <c r="G20" i="17"/>
  <c r="E21" i="17"/>
  <c r="G21" i="17"/>
  <c r="C26" i="17"/>
  <c r="E26" i="17"/>
  <c r="H26" i="17"/>
  <c r="I26" i="17"/>
  <c r="G26" i="17"/>
  <c r="C27" i="17"/>
  <c r="E27" i="17"/>
  <c r="G27" i="17"/>
  <c r="H27" i="17"/>
  <c r="C28" i="17"/>
  <c r="E28" i="17"/>
  <c r="G28" i="17"/>
  <c r="H28" i="17"/>
  <c r="L22" i="17"/>
  <c r="C29" i="17"/>
  <c r="E29" i="17"/>
  <c r="G29" i="17"/>
  <c r="H35" i="17"/>
  <c r="I35" i="17"/>
  <c r="O35" i="17"/>
  <c r="J35" i="17"/>
  <c r="K35" i="17"/>
  <c r="M35" i="17"/>
  <c r="H41" i="17"/>
  <c r="K41" i="17"/>
  <c r="H42" i="17"/>
  <c r="C45" i="17"/>
  <c r="E45" i="17"/>
  <c r="C46" i="17"/>
  <c r="E46" i="17"/>
  <c r="C50" i="17"/>
  <c r="E50" i="17"/>
  <c r="C51" i="17"/>
  <c r="E51" i="17"/>
  <c r="C59" i="17"/>
  <c r="E59" i="17"/>
  <c r="J22" i="17"/>
  <c r="O41" i="17"/>
  <c r="H36" i="17"/>
  <c r="M41" i="17"/>
  <c r="C55" i="17"/>
  <c r="E55" i="17"/>
  <c r="G148" i="47" l="1"/>
  <c r="J37" i="4"/>
  <c r="M16" i="39"/>
  <c r="D18" i="39"/>
  <c r="G58" i="43"/>
  <c r="G59" i="43"/>
  <c r="P16" i="39"/>
  <c r="P18" i="39"/>
  <c r="M18" i="39"/>
  <c r="G19" i="39"/>
  <c r="D20" i="39"/>
  <c r="D12" i="39"/>
  <c r="P17" i="39"/>
  <c r="M17" i="39"/>
  <c r="G18" i="39"/>
  <c r="D19" i="39"/>
  <c r="P15" i="39"/>
  <c r="M15" i="39"/>
  <c r="G16" i="39"/>
  <c r="D17" i="39"/>
  <c r="P22" i="39"/>
  <c r="P14" i="39"/>
  <c r="M22" i="39"/>
  <c r="M14" i="39"/>
  <c r="G15" i="39"/>
  <c r="D16" i="39"/>
  <c r="P21" i="39"/>
  <c r="P13" i="39"/>
  <c r="M21" i="39"/>
  <c r="M13" i="39"/>
  <c r="G22" i="39"/>
  <c r="G14" i="39"/>
  <c r="D15" i="39"/>
  <c r="G17" i="39"/>
  <c r="P20" i="39"/>
  <c r="P12" i="39"/>
  <c r="M20" i="39"/>
  <c r="M12" i="39"/>
  <c r="G21" i="39"/>
  <c r="G13" i="39"/>
  <c r="D22" i="39"/>
  <c r="D14" i="39"/>
  <c r="P19" i="39"/>
  <c r="M19" i="39"/>
  <c r="G20" i="39"/>
  <c r="G12" i="39"/>
  <c r="D21" i="39"/>
  <c r="D13" i="39"/>
  <c r="X367" i="4"/>
  <c r="X479" i="4"/>
  <c r="I130" i="47"/>
  <c r="G112" i="47"/>
  <c r="P111" i="47"/>
  <c r="X163" i="4"/>
  <c r="X526" i="4"/>
  <c r="M24" i="38"/>
  <c r="K24" i="38"/>
  <c r="I24" i="38"/>
  <c r="G24" i="38"/>
  <c r="J297" i="4"/>
  <c r="V194" i="4"/>
  <c r="M297" i="4"/>
  <c r="P238" i="4"/>
  <c r="P297" i="4"/>
  <c r="M194" i="4"/>
  <c r="J238" i="4"/>
  <c r="M238" i="4"/>
  <c r="S297" i="4"/>
  <c r="S238" i="4"/>
  <c r="V297" i="4"/>
  <c r="V238" i="4"/>
  <c r="Q150" i="47"/>
  <c r="Q154" i="47" s="1"/>
  <c r="P32" i="47"/>
  <c r="R32" i="47" s="1"/>
  <c r="P31" i="47"/>
  <c r="R31" i="47" s="1"/>
  <c r="P15" i="47"/>
  <c r="R15" i="47" s="1"/>
  <c r="O67" i="47"/>
  <c r="P141" i="47"/>
  <c r="R141" i="47" s="1"/>
  <c r="I136" i="47"/>
  <c r="P140" i="47"/>
  <c r="R140" i="47" s="1"/>
  <c r="Q114" i="47"/>
  <c r="P18" i="47"/>
  <c r="R18" i="47" s="1"/>
  <c r="P43" i="47"/>
  <c r="R43" i="47" s="1"/>
  <c r="P66" i="47"/>
  <c r="R66" i="47" s="1"/>
  <c r="P13" i="47"/>
  <c r="R13" i="47" s="1"/>
  <c r="P129" i="47"/>
  <c r="R129" i="47" s="1"/>
  <c r="O143" i="47"/>
  <c r="P22" i="47"/>
  <c r="R22" i="47" s="1"/>
  <c r="P19" i="47"/>
  <c r="R19" i="47" s="1"/>
  <c r="G136" i="47"/>
  <c r="M143" i="47"/>
  <c r="P65" i="47"/>
  <c r="R65" i="47" s="1"/>
  <c r="P27" i="47"/>
  <c r="R27" i="47" s="1"/>
  <c r="P64" i="47"/>
  <c r="R64" i="47" s="1"/>
  <c r="P26" i="47"/>
  <c r="R26" i="47" s="1"/>
  <c r="O136" i="47"/>
  <c r="M136" i="47"/>
  <c r="P51" i="47"/>
  <c r="G130" i="47"/>
  <c r="K136" i="47"/>
  <c r="I87" i="47"/>
  <c r="P16" i="47"/>
  <c r="R16" i="47" s="1"/>
  <c r="K48" i="47"/>
  <c r="K67" i="47"/>
  <c r="P34" i="47"/>
  <c r="R34" i="47" s="1"/>
  <c r="P29" i="47"/>
  <c r="R29" i="47" s="1"/>
  <c r="P194" i="4"/>
  <c r="S194" i="4"/>
  <c r="P102" i="4"/>
  <c r="F39" i="41" s="1"/>
  <c r="V102" i="4"/>
  <c r="S102" i="4"/>
  <c r="J102" i="4"/>
  <c r="M102" i="4"/>
  <c r="V224" i="4"/>
  <c r="P224" i="4"/>
  <c r="M224" i="4"/>
  <c r="J224" i="4"/>
  <c r="S224" i="4"/>
  <c r="P142" i="4"/>
  <c r="J142" i="4"/>
  <c r="S142" i="4"/>
  <c r="V142" i="4"/>
  <c r="M142" i="4"/>
  <c r="S497" i="4"/>
  <c r="P497" i="4"/>
  <c r="V497" i="4"/>
  <c r="J497" i="4"/>
  <c r="M497" i="4"/>
  <c r="M181" i="4"/>
  <c r="S181" i="4"/>
  <c r="J181" i="4"/>
  <c r="P181" i="4"/>
  <c r="V181" i="4"/>
  <c r="I220" i="4"/>
  <c r="V220" i="4" s="1"/>
  <c r="I493" i="4"/>
  <c r="I216" i="4"/>
  <c r="J216" i="4" s="1"/>
  <c r="I489" i="4"/>
  <c r="I213" i="4"/>
  <c r="V213" i="4" s="1"/>
  <c r="I486" i="4"/>
  <c r="P282" i="4"/>
  <c r="V282" i="4"/>
  <c r="J282" i="4"/>
  <c r="M282" i="4"/>
  <c r="S282" i="4"/>
  <c r="P385" i="4"/>
  <c r="M385" i="4"/>
  <c r="V385" i="4"/>
  <c r="J385" i="4"/>
  <c r="S385" i="4"/>
  <c r="J384" i="4"/>
  <c r="V384" i="4"/>
  <c r="S384" i="4"/>
  <c r="M384" i="4"/>
  <c r="P384" i="4"/>
  <c r="S330" i="4"/>
  <c r="V330" i="4"/>
  <c r="J330" i="4"/>
  <c r="P330" i="4"/>
  <c r="M330" i="4"/>
  <c r="P450" i="4"/>
  <c r="V450" i="4"/>
  <c r="S450" i="4"/>
  <c r="M450" i="4"/>
  <c r="J450" i="4"/>
  <c r="S451" i="4"/>
  <c r="J451" i="4"/>
  <c r="V451" i="4"/>
  <c r="M451" i="4"/>
  <c r="P451" i="4"/>
  <c r="P487" i="4"/>
  <c r="S487" i="4"/>
  <c r="M487" i="4"/>
  <c r="J487" i="4"/>
  <c r="V487" i="4"/>
  <c r="I179" i="4"/>
  <c r="J179" i="4" s="1"/>
  <c r="I495" i="4"/>
  <c r="S223" i="4"/>
  <c r="V223" i="4"/>
  <c r="J223" i="4"/>
  <c r="M223" i="4"/>
  <c r="P223" i="4"/>
  <c r="J331" i="4"/>
  <c r="S331" i="4"/>
  <c r="P331" i="4"/>
  <c r="M331" i="4"/>
  <c r="V331" i="4"/>
  <c r="I217" i="4"/>
  <c r="P217" i="4" s="1"/>
  <c r="I490" i="4"/>
  <c r="I219" i="4"/>
  <c r="S219" i="4" s="1"/>
  <c r="I492" i="4"/>
  <c r="I215" i="4"/>
  <c r="M215" i="4" s="1"/>
  <c r="I488" i="4"/>
  <c r="S496" i="4"/>
  <c r="V496" i="4"/>
  <c r="M496" i="4"/>
  <c r="J496" i="4"/>
  <c r="P496" i="4"/>
  <c r="J143" i="4"/>
  <c r="P143" i="4"/>
  <c r="S143" i="4"/>
  <c r="M143" i="4"/>
  <c r="V143" i="4"/>
  <c r="V180" i="4"/>
  <c r="P180" i="4"/>
  <c r="J180" i="4"/>
  <c r="M180" i="4"/>
  <c r="S180" i="4"/>
  <c r="J283" i="4"/>
  <c r="M283" i="4"/>
  <c r="V283" i="4"/>
  <c r="S283" i="4"/>
  <c r="P283" i="4"/>
  <c r="V27" i="4"/>
  <c r="Q25" i="39" s="1"/>
  <c r="S27" i="4"/>
  <c r="N25" i="39" s="1"/>
  <c r="P27" i="4"/>
  <c r="K25" i="39" s="1"/>
  <c r="J20" i="4"/>
  <c r="V26" i="4"/>
  <c r="Q24" i="39" s="1"/>
  <c r="S26" i="4"/>
  <c r="N24" i="39" s="1"/>
  <c r="P26" i="4"/>
  <c r="K24" i="39" s="1"/>
  <c r="M26" i="4"/>
  <c r="H24" i="39" s="1"/>
  <c r="J27" i="4"/>
  <c r="E25" i="39" s="1"/>
  <c r="V25" i="4"/>
  <c r="Q23" i="39" s="1"/>
  <c r="S25" i="4"/>
  <c r="N23" i="39" s="1"/>
  <c r="P25" i="4"/>
  <c r="K23" i="39" s="1"/>
  <c r="M25" i="4"/>
  <c r="H23" i="39" s="1"/>
  <c r="J26" i="4"/>
  <c r="E24" i="39" s="1"/>
  <c r="M20" i="4"/>
  <c r="J25" i="4"/>
  <c r="E23" i="39" s="1"/>
  <c r="E28" i="39"/>
  <c r="P29" i="4"/>
  <c r="K27" i="39" s="1"/>
  <c r="M29" i="4"/>
  <c r="H27" i="39" s="1"/>
  <c r="V29" i="4"/>
  <c r="Q27" i="39" s="1"/>
  <c r="I278" i="4"/>
  <c r="V278" i="4" s="1"/>
  <c r="I274" i="4"/>
  <c r="P274" i="4" s="1"/>
  <c r="J21" i="4"/>
  <c r="I138" i="4"/>
  <c r="V138" i="4" s="1"/>
  <c r="I380" i="4"/>
  <c r="V380" i="4" s="1"/>
  <c r="I326" i="4"/>
  <c r="V326" i="4" s="1"/>
  <c r="J17" i="4"/>
  <c r="I322" i="4"/>
  <c r="S322" i="4" s="1"/>
  <c r="M21" i="4"/>
  <c r="I176" i="4"/>
  <c r="M176" i="4" s="1"/>
  <c r="V21" i="4"/>
  <c r="S21" i="4"/>
  <c r="V19" i="4"/>
  <c r="L406" i="4"/>
  <c r="M406" i="4" s="1"/>
  <c r="V18" i="4"/>
  <c r="M426" i="4"/>
  <c r="W530" i="4"/>
  <c r="Y530" i="4" s="1"/>
  <c r="I378" i="4"/>
  <c r="S378" i="4" s="1"/>
  <c r="I324" i="4"/>
  <c r="M324" i="4" s="1"/>
  <c r="I136" i="4"/>
  <c r="M136" i="4" s="1"/>
  <c r="S19" i="4"/>
  <c r="I276" i="4"/>
  <c r="V276" i="4" s="1"/>
  <c r="I174" i="4"/>
  <c r="P174" i="4" s="1"/>
  <c r="J19" i="4"/>
  <c r="I280" i="4"/>
  <c r="J280" i="4" s="1"/>
  <c r="V23" i="4"/>
  <c r="J14" i="4"/>
  <c r="I328" i="4"/>
  <c r="J328" i="4" s="1"/>
  <c r="P344" i="4"/>
  <c r="I140" i="4"/>
  <c r="S140" i="4" s="1"/>
  <c r="S29" i="4"/>
  <c r="N27" i="39" s="1"/>
  <c r="W467" i="4"/>
  <c r="O93" i="47"/>
  <c r="I67" i="47"/>
  <c r="P126" i="47"/>
  <c r="R126" i="47" s="1"/>
  <c r="P101" i="47"/>
  <c r="R101" i="47" s="1"/>
  <c r="O104" i="47"/>
  <c r="M67" i="47"/>
  <c r="P142" i="47"/>
  <c r="R142" i="47" s="1"/>
  <c r="Q118" i="47"/>
  <c r="I48" i="47"/>
  <c r="P139" i="47"/>
  <c r="R139" i="47" s="1"/>
  <c r="P146" i="47"/>
  <c r="P148" i="47" s="1"/>
  <c r="K93" i="47"/>
  <c r="G48" i="47"/>
  <c r="P127" i="47"/>
  <c r="R127" i="47" s="1"/>
  <c r="K130" i="47"/>
  <c r="K150" i="47" s="1"/>
  <c r="P100" i="47"/>
  <c r="Q69" i="47"/>
  <c r="Q73" i="47" s="1"/>
  <c r="X74" i="4" s="1"/>
  <c r="X84" i="4" s="1"/>
  <c r="D20" i="28" s="1"/>
  <c r="P31" i="38"/>
  <c r="R31" i="38" s="1"/>
  <c r="Q41" i="38"/>
  <c r="Q45" i="38" s="1"/>
  <c r="I275" i="4"/>
  <c r="J275" i="4" s="1"/>
  <c r="I132" i="4"/>
  <c r="J132" i="4" s="1"/>
  <c r="I377" i="4"/>
  <c r="J377" i="4" s="1"/>
  <c r="I173" i="4"/>
  <c r="M173" i="4" s="1"/>
  <c r="I272" i="4"/>
  <c r="V272" i="4" s="1"/>
  <c r="I323" i="4"/>
  <c r="S323" i="4" s="1"/>
  <c r="I135" i="4"/>
  <c r="J135" i="4" s="1"/>
  <c r="K35" i="38"/>
  <c r="P38" i="38"/>
  <c r="R38" i="38" s="1"/>
  <c r="R39" i="38" s="1"/>
  <c r="I373" i="4"/>
  <c r="P373" i="4" s="1"/>
  <c r="V15" i="4"/>
  <c r="M14" i="4"/>
  <c r="J23" i="4"/>
  <c r="V14" i="4"/>
  <c r="S17" i="4"/>
  <c r="M13" i="4"/>
  <c r="I442" i="4"/>
  <c r="P442" i="4" s="1"/>
  <c r="J344" i="4"/>
  <c r="V156" i="4"/>
  <c r="I178" i="4"/>
  <c r="V178" i="4" s="1"/>
  <c r="I172" i="4"/>
  <c r="M172" i="4" s="1"/>
  <c r="J193" i="4"/>
  <c r="J194" i="4" s="1"/>
  <c r="P17" i="4"/>
  <c r="J426" i="4"/>
  <c r="I319" i="4"/>
  <c r="J319" i="4" s="1"/>
  <c r="S14" i="4"/>
  <c r="I382" i="4"/>
  <c r="M382" i="4" s="1"/>
  <c r="I376" i="4"/>
  <c r="V376" i="4" s="1"/>
  <c r="I169" i="4"/>
  <c r="P169" i="4" s="1"/>
  <c r="I131" i="4"/>
  <c r="J131" i="4" s="1"/>
  <c r="P15" i="4"/>
  <c r="M17" i="4"/>
  <c r="I130" i="4"/>
  <c r="J130" i="4" s="1"/>
  <c r="J149" i="4" s="1"/>
  <c r="V17" i="4"/>
  <c r="P14" i="4"/>
  <c r="M23" i="4"/>
  <c r="O35" i="47"/>
  <c r="M35" i="47"/>
  <c r="P102" i="47"/>
  <c r="R102" i="47" s="1"/>
  <c r="P20" i="47"/>
  <c r="R20" i="47" s="1"/>
  <c r="P134" i="47"/>
  <c r="P83" i="47"/>
  <c r="R83" i="47" s="1"/>
  <c r="P80" i="47"/>
  <c r="R80" i="47" s="1"/>
  <c r="I35" i="47"/>
  <c r="P86" i="47"/>
  <c r="R86" i="47" s="1"/>
  <c r="P91" i="47"/>
  <c r="R91" i="47" s="1"/>
  <c r="P44" i="47"/>
  <c r="R44" i="47" s="1"/>
  <c r="P33" i="47"/>
  <c r="R33" i="47" s="1"/>
  <c r="P21" i="47"/>
  <c r="R21" i="47" s="1"/>
  <c r="P12" i="47"/>
  <c r="R12" i="47" s="1"/>
  <c r="P38" i="47"/>
  <c r="R38" i="47" s="1"/>
  <c r="R147" i="47"/>
  <c r="I93" i="47"/>
  <c r="P112" i="47"/>
  <c r="P57" i="47"/>
  <c r="R57" i="47" s="1"/>
  <c r="O130" i="47"/>
  <c r="P79" i="47"/>
  <c r="P46" i="47"/>
  <c r="R46" i="47" s="1"/>
  <c r="P124" i="47"/>
  <c r="R124" i="47" s="1"/>
  <c r="P82" i="47"/>
  <c r="R82" i="47" s="1"/>
  <c r="K87" i="47"/>
  <c r="G67" i="47"/>
  <c r="O87" i="47"/>
  <c r="R134" i="47"/>
  <c r="P47" i="47"/>
  <c r="R47" i="47" s="1"/>
  <c r="P92" i="47"/>
  <c r="R92" i="47" s="1"/>
  <c r="O48" i="47"/>
  <c r="P41" i="47"/>
  <c r="R41" i="47" s="1"/>
  <c r="P135" i="47"/>
  <c r="R135" i="47" s="1"/>
  <c r="R146" i="47"/>
  <c r="G61" i="47"/>
  <c r="M48" i="47"/>
  <c r="G143" i="47"/>
  <c r="P96" i="47"/>
  <c r="K35" i="47"/>
  <c r="P40" i="47"/>
  <c r="R40" i="47" s="1"/>
  <c r="M130" i="47"/>
  <c r="G87" i="47"/>
  <c r="P28" i="47"/>
  <c r="R28" i="47" s="1"/>
  <c r="G93" i="47"/>
  <c r="C54" i="28"/>
  <c r="C57" i="28"/>
  <c r="C61" i="28" s="1"/>
  <c r="W517" i="4"/>
  <c r="W518" i="4" s="1"/>
  <c r="I443" i="4"/>
  <c r="M443" i="4" s="1"/>
  <c r="O406" i="4"/>
  <c r="P406" i="4" s="1"/>
  <c r="O404" i="4"/>
  <c r="P404" i="4" s="1"/>
  <c r="W404" i="4" s="1"/>
  <c r="Y404" i="4" s="1"/>
  <c r="V277" i="4"/>
  <c r="P19" i="4"/>
  <c r="J175" i="4"/>
  <c r="P156" i="4"/>
  <c r="S23" i="4"/>
  <c r="P18" i="4"/>
  <c r="M19" i="4"/>
  <c r="O405" i="4"/>
  <c r="P405" i="4" s="1"/>
  <c r="P23" i="4"/>
  <c r="M18" i="4"/>
  <c r="M22" i="4"/>
  <c r="S156" i="4"/>
  <c r="W105" i="4"/>
  <c r="Y105" i="4" s="1"/>
  <c r="S383" i="4"/>
  <c r="W94" i="4"/>
  <c r="Y94" i="4" s="1"/>
  <c r="J211" i="4"/>
  <c r="J28" i="39"/>
  <c r="W532" i="4"/>
  <c r="Y532" i="4" s="1"/>
  <c r="V420" i="4"/>
  <c r="I139" i="4"/>
  <c r="V139" i="4" s="1"/>
  <c r="W111" i="4"/>
  <c r="Y111" i="4" s="1"/>
  <c r="V22" i="4"/>
  <c r="J379" i="4"/>
  <c r="I381" i="4"/>
  <c r="V381" i="4" s="1"/>
  <c r="V344" i="4"/>
  <c r="M344" i="4"/>
  <c r="J156" i="4"/>
  <c r="W41" i="4"/>
  <c r="Y41" i="4" s="1"/>
  <c r="S16" i="4"/>
  <c r="I279" i="4"/>
  <c r="J279" i="4" s="1"/>
  <c r="M156" i="4"/>
  <c r="J22" i="4"/>
  <c r="S22" i="4"/>
  <c r="V426" i="4"/>
  <c r="S420" i="4"/>
  <c r="I177" i="4"/>
  <c r="S177" i="4" s="1"/>
  <c r="P107" i="4"/>
  <c r="I327" i="4"/>
  <c r="J327" i="4" s="1"/>
  <c r="V72" i="4"/>
  <c r="R60" i="4"/>
  <c r="S60" i="4" s="1"/>
  <c r="S61" i="4" s="1"/>
  <c r="G33" i="41" s="1"/>
  <c r="S72" i="4"/>
  <c r="G11" i="39"/>
  <c r="M11" i="39"/>
  <c r="M106" i="4"/>
  <c r="D28" i="39"/>
  <c r="J325" i="4"/>
  <c r="J198" i="4"/>
  <c r="S18" i="4"/>
  <c r="P11" i="39"/>
  <c r="M379" i="4"/>
  <c r="J448" i="4"/>
  <c r="J277" i="4"/>
  <c r="P175" i="4"/>
  <c r="S134" i="4"/>
  <c r="V448" i="4"/>
  <c r="X198" i="4"/>
  <c r="X206" i="4" s="1"/>
  <c r="W417" i="4"/>
  <c r="Y417" i="4" s="1"/>
  <c r="I329" i="4"/>
  <c r="M329" i="4" s="1"/>
  <c r="P21" i="4"/>
  <c r="S71" i="4"/>
  <c r="J383" i="4"/>
  <c r="D11" i="39"/>
  <c r="I170" i="4"/>
  <c r="V170" i="4" s="1"/>
  <c r="P134" i="4"/>
  <c r="M109" i="4"/>
  <c r="P13" i="4"/>
  <c r="W100" i="4"/>
  <c r="Y100" i="4" s="1"/>
  <c r="P59" i="4"/>
  <c r="P61" i="4" s="1"/>
  <c r="F33" i="41" s="1"/>
  <c r="W243" i="4"/>
  <c r="Y243" i="4" s="1"/>
  <c r="I484" i="4"/>
  <c r="J484" i="4" s="1"/>
  <c r="I281" i="4"/>
  <c r="M281" i="4" s="1"/>
  <c r="P211" i="4"/>
  <c r="S15" i="4"/>
  <c r="W95" i="4"/>
  <c r="Y95" i="4" s="1"/>
  <c r="I372" i="4"/>
  <c r="V372" i="4" s="1"/>
  <c r="I318" i="4"/>
  <c r="M318" i="4" s="1"/>
  <c r="M271" i="4"/>
  <c r="I231" i="4"/>
  <c r="I188" i="4"/>
  <c r="P109" i="4"/>
  <c r="V13" i="4"/>
  <c r="J15" i="4"/>
  <c r="W81" i="4"/>
  <c r="Y81" i="4" s="1"/>
  <c r="P72" i="4"/>
  <c r="L405" i="4"/>
  <c r="M405" i="4" s="1"/>
  <c r="S426" i="4"/>
  <c r="I320" i="4"/>
  <c r="V320" i="4" s="1"/>
  <c r="V211" i="4"/>
  <c r="M15" i="4"/>
  <c r="I374" i="4"/>
  <c r="P374" i="4" s="1"/>
  <c r="W419" i="4"/>
  <c r="Y419" i="4" s="1"/>
  <c r="I270" i="4"/>
  <c r="P270" i="4" s="1"/>
  <c r="P271" i="4"/>
  <c r="S13" i="4"/>
  <c r="S38" i="4" s="1"/>
  <c r="J13" i="4"/>
  <c r="W58" i="4"/>
  <c r="Y58" i="4" s="1"/>
  <c r="W237" i="4"/>
  <c r="Y237" i="4" s="1"/>
  <c r="V257" i="4"/>
  <c r="S518" i="4"/>
  <c r="M403" i="4"/>
  <c r="W403" i="4" s="1"/>
  <c r="Y403" i="4" s="1"/>
  <c r="W425" i="4"/>
  <c r="Y425" i="4" s="1"/>
  <c r="I168" i="4"/>
  <c r="M168" i="4" s="1"/>
  <c r="W40" i="4"/>
  <c r="Y40" i="4" s="1"/>
  <c r="M71" i="4"/>
  <c r="I438" i="4"/>
  <c r="J438" i="4" s="1"/>
  <c r="I440" i="4"/>
  <c r="M440" i="4" s="1"/>
  <c r="I214" i="4"/>
  <c r="P214" i="4" s="1"/>
  <c r="I441" i="4"/>
  <c r="S441" i="4" s="1"/>
  <c r="I171" i="4"/>
  <c r="V171" i="4" s="1"/>
  <c r="I321" i="4"/>
  <c r="S321" i="4" s="1"/>
  <c r="I375" i="4"/>
  <c r="S375" i="4" s="1"/>
  <c r="I133" i="4"/>
  <c r="P133" i="4" s="1"/>
  <c r="I273" i="4"/>
  <c r="M273" i="4" s="1"/>
  <c r="M16" i="4"/>
  <c r="S344" i="4"/>
  <c r="W343" i="4"/>
  <c r="Y343" i="4" s="1"/>
  <c r="M27" i="4"/>
  <c r="H25" i="39" s="1"/>
  <c r="P22" i="4"/>
  <c r="P16" i="4"/>
  <c r="V59" i="4"/>
  <c r="U60" i="4"/>
  <c r="V60" i="4" s="1"/>
  <c r="M108" i="4"/>
  <c r="J108" i="4"/>
  <c r="P108" i="4"/>
  <c r="J18" i="4"/>
  <c r="S106" i="4"/>
  <c r="P106" i="4"/>
  <c r="W65" i="4"/>
  <c r="Y65" i="4" s="1"/>
  <c r="W99" i="4"/>
  <c r="Y99" i="4" s="1"/>
  <c r="W401" i="4"/>
  <c r="Y401" i="4" s="1"/>
  <c r="S271" i="4"/>
  <c r="V175" i="4"/>
  <c r="V113" i="4"/>
  <c r="H41" i="41" s="1"/>
  <c r="W93" i="4"/>
  <c r="Y93" i="4" s="1"/>
  <c r="W412" i="4"/>
  <c r="W414" i="4" s="1"/>
  <c r="V271" i="4"/>
  <c r="S211" i="4"/>
  <c r="J16" i="4"/>
  <c r="W245" i="4"/>
  <c r="Y245" i="4" s="1"/>
  <c r="V514" i="4"/>
  <c r="W418" i="4"/>
  <c r="Y418" i="4" s="1"/>
  <c r="S277" i="4"/>
  <c r="W192" i="4"/>
  <c r="Y192" i="4" s="1"/>
  <c r="J134" i="4"/>
  <c r="M134" i="4"/>
  <c r="V71" i="4"/>
  <c r="W408" i="4"/>
  <c r="Y408" i="4" s="1"/>
  <c r="S379" i="4"/>
  <c r="V383" i="4"/>
  <c r="P420" i="4"/>
  <c r="W351" i="4"/>
  <c r="W352" i="4" s="1"/>
  <c r="J271" i="4"/>
  <c r="M211" i="4"/>
  <c r="J109" i="4"/>
  <c r="J71" i="4"/>
  <c r="W48" i="4"/>
  <c r="Y48" i="4" s="1"/>
  <c r="P448" i="4"/>
  <c r="V16" i="4"/>
  <c r="I447" i="4"/>
  <c r="P447" i="4" s="1"/>
  <c r="V379" i="4"/>
  <c r="P379" i="4"/>
  <c r="M277" i="4"/>
  <c r="P277" i="4"/>
  <c r="W295" i="4"/>
  <c r="M107" i="4"/>
  <c r="V439" i="4"/>
  <c r="W98" i="4"/>
  <c r="Y98" i="4" s="1"/>
  <c r="S257" i="4"/>
  <c r="P257" i="4"/>
  <c r="M257" i="4"/>
  <c r="J257" i="4"/>
  <c r="P11" i="38"/>
  <c r="R11" i="38" s="1"/>
  <c r="G15" i="38"/>
  <c r="G35" i="38"/>
  <c r="M35" i="38"/>
  <c r="O15" i="38"/>
  <c r="P21" i="38"/>
  <c r="R21" i="38" s="1"/>
  <c r="I35" i="38"/>
  <c r="O35" i="38"/>
  <c r="P14" i="38"/>
  <c r="R14" i="38" s="1"/>
  <c r="P33" i="38"/>
  <c r="R33" i="38" s="1"/>
  <c r="P32" i="38"/>
  <c r="R32" i="38" s="1"/>
  <c r="P20" i="38"/>
  <c r="P24" i="38" s="1"/>
  <c r="W356" i="4"/>
  <c r="M514" i="4"/>
  <c r="K28" i="39"/>
  <c r="P383" i="4"/>
  <c r="W424" i="4"/>
  <c r="P426" i="4"/>
  <c r="W398" i="4"/>
  <c r="Y398" i="4" s="1"/>
  <c r="V409" i="4"/>
  <c r="W397" i="4"/>
  <c r="S325" i="4"/>
  <c r="P325" i="4"/>
  <c r="V325" i="4"/>
  <c r="W508" i="4"/>
  <c r="P509" i="4"/>
  <c r="M383" i="4"/>
  <c r="J409" i="4"/>
  <c r="J420" i="4"/>
  <c r="W296" i="4"/>
  <c r="W472" i="4"/>
  <c r="J514" i="4"/>
  <c r="W512" i="4"/>
  <c r="Y512" i="4" s="1"/>
  <c r="M420" i="4"/>
  <c r="M325" i="4"/>
  <c r="S409" i="4"/>
  <c r="W342" i="4"/>
  <c r="W154" i="4"/>
  <c r="W53" i="4"/>
  <c r="Y53" i="4" s="1"/>
  <c r="P514" i="4"/>
  <c r="S175" i="4"/>
  <c r="M175" i="4"/>
  <c r="I37" i="41"/>
  <c r="J59" i="4"/>
  <c r="J60" i="4"/>
  <c r="W462" i="4"/>
  <c r="W400" i="4"/>
  <c r="Y400" i="4" s="1"/>
  <c r="I445" i="4"/>
  <c r="P445" i="4" s="1"/>
  <c r="V20" i="4"/>
  <c r="P20" i="4"/>
  <c r="I218" i="4"/>
  <c r="V218" i="4" s="1"/>
  <c r="S20" i="4"/>
  <c r="I137" i="4"/>
  <c r="J439" i="4"/>
  <c r="V134" i="4"/>
  <c r="W66" i="4"/>
  <c r="Y66" i="4" s="1"/>
  <c r="C35" i="43" s="1"/>
  <c r="W87" i="4"/>
  <c r="W49" i="4"/>
  <c r="Y49" i="4" s="1"/>
  <c r="S439" i="4"/>
  <c r="S30" i="4"/>
  <c r="M30" i="4"/>
  <c r="V30" i="4"/>
  <c r="W79" i="4"/>
  <c r="Y79" i="4" s="1"/>
  <c r="W64" i="4"/>
  <c r="Y64" i="4" s="1"/>
  <c r="W50" i="4"/>
  <c r="Y50" i="4" s="1"/>
  <c r="W80" i="4"/>
  <c r="Y80" i="4" s="1"/>
  <c r="W76" i="4"/>
  <c r="Y76" i="4" s="1"/>
  <c r="W67" i="4"/>
  <c r="Y67" i="4" s="1"/>
  <c r="L60" i="4"/>
  <c r="M60" i="4" s="1"/>
  <c r="M59" i="4"/>
  <c r="M448" i="4"/>
  <c r="S448" i="4"/>
  <c r="M439" i="4"/>
  <c r="W97" i="4"/>
  <c r="Y97" i="4" s="1"/>
  <c r="I449" i="4"/>
  <c r="M24" i="4"/>
  <c r="I222" i="4"/>
  <c r="J222" i="4" s="1"/>
  <c r="V24" i="4"/>
  <c r="J24" i="4"/>
  <c r="P24" i="4"/>
  <c r="I141" i="4"/>
  <c r="S141" i="4" s="1"/>
  <c r="S24" i="4"/>
  <c r="S73" i="4"/>
  <c r="P73" i="4"/>
  <c r="M73" i="4"/>
  <c r="V73" i="4"/>
  <c r="W68" i="4"/>
  <c r="Y68" i="4" s="1"/>
  <c r="W56" i="4"/>
  <c r="Y56" i="4" s="1"/>
  <c r="W55" i="4"/>
  <c r="Y55" i="4" s="1"/>
  <c r="W54" i="4"/>
  <c r="Y54" i="4" s="1"/>
  <c r="W155" i="4"/>
  <c r="W77" i="4"/>
  <c r="Y77" i="4" s="1"/>
  <c r="P439" i="4"/>
  <c r="S463" i="4"/>
  <c r="I221" i="4"/>
  <c r="S221" i="4" s="1"/>
  <c r="I212" i="4"/>
  <c r="M212" i="4" s="1"/>
  <c r="I446" i="4"/>
  <c r="I444" i="4"/>
  <c r="S444" i="4" s="1"/>
  <c r="S107" i="4"/>
  <c r="W236" i="4"/>
  <c r="W51" i="4"/>
  <c r="Y51" i="4" s="1"/>
  <c r="J463" i="4"/>
  <c r="M463" i="4"/>
  <c r="W96" i="4"/>
  <c r="W513" i="4"/>
  <c r="Y513" i="4" s="1"/>
  <c r="S514" i="4"/>
  <c r="Y252" i="4"/>
  <c r="V252" i="4"/>
  <c r="G35" i="47"/>
  <c r="R58" i="47"/>
  <c r="J61" i="4" l="1"/>
  <c r="R148" i="47"/>
  <c r="S113" i="4"/>
  <c r="G55" i="43"/>
  <c r="G54" i="43"/>
  <c r="G26" i="43"/>
  <c r="G61" i="43"/>
  <c r="G60" i="43"/>
  <c r="G29" i="43"/>
  <c r="G67" i="43"/>
  <c r="G66" i="43"/>
  <c r="G65" i="43"/>
  <c r="G64" i="43"/>
  <c r="G36" i="43"/>
  <c r="G53" i="43"/>
  <c r="G52" i="43"/>
  <c r="R25" i="39"/>
  <c r="R23" i="39"/>
  <c r="R24" i="39"/>
  <c r="Y155" i="4"/>
  <c r="Y257" i="4"/>
  <c r="D25" i="28"/>
  <c r="G51" i="43" s="1"/>
  <c r="J36" i="4"/>
  <c r="G41" i="38"/>
  <c r="R67" i="47"/>
  <c r="I150" i="47"/>
  <c r="I152" i="47" s="1"/>
  <c r="I154" i="47" s="1"/>
  <c r="M242" i="4" s="1"/>
  <c r="Y472" i="4"/>
  <c r="Y473" i="4" s="1"/>
  <c r="W473" i="4"/>
  <c r="Q47" i="38"/>
  <c r="M220" i="4"/>
  <c r="P220" i="4"/>
  <c r="J220" i="4"/>
  <c r="S220" i="4"/>
  <c r="M278" i="4"/>
  <c r="J172" i="4"/>
  <c r="M130" i="4"/>
  <c r="M149" i="4" s="1"/>
  <c r="M37" i="4"/>
  <c r="P172" i="4"/>
  <c r="S130" i="4"/>
  <c r="S150" i="4" s="1"/>
  <c r="J215" i="4"/>
  <c r="W238" i="4"/>
  <c r="P179" i="4"/>
  <c r="S278" i="4"/>
  <c r="Y295" i="4"/>
  <c r="W297" i="4"/>
  <c r="J217" i="4"/>
  <c r="J278" i="4"/>
  <c r="G152" i="47"/>
  <c r="G154" i="47" s="1"/>
  <c r="J242" i="4" s="1"/>
  <c r="M150" i="47"/>
  <c r="M152" i="47" s="1"/>
  <c r="M154" i="47" s="1"/>
  <c r="S242" i="4" s="1"/>
  <c r="R61" i="47"/>
  <c r="O150" i="47"/>
  <c r="O152" i="47" s="1"/>
  <c r="O154" i="47" s="1"/>
  <c r="V242" i="4" s="1"/>
  <c r="P61" i="47"/>
  <c r="K69" i="47"/>
  <c r="K71" i="47" s="1"/>
  <c r="K73" i="47" s="1"/>
  <c r="P74" i="4" s="1"/>
  <c r="P82" i="4" s="1"/>
  <c r="G114" i="47"/>
  <c r="I114" i="47"/>
  <c r="I116" i="47" s="1"/>
  <c r="I118" i="47" s="1"/>
  <c r="M241" i="4" s="1"/>
  <c r="K114" i="47"/>
  <c r="K116" i="47" s="1"/>
  <c r="K118" i="47" s="1"/>
  <c r="P241" i="4" s="1"/>
  <c r="O114" i="47"/>
  <c r="O116" i="47" s="1"/>
  <c r="O118" i="47" s="1"/>
  <c r="V241" i="4" s="1"/>
  <c r="R130" i="47"/>
  <c r="P143" i="47"/>
  <c r="P130" i="47"/>
  <c r="R136" i="47"/>
  <c r="P136" i="47"/>
  <c r="R51" i="47"/>
  <c r="R54" i="47" s="1"/>
  <c r="P54" i="47"/>
  <c r="P67" i="47"/>
  <c r="R143" i="47"/>
  <c r="K152" i="47"/>
  <c r="K154" i="47" s="1"/>
  <c r="P242" i="4" s="1"/>
  <c r="R35" i="47"/>
  <c r="I69" i="47"/>
  <c r="I71" i="47" s="1"/>
  <c r="I73" i="47" s="1"/>
  <c r="M74" i="4" s="1"/>
  <c r="M82" i="4" s="1"/>
  <c r="G69" i="47"/>
  <c r="P35" i="47"/>
  <c r="Q156" i="47"/>
  <c r="P104" i="47"/>
  <c r="P87" i="47"/>
  <c r="R111" i="47"/>
  <c r="R112" i="47" s="1"/>
  <c r="R100" i="47"/>
  <c r="R104" i="47" s="1"/>
  <c r="R79" i="47"/>
  <c r="R87" i="47" s="1"/>
  <c r="O69" i="47"/>
  <c r="O71" i="47" s="1"/>
  <c r="O73" i="47" s="1"/>
  <c r="V74" i="4" s="1"/>
  <c r="V84" i="4" s="1"/>
  <c r="H35" i="41" s="1"/>
  <c r="P219" i="4"/>
  <c r="M219" i="4"/>
  <c r="V219" i="4"/>
  <c r="M186" i="4"/>
  <c r="J288" i="4"/>
  <c r="S336" i="4"/>
  <c r="J390" i="4"/>
  <c r="P278" i="4"/>
  <c r="P213" i="4"/>
  <c r="S213" i="4"/>
  <c r="J213" i="4"/>
  <c r="M213" i="4"/>
  <c r="P138" i="4"/>
  <c r="J138" i="4"/>
  <c r="V130" i="4"/>
  <c r="V150" i="4" s="1"/>
  <c r="P130" i="4"/>
  <c r="P149" i="4" s="1"/>
  <c r="J219" i="4"/>
  <c r="J113" i="4"/>
  <c r="D41" i="41" s="1"/>
  <c r="S179" i="4"/>
  <c r="P380" i="4"/>
  <c r="M179" i="4"/>
  <c r="M380" i="4"/>
  <c r="V215" i="4"/>
  <c r="S380" i="4"/>
  <c r="V179" i="4"/>
  <c r="S215" i="4"/>
  <c r="P215" i="4"/>
  <c r="J380" i="4"/>
  <c r="G39" i="41"/>
  <c r="E39" i="41"/>
  <c r="H39" i="41"/>
  <c r="D39" i="41"/>
  <c r="M216" i="4"/>
  <c r="V176" i="4"/>
  <c r="S216" i="4"/>
  <c r="M138" i="4"/>
  <c r="S138" i="4"/>
  <c r="P216" i="4"/>
  <c r="V216" i="4"/>
  <c r="V229" i="4" s="1"/>
  <c r="S274" i="4"/>
  <c r="W142" i="4"/>
  <c r="Y142" i="4" s="1"/>
  <c r="W450" i="4"/>
  <c r="Y450" i="4" s="1"/>
  <c r="W224" i="4"/>
  <c r="Y224" i="4" s="1"/>
  <c r="M326" i="4"/>
  <c r="P326" i="4"/>
  <c r="P37" i="4"/>
  <c r="P276" i="4"/>
  <c r="S326" i="4"/>
  <c r="V37" i="4"/>
  <c r="M274" i="4"/>
  <c r="J176" i="4"/>
  <c r="P176" i="4"/>
  <c r="W283" i="4"/>
  <c r="Y283" i="4" s="1"/>
  <c r="S490" i="4"/>
  <c r="P490" i="4"/>
  <c r="M490" i="4"/>
  <c r="J490" i="4"/>
  <c r="V490" i="4"/>
  <c r="W384" i="4"/>
  <c r="Y384" i="4" s="1"/>
  <c r="W282" i="4"/>
  <c r="Y282" i="4" s="1"/>
  <c r="J274" i="4"/>
  <c r="S37" i="4"/>
  <c r="M376" i="4"/>
  <c r="V36" i="4"/>
  <c r="W496" i="4"/>
  <c r="Y496" i="4" s="1"/>
  <c r="M489" i="4"/>
  <c r="M502" i="4" s="1"/>
  <c r="V489" i="4"/>
  <c r="V502" i="4" s="1"/>
  <c r="S489" i="4"/>
  <c r="S502" i="4" s="1"/>
  <c r="P489" i="4"/>
  <c r="P502" i="4" s="1"/>
  <c r="J489" i="4"/>
  <c r="J502" i="4" s="1"/>
  <c r="S176" i="4"/>
  <c r="W25" i="4"/>
  <c r="Y25" i="4" s="1"/>
  <c r="W143" i="4"/>
  <c r="Y143" i="4" s="1"/>
  <c r="J488" i="4"/>
  <c r="P488" i="4"/>
  <c r="M488" i="4"/>
  <c r="V488" i="4"/>
  <c r="S488" i="4"/>
  <c r="W223" i="4"/>
  <c r="Y223" i="4" s="1"/>
  <c r="W487" i="4"/>
  <c r="Y487" i="4" s="1"/>
  <c r="W26" i="4"/>
  <c r="Y26" i="4" s="1"/>
  <c r="V217" i="4"/>
  <c r="J495" i="4"/>
  <c r="V495" i="4"/>
  <c r="P495" i="4"/>
  <c r="M495" i="4"/>
  <c r="S495" i="4"/>
  <c r="W385" i="4"/>
  <c r="Y385" i="4" s="1"/>
  <c r="W497" i="4"/>
  <c r="Y497" i="4" s="1"/>
  <c r="M493" i="4"/>
  <c r="S493" i="4"/>
  <c r="J493" i="4"/>
  <c r="V493" i="4"/>
  <c r="P493" i="4"/>
  <c r="V274" i="4"/>
  <c r="M217" i="4"/>
  <c r="S217" i="4"/>
  <c r="W180" i="4"/>
  <c r="Y180" i="4" s="1"/>
  <c r="M492" i="4"/>
  <c r="V492" i="4"/>
  <c r="J492" i="4"/>
  <c r="S492" i="4"/>
  <c r="P492" i="4"/>
  <c r="W330" i="4"/>
  <c r="Y330" i="4" s="1"/>
  <c r="J486" i="4"/>
  <c r="P486" i="4"/>
  <c r="M486" i="4"/>
  <c r="S486" i="4"/>
  <c r="V486" i="4"/>
  <c r="S35" i="4"/>
  <c r="W331" i="4"/>
  <c r="Y331" i="4" s="1"/>
  <c r="W451" i="4"/>
  <c r="Y451" i="4" s="1"/>
  <c r="W181" i="4"/>
  <c r="Y181" i="4" s="1"/>
  <c r="P35" i="4"/>
  <c r="M35" i="4"/>
  <c r="J39" i="4"/>
  <c r="J38" i="4"/>
  <c r="M36" i="4"/>
  <c r="S36" i="4"/>
  <c r="P36" i="4"/>
  <c r="V35" i="4"/>
  <c r="J35" i="4"/>
  <c r="J230" i="4"/>
  <c r="P230" i="4"/>
  <c r="M337" i="4"/>
  <c r="R27" i="39"/>
  <c r="W406" i="4"/>
  <c r="Y406" i="4" s="1"/>
  <c r="J457" i="4"/>
  <c r="P178" i="4"/>
  <c r="M178" i="4"/>
  <c r="S442" i="4"/>
  <c r="S136" i="4"/>
  <c r="J136" i="4"/>
  <c r="M272" i="4"/>
  <c r="P131" i="4"/>
  <c r="S272" i="4"/>
  <c r="V280" i="4"/>
  <c r="J324" i="4"/>
  <c r="M280" i="4"/>
  <c r="P280" i="4"/>
  <c r="J376" i="4"/>
  <c r="W29" i="4"/>
  <c r="Y29" i="4" s="1"/>
  <c r="P272" i="4"/>
  <c r="S280" i="4"/>
  <c r="J272" i="4"/>
  <c r="S373" i="4"/>
  <c r="V324" i="4"/>
  <c r="S324" i="4"/>
  <c r="P173" i="4"/>
  <c r="P186" i="4" s="1"/>
  <c r="J326" i="4"/>
  <c r="W405" i="4"/>
  <c r="Y405" i="4" s="1"/>
  <c r="V173" i="4"/>
  <c r="V186" i="4" s="1"/>
  <c r="V172" i="4"/>
  <c r="W21" i="4"/>
  <c r="Y21" i="4" s="1"/>
  <c r="P324" i="4"/>
  <c r="J322" i="4"/>
  <c r="V322" i="4"/>
  <c r="P409" i="4"/>
  <c r="M323" i="4"/>
  <c r="M336" i="4" s="1"/>
  <c r="P136" i="4"/>
  <c r="P322" i="4"/>
  <c r="V136" i="4"/>
  <c r="M322" i="4"/>
  <c r="S173" i="4"/>
  <c r="S186" i="4" s="1"/>
  <c r="P378" i="4"/>
  <c r="S172" i="4"/>
  <c r="J173" i="4"/>
  <c r="J186" i="4" s="1"/>
  <c r="S329" i="4"/>
  <c r="S376" i="4"/>
  <c r="P329" i="4"/>
  <c r="V329" i="4"/>
  <c r="P279" i="4"/>
  <c r="J378" i="4"/>
  <c r="V463" i="4"/>
  <c r="W193" i="4"/>
  <c r="Y193" i="4" s="1"/>
  <c r="Y194" i="4" s="1"/>
  <c r="M279" i="4"/>
  <c r="S139" i="4"/>
  <c r="V279" i="4"/>
  <c r="J139" i="4"/>
  <c r="M378" i="4"/>
  <c r="V378" i="4"/>
  <c r="P139" i="4"/>
  <c r="S279" i="4"/>
  <c r="M139" i="4"/>
  <c r="S39" i="4"/>
  <c r="V140" i="4"/>
  <c r="M140" i="4"/>
  <c r="J140" i="4"/>
  <c r="P140" i="4"/>
  <c r="S377" i="4"/>
  <c r="S390" i="4" s="1"/>
  <c r="V382" i="4"/>
  <c r="P377" i="4"/>
  <c r="P390" i="4" s="1"/>
  <c r="J382" i="4"/>
  <c r="J178" i="4"/>
  <c r="S178" i="4"/>
  <c r="V438" i="4"/>
  <c r="V377" i="4"/>
  <c r="V390" i="4" s="1"/>
  <c r="S319" i="4"/>
  <c r="M276" i="4"/>
  <c r="J276" i="4"/>
  <c r="M319" i="4"/>
  <c r="S276" i="4"/>
  <c r="V135" i="4"/>
  <c r="M381" i="4"/>
  <c r="S327" i="4"/>
  <c r="S381" i="4"/>
  <c r="S174" i="4"/>
  <c r="V174" i="4"/>
  <c r="V132" i="4"/>
  <c r="P376" i="4"/>
  <c r="S320" i="4"/>
  <c r="P382" i="4"/>
  <c r="M377" i="4"/>
  <c r="M390" i="4" s="1"/>
  <c r="J273" i="4"/>
  <c r="J174" i="4"/>
  <c r="Y517" i="4"/>
  <c r="Y518" i="4" s="1"/>
  <c r="M174" i="4"/>
  <c r="V231" i="4"/>
  <c r="V61" i="4"/>
  <c r="H33" i="41" s="1"/>
  <c r="M132" i="4"/>
  <c r="W14" i="4"/>
  <c r="Y14" i="4" s="1"/>
  <c r="S132" i="4"/>
  <c r="P132" i="4"/>
  <c r="P275" i="4"/>
  <c r="P288" i="4" s="1"/>
  <c r="J318" i="4"/>
  <c r="P135" i="4"/>
  <c r="S275" i="4"/>
  <c r="S288" i="4" s="1"/>
  <c r="M328" i="4"/>
  <c r="V328" i="4"/>
  <c r="M275" i="4"/>
  <c r="M288" i="4" s="1"/>
  <c r="S328" i="4"/>
  <c r="V275" i="4"/>
  <c r="V288" i="4" s="1"/>
  <c r="M441" i="4"/>
  <c r="P328" i="4"/>
  <c r="M321" i="4"/>
  <c r="V321" i="4"/>
  <c r="M135" i="4"/>
  <c r="P321" i="4"/>
  <c r="S135" i="4"/>
  <c r="V318" i="4"/>
  <c r="S273" i="4"/>
  <c r="W19" i="4"/>
  <c r="Y19" i="4" s="1"/>
  <c r="X82" i="4"/>
  <c r="G116" i="47"/>
  <c r="G118" i="47" s="1"/>
  <c r="J241" i="4" s="1"/>
  <c r="M69" i="47"/>
  <c r="M71" i="47" s="1"/>
  <c r="M73" i="47" s="1"/>
  <c r="S74" i="4" s="1"/>
  <c r="S84" i="4" s="1"/>
  <c r="G35" i="41" s="1"/>
  <c r="P39" i="38"/>
  <c r="O41" i="38"/>
  <c r="O43" i="38" s="1"/>
  <c r="O45" i="38" s="1"/>
  <c r="O47" i="38" s="1"/>
  <c r="X265" i="4"/>
  <c r="V373" i="4"/>
  <c r="W17" i="4"/>
  <c r="Y17" i="4" s="1"/>
  <c r="S133" i="4"/>
  <c r="M373" i="4"/>
  <c r="S169" i="4"/>
  <c r="J373" i="4"/>
  <c r="J169" i="4"/>
  <c r="J323" i="4"/>
  <c r="J336" i="4" s="1"/>
  <c r="P323" i="4"/>
  <c r="P336" i="4" s="1"/>
  <c r="V323" i="4"/>
  <c r="V336" i="4" s="1"/>
  <c r="J231" i="4"/>
  <c r="M338" i="4"/>
  <c r="W420" i="4"/>
  <c r="V442" i="4"/>
  <c r="M442" i="4"/>
  <c r="M131" i="4"/>
  <c r="J442" i="4"/>
  <c r="S443" i="4"/>
  <c r="S131" i="4"/>
  <c r="V131" i="4"/>
  <c r="W27" i="4"/>
  <c r="Y27" i="4" s="1"/>
  <c r="M484" i="4"/>
  <c r="W23" i="4"/>
  <c r="Y23" i="4" s="1"/>
  <c r="J443" i="4"/>
  <c r="S484" i="4"/>
  <c r="V484" i="4"/>
  <c r="I41" i="38"/>
  <c r="I43" i="38" s="1"/>
  <c r="I45" i="38" s="1"/>
  <c r="M41" i="38"/>
  <c r="M43" i="38" s="1"/>
  <c r="M45" i="38" s="1"/>
  <c r="K41" i="38"/>
  <c r="K43" i="38" s="1"/>
  <c r="K45" i="38" s="1"/>
  <c r="G43" i="38"/>
  <c r="G45" i="38" s="1"/>
  <c r="V319" i="4"/>
  <c r="P381" i="4"/>
  <c r="P319" i="4"/>
  <c r="P372" i="4"/>
  <c r="P273" i="4"/>
  <c r="S382" i="4"/>
  <c r="J150" i="4"/>
  <c r="V169" i="4"/>
  <c r="V443" i="4"/>
  <c r="P443" i="4"/>
  <c r="P456" i="4" s="1"/>
  <c r="M39" i="4"/>
  <c r="M38" i="4"/>
  <c r="M169" i="4"/>
  <c r="J381" i="4"/>
  <c r="V270" i="4"/>
  <c r="V273" i="4"/>
  <c r="V447" i="4"/>
  <c r="P441" i="4"/>
  <c r="R48" i="47"/>
  <c r="M116" i="47"/>
  <c r="P93" i="47"/>
  <c r="R93" i="47"/>
  <c r="P48" i="47"/>
  <c r="P97" i="47"/>
  <c r="R96" i="47"/>
  <c r="R97" i="47" s="1"/>
  <c r="C65" i="28"/>
  <c r="P463" i="4"/>
  <c r="J171" i="4"/>
  <c r="M171" i="4"/>
  <c r="M372" i="4"/>
  <c r="J170" i="4"/>
  <c r="M214" i="4"/>
  <c r="P281" i="4"/>
  <c r="W134" i="4"/>
  <c r="Y134" i="4" s="1"/>
  <c r="M270" i="4"/>
  <c r="V177" i="4"/>
  <c r="J177" i="4"/>
  <c r="S270" i="4"/>
  <c r="P168" i="4"/>
  <c r="S281" i="4"/>
  <c r="J270" i="4"/>
  <c r="P177" i="4"/>
  <c r="J374" i="4"/>
  <c r="J281" i="4"/>
  <c r="S231" i="4"/>
  <c r="S170" i="4"/>
  <c r="M177" i="4"/>
  <c r="M374" i="4"/>
  <c r="P198" i="4"/>
  <c r="W72" i="4"/>
  <c r="Y72" i="4" s="1"/>
  <c r="M327" i="4"/>
  <c r="P171" i="4"/>
  <c r="Y351" i="4"/>
  <c r="Y352" i="4" s="1"/>
  <c r="M113" i="4"/>
  <c r="E41" i="41" s="1"/>
  <c r="J320" i="4"/>
  <c r="P32" i="4"/>
  <c r="F29" i="41" s="1"/>
  <c r="P327" i="4"/>
  <c r="W22" i="4"/>
  <c r="Y22" i="4" s="1"/>
  <c r="M438" i="4"/>
  <c r="M320" i="4"/>
  <c r="S171" i="4"/>
  <c r="V327" i="4"/>
  <c r="W15" i="4"/>
  <c r="Y15" i="4" s="1"/>
  <c r="P320" i="4"/>
  <c r="W257" i="4"/>
  <c r="V440" i="4"/>
  <c r="S372" i="4"/>
  <c r="S440" i="4"/>
  <c r="W277" i="4"/>
  <c r="Y277" i="4" s="1"/>
  <c r="P113" i="4"/>
  <c r="F41" i="41" s="1"/>
  <c r="P231" i="4"/>
  <c r="D29" i="28"/>
  <c r="G37" i="43"/>
  <c r="G23" i="43"/>
  <c r="J440" i="4"/>
  <c r="M409" i="4"/>
  <c r="S230" i="4"/>
  <c r="P438" i="4"/>
  <c r="S32" i="4"/>
  <c r="G29" i="41" s="1"/>
  <c r="M198" i="4"/>
  <c r="S438" i="4"/>
  <c r="P484" i="4"/>
  <c r="W13" i="4"/>
  <c r="Y13" i="4" s="1"/>
  <c r="P440" i="4"/>
  <c r="J372" i="4"/>
  <c r="M188" i="4"/>
  <c r="M187" i="4"/>
  <c r="V391" i="4"/>
  <c r="V392" i="4"/>
  <c r="J503" i="4"/>
  <c r="J504" i="4"/>
  <c r="J458" i="4"/>
  <c r="D35" i="28"/>
  <c r="S374" i="4"/>
  <c r="J441" i="4"/>
  <c r="W271" i="4"/>
  <c r="Y271" i="4" s="1"/>
  <c r="J329" i="4"/>
  <c r="G46" i="43"/>
  <c r="V441" i="4"/>
  <c r="J447" i="4"/>
  <c r="W108" i="4"/>
  <c r="Y108" i="4" s="1"/>
  <c r="W16" i="4"/>
  <c r="Y16" i="4" s="1"/>
  <c r="V39" i="4"/>
  <c r="V38" i="4"/>
  <c r="S168" i="4"/>
  <c r="M170" i="4"/>
  <c r="P170" i="4"/>
  <c r="J32" i="4"/>
  <c r="D29" i="41" s="1"/>
  <c r="J168" i="4"/>
  <c r="V168" i="4"/>
  <c r="S318" i="4"/>
  <c r="M222" i="4"/>
  <c r="P38" i="4"/>
  <c r="P39" i="4"/>
  <c r="W59" i="4"/>
  <c r="Y59" i="4" s="1"/>
  <c r="V230" i="4"/>
  <c r="V133" i="4"/>
  <c r="P318" i="4"/>
  <c r="V374" i="4"/>
  <c r="Y420" i="4"/>
  <c r="V281" i="4"/>
  <c r="W109" i="4"/>
  <c r="Y109" i="4" s="1"/>
  <c r="M231" i="4"/>
  <c r="M230" i="4"/>
  <c r="X433" i="4"/>
  <c r="Y429" i="4"/>
  <c r="Y431" i="4" s="1"/>
  <c r="J375" i="4"/>
  <c r="M32" i="4"/>
  <c r="E29" i="41" s="1"/>
  <c r="W211" i="4"/>
  <c r="W383" i="4"/>
  <c r="Y383" i="4" s="1"/>
  <c r="Y412" i="4"/>
  <c r="Y414" i="4" s="1"/>
  <c r="S447" i="4"/>
  <c r="W106" i="4"/>
  <c r="W18" i="4"/>
  <c r="Y18" i="4" s="1"/>
  <c r="M375" i="4"/>
  <c r="D32" i="28"/>
  <c r="D31" i="28"/>
  <c r="G25" i="43" s="1"/>
  <c r="G41" i="43"/>
  <c r="J321" i="4"/>
  <c r="J214" i="4"/>
  <c r="S214" i="4"/>
  <c r="V375" i="4"/>
  <c r="S222" i="4"/>
  <c r="S445" i="4"/>
  <c r="G45" i="43"/>
  <c r="D34" i="28"/>
  <c r="G28" i="43"/>
  <c r="W60" i="4"/>
  <c r="Y60" i="4" s="1"/>
  <c r="M218" i="4"/>
  <c r="W107" i="4"/>
  <c r="Y107" i="4" s="1"/>
  <c r="J445" i="4"/>
  <c r="G43" i="43"/>
  <c r="W71" i="4"/>
  <c r="V214" i="4"/>
  <c r="W379" i="4"/>
  <c r="Y379" i="4" s="1"/>
  <c r="M447" i="4"/>
  <c r="J133" i="4"/>
  <c r="M133" i="4"/>
  <c r="P375" i="4"/>
  <c r="R15" i="38"/>
  <c r="P15" i="38"/>
  <c r="P35" i="38"/>
  <c r="R20" i="38"/>
  <c r="R24" i="38" s="1"/>
  <c r="G15" i="43"/>
  <c r="W357" i="4"/>
  <c r="Y356" i="4"/>
  <c r="Y357" i="4" s="1"/>
  <c r="V137" i="4"/>
  <c r="M137" i="4"/>
  <c r="M221" i="4"/>
  <c r="W73" i="4"/>
  <c r="Q28" i="39"/>
  <c r="W89" i="4"/>
  <c r="Y87" i="4"/>
  <c r="W20" i="4"/>
  <c r="W175" i="4"/>
  <c r="Y175" i="4" s="1"/>
  <c r="P289" i="4"/>
  <c r="P290" i="4"/>
  <c r="S218" i="4"/>
  <c r="J212" i="4"/>
  <c r="S212" i="4"/>
  <c r="W448" i="4"/>
  <c r="Y448" i="4" s="1"/>
  <c r="H28" i="39"/>
  <c r="W439" i="4"/>
  <c r="Y439" i="4" s="1"/>
  <c r="D35" i="43"/>
  <c r="D16" i="43"/>
  <c r="C16" i="43"/>
  <c r="K16" i="43" s="1"/>
  <c r="J218" i="4"/>
  <c r="J229" i="4" s="1"/>
  <c r="P218" i="4"/>
  <c r="W463" i="4"/>
  <c r="Y462" i="4"/>
  <c r="Y463" i="4" s="1"/>
  <c r="W344" i="4"/>
  <c r="Y342" i="4"/>
  <c r="Y344" i="4" s="1"/>
  <c r="P446" i="4"/>
  <c r="V446" i="4"/>
  <c r="S446" i="4"/>
  <c r="J137" i="4"/>
  <c r="J148" i="4" s="1"/>
  <c r="J446" i="4"/>
  <c r="W24" i="4"/>
  <c r="Y24" i="4" s="1"/>
  <c r="V449" i="4"/>
  <c r="S449" i="4"/>
  <c r="P449" i="4"/>
  <c r="M449" i="4"/>
  <c r="W30" i="4"/>
  <c r="Y30" i="4" s="1"/>
  <c r="N28" i="39"/>
  <c r="P212" i="4"/>
  <c r="M61" i="4"/>
  <c r="E33" i="41" s="1"/>
  <c r="Y296" i="4"/>
  <c r="G33" i="43"/>
  <c r="W509" i="4"/>
  <c r="Y508" i="4"/>
  <c r="Y509" i="4" s="1"/>
  <c r="W325" i="4"/>
  <c r="Y325" i="4" s="1"/>
  <c r="P221" i="4"/>
  <c r="V221" i="4"/>
  <c r="Y397" i="4"/>
  <c r="Y236" i="4"/>
  <c r="Y238" i="4" s="1"/>
  <c r="P141" i="4"/>
  <c r="M141" i="4"/>
  <c r="J141" i="4"/>
  <c r="V141" i="4"/>
  <c r="J221" i="4"/>
  <c r="S137" i="4"/>
  <c r="P137" i="4"/>
  <c r="V445" i="4"/>
  <c r="M445" i="4"/>
  <c r="M456" i="4" s="1"/>
  <c r="P222" i="4"/>
  <c r="M446" i="4"/>
  <c r="V32" i="4"/>
  <c r="H29" i="41" s="1"/>
  <c r="V444" i="4"/>
  <c r="M444" i="4"/>
  <c r="P444" i="4"/>
  <c r="J444" i="4"/>
  <c r="G41" i="41"/>
  <c r="J449" i="4"/>
  <c r="V222" i="4"/>
  <c r="V212" i="4"/>
  <c r="W156" i="4"/>
  <c r="Y154" i="4"/>
  <c r="Y156" i="4" s="1"/>
  <c r="W426" i="4"/>
  <c r="Y424" i="4"/>
  <c r="Y426" i="4" s="1"/>
  <c r="Y96" i="4"/>
  <c r="W102" i="4"/>
  <c r="W514" i="4"/>
  <c r="Y514" i="4"/>
  <c r="W252" i="4"/>
  <c r="AA61" i="4" l="1"/>
  <c r="M44" i="4"/>
  <c r="J44" i="4"/>
  <c r="G21" i="43"/>
  <c r="G63" i="43"/>
  <c r="G62" i="43"/>
  <c r="D30" i="28"/>
  <c r="G39" i="43"/>
  <c r="Y71" i="4"/>
  <c r="S149" i="4"/>
  <c r="S300" i="4"/>
  <c r="S302" i="4" s="1"/>
  <c r="M47" i="38"/>
  <c r="M300" i="4"/>
  <c r="M302" i="4" s="1"/>
  <c r="I47" i="38"/>
  <c r="J300" i="4"/>
  <c r="J302" i="4" s="1"/>
  <c r="G47" i="38"/>
  <c r="P300" i="4"/>
  <c r="P302" i="4" s="1"/>
  <c r="K47" i="38"/>
  <c r="V248" i="4"/>
  <c r="M229" i="4"/>
  <c r="M150" i="4"/>
  <c r="P84" i="4"/>
  <c r="F35" i="41" s="1"/>
  <c r="S229" i="4"/>
  <c r="J248" i="4"/>
  <c r="P248" i="4"/>
  <c r="M248" i="4"/>
  <c r="W220" i="4"/>
  <c r="Y220" i="4" s="1"/>
  <c r="S148" i="4"/>
  <c r="W219" i="4"/>
  <c r="Y219" i="4" s="1"/>
  <c r="V148" i="4"/>
  <c r="P148" i="4"/>
  <c r="P150" i="4"/>
  <c r="V456" i="4"/>
  <c r="S456" i="4"/>
  <c r="W278" i="4"/>
  <c r="Y278" i="4" s="1"/>
  <c r="W216" i="4"/>
  <c r="Y216" i="4" s="1"/>
  <c r="Y297" i="4"/>
  <c r="P229" i="4"/>
  <c r="P150" i="47"/>
  <c r="R150" i="47"/>
  <c r="P114" i="47"/>
  <c r="R114" i="47"/>
  <c r="S82" i="4"/>
  <c r="I156" i="47"/>
  <c r="R69" i="47"/>
  <c r="P69" i="47"/>
  <c r="D34" i="43" s="1"/>
  <c r="M84" i="4"/>
  <c r="E35" i="41" s="1"/>
  <c r="G71" i="47"/>
  <c r="G73" i="47" s="1"/>
  <c r="K156" i="47"/>
  <c r="V82" i="4"/>
  <c r="P455" i="4"/>
  <c r="J456" i="4"/>
  <c r="W213" i="4"/>
  <c r="Y213" i="4" s="1"/>
  <c r="J455" i="4"/>
  <c r="V287" i="4"/>
  <c r="V185" i="4"/>
  <c r="V389" i="4"/>
  <c r="M287" i="4"/>
  <c r="S287" i="4"/>
  <c r="V501" i="4"/>
  <c r="M455" i="4"/>
  <c r="P228" i="4"/>
  <c r="P389" i="4"/>
  <c r="V455" i="4"/>
  <c r="J147" i="4"/>
  <c r="P185" i="4"/>
  <c r="P287" i="4"/>
  <c r="M228" i="4"/>
  <c r="M335" i="4"/>
  <c r="J335" i="4"/>
  <c r="W215" i="4"/>
  <c r="Y215" i="4" s="1"/>
  <c r="S455" i="4"/>
  <c r="J287" i="4"/>
  <c r="J228" i="4"/>
  <c r="S147" i="4"/>
  <c r="S389" i="4"/>
  <c r="V335" i="4"/>
  <c r="J501" i="4"/>
  <c r="M148" i="4"/>
  <c r="J185" i="4"/>
  <c r="M501" i="4"/>
  <c r="M147" i="4"/>
  <c r="S335" i="4"/>
  <c r="P147" i="4"/>
  <c r="V228" i="4"/>
  <c r="M185" i="4"/>
  <c r="J389" i="4"/>
  <c r="P501" i="4"/>
  <c r="S185" i="4"/>
  <c r="S501" i="4"/>
  <c r="S228" i="4"/>
  <c r="P335" i="4"/>
  <c r="V147" i="4"/>
  <c r="M389" i="4"/>
  <c r="D33" i="41"/>
  <c r="I33" i="41" s="1"/>
  <c r="W179" i="4"/>
  <c r="Y179" i="4" s="1"/>
  <c r="W217" i="4"/>
  <c r="Y217" i="4" s="1"/>
  <c r="W380" i="4"/>
  <c r="Y380" i="4" s="1"/>
  <c r="V149" i="4"/>
  <c r="W130" i="4"/>
  <c r="W194" i="4"/>
  <c r="W176" i="4"/>
  <c r="Y176" i="4" s="1"/>
  <c r="W138" i="4"/>
  <c r="Y138" i="4" s="1"/>
  <c r="W326" i="4"/>
  <c r="Y326" i="4" s="1"/>
  <c r="I39" i="41"/>
  <c r="J498" i="4"/>
  <c r="W274" i="4"/>
  <c r="Y274" i="4" s="1"/>
  <c r="W495" i="4"/>
  <c r="Y495" i="4" s="1"/>
  <c r="K19" i="39"/>
  <c r="W488" i="4"/>
  <c r="Y488" i="4" s="1"/>
  <c r="P498" i="4"/>
  <c r="S144" i="4"/>
  <c r="W489" i="4"/>
  <c r="Y489" i="4" s="1"/>
  <c r="W490" i="4"/>
  <c r="Y490" i="4" s="1"/>
  <c r="W492" i="4"/>
  <c r="Y492" i="4" s="1"/>
  <c r="P144" i="4"/>
  <c r="W486" i="4"/>
  <c r="Y486" i="4" s="1"/>
  <c r="M144" i="4"/>
  <c r="W493" i="4"/>
  <c r="Y493" i="4" s="1"/>
  <c r="V144" i="4"/>
  <c r="N19" i="39"/>
  <c r="P225" i="4"/>
  <c r="J144" i="4"/>
  <c r="V225" i="4"/>
  <c r="M182" i="4"/>
  <c r="S182" i="4"/>
  <c r="M225" i="4"/>
  <c r="S225" i="4"/>
  <c r="P188" i="4"/>
  <c r="P182" i="4"/>
  <c r="J225" i="4"/>
  <c r="V182" i="4"/>
  <c r="Y409" i="4"/>
  <c r="J182" i="4"/>
  <c r="Y211" i="4"/>
  <c r="P284" i="4"/>
  <c r="M290" i="4"/>
  <c r="M284" i="4"/>
  <c r="V289" i="4"/>
  <c r="V284" i="4"/>
  <c r="M332" i="4"/>
  <c r="J289" i="4"/>
  <c r="J284" i="4"/>
  <c r="S332" i="4"/>
  <c r="S290" i="4"/>
  <c r="S284" i="4"/>
  <c r="V338" i="4"/>
  <c r="V332" i="4"/>
  <c r="J338" i="4"/>
  <c r="J332" i="4"/>
  <c r="V386" i="4"/>
  <c r="P332" i="4"/>
  <c r="M391" i="4"/>
  <c r="M386" i="4"/>
  <c r="J386" i="4"/>
  <c r="S391" i="4"/>
  <c r="S386" i="4"/>
  <c r="P391" i="4"/>
  <c r="P386" i="4"/>
  <c r="V504" i="4"/>
  <c r="V498" i="4"/>
  <c r="S503" i="4"/>
  <c r="S498" i="4"/>
  <c r="M504" i="4"/>
  <c r="M498" i="4"/>
  <c r="S452" i="4"/>
  <c r="J452" i="4"/>
  <c r="V458" i="4"/>
  <c r="V452" i="4"/>
  <c r="P452" i="4"/>
  <c r="J290" i="4"/>
  <c r="Q19" i="39"/>
  <c r="M458" i="4"/>
  <c r="M452" i="4"/>
  <c r="W378" i="4"/>
  <c r="Y378" i="4" s="1"/>
  <c r="W324" i="4"/>
  <c r="Y324" i="4" s="1"/>
  <c r="W280" i="4"/>
  <c r="Y280" i="4" s="1"/>
  <c r="W173" i="4"/>
  <c r="Y173" i="4" s="1"/>
  <c r="K15" i="39"/>
  <c r="N15" i="39"/>
  <c r="H15" i="39"/>
  <c r="W172" i="4"/>
  <c r="Y172" i="4" s="1"/>
  <c r="W136" i="4"/>
  <c r="Y136" i="4" s="1"/>
  <c r="W272" i="4"/>
  <c r="Y272" i="4" s="1"/>
  <c r="W409" i="4"/>
  <c r="Q15" i="39"/>
  <c r="H19" i="39"/>
  <c r="W279" i="4"/>
  <c r="Y279" i="4" s="1"/>
  <c r="W322" i="4"/>
  <c r="Y322" i="4" s="1"/>
  <c r="W329" i="4"/>
  <c r="Y329" i="4" s="1"/>
  <c r="V337" i="4"/>
  <c r="W381" i="4"/>
  <c r="Y381" i="4" s="1"/>
  <c r="W178" i="4"/>
  <c r="Y178" i="4" s="1"/>
  <c r="W139" i="4"/>
  <c r="Y139" i="4" s="1"/>
  <c r="W276" i="4"/>
  <c r="Y276" i="4" s="1"/>
  <c r="E16" i="39"/>
  <c r="V457" i="4"/>
  <c r="Q21" i="39"/>
  <c r="W377" i="4"/>
  <c r="Y377" i="4" s="1"/>
  <c r="K17" i="39"/>
  <c r="W140" i="4"/>
  <c r="Y140" i="4" s="1"/>
  <c r="E21" i="39"/>
  <c r="H21" i="39"/>
  <c r="N20" i="39"/>
  <c r="K21" i="39"/>
  <c r="W382" i="4"/>
  <c r="Y382" i="4" s="1"/>
  <c r="J337" i="4"/>
  <c r="W328" i="4"/>
  <c r="Y328" i="4" s="1"/>
  <c r="W174" i="4"/>
  <c r="Y174" i="4" s="1"/>
  <c r="W135" i="4"/>
  <c r="Y135" i="4" s="1"/>
  <c r="H16" i="39"/>
  <c r="W376" i="4"/>
  <c r="Y376" i="4" s="1"/>
  <c r="W132" i="4"/>
  <c r="Y132" i="4" s="1"/>
  <c r="S504" i="4"/>
  <c r="N16" i="39"/>
  <c r="N17" i="39"/>
  <c r="K16" i="39"/>
  <c r="W319" i="4"/>
  <c r="Y319" i="4" s="1"/>
  <c r="E17" i="39"/>
  <c r="V503" i="4"/>
  <c r="W169" i="4"/>
  <c r="Y169" i="4" s="1"/>
  <c r="W373" i="4"/>
  <c r="Y373" i="4" s="1"/>
  <c r="W321" i="4"/>
  <c r="Y321" i="4" s="1"/>
  <c r="N21" i="39"/>
  <c r="W275" i="4"/>
  <c r="Y275" i="4" s="1"/>
  <c r="W442" i="4"/>
  <c r="Y442" i="4" s="1"/>
  <c r="W323" i="4"/>
  <c r="Y323" i="4" s="1"/>
  <c r="H12" i="39"/>
  <c r="S289" i="4"/>
  <c r="O156" i="47"/>
  <c r="N12" i="39"/>
  <c r="H11" i="39"/>
  <c r="W131" i="4"/>
  <c r="Y131" i="4" s="1"/>
  <c r="M289" i="4"/>
  <c r="W443" i="4"/>
  <c r="Y443" i="4" s="1"/>
  <c r="Q16" i="39"/>
  <c r="W231" i="4"/>
  <c r="Y231" i="4" s="1"/>
  <c r="P187" i="4"/>
  <c r="E15" i="39"/>
  <c r="V290" i="4"/>
  <c r="M503" i="4"/>
  <c r="P392" i="4"/>
  <c r="E12" i="39"/>
  <c r="Q12" i="39"/>
  <c r="W484" i="4"/>
  <c r="K12" i="39"/>
  <c r="K13" i="39"/>
  <c r="E20" i="39"/>
  <c r="W281" i="4"/>
  <c r="Y281" i="4" s="1"/>
  <c r="W270" i="4"/>
  <c r="M392" i="4"/>
  <c r="W171" i="4"/>
  <c r="Y171" i="4" s="1"/>
  <c r="W273" i="4"/>
  <c r="Y273" i="4" s="1"/>
  <c r="P41" i="38"/>
  <c r="M118" i="47"/>
  <c r="P116" i="47"/>
  <c r="P152" i="47"/>
  <c r="W440" i="4"/>
  <c r="Y440" i="4" s="1"/>
  <c r="Q20" i="39"/>
  <c r="W441" i="4"/>
  <c r="Y441" i="4" s="1"/>
  <c r="K20" i="39"/>
  <c r="W177" i="4"/>
  <c r="Y177" i="4" s="1"/>
  <c r="H13" i="39"/>
  <c r="N14" i="39"/>
  <c r="W61" i="4"/>
  <c r="B19" i="28" s="1"/>
  <c r="F19" i="28" s="1"/>
  <c r="E13" i="39"/>
  <c r="W372" i="4"/>
  <c r="W320" i="4"/>
  <c r="Y320" i="4" s="1"/>
  <c r="W327" i="4"/>
  <c r="Y327" i="4" s="1"/>
  <c r="W38" i="4"/>
  <c r="Y38" i="4" s="1"/>
  <c r="M457" i="4"/>
  <c r="W230" i="4"/>
  <c r="Y230" i="4" s="1"/>
  <c r="H20" i="39"/>
  <c r="S392" i="4"/>
  <c r="E11" i="39"/>
  <c r="Y61" i="4"/>
  <c r="AB61" i="4"/>
  <c r="W374" i="4"/>
  <c r="Y374" i="4" s="1"/>
  <c r="I41" i="41"/>
  <c r="W170" i="4"/>
  <c r="Y170" i="4" s="1"/>
  <c r="N11" i="39"/>
  <c r="W438" i="4"/>
  <c r="N22" i="39"/>
  <c r="H14" i="39"/>
  <c r="K18" i="39"/>
  <c r="E14" i="39"/>
  <c r="E31" i="41"/>
  <c r="E44" i="41" s="1"/>
  <c r="Q13" i="39"/>
  <c r="J392" i="4"/>
  <c r="J391" i="4"/>
  <c r="S457" i="4"/>
  <c r="S458" i="4"/>
  <c r="E18" i="39"/>
  <c r="P458" i="4"/>
  <c r="P457" i="4"/>
  <c r="W318" i="4"/>
  <c r="K11" i="39"/>
  <c r="W39" i="4"/>
  <c r="Y39" i="4" s="1"/>
  <c r="P503" i="4"/>
  <c r="P504" i="4"/>
  <c r="W197" i="4"/>
  <c r="Y197" i="4" s="1"/>
  <c r="V187" i="4"/>
  <c r="V188" i="4"/>
  <c r="Q14" i="39"/>
  <c r="W447" i="4"/>
  <c r="Y447" i="4" s="1"/>
  <c r="J187" i="4"/>
  <c r="J188" i="4"/>
  <c r="W168" i="4"/>
  <c r="Q11" i="39"/>
  <c r="P337" i="4"/>
  <c r="P338" i="4"/>
  <c r="S187" i="4"/>
  <c r="S188" i="4"/>
  <c r="H22" i="39"/>
  <c r="E22" i="39"/>
  <c r="W35" i="4"/>
  <c r="Y35" i="4" s="1"/>
  <c r="W36" i="4"/>
  <c r="Y36" i="4" s="1"/>
  <c r="N13" i="39"/>
  <c r="S338" i="4"/>
  <c r="S337" i="4"/>
  <c r="W214" i="4"/>
  <c r="Y214" i="4" s="1"/>
  <c r="W133" i="4"/>
  <c r="W221" i="4"/>
  <c r="Y221" i="4" s="1"/>
  <c r="D33" i="28"/>
  <c r="G44" i="43"/>
  <c r="G27" i="43"/>
  <c r="V44" i="4"/>
  <c r="H31" i="41" s="1"/>
  <c r="H44" i="41" s="1"/>
  <c r="W375" i="4"/>
  <c r="K14" i="39"/>
  <c r="P44" i="4"/>
  <c r="F31" i="41" s="1"/>
  <c r="E19" i="39"/>
  <c r="H18" i="39"/>
  <c r="Y106" i="4"/>
  <c r="W113" i="4"/>
  <c r="B23" i="28" s="1"/>
  <c r="P43" i="38"/>
  <c r="G24" i="43"/>
  <c r="R35" i="38"/>
  <c r="V300" i="4"/>
  <c r="V302" i="4" s="1"/>
  <c r="S198" i="4"/>
  <c r="W37" i="4"/>
  <c r="Y37" i="4" s="1"/>
  <c r="R28" i="39"/>
  <c r="Q18" i="39"/>
  <c r="W445" i="4"/>
  <c r="Y445" i="4" s="1"/>
  <c r="H17" i="39"/>
  <c r="K22" i="39"/>
  <c r="Y89" i="4"/>
  <c r="B21" i="28"/>
  <c r="W444" i="4"/>
  <c r="W222" i="4"/>
  <c r="Y222" i="4" s="1"/>
  <c r="I29" i="41"/>
  <c r="W446" i="4"/>
  <c r="Y446" i="4" s="1"/>
  <c r="W212" i="4"/>
  <c r="W137" i="4"/>
  <c r="Y73" i="4"/>
  <c r="W141" i="4"/>
  <c r="Y141" i="4" s="1"/>
  <c r="D31" i="41"/>
  <c r="Q17" i="39"/>
  <c r="S44" i="4"/>
  <c r="G31" i="41" s="1"/>
  <c r="W449" i="4"/>
  <c r="Y449" i="4" s="1"/>
  <c r="Q22" i="39"/>
  <c r="W218" i="4"/>
  <c r="Y218" i="4" s="1"/>
  <c r="N18" i="39"/>
  <c r="Y20" i="4"/>
  <c r="W32" i="4"/>
  <c r="B17" i="28" s="1"/>
  <c r="B22" i="28"/>
  <c r="Y102" i="4"/>
  <c r="AB102" i="4"/>
  <c r="AA102" i="4"/>
  <c r="W242" i="4"/>
  <c r="AA44" i="4" l="1"/>
  <c r="AB44" i="4"/>
  <c r="D13" i="43"/>
  <c r="D40" i="43"/>
  <c r="F40" i="43"/>
  <c r="W149" i="4"/>
  <c r="Y149" i="4" s="1"/>
  <c r="R19" i="39"/>
  <c r="R15" i="39"/>
  <c r="R18" i="39"/>
  <c r="R22" i="39"/>
  <c r="R11" i="39"/>
  <c r="R16" i="39"/>
  <c r="Y130" i="4"/>
  <c r="R14" i="39"/>
  <c r="R13" i="39"/>
  <c r="R12" i="39"/>
  <c r="R17" i="39"/>
  <c r="R21" i="39"/>
  <c r="F44" i="41"/>
  <c r="F46" i="41" s="1"/>
  <c r="F48" i="41" s="1"/>
  <c r="H46" i="41"/>
  <c r="H48" i="41" s="1"/>
  <c r="R20" i="39"/>
  <c r="G44" i="41"/>
  <c r="G46" i="41" s="1"/>
  <c r="G48" i="41" s="1"/>
  <c r="W150" i="4"/>
  <c r="Y150" i="4" s="1"/>
  <c r="E46" i="41"/>
  <c r="E48" i="41" s="1"/>
  <c r="P71" i="47"/>
  <c r="J74" i="4"/>
  <c r="G156" i="47"/>
  <c r="W144" i="4"/>
  <c r="Y168" i="4"/>
  <c r="Y182" i="4" s="1"/>
  <c r="W182" i="4"/>
  <c r="W225" i="4"/>
  <c r="W290" i="4"/>
  <c r="Y290" i="4" s="1"/>
  <c r="W502" i="4"/>
  <c r="Y502" i="4" s="1"/>
  <c r="Y270" i="4"/>
  <c r="Y284" i="4" s="1"/>
  <c r="W284" i="4"/>
  <c r="M291" i="4"/>
  <c r="M313" i="4" s="1"/>
  <c r="J339" i="4"/>
  <c r="J367" i="4" s="1"/>
  <c r="Y318" i="4"/>
  <c r="Y332" i="4" s="1"/>
  <c r="W332" i="4"/>
  <c r="W391" i="4"/>
  <c r="Y391" i="4" s="1"/>
  <c r="Y372" i="4"/>
  <c r="W386" i="4"/>
  <c r="S291" i="4"/>
  <c r="S313" i="4" s="1"/>
  <c r="Y484" i="4"/>
  <c r="Y498" i="4" s="1"/>
  <c r="W498" i="4"/>
  <c r="V339" i="4"/>
  <c r="V367" i="4" s="1"/>
  <c r="Y438" i="4"/>
  <c r="W452" i="4"/>
  <c r="V291" i="4"/>
  <c r="V313" i="4" s="1"/>
  <c r="P151" i="4"/>
  <c r="P163" i="4" s="1"/>
  <c r="P291" i="4"/>
  <c r="P313" i="4" s="1"/>
  <c r="W289" i="4"/>
  <c r="Y289" i="4" s="1"/>
  <c r="M189" i="4"/>
  <c r="M206" i="4" s="1"/>
  <c r="V393" i="4"/>
  <c r="V433" i="4" s="1"/>
  <c r="H61" i="41" s="1"/>
  <c r="V459" i="4"/>
  <c r="J505" i="4"/>
  <c r="J526" i="4" s="1"/>
  <c r="J291" i="4"/>
  <c r="J313" i="4" s="1"/>
  <c r="W504" i="4"/>
  <c r="Y504" i="4" s="1"/>
  <c r="P189" i="4"/>
  <c r="P206" i="4" s="1"/>
  <c r="F53" i="41" s="1"/>
  <c r="V505" i="4"/>
  <c r="V526" i="4" s="1"/>
  <c r="M339" i="4"/>
  <c r="M367" i="4" s="1"/>
  <c r="W186" i="4"/>
  <c r="Y186" i="4" s="1"/>
  <c r="M393" i="4"/>
  <c r="M433" i="4" s="1"/>
  <c r="E61" i="41" s="1"/>
  <c r="V198" i="4"/>
  <c r="W390" i="4"/>
  <c r="Y390" i="4" s="1"/>
  <c r="W288" i="4"/>
  <c r="Y288" i="4" s="1"/>
  <c r="R41" i="38"/>
  <c r="M459" i="4"/>
  <c r="P393" i="4"/>
  <c r="P433" i="4" s="1"/>
  <c r="F61" i="41" s="1"/>
  <c r="M505" i="4"/>
  <c r="M526" i="4" s="1"/>
  <c r="M232" i="4"/>
  <c r="W503" i="4"/>
  <c r="Y503" i="4" s="1"/>
  <c r="R152" i="47"/>
  <c r="R154" i="47" s="1"/>
  <c r="P154" i="47"/>
  <c r="R116" i="47"/>
  <c r="R118" i="47" s="1"/>
  <c r="P118" i="47"/>
  <c r="S241" i="4"/>
  <c r="S248" i="4" s="1"/>
  <c r="M156" i="47"/>
  <c r="S393" i="4"/>
  <c r="S433" i="4" s="1"/>
  <c r="G61" i="41" s="1"/>
  <c r="W185" i="4"/>
  <c r="Y185" i="4" s="1"/>
  <c r="W389" i="4"/>
  <c r="Y389" i="4" s="1"/>
  <c r="J151" i="4"/>
  <c r="J163" i="4" s="1"/>
  <c r="W392" i="4"/>
  <c r="Y392" i="4" s="1"/>
  <c r="M151" i="4"/>
  <c r="M163" i="4" s="1"/>
  <c r="P232" i="4"/>
  <c r="W287" i="4"/>
  <c r="Y287" i="4" s="1"/>
  <c r="E19" i="28"/>
  <c r="W147" i="4"/>
  <c r="Y147" i="4" s="1"/>
  <c r="W338" i="4"/>
  <c r="Y338" i="4" s="1"/>
  <c r="S189" i="4"/>
  <c r="S206" i="4" s="1"/>
  <c r="G53" i="41" s="1"/>
  <c r="S459" i="4"/>
  <c r="W335" i="4"/>
  <c r="Y335" i="4" s="1"/>
  <c r="W458" i="4"/>
  <c r="Y458" i="4" s="1"/>
  <c r="V189" i="4"/>
  <c r="V151" i="4"/>
  <c r="V163" i="4" s="1"/>
  <c r="N29" i="39"/>
  <c r="J393" i="4"/>
  <c r="J189" i="4"/>
  <c r="J206" i="4" s="1"/>
  <c r="P505" i="4"/>
  <c r="P526" i="4" s="1"/>
  <c r="W337" i="4"/>
  <c r="Y337" i="4" s="1"/>
  <c r="W188" i="4"/>
  <c r="Y188" i="4" s="1"/>
  <c r="W457" i="4"/>
  <c r="Y457" i="4" s="1"/>
  <c r="W187" i="4"/>
  <c r="Y187" i="4" s="1"/>
  <c r="J232" i="4"/>
  <c r="J265" i="4" s="1"/>
  <c r="W455" i="4"/>
  <c r="Y455" i="4" s="1"/>
  <c r="Y133" i="4"/>
  <c r="P339" i="4"/>
  <c r="P367" i="4" s="1"/>
  <c r="W336" i="4"/>
  <c r="S339" i="4"/>
  <c r="S367" i="4" s="1"/>
  <c r="E29" i="39"/>
  <c r="W198" i="4"/>
  <c r="J459" i="4"/>
  <c r="Y375" i="4"/>
  <c r="AB113" i="4"/>
  <c r="Y113" i="4"/>
  <c r="AA113" i="4"/>
  <c r="W456" i="4"/>
  <c r="Y456" i="4" s="1"/>
  <c r="Q29" i="39"/>
  <c r="W148" i="4"/>
  <c r="H29" i="39"/>
  <c r="W501" i="4"/>
  <c r="S505" i="4"/>
  <c r="S526" i="4" s="1"/>
  <c r="E23" i="28"/>
  <c r="F23" i="28"/>
  <c r="V232" i="4"/>
  <c r="R43" i="38"/>
  <c r="P45" i="38"/>
  <c r="P47" i="38" s="1"/>
  <c r="W300" i="4"/>
  <c r="W302" i="4" s="1"/>
  <c r="W44" i="4"/>
  <c r="B18" i="28" s="1"/>
  <c r="F17" i="28"/>
  <c r="E17" i="28"/>
  <c r="P459" i="4"/>
  <c r="Y32" i="4"/>
  <c r="AB32" i="4"/>
  <c r="AA32" i="4"/>
  <c r="K29" i="39"/>
  <c r="I31" i="41"/>
  <c r="W228" i="4"/>
  <c r="S232" i="4"/>
  <c r="W229" i="4"/>
  <c r="Y137" i="4"/>
  <c r="S151" i="4"/>
  <c r="S163" i="4" s="1"/>
  <c r="Y212" i="4"/>
  <c r="Y225" i="4" s="1"/>
  <c r="Y444" i="4"/>
  <c r="D28" i="28"/>
  <c r="D36" i="28" s="1"/>
  <c r="G22" i="43"/>
  <c r="X534" i="4"/>
  <c r="X538" i="4" s="1"/>
  <c r="E21" i="28"/>
  <c r="F21" i="28"/>
  <c r="AA89" i="4"/>
  <c r="AB89" i="4"/>
  <c r="E22" i="28"/>
  <c r="F22" i="28"/>
  <c r="Y44" i="4"/>
  <c r="Y242" i="4"/>
  <c r="P73" i="47" l="1"/>
  <c r="C34" i="43" s="1"/>
  <c r="F34" i="43"/>
  <c r="F13" i="43"/>
  <c r="C40" i="43"/>
  <c r="AA163" i="4"/>
  <c r="F52" i="43" s="1"/>
  <c r="AB526" i="4"/>
  <c r="C67" i="43" s="1"/>
  <c r="AA313" i="4"/>
  <c r="D58" i="43" s="1"/>
  <c r="AA526" i="4"/>
  <c r="C66" i="43" s="1"/>
  <c r="AB163" i="4"/>
  <c r="AA206" i="4"/>
  <c r="AB206" i="4"/>
  <c r="AA367" i="4"/>
  <c r="C60" i="43" s="1"/>
  <c r="AA479" i="4"/>
  <c r="C64" i="43" s="1"/>
  <c r="AA433" i="4"/>
  <c r="C62" i="43" s="1"/>
  <c r="AB367" i="4"/>
  <c r="C61" i="43" s="1"/>
  <c r="AB479" i="4"/>
  <c r="C65" i="43" s="1"/>
  <c r="AB433" i="4"/>
  <c r="C63" i="43" s="1"/>
  <c r="AB313" i="4"/>
  <c r="S479" i="4"/>
  <c r="G63" i="41" s="1"/>
  <c r="M479" i="4"/>
  <c r="E63" i="41" s="1"/>
  <c r="P479" i="4"/>
  <c r="F63" i="41" s="1"/>
  <c r="V479" i="4"/>
  <c r="H63" i="41" s="1"/>
  <c r="J479" i="4"/>
  <c r="D63" i="41" s="1"/>
  <c r="J433" i="4"/>
  <c r="D61" i="41" s="1"/>
  <c r="I61" i="41" s="1"/>
  <c r="D59" i="41"/>
  <c r="E59" i="41"/>
  <c r="H59" i="41"/>
  <c r="E53" i="41"/>
  <c r="F57" i="41"/>
  <c r="R45" i="38"/>
  <c r="R71" i="47"/>
  <c r="R73" i="47" s="1"/>
  <c r="J84" i="4"/>
  <c r="D35" i="41" s="1"/>
  <c r="D44" i="41" s="1"/>
  <c r="D46" i="41" s="1"/>
  <c r="J82" i="4"/>
  <c r="W74" i="4"/>
  <c r="W82" i="4" s="1"/>
  <c r="H51" i="41"/>
  <c r="F51" i="41"/>
  <c r="E51" i="41"/>
  <c r="D65" i="41"/>
  <c r="E65" i="41"/>
  <c r="F65" i="41"/>
  <c r="H65" i="41"/>
  <c r="G65" i="41"/>
  <c r="Y144" i="4"/>
  <c r="Y386" i="4"/>
  <c r="Y452" i="4"/>
  <c r="V206" i="4"/>
  <c r="H53" i="41" s="1"/>
  <c r="V265" i="4"/>
  <c r="H55" i="41" s="1"/>
  <c r="G57" i="41"/>
  <c r="H57" i="41"/>
  <c r="M265" i="4"/>
  <c r="E55" i="41" s="1"/>
  <c r="P265" i="4"/>
  <c r="F55" i="41" s="1"/>
  <c r="Y393" i="4"/>
  <c r="Y291" i="4"/>
  <c r="W393" i="4"/>
  <c r="W433" i="4" s="1"/>
  <c r="Y198" i="4"/>
  <c r="W241" i="4"/>
  <c r="AB265" i="4" s="1"/>
  <c r="F57" i="43" s="1"/>
  <c r="S265" i="4"/>
  <c r="G55" i="41" s="1"/>
  <c r="P156" i="47"/>
  <c r="W291" i="4"/>
  <c r="W313" i="4" s="1"/>
  <c r="Y229" i="4"/>
  <c r="Y189" i="4"/>
  <c r="W189" i="4"/>
  <c r="W206" i="4" s="1"/>
  <c r="D53" i="41"/>
  <c r="Y459" i="4"/>
  <c r="W339" i="4"/>
  <c r="W367" i="4" s="1"/>
  <c r="W459" i="4"/>
  <c r="W479" i="4" s="1"/>
  <c r="G59" i="41"/>
  <c r="Y336" i="4"/>
  <c r="Y339" i="4" s="1"/>
  <c r="Y367" i="4" s="1"/>
  <c r="W151" i="4"/>
  <c r="W163" i="4" s="1"/>
  <c r="Y148" i="4"/>
  <c r="Y151" i="4" s="1"/>
  <c r="Y501" i="4"/>
  <c r="Y505" i="4" s="1"/>
  <c r="Y526" i="4" s="1"/>
  <c r="W505" i="4"/>
  <c r="W526" i="4" s="1"/>
  <c r="E18" i="28"/>
  <c r="F18" i="28"/>
  <c r="Y300" i="4"/>
  <c r="Y302" i="4" s="1"/>
  <c r="D7" i="43"/>
  <c r="D54" i="28"/>
  <c r="D65" i="28" s="1"/>
  <c r="G12" i="43" s="1"/>
  <c r="Y228" i="4"/>
  <c r="W232" i="4"/>
  <c r="R29" i="39"/>
  <c r="C52" i="43" l="1"/>
  <c r="D52" i="43"/>
  <c r="C13" i="43"/>
  <c r="C58" i="43"/>
  <c r="F58" i="43"/>
  <c r="F54" i="43"/>
  <c r="C54" i="43"/>
  <c r="D63" i="43"/>
  <c r="F63" i="43" s="1"/>
  <c r="AA265" i="4"/>
  <c r="F56" i="43" s="1"/>
  <c r="D62" i="43"/>
  <c r="F62" i="43" s="1"/>
  <c r="F53" i="43"/>
  <c r="C53" i="43"/>
  <c r="D65" i="43"/>
  <c r="F65" i="43" s="1"/>
  <c r="D64" i="43"/>
  <c r="F64" i="43" s="1"/>
  <c r="F55" i="43"/>
  <c r="C55" i="43"/>
  <c r="F59" i="43"/>
  <c r="D59" i="43"/>
  <c r="C59" i="43"/>
  <c r="Y313" i="4"/>
  <c r="Y479" i="4"/>
  <c r="I63" i="41"/>
  <c r="Y163" i="4"/>
  <c r="R47" i="38"/>
  <c r="K15" i="43" s="1"/>
  <c r="Y241" i="4"/>
  <c r="Y248" i="4" s="1"/>
  <c r="W248" i="4"/>
  <c r="R156" i="47"/>
  <c r="Y74" i="4"/>
  <c r="W84" i="4"/>
  <c r="I35" i="41"/>
  <c r="I44" i="41" s="1"/>
  <c r="I65" i="41"/>
  <c r="I53" i="41"/>
  <c r="P534" i="4"/>
  <c r="P536" i="4" s="1"/>
  <c r="P538" i="4" s="1"/>
  <c r="V534" i="4"/>
  <c r="V536" i="4" s="1"/>
  <c r="S534" i="4"/>
  <c r="Y433" i="4"/>
  <c r="Y232" i="4"/>
  <c r="D55" i="41"/>
  <c r="I55" i="41" s="1"/>
  <c r="Y206" i="4"/>
  <c r="H66" i="41"/>
  <c r="H68" i="41" s="1"/>
  <c r="H70" i="41" s="1"/>
  <c r="H72" i="41" s="1"/>
  <c r="D66" i="43"/>
  <c r="D67" i="43"/>
  <c r="D61" i="43"/>
  <c r="F61" i="43" s="1"/>
  <c r="D60" i="43"/>
  <c r="F60" i="43" s="1"/>
  <c r="B29" i="28"/>
  <c r="B33" i="28"/>
  <c r="G51" i="41"/>
  <c r="G66" i="41" s="1"/>
  <c r="G68" i="41" s="1"/>
  <c r="G70" i="41" s="1"/>
  <c r="G72" i="41" s="1"/>
  <c r="F59" i="41"/>
  <c r="B35" i="28"/>
  <c r="D29" i="43" s="1"/>
  <c r="F29" i="43" s="1"/>
  <c r="B34" i="28"/>
  <c r="D28" i="43" s="1"/>
  <c r="F28" i="43" s="1"/>
  <c r="F67" i="28"/>
  <c r="C7" i="43"/>
  <c r="D54" i="43" l="1"/>
  <c r="K13" i="43"/>
  <c r="D53" i="43"/>
  <c r="D37" i="43"/>
  <c r="F23" i="43"/>
  <c r="D23" i="43"/>
  <c r="D55" i="43"/>
  <c r="D44" i="43"/>
  <c r="F44" i="43" s="1"/>
  <c r="D27" i="43"/>
  <c r="F27" i="43" s="1"/>
  <c r="F67" i="43"/>
  <c r="F66" i="43"/>
  <c r="B32" i="28"/>
  <c r="D48" i="41"/>
  <c r="I46" i="41"/>
  <c r="F33" i="43" s="1"/>
  <c r="Y84" i="4"/>
  <c r="B20" i="28"/>
  <c r="B25" i="28" s="1"/>
  <c r="AB84" i="4"/>
  <c r="Y82" i="4"/>
  <c r="AA84" i="4"/>
  <c r="AA534" i="4" s="1"/>
  <c r="S536" i="4"/>
  <c r="S538" i="4" s="1"/>
  <c r="D51" i="41"/>
  <c r="I51" i="41" s="1"/>
  <c r="Y265" i="4"/>
  <c r="J534" i="4"/>
  <c r="M534" i="4"/>
  <c r="W265" i="4"/>
  <c r="V538" i="4"/>
  <c r="E33" i="28"/>
  <c r="F33" i="28"/>
  <c r="C44" i="43" s="1"/>
  <c r="F29" i="28"/>
  <c r="C37" i="43" s="1"/>
  <c r="E29" i="28"/>
  <c r="F37" i="43"/>
  <c r="I59" i="41"/>
  <c r="F66" i="41"/>
  <c r="F68" i="41" s="1"/>
  <c r="F70" i="41" s="1"/>
  <c r="F72" i="41" s="1"/>
  <c r="F35" i="28"/>
  <c r="E35" i="28"/>
  <c r="D46" i="43"/>
  <c r="E34" i="28"/>
  <c r="F34" i="28"/>
  <c r="D45" i="43"/>
  <c r="C51" i="43" l="1"/>
  <c r="AB534" i="4"/>
  <c r="E32" i="28"/>
  <c r="D26" i="43"/>
  <c r="F26" i="43" s="1"/>
  <c r="C46" i="43"/>
  <c r="C29" i="43"/>
  <c r="K29" i="43" s="1"/>
  <c r="F46" i="43"/>
  <c r="F32" i="28"/>
  <c r="D43" i="43"/>
  <c r="I48" i="41"/>
  <c r="F20" i="28"/>
  <c r="F25" i="28" s="1"/>
  <c r="E20" i="28"/>
  <c r="E25" i="28" s="1"/>
  <c r="B57" i="28"/>
  <c r="E57" i="28" s="1"/>
  <c r="F21" i="43" s="1"/>
  <c r="J536" i="4"/>
  <c r="C27" i="43"/>
  <c r="K27" i="43" s="1"/>
  <c r="C56" i="43"/>
  <c r="D56" i="43" s="1"/>
  <c r="B30" i="28"/>
  <c r="E57" i="41"/>
  <c r="E66" i="41" s="1"/>
  <c r="M536" i="4"/>
  <c r="D57" i="41"/>
  <c r="C57" i="43"/>
  <c r="D57" i="43" s="1"/>
  <c r="C23" i="43"/>
  <c r="K23" i="43" s="1"/>
  <c r="C45" i="43"/>
  <c r="C28" i="43"/>
  <c r="K28" i="43" s="1"/>
  <c r="F45" i="43"/>
  <c r="C21" i="43" l="1"/>
  <c r="C50" i="43" s="1"/>
  <c r="C26" i="43"/>
  <c r="K26" i="43" s="1"/>
  <c r="F50" i="43"/>
  <c r="F51" i="43"/>
  <c r="D51" i="43" s="1"/>
  <c r="D21" i="43"/>
  <c r="C33" i="43"/>
  <c r="D33" i="43"/>
  <c r="F39" i="43"/>
  <c r="D24" i="43"/>
  <c r="F24" i="43"/>
  <c r="D39" i="43"/>
  <c r="F43" i="43"/>
  <c r="C43" i="43"/>
  <c r="E68" i="41"/>
  <c r="E70" i="41" s="1"/>
  <c r="E72" i="41" s="1"/>
  <c r="I57" i="41"/>
  <c r="I66" i="41" s="1"/>
  <c r="E30" i="28"/>
  <c r="F30" i="28"/>
  <c r="C39" i="43" s="1"/>
  <c r="D66" i="41"/>
  <c r="B28" i="28"/>
  <c r="J538" i="4"/>
  <c r="W534" i="4"/>
  <c r="D5" i="43" s="1"/>
  <c r="B31" i="28"/>
  <c r="M538" i="4"/>
  <c r="D50" i="43" l="1"/>
  <c r="H50" i="43" s="1"/>
  <c r="K21" i="43"/>
  <c r="D36" i="43"/>
  <c r="D22" i="43"/>
  <c r="F22" i="43" s="1"/>
  <c r="D25" i="43"/>
  <c r="F25" i="43"/>
  <c r="D41" i="43"/>
  <c r="C24" i="43"/>
  <c r="K24" i="43" s="1"/>
  <c r="D68" i="41"/>
  <c r="I68" i="41" s="1"/>
  <c r="I70" i="41" s="1"/>
  <c r="I72" i="41" s="1"/>
  <c r="F12" i="43" s="1"/>
  <c r="W538" i="4"/>
  <c r="H57" i="43"/>
  <c r="E56" i="43"/>
  <c r="W536" i="4"/>
  <c r="E57" i="43"/>
  <c r="H59" i="43"/>
  <c r="E59" i="43"/>
  <c r="E31" i="28"/>
  <c r="F41" i="43"/>
  <c r="F31" i="28"/>
  <c r="C41" i="43" s="1"/>
  <c r="F36" i="43"/>
  <c r="F28" i="28"/>
  <c r="E28" i="28"/>
  <c r="B36" i="28"/>
  <c r="H64" i="43"/>
  <c r="E62" i="43"/>
  <c r="E67" i="43"/>
  <c r="E60" i="43"/>
  <c r="H51" i="43"/>
  <c r="E55" i="43"/>
  <c r="H55" i="43"/>
  <c r="H54" i="43"/>
  <c r="H60" i="43"/>
  <c r="H63" i="43"/>
  <c r="H62" i="43"/>
  <c r="E66" i="43"/>
  <c r="H67" i="43"/>
  <c r="H65" i="43"/>
  <c r="E54" i="43"/>
  <c r="E61" i="43"/>
  <c r="H61" i="43"/>
  <c r="E65" i="43"/>
  <c r="E63" i="43"/>
  <c r="E51" i="43"/>
  <c r="H66" i="43"/>
  <c r="E64" i="43"/>
  <c r="E52" i="43"/>
  <c r="H52" i="43"/>
  <c r="E53" i="43"/>
  <c r="H53" i="43"/>
  <c r="H56" i="43"/>
  <c r="AA535" i="4"/>
  <c r="Y534" i="4"/>
  <c r="E50" i="43" l="1"/>
  <c r="Z82" i="4"/>
  <c r="C22" i="43"/>
  <c r="C36" i="43"/>
  <c r="Y536" i="4"/>
  <c r="AA536" i="4" s="1"/>
  <c r="F5" i="43"/>
  <c r="B58" i="28"/>
  <c r="B54" i="28"/>
  <c r="Y538" i="4"/>
  <c r="D70" i="41"/>
  <c r="D72" i="41" s="1"/>
  <c r="F36" i="28"/>
  <c r="F54" i="28" s="1"/>
  <c r="C25" i="43"/>
  <c r="K25" i="43" s="1"/>
  <c r="AB535" i="4"/>
  <c r="G28" i="28"/>
  <c r="G31" i="28"/>
  <c r="G33" i="28"/>
  <c r="G29" i="28"/>
  <c r="G36" i="28"/>
  <c r="G35" i="28"/>
  <c r="G30" i="28"/>
  <c r="G32" i="28"/>
  <c r="G34" i="28"/>
  <c r="E36" i="28"/>
  <c r="E54" i="28" s="1"/>
  <c r="AB536" i="4" l="1"/>
  <c r="AB538" i="4" s="1"/>
  <c r="H34" i="43"/>
  <c r="E34" i="43"/>
  <c r="AA538" i="4"/>
  <c r="E38" i="43"/>
  <c r="H45" i="43"/>
  <c r="H43" i="43"/>
  <c r="E33" i="43"/>
  <c r="E40" i="43"/>
  <c r="H40" i="43"/>
  <c r="E44" i="43"/>
  <c r="H44" i="43"/>
  <c r="E37" i="43"/>
  <c r="E42" i="43"/>
  <c r="H37" i="43"/>
  <c r="E45" i="43"/>
  <c r="H39" i="43"/>
  <c r="H38" i="43"/>
  <c r="H33" i="43"/>
  <c r="H46" i="43"/>
  <c r="H42" i="43"/>
  <c r="H35" i="43"/>
  <c r="E39" i="43"/>
  <c r="E35" i="43"/>
  <c r="E43" i="43"/>
  <c r="E46" i="43"/>
  <c r="H41" i="43"/>
  <c r="H36" i="43"/>
  <c r="K22" i="43"/>
  <c r="K20" i="43" s="1"/>
  <c r="H26" i="43"/>
  <c r="E21" i="43"/>
  <c r="E23" i="43"/>
  <c r="H29" i="43"/>
  <c r="E28" i="43"/>
  <c r="E24" i="43"/>
  <c r="H28" i="43"/>
  <c r="H22" i="43"/>
  <c r="H24" i="43"/>
  <c r="E27" i="43"/>
  <c r="H25" i="43"/>
  <c r="H21" i="43"/>
  <c r="E22" i="43"/>
  <c r="H27" i="43"/>
  <c r="E25" i="43"/>
  <c r="E26" i="43"/>
  <c r="E29" i="43"/>
  <c r="H23" i="43"/>
  <c r="E41" i="43"/>
  <c r="E36" i="43"/>
  <c r="E58" i="28"/>
  <c r="E61" i="28" s="1"/>
  <c r="E65" i="28" s="1"/>
  <c r="E66" i="28" s="1"/>
  <c r="B61" i="28"/>
  <c r="B65" i="28" s="1"/>
  <c r="AA537" i="4" l="1"/>
  <c r="AB537" i="4" s="1"/>
  <c r="F65" i="28"/>
  <c r="C6" i="43"/>
  <c r="C5" i="43" s="1"/>
  <c r="C12" i="43" s="1"/>
  <c r="K12" i="43" s="1"/>
  <c r="E5" i="43" l="1"/>
  <c r="E7" i="43"/>
  <c r="E14" i="43"/>
  <c r="H13" i="43"/>
  <c r="H16" i="43"/>
  <c r="E15" i="43"/>
  <c r="E16" i="43"/>
  <c r="D12" i="43"/>
  <c r="E13" i="43"/>
  <c r="K11" i="43"/>
  <c r="H15" i="43"/>
  <c r="H14" i="43"/>
  <c r="H12" i="43" l="1"/>
  <c r="E12" i="43"/>
  <c r="E58" i="43"/>
  <c r="H58" i="43"/>
</calcChain>
</file>

<file path=xl/sharedStrings.xml><?xml version="1.0" encoding="utf-8"?>
<sst xmlns="http://schemas.openxmlformats.org/spreadsheetml/2006/main" count="2542" uniqueCount="931">
  <si>
    <t>FFPR Program Budget Summary Sheet</t>
  </si>
  <si>
    <t xml:space="preserve">Total USDA Project </t>
  </si>
  <si>
    <t>Direct $</t>
  </si>
  <si>
    <t>Direct %</t>
  </si>
  <si>
    <t>Indirect Costs $</t>
  </si>
  <si>
    <t>OVERALL PROJECT BUDGET</t>
  </si>
  <si>
    <t>USDA</t>
  </si>
  <si>
    <t>Cost Share</t>
  </si>
  <si>
    <t>Cost Share $</t>
  </si>
  <si>
    <t>% of Direct Funds by Partner</t>
  </si>
  <si>
    <t>BUDGET BY PARTNER</t>
  </si>
  <si>
    <t>TOTAL</t>
  </si>
  <si>
    <t>Prime</t>
  </si>
  <si>
    <t>POA</t>
  </si>
  <si>
    <t>Sub 1 - CIAT</t>
  </si>
  <si>
    <t>CIAT</t>
  </si>
  <si>
    <t>Sub 2 - TBD</t>
  </si>
  <si>
    <t>TBD</t>
  </si>
  <si>
    <t>Sub 3 - Agrosavia</t>
  </si>
  <si>
    <t>Agrosavia</t>
  </si>
  <si>
    <t>Monetization Agent</t>
  </si>
  <si>
    <t>Monetization</t>
  </si>
  <si>
    <t>% of Direct Funds by Activity</t>
  </si>
  <si>
    <t>BUDGET BY ACTIVITY</t>
  </si>
  <si>
    <t xml:space="preserve">Admin </t>
  </si>
  <si>
    <t xml:space="preserve">Activity 1 </t>
  </si>
  <si>
    <t>Activity 2</t>
  </si>
  <si>
    <t>Activity 3</t>
  </si>
  <si>
    <t>Activity 4</t>
  </si>
  <si>
    <t>Activity 5</t>
  </si>
  <si>
    <t>Activity 6</t>
  </si>
  <si>
    <t>Activity 7</t>
  </si>
  <si>
    <t>Activity 8</t>
  </si>
  <si>
    <t>DIRECT COST DETAILS BY ACTIVITY &amp; PARTNER</t>
  </si>
  <si>
    <t>Admin - Sub 1 - CIAT</t>
  </si>
  <si>
    <t>Activity 2 - Sub 1 - TBD</t>
  </si>
  <si>
    <t>Activity 3 - Sub 1 - CIAT</t>
  </si>
  <si>
    <t>Activity 4 - Sub 1 - Agrosavia</t>
  </si>
  <si>
    <t>Column Labels</t>
  </si>
  <si>
    <t>Category</t>
  </si>
  <si>
    <t>BUDGET BY CROP</t>
  </si>
  <si>
    <t>Crop</t>
  </si>
  <si>
    <t>Cacao</t>
  </si>
  <si>
    <t>Complementary</t>
  </si>
  <si>
    <t>Grand Total</t>
  </si>
  <si>
    <t>Admin</t>
  </si>
  <si>
    <t>Admin - Cacao</t>
  </si>
  <si>
    <t xml:space="preserve">Sum of Total USDA Project </t>
  </si>
  <si>
    <t>Admin - Complementary Crops</t>
  </si>
  <si>
    <t>Activity 1</t>
  </si>
  <si>
    <t>Activity 1 - Cacao</t>
  </si>
  <si>
    <t>Activity 1 - Complementary Crops</t>
  </si>
  <si>
    <t>Activity 2 - Cacao</t>
  </si>
  <si>
    <t>Activity 2 - Complementary Crops</t>
  </si>
  <si>
    <t>Activity 3 - Cacao</t>
  </si>
  <si>
    <t>Activity 3 - Complementary Crops</t>
  </si>
  <si>
    <t>Activity 4 - Cacao</t>
  </si>
  <si>
    <t>Activity 4 - Complementary Crops</t>
  </si>
  <si>
    <t>Activity 5 - Cacao</t>
  </si>
  <si>
    <t>Activity 5 - Complementary Crops</t>
  </si>
  <si>
    <t>Activity 6 - Cacao</t>
  </si>
  <si>
    <t>Activity 6 - Complementary Crops</t>
  </si>
  <si>
    <t>Activity 7 - Cacao</t>
  </si>
  <si>
    <t>Activity 7 - Complementary Crops</t>
  </si>
  <si>
    <t>Activity 8 - Cacao</t>
  </si>
  <si>
    <t>Activity 8 - Complementary Crops</t>
  </si>
  <si>
    <t>Row Labels</t>
  </si>
  <si>
    <t>ATTACHMENT C -1</t>
  </si>
  <si>
    <t>Proposed Budget Summary</t>
  </si>
  <si>
    <t>Program (FFPr or MGD):</t>
  </si>
  <si>
    <t>FFPr</t>
  </si>
  <si>
    <t xml:space="preserve">Country of Operation: </t>
  </si>
  <si>
    <t>Colombia</t>
  </si>
  <si>
    <t>Implementing Organization:</t>
  </si>
  <si>
    <t>Partners of the Americas Inc.</t>
  </si>
  <si>
    <t xml:space="preserve">Fiscal Year:  </t>
  </si>
  <si>
    <t>2020</t>
  </si>
  <si>
    <t xml:space="preserve">Agreement Number: </t>
  </si>
  <si>
    <t>USDA-FAS-10.606-0700-20-(514)</t>
  </si>
  <si>
    <t>Total Amount of Federal Funds Requested</t>
  </si>
  <si>
    <t>Funding Source
(FAS for MGD)
(CCC for FFPr)</t>
  </si>
  <si>
    <t>Funding Year</t>
  </si>
  <si>
    <t>Commodity Cost</t>
  </si>
  <si>
    <t>Freight Cost</t>
  </si>
  <si>
    <t>Administrative Costs (cash portion)</t>
  </si>
  <si>
    <t>Total Federal Funding Obligated</t>
  </si>
  <si>
    <t>Project Operating Budget</t>
  </si>
  <si>
    <t>Expense Type</t>
  </si>
  <si>
    <t>Monetization Proceeds (FFPr Only)</t>
  </si>
  <si>
    <t xml:space="preserve">FAS or CCC Funds (CCC is Admin Only)
</t>
  </si>
  <si>
    <t>Total w/out Cost Share</t>
  </si>
  <si>
    <t>Total w/Cost Share</t>
  </si>
  <si>
    <t xml:space="preserve">Administration </t>
  </si>
  <si>
    <t>Salaries/Personnel</t>
  </si>
  <si>
    <t>Benefits</t>
  </si>
  <si>
    <t>Travel</t>
  </si>
  <si>
    <t>Professional Services/Contractual</t>
  </si>
  <si>
    <t>Equipment</t>
  </si>
  <si>
    <t>Office</t>
  </si>
  <si>
    <t>Supplies</t>
  </si>
  <si>
    <t>Other</t>
  </si>
  <si>
    <t>Total Administration</t>
  </si>
  <si>
    <t xml:space="preserve">Activities </t>
  </si>
  <si>
    <t>Activity 1: Value Chain Development (Value Chain Analysis, Carbon Assessment, and Living Incomes)</t>
  </si>
  <si>
    <t>Activity 2: Producer Organization Development &amp; Commercialization</t>
  </si>
  <si>
    <t>Activity 3: Agriculture Extension and Production Support</t>
  </si>
  <si>
    <t>Activity 4: Post-Harvest Aggregation &amp; Processing</t>
  </si>
  <si>
    <t>Activity 5: Ensure Financial Service/ Capital Access for Actors in the Value Chains</t>
  </si>
  <si>
    <t>Activity 6: Innovation and Job Creation Through Youth Engagement</t>
  </si>
  <si>
    <t>Activity 7: Establishment of Regional Community of Practice</t>
  </si>
  <si>
    <t>Activity 8: Financial Services: Endowment Establishment, Fundraising and Management</t>
  </si>
  <si>
    <t>Total Activities</t>
  </si>
  <si>
    <t>Commodity and Food Purchases (N/A to FFPr)</t>
  </si>
  <si>
    <t>Commodity Procurement</t>
  </si>
  <si>
    <t>Food Vouchers (N/A to MGD)</t>
  </si>
  <si>
    <t>Cash Transfers (N/A to MGD)</t>
  </si>
  <si>
    <t>Total Commodity Procurement</t>
  </si>
  <si>
    <t>ITSH (N/A to FFPr)</t>
  </si>
  <si>
    <t>Salaries</t>
  </si>
  <si>
    <t>Transportation</t>
  </si>
  <si>
    <t>Professional Services</t>
  </si>
  <si>
    <t>Warehouse</t>
  </si>
  <si>
    <t>Total ITSH</t>
  </si>
  <si>
    <t>Total Direct Costs</t>
  </si>
  <si>
    <t>Indirect Costs</t>
  </si>
  <si>
    <t>ICR on Administration</t>
  </si>
  <si>
    <t>ICR on Activities</t>
  </si>
  <si>
    <t>ICR on Commodity and Food Purchases (N/A to FFPr)</t>
  </si>
  <si>
    <t>ICR on ITSH (N/A to FFPr)</t>
  </si>
  <si>
    <t>Total Indirect Costs</t>
  </si>
  <si>
    <t>Anticipated Program Income</t>
  </si>
  <si>
    <t>Grand Total Costs</t>
  </si>
  <si>
    <t>Total Amount of Federal Award (Total Federal Funds Requested Plus Cost Share):</t>
  </si>
  <si>
    <t>Partners of the Americas – FY 2020 FFPr Colombia</t>
  </si>
  <si>
    <t>NOFO: USDA-FAS-10.606-0700-20-(514)</t>
  </si>
  <si>
    <t>Duration: 5 Years</t>
  </si>
  <si>
    <t>Country: Colombia</t>
  </si>
  <si>
    <t>Summary of Indirect Cost Rates Applied</t>
  </si>
  <si>
    <t>BUDGET ITEM</t>
  </si>
  <si>
    <t>RATE/ UNIT</t>
  </si>
  <si>
    <t>YEAR 1</t>
  </si>
  <si>
    <t>YEAR 2</t>
  </si>
  <si>
    <t>YEAR 3</t>
  </si>
  <si>
    <t>YEAR 4</t>
  </si>
  <si>
    <t>YEAR 5</t>
  </si>
  <si>
    <t>TOTAL USDA</t>
  </si>
  <si>
    <t>Administration Salaries/Personnel</t>
  </si>
  <si>
    <t>CCN Colombia National Staff (LOE)</t>
  </si>
  <si>
    <t xml:space="preserve">Key Personnel: Expat Chief of Party </t>
  </si>
  <si>
    <t xml:space="preserve">Key Personnel: Deputy Chief of Party </t>
  </si>
  <si>
    <t xml:space="preserve">F&amp;A Director </t>
  </si>
  <si>
    <t xml:space="preserve">M&amp;E Director </t>
  </si>
  <si>
    <t xml:space="preserve">M&amp;E Specialists </t>
  </si>
  <si>
    <t>Activity Lead RCP Manager</t>
  </si>
  <si>
    <t xml:space="preserve">Activity Lead Agribusiness Specialist </t>
  </si>
  <si>
    <t xml:space="preserve">Compliance Officer </t>
  </si>
  <si>
    <t xml:space="preserve">Accountant </t>
  </si>
  <si>
    <t xml:space="preserve">Administrative Assistant </t>
  </si>
  <si>
    <t>Home Office Support (LOE)</t>
  </si>
  <si>
    <t xml:space="preserve">HQ Senior Program Officer </t>
  </si>
  <si>
    <t>Total Personnel</t>
  </si>
  <si>
    <t>Administration Fringe Benefits</t>
  </si>
  <si>
    <t>Total Fringe Benefits</t>
  </si>
  <si>
    <t>Administration Travel</t>
  </si>
  <si>
    <t>Total Travel</t>
  </si>
  <si>
    <t>Administration Professional Services/Contractual</t>
  </si>
  <si>
    <t>Total Professional Services/Contractual</t>
  </si>
  <si>
    <t>Administration Equipment</t>
  </si>
  <si>
    <t>Total Equipment</t>
  </si>
  <si>
    <t>Administration Office Expenses</t>
  </si>
  <si>
    <t>Total Office Expenses</t>
  </si>
  <si>
    <t>Administration Office Supplies</t>
  </si>
  <si>
    <t>Total Office Supplies</t>
  </si>
  <si>
    <t>Administration Other</t>
  </si>
  <si>
    <t>Total Other</t>
  </si>
  <si>
    <t>Total Administration Direct Costs</t>
  </si>
  <si>
    <t>Total Indirect Costs (NICRA) on Administration</t>
  </si>
  <si>
    <t>TOTAL ADMINISTRATION INDIRECT COSTS</t>
  </si>
  <si>
    <t>Total Activity 1</t>
  </si>
  <si>
    <t>Total Activity 2</t>
  </si>
  <si>
    <t>Total Activity 3</t>
  </si>
  <si>
    <t>Total Activity 4</t>
  </si>
  <si>
    <t>Total Activity 5</t>
  </si>
  <si>
    <t>Total Activity 6</t>
  </si>
  <si>
    <t>Total Activity 7</t>
  </si>
  <si>
    <t>Total Activity 8</t>
  </si>
  <si>
    <t xml:space="preserve">Total Activities Direct Costs </t>
  </si>
  <si>
    <t>Total Indirect Costs (NICRA) on Activities</t>
  </si>
  <si>
    <t>NICRA less the $3M Philanthropy Fund</t>
  </si>
  <si>
    <t>TOTAL ACTIVITIES INDIRECT COSTS</t>
  </si>
  <si>
    <t>TOTAL INDIRECT COSTS</t>
  </si>
  <si>
    <t>Budget Assumptions:</t>
  </si>
  <si>
    <t>Entity:</t>
  </si>
  <si>
    <t>P</t>
  </si>
  <si>
    <t>Inflation - US Based Goods/Services</t>
  </si>
  <si>
    <t>Program-Dept.:</t>
  </si>
  <si>
    <t>FTF</t>
  </si>
  <si>
    <t>Inflation - Locally Purchased Goods/Services</t>
  </si>
  <si>
    <t>Funder-Grant:</t>
  </si>
  <si>
    <t>USDA700</t>
  </si>
  <si>
    <t>Merit Based Increases for HQ &amp; Field Staff</t>
  </si>
  <si>
    <t>Activity (Budget Code)</t>
  </si>
  <si>
    <t>Account Code</t>
  </si>
  <si>
    <t>Country Code (USA or COL2)</t>
  </si>
  <si>
    <t>Subcontract Code</t>
  </si>
  <si>
    <t>Level of Effort (LOE) Year 1</t>
  </si>
  <si>
    <t>UNIT</t>
  </si>
  <si>
    <t># of Units</t>
  </si>
  <si>
    <t>Level of Effort (LOE) Year 2</t>
  </si>
  <si>
    <t>Level of Effort (LOE) Year 3</t>
  </si>
  <si>
    <t>Level of Effort (LOE) Year 4</t>
  </si>
  <si>
    <t>Level of Effort (LOE) Year 5</t>
  </si>
  <si>
    <t>TOTAL COST SHARE</t>
  </si>
  <si>
    <t>PROJECT GRAND TOTAL</t>
  </si>
  <si>
    <t>Cacao Focus</t>
  </si>
  <si>
    <t>Complementary Crop Focus</t>
  </si>
  <si>
    <t>Salaries/Personnel (Administration)</t>
  </si>
  <si>
    <t>CCN Colombia National Field Staff (LOE)</t>
  </si>
  <si>
    <t>PERSNL</t>
  </si>
  <si>
    <t>USA</t>
  </si>
  <si>
    <t xml:space="preserve">Key Personnel: Chief of Party </t>
  </si>
  <si>
    <t>Month</t>
  </si>
  <si>
    <t>COL2</t>
  </si>
  <si>
    <t>Key Personnel: Technical Director</t>
  </si>
  <si>
    <t>M&amp;E Mid-level Specialist</t>
  </si>
  <si>
    <t>M&amp;E Specialist</t>
  </si>
  <si>
    <t>Partnerships and Investment Director</t>
  </si>
  <si>
    <t>Extension Agents (15)</t>
  </si>
  <si>
    <t>Activity Lead Agribusiness Senior Specialist (Cacao)</t>
  </si>
  <si>
    <t>Activity Lead Agribusiness Senior Specialist (Complementary Crop)</t>
  </si>
  <si>
    <t xml:space="preserve">Food Safety Mid-Specialist </t>
  </si>
  <si>
    <t>Compliance Director</t>
  </si>
  <si>
    <t>Driver</t>
  </si>
  <si>
    <t>Headquarters (HQ) Support (LOE)</t>
  </si>
  <si>
    <t xml:space="preserve">Senior Director </t>
  </si>
  <si>
    <t>Fringe Benefits</t>
  </si>
  <si>
    <t>FRINGE</t>
  </si>
  <si>
    <t>Fringe Benefits CCN - Colombia (above $2,600 monthly)</t>
  </si>
  <si>
    <t>%</t>
  </si>
  <si>
    <t>Fringe Benefits CCN - Colombia (below $2,600 monthly)</t>
  </si>
  <si>
    <t>Fringe Benefits - HQ (21.81%)</t>
  </si>
  <si>
    <t>POST DIFF</t>
  </si>
  <si>
    <t>Post (Hardship) Differential for Chief of Party</t>
  </si>
  <si>
    <t>-</t>
  </si>
  <si>
    <t>Fringe Benefits Package for Chief of Party</t>
  </si>
  <si>
    <t>HOUSE. ALL</t>
  </si>
  <si>
    <t>Housing Allowance for Chief of Party</t>
  </si>
  <si>
    <t>REALLOC</t>
  </si>
  <si>
    <t>Reallocation &amp; Demobilization Allowance for Chief of Party</t>
  </si>
  <si>
    <t>Year</t>
  </si>
  <si>
    <t>R&amp;RTRIP</t>
  </si>
  <si>
    <t>Annual Home of Record for Chief of Party</t>
  </si>
  <si>
    <t>HQ Staff Travel - International</t>
  </si>
  <si>
    <t>STFTRAVEL</t>
  </si>
  <si>
    <t>Airfare - DC-Colombia - HQ Project Management Trip</t>
  </si>
  <si>
    <t>Trip</t>
  </si>
  <si>
    <t>STFTRVCTS</t>
  </si>
  <si>
    <t>86030 (Lodging)/ 86050 (M&amp;IE)</t>
  </si>
  <si>
    <t>Lodging and M&amp;IE - HQ Project Management Trip</t>
  </si>
  <si>
    <t>Day</t>
  </si>
  <si>
    <t>Local Transportation – HQ Project Management Trip</t>
  </si>
  <si>
    <t>Other Travel Related Expenses – HQ Project Management Trip</t>
  </si>
  <si>
    <t xml:space="preserve">Colombia Staff Travel - International </t>
  </si>
  <si>
    <t>INTLTRVLCO</t>
  </si>
  <si>
    <t>Airfare - Roundtrip - Colombia to USA</t>
  </si>
  <si>
    <t>Lodging and M&amp;IE for Colombia Staff Travel</t>
  </si>
  <si>
    <t>Local Transportation for Colombia Staff Travel</t>
  </si>
  <si>
    <t>Other Travel Related Expenses for Colombia Staff Travel</t>
  </si>
  <si>
    <t xml:space="preserve">Colombia Local Staff Travel - Domestic </t>
  </si>
  <si>
    <t>LOCAL TRVL</t>
  </si>
  <si>
    <t>Vehicle/Motorcycle Fuel Expense</t>
  </si>
  <si>
    <t>Local Transportation – Training, M&amp;E, &amp; Data Collection</t>
  </si>
  <si>
    <t>Lodging and M&amp;IE - Training, M&amp;E, &amp; Data Collection</t>
  </si>
  <si>
    <t>AUDIT</t>
  </si>
  <si>
    <t>Audit Costs - (Auditoria Fiscal &amp; Program Specific Audits)</t>
  </si>
  <si>
    <t>LEGAL</t>
  </si>
  <si>
    <t>Legal Fees</t>
  </si>
  <si>
    <t>MONETIZE</t>
  </si>
  <si>
    <t>Monetization Agent Fee</t>
  </si>
  <si>
    <t>MONEASSMT</t>
  </si>
  <si>
    <t>Post Monetization Assessment</t>
  </si>
  <si>
    <t>Unit</t>
  </si>
  <si>
    <t>CONSULT</t>
  </si>
  <si>
    <t>HQ Consultants &amp; Advisory Support Services</t>
  </si>
  <si>
    <t>Monitoring, Evaluation, and Collection of Reliable Data</t>
  </si>
  <si>
    <t>Evaluations</t>
  </si>
  <si>
    <t>BASELINE</t>
  </si>
  <si>
    <t>Baseline Evaluation</t>
  </si>
  <si>
    <t>MIDTERM</t>
  </si>
  <si>
    <t>Midterm Evaluation</t>
  </si>
  <si>
    <t>ENDLINE</t>
  </si>
  <si>
    <t>Final Evaluation</t>
  </si>
  <si>
    <t>VALUECHAIN</t>
  </si>
  <si>
    <t xml:space="preserve">CIAT Subaward: Value Chain Analysis, Carbon Assessment, and Living Incomes </t>
  </si>
  <si>
    <t>Subrecipient</t>
  </si>
  <si>
    <t>Monitoring Guidelines Development</t>
  </si>
  <si>
    <t>M&amp;ETRAIN</t>
  </si>
  <si>
    <t>81021 (Translation)/ 85300 (Printing)</t>
  </si>
  <si>
    <t>Monitoring Guidelines Creation, Translation &amp; Printing</t>
  </si>
  <si>
    <t>Document</t>
  </si>
  <si>
    <t xml:space="preserve">Monitoring Guidelines Staff Training Workshop </t>
  </si>
  <si>
    <t xml:space="preserve">Workshop </t>
  </si>
  <si>
    <t>M&amp;E Database</t>
  </si>
  <si>
    <t>M&amp;EDATA</t>
  </si>
  <si>
    <t>M&amp;E Software Setup</t>
  </si>
  <si>
    <t>M&amp;E Software Fee</t>
  </si>
  <si>
    <t>M&amp;E Software Training</t>
  </si>
  <si>
    <t>M&amp;E Percentage of Total Budget</t>
  </si>
  <si>
    <t>Monitoring, Evaluation, and Collection of Reliable Data Subtotal</t>
  </si>
  <si>
    <t>VEHICLE</t>
  </si>
  <si>
    <t>Vehicles for Field Office</t>
  </si>
  <si>
    <t>Office Expenses</t>
  </si>
  <si>
    <t xml:space="preserve">Office in Bogota </t>
  </si>
  <si>
    <t>COMM</t>
  </si>
  <si>
    <t>COL2/USA</t>
  </si>
  <si>
    <t>Courier fees/services/Postage</t>
  </si>
  <si>
    <t xml:space="preserve">Email/Internet </t>
  </si>
  <si>
    <t>ADVERTISIN</t>
  </si>
  <si>
    <t xml:space="preserve">Recruitment/Procurement Advertising </t>
  </si>
  <si>
    <t>RENT &amp; UT</t>
  </si>
  <si>
    <t>Office Rent, Utilities &amp; Security (Bogota)</t>
  </si>
  <si>
    <t>BANK FEES</t>
  </si>
  <si>
    <t>Banking and Cash Handling Fees</t>
  </si>
  <si>
    <t>MEETING</t>
  </si>
  <si>
    <t>Office Meeting Expenses and Communications</t>
  </si>
  <si>
    <t>SUBSCRIPT</t>
  </si>
  <si>
    <t>Licenses &amp; Subscriptions</t>
  </si>
  <si>
    <t>Office Supplies</t>
  </si>
  <si>
    <t>MOTORCYCLE</t>
  </si>
  <si>
    <t>Motorcycles for Field Office</t>
  </si>
  <si>
    <t>SUPPLIES</t>
  </si>
  <si>
    <t xml:space="preserve">Desktop/Laptop Computers </t>
  </si>
  <si>
    <t>Tablets for Rural Data Collection</t>
  </si>
  <si>
    <t>All in One: Printer, Photocopier &amp; Scanner</t>
  </si>
  <si>
    <t>Projector</t>
  </si>
  <si>
    <t>Office Furniture (Includes Desk, Chairs, Table, Shelves, Filing Cabinet, Safes, &amp; A/C Unit)</t>
  </si>
  <si>
    <t>Office Supplies &amp; Personal Protective Equipment</t>
  </si>
  <si>
    <t>WORKSHOP</t>
  </si>
  <si>
    <t xml:space="preserve">Training, Workshops, Conference and Registration Fees </t>
  </si>
  <si>
    <t>Repair &amp; Maintenance</t>
  </si>
  <si>
    <t>EQ.MNT REP</t>
  </si>
  <si>
    <t>Equipment and Office Repairs and Maintenance</t>
  </si>
  <si>
    <t>Motorcycle Maintenance/repairs/spare parts</t>
  </si>
  <si>
    <t>Vehicle Maintenance/repairs/spare parts</t>
  </si>
  <si>
    <t>Insurances</t>
  </si>
  <si>
    <t>INSURANCE</t>
  </si>
  <si>
    <t>Property and Liability Insurance</t>
  </si>
  <si>
    <t>Motorcycle Insurance</t>
  </si>
  <si>
    <t>Vehicle Insurance</t>
  </si>
  <si>
    <t>Activities/Costs</t>
  </si>
  <si>
    <t>Personnel Costs for Activity 1</t>
  </si>
  <si>
    <t>PERSNL-1</t>
  </si>
  <si>
    <t>Total Personnel Costs for Activity 1</t>
  </si>
  <si>
    <t>Fringe Benefit Costs for Activity 1</t>
  </si>
  <si>
    <t>FRINGE-1</t>
  </si>
  <si>
    <t>Total Fringe Benefit Costs for Activity 1</t>
  </si>
  <si>
    <t>Travel for Activity 1</t>
  </si>
  <si>
    <t>LOCALTRV-1</t>
  </si>
  <si>
    <t>Local Transportation – Implementing Regions</t>
  </si>
  <si>
    <t>Lodging and M&amp;IE - Implementing Regions</t>
  </si>
  <si>
    <t>Total Travel for Activity 1</t>
  </si>
  <si>
    <t>Cost Share for Activity 1</t>
  </si>
  <si>
    <t>COSTSHAR-1</t>
  </si>
  <si>
    <t xml:space="preserve">Expert Advisors with in Complementary Crops </t>
  </si>
  <si>
    <t>Hours</t>
  </si>
  <si>
    <t>CIAT Subaward: Value Chain Analysis (Multiple Personnel)</t>
  </si>
  <si>
    <t>Total Cost Share for Activity 1</t>
  </si>
  <si>
    <t>Personnel Costs for Activity 2</t>
  </si>
  <si>
    <t>PERSNL-2</t>
  </si>
  <si>
    <t>Total Personnel Costs for Activity 2</t>
  </si>
  <si>
    <t>Fringe Benefit Costs for Activity 2</t>
  </si>
  <si>
    <t>FRINGE-2</t>
  </si>
  <si>
    <t>Total Fringe Benefit Costs for Activity 2</t>
  </si>
  <si>
    <t>Travel for Activity 2</t>
  </si>
  <si>
    <t>LOCALTRV-2</t>
  </si>
  <si>
    <t>Local Transportation – Training &amp; Data Collection</t>
  </si>
  <si>
    <t>Lodging and M&amp;IE - Training, &amp; Data Collection</t>
  </si>
  <si>
    <t>Total Travel for Activity 2</t>
  </si>
  <si>
    <t>Professional Services/Contractual for Activity 2</t>
  </si>
  <si>
    <t>SUBPRODORG</t>
  </si>
  <si>
    <t>Subrecipient: Training for Producer Organizations Partnership</t>
  </si>
  <si>
    <t>Total Professional Services/Contractual for Activity 2</t>
  </si>
  <si>
    <t>Cost Share for Activity 2</t>
  </si>
  <si>
    <t>COSTSHAR-2</t>
  </si>
  <si>
    <t>Expert Advisors to Coach Producer Organizations</t>
  </si>
  <si>
    <t>Organizational Development Advisor</t>
  </si>
  <si>
    <t xml:space="preserve">SENA Consulting for Organizational Development on Small Entrepreneurial Investments </t>
  </si>
  <si>
    <t>Total Cost Share for Activity 2</t>
  </si>
  <si>
    <t>Personnel Costs for Activity 3</t>
  </si>
  <si>
    <t>PERSNL-3</t>
  </si>
  <si>
    <t>Total Personnel Costs for Activity 3</t>
  </si>
  <si>
    <t>Fringe Benefit Costs for Activity 3</t>
  </si>
  <si>
    <t>FRINGE-3</t>
  </si>
  <si>
    <t>Total Fringe Benefit Costs for Activity 3</t>
  </si>
  <si>
    <t>Travel for Activity 3</t>
  </si>
  <si>
    <t>LOCALTRV-3</t>
  </si>
  <si>
    <t>Motorcycle Fuel Expense for Extension Agents</t>
  </si>
  <si>
    <t>Total Travel for Activity 3</t>
  </si>
  <si>
    <t>Professional Services/Contractual for Activity 3</t>
  </si>
  <si>
    <t>SUBCIAT</t>
  </si>
  <si>
    <t>Subrecipient: CIAT - Digital Extension tools/GIS cont. from Cacao For Peace</t>
  </si>
  <si>
    <t>Subrecipient: CIAT - Food Safety/Gene Editing</t>
  </si>
  <si>
    <t>DIGITALPAR</t>
  </si>
  <si>
    <t>81000 (Consultants)/ 89000 (Subawards)</t>
  </si>
  <si>
    <t>Digital Training Partnership</t>
  </si>
  <si>
    <t>Contract</t>
  </si>
  <si>
    <t>CARBONPAR</t>
  </si>
  <si>
    <t>New Carbon Partnerships</t>
  </si>
  <si>
    <t>NEWPARTNER</t>
  </si>
  <si>
    <t>Other New Partnerships</t>
  </si>
  <si>
    <t>CACAOSAFE</t>
  </si>
  <si>
    <t xml:space="preserve">Cacao Food Safety, Traceability, and Risk Management </t>
  </si>
  <si>
    <t>COMPCROPS</t>
  </si>
  <si>
    <t xml:space="preserve">Complementary Crops Food Safety, Traceability, and Risk Management </t>
  </si>
  <si>
    <t>Total Professional Services/Contractual for Activity 3</t>
  </si>
  <si>
    <t>Supplies for Activity 3</t>
  </si>
  <si>
    <t>SEEDSTOCK</t>
  </si>
  <si>
    <t xml:space="preserve">Seedstock for Private Nurseries </t>
  </si>
  <si>
    <t>Total Supplies for Activity 3</t>
  </si>
  <si>
    <t>Other for Activity 3</t>
  </si>
  <si>
    <t>Small Grants</t>
  </si>
  <si>
    <t>NURSEGRANT</t>
  </si>
  <si>
    <t>Nursery Start-Up Grants for Producer Organizations</t>
  </si>
  <si>
    <t>Grant</t>
  </si>
  <si>
    <t>Total Other Expenses for Activity 3</t>
  </si>
  <si>
    <t>Cost Share for Activity 3</t>
  </si>
  <si>
    <t>COSTSHAR-3</t>
  </si>
  <si>
    <t>CIAT Subaward: Multiple Personnel</t>
  </si>
  <si>
    <t xml:space="preserve">Expert Advisors in Complementary Crops </t>
  </si>
  <si>
    <t>Cacao Hunters - 1 Extension Agent</t>
  </si>
  <si>
    <t>Total Cost Share for Activity 3</t>
  </si>
  <si>
    <t>Personnel Costs for Activity 4</t>
  </si>
  <si>
    <t>PERSNL-4</t>
  </si>
  <si>
    <t>Total Personnel Costs for Activity 4</t>
  </si>
  <si>
    <t>Fringe Benefit Costs for Activity 4</t>
  </si>
  <si>
    <t>FRINGE-4</t>
  </si>
  <si>
    <t>Total Fringe Benefit Costs for Activity 4</t>
  </si>
  <si>
    <t>Travel for Activity 4</t>
  </si>
  <si>
    <t>LOCALTRV-4</t>
  </si>
  <si>
    <t>Total Travel for Activity 4</t>
  </si>
  <si>
    <t>Professional Services/Contractual for Activity 4</t>
  </si>
  <si>
    <t>SUBAGROSAV</t>
  </si>
  <si>
    <t>AGROSAVIA</t>
  </si>
  <si>
    <t>Subrecipient: Agrosavia</t>
  </si>
  <si>
    <t>POSTHARVT</t>
  </si>
  <si>
    <t xml:space="preserve">New Partnerships in Post-Harvest Aggregation &amp; Processing </t>
  </si>
  <si>
    <t>Total Professional Services/Contractual for Activity 4</t>
  </si>
  <si>
    <t>Other for Activity 4</t>
  </si>
  <si>
    <t>PROAGRANTS</t>
  </si>
  <si>
    <t xml:space="preserve">Grant Fund to Strengthening Small Processors and Aggregators </t>
  </si>
  <si>
    <t>Total Other Expenses for Activity 4</t>
  </si>
  <si>
    <t>Cost Share for Activity 4</t>
  </si>
  <si>
    <t>COSTSHAR-4</t>
  </si>
  <si>
    <t xml:space="preserve">Expert Advisors to Advise Grantees and Serve on Panels </t>
  </si>
  <si>
    <t>Honorarium</t>
  </si>
  <si>
    <t>Total Cost Share for Activity 4</t>
  </si>
  <si>
    <t>Personnel Costs for Activity 5</t>
  </si>
  <si>
    <t>PERSNL-5</t>
  </si>
  <si>
    <t>Total Personnel Costs for Activity 5</t>
  </si>
  <si>
    <t>Fringe Benefit Costs for Activity 5</t>
  </si>
  <si>
    <t>FRINGE-5</t>
  </si>
  <si>
    <t>Total Fringe Benefit Costs for Activity 5</t>
  </si>
  <si>
    <t>Travel for Activity 5</t>
  </si>
  <si>
    <t>LOCALTRV-5</t>
  </si>
  <si>
    <t>Local Transportation to Bogota for Business Plan Presentation to ANDEAN</t>
  </si>
  <si>
    <t>Lodging and M&amp;IE in Bogota for Business Plan Presentation to ANDEAN</t>
  </si>
  <si>
    <t>Total Travel for Activity 5</t>
  </si>
  <si>
    <t>Professional Services/Contractual for Activity 5</t>
  </si>
  <si>
    <t>ACCELPART</t>
  </si>
  <si>
    <t>Incubator/Accelerator Partnerships</t>
  </si>
  <si>
    <t>Total Professional Services/Contractual for Activity 5</t>
  </si>
  <si>
    <t>Supplies for Activity 5</t>
  </si>
  <si>
    <t>COMPRORFA5</t>
  </si>
  <si>
    <t>Communication &amp; Promotional Fees for Grant RFA</t>
  </si>
  <si>
    <t>Total Supplies for Activity 5</t>
  </si>
  <si>
    <t>Other for Activity 5</t>
  </si>
  <si>
    <t>ENTREGRANT</t>
  </si>
  <si>
    <t>Niche Cacao and Complimentary Crop Entrepreneurship Grants</t>
  </si>
  <si>
    <t>Total Other Expenses for Activity 5</t>
  </si>
  <si>
    <t>Cost Share for Activity 5</t>
  </si>
  <si>
    <t>COSTSHAR-5</t>
  </si>
  <si>
    <t>Advising from Incubator Program to Mentor Small Entrepreneurs</t>
  </si>
  <si>
    <t>Business Experts to Advise Applicants on Grant Competitions</t>
  </si>
  <si>
    <t xml:space="preserve">RCP Mentorship to Entrepreneurs Developing Small Business Pitches </t>
  </si>
  <si>
    <t>Additional Entrepreneurship Grants</t>
  </si>
  <si>
    <t xml:space="preserve">Expert Advisors to Consult on Design of Small Business Competitions </t>
  </si>
  <si>
    <t>Total Cost Share for Activity 5</t>
  </si>
  <si>
    <t>Personnel Costs for Activity 6</t>
  </si>
  <si>
    <t>PERSNL-6</t>
  </si>
  <si>
    <t>Total Personnel Costs for Activity 6</t>
  </si>
  <si>
    <t>Fringe Benefit Costs for Activity 6</t>
  </si>
  <si>
    <t>FRINGE-6</t>
  </si>
  <si>
    <t>Total Fringe Benefit Costs for Activity 6</t>
  </si>
  <si>
    <t>Travel for Activity 6</t>
  </si>
  <si>
    <t>Travel for Business Plan Presentation to Regional Community of Practice (RCP)</t>
  </si>
  <si>
    <t>LOCTRVRCP6</t>
  </si>
  <si>
    <t>Student Local Transportation -Bogota -Business Plan Presentation to RCP</t>
  </si>
  <si>
    <t>Student Lodging and M&amp;IE - Bogota - Business Plan Presentation to RCP</t>
  </si>
  <si>
    <t>Travel for Youth Business Plan Presentation to ANDEAN</t>
  </si>
  <si>
    <t>LOCTRVAND6</t>
  </si>
  <si>
    <t>Student Local Transportation -Bogota -Business Plan Presentation to ANDEAN</t>
  </si>
  <si>
    <t>Student Lodging and M&amp;IE - Bogota - Business Plan Presentation to ANDEAN</t>
  </si>
  <si>
    <t>Travel for Young Agriculture Entrepreneur International Exchange</t>
  </si>
  <si>
    <t>LOCTRVAEI6</t>
  </si>
  <si>
    <t>International Airfare for Young Agriculture Entrepreneur International Exchange</t>
  </si>
  <si>
    <t>Lodging M&amp;IE for Young Agriculture Entrepreneur International Exchange</t>
  </si>
  <si>
    <t>Local Transportation for Young Agriculture Entrepreneur International Exchange</t>
  </si>
  <si>
    <t>Other Travel Related Expenses for Young Agriculture Entrepreneur International Exchange</t>
  </si>
  <si>
    <t xml:space="preserve">Colombia Student Study Trips </t>
  </si>
  <si>
    <t>STUDYTRIP</t>
  </si>
  <si>
    <t>Colombia Student Stipends for Local 6 Month Research Trip</t>
  </si>
  <si>
    <t>Total Travel for Activity 6</t>
  </si>
  <si>
    <t>Professional Services/Contractual for Activity 6</t>
  </si>
  <si>
    <t>YOUTHCONSL</t>
  </si>
  <si>
    <t>Youth Logistics/Travel Coordinator Consultant</t>
  </si>
  <si>
    <t>YOUTHORGS</t>
  </si>
  <si>
    <t>New Partnerships with Youth Organizations/Networks/Youth Incubators</t>
  </si>
  <si>
    <t>Total Professional Services/Contractual for Activity 6</t>
  </si>
  <si>
    <t>Supplies for Activity 6</t>
  </si>
  <si>
    <t>SUPPLIES-6</t>
  </si>
  <si>
    <t>Pre-Trip Orientation for Young Agriculture Entrepreneur (Room Rental &amp; Food)</t>
  </si>
  <si>
    <t>Post-Trip Debrief for Young Agriculture Entrepreneur (Room Rental &amp; Food)</t>
  </si>
  <si>
    <t>COMPRORFA6</t>
  </si>
  <si>
    <t>Communication &amp; Promotional Fees for Grant RFAs</t>
  </si>
  <si>
    <t>Total Supplies for Activity 6</t>
  </si>
  <si>
    <t>Other for Activity 6</t>
  </si>
  <si>
    <t>VCHAINGRNT</t>
  </si>
  <si>
    <t>Niche Cacao and Underutilized Value Chain Market Research Grants</t>
  </si>
  <si>
    <t>AGRIBGRANT</t>
  </si>
  <si>
    <t>Youth Agribusiness Impact Investing Grants</t>
  </si>
  <si>
    <t>Total Other Expenses for Activity 6</t>
  </si>
  <si>
    <t>Cost Share for Activity 6</t>
  </si>
  <si>
    <t>COSTSHAR-6</t>
  </si>
  <si>
    <t xml:space="preserve">RCP Mentorship to Youth Entrepreneurs and Students Researchers </t>
  </si>
  <si>
    <t>Additional Youth Agribusiness Impact Investing and/or Value Chain Market Research Grants</t>
  </si>
  <si>
    <t>Total Cost Share for Activity 6</t>
  </si>
  <si>
    <t>Personnel Costs for Activity 7</t>
  </si>
  <si>
    <t>PERSNL-7</t>
  </si>
  <si>
    <t>Total Personnel Costs for Activity 7</t>
  </si>
  <si>
    <t>Fringe Benefit Costs for Activity 7</t>
  </si>
  <si>
    <t>FRINGE-7</t>
  </si>
  <si>
    <t>Total Fringe Benefit Costs for Activity 7</t>
  </si>
  <si>
    <t>Travel for Activity 7</t>
  </si>
  <si>
    <t>LOCALTRV-7</t>
  </si>
  <si>
    <t>Local Travel for Meetings</t>
  </si>
  <si>
    <t>Total Travel for Activity 7</t>
  </si>
  <si>
    <t>Professional Services/Contractual for Activity 7</t>
  </si>
  <si>
    <t>TECHWEB</t>
  </si>
  <si>
    <t xml:space="preserve">Contracted Technology Platform for Webinars &amp; Resources </t>
  </si>
  <si>
    <t>Total Professional Services/Contractual for Activity 7</t>
  </si>
  <si>
    <t>Other for Activity 7</t>
  </si>
  <si>
    <t>RCPEVENTS</t>
  </si>
  <si>
    <t xml:space="preserve">RCP Events/Conferences </t>
  </si>
  <si>
    <t>COPGRANTS</t>
  </si>
  <si>
    <t>Community of Practice Initiative Grants</t>
  </si>
  <si>
    <t>Total Other Expenses for Activity 7</t>
  </si>
  <si>
    <t>Cost Share for Activity 7</t>
  </si>
  <si>
    <t>COSTSHAR-7</t>
  </si>
  <si>
    <t>Venue Space for Meetings</t>
  </si>
  <si>
    <t>Days</t>
  </si>
  <si>
    <t>Total Cost Share for Activity 7</t>
  </si>
  <si>
    <t>Personnel Costs for Activity 8</t>
  </si>
  <si>
    <t>PERSNL-8</t>
  </si>
  <si>
    <t>Total Personnel Costs for Activity 8</t>
  </si>
  <si>
    <t>Fringe Benefit Costs for Activity 8</t>
  </si>
  <si>
    <t>FRINGE-8</t>
  </si>
  <si>
    <t>Total Fringe Benefit Costs for Activity 8</t>
  </si>
  <si>
    <t>Travel for Activity 8</t>
  </si>
  <si>
    <t>LOCALTRV-8</t>
  </si>
  <si>
    <t>Total Travel for Activity 8</t>
  </si>
  <si>
    <t>Professional Services/Contractual for Activity 8</t>
  </si>
  <si>
    <t>PHILCONSLT</t>
  </si>
  <si>
    <t xml:space="preserve">Philanthropy Fund Fundraising Consultant </t>
  </si>
  <si>
    <t>LEGALADV</t>
  </si>
  <si>
    <t>Legal Advisor</t>
  </si>
  <si>
    <t>Total Professional Services/Contractual for Activity 8</t>
  </si>
  <si>
    <t>Other for Activity 8</t>
  </si>
  <si>
    <t>SEEDFUND</t>
  </si>
  <si>
    <t>Seed Funding for the Philanthropy Fund</t>
  </si>
  <si>
    <t>Total Other Expenses for Activity 8</t>
  </si>
  <si>
    <t>Cost Share for Activity 8</t>
  </si>
  <si>
    <t>COSTSHAR-8</t>
  </si>
  <si>
    <t>Expert U.S. Legal Services to Advise on the Philanthropy Fund</t>
  </si>
  <si>
    <t xml:space="preserve">RCP Members on Philanthropic Fund Board/Governance </t>
  </si>
  <si>
    <t>Total Cost Share for Activity 8</t>
  </si>
  <si>
    <t>Internal Transportation Storage and Handling (ITSH)</t>
  </si>
  <si>
    <t>None</t>
  </si>
  <si>
    <t>Total Internal Transportation Storage and Handling (ITSH)</t>
  </si>
  <si>
    <t>IDC</t>
  </si>
  <si>
    <t xml:space="preserve">Total Indirect Costs (NICRA) </t>
  </si>
  <si>
    <t>TOTAL COSTS</t>
  </si>
  <si>
    <t xml:space="preserve"> Activity 1. Value Chain Development (VC Study, Living Income, Carbon)</t>
  </si>
  <si>
    <t xml:space="preserve">Activity 2. Producer Organization Development &amp; Commercialization </t>
  </si>
  <si>
    <t xml:space="preserve">Activity 3. Agriculture Extension and Production Support </t>
  </si>
  <si>
    <t>Activity 4. Post-Harvest Aggregation &amp; Processing . Seedstock/Nurseries</t>
  </si>
  <si>
    <t xml:space="preserve">Activity 5. Ensure Financial Service/ Capital Access for Actors in the Value Chains </t>
  </si>
  <si>
    <t xml:space="preserve">Activity 6. Innovation and Job Creation Through Youth Engagement </t>
  </si>
  <si>
    <t xml:space="preserve"> Activity 7. Establishment of Regional Community of Practice </t>
  </si>
  <si>
    <t xml:space="preserve">Activity 8. Financial Services: Endowment Establishment, Fundraising and Management </t>
  </si>
  <si>
    <t>In-Country         Partners</t>
  </si>
  <si>
    <t>Partners of the Americas</t>
  </si>
  <si>
    <t xml:space="preserve"> ●          </t>
  </si>
  <si>
    <t>Prime Awardee with Regional Expertise</t>
  </si>
  <si>
    <t>○</t>
  </si>
  <si>
    <t>Major in-country research institution</t>
  </si>
  <si>
    <t>Activity 2 partnership</t>
  </si>
  <si>
    <t>Fedecacao</t>
  </si>
  <si>
    <t>Colombian university with regional and research expertise</t>
  </si>
  <si>
    <t>Red Nacional Cacaotera</t>
  </si>
  <si>
    <t>Sena</t>
  </si>
  <si>
    <t>Office of the Vice President of Colombia</t>
  </si>
  <si>
    <t>Nacional de Chocolates</t>
  </si>
  <si>
    <t>Major in-country purchaser of Colombian cacao</t>
  </si>
  <si>
    <t xml:space="preserve">Luker Chocolates </t>
  </si>
  <si>
    <t>Cacao Hunters</t>
  </si>
  <si>
    <t>Other Colombian cacao companies</t>
  </si>
  <si>
    <t>Other Colombian Complementary crops companies</t>
  </si>
  <si>
    <t>Colombian exporters of tropical fruit (pulp, juice concentrate, frozen) including soursop, guava, mango, papaya, and passion fruit, etc</t>
  </si>
  <si>
    <t>Digital training partnerships</t>
  </si>
  <si>
    <t>Carbon Partnerships</t>
  </si>
  <si>
    <t>Food Safety, Traceability and Risk Management partnerships</t>
  </si>
  <si>
    <t>Other Extension-Producer support partnerships (Agromovil)</t>
  </si>
  <si>
    <t>Post harvest and aggregation partnerships</t>
  </si>
  <si>
    <t>Incubator/Accelerator partnerships</t>
  </si>
  <si>
    <t>ANDEAN*</t>
  </si>
  <si>
    <t>Major in-country network for impact investors</t>
  </si>
  <si>
    <t>The National Fruit and Vegetable Association (ASOHOFRUCOL)</t>
  </si>
  <si>
    <t>In-country association for commercialization of Colombian fruits and vegetables, administers the National Fund for Fruit and Vegetable Development</t>
  </si>
  <si>
    <t>Finanfuturo</t>
  </si>
  <si>
    <t>Impact investment arm of Citi Bank working in Cacao/illicit crop substitution</t>
  </si>
  <si>
    <t>Acumen, Alter-eco Foundation, InterAmerican Foundation &amp; others</t>
  </si>
  <si>
    <t>International Impact Investment firm with Bogota office</t>
  </si>
  <si>
    <t>Grants</t>
  </si>
  <si>
    <t>Multiple grant recipients</t>
  </si>
  <si>
    <t>International      Partners</t>
  </si>
  <si>
    <t>World Cocoa Foundation</t>
  </si>
  <si>
    <t>Major international cacao sector development support organization</t>
  </si>
  <si>
    <t>American Retailer Chains</t>
  </si>
  <si>
    <t>Global trader of tropical fruits sourced from Latin America, based in U.S. with offices across the region</t>
  </si>
  <si>
    <t>US-based market chain that sources from Latin America</t>
  </si>
  <si>
    <t>International Research Partners</t>
  </si>
  <si>
    <t>CATIE</t>
  </si>
  <si>
    <t>Major International Agriculture Research Institution</t>
  </si>
  <si>
    <t>USDA ARS Tropical Crops and Germplasm Research (PR)</t>
  </si>
  <si>
    <t>Major US Tropical Agriculture Research Institution</t>
  </si>
  <si>
    <t>Regional University Center of the Atlantic Coast (CURLA)</t>
  </si>
  <si>
    <t>Peruvian Amazon Research Institute</t>
  </si>
  <si>
    <t>Tropical and Amazonian agriculture research station with cacao expertise</t>
  </si>
  <si>
    <t>Instituto Nacional de Investigaciones Agropecuarias (INIAP)</t>
  </si>
  <si>
    <t>Major Ecuadorian agriculture research institution with cacao expertise</t>
  </si>
  <si>
    <t xml:space="preserve">          ●          </t>
  </si>
  <si>
    <t>Receives funding from C4D</t>
  </si>
  <si>
    <t xml:space="preserve">Does not receive funding </t>
  </si>
  <si>
    <t>RACI for Activity 1 (Summarized Sample)</t>
  </si>
  <si>
    <t>Red Cacaotera</t>
  </si>
  <si>
    <t>Sector Privado</t>
  </si>
  <si>
    <t>Questionnaire brainstorm</t>
  </si>
  <si>
    <t>A</t>
  </si>
  <si>
    <t>R</t>
  </si>
  <si>
    <t>I</t>
  </si>
  <si>
    <t>Questionnaire Design/Validat</t>
  </si>
  <si>
    <t>Questionnaire Digitalization</t>
  </si>
  <si>
    <t>C</t>
  </si>
  <si>
    <t>Data Capture</t>
  </si>
  <si>
    <t>Data Cleanup</t>
  </si>
  <si>
    <t>Data Aggregation</t>
  </si>
  <si>
    <t>Data Analysis</t>
  </si>
  <si>
    <t>Data Reporting</t>
  </si>
  <si>
    <t>Responsible</t>
  </si>
  <si>
    <t>The people who actually do the work</t>
  </si>
  <si>
    <t>Accountable</t>
  </si>
  <si>
    <t>The approver. Person who signs off on the work</t>
  </si>
  <si>
    <t>Consulted</t>
  </si>
  <si>
    <t>SME consulted and can contribute to create content</t>
  </si>
  <si>
    <t>Informed</t>
  </si>
  <si>
    <t>Group informed when a deliverable is complete</t>
  </si>
  <si>
    <t>Level of Effort (LOE) Breakdown by Activity</t>
  </si>
  <si>
    <t>Months in Year 1</t>
  </si>
  <si>
    <t>Year 1 LOE</t>
  </si>
  <si>
    <t>Total Salary Amount Year 1</t>
  </si>
  <si>
    <t>Months in Year 2</t>
  </si>
  <si>
    <t>Year 2 LOE</t>
  </si>
  <si>
    <t>Total Salary Amount Year 2</t>
  </si>
  <si>
    <t>Months in Year 3</t>
  </si>
  <si>
    <t>Year 3 LOE</t>
  </si>
  <si>
    <t>Total Salary Amount Year 3</t>
  </si>
  <si>
    <t>Months in Year 4</t>
  </si>
  <si>
    <t>Year 4 LOE</t>
  </si>
  <si>
    <t>Total Salary Amount Year 4</t>
  </si>
  <si>
    <t>Months in Year 5</t>
  </si>
  <si>
    <t>Year 5 LOE</t>
  </si>
  <si>
    <t>Total Salary Amount Year 5</t>
  </si>
  <si>
    <t>Total Amount LOP</t>
  </si>
  <si>
    <t xml:space="preserve">LOE </t>
  </si>
  <si>
    <t>LOE</t>
  </si>
  <si>
    <t>Personnel (Administration)</t>
  </si>
  <si>
    <t xml:space="preserve">Colombia National Staff </t>
  </si>
  <si>
    <t xml:space="preserve">Home Office Support </t>
  </si>
  <si>
    <t>Administration</t>
  </si>
  <si>
    <t>Total LOE</t>
  </si>
  <si>
    <t>Year 1</t>
  </si>
  <si>
    <t>Year 2</t>
  </si>
  <si>
    <t>Year 3</t>
  </si>
  <si>
    <t>Year 4</t>
  </si>
  <si>
    <t>Year 5</t>
  </si>
  <si>
    <t>Name of Project: FY 2020 FFPr Colombia - Partners of the Americas</t>
  </si>
  <si>
    <t>Name of Subawardee: To be determined</t>
  </si>
  <si>
    <t>Subaward Budget for Activity 2</t>
  </si>
  <si>
    <t>Level of Effort (LOE)</t>
  </si>
  <si>
    <t>CATEGORY</t>
  </si>
  <si>
    <t>TOTAL SUBAWARD</t>
  </si>
  <si>
    <t>Field Personnel</t>
  </si>
  <si>
    <t>Field Coordinator for Continuous Advice of Associations in Uraba y Bajo Cauca</t>
  </si>
  <si>
    <t>Field Coordinator for Continuous Advice of Associations in Caldas</t>
  </si>
  <si>
    <t>Field Coordinator for Continuous Advice of Associations in Tolima</t>
  </si>
  <si>
    <t>Field Coordinator for Continuous Advice of Associations in Sierra Nevada (Magdalena)</t>
  </si>
  <si>
    <t xml:space="preserve">HQ Personnel </t>
  </si>
  <si>
    <t>Project Manager</t>
  </si>
  <si>
    <t>Social Organization Expert</t>
  </si>
  <si>
    <t>Entrepreneur Expert</t>
  </si>
  <si>
    <t xml:space="preserve">Assistant/Logistics Coordinator </t>
  </si>
  <si>
    <t>Fringe Benefits for Field Personnel</t>
  </si>
  <si>
    <t>Fringe</t>
  </si>
  <si>
    <t>Fringe Benefits CCN for HQ Personnel</t>
  </si>
  <si>
    <t>Travel Costs for Activity 2</t>
  </si>
  <si>
    <t>Ground Transportation for Visits to Associations</t>
  </si>
  <si>
    <t>Travel for Formation in the Field</t>
  </si>
  <si>
    <t>Airfare for Formation in the Field</t>
  </si>
  <si>
    <t>Lodging for Formation in the Field</t>
  </si>
  <si>
    <t>M&amp;IE for Formation in the Field</t>
  </si>
  <si>
    <t>Ground Transportation for Formation in the Field</t>
  </si>
  <si>
    <t>Total Travel Costs for Activity 2</t>
  </si>
  <si>
    <t>Supplies for Activity 2</t>
  </si>
  <si>
    <t>Laptops &amp; Software</t>
  </si>
  <si>
    <t>Total Supplies for Activity 2</t>
  </si>
  <si>
    <t>Other for Activity 2</t>
  </si>
  <si>
    <t>Training for 17 Associations for 850 Participants (2 X year each Association)</t>
  </si>
  <si>
    <t>Training</t>
  </si>
  <si>
    <t>Total Other for Activity 2</t>
  </si>
  <si>
    <t>Subtotal Direct Costs Activity 2</t>
  </si>
  <si>
    <t>Total Indirect Costs for Activity 2</t>
  </si>
  <si>
    <t>Indirect Charges</t>
  </si>
  <si>
    <t>Grant Total of Subaward</t>
  </si>
  <si>
    <t>Name of Subawardee: Alliance Bioversity International CIAT</t>
  </si>
  <si>
    <t>Subaward Budget for Activity 1 &amp; 3</t>
  </si>
  <si>
    <t>Merit Based Increases for HQ Staff (International)</t>
  </si>
  <si>
    <t>Merit Based Increases for Field Staff (National)</t>
  </si>
  <si>
    <t>Field Personnel (National Staff)</t>
  </si>
  <si>
    <t>Communications Assistant</t>
  </si>
  <si>
    <t>Value Chain and Business Models Expert #1</t>
  </si>
  <si>
    <t>Value Chain and Business Models Expert #2</t>
  </si>
  <si>
    <t>Research Assistant - Value Chain and Socioeconomics #1</t>
  </si>
  <si>
    <t>Research Assistant - Value Chain and Socioeconomics #2</t>
  </si>
  <si>
    <t>Research Assistant - Value Chain and Socioeconomics #3</t>
  </si>
  <si>
    <t>Research Assistant - Value Chain and Agronomic Analysis</t>
  </si>
  <si>
    <t>Research Assistant - Suitability Analysis</t>
  </si>
  <si>
    <t>Agronomist</t>
  </si>
  <si>
    <t>Research Assistant (Agronomist)</t>
  </si>
  <si>
    <t>Research Assistant (Carbon Modelling)</t>
  </si>
  <si>
    <t>Research Assistant (Living Income &amp; Econ. Assessment of Carbon Balance) #1</t>
  </si>
  <si>
    <t>Research Assistant (Living Income &amp; Econ. Assessment of Carbon Balance) #2</t>
  </si>
  <si>
    <t>Research Assistant (Living Income &amp; Econ. Assessment of Carbon Balance) #3</t>
  </si>
  <si>
    <t>Administrative Assistant</t>
  </si>
  <si>
    <t>Project Financial Analysis and Support</t>
  </si>
  <si>
    <t>Research Assistant</t>
  </si>
  <si>
    <t>Regional Finance Manager for the Americas</t>
  </si>
  <si>
    <t>HQ Personnel (International Staff)</t>
  </si>
  <si>
    <t>Theme Leader - Food Environment, Value Chains &amp; Markets</t>
  </si>
  <si>
    <t>Soil Scientist and Coordinator</t>
  </si>
  <si>
    <t>Senior Agronomist</t>
  </si>
  <si>
    <t>Agricultural Economist</t>
  </si>
  <si>
    <t>Travel Costs for Activity 1</t>
  </si>
  <si>
    <t xml:space="preserve">Ground Transportation </t>
  </si>
  <si>
    <t>T1: Travel for National Trips for Value Chain Assessment</t>
  </si>
  <si>
    <t>Local Transportation for National Trips for Value Chain Assessment</t>
  </si>
  <si>
    <t>Lodging &amp; M&amp;IE for National Trips for Value Chain Assessment</t>
  </si>
  <si>
    <t>T2: Travel for Quantification of Carbon Sequestration at Landscape Level</t>
  </si>
  <si>
    <t>Local Transportation for Quantification of Carbon Sequestration at Landscape Level</t>
  </si>
  <si>
    <t>Lodging &amp; M&amp;IE for Quantification of Carbon Sequestration at Landscape Level</t>
  </si>
  <si>
    <t>T3: Travel for Living Income and Economic Assessment of Carbon Balance</t>
  </si>
  <si>
    <t>Local Transportation for National Trips for Living Income and Economic Assessment of Carbon Balance</t>
  </si>
  <si>
    <t>Lodging &amp; M&amp;IE for Living Income and Economic Assessment of Carbon Balance</t>
  </si>
  <si>
    <t>Total Travel Costs for Activity 1</t>
  </si>
  <si>
    <t>Professional Services/Contractual for Activity 1</t>
  </si>
  <si>
    <t>Consultant - Carbon Market Expert</t>
  </si>
  <si>
    <t>Contractual</t>
  </si>
  <si>
    <t xml:space="preserve">Consultant - Graphic Design for Special Study </t>
  </si>
  <si>
    <t>Contracts for Data Collection &amp; Enumerators</t>
  </si>
  <si>
    <t>Total Professional Services/Contractual for Activity 1</t>
  </si>
  <si>
    <t>Office Expenses for Activity 1</t>
  </si>
  <si>
    <t>Office &amp; Program Supplies</t>
  </si>
  <si>
    <t>Office Ex.</t>
  </si>
  <si>
    <t>Research Support Service</t>
  </si>
  <si>
    <t>Information Technology</t>
  </si>
  <si>
    <t xml:space="preserve">Facilities and Public Area </t>
  </si>
  <si>
    <t>Total Office Expenses Costs for Activity 1</t>
  </si>
  <si>
    <t>Other for Activity 1</t>
  </si>
  <si>
    <t>Validation Stakeholder Workshops</t>
  </si>
  <si>
    <t xml:space="preserve"> </t>
  </si>
  <si>
    <t>Analysis with All Actors on Specific Options</t>
  </si>
  <si>
    <t>Event</t>
  </si>
  <si>
    <t>Focus Groups</t>
  </si>
  <si>
    <t>Total Other Costs for Activity 1</t>
  </si>
  <si>
    <t>Subtotal Direct Costs Activity 1</t>
  </si>
  <si>
    <t>Total Indirect Costs De Minimis for Activity 1</t>
  </si>
  <si>
    <t>CIAT - Digital Extension tools/GIS continuation from Cacao For Peace</t>
  </si>
  <si>
    <t>Research Assistant (GIS)</t>
  </si>
  <si>
    <t>Associate Researcher (Economist)</t>
  </si>
  <si>
    <t>International Staff</t>
  </si>
  <si>
    <t>Travel Costs for Activity 3</t>
  </si>
  <si>
    <t>T1: Travel for Digital Extension/ GIS to Optimize Cacao Production</t>
  </si>
  <si>
    <t>Local Transportation for Digital Extension/ GIS to Optimize Cacao Production</t>
  </si>
  <si>
    <t>Lodging &amp; M&amp;IE for Digital Extension/ GIS to Optimize Cacao Production</t>
  </si>
  <si>
    <t>Total Travel Costs for Activity 3</t>
  </si>
  <si>
    <t>Consultant - Field Extensionist</t>
  </si>
  <si>
    <t>Office Expenses for Activity 3</t>
  </si>
  <si>
    <t>Total Office Expenses Costs for Activity 3</t>
  </si>
  <si>
    <t>Soils Samples</t>
  </si>
  <si>
    <t>Training for Farmers/Technicians - Extension and GIS</t>
  </si>
  <si>
    <t>Total Other Costs for Activity 3</t>
  </si>
  <si>
    <t>Subtotal Direct Costs Activity 3</t>
  </si>
  <si>
    <t>Total Indirect Costs De Minimis for Activity 3</t>
  </si>
  <si>
    <t>CIAT - Food Safety – (Evaluation, management and messaging for local and international markets, governments and NGOs)</t>
  </si>
  <si>
    <t>Research Assistant for Food Safety</t>
  </si>
  <si>
    <t>Associate Researcher (Agricultural Engineer)</t>
  </si>
  <si>
    <t>T1: Travel for Food Safety</t>
  </si>
  <si>
    <t>Local Transportation for Food Safety</t>
  </si>
  <si>
    <t>Lodging &amp; M&amp;IE for Food Safety</t>
  </si>
  <si>
    <t xml:space="preserve">Training for Stakeholder/Disseminations  - Food Safety </t>
  </si>
  <si>
    <t>Dissemination Materials - Food Safety</t>
  </si>
  <si>
    <t>Grant Total of Alliance Bioversity International CIAT Subaward</t>
  </si>
  <si>
    <t>Name of Subawardee: Agrosavia</t>
  </si>
  <si>
    <t>Subaward Budget for Activity 4</t>
  </si>
  <si>
    <t xml:space="preserve">Field Personnel </t>
  </si>
  <si>
    <t xml:space="preserve">Research Assistant </t>
  </si>
  <si>
    <t>Post-Harvest Researcher</t>
  </si>
  <si>
    <t>Agricultural Engineer</t>
  </si>
  <si>
    <t>Travel Costs for Activity 4</t>
  </si>
  <si>
    <t xml:space="preserve">Local Transportation </t>
  </si>
  <si>
    <t>Travel for Post-Harvest Activities</t>
  </si>
  <si>
    <t>Airfare for Post-Harvest Activities</t>
  </si>
  <si>
    <t>Lodging for Post-Harvest Activities</t>
  </si>
  <si>
    <t>Ground Transportation for Post-Harvest Activities</t>
  </si>
  <si>
    <t>M&amp;IE for Post-Harvest Activities</t>
  </si>
  <si>
    <t>Total Travel Costs for Activity 4</t>
  </si>
  <si>
    <t>Equipment for Activity 4</t>
  </si>
  <si>
    <t>Post Harvest Construction and Equipment</t>
  </si>
  <si>
    <t>Total Equipment for Activity 4</t>
  </si>
  <si>
    <t>Supplies for Activity 4</t>
  </si>
  <si>
    <t>Office Supplies/Stationary/Printing Materials</t>
  </si>
  <si>
    <t>Courier fees</t>
  </si>
  <si>
    <t>Other Inputs for Post Harvest and Complementary Crops Value Adding Process</t>
  </si>
  <si>
    <t>Total Supplies for Activity 4</t>
  </si>
  <si>
    <t>Office Expenses for Activity 4</t>
  </si>
  <si>
    <t xml:space="preserve">Banking and Cash Handling Fees </t>
  </si>
  <si>
    <t>Total Office Expenses for Activity 4</t>
  </si>
  <si>
    <t>Subtotal Direct Costs Activity 4</t>
  </si>
  <si>
    <t>Total Indirect Costs for Activity 4</t>
  </si>
  <si>
    <t>Grant Total of Agrosavia Subaward</t>
  </si>
  <si>
    <t>Detailed Quotes for Supplies</t>
  </si>
  <si>
    <t>Item Detail</t>
  </si>
  <si>
    <t>Price</t>
  </si>
  <si>
    <t>Tablet</t>
  </si>
  <si>
    <t>Microsoft Surface Pro 4 256 GB i7e with Surface Pen &amp; Cover</t>
  </si>
  <si>
    <t xml:space="preserve">Laptop </t>
  </si>
  <si>
    <t xml:space="preserve">Dell XPS 15 </t>
  </si>
  <si>
    <t>Laptop Bag, Accessories</t>
  </si>
  <si>
    <t>Mouse</t>
  </si>
  <si>
    <t xml:space="preserve">LCD Projector </t>
  </si>
  <si>
    <t>BenQ MH535FHD 1080P Projector with Ceiling Mount</t>
  </si>
  <si>
    <t>Extra Bulb, stand and accessories</t>
  </si>
  <si>
    <t>Color Laser Printer &amp; Scanner</t>
  </si>
  <si>
    <t>Dell Color Smart Multifunction Printer S2825cdn Color Laser</t>
  </si>
  <si>
    <t>Toners &amp; Accessories</t>
  </si>
  <si>
    <t xml:space="preserve">EpL Beneficiaries </t>
  </si>
  <si>
    <t>Totals</t>
  </si>
  <si>
    <t xml:space="preserve">Year 1 </t>
  </si>
  <si>
    <t xml:space="preserve">Year 2 </t>
  </si>
  <si>
    <t xml:space="preserve">Year 3 </t>
  </si>
  <si>
    <t>Frequency</t>
  </si>
  <si>
    <t xml:space="preserve">3x/week </t>
  </si>
  <si>
    <t xml:space="preserve"> 3x/week </t>
  </si>
  <si>
    <t xml:space="preserve">2x/week </t>
  </si>
  <si>
    <t xml:space="preserve">Choluteca </t>
  </si>
  <si>
    <t xml:space="preserve">Total Number of Child Beneficiaries </t>
  </si>
  <si>
    <t xml:space="preserve">Valle </t>
  </si>
  <si>
    <t>SPS Area</t>
  </si>
  <si>
    <t xml:space="preserve">EpE Beneficiaries </t>
  </si>
  <si>
    <t xml:space="preserve"> 5x/week </t>
  </si>
  <si>
    <t>5x/week</t>
  </si>
  <si>
    <t>EpL Classes</t>
  </si>
  <si>
    <t xml:space="preserve">Total Classes </t>
  </si>
  <si>
    <t># of Participants per Class</t>
  </si>
  <si>
    <t>If Blue and Green Use Same Trainers</t>
  </si>
  <si>
    <t>Class</t>
  </si>
  <si>
    <t>Total Number of Classes/Trainers</t>
  </si>
  <si>
    <t xml:space="preserve">Minium Number of Trainers Needed </t>
  </si>
  <si>
    <t>EpE Classes</t>
  </si>
  <si>
    <t xml:space="preserve">If Each Group Has Same Trainer </t>
  </si>
  <si>
    <t xml:space="preserve">EpLs Frequency </t>
  </si>
  <si>
    <t xml:space="preserve">Total </t>
  </si>
  <si>
    <t>TOTAL EpL HOURS (By Number of Classes)</t>
  </si>
  <si>
    <t>Number of Weeks</t>
  </si>
  <si>
    <t xml:space="preserve">Frequency (week) </t>
  </si>
  <si>
    <t xml:space="preserve">Hours per Session </t>
  </si>
  <si>
    <t>Training Hours</t>
  </si>
  <si>
    <t xml:space="preserve">EpLs </t>
  </si>
  <si>
    <t>EpL Program Total</t>
  </si>
  <si>
    <t xml:space="preserve">EpEs Frequency </t>
  </si>
  <si>
    <t>By Number of Classes</t>
  </si>
  <si>
    <t xml:space="preserve"> EpL Facilitator Stipend</t>
  </si>
  <si>
    <t xml:space="preserve">Cost Per Hour </t>
  </si>
  <si>
    <t xml:space="preserve">TOTAL </t>
  </si>
  <si>
    <t xml:space="preserve">First Year </t>
  </si>
  <si>
    <t>Faciliator Cost per EpL</t>
  </si>
  <si>
    <t>Second Year</t>
  </si>
  <si>
    <t xml:space="preserve">EpL Snack Costs Per Session </t>
  </si>
  <si>
    <t>Number of Classes</t>
  </si>
  <si>
    <t>Cost Per Class</t>
  </si>
  <si>
    <t>Snack Cost per EpL</t>
  </si>
  <si>
    <t xml:space="preserve"> EpE Facilitator Stipend</t>
  </si>
  <si>
    <t>Faciliator Cost per EpE</t>
  </si>
  <si>
    <t xml:space="preserve">EpE Snack Costs Per Session </t>
  </si>
  <si>
    <t>POSTDIFF-2</t>
  </si>
  <si>
    <t>POSTDIFF-1</t>
  </si>
  <si>
    <t>POSTDIFF-3</t>
  </si>
  <si>
    <t>POSTDIFF-4</t>
  </si>
  <si>
    <t>POSTDIFF-5</t>
  </si>
  <si>
    <t>POSTDIFF-6</t>
  </si>
  <si>
    <t>POSTDIFF-7</t>
  </si>
  <si>
    <t>POSTDIFF-8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</si>
</sst>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&quot;On&quot;;&quot;On&quot;;&quot;Off&quot;"/>
    <numFmt numFmtId="169" formatCode="_(* #,##0_);_(* \(#,##0\);_(* &quot;-&quot;??_);_(@_)"/>
    <numFmt numFmtId="170" formatCode="&quot;$&quot;#,##0.00"/>
    <numFmt numFmtId="171" formatCode="0.0%"/>
    <numFmt numFmtId="172" formatCode="_([$$-409]* #,##0.00_);_([$$-409]* \(#,##0.00\);_([$$-409]* &quot;-&quot;??_);_(@_)"/>
    <numFmt numFmtId="173" formatCode="_(&quot;$&quot;* #,##0_);_(&quot;$&quot;* \(#,##0\);_(&quot;$&quot;* &quot;-&quot;??_);_(@_)"/>
    <numFmt numFmtId="174" formatCode="_([$$-409]* #,##0_);_([$$-409]* \(#,##0\);_([$$-409]* &quot;-&quot;??_);_(@_)"/>
    <numFmt numFmtId="175" formatCode="&quot;$&quot;#,##0"/>
    <numFmt numFmtId="176" formatCode="\$#,##0.00;\$#,##0.00"/>
    <numFmt numFmtId="177" formatCode="\$###0.00;\$###0.00"/>
    <numFmt numFmtId="178" formatCode="0_)"/>
    <numFmt numFmtId="179" formatCode="_([$€-2]* #,##0.00_);_([$€-2]* \(#,##0.00\);_([$€-2]* &quot;-&quot;??_)"/>
    <numFmt numFmtId="180" formatCode="00\-0000\-00\-0000\-000"/>
    <numFmt numFmtId="181" formatCode="#,##0."/>
    <numFmt numFmtId="182" formatCode="#,###,##0.00;\(#,###,##0.00\)"/>
    <numFmt numFmtId="183" formatCode="&quot;$&quot;#,###,##0.00;\(&quot;$&quot;#,###,##0.00\)"/>
    <numFmt numFmtId="184" formatCode="#,##0.00%;\(#,##0.00%\)"/>
    <numFmt numFmtId="185" formatCode="mm/dd/yy"/>
    <numFmt numFmtId="186" formatCode="#,##0;#,##0;;"/>
    <numFmt numFmtId="187" formatCode="0.00_)"/>
    <numFmt numFmtId="188" formatCode="General_)"/>
    <numFmt numFmtId="189" formatCode="#,##0.000_);[Red]\(#,##0.000\)"/>
    <numFmt numFmtId="190" formatCode="&quot;FY94P&quot;#"/>
    <numFmt numFmtId="191" formatCode="00\-0000\-00\-0000"/>
    <numFmt numFmtId="192" formatCode="_(* #,##0,_);_(* \(#,##0,\);_(@_)"/>
    <numFmt numFmtId="193" formatCode="_(* #,##0.00_);[Red]_(* \(#,##0.00\);_(* &quot;-&quot;??_);_(@_)"/>
    <numFmt numFmtId="194" formatCode="_-* #,##0.0\ _B_s_-;\-* #,##0.0\ _B_s_-;_-* &quot;-&quot;??\ _B_s_-;_-@_-"/>
    <numFmt numFmtId="195" formatCode="0.000%"/>
  </numFmts>
  <fonts count="1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2"/>
      <color indexed="8"/>
      <name val="Times New Roman"/>
      <family val="1"/>
    </font>
    <font>
      <sz val="12"/>
      <name val="Arial"/>
      <family val="2"/>
    </font>
    <font>
      <sz val="9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4"/>
      <color indexed="8"/>
      <name val="Arial"/>
      <family val="2"/>
    </font>
    <font>
      <sz val="11"/>
      <name val="Arial"/>
      <family val="2"/>
    </font>
    <font>
      <sz val="10"/>
      <name val="Arial"/>
      <family val="2"/>
      <charset val="204"/>
    </font>
    <font>
      <sz val="12"/>
      <name val="Times New Roman"/>
      <family val="1"/>
    </font>
    <font>
      <sz val="11"/>
      <name val="Arial"/>
      <family val="2"/>
      <charset val="204"/>
    </font>
    <font>
      <sz val="10"/>
      <name val="Helv"/>
    </font>
    <font>
      <sz val="1"/>
      <color indexed="8"/>
      <name val="Courier"/>
      <family val="3"/>
    </font>
    <font>
      <i/>
      <sz val="9"/>
      <name val="Helv"/>
    </font>
    <font>
      <sz val="10"/>
      <name val="MS Sans Serif"/>
      <family val="2"/>
    </font>
    <font>
      <sz val="12"/>
      <color indexed="24"/>
      <name val="Arial"/>
      <family val="2"/>
    </font>
    <font>
      <sz val="10"/>
      <color indexed="0"/>
      <name val="Arial"/>
      <family val="2"/>
    </font>
    <font>
      <sz val="9"/>
      <name val="Tms Rmn"/>
    </font>
    <font>
      <sz val="12"/>
      <name val="Tms Rmn"/>
    </font>
    <font>
      <u/>
      <sz val="6"/>
      <color indexed="12"/>
      <name val="Helv"/>
    </font>
    <font>
      <u/>
      <sz val="7"/>
      <color indexed="12"/>
      <name val="Helv"/>
    </font>
    <font>
      <sz val="10"/>
      <name val="Times New Roman"/>
      <family val="1"/>
    </font>
    <font>
      <sz val="12"/>
      <name val="Helv"/>
    </font>
    <font>
      <sz val="9"/>
      <name val="Helv"/>
    </font>
    <font>
      <b/>
      <i/>
      <sz val="16"/>
      <name val="Helv"/>
    </font>
    <font>
      <b/>
      <sz val="10"/>
      <name val="MS Sans Serif"/>
      <family val="2"/>
    </font>
    <font>
      <sz val="10"/>
      <name val="Arial MT"/>
    </font>
    <font>
      <b/>
      <i/>
      <sz val="10"/>
      <color indexed="8"/>
      <name val="Times New Roman"/>
      <family val="1"/>
    </font>
    <font>
      <sz val="10"/>
      <color indexed="12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2"/>
      <name val="Calibri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Helv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name val="Times New Roman"/>
      <family val="1"/>
    </font>
    <font>
      <b/>
      <sz val="11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i/>
      <u/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indexed="9"/>
      <name val="Times New Roman"/>
      <family val="1"/>
    </font>
    <font>
      <i/>
      <sz val="10"/>
      <name val="Times New Roman"/>
      <family val="1"/>
    </font>
    <font>
      <u/>
      <sz val="10"/>
      <name val="Times New Roman"/>
      <family val="1"/>
    </font>
    <font>
      <b/>
      <i/>
      <sz val="11"/>
      <name val="Times New Roman"/>
      <family val="1"/>
    </font>
    <font>
      <b/>
      <i/>
      <u/>
      <sz val="10"/>
      <name val="Times New Roman"/>
      <family val="1"/>
    </font>
    <font>
      <sz val="10"/>
      <color indexed="10"/>
      <name val="Times New Roman"/>
      <family val="1"/>
    </font>
    <font>
      <b/>
      <sz val="14"/>
      <color theme="1"/>
      <name val="Calibri"/>
      <family val="2"/>
      <scheme val="minor"/>
    </font>
    <font>
      <sz val="8"/>
      <name val="Arial"/>
      <family val="2"/>
    </font>
    <font>
      <b/>
      <i/>
      <sz val="10"/>
      <color theme="5" tint="-0.249977111117893"/>
      <name val="Times New Roman"/>
      <family val="1"/>
    </font>
    <font>
      <i/>
      <sz val="10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8"/>
      <name val="Arial"/>
      <family val="2"/>
    </font>
    <font>
      <b/>
      <sz val="11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lightUp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6799"/>
        <bgColor indexed="64"/>
      </patternFill>
    </fill>
    <fill>
      <patternFill patternType="solid">
        <fgColor theme="9" tint="0.59999389629810485"/>
        <bgColor indexed="2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0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>
      <left style="thin">
        <color rgb="FFA09D94"/>
      </left>
      <right/>
      <top style="thin">
        <color rgb="FF424242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 style="thin">
        <color rgb="FF424242"/>
      </bottom>
      <diagonal/>
    </border>
    <border>
      <left/>
      <right/>
      <top style="thin">
        <color rgb="FF424242"/>
      </top>
      <bottom/>
      <diagonal/>
    </border>
    <border>
      <left style="thin">
        <color rgb="FF424242"/>
      </left>
      <right/>
      <top/>
      <bottom style="thin">
        <color rgb="FF424242"/>
      </bottom>
      <diagonal/>
    </border>
    <border>
      <left style="thin">
        <color rgb="FFA09D94"/>
      </left>
      <right/>
      <top/>
      <bottom style="thin">
        <color rgb="FF424242"/>
      </bottom>
      <diagonal/>
    </border>
    <border>
      <left style="thin">
        <color rgb="FF424242"/>
      </left>
      <right style="thin">
        <color indexed="64"/>
      </right>
      <top style="thin">
        <color rgb="FF424242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/>
      <bottom style="thin">
        <color rgb="FF424242"/>
      </bottom>
      <diagonal/>
    </border>
    <border>
      <left style="thin">
        <color indexed="64"/>
      </left>
      <right style="thin">
        <color rgb="FFAFAFAF"/>
      </right>
      <top style="thin">
        <color rgb="FFA09D94"/>
      </top>
      <bottom style="thin">
        <color indexed="64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AFAFAF"/>
      </bottom>
      <diagonal/>
    </border>
    <border>
      <left style="thin">
        <color rgb="FF424242"/>
      </left>
      <right style="thin">
        <color rgb="FFAFAFAF"/>
      </right>
      <top style="thin">
        <color rgb="FF424242"/>
      </top>
      <bottom style="thin">
        <color rgb="FF424242"/>
      </bottom>
      <diagonal/>
    </border>
    <border>
      <left/>
      <right/>
      <top/>
      <bottom style="thin">
        <color rgb="FF424242"/>
      </bottom>
      <diagonal/>
    </border>
    <border>
      <left/>
      <right/>
      <top style="thin">
        <color rgb="FF424242"/>
      </top>
      <bottom style="thin">
        <color rgb="FF424242"/>
      </bottom>
      <diagonal/>
    </border>
    <border>
      <left/>
      <right/>
      <top style="thin">
        <color rgb="FFAFAFAF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/>
      <diagonal/>
    </border>
    <border>
      <left/>
      <right/>
      <top style="thin">
        <color rgb="FF424242"/>
      </top>
      <bottom style="thin">
        <color rgb="FFAFAFAF"/>
      </bottom>
      <diagonal/>
    </border>
    <border>
      <left/>
      <right style="thin">
        <color rgb="FFAFAFAF"/>
      </right>
      <top style="thin">
        <color rgb="FFAFAFAF"/>
      </top>
      <bottom style="thin">
        <color rgb="FFAFAFA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FAFAF"/>
      </right>
      <top style="thin">
        <color rgb="FF424242"/>
      </top>
      <bottom/>
      <diagonal/>
    </border>
    <border>
      <left/>
      <right style="thin">
        <color rgb="FF424242"/>
      </right>
      <top style="thin">
        <color rgb="FF424242"/>
      </top>
      <bottom/>
      <diagonal/>
    </border>
    <border>
      <left style="thin">
        <color rgb="FFA09D94"/>
      </left>
      <right/>
      <top style="thin">
        <color rgb="FFA09D94"/>
      </top>
      <bottom style="thin">
        <color rgb="FFA09D94"/>
      </bottom>
      <diagonal/>
    </border>
    <border>
      <left/>
      <right/>
      <top style="thin">
        <color rgb="FFA09D94"/>
      </top>
      <bottom style="thin">
        <color rgb="FFA09D94"/>
      </bottom>
      <diagonal/>
    </border>
    <border>
      <left/>
      <right style="thin">
        <color rgb="FFA09D94"/>
      </right>
      <top style="thin">
        <color rgb="FFA09D94"/>
      </top>
      <bottom style="thin">
        <color rgb="FFA09D94"/>
      </bottom>
      <diagonal/>
    </border>
    <border>
      <left style="thin">
        <color rgb="FFAFAFAF"/>
      </left>
      <right/>
      <top style="thin">
        <color rgb="FFAFAFAF"/>
      </top>
      <bottom style="thin">
        <color rgb="FFAFAFAF"/>
      </bottom>
      <diagonal/>
    </border>
    <border>
      <left/>
      <right/>
      <top style="thin">
        <color rgb="FFAFAFAF"/>
      </top>
      <bottom style="thin">
        <color rgb="FFAFAFA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21">
    <xf numFmtId="0" fontId="0" fillId="0" borderId="0"/>
    <xf numFmtId="179" fontId="68" fillId="30" borderId="0" applyNumberFormat="0" applyBorder="0" applyAlignment="0" applyProtection="0"/>
    <xf numFmtId="179" fontId="68" fillId="31" borderId="0" applyNumberFormat="0" applyBorder="0" applyAlignment="0" applyProtection="0"/>
    <xf numFmtId="179" fontId="68" fillId="32" borderId="0" applyNumberFormat="0" applyBorder="0" applyAlignment="0" applyProtection="0"/>
    <xf numFmtId="179" fontId="15" fillId="4" borderId="0" applyNumberFormat="0" applyBorder="0" applyAlignment="0" applyProtection="0"/>
    <xf numFmtId="179" fontId="68" fillId="33" borderId="0" applyNumberFormat="0" applyBorder="0" applyAlignment="0" applyProtection="0"/>
    <xf numFmtId="179" fontId="68" fillId="34" borderId="0" applyNumberFormat="0" applyBorder="0" applyAlignment="0" applyProtection="0"/>
    <xf numFmtId="179" fontId="68" fillId="35" borderId="0" applyNumberFormat="0" applyBorder="0" applyAlignment="0" applyProtection="0"/>
    <xf numFmtId="179" fontId="26" fillId="6" borderId="0" applyNumberFormat="0" applyBorder="0" applyAlignment="0" applyProtection="0">
      <alignment vertical="center"/>
    </xf>
    <xf numFmtId="179" fontId="26" fillId="7" borderId="0" applyNumberFormat="0" applyBorder="0" applyAlignment="0" applyProtection="0">
      <alignment vertical="center"/>
    </xf>
    <xf numFmtId="179" fontId="26" fillId="8" borderId="0" applyNumberFormat="0" applyBorder="0" applyAlignment="0" applyProtection="0">
      <alignment vertical="center"/>
    </xf>
    <xf numFmtId="179" fontId="26" fillId="4" borderId="0" applyNumberFormat="0" applyBorder="0" applyAlignment="0" applyProtection="0">
      <alignment vertical="center"/>
    </xf>
    <xf numFmtId="179" fontId="26" fillId="5" borderId="0" applyNumberFormat="0" applyBorder="0" applyAlignment="0" applyProtection="0">
      <alignment vertical="center"/>
    </xf>
    <xf numFmtId="179" fontId="26" fillId="2" borderId="0" applyNumberFormat="0" applyBorder="0" applyAlignment="0" applyProtection="0">
      <alignment vertical="center"/>
    </xf>
    <xf numFmtId="179" fontId="68" fillId="36" borderId="0" applyNumberFormat="0" applyBorder="0" applyAlignment="0" applyProtection="0"/>
    <xf numFmtId="179" fontId="68" fillId="37" borderId="0" applyNumberFormat="0" applyBorder="0" applyAlignment="0" applyProtection="0"/>
    <xf numFmtId="179" fontId="68" fillId="38" borderId="0" applyNumberFormat="0" applyBorder="0" applyAlignment="0" applyProtection="0"/>
    <xf numFmtId="179" fontId="68" fillId="39" borderId="0" applyNumberFormat="0" applyBorder="0" applyAlignment="0" applyProtection="0"/>
    <xf numFmtId="179" fontId="68" fillId="40" borderId="0" applyNumberFormat="0" applyBorder="0" applyAlignment="0" applyProtection="0"/>
    <xf numFmtId="179" fontId="68" fillId="41" borderId="0" applyNumberFormat="0" applyBorder="0" applyAlignment="0" applyProtection="0"/>
    <xf numFmtId="179" fontId="26" fillId="12" borderId="0" applyNumberFormat="0" applyBorder="0" applyAlignment="0" applyProtection="0">
      <alignment vertical="center"/>
    </xf>
    <xf numFmtId="179" fontId="26" fillId="10" borderId="0" applyNumberFormat="0" applyBorder="0" applyAlignment="0" applyProtection="0">
      <alignment vertical="center"/>
    </xf>
    <xf numFmtId="179" fontId="26" fillId="13" borderId="0" applyNumberFormat="0" applyBorder="0" applyAlignment="0" applyProtection="0">
      <alignment vertical="center"/>
    </xf>
    <xf numFmtId="179" fontId="26" fillId="4" borderId="0" applyNumberFormat="0" applyBorder="0" applyAlignment="0" applyProtection="0">
      <alignment vertical="center"/>
    </xf>
    <xf numFmtId="179" fontId="26" fillId="12" borderId="0" applyNumberFormat="0" applyBorder="0" applyAlignment="0" applyProtection="0">
      <alignment vertical="center"/>
    </xf>
    <xf numFmtId="179" fontId="26" fillId="14" borderId="0" applyNumberFormat="0" applyBorder="0" applyAlignment="0" applyProtection="0">
      <alignment vertical="center"/>
    </xf>
    <xf numFmtId="179" fontId="69" fillId="42" borderId="0" applyNumberFormat="0" applyBorder="0" applyAlignment="0" applyProtection="0"/>
    <xf numFmtId="179" fontId="69" fillId="43" borderId="0" applyNumberFormat="0" applyBorder="0" applyAlignment="0" applyProtection="0"/>
    <xf numFmtId="179" fontId="69" fillId="44" borderId="0" applyNumberFormat="0" applyBorder="0" applyAlignment="0" applyProtection="0"/>
    <xf numFmtId="179" fontId="69" fillId="45" borderId="0" applyNumberFormat="0" applyBorder="0" applyAlignment="0" applyProtection="0"/>
    <xf numFmtId="179" fontId="69" fillId="46" borderId="0" applyNumberFormat="0" applyBorder="0" applyAlignment="0" applyProtection="0"/>
    <xf numFmtId="179" fontId="69" fillId="47" borderId="0" applyNumberFormat="0" applyBorder="0" applyAlignment="0" applyProtection="0"/>
    <xf numFmtId="179" fontId="27" fillId="16" borderId="0" applyNumberFormat="0" applyBorder="0" applyAlignment="0" applyProtection="0">
      <alignment vertical="center"/>
    </xf>
    <xf numFmtId="179" fontId="27" fillId="10" borderId="0" applyNumberFormat="0" applyBorder="0" applyAlignment="0" applyProtection="0">
      <alignment vertical="center"/>
    </xf>
    <xf numFmtId="179" fontId="27" fillId="13" borderId="0" applyNumberFormat="0" applyBorder="0" applyAlignment="0" applyProtection="0">
      <alignment vertical="center"/>
    </xf>
    <xf numFmtId="179" fontId="27" fillId="17" borderId="0" applyNumberFormat="0" applyBorder="0" applyAlignment="0" applyProtection="0">
      <alignment vertical="center"/>
    </xf>
    <xf numFmtId="179" fontId="27" fillId="15" borderId="0" applyNumberFormat="0" applyBorder="0" applyAlignment="0" applyProtection="0">
      <alignment vertical="center"/>
    </xf>
    <xf numFmtId="179" fontId="27" fillId="18" borderId="0" applyNumberFormat="0" applyBorder="0" applyAlignment="0" applyProtection="0">
      <alignment vertical="center"/>
    </xf>
    <xf numFmtId="179" fontId="69" fillId="48" borderId="0" applyNumberFormat="0" applyBorder="0" applyAlignment="0" applyProtection="0"/>
    <xf numFmtId="179" fontId="16" fillId="19" borderId="0" applyNumberFormat="0" applyBorder="0" applyAlignment="0" applyProtection="0"/>
    <xf numFmtId="179" fontId="69" fillId="49" borderId="0" applyNumberFormat="0" applyBorder="0" applyAlignment="0" applyProtection="0"/>
    <xf numFmtId="179" fontId="69" fillId="50" borderId="0" applyNumberFormat="0" applyBorder="0" applyAlignment="0" applyProtection="0"/>
    <xf numFmtId="179" fontId="69" fillId="51" borderId="0" applyNumberFormat="0" applyBorder="0" applyAlignment="0" applyProtection="0"/>
    <xf numFmtId="179" fontId="69" fillId="52" borderId="0" applyNumberFormat="0" applyBorder="0" applyAlignment="0" applyProtection="0"/>
    <xf numFmtId="179" fontId="69" fillId="53" borderId="0" applyNumberFormat="0" applyBorder="0" applyAlignment="0" applyProtection="0"/>
    <xf numFmtId="3" fontId="24" fillId="0" borderId="0" applyNumberFormat="0" applyFill="0" applyBorder="0" applyAlignment="0" applyProtection="0"/>
    <xf numFmtId="3" fontId="28" fillId="0" borderId="0" applyNumberFormat="0" applyFill="0" applyBorder="0" applyAlignment="0" applyProtection="0"/>
    <xf numFmtId="180" fontId="7" fillId="0" borderId="0" applyFont="0" applyFill="0" applyBorder="0" applyAlignment="0" applyProtection="0"/>
    <xf numFmtId="179" fontId="70" fillId="54" borderId="0" applyNumberFormat="0" applyBorder="0" applyAlignment="0" applyProtection="0"/>
    <xf numFmtId="179" fontId="71" fillId="55" borderId="45" applyNumberFormat="0" applyAlignment="0" applyProtection="0"/>
    <xf numFmtId="179" fontId="17" fillId="21" borderId="2" applyNumberFormat="0" applyAlignment="0" applyProtection="0"/>
    <xf numFmtId="179" fontId="72" fillId="56" borderId="46" applyNumberFormat="0" applyAlignment="0" applyProtection="0"/>
    <xf numFmtId="166" fontId="6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79" fontId="33" fillId="0" borderId="0"/>
    <xf numFmtId="179" fontId="33" fillId="0" borderId="0"/>
    <xf numFmtId="3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81" fontId="34" fillId="0" borderId="0">
      <protection locked="0"/>
    </xf>
    <xf numFmtId="179" fontId="33" fillId="0" borderId="0"/>
    <xf numFmtId="179" fontId="33" fillId="0" borderId="0"/>
    <xf numFmtId="179" fontId="33" fillId="0" borderId="0"/>
    <xf numFmtId="179" fontId="33" fillId="0" borderId="0"/>
    <xf numFmtId="179" fontId="33" fillId="0" borderId="0"/>
    <xf numFmtId="179" fontId="33" fillId="0" borderId="0"/>
    <xf numFmtId="165" fontId="6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5" fontId="8" fillId="0" borderId="0" applyFont="0" applyFill="0" applyBorder="0" applyAlignment="0" applyProtection="0"/>
    <xf numFmtId="1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22" fontId="8" fillId="0" borderId="0" applyFont="0" applyFill="0" applyBorder="0" applyAlignment="0" applyProtection="0"/>
    <xf numFmtId="179" fontId="35" fillId="0" borderId="0">
      <alignment horizontal="left" vertical="top" wrapText="1"/>
    </xf>
    <xf numFmtId="7" fontId="3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73" fillId="0" borderId="0" applyNumberFormat="0" applyFill="0" applyBorder="0" applyAlignment="0" applyProtection="0"/>
    <xf numFmtId="179" fontId="37" fillId="0" borderId="0" applyProtection="0"/>
    <xf numFmtId="179" fontId="37" fillId="0" borderId="0" applyProtection="0"/>
    <xf numFmtId="179" fontId="37" fillId="0" borderId="0" applyProtection="0"/>
    <xf numFmtId="179" fontId="37" fillId="0" borderId="0" applyProtection="0"/>
    <xf numFmtId="179" fontId="37" fillId="0" borderId="0" applyProtection="0"/>
    <xf numFmtId="179" fontId="37" fillId="0" borderId="0" applyProtection="0"/>
    <xf numFmtId="179" fontId="37" fillId="0" borderId="0" applyProtection="0"/>
    <xf numFmtId="2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182" fontId="38" fillId="0" borderId="0"/>
    <xf numFmtId="183" fontId="38" fillId="0" borderId="0"/>
    <xf numFmtId="184" fontId="38" fillId="0" borderId="0"/>
    <xf numFmtId="179" fontId="18" fillId="8" borderId="0" applyNumberFormat="0" applyBorder="0" applyAlignment="0" applyProtection="0"/>
    <xf numFmtId="0" fontId="74" fillId="57" borderId="0" applyNumberFormat="0" applyBorder="0" applyAlignment="0" applyProtection="0"/>
    <xf numFmtId="179" fontId="74" fillId="57" borderId="0" applyNumberFormat="0" applyBorder="0" applyAlignment="0" applyProtection="0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179" fontId="39" fillId="22" borderId="3"/>
    <xf numFmtId="38" fontId="7" fillId="23" borderId="0" applyNumberFormat="0" applyBorder="0" applyAlignment="0" applyProtection="0"/>
    <xf numFmtId="1" fontId="40" fillId="0" borderId="4" applyBorder="0">
      <protection locked="0"/>
    </xf>
    <xf numFmtId="179" fontId="25" fillId="0" borderId="5" applyNumberFormat="0" applyAlignment="0" applyProtection="0">
      <alignment horizontal="left" vertical="center"/>
    </xf>
    <xf numFmtId="179" fontId="25" fillId="0" borderId="6">
      <alignment horizontal="left" vertical="center"/>
    </xf>
    <xf numFmtId="179" fontId="25" fillId="0" borderId="6">
      <alignment horizontal="left" vertical="center"/>
    </xf>
    <xf numFmtId="179" fontId="25" fillId="0" borderId="6">
      <alignment horizontal="left" vertical="center"/>
    </xf>
    <xf numFmtId="179" fontId="25" fillId="0" borderId="6">
      <alignment horizontal="left" vertical="center"/>
    </xf>
    <xf numFmtId="179" fontId="25" fillId="0" borderId="6">
      <alignment horizontal="left" vertical="center"/>
    </xf>
    <xf numFmtId="179" fontId="25" fillId="0" borderId="6">
      <alignment horizontal="left" vertical="center"/>
    </xf>
    <xf numFmtId="179" fontId="25" fillId="0" borderId="6">
      <alignment horizontal="left" vertical="center"/>
    </xf>
    <xf numFmtId="179" fontId="25" fillId="0" borderId="6">
      <alignment horizontal="left" vertical="center"/>
    </xf>
    <xf numFmtId="179" fontId="25" fillId="0" borderId="6">
      <alignment horizontal="left" vertical="center"/>
    </xf>
    <xf numFmtId="179" fontId="25" fillId="0" borderId="6">
      <alignment horizontal="left" vertical="center"/>
    </xf>
    <xf numFmtId="179" fontId="25" fillId="0" borderId="6">
      <alignment horizontal="left" vertical="center"/>
    </xf>
    <xf numFmtId="179" fontId="75" fillId="0" borderId="47" applyNumberFormat="0" applyFill="0" applyAlignment="0" applyProtection="0"/>
    <xf numFmtId="179" fontId="76" fillId="0" borderId="48" applyNumberFormat="0" applyFill="0" applyAlignment="0" applyProtection="0"/>
    <xf numFmtId="179" fontId="77" fillId="0" borderId="49" applyNumberFormat="0" applyFill="0" applyAlignment="0" applyProtection="0"/>
    <xf numFmtId="179" fontId="77" fillId="0" borderId="0" applyNumberFormat="0" applyFill="0" applyBorder="0" applyAlignment="0" applyProtection="0"/>
    <xf numFmtId="179" fontId="37" fillId="0" borderId="0" applyProtection="0"/>
    <xf numFmtId="179" fontId="37" fillId="0" borderId="0" applyProtection="0"/>
    <xf numFmtId="179" fontId="78" fillId="0" borderId="0" applyNumberFormat="0" applyFill="0" applyBorder="0" applyAlignment="0" applyProtection="0"/>
    <xf numFmtId="179" fontId="41" fillId="0" borderId="0" applyNumberFormat="0" applyFill="0" applyBorder="0" applyAlignment="0" applyProtection="0">
      <alignment vertical="top"/>
      <protection locked="0"/>
    </xf>
    <xf numFmtId="179" fontId="41" fillId="0" borderId="0" applyNumberFormat="0" applyFill="0" applyBorder="0" applyAlignment="0" applyProtection="0">
      <alignment vertical="top"/>
      <protection locked="0"/>
    </xf>
    <xf numFmtId="179" fontId="42" fillId="0" borderId="0" applyNumberFormat="0" applyFill="0" applyBorder="0" applyAlignment="0" applyProtection="0">
      <alignment vertical="top"/>
      <protection locked="0"/>
    </xf>
    <xf numFmtId="179" fontId="42" fillId="0" borderId="0" applyNumberFormat="0" applyFill="0" applyBorder="0" applyAlignment="0" applyProtection="0">
      <alignment vertical="top"/>
      <protection locked="0"/>
    </xf>
    <xf numFmtId="179" fontId="42" fillId="0" borderId="0" applyNumberFormat="0" applyFill="0" applyBorder="0" applyAlignment="0" applyProtection="0">
      <alignment vertical="top"/>
      <protection locked="0"/>
    </xf>
    <xf numFmtId="179" fontId="42" fillId="0" borderId="0" applyNumberFormat="0" applyFill="0" applyBorder="0" applyAlignment="0" applyProtection="0">
      <alignment vertical="top"/>
      <protection locked="0"/>
    </xf>
    <xf numFmtId="179" fontId="42" fillId="0" borderId="0" applyNumberFormat="0" applyFill="0" applyBorder="0" applyAlignment="0" applyProtection="0">
      <alignment vertical="top"/>
      <protection locked="0"/>
    </xf>
    <xf numFmtId="179" fontId="79" fillId="0" borderId="0" applyNumberFormat="0" applyFill="0" applyBorder="0" applyAlignment="0" applyProtection="0">
      <alignment vertical="top"/>
      <protection locked="0"/>
    </xf>
    <xf numFmtId="179" fontId="80" fillId="0" borderId="0" applyNumberFormat="0" applyFill="0" applyBorder="0" applyAlignment="0" applyProtection="0">
      <alignment vertical="top"/>
      <protection locked="0"/>
    </xf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0" fontId="7" fillId="24" borderId="3" applyNumberFormat="0" applyBorder="0" applyAlignment="0" applyProtection="0"/>
    <xf numFmtId="179" fontId="81" fillId="58" borderId="45" applyNumberFormat="0" applyAlignment="0" applyProtection="0"/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8" fillId="25" borderId="3" applyFont="0" applyFill="0" applyBorder="0" applyAlignment="0" applyProtection="0">
      <alignment horizontal="center"/>
      <protection locked="0"/>
    </xf>
    <xf numFmtId="179" fontId="19" fillId="0" borderId="8" applyNumberFormat="0" applyFill="0" applyAlignment="0" applyProtection="0"/>
    <xf numFmtId="179" fontId="82" fillId="0" borderId="50" applyNumberFormat="0" applyFill="0" applyAlignment="0" applyProtection="0"/>
    <xf numFmtId="179" fontId="43" fillId="23" borderId="0" applyNumberFormat="0" applyBorder="0" applyAlignment="0"/>
    <xf numFmtId="14" fontId="44" fillId="0" borderId="0" applyFont="0" applyFill="0" applyBorder="0" applyAlignment="0" applyProtection="0"/>
    <xf numFmtId="185" fontId="44" fillId="0" borderId="0" applyFont="0" applyFill="0" applyBorder="0" applyAlignment="0" applyProtection="0"/>
    <xf numFmtId="186" fontId="45" fillId="0" borderId="0" applyFont="0" applyFill="0" applyBorder="0"/>
    <xf numFmtId="179" fontId="20" fillId="11" borderId="0" applyNumberFormat="0" applyBorder="0" applyAlignment="0" applyProtection="0"/>
    <xf numFmtId="179" fontId="83" fillId="59" borderId="0" applyNumberFormat="0" applyBorder="0" applyAlignment="0" applyProtection="0"/>
    <xf numFmtId="187" fontId="46" fillId="0" borderId="0"/>
    <xf numFmtId="179" fontId="68" fillId="0" borderId="0"/>
    <xf numFmtId="178" fontId="22" fillId="0" borderId="0"/>
    <xf numFmtId="0" fontId="8" fillId="0" borderId="0"/>
    <xf numFmtId="179" fontId="68" fillId="0" borderId="0"/>
    <xf numFmtId="179" fontId="8" fillId="0" borderId="0">
      <alignment horizontal="left"/>
    </xf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0" fontId="10" fillId="0" borderId="0"/>
    <xf numFmtId="179" fontId="30" fillId="0" borderId="0"/>
    <xf numFmtId="179" fontId="30" fillId="0" borderId="0"/>
    <xf numFmtId="179" fontId="30" fillId="0" borderId="0"/>
    <xf numFmtId="179" fontId="30" fillId="0" borderId="0"/>
    <xf numFmtId="179" fontId="30" fillId="0" borderId="0"/>
    <xf numFmtId="179" fontId="30" fillId="0" borderId="0"/>
    <xf numFmtId="179" fontId="30" fillId="0" borderId="0"/>
    <xf numFmtId="179" fontId="30" fillId="0" borderId="0"/>
    <xf numFmtId="179" fontId="31" fillId="0" borderId="0"/>
    <xf numFmtId="178" fontId="22" fillId="0" borderId="0"/>
    <xf numFmtId="0" fontId="8" fillId="0" borderId="0"/>
    <xf numFmtId="168" fontId="33" fillId="0" borderId="0"/>
    <xf numFmtId="0" fontId="68" fillId="0" borderId="0"/>
    <xf numFmtId="179" fontId="30" fillId="0" borderId="0"/>
    <xf numFmtId="179" fontId="8" fillId="0" borderId="0">
      <alignment wrapText="1"/>
    </xf>
    <xf numFmtId="0" fontId="8" fillId="0" borderId="0"/>
    <xf numFmtId="179" fontId="8" fillId="0" borderId="0"/>
    <xf numFmtId="179" fontId="30" fillId="0" borderId="0"/>
    <xf numFmtId="179" fontId="43" fillId="0" borderId="0"/>
    <xf numFmtId="179" fontId="30" fillId="0" borderId="0"/>
    <xf numFmtId="179" fontId="30" fillId="0" borderId="0"/>
    <xf numFmtId="179" fontId="30" fillId="0" borderId="0"/>
    <xf numFmtId="179" fontId="30" fillId="0" borderId="0"/>
    <xf numFmtId="179" fontId="30" fillId="0" borderId="0"/>
    <xf numFmtId="179" fontId="30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30" fillId="0" borderId="0"/>
    <xf numFmtId="179" fontId="8" fillId="0" borderId="0"/>
    <xf numFmtId="179" fontId="8" fillId="0" borderId="0"/>
    <xf numFmtId="0" fontId="8" fillId="0" borderId="0"/>
    <xf numFmtId="175" fontId="33" fillId="0" borderId="0"/>
    <xf numFmtId="0" fontId="8" fillId="0" borderId="0"/>
    <xf numFmtId="179" fontId="8" fillId="0" borderId="0"/>
    <xf numFmtId="179" fontId="8" fillId="0" borderId="0"/>
    <xf numFmtId="179" fontId="8" fillId="0" borderId="0">
      <alignment horizontal="left"/>
    </xf>
    <xf numFmtId="179" fontId="8" fillId="0" borderId="0"/>
    <xf numFmtId="179" fontId="8" fillId="0" borderId="0"/>
    <xf numFmtId="179" fontId="8" fillId="0" borderId="0"/>
    <xf numFmtId="179" fontId="8" fillId="0" borderId="0">
      <alignment wrapText="1"/>
    </xf>
    <xf numFmtId="0" fontId="68" fillId="0" borderId="0"/>
    <xf numFmtId="193" fontId="66" fillId="0" borderId="0" applyBorder="0"/>
    <xf numFmtId="0" fontId="8" fillId="0" borderId="0"/>
    <xf numFmtId="179" fontId="68" fillId="0" borderId="0"/>
    <xf numFmtId="0" fontId="68" fillId="0" borderId="0"/>
    <xf numFmtId="179" fontId="68" fillId="0" borderId="0"/>
    <xf numFmtId="0" fontId="67" fillId="0" borderId="0"/>
    <xf numFmtId="179" fontId="8" fillId="0" borderId="0"/>
    <xf numFmtId="179" fontId="30" fillId="0" borderId="0"/>
    <xf numFmtId="179" fontId="30" fillId="0" borderId="0"/>
    <xf numFmtId="179" fontId="8" fillId="0" borderId="0"/>
    <xf numFmtId="179" fontId="8" fillId="0" borderId="0"/>
    <xf numFmtId="178" fontId="22" fillId="0" borderId="0"/>
    <xf numFmtId="179" fontId="8" fillId="0" borderId="0"/>
    <xf numFmtId="188" fontId="33" fillId="0" borderId="0"/>
    <xf numFmtId="179" fontId="68" fillId="0" borderId="0"/>
    <xf numFmtId="179" fontId="68" fillId="0" borderId="0"/>
    <xf numFmtId="179" fontId="68" fillId="0" borderId="0"/>
    <xf numFmtId="179" fontId="68" fillId="0" borderId="0"/>
    <xf numFmtId="179" fontId="15" fillId="0" borderId="0"/>
    <xf numFmtId="179" fontId="68" fillId="0" borderId="0"/>
    <xf numFmtId="179" fontId="68" fillId="0" borderId="0"/>
    <xf numFmtId="179" fontId="15" fillId="0" borderId="0"/>
    <xf numFmtId="179" fontId="68" fillId="0" borderId="0"/>
    <xf numFmtId="179" fontId="68" fillId="0" borderId="0"/>
    <xf numFmtId="0" fontId="8" fillId="0" borderId="0"/>
    <xf numFmtId="179" fontId="15" fillId="0" borderId="0"/>
    <xf numFmtId="178" fontId="22" fillId="0" borderId="0"/>
    <xf numFmtId="179" fontId="84" fillId="0" borderId="0"/>
    <xf numFmtId="179" fontId="8" fillId="0" borderId="0"/>
    <xf numFmtId="179" fontId="68" fillId="0" borderId="0"/>
    <xf numFmtId="188" fontId="33" fillId="0" borderId="0"/>
    <xf numFmtId="179" fontId="68" fillId="0" borderId="0"/>
    <xf numFmtId="179" fontId="15" fillId="0" borderId="0"/>
    <xf numFmtId="178" fontId="22" fillId="0" borderId="0"/>
    <xf numFmtId="179" fontId="85" fillId="0" borderId="0"/>
    <xf numFmtId="179" fontId="68" fillId="60" borderId="51" applyNumberFormat="0" applyFont="0" applyAlignment="0" applyProtection="0"/>
    <xf numFmtId="38" fontId="8" fillId="0" borderId="0"/>
    <xf numFmtId="40" fontId="8" fillId="0" borderId="10"/>
    <xf numFmtId="189" fontId="8" fillId="0" borderId="11"/>
    <xf numFmtId="189" fontId="8" fillId="0" borderId="11"/>
    <xf numFmtId="179" fontId="8" fillId="0" borderId="0"/>
    <xf numFmtId="179" fontId="86" fillId="55" borderId="52" applyNumberFormat="0" applyAlignment="0" applyProtection="0"/>
    <xf numFmtId="179" fontId="33" fillId="0" borderId="0"/>
    <xf numFmtId="179" fontId="33" fillId="0" borderId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8" fillId="0" borderId="0" applyFont="0" applyFill="0" applyBorder="0" applyAlignment="0" applyProtection="0"/>
    <xf numFmtId="190" fontId="45" fillId="0" borderId="0" applyFont="0" applyFill="0" applyBorder="0" applyProtection="0">
      <alignment horizontal="center"/>
    </xf>
    <xf numFmtId="191" fontId="7" fillId="0" borderId="0" applyFont="0" applyFill="0" applyBorder="0" applyAlignment="0" applyProtection="0"/>
    <xf numFmtId="179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179" fontId="47" fillId="0" borderId="13">
      <alignment horizontal="center"/>
    </xf>
    <xf numFmtId="3" fontId="36" fillId="0" borderId="0" applyFont="0" applyFill="0" applyBorder="0" applyAlignment="0" applyProtection="0"/>
    <xf numFmtId="179" fontId="36" fillId="26" borderId="0" applyNumberFormat="0" applyFont="0" applyBorder="0" applyAlignment="0" applyProtection="0"/>
    <xf numFmtId="3" fontId="23" fillId="0" borderId="0" applyFill="0" applyBorder="0" applyAlignment="0" applyProtection="0"/>
    <xf numFmtId="3" fontId="22" fillId="0" borderId="0" applyFill="0" applyBorder="0" applyAlignment="0" applyProtection="0"/>
    <xf numFmtId="3" fontId="23" fillId="0" borderId="0" applyFill="0" applyBorder="0" applyAlignment="0" applyProtection="0"/>
    <xf numFmtId="179" fontId="48" fillId="0" borderId="0"/>
    <xf numFmtId="179" fontId="33" fillId="0" borderId="0"/>
    <xf numFmtId="179" fontId="8" fillId="0" borderId="0" applyNumberFormat="0" applyFill="0" applyBorder="0" applyProtection="0">
      <alignment horizontal="right"/>
    </xf>
    <xf numFmtId="179" fontId="9" fillId="0" borderId="0" applyNumberFormat="0" applyFill="0" applyBorder="0" applyProtection="0">
      <alignment horizontal="right"/>
    </xf>
    <xf numFmtId="179" fontId="8" fillId="0" borderId="0" applyNumberFormat="0" applyFill="0" applyBorder="0" applyProtection="0">
      <alignment horizontal="left"/>
    </xf>
    <xf numFmtId="179" fontId="9" fillId="0" borderId="0" applyNumberFormat="0" applyFill="0" applyBorder="0" applyProtection="0">
      <alignment horizontal="left"/>
    </xf>
    <xf numFmtId="179" fontId="9" fillId="0" borderId="0" applyNumberFormat="0" applyFill="0" applyBorder="0" applyProtection="0">
      <alignment horizontal="left"/>
    </xf>
    <xf numFmtId="179" fontId="8" fillId="0" borderId="14" applyNumberFormat="0" applyFont="0" applyFill="0" applyAlignment="0" applyProtection="0"/>
    <xf numFmtId="179" fontId="8" fillId="0" borderId="0" applyNumberFormat="0" applyFont="0" applyFill="0" applyBorder="0" applyProtection="0">
      <alignment wrapText="1"/>
    </xf>
    <xf numFmtId="179" fontId="11" fillId="0" borderId="0" applyNumberFormat="0" applyBorder="0" applyAlignment="0"/>
    <xf numFmtId="179" fontId="11" fillId="0" borderId="0" applyNumberFormat="0" applyBorder="0" applyAlignment="0"/>
    <xf numFmtId="179" fontId="11" fillId="0" borderId="0" applyNumberFormat="0" applyBorder="0" applyAlignment="0"/>
    <xf numFmtId="179" fontId="21" fillId="0" borderId="0" applyNumberFormat="0" applyBorder="0" applyAlignment="0"/>
    <xf numFmtId="179" fontId="13" fillId="0" borderId="0" applyNumberFormat="0" applyBorder="0" applyAlignment="0"/>
    <xf numFmtId="179" fontId="49" fillId="0" borderId="0" applyNumberFormat="0" applyBorder="0" applyAlignment="0"/>
    <xf numFmtId="179" fontId="49" fillId="0" borderId="0" applyNumberFormat="0" applyBorder="0" applyAlignment="0"/>
    <xf numFmtId="179" fontId="8" fillId="0" borderId="0"/>
    <xf numFmtId="192" fontId="8" fillId="0" borderId="0" applyFont="0" applyFill="0" applyBorder="0" applyAlignment="0" applyProtection="0"/>
    <xf numFmtId="179" fontId="87" fillId="0" borderId="0" applyNumberFormat="0" applyFill="0" applyBorder="0" applyAlignment="0" applyProtection="0"/>
    <xf numFmtId="179" fontId="88" fillId="0" borderId="53" applyNumberFormat="0" applyFill="0" applyAlignment="0" applyProtection="0"/>
    <xf numFmtId="179" fontId="8" fillId="0" borderId="0"/>
    <xf numFmtId="179" fontId="50" fillId="0" borderId="0" applyNumberFormat="0" applyBorder="0" applyAlignment="0">
      <protection locked="0"/>
    </xf>
    <xf numFmtId="179" fontId="89" fillId="0" borderId="0" applyNumberFormat="0" applyFill="0" applyBorder="0" applyAlignment="0" applyProtection="0"/>
    <xf numFmtId="179" fontId="8" fillId="0" borderId="0"/>
    <xf numFmtId="179" fontId="27" fillId="27" borderId="0" applyNumberFormat="0" applyBorder="0" applyAlignment="0" applyProtection="0">
      <alignment vertical="center"/>
    </xf>
    <xf numFmtId="179" fontId="27" fillId="19" borderId="0" applyNumberFormat="0" applyBorder="0" applyAlignment="0" applyProtection="0">
      <alignment vertical="center"/>
    </xf>
    <xf numFmtId="179" fontId="27" fillId="28" borderId="0" applyNumberFormat="0" applyBorder="0" applyAlignment="0" applyProtection="0">
      <alignment vertical="center"/>
    </xf>
    <xf numFmtId="179" fontId="27" fillId="17" borderId="0" applyNumberFormat="0" applyBorder="0" applyAlignment="0" applyProtection="0">
      <alignment vertical="center"/>
    </xf>
    <xf numFmtId="179" fontId="27" fillId="15" borderId="0" applyNumberFormat="0" applyBorder="0" applyAlignment="0" applyProtection="0">
      <alignment vertical="center"/>
    </xf>
    <xf numFmtId="179" fontId="27" fillId="20" borderId="0" applyNumberFormat="0" applyBorder="0" applyAlignment="0" applyProtection="0">
      <alignment vertical="center"/>
    </xf>
    <xf numFmtId="179" fontId="51" fillId="0" borderId="0" applyNumberFormat="0" applyFill="0" applyBorder="0" applyAlignment="0" applyProtection="0">
      <alignment vertical="center"/>
    </xf>
    <xf numFmtId="179" fontId="52" fillId="21" borderId="2" applyNumberFormat="0" applyAlignment="0" applyProtection="0">
      <alignment vertical="center"/>
    </xf>
    <xf numFmtId="179" fontId="53" fillId="11" borderId="0" applyNumberFormat="0" applyBorder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8" fillId="3" borderId="9" applyNumberFormat="0" applyFont="0" applyAlignment="0" applyProtection="0">
      <alignment vertical="center"/>
    </xf>
    <xf numFmtId="179" fontId="54" fillId="0" borderId="8" applyNumberFormat="0" applyFill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5" fillId="2" borderId="1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6" fillId="9" borderId="12" applyNumberFormat="0" applyAlignment="0" applyProtection="0">
      <alignment vertical="center"/>
    </xf>
    <xf numFmtId="179" fontId="57" fillId="7" borderId="0" applyNumberFormat="0" applyBorder="0" applyAlignment="0" applyProtection="0">
      <alignment vertical="center"/>
    </xf>
    <xf numFmtId="179" fontId="58" fillId="8" borderId="0" applyNumberFormat="0" applyBorder="0" applyAlignment="0" applyProtection="0">
      <alignment vertical="center"/>
    </xf>
    <xf numFmtId="179" fontId="59" fillId="0" borderId="15" applyNumberFormat="0" applyFill="0" applyAlignment="0" applyProtection="0">
      <alignment vertical="center"/>
    </xf>
    <xf numFmtId="179" fontId="60" fillId="0" borderId="7" applyNumberFormat="0" applyFill="0" applyAlignment="0" applyProtection="0">
      <alignment vertical="center"/>
    </xf>
    <xf numFmtId="179" fontId="61" fillId="0" borderId="16" applyNumberFormat="0" applyFill="0" applyAlignment="0" applyProtection="0">
      <alignment vertical="center"/>
    </xf>
    <xf numFmtId="179" fontId="61" fillId="0" borderId="0" applyNumberFormat="0" applyFill="0" applyBorder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2" fillId="9" borderId="1" applyNumberFormat="0" applyAlignment="0" applyProtection="0">
      <alignment vertical="center"/>
    </xf>
    <xf numFmtId="179" fontId="63" fillId="0" borderId="0" applyNumberFormat="0" applyFill="0" applyBorder="0" applyAlignment="0" applyProtection="0">
      <alignment vertical="center"/>
    </xf>
    <xf numFmtId="179" fontId="64" fillId="0" borderId="0" applyNumberFormat="0" applyFill="0" applyBorder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179" fontId="65" fillId="0" borderId="17" applyNumberFormat="0" applyFill="0" applyAlignment="0" applyProtection="0">
      <alignment vertical="center"/>
    </xf>
    <xf numFmtId="0" fontId="5" fillId="0" borderId="0"/>
    <xf numFmtId="166" fontId="6" fillId="0" borderId="0" applyFont="0" applyFill="0" applyBorder="0" applyAlignment="0" applyProtection="0"/>
    <xf numFmtId="0" fontId="4" fillId="0" borderId="0"/>
    <xf numFmtId="0" fontId="3" fillId="0" borderId="0"/>
    <xf numFmtId="0" fontId="6" fillId="0" borderId="0"/>
    <xf numFmtId="0" fontId="2" fillId="0" borderId="0"/>
  </cellStyleXfs>
  <cellXfs count="629">
    <xf numFmtId="0" fontId="0" fillId="0" borderId="0" xfId="0"/>
    <xf numFmtId="0" fontId="0" fillId="0" borderId="3" xfId="0" applyBorder="1"/>
    <xf numFmtId="0" fontId="0" fillId="0" borderId="11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4" borderId="3" xfId="0" applyFill="1" applyBorder="1"/>
    <xf numFmtId="0" fontId="0" fillId="64" borderId="0" xfId="0" applyFill="1"/>
    <xf numFmtId="0" fontId="0" fillId="64" borderId="3" xfId="0" applyFill="1" applyBorder="1" applyAlignment="1">
      <alignment horizontal="center"/>
    </xf>
    <xf numFmtId="0" fontId="90" fillId="65" borderId="3" xfId="0" applyFont="1" applyFill="1" applyBorder="1" applyAlignment="1">
      <alignment horizontal="center" vertical="center"/>
    </xf>
    <xf numFmtId="0" fontId="9" fillId="0" borderId="20" xfId="0" applyFont="1" applyBorder="1"/>
    <xf numFmtId="0" fontId="0" fillId="66" borderId="3" xfId="0" applyFill="1" applyBorder="1"/>
    <xf numFmtId="0" fontId="0" fillId="67" borderId="3" xfId="0" applyFill="1" applyBorder="1"/>
    <xf numFmtId="0" fontId="0" fillId="68" borderId="3" xfId="0" applyFill="1" applyBorder="1"/>
    <xf numFmtId="0" fontId="9" fillId="0" borderId="3" xfId="0" applyFont="1" applyBorder="1" applyAlignment="1">
      <alignment horizontal="center" vertical="center"/>
    </xf>
    <xf numFmtId="0" fontId="9" fillId="64" borderId="3" xfId="0" applyFont="1" applyFill="1" applyBorder="1" applyAlignment="1">
      <alignment horizontal="center" vertical="center"/>
    </xf>
    <xf numFmtId="0" fontId="9" fillId="64" borderId="21" xfId="0" applyFont="1" applyFill="1" applyBorder="1" applyAlignment="1">
      <alignment vertical="center"/>
    </xf>
    <xf numFmtId="0" fontId="90" fillId="69" borderId="3" xfId="0" applyFont="1" applyFill="1" applyBorder="1" applyAlignment="1">
      <alignment horizontal="center"/>
    </xf>
    <xf numFmtId="0" fontId="90" fillId="65" borderId="3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64" borderId="0" xfId="0" applyFont="1" applyFill="1" applyAlignment="1">
      <alignment horizontal="center" vertical="center"/>
    </xf>
    <xf numFmtId="0" fontId="0" fillId="70" borderId="0" xfId="0" applyFill="1"/>
    <xf numFmtId="0" fontId="0" fillId="70" borderId="0" xfId="0" applyFill="1" applyAlignment="1">
      <alignment horizontal="center"/>
    </xf>
    <xf numFmtId="0" fontId="9" fillId="70" borderId="0" xfId="0" applyFont="1" applyFill="1" applyAlignment="1">
      <alignment horizontal="center" vertical="center"/>
    </xf>
    <xf numFmtId="0" fontId="9" fillId="70" borderId="0" xfId="0" applyFont="1" applyFill="1" applyAlignment="1">
      <alignment vertical="center"/>
    </xf>
    <xf numFmtId="0" fontId="91" fillId="64" borderId="0" xfId="0" applyFont="1" applyFill="1"/>
    <xf numFmtId="0" fontId="91" fillId="64" borderId="19" xfId="0" applyFont="1" applyFill="1" applyBorder="1" applyAlignment="1">
      <alignment horizontal="center" vertical="center" wrapText="1"/>
    </xf>
    <xf numFmtId="0" fontId="91" fillId="64" borderId="22" xfId="0" applyFont="1" applyFill="1" applyBorder="1" applyAlignment="1">
      <alignment horizontal="center"/>
    </xf>
    <xf numFmtId="0" fontId="9" fillId="70" borderId="11" xfId="0" applyFont="1" applyFill="1" applyBorder="1" applyAlignment="1">
      <alignment horizontal="center" vertical="center"/>
    </xf>
    <xf numFmtId="0" fontId="90" fillId="69" borderId="11" xfId="0" applyFont="1" applyFill="1" applyBorder="1" applyAlignment="1">
      <alignment horizontal="center" vertical="center"/>
    </xf>
    <xf numFmtId="0" fontId="90" fillId="65" borderId="20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70" borderId="3" xfId="0" applyFont="1" applyFill="1" applyBorder="1"/>
    <xf numFmtId="167" fontId="0" fillId="0" borderId="26" xfId="52" applyNumberFormat="1" applyFont="1" applyBorder="1"/>
    <xf numFmtId="167" fontId="0" fillId="0" borderId="27" xfId="52" applyNumberFormat="1" applyFont="1" applyBorder="1"/>
    <xf numFmtId="167" fontId="0" fillId="0" borderId="28" xfId="52" applyNumberFormat="1" applyFont="1" applyBorder="1"/>
    <xf numFmtId="0" fontId="91" fillId="64" borderId="23" xfId="0" applyFont="1" applyFill="1" applyBorder="1" applyAlignment="1">
      <alignment horizontal="center" vertical="center"/>
    </xf>
    <xf numFmtId="43" fontId="0" fillId="70" borderId="0" xfId="0" applyNumberFormat="1" applyFill="1"/>
    <xf numFmtId="167" fontId="0" fillId="0" borderId="3" xfId="0" applyNumberFormat="1" applyBorder="1"/>
    <xf numFmtId="167" fontId="0" fillId="0" borderId="3" xfId="52" applyNumberFormat="1" applyFont="1" applyBorder="1" applyAlignment="1">
      <alignment horizontal="right"/>
    </xf>
    <xf numFmtId="0" fontId="0" fillId="72" borderId="3" xfId="0" applyFill="1" applyBorder="1"/>
    <xf numFmtId="0" fontId="9" fillId="72" borderId="3" xfId="0" applyFont="1" applyFill="1" applyBorder="1" applyAlignment="1">
      <alignment horizontal="center"/>
    </xf>
    <xf numFmtId="0" fontId="9" fillId="0" borderId="3" xfId="0" applyFont="1" applyBorder="1"/>
    <xf numFmtId="0" fontId="0" fillId="70" borderId="20" xfId="0" applyFill="1" applyBorder="1"/>
    <xf numFmtId="0" fontId="0" fillId="70" borderId="29" xfId="0" applyFill="1" applyBorder="1"/>
    <xf numFmtId="0" fontId="0" fillId="70" borderId="3" xfId="0" applyFill="1" applyBorder="1" applyAlignment="1">
      <alignment horizontal="center"/>
    </xf>
    <xf numFmtId="0" fontId="12" fillId="0" borderId="61" xfId="0" applyFont="1" applyBorder="1" applyAlignment="1">
      <alignment horizontal="left" vertical="top" wrapText="1"/>
    </xf>
    <xf numFmtId="0" fontId="12" fillId="0" borderId="59" xfId="0" applyFont="1" applyBorder="1" applyAlignment="1">
      <alignment horizontal="left" vertical="top" wrapText="1"/>
    </xf>
    <xf numFmtId="0" fontId="13" fillId="0" borderId="59" xfId="0" applyFont="1" applyBorder="1" applyAlignment="1">
      <alignment horizontal="left" vertical="top" wrapText="1"/>
    </xf>
    <xf numFmtId="176" fontId="13" fillId="0" borderId="73" xfId="0" applyNumberFormat="1" applyFont="1" applyBorder="1" applyAlignment="1">
      <alignment horizontal="right" wrapText="1"/>
    </xf>
    <xf numFmtId="0" fontId="92" fillId="0" borderId="0" xfId="0" applyFont="1" applyAlignment="1">
      <alignment horizontal="center" vertical="center" wrapText="1"/>
    </xf>
    <xf numFmtId="0" fontId="92" fillId="0" borderId="4" xfId="0" applyFont="1" applyBorder="1" applyAlignment="1">
      <alignment horizontal="center" vertical="center" wrapText="1"/>
    </xf>
    <xf numFmtId="172" fontId="92" fillId="0" borderId="0" xfId="98" applyNumberFormat="1" applyFont="1" applyFill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3" fillId="0" borderId="0" xfId="0" applyFont="1" applyAlignment="1">
      <alignment wrapText="1"/>
    </xf>
    <xf numFmtId="0" fontId="43" fillId="0" borderId="0" xfId="0" applyFont="1" applyAlignment="1">
      <alignment horizontal="left"/>
    </xf>
    <xf numFmtId="172" fontId="43" fillId="0" borderId="0" xfId="98" applyNumberFormat="1" applyFont="1" applyAlignment="1">
      <alignment horizontal="center"/>
    </xf>
    <xf numFmtId="9" fontId="43" fillId="0" borderId="0" xfId="345" applyFont="1" applyAlignment="1">
      <alignment horizontal="center"/>
    </xf>
    <xf numFmtId="0" fontId="94" fillId="75" borderId="3" xfId="0" applyFont="1" applyFill="1" applyBorder="1" applyAlignment="1">
      <alignment horizontal="center" vertical="center" wrapText="1"/>
    </xf>
    <xf numFmtId="172" fontId="94" fillId="75" borderId="3" xfId="98" applyNumberFormat="1" applyFont="1" applyFill="1" applyBorder="1" applyAlignment="1">
      <alignment horizontal="center" vertical="center" wrapText="1"/>
    </xf>
    <xf numFmtId="0" fontId="95" fillId="0" borderId="3" xfId="0" applyFont="1" applyBorder="1" applyAlignment="1">
      <alignment horizontal="center" vertical="top"/>
    </xf>
    <xf numFmtId="0" fontId="14" fillId="0" borderId="3" xfId="0" applyFont="1" applyBorder="1" applyAlignment="1">
      <alignment horizontal="center" vertical="center"/>
    </xf>
    <xf numFmtId="172" fontId="14" fillId="0" borderId="3" xfId="98" applyNumberFormat="1" applyFont="1" applyBorder="1" applyAlignment="1">
      <alignment horizontal="center" vertical="center"/>
    </xf>
    <xf numFmtId="0" fontId="95" fillId="0" borderId="0" xfId="0" applyFont="1" applyAlignment="1">
      <alignment horizontal="center" vertical="top"/>
    </xf>
    <xf numFmtId="0" fontId="14" fillId="63" borderId="3" xfId="0" applyFont="1" applyFill="1" applyBorder="1" applyAlignment="1">
      <alignment vertical="center" wrapText="1"/>
    </xf>
    <xf numFmtId="172" fontId="14" fillId="63" borderId="3" xfId="98" applyNumberFormat="1" applyFont="1" applyFill="1" applyBorder="1" applyAlignment="1">
      <alignment vertical="center" wrapText="1"/>
    </xf>
    <xf numFmtId="0" fontId="96" fillId="62" borderId="3" xfId="0" applyFont="1" applyFill="1" applyBorder="1" applyAlignment="1">
      <alignment wrapText="1"/>
    </xf>
    <xf numFmtId="172" fontId="96" fillId="62" borderId="3" xfId="98" applyNumberFormat="1" applyFont="1" applyFill="1" applyBorder="1" applyAlignment="1">
      <alignment wrapText="1"/>
    </xf>
    <xf numFmtId="0" fontId="43" fillId="0" borderId="3" xfId="0" applyFont="1" applyBorder="1" applyAlignment="1">
      <alignment wrapText="1"/>
    </xf>
    <xf numFmtId="9" fontId="43" fillId="0" borderId="3" xfId="337" applyFont="1" applyFill="1" applyBorder="1" applyAlignment="1">
      <alignment horizontal="center" wrapText="1"/>
    </xf>
    <xf numFmtId="174" fontId="43" fillId="0" borderId="3" xfId="98" applyNumberFormat="1" applyFont="1" applyFill="1" applyBorder="1" applyAlignment="1">
      <alignment horizontal="center" wrapText="1"/>
    </xf>
    <xf numFmtId="0" fontId="97" fillId="0" borderId="0" xfId="0" applyFont="1" applyAlignment="1">
      <alignment wrapText="1"/>
    </xf>
    <xf numFmtId="9" fontId="96" fillId="62" borderId="3" xfId="337" applyFont="1" applyFill="1" applyBorder="1" applyAlignment="1">
      <alignment wrapText="1"/>
    </xf>
    <xf numFmtId="0" fontId="14" fillId="61" borderId="3" xfId="0" applyFont="1" applyFill="1" applyBorder="1" applyAlignment="1">
      <alignment wrapText="1"/>
    </xf>
    <xf numFmtId="9" fontId="14" fillId="61" borderId="3" xfId="337" applyFont="1" applyFill="1" applyBorder="1" applyAlignment="1">
      <alignment wrapText="1"/>
    </xf>
    <xf numFmtId="174" fontId="14" fillId="61" borderId="3" xfId="337" applyNumberFormat="1" applyFont="1" applyFill="1" applyBorder="1" applyAlignment="1">
      <alignment wrapText="1"/>
    </xf>
    <xf numFmtId="9" fontId="43" fillId="64" borderId="3" xfId="337" applyFont="1" applyFill="1" applyBorder="1" applyAlignment="1">
      <alignment horizontal="center" wrapText="1"/>
    </xf>
    <xf numFmtId="3" fontId="43" fillId="0" borderId="0" xfId="0" applyNumberFormat="1" applyFont="1" applyAlignment="1">
      <alignment horizontal="center"/>
    </xf>
    <xf numFmtId="0" fontId="14" fillId="0" borderId="0" xfId="0" applyFont="1"/>
    <xf numFmtId="0" fontId="14" fillId="0" borderId="3" xfId="0" applyFont="1" applyBorder="1"/>
    <xf numFmtId="0" fontId="43" fillId="0" borderId="3" xfId="0" applyFont="1" applyBorder="1"/>
    <xf numFmtId="175" fontId="43" fillId="0" borderId="3" xfId="0" applyNumberFormat="1" applyFont="1" applyBorder="1"/>
    <xf numFmtId="175" fontId="14" fillId="0" borderId="3" xfId="0" applyNumberFormat="1" applyFont="1" applyBorder="1"/>
    <xf numFmtId="175" fontId="43" fillId="0" borderId="0" xfId="0" applyNumberFormat="1" applyFont="1"/>
    <xf numFmtId="0" fontId="14" fillId="76" borderId="3" xfId="0" applyFont="1" applyFill="1" applyBorder="1" applyAlignment="1">
      <alignment horizontal="right"/>
    </xf>
    <xf numFmtId="175" fontId="14" fillId="76" borderId="3" xfId="0" applyNumberFormat="1" applyFont="1" applyFill="1" applyBorder="1" applyAlignment="1">
      <alignment horizontal="right"/>
    </xf>
    <xf numFmtId="175" fontId="99" fillId="0" borderId="3" xfId="0" applyNumberFormat="1" applyFont="1" applyBorder="1" applyAlignment="1">
      <alignment horizontal="right"/>
    </xf>
    <xf numFmtId="0" fontId="99" fillId="0" borderId="3" xfId="0" applyFont="1" applyBorder="1" applyAlignment="1">
      <alignment horizontal="right"/>
    </xf>
    <xf numFmtId="9" fontId="43" fillId="0" borderId="0" xfId="337" applyFont="1"/>
    <xf numFmtId="167" fontId="43" fillId="0" borderId="0" xfId="0" applyNumberFormat="1" applyFont="1"/>
    <xf numFmtId="3" fontId="43" fillId="0" borderId="0" xfId="0" applyNumberFormat="1" applyFont="1"/>
    <xf numFmtId="172" fontId="43" fillId="0" borderId="0" xfId="0" applyNumberFormat="1" applyFont="1"/>
    <xf numFmtId="0" fontId="14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 wrapText="1"/>
    </xf>
    <xf numFmtId="9" fontId="14" fillId="0" borderId="0" xfId="337" applyFont="1" applyAlignment="1">
      <alignment horizontal="center" vertical="center" wrapText="1"/>
    </xf>
    <xf numFmtId="9" fontId="43" fillId="0" borderId="3" xfId="337" applyFont="1" applyBorder="1" applyAlignment="1">
      <alignment wrapText="1"/>
    </xf>
    <xf numFmtId="9" fontId="43" fillId="0" borderId="0" xfId="337" applyFont="1" applyBorder="1" applyAlignment="1">
      <alignment wrapText="1"/>
    </xf>
    <xf numFmtId="0" fontId="14" fillId="0" borderId="13" xfId="0" applyFont="1" applyBorder="1" applyAlignment="1">
      <alignment horizontal="center" wrapText="1"/>
    </xf>
    <xf numFmtId="3" fontId="14" fillId="0" borderId="13" xfId="0" applyNumberFormat="1" applyFont="1" applyBorder="1" applyAlignment="1">
      <alignment horizontal="center" wrapText="1"/>
    </xf>
    <xf numFmtId="3" fontId="14" fillId="0" borderId="13" xfId="0" applyNumberFormat="1" applyFont="1" applyBorder="1" applyAlignment="1">
      <alignment horizontal="center"/>
    </xf>
    <xf numFmtId="0" fontId="14" fillId="63" borderId="0" xfId="0" applyFont="1" applyFill="1" applyAlignment="1">
      <alignment vertical="center" wrapText="1"/>
    </xf>
    <xf numFmtId="9" fontId="14" fillId="63" borderId="0" xfId="337" applyFont="1" applyFill="1" applyAlignment="1">
      <alignment vertical="center" wrapText="1"/>
    </xf>
    <xf numFmtId="0" fontId="14" fillId="63" borderId="0" xfId="0" applyFont="1" applyFill="1" applyAlignment="1">
      <alignment wrapText="1"/>
    </xf>
    <xf numFmtId="3" fontId="14" fillId="63" borderId="0" xfId="0" applyNumberFormat="1" applyFont="1" applyFill="1" applyAlignment="1">
      <alignment wrapText="1"/>
    </xf>
    <xf numFmtId="3" fontId="43" fillId="63" borderId="0" xfId="0" applyNumberFormat="1" applyFont="1" applyFill="1"/>
    <xf numFmtId="0" fontId="92" fillId="61" borderId="0" xfId="0" applyFont="1" applyFill="1" applyAlignment="1">
      <alignment horizontal="left" wrapText="1"/>
    </xf>
    <xf numFmtId="9" fontId="92" fillId="61" borderId="0" xfId="337" applyFont="1" applyFill="1" applyAlignment="1">
      <alignment horizontal="left" wrapText="1"/>
    </xf>
    <xf numFmtId="3" fontId="92" fillId="61" borderId="0" xfId="0" applyNumberFormat="1" applyFont="1" applyFill="1" applyAlignment="1">
      <alignment horizontal="left" wrapText="1"/>
    </xf>
    <xf numFmtId="0" fontId="14" fillId="0" borderId="0" xfId="0" applyFont="1" applyAlignment="1">
      <alignment horizontal="left" wrapText="1"/>
    </xf>
    <xf numFmtId="9" fontId="14" fillId="0" borderId="0" xfId="337" applyFont="1" applyAlignment="1">
      <alignment horizontal="left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 wrapText="1"/>
    </xf>
    <xf numFmtId="3" fontId="14" fillId="0" borderId="0" xfId="0" applyNumberFormat="1" applyFont="1" applyAlignment="1">
      <alignment horizontal="right" wrapText="1"/>
    </xf>
    <xf numFmtId="3" fontId="43" fillId="0" borderId="0" xfId="0" applyNumberFormat="1" applyFont="1" applyAlignment="1">
      <alignment horizontal="right" wrapText="1"/>
    </xf>
    <xf numFmtId="9" fontId="43" fillId="0" borderId="0" xfId="337" applyFont="1" applyAlignment="1">
      <alignment horizontal="left" wrapText="1"/>
    </xf>
    <xf numFmtId="167" fontId="43" fillId="0" borderId="0" xfId="0" applyNumberFormat="1" applyFont="1" applyAlignment="1">
      <alignment horizontal="right" wrapText="1"/>
    </xf>
    <xf numFmtId="0" fontId="43" fillId="0" borderId="0" xfId="0" applyFont="1" applyAlignment="1">
      <alignment horizontal="left" wrapText="1"/>
    </xf>
    <xf numFmtId="167" fontId="43" fillId="0" borderId="0" xfId="52" applyNumberFormat="1" applyFont="1" applyFill="1" applyBorder="1" applyAlignment="1"/>
    <xf numFmtId="9" fontId="14" fillId="61" borderId="0" xfId="337" applyFont="1" applyFill="1" applyAlignment="1">
      <alignment horizontal="left" wrapText="1"/>
    </xf>
    <xf numFmtId="0" fontId="14" fillId="61" borderId="0" xfId="0" applyFont="1" applyFill="1" applyAlignment="1">
      <alignment horizontal="left" vertical="top"/>
    </xf>
    <xf numFmtId="167" fontId="14" fillId="61" borderId="0" xfId="0" applyNumberFormat="1" applyFont="1" applyFill="1" applyAlignment="1">
      <alignment horizontal="right" wrapText="1"/>
    </xf>
    <xf numFmtId="167" fontId="100" fillId="61" borderId="0" xfId="0" applyNumberFormat="1" applyFont="1" applyFill="1" applyAlignment="1">
      <alignment horizontal="right" wrapText="1"/>
    </xf>
    <xf numFmtId="0" fontId="43" fillId="0" borderId="0" xfId="0" applyFont="1" applyAlignment="1">
      <alignment horizontal="left" vertical="top" wrapText="1"/>
    </xf>
    <xf numFmtId="0" fontId="43" fillId="0" borderId="0" xfId="0" applyFont="1" applyAlignment="1">
      <alignment horizontal="left" vertical="top"/>
    </xf>
    <xf numFmtId="3" fontId="43" fillId="0" borderId="0" xfId="0" applyNumberFormat="1" applyFont="1" applyAlignment="1">
      <alignment wrapText="1"/>
    </xf>
    <xf numFmtId="9" fontId="43" fillId="0" borderId="0" xfId="337" applyFont="1" applyAlignment="1">
      <alignment horizontal="right" wrapText="1"/>
    </xf>
    <xf numFmtId="2" fontId="43" fillId="0" borderId="0" xfId="0" applyNumberFormat="1" applyFont="1"/>
    <xf numFmtId="0" fontId="100" fillId="61" borderId="0" xfId="0" applyFont="1" applyFill="1" applyAlignment="1">
      <alignment horizontal="left" vertical="top"/>
    </xf>
    <xf numFmtId="0" fontId="14" fillId="63" borderId="82" xfId="0" applyFont="1" applyFill="1" applyBorder="1" applyAlignment="1">
      <alignment vertical="center" wrapText="1"/>
    </xf>
    <xf numFmtId="9" fontId="14" fillId="63" borderId="82" xfId="337" applyFont="1" applyFill="1" applyBorder="1" applyAlignment="1">
      <alignment vertical="center" wrapText="1"/>
    </xf>
    <xf numFmtId="174" fontId="14" fillId="63" borderId="82" xfId="98" applyNumberFormat="1" applyFont="1" applyFill="1" applyBorder="1" applyAlignment="1">
      <alignment vertical="center" wrapText="1"/>
    </xf>
    <xf numFmtId="9" fontId="43" fillId="0" borderId="0" xfId="337" applyFont="1" applyFill="1" applyAlignment="1">
      <alignment horizontal="left" wrapText="1"/>
    </xf>
    <xf numFmtId="167" fontId="43" fillId="0" borderId="0" xfId="52" applyNumberFormat="1" applyFont="1" applyFill="1" applyAlignment="1">
      <alignment horizontal="right" wrapText="1"/>
    </xf>
    <xf numFmtId="0" fontId="96" fillId="0" borderId="0" xfId="0" applyFont="1" applyAlignment="1">
      <alignment horizontal="left" wrapText="1"/>
    </xf>
    <xf numFmtId="9" fontId="96" fillId="0" borderId="0" xfId="337" applyFont="1" applyFill="1" applyAlignment="1">
      <alignment horizontal="left" wrapText="1"/>
    </xf>
    <xf numFmtId="0" fontId="96" fillId="0" borderId="0" xfId="0" applyFont="1" applyAlignment="1">
      <alignment horizontal="left" vertical="top" wrapText="1"/>
    </xf>
    <xf numFmtId="167" fontId="96" fillId="0" borderId="0" xfId="0" applyNumberFormat="1" applyFont="1" applyAlignment="1">
      <alignment horizontal="right" wrapText="1"/>
    </xf>
    <xf numFmtId="0" fontId="96" fillId="0" borderId="0" xfId="0" applyFont="1"/>
    <xf numFmtId="0" fontId="100" fillId="0" borderId="0" xfId="0" applyFont="1"/>
    <xf numFmtId="0" fontId="14" fillId="61" borderId="13" xfId="0" applyFont="1" applyFill="1" applyBorder="1" applyAlignment="1">
      <alignment wrapText="1"/>
    </xf>
    <xf numFmtId="0" fontId="14" fillId="61" borderId="13" xfId="0" applyFont="1" applyFill="1" applyBorder="1" applyAlignment="1">
      <alignment horizontal="right" wrapText="1"/>
    </xf>
    <xf numFmtId="3" fontId="14" fillId="61" borderId="13" xfId="0" applyNumberFormat="1" applyFont="1" applyFill="1" applyBorder="1" applyAlignment="1">
      <alignment horizontal="right" wrapText="1"/>
    </xf>
    <xf numFmtId="174" fontId="14" fillId="61" borderId="13" xfId="0" applyNumberFormat="1" applyFont="1" applyFill="1" applyBorder="1" applyAlignment="1">
      <alignment horizontal="right" wrapText="1"/>
    </xf>
    <xf numFmtId="0" fontId="101" fillId="0" borderId="0" xfId="0" applyFont="1" applyAlignment="1">
      <alignment wrapText="1"/>
    </xf>
    <xf numFmtId="9" fontId="101" fillId="0" borderId="0" xfId="337" applyFont="1" applyAlignment="1">
      <alignment wrapText="1"/>
    </xf>
    <xf numFmtId="0" fontId="14" fillId="0" borderId="0" xfId="0" applyFont="1" applyAlignment="1">
      <alignment wrapText="1"/>
    </xf>
    <xf numFmtId="10" fontId="43" fillId="0" borderId="0" xfId="337" applyNumberFormat="1" applyFont="1" applyAlignment="1">
      <alignment horizontal="right" wrapText="1"/>
    </xf>
    <xf numFmtId="173" fontId="43" fillId="0" borderId="0" xfId="0" applyNumberFormat="1" applyFont="1" applyAlignment="1">
      <alignment horizontal="right" wrapText="1"/>
    </xf>
    <xf numFmtId="165" fontId="43" fillId="0" borderId="0" xfId="98" applyFont="1" applyFill="1" applyAlignment="1">
      <alignment horizontal="left" wrapText="1"/>
    </xf>
    <xf numFmtId="172" fontId="43" fillId="0" borderId="0" xfId="98" applyNumberFormat="1" applyFont="1"/>
    <xf numFmtId="167" fontId="14" fillId="0" borderId="0" xfId="0" applyNumberFormat="1" applyFont="1" applyAlignment="1">
      <alignment horizontal="right" wrapText="1"/>
    </xf>
    <xf numFmtId="10" fontId="43" fillId="0" borderId="0" xfId="0" applyNumberFormat="1" applyFont="1" applyAlignment="1">
      <alignment horizontal="right" wrapText="1"/>
    </xf>
    <xf numFmtId="0" fontId="43" fillId="0" borderId="0" xfId="0" applyFont="1" applyAlignment="1">
      <alignment horizontal="right" wrapText="1"/>
    </xf>
    <xf numFmtId="173" fontId="14" fillId="61" borderId="13" xfId="0" applyNumberFormat="1" applyFont="1" applyFill="1" applyBorder="1" applyAlignment="1">
      <alignment horizontal="right" wrapText="1"/>
    </xf>
    <xf numFmtId="43" fontId="43" fillId="0" borderId="0" xfId="0" applyNumberFormat="1" applyFont="1"/>
    <xf numFmtId="0" fontId="14" fillId="61" borderId="13" xfId="0" applyFont="1" applyFill="1" applyBorder="1" applyAlignment="1">
      <alignment horizontal="left" wrapText="1"/>
    </xf>
    <xf numFmtId="3" fontId="14" fillId="61" borderId="13" xfId="0" applyNumberFormat="1" applyFont="1" applyFill="1" applyBorder="1" applyAlignment="1">
      <alignment wrapText="1"/>
    </xf>
    <xf numFmtId="174" fontId="14" fillId="61" borderId="13" xfId="98" applyNumberFormat="1" applyFont="1" applyFill="1" applyBorder="1" applyAlignment="1">
      <alignment horizontal="right" wrapText="1"/>
    </xf>
    <xf numFmtId="167" fontId="14" fillId="61" borderId="13" xfId="0" applyNumberFormat="1" applyFont="1" applyFill="1" applyBorder="1" applyAlignment="1">
      <alignment horizontal="right" wrapText="1"/>
    </xf>
    <xf numFmtId="174" fontId="43" fillId="0" borderId="0" xfId="0" applyNumberFormat="1" applyFont="1"/>
    <xf numFmtId="194" fontId="43" fillId="0" borderId="0" xfId="0" applyNumberFormat="1" applyFont="1" applyAlignment="1">
      <alignment horizontal="right" wrapText="1"/>
    </xf>
    <xf numFmtId="176" fontId="43" fillId="0" borderId="0" xfId="0" applyNumberFormat="1" applyFont="1"/>
    <xf numFmtId="170" fontId="43" fillId="0" borderId="0" xfId="0" applyNumberFormat="1" applyFont="1"/>
    <xf numFmtId="0" fontId="13" fillId="69" borderId="54" xfId="0" applyFont="1" applyFill="1" applyBorder="1" applyAlignment="1">
      <alignment horizontal="center" vertical="top" wrapText="1"/>
    </xf>
    <xf numFmtId="176" fontId="13" fillId="69" borderId="54" xfId="0" applyNumberFormat="1" applyFont="1" applyFill="1" applyBorder="1" applyAlignment="1">
      <alignment horizontal="center" vertical="top" wrapText="1"/>
    </xf>
    <xf numFmtId="170" fontId="13" fillId="69" borderId="54" xfId="0" applyNumberFormat="1" applyFont="1" applyFill="1" applyBorder="1" applyAlignment="1">
      <alignment horizontal="center" vertical="top" wrapText="1"/>
    </xf>
    <xf numFmtId="0" fontId="12" fillId="0" borderId="54" xfId="0" applyFont="1" applyBorder="1" applyAlignment="1">
      <alignment horizontal="left" vertical="top" wrapText="1"/>
    </xf>
    <xf numFmtId="49" fontId="12" fillId="0" borderId="54" xfId="0" applyNumberFormat="1" applyFont="1" applyBorder="1" applyAlignment="1">
      <alignment horizontal="center" vertical="top" wrapText="1"/>
    </xf>
    <xf numFmtId="176" fontId="12" fillId="0" borderId="54" xfId="0" applyNumberFormat="1" applyFont="1" applyBorder="1" applyAlignment="1">
      <alignment horizontal="center" vertical="top" wrapText="1"/>
    </xf>
    <xf numFmtId="170" fontId="12" fillId="0" borderId="54" xfId="0" applyNumberFormat="1" applyFont="1" applyBorder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176" fontId="12" fillId="0" borderId="0" xfId="0" applyNumberFormat="1" applyFont="1" applyAlignment="1">
      <alignment horizontal="center" vertical="top" wrapText="1"/>
    </xf>
    <xf numFmtId="170" fontId="12" fillId="0" borderId="0" xfId="0" applyNumberFormat="1" applyFont="1" applyAlignment="1">
      <alignment horizontal="center" vertical="top" wrapText="1"/>
    </xf>
    <xf numFmtId="176" fontId="12" fillId="0" borderId="55" xfId="0" applyNumberFormat="1" applyFont="1" applyBorder="1" applyAlignment="1">
      <alignment horizontal="center" vertical="top" wrapText="1"/>
    </xf>
    <xf numFmtId="0" fontId="13" fillId="69" borderId="56" xfId="0" applyFont="1" applyFill="1" applyBorder="1" applyAlignment="1">
      <alignment horizontal="center" vertical="top" wrapText="1"/>
    </xf>
    <xf numFmtId="176" fontId="13" fillId="69" borderId="56" xfId="0" applyNumberFormat="1" applyFont="1" applyFill="1" applyBorder="1" applyAlignment="1">
      <alignment horizontal="center" vertical="top" wrapText="1"/>
    </xf>
    <xf numFmtId="170" fontId="13" fillId="69" borderId="56" xfId="0" applyNumberFormat="1" applyFont="1" applyFill="1" applyBorder="1" applyAlignment="1">
      <alignment horizontal="center" vertical="top" wrapText="1"/>
    </xf>
    <xf numFmtId="0" fontId="12" fillId="0" borderId="57" xfId="0" applyFont="1" applyBorder="1" applyAlignment="1">
      <alignment horizontal="left" vertical="top" wrapText="1"/>
    </xf>
    <xf numFmtId="176" fontId="12" fillId="0" borderId="57" xfId="0" applyNumberFormat="1" applyFont="1" applyBorder="1" applyAlignment="1">
      <alignment horizontal="right" vertical="top" wrapText="1"/>
    </xf>
    <xf numFmtId="170" fontId="12" fillId="0" borderId="57" xfId="0" applyNumberFormat="1" applyFont="1" applyBorder="1" applyAlignment="1">
      <alignment horizontal="right" vertical="top" wrapText="1"/>
    </xf>
    <xf numFmtId="0" fontId="13" fillId="0" borderId="57" xfId="0" applyFont="1" applyBorder="1" applyAlignment="1">
      <alignment horizontal="left" vertical="top" wrapText="1"/>
    </xf>
    <xf numFmtId="176" fontId="13" fillId="0" borderId="57" xfId="0" applyNumberFormat="1" applyFont="1" applyBorder="1" applyAlignment="1">
      <alignment horizontal="right" vertical="top" wrapText="1"/>
    </xf>
    <xf numFmtId="170" fontId="14" fillId="0" borderId="0" xfId="0" applyNumberFormat="1" applyFont="1"/>
    <xf numFmtId="176" fontId="12" fillId="0" borderId="0" xfId="0" applyNumberFormat="1" applyFont="1" applyAlignment="1">
      <alignment horizontal="right" vertical="top" wrapText="1"/>
    </xf>
    <xf numFmtId="0" fontId="12" fillId="0" borderId="58" xfId="0" applyFont="1" applyBorder="1" applyAlignment="1">
      <alignment horizontal="left" vertical="top" wrapText="1"/>
    </xf>
    <xf numFmtId="176" fontId="12" fillId="0" borderId="3" xfId="0" applyNumberFormat="1" applyFont="1" applyBorder="1" applyAlignment="1">
      <alignment horizontal="right" vertical="top" wrapText="1"/>
    </xf>
    <xf numFmtId="176" fontId="13" fillId="0" borderId="3" xfId="0" applyNumberFormat="1" applyFont="1" applyBorder="1" applyAlignment="1">
      <alignment horizontal="right" vertical="top" wrapText="1"/>
    </xf>
    <xf numFmtId="170" fontId="13" fillId="0" borderId="3" xfId="0" applyNumberFormat="1" applyFont="1" applyBorder="1" applyAlignment="1">
      <alignment horizontal="right" vertical="top" wrapText="1"/>
    </xf>
    <xf numFmtId="0" fontId="13" fillId="0" borderId="60" xfId="0" applyFont="1" applyBorder="1" applyAlignment="1">
      <alignment horizontal="left" vertical="top" wrapText="1"/>
    </xf>
    <xf numFmtId="177" fontId="12" fillId="0" borderId="0" xfId="0" applyNumberFormat="1" applyFont="1" applyAlignment="1">
      <alignment horizontal="right" vertical="top" wrapText="1"/>
    </xf>
    <xf numFmtId="170" fontId="12" fillId="0" borderId="0" xfId="0" applyNumberFormat="1" applyFont="1" applyAlignment="1">
      <alignment horizontal="right" vertical="top" wrapText="1"/>
    </xf>
    <xf numFmtId="177" fontId="12" fillId="0" borderId="3" xfId="0" applyNumberFormat="1" applyFont="1" applyBorder="1" applyAlignment="1">
      <alignment horizontal="right" vertical="top" wrapText="1"/>
    </xf>
    <xf numFmtId="170" fontId="12" fillId="0" borderId="3" xfId="0" applyNumberFormat="1" applyFont="1" applyBorder="1" applyAlignment="1">
      <alignment horizontal="right" vertical="top" wrapText="1"/>
    </xf>
    <xf numFmtId="176" fontId="12" fillId="29" borderId="65" xfId="0" applyNumberFormat="1" applyFont="1" applyFill="1" applyBorder="1" applyAlignment="1">
      <alignment horizontal="right" vertical="top" wrapText="1"/>
    </xf>
    <xf numFmtId="0" fontId="12" fillId="0" borderId="62" xfId="0" applyFont="1" applyBorder="1" applyAlignment="1">
      <alignment horizontal="left" vertical="top" wrapText="1"/>
    </xf>
    <xf numFmtId="0" fontId="13" fillId="0" borderId="63" xfId="0" applyFont="1" applyBorder="1" applyAlignment="1">
      <alignment horizontal="left" vertical="top" wrapText="1"/>
    </xf>
    <xf numFmtId="0" fontId="43" fillId="0" borderId="63" xfId="0" applyFont="1" applyBorder="1" applyAlignment="1">
      <alignment horizontal="left" vertical="top" wrapText="1"/>
    </xf>
    <xf numFmtId="176" fontId="43" fillId="0" borderId="3" xfId="0" applyNumberFormat="1" applyFont="1" applyBorder="1" applyAlignment="1">
      <alignment horizontal="right" wrapText="1"/>
    </xf>
    <xf numFmtId="0" fontId="43" fillId="0" borderId="3" xfId="0" applyFont="1" applyBorder="1" applyAlignment="1">
      <alignment horizontal="right" wrapText="1"/>
    </xf>
    <xf numFmtId="170" fontId="43" fillId="0" borderId="3" xfId="0" applyNumberFormat="1" applyFont="1" applyBorder="1" applyAlignment="1">
      <alignment horizontal="right" wrapText="1"/>
    </xf>
    <xf numFmtId="176" fontId="13" fillId="0" borderId="3" xfId="0" applyNumberFormat="1" applyFont="1" applyBorder="1" applyAlignment="1">
      <alignment horizontal="right" wrapText="1"/>
    </xf>
    <xf numFmtId="170" fontId="13" fillId="0" borderId="3" xfId="0" applyNumberFormat="1" applyFont="1" applyBorder="1" applyAlignment="1">
      <alignment horizontal="right" wrapText="1"/>
    </xf>
    <xf numFmtId="0" fontId="13" fillId="0" borderId="0" xfId="0" applyFont="1" applyAlignment="1">
      <alignment horizontal="left" vertical="top" wrapText="1"/>
    </xf>
    <xf numFmtId="176" fontId="12" fillId="0" borderId="0" xfId="0" applyNumberFormat="1" applyFont="1" applyAlignment="1">
      <alignment horizontal="right" wrapText="1"/>
    </xf>
    <xf numFmtId="170" fontId="12" fillId="0" borderId="0" xfId="0" applyNumberFormat="1" applyFont="1" applyAlignment="1">
      <alignment horizontal="right" wrapText="1"/>
    </xf>
    <xf numFmtId="0" fontId="13" fillId="0" borderId="64" xfId="0" applyFont="1" applyBorder="1" applyAlignment="1">
      <alignment horizontal="left" vertical="top" wrapText="1"/>
    </xf>
    <xf numFmtId="176" fontId="12" fillId="0" borderId="64" xfId="0" applyNumberFormat="1" applyFont="1" applyBorder="1" applyAlignment="1">
      <alignment horizontal="right" wrapText="1"/>
    </xf>
    <xf numFmtId="176" fontId="12" fillId="0" borderId="61" xfId="0" applyNumberFormat="1" applyFont="1" applyBorder="1" applyAlignment="1">
      <alignment horizontal="right" wrapText="1"/>
    </xf>
    <xf numFmtId="176" fontId="12" fillId="0" borderId="57" xfId="0" applyNumberFormat="1" applyFont="1" applyBorder="1" applyAlignment="1">
      <alignment horizontal="right" wrapText="1"/>
    </xf>
    <xf numFmtId="176" fontId="12" fillId="0" borderId="59" xfId="0" applyNumberFormat="1" applyFont="1" applyBorder="1" applyAlignment="1">
      <alignment horizontal="right" wrapText="1"/>
    </xf>
    <xf numFmtId="0" fontId="13" fillId="0" borderId="66" xfId="0" applyFont="1" applyBorder="1" applyAlignment="1">
      <alignment horizontal="left" vertical="top" wrapText="1"/>
    </xf>
    <xf numFmtId="176" fontId="12" fillId="0" borderId="67" xfId="0" applyNumberFormat="1" applyFont="1" applyBorder="1" applyAlignment="1">
      <alignment horizontal="right" wrapText="1"/>
    </xf>
    <xf numFmtId="0" fontId="13" fillId="0" borderId="68" xfId="0" applyFont="1" applyBorder="1" applyAlignment="1">
      <alignment horizontal="left" vertical="top" wrapText="1"/>
    </xf>
    <xf numFmtId="176" fontId="12" fillId="0" borderId="68" xfId="0" applyNumberFormat="1" applyFont="1" applyBorder="1" applyAlignment="1">
      <alignment horizontal="right" wrapText="1"/>
    </xf>
    <xf numFmtId="176" fontId="12" fillId="0" borderId="69" xfId="0" applyNumberFormat="1" applyFont="1" applyBorder="1" applyAlignment="1">
      <alignment horizontal="right" wrapText="1"/>
    </xf>
    <xf numFmtId="0" fontId="13" fillId="61" borderId="66" xfId="0" applyFont="1" applyFill="1" applyBorder="1" applyAlignment="1">
      <alignment horizontal="left" vertical="top" wrapText="1"/>
    </xf>
    <xf numFmtId="0" fontId="43" fillId="0" borderId="70" xfId="0" applyFont="1" applyBorder="1" applyAlignment="1">
      <alignment horizontal="left" vertical="top" wrapText="1"/>
    </xf>
    <xf numFmtId="176" fontId="43" fillId="0" borderId="70" xfId="0" applyNumberFormat="1" applyFont="1" applyBorder="1" applyAlignment="1">
      <alignment horizontal="right" wrapText="1"/>
    </xf>
    <xf numFmtId="0" fontId="43" fillId="0" borderId="70" xfId="0" applyFont="1" applyBorder="1" applyAlignment="1">
      <alignment horizontal="right" wrapText="1"/>
    </xf>
    <xf numFmtId="170" fontId="43" fillId="0" borderId="70" xfId="0" applyNumberFormat="1" applyFont="1" applyBorder="1" applyAlignment="1">
      <alignment horizontal="right" wrapText="1"/>
    </xf>
    <xf numFmtId="176" fontId="12" fillId="0" borderId="69" xfId="0" applyNumberFormat="1" applyFont="1" applyBorder="1" applyAlignment="1">
      <alignment horizontal="right" vertical="top" wrapText="1"/>
    </xf>
    <xf numFmtId="0" fontId="13" fillId="0" borderId="71" xfId="0" applyFont="1" applyBorder="1" applyAlignment="1">
      <alignment horizontal="left" vertical="top" wrapText="1"/>
    </xf>
    <xf numFmtId="176" fontId="13" fillId="0" borderId="57" xfId="0" applyNumberFormat="1" applyFont="1" applyBorder="1" applyAlignment="1">
      <alignment horizontal="right" wrapText="1"/>
    </xf>
    <xf numFmtId="170" fontId="13" fillId="0" borderId="57" xfId="0" applyNumberFormat="1" applyFont="1" applyBorder="1" applyAlignment="1">
      <alignment horizontal="right" wrapText="1"/>
    </xf>
    <xf numFmtId="0" fontId="13" fillId="0" borderId="72" xfId="0" applyFont="1" applyBorder="1" applyAlignment="1">
      <alignment horizontal="left" vertical="top" wrapText="1"/>
    </xf>
    <xf numFmtId="176" fontId="12" fillId="0" borderId="72" xfId="0" applyNumberFormat="1" applyFont="1" applyBorder="1" applyAlignment="1">
      <alignment horizontal="right" wrapText="1"/>
    </xf>
    <xf numFmtId="170" fontId="12" fillId="0" borderId="72" xfId="0" applyNumberFormat="1" applyFont="1" applyBorder="1" applyAlignment="1">
      <alignment horizontal="right" wrapText="1"/>
    </xf>
    <xf numFmtId="177" fontId="12" fillId="0" borderId="72" xfId="0" applyNumberFormat="1" applyFont="1" applyBorder="1" applyAlignment="1">
      <alignment horizontal="right" wrapText="1"/>
    </xf>
    <xf numFmtId="0" fontId="95" fillId="0" borderId="0" xfId="0" applyFont="1" applyAlignment="1">
      <alignment horizontal="right"/>
    </xf>
    <xf numFmtId="176" fontId="98" fillId="0" borderId="0" xfId="0" applyNumberFormat="1" applyFont="1" applyAlignment="1">
      <alignment horizontal="left"/>
    </xf>
    <xf numFmtId="49" fontId="98" fillId="0" borderId="0" xfId="0" applyNumberFormat="1" applyFont="1" applyAlignment="1">
      <alignment horizontal="left"/>
    </xf>
    <xf numFmtId="2" fontId="96" fillId="62" borderId="3" xfId="337" applyNumberFormat="1" applyFont="1" applyFill="1" applyBorder="1" applyAlignment="1">
      <alignment wrapText="1"/>
    </xf>
    <xf numFmtId="1" fontId="43" fillId="0" borderId="3" xfId="337" applyNumberFormat="1" applyFont="1" applyFill="1" applyBorder="1" applyAlignment="1">
      <alignment horizontal="center" wrapText="1"/>
    </xf>
    <xf numFmtId="9" fontId="14" fillId="0" borderId="13" xfId="337" applyFont="1" applyBorder="1" applyAlignment="1">
      <alignment horizontal="center" wrapText="1"/>
    </xf>
    <xf numFmtId="0" fontId="96" fillId="62" borderId="0" xfId="0" applyFont="1" applyFill="1" applyAlignment="1">
      <alignment wrapText="1"/>
    </xf>
    <xf numFmtId="0" fontId="14" fillId="62" borderId="0" xfId="0" applyFont="1" applyFill="1" applyAlignment="1">
      <alignment horizontal="left" vertical="top"/>
    </xf>
    <xf numFmtId="0" fontId="14" fillId="62" borderId="0" xfId="0" applyFont="1" applyFill="1" applyAlignment="1">
      <alignment horizontal="right" wrapText="1"/>
    </xf>
    <xf numFmtId="3" fontId="14" fillId="62" borderId="0" xfId="0" applyNumberFormat="1" applyFont="1" applyFill="1" applyAlignment="1">
      <alignment horizontal="right" wrapText="1"/>
    </xf>
    <xf numFmtId="3" fontId="43" fillId="62" borderId="0" xfId="0" applyNumberFormat="1" applyFont="1" applyFill="1" applyAlignment="1">
      <alignment horizontal="right" wrapText="1"/>
    </xf>
    <xf numFmtId="0" fontId="43" fillId="62" borderId="0" xfId="0" applyFont="1" applyFill="1" applyAlignment="1">
      <alignment horizontal="left" vertical="top"/>
    </xf>
    <xf numFmtId="167" fontId="43" fillId="62" borderId="0" xfId="0" applyNumberFormat="1" applyFont="1" applyFill="1" applyAlignment="1">
      <alignment horizontal="right" wrapText="1"/>
    </xf>
    <xf numFmtId="0" fontId="14" fillId="0" borderId="0" xfId="0" applyFont="1" applyAlignment="1">
      <alignment horizontal="left" vertical="top"/>
    </xf>
    <xf numFmtId="9" fontId="43" fillId="0" borderId="0" xfId="0" applyNumberFormat="1" applyFont="1" applyAlignment="1">
      <alignment horizontal="left" vertical="top" wrapText="1"/>
    </xf>
    <xf numFmtId="9" fontId="43" fillId="0" borderId="0" xfId="0" applyNumberFormat="1" applyFont="1" applyAlignment="1">
      <alignment wrapText="1"/>
    </xf>
    <xf numFmtId="169" fontId="43" fillId="0" borderId="0" xfId="0" applyNumberFormat="1" applyFont="1" applyAlignment="1">
      <alignment horizontal="right" wrapText="1"/>
    </xf>
    <xf numFmtId="0" fontId="43" fillId="62" borderId="0" xfId="0" applyFont="1" applyFill="1" applyAlignment="1">
      <alignment wrapText="1"/>
    </xf>
    <xf numFmtId="3" fontId="43" fillId="62" borderId="0" xfId="0" applyNumberFormat="1" applyFont="1" applyFill="1" applyAlignment="1">
      <alignment wrapText="1"/>
    </xf>
    <xf numFmtId="0" fontId="97" fillId="0" borderId="0" xfId="0" applyFont="1" applyAlignment="1">
      <alignment horizontal="right"/>
    </xf>
    <xf numFmtId="171" fontId="43" fillId="0" borderId="0" xfId="0" applyNumberFormat="1" applyFont="1" applyAlignment="1">
      <alignment wrapText="1"/>
    </xf>
    <xf numFmtId="0" fontId="92" fillId="74" borderId="0" xfId="0" applyFont="1" applyFill="1" applyAlignment="1">
      <alignment wrapText="1"/>
    </xf>
    <xf numFmtId="9" fontId="43" fillId="74" borderId="0" xfId="0" applyNumberFormat="1" applyFont="1" applyFill="1" applyAlignment="1">
      <alignment horizontal="left" vertical="top" wrapText="1"/>
    </xf>
    <xf numFmtId="0" fontId="43" fillId="74" borderId="0" xfId="0" applyFont="1" applyFill="1" applyAlignment="1">
      <alignment wrapText="1"/>
    </xf>
    <xf numFmtId="171" fontId="43" fillId="74" borderId="0" xfId="0" applyNumberFormat="1" applyFont="1" applyFill="1" applyAlignment="1">
      <alignment wrapText="1"/>
    </xf>
    <xf numFmtId="167" fontId="43" fillId="74" borderId="0" xfId="0" applyNumberFormat="1" applyFont="1" applyFill="1" applyAlignment="1">
      <alignment horizontal="right" wrapText="1"/>
    </xf>
    <xf numFmtId="0" fontId="96" fillId="62" borderId="0" xfId="0" applyFont="1" applyFill="1" applyAlignment="1">
      <alignment horizontal="left" wrapText="1"/>
    </xf>
    <xf numFmtId="3" fontId="43" fillId="62" borderId="0" xfId="0" applyNumberFormat="1" applyFont="1" applyFill="1"/>
    <xf numFmtId="0" fontId="14" fillId="62" borderId="0" xfId="0" applyFont="1" applyFill="1" applyAlignment="1">
      <alignment wrapText="1"/>
    </xf>
    <xf numFmtId="167" fontId="14" fillId="62" borderId="0" xfId="0" applyNumberFormat="1" applyFont="1" applyFill="1" applyAlignment="1">
      <alignment horizontal="right" wrapText="1"/>
    </xf>
    <xf numFmtId="9" fontId="92" fillId="74" borderId="0" xfId="0" applyNumberFormat="1" applyFont="1" applyFill="1" applyAlignment="1">
      <alignment horizontal="left" vertical="top" wrapText="1"/>
    </xf>
    <xf numFmtId="167" fontId="92" fillId="74" borderId="0" xfId="0" applyNumberFormat="1" applyFont="1" applyFill="1" applyAlignment="1">
      <alignment horizontal="right" wrapText="1"/>
    </xf>
    <xf numFmtId="10" fontId="92" fillId="0" borderId="0" xfId="337" applyNumberFormat="1" applyFont="1"/>
    <xf numFmtId="0" fontId="92" fillId="0" borderId="0" xfId="0" applyFont="1"/>
    <xf numFmtId="0" fontId="14" fillId="63" borderId="0" xfId="0" applyFont="1" applyFill="1" applyAlignment="1">
      <alignment vertical="center"/>
    </xf>
    <xf numFmtId="3" fontId="14" fillId="63" borderId="0" xfId="0" applyNumberFormat="1" applyFont="1" applyFill="1"/>
    <xf numFmtId="167" fontId="14" fillId="63" borderId="0" xfId="0" applyNumberFormat="1" applyFont="1" applyFill="1" applyAlignment="1">
      <alignment horizontal="right" wrapText="1"/>
    </xf>
    <xf numFmtId="0" fontId="14" fillId="73" borderId="0" xfId="0" applyFont="1" applyFill="1" applyAlignment="1">
      <alignment horizontal="left" wrapText="1"/>
    </xf>
    <xf numFmtId="0" fontId="14" fillId="73" borderId="0" xfId="0" applyFont="1" applyFill="1" applyAlignment="1">
      <alignment horizontal="left" vertical="top"/>
    </xf>
    <xf numFmtId="167" fontId="14" fillId="73" borderId="0" xfId="0" applyNumberFormat="1" applyFont="1" applyFill="1" applyAlignment="1">
      <alignment horizontal="right" wrapText="1"/>
    </xf>
    <xf numFmtId="0" fontId="92" fillId="0" borderId="0" xfId="0" applyFont="1" applyAlignment="1">
      <alignment horizontal="left" wrapText="1"/>
    </xf>
    <xf numFmtId="167" fontId="100" fillId="0" borderId="0" xfId="0" applyNumberFormat="1" applyFont="1" applyAlignment="1">
      <alignment horizontal="right" wrapText="1"/>
    </xf>
    <xf numFmtId="0" fontId="14" fillId="62" borderId="13" xfId="0" applyFont="1" applyFill="1" applyBorder="1" applyAlignment="1">
      <alignment wrapText="1"/>
    </xf>
    <xf numFmtId="3" fontId="14" fillId="62" borderId="13" xfId="0" applyNumberFormat="1" applyFont="1" applyFill="1" applyBorder="1" applyAlignment="1">
      <alignment horizontal="right" wrapText="1"/>
    </xf>
    <xf numFmtId="174" fontId="14" fillId="62" borderId="13" xfId="0" applyNumberFormat="1" applyFont="1" applyFill="1" applyBorder="1" applyAlignment="1">
      <alignment horizontal="right" wrapText="1"/>
    </xf>
    <xf numFmtId="0" fontId="97" fillId="0" borderId="0" xfId="0" applyFont="1"/>
    <xf numFmtId="10" fontId="14" fillId="0" borderId="0" xfId="0" applyNumberFormat="1" applyFont="1"/>
    <xf numFmtId="174" fontId="43" fillId="0" borderId="0" xfId="0" applyNumberFormat="1" applyFont="1" applyAlignment="1">
      <alignment horizontal="right" wrapText="1"/>
    </xf>
    <xf numFmtId="0" fontId="14" fillId="62" borderId="18" xfId="0" applyFont="1" applyFill="1" applyBorder="1" applyAlignment="1">
      <alignment wrapText="1"/>
    </xf>
    <xf numFmtId="3" fontId="14" fillId="62" borderId="18" xfId="0" applyNumberFormat="1" applyFont="1" applyFill="1" applyBorder="1" applyAlignment="1">
      <alignment horizontal="right" wrapText="1"/>
    </xf>
    <xf numFmtId="174" fontId="14" fillId="62" borderId="18" xfId="98" applyNumberFormat="1" applyFont="1" applyFill="1" applyBorder="1" applyAlignment="1">
      <alignment horizontal="right" wrapText="1"/>
    </xf>
    <xf numFmtId="0" fontId="104" fillId="0" borderId="0" xfId="0" applyFont="1" applyAlignment="1">
      <alignment wrapText="1"/>
    </xf>
    <xf numFmtId="9" fontId="43" fillId="0" borderId="3" xfId="337" applyFont="1" applyBorder="1" applyAlignment="1">
      <alignment horizontal="center" wrapText="1"/>
    </xf>
    <xf numFmtId="9" fontId="14" fillId="63" borderId="0" xfId="337" applyFont="1" applyFill="1" applyBorder="1" applyAlignment="1">
      <alignment horizontal="center" vertical="center" wrapText="1"/>
    </xf>
    <xf numFmtId="9" fontId="96" fillId="62" borderId="0" xfId="337" applyFont="1" applyFill="1" applyBorder="1" applyAlignment="1">
      <alignment horizontal="center" wrapText="1"/>
    </xf>
    <xf numFmtId="9" fontId="43" fillId="0" borderId="0" xfId="337" applyFont="1" applyBorder="1" applyAlignment="1">
      <alignment horizontal="center" wrapText="1"/>
    </xf>
    <xf numFmtId="9" fontId="43" fillId="0" borderId="0" xfId="337" applyFont="1" applyFill="1" applyBorder="1" applyAlignment="1">
      <alignment horizontal="center" wrapText="1"/>
    </xf>
    <xf numFmtId="9" fontId="43" fillId="62" borderId="0" xfId="337" applyFont="1" applyFill="1" applyBorder="1" applyAlignment="1">
      <alignment horizontal="center" wrapText="1"/>
    </xf>
    <xf numFmtId="0" fontId="14" fillId="61" borderId="13" xfId="0" applyFont="1" applyFill="1" applyBorder="1" applyAlignment="1">
      <alignment horizontal="center" wrapText="1"/>
    </xf>
    <xf numFmtId="0" fontId="14" fillId="0" borderId="0" xfId="0" applyFont="1" applyAlignment="1">
      <alignment horizontal="center" vertical="top"/>
    </xf>
    <xf numFmtId="9" fontId="14" fillId="63" borderId="0" xfId="337" applyFont="1" applyFill="1" applyAlignment="1">
      <alignment horizontal="center" wrapText="1"/>
    </xf>
    <xf numFmtId="9" fontId="43" fillId="0" borderId="0" xfId="337" applyFont="1" applyFill="1" applyAlignment="1">
      <alignment horizontal="center" wrapText="1"/>
    </xf>
    <xf numFmtId="9" fontId="14" fillId="61" borderId="13" xfId="337" applyFont="1" applyFill="1" applyBorder="1" applyAlignment="1">
      <alignment horizontal="center" wrapText="1"/>
    </xf>
    <xf numFmtId="9" fontId="96" fillId="62" borderId="0" xfId="337" applyFont="1" applyFill="1" applyAlignment="1">
      <alignment horizontal="center" wrapText="1"/>
    </xf>
    <xf numFmtId="9" fontId="43" fillId="0" borderId="0" xfId="337" applyFont="1" applyAlignment="1">
      <alignment horizontal="center" wrapText="1"/>
    </xf>
    <xf numFmtId="9" fontId="92" fillId="74" borderId="0" xfId="337" applyFont="1" applyFill="1" applyAlignment="1">
      <alignment horizontal="center" wrapText="1"/>
    </xf>
    <xf numFmtId="9" fontId="14" fillId="63" borderId="0" xfId="337" applyFont="1" applyFill="1" applyBorder="1" applyAlignment="1">
      <alignment horizontal="center" vertical="center"/>
    </xf>
    <xf numFmtId="9" fontId="14" fillId="73" borderId="0" xfId="337" applyFont="1" applyFill="1" applyAlignment="1">
      <alignment horizontal="center" wrapText="1"/>
    </xf>
    <xf numFmtId="9" fontId="14" fillId="61" borderId="0" xfId="337" applyFont="1" applyFill="1" applyAlignment="1">
      <alignment horizontal="center" wrapText="1"/>
    </xf>
    <xf numFmtId="9" fontId="14" fillId="0" borderId="0" xfId="337" applyFont="1" applyFill="1" applyAlignment="1">
      <alignment horizontal="center" wrapText="1"/>
    </xf>
    <xf numFmtId="0" fontId="96" fillId="62" borderId="0" xfId="0" applyFont="1" applyFill="1" applyAlignment="1">
      <alignment horizontal="center" wrapText="1"/>
    </xf>
    <xf numFmtId="9" fontId="100" fillId="61" borderId="0" xfId="337" applyFont="1" applyFill="1" applyAlignment="1">
      <alignment horizontal="center" wrapText="1"/>
    </xf>
    <xf numFmtId="9" fontId="14" fillId="0" borderId="0" xfId="337" applyFont="1" applyFill="1" applyBorder="1" applyAlignment="1">
      <alignment horizontal="center" wrapText="1"/>
    </xf>
    <xf numFmtId="9" fontId="14" fillId="62" borderId="13" xfId="337" applyFont="1" applyFill="1" applyBorder="1" applyAlignment="1">
      <alignment horizontal="center" wrapText="1"/>
    </xf>
    <xf numFmtId="9" fontId="101" fillId="0" borderId="0" xfId="337" applyFont="1" applyAlignment="1">
      <alignment horizontal="center" wrapText="1"/>
    </xf>
    <xf numFmtId="9" fontId="97" fillId="0" borderId="0" xfId="337" applyFont="1" applyFill="1" applyAlignment="1">
      <alignment horizontal="center"/>
    </xf>
    <xf numFmtId="9" fontId="14" fillId="62" borderId="18" xfId="337" applyFont="1" applyFill="1" applyBorder="1" applyAlignment="1">
      <alignment horizontal="center" wrapText="1"/>
    </xf>
    <xf numFmtId="9" fontId="104" fillId="0" borderId="0" xfId="337" applyFont="1" applyFill="1" applyAlignment="1">
      <alignment horizontal="center" wrapText="1"/>
    </xf>
    <xf numFmtId="9" fontId="104" fillId="0" borderId="0" xfId="337" applyFont="1" applyAlignment="1">
      <alignment horizontal="center" wrapText="1"/>
    </xf>
    <xf numFmtId="0" fontId="92" fillId="0" borderId="0" xfId="0" applyFont="1" applyAlignment="1">
      <alignment horizontal="center"/>
    </xf>
    <xf numFmtId="174" fontId="43" fillId="0" borderId="0" xfId="0" applyNumberFormat="1" applyFont="1" applyAlignment="1">
      <alignment wrapText="1"/>
    </xf>
    <xf numFmtId="0" fontId="14" fillId="61" borderId="0" xfId="0" applyFont="1" applyFill="1" applyAlignment="1">
      <alignment wrapText="1"/>
    </xf>
    <xf numFmtId="3" fontId="14" fillId="61" borderId="0" xfId="0" applyNumberFormat="1" applyFont="1" applyFill="1" applyAlignment="1">
      <alignment wrapText="1"/>
    </xf>
    <xf numFmtId="174" fontId="14" fillId="61" borderId="0" xfId="98" applyNumberFormat="1" applyFont="1" applyFill="1" applyBorder="1" applyAlignment="1">
      <alignment horizontal="right" wrapText="1"/>
    </xf>
    <xf numFmtId="0" fontId="14" fillId="0" borderId="0" xfId="0" applyFont="1" applyAlignment="1">
      <alignment horizontal="center" wrapText="1"/>
    </xf>
    <xf numFmtId="3" fontId="14" fillId="0" borderId="0" xfId="0" applyNumberFormat="1" applyFont="1" applyAlignment="1">
      <alignment horizontal="center" wrapText="1"/>
    </xf>
    <xf numFmtId="3" fontId="14" fillId="0" borderId="0" xfId="0" applyNumberFormat="1" applyFont="1" applyAlignment="1">
      <alignment horizontal="center"/>
    </xf>
    <xf numFmtId="173" fontId="14" fillId="61" borderId="0" xfId="0" applyNumberFormat="1" applyFont="1" applyFill="1" applyAlignment="1">
      <alignment horizontal="right" wrapText="1"/>
    </xf>
    <xf numFmtId="174" fontId="14" fillId="61" borderId="0" xfId="0" applyNumberFormat="1" applyFont="1" applyFill="1" applyAlignment="1">
      <alignment horizontal="right" wrapText="1"/>
    </xf>
    <xf numFmtId="0" fontId="14" fillId="61" borderId="0" xfId="0" applyFont="1" applyFill="1" applyAlignment="1">
      <alignment horizontal="left" wrapText="1"/>
    </xf>
    <xf numFmtId="3" fontId="14" fillId="61" borderId="0" xfId="0" applyNumberFormat="1" applyFont="1" applyFill="1" applyAlignment="1">
      <alignment horizontal="right" wrapText="1"/>
    </xf>
    <xf numFmtId="0" fontId="6" fillId="0" borderId="20" xfId="0" applyFont="1" applyBorder="1"/>
    <xf numFmtId="0" fontId="6" fillId="0" borderId="0" xfId="0" applyFont="1"/>
    <xf numFmtId="0" fontId="6" fillId="70" borderId="0" xfId="0" applyFont="1" applyFill="1" applyAlignment="1">
      <alignment horizontal="center"/>
    </xf>
    <xf numFmtId="0" fontId="6" fillId="66" borderId="3" xfId="0" applyFont="1" applyFill="1" applyBorder="1"/>
    <xf numFmtId="0" fontId="6" fillId="64" borderId="0" xfId="0" applyFont="1" applyFill="1"/>
    <xf numFmtId="0" fontId="6" fillId="68" borderId="3" xfId="0" applyFont="1" applyFill="1" applyBorder="1"/>
    <xf numFmtId="0" fontId="6" fillId="64" borderId="3" xfId="0" applyFont="1" applyFill="1" applyBorder="1"/>
    <xf numFmtId="0" fontId="6" fillId="64" borderId="3" xfId="0" applyFont="1" applyFill="1" applyBorder="1" applyAlignment="1">
      <alignment horizontal="center"/>
    </xf>
    <xf numFmtId="0" fontId="6" fillId="66" borderId="23" xfId="0" applyFont="1" applyFill="1" applyBorder="1" applyAlignment="1">
      <alignment horizontal="center" vertical="center"/>
    </xf>
    <xf numFmtId="0" fontId="6" fillId="71" borderId="3" xfId="0" applyFont="1" applyFill="1" applyBorder="1" applyAlignment="1">
      <alignment horizontal="center"/>
    </xf>
    <xf numFmtId="0" fontId="6" fillId="66" borderId="3" xfId="0" applyFont="1" applyFill="1" applyBorder="1" applyAlignment="1">
      <alignment horizontal="center"/>
    </xf>
    <xf numFmtId="0" fontId="6" fillId="68" borderId="3" xfId="0" applyFont="1" applyFill="1" applyBorder="1" applyAlignment="1">
      <alignment horizontal="center"/>
    </xf>
    <xf numFmtId="0" fontId="6" fillId="67" borderId="3" xfId="0" applyFont="1" applyFill="1" applyBorder="1" applyAlignment="1">
      <alignment horizontal="center"/>
    </xf>
    <xf numFmtId="0" fontId="6" fillId="68" borderId="24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67" fontId="6" fillId="64" borderId="26" xfId="52" applyNumberFormat="1" applyFont="1" applyFill="1" applyBorder="1"/>
    <xf numFmtId="0" fontId="6" fillId="0" borderId="3" xfId="0" applyFont="1" applyBorder="1"/>
    <xf numFmtId="0" fontId="6" fillId="72" borderId="3" xfId="0" applyFont="1" applyFill="1" applyBorder="1" applyAlignment="1">
      <alignment horizontal="center"/>
    </xf>
    <xf numFmtId="9" fontId="43" fillId="70" borderId="3" xfId="337" applyFont="1" applyFill="1" applyBorder="1" applyAlignment="1">
      <alignment horizontal="center" wrapText="1"/>
    </xf>
    <xf numFmtId="0" fontId="5" fillId="0" borderId="0" xfId="515"/>
    <xf numFmtId="0" fontId="88" fillId="0" borderId="0" xfId="515" applyFont="1" applyAlignment="1">
      <alignment wrapText="1"/>
    </xf>
    <xf numFmtId="0" fontId="88" fillId="0" borderId="23" xfId="515" applyFont="1" applyBorder="1"/>
    <xf numFmtId="0" fontId="5" fillId="0" borderId="3" xfId="515" applyBorder="1"/>
    <xf numFmtId="6" fontId="5" fillId="72" borderId="3" xfId="515" applyNumberFormat="1" applyFill="1" applyBorder="1"/>
    <xf numFmtId="6" fontId="5" fillId="0" borderId="3" xfId="515" applyNumberFormat="1" applyBorder="1"/>
    <xf numFmtId="0" fontId="88" fillId="61" borderId="23" xfId="515" applyFont="1" applyFill="1" applyBorder="1"/>
    <xf numFmtId="0" fontId="5" fillId="61" borderId="3" xfId="515" applyFill="1" applyBorder="1"/>
    <xf numFmtId="0" fontId="88" fillId="0" borderId="0" xfId="515" applyFont="1"/>
    <xf numFmtId="6" fontId="5" fillId="0" borderId="0" xfId="515" applyNumberFormat="1"/>
    <xf numFmtId="44" fontId="43" fillId="0" borderId="0" xfId="0" applyNumberFormat="1" applyFont="1"/>
    <xf numFmtId="165" fontId="43" fillId="0" borderId="0" xfId="98" applyFont="1" applyAlignment="1">
      <alignment horizontal="right" wrapText="1"/>
    </xf>
    <xf numFmtId="171" fontId="43" fillId="0" borderId="0" xfId="337" applyNumberFormat="1" applyFont="1"/>
    <xf numFmtId="174" fontId="43" fillId="0" borderId="0" xfId="98" applyNumberFormat="1" applyFont="1"/>
    <xf numFmtId="0" fontId="5" fillId="61" borderId="3" xfId="515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43" fillId="0" borderId="0" xfId="0" applyNumberFormat="1" applyFont="1" applyAlignment="1">
      <alignment wrapText="1"/>
    </xf>
    <xf numFmtId="167" fontId="43" fillId="0" borderId="0" xfId="52" applyNumberFormat="1" applyFont="1" applyAlignment="1">
      <alignment horizontal="right" wrapText="1"/>
    </xf>
    <xf numFmtId="0" fontId="14" fillId="0" borderId="0" xfId="0" applyFont="1" applyAlignment="1">
      <alignment vertical="center" wrapText="1"/>
    </xf>
    <xf numFmtId="0" fontId="92" fillId="74" borderId="0" xfId="0" applyFont="1" applyFill="1" applyAlignment="1">
      <alignment horizontal="left" wrapText="1"/>
    </xf>
    <xf numFmtId="3" fontId="92" fillId="74" borderId="0" xfId="0" applyNumberFormat="1" applyFont="1" applyFill="1" applyAlignment="1">
      <alignment horizontal="left" wrapText="1"/>
    </xf>
    <xf numFmtId="0" fontId="88" fillId="0" borderId="0" xfId="515" applyFont="1" applyAlignment="1">
      <alignment horizontal="center" vertical="center" wrapText="1"/>
    </xf>
    <xf numFmtId="0" fontId="5" fillId="0" borderId="0" xfId="515" applyAlignment="1">
      <alignment horizontal="center" vertical="center" wrapText="1"/>
    </xf>
    <xf numFmtId="9" fontId="43" fillId="0" borderId="0" xfId="0" applyNumberFormat="1" applyFont="1"/>
    <xf numFmtId="0" fontId="88" fillId="0" borderId="23" xfId="515" applyFont="1" applyBorder="1" applyAlignment="1">
      <alignment horizontal="center" vertical="center" wrapText="1"/>
    </xf>
    <xf numFmtId="0" fontId="88" fillId="0" borderId="3" xfId="515" applyFont="1" applyBorder="1" applyAlignment="1">
      <alignment horizontal="center" vertical="center" wrapText="1"/>
    </xf>
    <xf numFmtId="0" fontId="88" fillId="79" borderId="38" xfId="515" applyFont="1" applyFill="1" applyBorder="1" applyAlignment="1">
      <alignment horizontal="center" vertical="center" wrapText="1"/>
    </xf>
    <xf numFmtId="0" fontId="88" fillId="79" borderId="39" xfId="515" applyFont="1" applyFill="1" applyBorder="1" applyAlignment="1">
      <alignment horizontal="center" vertical="center" wrapText="1"/>
    </xf>
    <xf numFmtId="0" fontId="88" fillId="79" borderId="40" xfId="515" applyFont="1" applyFill="1" applyBorder="1" applyAlignment="1">
      <alignment horizontal="center" vertical="center" wrapText="1"/>
    </xf>
    <xf numFmtId="0" fontId="5" fillId="61" borderId="24" xfId="515" applyFill="1" applyBorder="1"/>
    <xf numFmtId="0" fontId="88" fillId="0" borderId="26" xfId="515" applyFont="1" applyBorder="1"/>
    <xf numFmtId="6" fontId="5" fillId="72" borderId="27" xfId="515" applyNumberFormat="1" applyFill="1" applyBorder="1"/>
    <xf numFmtId="0" fontId="5" fillId="61" borderId="24" xfId="515" applyFill="1" applyBorder="1" applyAlignment="1">
      <alignment horizontal="center" vertical="center" wrapText="1"/>
    </xf>
    <xf numFmtId="0" fontId="88" fillId="0" borderId="87" xfId="515" applyFont="1" applyBorder="1"/>
    <xf numFmtId="0" fontId="5" fillId="0" borderId="22" xfId="515" applyBorder="1"/>
    <xf numFmtId="0" fontId="88" fillId="0" borderId="24" xfId="515" applyFont="1" applyBorder="1" applyAlignment="1">
      <alignment horizontal="center" vertical="center" wrapText="1"/>
    </xf>
    <xf numFmtId="6" fontId="5" fillId="0" borderId="22" xfId="515" applyNumberFormat="1" applyBorder="1"/>
    <xf numFmtId="0" fontId="88" fillId="79" borderId="38" xfId="515" applyFont="1" applyFill="1" applyBorder="1" applyAlignment="1">
      <alignment wrapText="1"/>
    </xf>
    <xf numFmtId="0" fontId="5" fillId="0" borderId="88" xfId="515" applyBorder="1"/>
    <xf numFmtId="0" fontId="5" fillId="0" borderId="24" xfId="515" applyBorder="1"/>
    <xf numFmtId="6" fontId="5" fillId="72" borderId="24" xfId="515" applyNumberFormat="1" applyFill="1" applyBorder="1"/>
    <xf numFmtId="6" fontId="5" fillId="0" borderId="24" xfId="515" applyNumberFormat="1" applyBorder="1"/>
    <xf numFmtId="6" fontId="5" fillId="72" borderId="28" xfId="515" applyNumberFormat="1" applyFill="1" applyBorder="1"/>
    <xf numFmtId="0" fontId="14" fillId="80" borderId="0" xfId="0" applyFont="1" applyFill="1" applyAlignment="1">
      <alignment horizontal="center" wrapText="1"/>
    </xf>
    <xf numFmtId="0" fontId="14" fillId="80" borderId="0" xfId="0" applyFont="1" applyFill="1" applyAlignment="1">
      <alignment horizontal="left" vertical="top"/>
    </xf>
    <xf numFmtId="0" fontId="14" fillId="80" borderId="0" xfId="0" applyFont="1" applyFill="1" applyAlignment="1">
      <alignment horizontal="right" wrapText="1"/>
    </xf>
    <xf numFmtId="0" fontId="43" fillId="0" borderId="0" xfId="0" applyFont="1" applyAlignment="1">
      <alignment horizontal="center" wrapText="1"/>
    </xf>
    <xf numFmtId="0" fontId="100" fillId="80" borderId="0" xfId="0" applyFont="1" applyFill="1" applyAlignment="1">
      <alignment horizontal="right" wrapText="1"/>
    </xf>
    <xf numFmtId="3" fontId="100" fillId="80" borderId="0" xfId="0" applyNumberFormat="1" applyFont="1" applyFill="1" applyAlignment="1">
      <alignment horizontal="right" wrapText="1"/>
    </xf>
    <xf numFmtId="0" fontId="100" fillId="80" borderId="0" xfId="0" applyFont="1" applyFill="1" applyAlignment="1">
      <alignment horizontal="center" wrapText="1"/>
    </xf>
    <xf numFmtId="9" fontId="14" fillId="62" borderId="13" xfId="337" applyFont="1" applyFill="1" applyBorder="1" applyAlignment="1">
      <alignment horizontal="right" wrapText="1"/>
    </xf>
    <xf numFmtId="9" fontId="14" fillId="62" borderId="18" xfId="337" applyFont="1" applyFill="1" applyBorder="1" applyAlignment="1">
      <alignment horizontal="right" wrapText="1"/>
    </xf>
    <xf numFmtId="0" fontId="113" fillId="0" borderId="0" xfId="515" applyFont="1"/>
    <xf numFmtId="0" fontId="5" fillId="0" borderId="0" xfId="515" pivotButton="1"/>
    <xf numFmtId="0" fontId="2" fillId="0" borderId="0" xfId="520"/>
    <xf numFmtId="0" fontId="2" fillId="0" borderId="38" xfId="520" applyBorder="1"/>
    <xf numFmtId="0" fontId="2" fillId="0" borderId="91" xfId="520" applyBorder="1"/>
    <xf numFmtId="0" fontId="2" fillId="70" borderId="0" xfId="520" applyFill="1"/>
    <xf numFmtId="0" fontId="2" fillId="70" borderId="0" xfId="520" applyFill="1" applyAlignment="1">
      <alignment vertical="center"/>
    </xf>
    <xf numFmtId="0" fontId="2" fillId="0" borderId="23" xfId="520" applyBorder="1"/>
    <xf numFmtId="0" fontId="110" fillId="0" borderId="3" xfId="520" applyFont="1" applyBorder="1" applyAlignment="1">
      <alignment horizontal="left" vertical="center"/>
    </xf>
    <xf numFmtId="0" fontId="110" fillId="0" borderId="24" xfId="520" applyFont="1" applyBorder="1" applyAlignment="1">
      <alignment horizontal="left" vertical="center"/>
    </xf>
    <xf numFmtId="0" fontId="2" fillId="0" borderId="43" xfId="520" applyBorder="1"/>
    <xf numFmtId="0" fontId="2" fillId="0" borderId="39" xfId="520" applyBorder="1" applyAlignment="1">
      <alignment horizontal="left" vertical="center"/>
    </xf>
    <xf numFmtId="0" fontId="2" fillId="0" borderId="24" xfId="520" applyBorder="1" applyAlignment="1">
      <alignment horizontal="left" vertical="center"/>
    </xf>
    <xf numFmtId="0" fontId="2" fillId="0" borderId="26" xfId="520" applyBorder="1"/>
    <xf numFmtId="0" fontId="2" fillId="0" borderId="28" xfId="520" applyBorder="1" applyAlignment="1">
      <alignment horizontal="left" vertical="center"/>
    </xf>
    <xf numFmtId="0" fontId="2" fillId="0" borderId="44" xfId="520" applyBorder="1"/>
    <xf numFmtId="0" fontId="111" fillId="0" borderId="23" xfId="520" applyFont="1" applyBorder="1"/>
    <xf numFmtId="0" fontId="2" fillId="0" borderId="39" xfId="520" applyBorder="1" applyAlignment="1">
      <alignment horizontal="left"/>
    </xf>
    <xf numFmtId="0" fontId="2" fillId="0" borderId="88" xfId="520" applyBorder="1"/>
    <xf numFmtId="0" fontId="2" fillId="0" borderId="40" xfId="520" applyBorder="1" applyAlignment="1">
      <alignment horizontal="left"/>
    </xf>
    <xf numFmtId="0" fontId="2" fillId="0" borderId="23" xfId="520" applyBorder="1" applyAlignment="1">
      <alignment wrapText="1"/>
    </xf>
    <xf numFmtId="0" fontId="110" fillId="70" borderId="3" xfId="520" applyFont="1" applyFill="1" applyBorder="1" applyAlignment="1">
      <alignment horizontal="center" vertical="center"/>
    </xf>
    <xf numFmtId="0" fontId="2" fillId="70" borderId="3" xfId="520" applyFill="1" applyBorder="1" applyAlignment="1">
      <alignment horizontal="center" vertical="center"/>
    </xf>
    <xf numFmtId="0" fontId="2" fillId="70" borderId="0" xfId="520" applyFill="1" applyAlignment="1">
      <alignment horizontal="center"/>
    </xf>
    <xf numFmtId="0" fontId="109" fillId="70" borderId="32" xfId="520" applyFont="1" applyFill="1" applyBorder="1" applyAlignment="1">
      <alignment horizontal="center" vertical="center" wrapText="1"/>
    </xf>
    <xf numFmtId="0" fontId="115" fillId="70" borderId="32" xfId="520" applyFont="1" applyFill="1" applyBorder="1" applyAlignment="1">
      <alignment horizontal="center" vertical="center" wrapText="1"/>
    </xf>
    <xf numFmtId="0" fontId="115" fillId="70" borderId="25" xfId="520" applyFont="1" applyFill="1" applyBorder="1" applyAlignment="1">
      <alignment horizontal="center" vertical="center" wrapText="1"/>
    </xf>
    <xf numFmtId="0" fontId="115" fillId="70" borderId="5" xfId="520" applyFont="1" applyFill="1" applyBorder="1" applyAlignment="1">
      <alignment horizontal="center" vertical="center" wrapText="1"/>
    </xf>
    <xf numFmtId="0" fontId="115" fillId="70" borderId="33" xfId="520" applyFont="1" applyFill="1" applyBorder="1" applyAlignment="1">
      <alignment horizontal="center" vertical="center" wrapText="1"/>
    </xf>
    <xf numFmtId="0" fontId="109" fillId="70" borderId="83" xfId="520" applyFont="1" applyFill="1" applyBorder="1" applyAlignment="1">
      <alignment horizontal="center" vertical="center" wrapText="1"/>
    </xf>
    <xf numFmtId="0" fontId="105" fillId="78" borderId="25" xfId="520" applyFont="1" applyFill="1" applyBorder="1" applyAlignment="1">
      <alignment horizontal="center" vertical="center"/>
    </xf>
    <xf numFmtId="0" fontId="105" fillId="83" borderId="25" xfId="520" applyFont="1" applyFill="1" applyBorder="1" applyAlignment="1">
      <alignment horizontal="center" vertical="center"/>
    </xf>
    <xf numFmtId="0" fontId="105" fillId="84" borderId="25" xfId="520" applyFont="1" applyFill="1" applyBorder="1" applyAlignment="1">
      <alignment horizontal="center" vertical="center"/>
    </xf>
    <xf numFmtId="0" fontId="105" fillId="71" borderId="25" xfId="520" applyFont="1" applyFill="1" applyBorder="1" applyAlignment="1">
      <alignment horizontal="center" vertical="center"/>
    </xf>
    <xf numFmtId="0" fontId="2" fillId="70" borderId="0" xfId="520" applyFill="1" applyAlignment="1">
      <alignment horizontal="center" vertical="center"/>
    </xf>
    <xf numFmtId="0" fontId="2" fillId="83" borderId="25" xfId="520" applyFill="1" applyBorder="1" applyAlignment="1">
      <alignment horizontal="center" vertical="center"/>
    </xf>
    <xf numFmtId="0" fontId="2" fillId="78" borderId="25" xfId="520" applyFill="1" applyBorder="1" applyAlignment="1">
      <alignment horizontal="center"/>
    </xf>
    <xf numFmtId="0" fontId="2" fillId="84" borderId="25" xfId="520" applyFill="1" applyBorder="1" applyAlignment="1">
      <alignment horizontal="center"/>
    </xf>
    <xf numFmtId="0" fontId="2" fillId="71" borderId="25" xfId="520" applyFill="1" applyBorder="1" applyAlignment="1">
      <alignment horizontal="center"/>
    </xf>
    <xf numFmtId="0" fontId="2" fillId="0" borderId="35" xfId="520" applyBorder="1"/>
    <xf numFmtId="0" fontId="108" fillId="0" borderId="98" xfId="520" applyFont="1" applyBorder="1" applyAlignment="1">
      <alignment horizontal="center" vertical="center" textRotation="45" wrapText="1"/>
    </xf>
    <xf numFmtId="0" fontId="88" fillId="0" borderId="98" xfId="520" applyFont="1" applyBorder="1" applyAlignment="1">
      <alignment vertical="center" textRotation="45" wrapText="1"/>
    </xf>
    <xf numFmtId="0" fontId="2" fillId="0" borderId="35" xfId="520" applyBorder="1" applyAlignment="1">
      <alignment vertical="center"/>
    </xf>
    <xf numFmtId="195" fontId="43" fillId="0" borderId="0" xfId="337" applyNumberFormat="1" applyFont="1" applyAlignment="1">
      <alignment horizontal="right" wrapText="1"/>
    </xf>
    <xf numFmtId="174" fontId="14" fillId="0" borderId="3" xfId="98" applyNumberFormat="1" applyFont="1" applyFill="1" applyBorder="1" applyAlignment="1">
      <alignment horizontal="center" wrapText="1"/>
    </xf>
    <xf numFmtId="174" fontId="103" fillId="62" borderId="3" xfId="337" applyNumberFormat="1" applyFont="1" applyFill="1" applyBorder="1" applyAlignment="1">
      <alignment wrapText="1"/>
    </xf>
    <xf numFmtId="9" fontId="98" fillId="64" borderId="3" xfId="337" applyFont="1" applyFill="1" applyBorder="1" applyAlignment="1">
      <alignment horizontal="center" wrapText="1"/>
    </xf>
    <xf numFmtId="9" fontId="116" fillId="0" borderId="0" xfId="0" applyNumberFormat="1" applyFont="1" applyAlignment="1">
      <alignment horizontal="left" vertical="top" wrapText="1"/>
    </xf>
    <xf numFmtId="167" fontId="116" fillId="0" borderId="0" xfId="0" applyNumberFormat="1" applyFont="1" applyAlignment="1">
      <alignment horizontal="right" wrapText="1"/>
    </xf>
    <xf numFmtId="10" fontId="116" fillId="0" borderId="0" xfId="337" applyNumberFormat="1" applyFont="1" applyAlignment="1">
      <alignment horizontal="right" wrapText="1"/>
    </xf>
    <xf numFmtId="0" fontId="93" fillId="0" borderId="0" xfId="0" applyFont="1" applyAlignment="1">
      <alignment horizontal="left" wrapText="1"/>
    </xf>
    <xf numFmtId="9" fontId="93" fillId="0" borderId="0" xfId="337" applyFont="1" applyAlignment="1">
      <alignment horizontal="left" wrapText="1"/>
    </xf>
    <xf numFmtId="0" fontId="93" fillId="0" borderId="0" xfId="0" applyFont="1" applyAlignment="1">
      <alignment horizontal="left"/>
    </xf>
    <xf numFmtId="0" fontId="93" fillId="0" borderId="0" xfId="0" applyFont="1" applyAlignment="1">
      <alignment horizontal="right" wrapText="1"/>
    </xf>
    <xf numFmtId="3" fontId="93" fillId="0" borderId="0" xfId="0" applyNumberFormat="1" applyFont="1" applyAlignment="1">
      <alignment horizontal="right" wrapText="1"/>
    </xf>
    <xf numFmtId="3" fontId="116" fillId="0" borderId="0" xfId="0" applyNumberFormat="1" applyFont="1" applyAlignment="1">
      <alignment horizontal="right" wrapText="1"/>
    </xf>
    <xf numFmtId="173" fontId="116" fillId="0" borderId="0" xfId="0" applyNumberFormat="1" applyFont="1"/>
    <xf numFmtId="0" fontId="116" fillId="0" borderId="0" xfId="0" applyFont="1"/>
    <xf numFmtId="0" fontId="116" fillId="0" borderId="0" xfId="0" applyFont="1" applyAlignment="1">
      <alignment horizontal="left" wrapText="1"/>
    </xf>
    <xf numFmtId="9" fontId="116" fillId="0" borderId="0" xfId="337" applyFont="1" applyAlignment="1">
      <alignment horizontal="left" wrapText="1"/>
    </xf>
    <xf numFmtId="0" fontId="116" fillId="0" borderId="0" xfId="0" applyFont="1" applyAlignment="1">
      <alignment horizontal="left"/>
    </xf>
    <xf numFmtId="167" fontId="117" fillId="0" borderId="0" xfId="52" applyNumberFormat="1" applyFont="1" applyFill="1" applyBorder="1" applyAlignment="1"/>
    <xf numFmtId="167" fontId="116" fillId="0" borderId="0" xfId="52" applyNumberFormat="1" applyFont="1" applyFill="1" applyBorder="1" applyAlignment="1"/>
    <xf numFmtId="43" fontId="116" fillId="0" borderId="0" xfId="52" applyNumberFormat="1" applyFont="1" applyFill="1" applyBorder="1" applyAlignment="1"/>
    <xf numFmtId="166" fontId="43" fillId="0" borderId="0" xfId="0" applyNumberFormat="1" applyFont="1" applyAlignment="1">
      <alignment horizontal="right" wrapText="1"/>
    </xf>
    <xf numFmtId="0" fontId="2" fillId="0" borderId="93" xfId="520" applyBorder="1"/>
    <xf numFmtId="0" fontId="2" fillId="0" borderId="11" xfId="520" applyBorder="1" applyAlignment="1">
      <alignment horizontal="left" vertical="center"/>
    </xf>
    <xf numFmtId="0" fontId="2" fillId="0" borderId="94" xfId="520" applyBorder="1" applyAlignment="1">
      <alignment horizontal="left" vertical="center"/>
    </xf>
    <xf numFmtId="0" fontId="110" fillId="0" borderId="39" xfId="520" applyFont="1" applyBorder="1" applyAlignment="1">
      <alignment horizontal="left" vertical="center"/>
    </xf>
    <xf numFmtId="0" fontId="110" fillId="0" borderId="40" xfId="520" applyFont="1" applyBorder="1" applyAlignment="1">
      <alignment horizontal="left" vertical="center"/>
    </xf>
    <xf numFmtId="0" fontId="2" fillId="0" borderId="11" xfId="520" applyBorder="1" applyAlignment="1">
      <alignment horizontal="left"/>
    </xf>
    <xf numFmtId="0" fontId="114" fillId="81" borderId="32" xfId="520" applyFont="1" applyFill="1" applyBorder="1" applyAlignment="1">
      <alignment horizontal="center" wrapText="1"/>
    </xf>
    <xf numFmtId="0" fontId="2" fillId="0" borderId="95" xfId="520" applyBorder="1"/>
    <xf numFmtId="0" fontId="2" fillId="0" borderId="96" xfId="520" applyBorder="1" applyAlignment="1">
      <alignment horizontal="left"/>
    </xf>
    <xf numFmtId="0" fontId="2" fillId="0" borderId="97" xfId="520" applyBorder="1" applyAlignment="1">
      <alignment horizontal="left" vertical="center"/>
    </xf>
    <xf numFmtId="0" fontId="110" fillId="0" borderId="96" xfId="520" applyFont="1" applyBorder="1" applyAlignment="1">
      <alignment horizontal="left" vertical="center"/>
    </xf>
    <xf numFmtId="0" fontId="88" fillId="70" borderId="0" xfId="520" applyFont="1" applyFill="1" applyAlignment="1">
      <alignment horizontal="left" vertical="center" wrapText="1" indent="2"/>
    </xf>
    <xf numFmtId="0" fontId="108" fillId="0" borderId="86" xfId="520" applyFont="1" applyBorder="1" applyAlignment="1">
      <alignment horizontal="center" vertical="center" textRotation="45" wrapText="1"/>
    </xf>
    <xf numFmtId="6" fontId="2" fillId="0" borderId="0" xfId="520" applyNumberFormat="1"/>
    <xf numFmtId="8" fontId="2" fillId="0" borderId="0" xfId="520" applyNumberFormat="1"/>
    <xf numFmtId="173" fontId="43" fillId="0" borderId="0" xfId="0" applyNumberFormat="1" applyFont="1"/>
    <xf numFmtId="0" fontId="1" fillId="0" borderId="0" xfId="515" applyFont="1"/>
    <xf numFmtId="0" fontId="113" fillId="61" borderId="3" xfId="515" applyFont="1" applyFill="1" applyBorder="1"/>
    <xf numFmtId="0" fontId="113" fillId="61" borderId="24" xfId="515" applyFont="1" applyFill="1" applyBorder="1"/>
    <xf numFmtId="0" fontId="0" fillId="0" borderId="0" xfId="0" applyAlignment="1">
      <alignment horizontal="left" indent="1"/>
    </xf>
    <xf numFmtId="174" fontId="0" fillId="0" borderId="0" xfId="0" applyNumberFormat="1"/>
    <xf numFmtId="174" fontId="0" fillId="0" borderId="0" xfId="98" applyNumberFormat="1" applyFont="1"/>
    <xf numFmtId="10" fontId="1" fillId="72" borderId="3" xfId="337" applyNumberFormat="1" applyFont="1" applyFill="1" applyBorder="1"/>
    <xf numFmtId="10" fontId="1" fillId="0" borderId="3" xfId="337" applyNumberFormat="1" applyFont="1" applyFill="1" applyBorder="1"/>
    <xf numFmtId="10" fontId="1" fillId="72" borderId="27" xfId="337" applyNumberFormat="1" applyFont="1" applyFill="1" applyBorder="1"/>
    <xf numFmtId="10" fontId="1" fillId="72" borderId="24" xfId="337" applyNumberFormat="1" applyFont="1" applyFill="1" applyBorder="1"/>
    <xf numFmtId="10" fontId="1" fillId="0" borderId="0" xfId="337" applyNumberFormat="1" applyFont="1" applyFill="1" applyBorder="1"/>
    <xf numFmtId="9" fontId="1" fillId="0" borderId="0" xfId="337" applyFont="1"/>
    <xf numFmtId="10" fontId="1" fillId="72" borderId="28" xfId="337" applyNumberFormat="1" applyFont="1" applyFill="1" applyBorder="1"/>
    <xf numFmtId="10" fontId="1" fillId="0" borderId="22" xfId="337" applyNumberFormat="1" applyFont="1" applyFill="1" applyBorder="1"/>
    <xf numFmtId="6" fontId="1" fillId="0" borderId="0" xfId="337" applyNumberFormat="1" applyFont="1" applyFill="1" applyBorder="1"/>
    <xf numFmtId="0" fontId="1" fillId="0" borderId="22" xfId="515" applyFont="1" applyBorder="1"/>
    <xf numFmtId="6" fontId="1" fillId="72" borderId="3" xfId="515" applyNumberFormat="1" applyFont="1" applyFill="1" applyBorder="1"/>
    <xf numFmtId="174" fontId="1" fillId="0" borderId="0" xfId="98" applyNumberFormat="1" applyFont="1"/>
    <xf numFmtId="167" fontId="92" fillId="0" borderId="0" xfId="0" applyNumberFormat="1" applyFont="1" applyAlignment="1">
      <alignment horizontal="center" vertical="center" wrapText="1"/>
    </xf>
    <xf numFmtId="0" fontId="2" fillId="0" borderId="3" xfId="520" applyBorder="1" applyAlignment="1">
      <alignment horizontal="left" vertical="center"/>
    </xf>
    <xf numFmtId="0" fontId="2" fillId="0" borderId="27" xfId="520" applyBorder="1" applyAlignment="1">
      <alignment horizontal="left" vertical="center"/>
    </xf>
    <xf numFmtId="0" fontId="2" fillId="0" borderId="24" xfId="520" applyBorder="1" applyAlignment="1">
      <alignment horizontal="left"/>
    </xf>
    <xf numFmtId="0" fontId="2" fillId="0" borderId="28" xfId="520" applyBorder="1" applyAlignment="1">
      <alignment horizontal="left"/>
    </xf>
    <xf numFmtId="0" fontId="2" fillId="0" borderId="3" xfId="520" applyBorder="1" applyAlignment="1">
      <alignment horizontal="left"/>
    </xf>
    <xf numFmtId="0" fontId="2" fillId="0" borderId="27" xfId="520" applyBorder="1" applyAlignment="1">
      <alignment horizontal="left"/>
    </xf>
    <xf numFmtId="3" fontId="93" fillId="0" borderId="0" xfId="0" applyNumberFormat="1" applyFont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119" fillId="0" borderId="0" xfId="0" applyFont="1" applyAlignment="1">
      <alignment horizontal="left" vertical="center"/>
    </xf>
    <xf numFmtId="0" fontId="119" fillId="0" borderId="83" xfId="0" applyFont="1" applyBorder="1" applyAlignment="1">
      <alignment horizontal="left" vertical="center"/>
    </xf>
    <xf numFmtId="0" fontId="119" fillId="0" borderId="84" xfId="0" applyFont="1" applyBorder="1" applyAlignment="1">
      <alignment horizontal="left" vertical="center"/>
    </xf>
    <xf numFmtId="0" fontId="119" fillId="0" borderId="89" xfId="0" applyFont="1" applyBorder="1" applyAlignment="1">
      <alignment horizontal="left" vertical="center"/>
    </xf>
    <xf numFmtId="0" fontId="119" fillId="0" borderId="88" xfId="0" applyFont="1" applyBorder="1" applyAlignment="1">
      <alignment horizontal="left" vertical="center"/>
    </xf>
    <xf numFmtId="0" fontId="119" fillId="0" borderId="85" xfId="0" applyFont="1" applyBorder="1" applyAlignment="1">
      <alignment horizontal="left" vertical="center"/>
    </xf>
    <xf numFmtId="0" fontId="119" fillId="0" borderId="99" xfId="0" applyFont="1" applyBorder="1" applyAlignment="1">
      <alignment horizontal="left" vertical="center"/>
    </xf>
    <xf numFmtId="0" fontId="43" fillId="72" borderId="0" xfId="0" applyFont="1" applyFill="1" applyAlignment="1">
      <alignment wrapText="1"/>
    </xf>
    <xf numFmtId="0" fontId="105" fillId="79" borderId="89" xfId="515" applyFont="1" applyFill="1" applyBorder="1" applyAlignment="1">
      <alignment horizontal="center" vertical="center"/>
    </xf>
    <xf numFmtId="0" fontId="5" fillId="79" borderId="0" xfId="515" applyFill="1"/>
    <xf numFmtId="0" fontId="5" fillId="0" borderId="30" xfId="515" applyBorder="1"/>
    <xf numFmtId="0" fontId="13" fillId="0" borderId="80" xfId="0" applyFont="1" applyBorder="1" applyAlignment="1">
      <alignment horizontal="right" wrapText="1"/>
    </xf>
    <xf numFmtId="0" fontId="95" fillId="0" borderId="81" xfId="0" applyFont="1" applyBorder="1" applyAlignment="1">
      <alignment horizontal="right" wrapText="1"/>
    </xf>
    <xf numFmtId="0" fontId="95" fillId="0" borderId="0" xfId="0" applyFont="1" applyAlignment="1">
      <alignment horizontal="center" wrapText="1"/>
    </xf>
    <xf numFmtId="0" fontId="95" fillId="0" borderId="74" xfId="0" applyFont="1" applyBorder="1" applyAlignment="1">
      <alignment horizontal="center" wrapText="1"/>
    </xf>
    <xf numFmtId="0" fontId="13" fillId="61" borderId="71" xfId="0" applyFont="1" applyFill="1" applyBorder="1" applyAlignment="1">
      <alignment horizontal="left" vertical="top" wrapText="1"/>
    </xf>
    <xf numFmtId="0" fontId="13" fillId="61" borderId="60" xfId="0" applyFont="1" applyFill="1" applyBorder="1" applyAlignment="1">
      <alignment horizontal="left" vertical="top" wrapText="1"/>
    </xf>
    <xf numFmtId="0" fontId="43" fillId="0" borderId="75" xfId="0" applyFont="1" applyBorder="1" applyAlignment="1">
      <alignment vertical="top" wrapText="1"/>
    </xf>
    <xf numFmtId="0" fontId="43" fillId="0" borderId="69" xfId="0" applyFont="1" applyBorder="1" applyAlignment="1">
      <alignment horizontal="left" vertical="top" wrapText="1"/>
    </xf>
    <xf numFmtId="0" fontId="13" fillId="61" borderId="59" xfId="0" applyFont="1" applyFill="1" applyBorder="1" applyAlignment="1">
      <alignment horizontal="left" vertical="top" wrapText="1"/>
    </xf>
    <xf numFmtId="0" fontId="43" fillId="0" borderId="76" xfId="0" applyFont="1" applyBorder="1" applyAlignment="1">
      <alignment vertical="top" wrapText="1"/>
    </xf>
    <xf numFmtId="0" fontId="43" fillId="61" borderId="60" xfId="0" applyFont="1" applyFill="1" applyBorder="1" applyAlignment="1">
      <alignment vertical="top" wrapText="1"/>
    </xf>
    <xf numFmtId="0" fontId="14" fillId="61" borderId="77" xfId="0" applyFont="1" applyFill="1" applyBorder="1" applyAlignment="1">
      <alignment horizontal="left" vertical="top" wrapText="1"/>
    </xf>
    <xf numFmtId="0" fontId="43" fillId="61" borderId="78" xfId="0" applyFont="1" applyFill="1" applyBorder="1" applyAlignment="1">
      <alignment wrapText="1"/>
    </xf>
    <xf numFmtId="0" fontId="43" fillId="0" borderId="79" xfId="0" applyFont="1" applyBorder="1" applyAlignment="1">
      <alignment wrapText="1"/>
    </xf>
    <xf numFmtId="0" fontId="102" fillId="74" borderId="3" xfId="0" applyFont="1" applyFill="1" applyBorder="1" applyAlignment="1">
      <alignment horizontal="center" vertical="center" wrapText="1"/>
    </xf>
    <xf numFmtId="0" fontId="102" fillId="74" borderId="20" xfId="0" applyFont="1" applyFill="1" applyBorder="1" applyAlignment="1">
      <alignment horizontal="center" vertical="center" wrapText="1"/>
    </xf>
    <xf numFmtId="0" fontId="43" fillId="0" borderId="0" xfId="0" applyFont="1"/>
    <xf numFmtId="167" fontId="92" fillId="0" borderId="0" xfId="0" applyNumberFormat="1" applyFont="1" applyAlignment="1">
      <alignment horizontal="center" vertical="center" wrapText="1"/>
    </xf>
    <xf numFmtId="0" fontId="102" fillId="0" borderId="34" xfId="0" applyFont="1" applyBorder="1" applyAlignment="1">
      <alignment horizontal="center" wrapText="1"/>
    </xf>
    <xf numFmtId="0" fontId="112" fillId="74" borderId="86" xfId="520" applyFont="1" applyFill="1" applyBorder="1" applyAlignment="1">
      <alignment horizontal="center" vertical="center" textRotation="90" wrapText="1"/>
    </xf>
    <xf numFmtId="0" fontId="112" fillId="74" borderId="90" xfId="520" applyFont="1" applyFill="1" applyBorder="1" applyAlignment="1">
      <alignment horizontal="center" vertical="center" textRotation="90" wrapText="1"/>
    </xf>
    <xf numFmtId="0" fontId="112" fillId="74" borderId="92" xfId="520" applyFont="1" applyFill="1" applyBorder="1" applyAlignment="1">
      <alignment horizontal="center" vertical="center" textRotation="90" wrapText="1"/>
    </xf>
    <xf numFmtId="0" fontId="105" fillId="70" borderId="83" xfId="520" applyFont="1" applyFill="1" applyBorder="1" applyAlignment="1">
      <alignment horizontal="center" vertical="top"/>
    </xf>
    <xf numFmtId="0" fontId="105" fillId="70" borderId="31" xfId="520" applyFont="1" applyFill="1" applyBorder="1" applyAlignment="1">
      <alignment horizontal="center" vertical="top"/>
    </xf>
    <xf numFmtId="0" fontId="105" fillId="70" borderId="84" xfId="520" applyFont="1" applyFill="1" applyBorder="1" applyAlignment="1">
      <alignment horizontal="center" vertical="top"/>
    </xf>
    <xf numFmtId="0" fontId="2" fillId="0" borderId="3" xfId="520" applyBorder="1" applyAlignment="1">
      <alignment horizontal="left" vertical="center"/>
    </xf>
    <xf numFmtId="0" fontId="2" fillId="0" borderId="27" xfId="520" applyBorder="1" applyAlignment="1">
      <alignment horizontal="left" vertical="center"/>
    </xf>
    <xf numFmtId="0" fontId="2" fillId="0" borderId="24" xfId="520" applyBorder="1" applyAlignment="1">
      <alignment horizontal="left"/>
    </xf>
    <xf numFmtId="0" fontId="2" fillId="0" borderId="28" xfId="520" applyBorder="1" applyAlignment="1">
      <alignment horizontal="left"/>
    </xf>
    <xf numFmtId="0" fontId="112" fillId="82" borderId="89" xfId="520" applyFont="1" applyFill="1" applyBorder="1" applyAlignment="1">
      <alignment horizontal="center" vertical="center" textRotation="90" wrapText="1"/>
    </xf>
    <xf numFmtId="0" fontId="112" fillId="82" borderId="85" xfId="520" applyFont="1" applyFill="1" applyBorder="1" applyAlignment="1">
      <alignment horizontal="center" vertical="center" textRotation="90" wrapText="1"/>
    </xf>
    <xf numFmtId="0" fontId="2" fillId="0" borderId="3" xfId="520" applyBorder="1" applyAlignment="1">
      <alignment horizontal="left"/>
    </xf>
    <xf numFmtId="0" fontId="2" fillId="0" borderId="27" xfId="520" applyBorder="1" applyAlignment="1">
      <alignment horizontal="left"/>
    </xf>
    <xf numFmtId="0" fontId="109" fillId="81" borderId="83" xfId="520" applyFont="1" applyFill="1" applyBorder="1" applyAlignment="1">
      <alignment horizontal="center" vertical="center" textRotation="90" wrapText="1"/>
    </xf>
    <xf numFmtId="0" fontId="109" fillId="81" borderId="89" xfId="520" applyFont="1" applyFill="1" applyBorder="1" applyAlignment="1">
      <alignment horizontal="center" vertical="center" textRotation="90" wrapText="1"/>
    </xf>
    <xf numFmtId="0" fontId="109" fillId="81" borderId="85" xfId="520" applyFont="1" applyFill="1" applyBorder="1" applyAlignment="1">
      <alignment horizontal="center" vertical="center" textRotation="90" wrapText="1"/>
    </xf>
    <xf numFmtId="0" fontId="2" fillId="0" borderId="23" xfId="520" applyBorder="1" applyAlignment="1">
      <alignment horizontal="left" vertical="center"/>
    </xf>
    <xf numFmtId="0" fontId="2" fillId="0" borderId="26" xfId="520" applyBorder="1" applyAlignment="1">
      <alignment horizontal="left" vertical="center"/>
    </xf>
    <xf numFmtId="0" fontId="92" fillId="74" borderId="3" xfId="0" applyFont="1" applyFill="1" applyBorder="1" applyAlignment="1">
      <alignment horizontal="center" vertical="center" wrapText="1"/>
    </xf>
    <xf numFmtId="0" fontId="93" fillId="0" borderId="0" xfId="0" applyFont="1" applyAlignment="1">
      <alignment horizontal="center" wrapText="1"/>
    </xf>
    <xf numFmtId="0" fontId="93" fillId="0" borderId="0" xfId="0" applyFont="1" applyAlignment="1">
      <alignment horizontal="center" vertical="center" wrapText="1"/>
    </xf>
    <xf numFmtId="3" fontId="93" fillId="0" borderId="0" xfId="0" applyNumberFormat="1" applyFont="1" applyAlignment="1">
      <alignment horizontal="center" vertical="center" wrapText="1"/>
    </xf>
    <xf numFmtId="0" fontId="92" fillId="0" borderId="3" xfId="0" applyFont="1" applyBorder="1" applyAlignment="1">
      <alignment horizontal="center" wrapText="1"/>
    </xf>
    <xf numFmtId="3" fontId="14" fillId="0" borderId="0" xfId="0" applyNumberFormat="1" applyFont="1" applyAlignment="1">
      <alignment horizontal="center" vertical="center" wrapText="1"/>
    </xf>
    <xf numFmtId="0" fontId="92" fillId="74" borderId="0" xfId="0" applyFont="1" applyFill="1" applyAlignment="1">
      <alignment horizontal="left" vertical="top" wrapText="1"/>
    </xf>
    <xf numFmtId="0" fontId="107" fillId="0" borderId="0" xfId="0" applyFont="1" applyAlignment="1">
      <alignment horizontal="center" vertical="center" wrapText="1"/>
    </xf>
    <xf numFmtId="0" fontId="102" fillId="74" borderId="36" xfId="0" applyFont="1" applyFill="1" applyBorder="1" applyAlignment="1">
      <alignment horizontal="center" vertical="center" wrapText="1"/>
    </xf>
    <xf numFmtId="0" fontId="102" fillId="74" borderId="37" xfId="0" applyFont="1" applyFill="1" applyBorder="1" applyAlignment="1">
      <alignment horizontal="center" vertical="center" wrapText="1"/>
    </xf>
    <xf numFmtId="0" fontId="102" fillId="74" borderId="34" xfId="0" applyFont="1" applyFill="1" applyBorder="1" applyAlignment="1">
      <alignment horizontal="center" vertical="center" wrapText="1"/>
    </xf>
    <xf numFmtId="0" fontId="102" fillId="74" borderId="10" xfId="0" applyFont="1" applyFill="1" applyBorder="1" applyAlignment="1">
      <alignment horizontal="center" vertical="center" wrapText="1"/>
    </xf>
    <xf numFmtId="0" fontId="9" fillId="61" borderId="3" xfId="0" applyFont="1" applyFill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6" fillId="64" borderId="36" xfId="0" applyFont="1" applyFill="1" applyBorder="1" applyAlignment="1">
      <alignment horizontal="center"/>
    </xf>
    <xf numFmtId="0" fontId="6" fillId="64" borderId="21" xfId="0" applyFont="1" applyFill="1" applyBorder="1" applyAlignment="1">
      <alignment horizont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61" borderId="20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67" borderId="20" xfId="0" applyFont="1" applyFill="1" applyBorder="1" applyAlignment="1">
      <alignment horizontal="center"/>
    </xf>
    <xf numFmtId="0" fontId="6" fillId="67" borderId="29" xfId="0" applyFont="1" applyFill="1" applyBorder="1" applyAlignment="1">
      <alignment horizontal="center"/>
    </xf>
    <xf numFmtId="167" fontId="0" fillId="0" borderId="41" xfId="52" applyNumberFormat="1" applyFont="1" applyBorder="1" applyAlignment="1">
      <alignment horizontal="center"/>
    </xf>
    <xf numFmtId="167" fontId="0" fillId="0" borderId="42" xfId="52" applyNumberFormat="1" applyFont="1" applyBorder="1" applyAlignment="1">
      <alignment horizontal="center"/>
    </xf>
    <xf numFmtId="0" fontId="9" fillId="0" borderId="2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66" borderId="20" xfId="0" applyFill="1" applyBorder="1" applyAlignment="1">
      <alignment horizontal="center"/>
    </xf>
    <xf numFmtId="0" fontId="0" fillId="66" borderId="29" xfId="0" applyFill="1" applyBorder="1" applyAlignment="1">
      <alignment horizontal="center"/>
    </xf>
    <xf numFmtId="0" fontId="0" fillId="67" borderId="20" xfId="0" applyFill="1" applyBorder="1" applyAlignment="1">
      <alignment horizontal="center"/>
    </xf>
    <xf numFmtId="0" fontId="0" fillId="67" borderId="29" xfId="0" applyFill="1" applyBorder="1" applyAlignment="1">
      <alignment horizontal="center"/>
    </xf>
    <xf numFmtId="0" fontId="9" fillId="0" borderId="19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6" fillId="66" borderId="20" xfId="0" applyFont="1" applyFill="1" applyBorder="1" applyAlignment="1">
      <alignment horizontal="center"/>
    </xf>
    <xf numFmtId="0" fontId="6" fillId="66" borderId="29" xfId="0" applyFont="1" applyFill="1" applyBorder="1" applyAlignment="1">
      <alignment horizontal="center"/>
    </xf>
    <xf numFmtId="167" fontId="0" fillId="0" borderId="41" xfId="52" applyNumberFormat="1" applyFont="1" applyBorder="1" applyAlignment="1">
      <alignment horizontal="center" vertical="center"/>
    </xf>
    <xf numFmtId="167" fontId="0" fillId="0" borderId="42" xfId="52" applyNumberFormat="1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0" fillId="77" borderId="3" xfId="0" applyFont="1" applyFill="1" applyBorder="1" applyAlignment="1">
      <alignment horizontal="center" vertical="center"/>
    </xf>
    <xf numFmtId="0" fontId="90" fillId="69" borderId="3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0" fillId="77" borderId="20" xfId="0" applyFont="1" applyFill="1" applyBorder="1" applyAlignment="1">
      <alignment horizontal="center" vertical="center"/>
    </xf>
    <xf numFmtId="0" fontId="90" fillId="77" borderId="29" xfId="0" applyFont="1" applyFill="1" applyBorder="1" applyAlignment="1">
      <alignment horizontal="center" vertical="center"/>
    </xf>
    <xf numFmtId="0" fontId="90" fillId="69" borderId="20" xfId="0" applyFont="1" applyFill="1" applyBorder="1" applyAlignment="1">
      <alignment horizontal="center" vertical="center"/>
    </xf>
    <xf numFmtId="0" fontId="90" fillId="69" borderId="29" xfId="0" applyFont="1" applyFill="1" applyBorder="1" applyAlignment="1">
      <alignment horizontal="center" vertical="center"/>
    </xf>
    <xf numFmtId="0" fontId="90" fillId="69" borderId="20" xfId="0" applyFont="1" applyFill="1" applyBorder="1" applyAlignment="1">
      <alignment horizontal="center"/>
    </xf>
    <xf numFmtId="0" fontId="90" fillId="69" borderId="2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9" xfId="0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90" fillId="69" borderId="43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9" fillId="0" borderId="1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</cellXfs>
  <cellStyles count="521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4 3" xfId="5" xr:uid="{00000000-0005-0000-0000-000004000000}"/>
    <cellStyle name="20% - Accent5 2" xfId="6" xr:uid="{00000000-0005-0000-0000-000005000000}"/>
    <cellStyle name="20% - Accent6 2" xfId="7" xr:uid="{00000000-0005-0000-0000-000006000000}"/>
    <cellStyle name="20% - アクセント 1" xfId="8" xr:uid="{00000000-0005-0000-0000-000007000000}"/>
    <cellStyle name="20% - アクセント 2" xfId="9" xr:uid="{00000000-0005-0000-0000-000008000000}"/>
    <cellStyle name="20% - アクセント 3" xfId="10" xr:uid="{00000000-0005-0000-0000-000009000000}"/>
    <cellStyle name="20% - アクセント 4" xfId="11" xr:uid="{00000000-0005-0000-0000-00000A000000}"/>
    <cellStyle name="20% - アクセント 5" xfId="12" xr:uid="{00000000-0005-0000-0000-00000B000000}"/>
    <cellStyle name="20% - アクセント 6" xfId="13" xr:uid="{00000000-0005-0000-0000-00000C000000}"/>
    <cellStyle name="40% - Accent1 2" xfId="14" xr:uid="{00000000-0005-0000-0000-00000D000000}"/>
    <cellStyle name="40% - Accent2 2" xfId="15" xr:uid="{00000000-0005-0000-0000-00000E000000}"/>
    <cellStyle name="40% - Accent3 2" xfId="16" xr:uid="{00000000-0005-0000-0000-00000F000000}"/>
    <cellStyle name="40% - Accent4 2" xfId="17" xr:uid="{00000000-0005-0000-0000-000010000000}"/>
    <cellStyle name="40% - Accent5 2" xfId="18" xr:uid="{00000000-0005-0000-0000-000011000000}"/>
    <cellStyle name="40% - Accent6 2" xfId="19" xr:uid="{00000000-0005-0000-0000-000012000000}"/>
    <cellStyle name="40% - アクセント 1" xfId="20" xr:uid="{00000000-0005-0000-0000-000013000000}"/>
    <cellStyle name="40% - アクセント 2" xfId="21" xr:uid="{00000000-0005-0000-0000-000014000000}"/>
    <cellStyle name="40% - アクセント 3" xfId="22" xr:uid="{00000000-0005-0000-0000-000015000000}"/>
    <cellStyle name="40% - アクセント 4" xfId="23" xr:uid="{00000000-0005-0000-0000-000016000000}"/>
    <cellStyle name="40% - アクセント 5" xfId="24" xr:uid="{00000000-0005-0000-0000-000017000000}"/>
    <cellStyle name="40% - アクセント 6" xfId="25" xr:uid="{00000000-0005-0000-0000-000018000000}"/>
    <cellStyle name="60% - Accent1 2" xfId="26" xr:uid="{00000000-0005-0000-0000-000019000000}"/>
    <cellStyle name="60% - Accent2 2" xfId="27" xr:uid="{00000000-0005-0000-0000-00001A000000}"/>
    <cellStyle name="60% - Accent3 2" xfId="28" xr:uid="{00000000-0005-0000-0000-00001B000000}"/>
    <cellStyle name="60% - Accent4 2" xfId="29" xr:uid="{00000000-0005-0000-0000-00001C000000}"/>
    <cellStyle name="60% - Accent5 2" xfId="30" xr:uid="{00000000-0005-0000-0000-00001D000000}"/>
    <cellStyle name="60% - Accent6 2" xfId="31" xr:uid="{00000000-0005-0000-0000-00001E000000}"/>
    <cellStyle name="60% - アクセント 1" xfId="32" xr:uid="{00000000-0005-0000-0000-00001F000000}"/>
    <cellStyle name="60% - アクセント 2" xfId="33" xr:uid="{00000000-0005-0000-0000-000020000000}"/>
    <cellStyle name="60% - アクセント 3" xfId="34" xr:uid="{00000000-0005-0000-0000-000021000000}"/>
    <cellStyle name="60% - アクセント 4" xfId="35" xr:uid="{00000000-0005-0000-0000-000022000000}"/>
    <cellStyle name="60% - アクセント 5" xfId="36" xr:uid="{00000000-0005-0000-0000-000023000000}"/>
    <cellStyle name="60% - アクセント 6" xfId="37" xr:uid="{00000000-0005-0000-0000-000024000000}"/>
    <cellStyle name="Accent1 2" xfId="38" xr:uid="{00000000-0005-0000-0000-000025000000}"/>
    <cellStyle name="Accent2 2" xfId="39" xr:uid="{00000000-0005-0000-0000-000026000000}"/>
    <cellStyle name="Accent2 3" xfId="40" xr:uid="{00000000-0005-0000-0000-000027000000}"/>
    <cellStyle name="Accent3 2" xfId="41" xr:uid="{00000000-0005-0000-0000-000028000000}"/>
    <cellStyle name="Accent4 2" xfId="42" xr:uid="{00000000-0005-0000-0000-000029000000}"/>
    <cellStyle name="Accent5 2" xfId="43" xr:uid="{00000000-0005-0000-0000-00002A000000}"/>
    <cellStyle name="Accent6 2" xfId="44" xr:uid="{00000000-0005-0000-0000-00002B000000}"/>
    <cellStyle name="arial12" xfId="45" xr:uid="{00000000-0005-0000-0000-00002C000000}"/>
    <cellStyle name="arial14" xfId="46" xr:uid="{00000000-0005-0000-0000-00002D000000}"/>
    <cellStyle name="B&amp;P" xfId="47" xr:uid="{00000000-0005-0000-0000-00002E000000}"/>
    <cellStyle name="Bad 2" xfId="48" xr:uid="{00000000-0005-0000-0000-00002F000000}"/>
    <cellStyle name="Calculation 2" xfId="49" xr:uid="{00000000-0005-0000-0000-000030000000}"/>
    <cellStyle name="Check Cell 2" xfId="50" xr:uid="{00000000-0005-0000-0000-000031000000}"/>
    <cellStyle name="Check Cell 3" xfId="51" xr:uid="{00000000-0005-0000-0000-000032000000}"/>
    <cellStyle name="Comma" xfId="52" builtinId="3"/>
    <cellStyle name="Comma 2" xfId="53" xr:uid="{00000000-0005-0000-0000-000034000000}"/>
    <cellStyle name="Comma 2 2" xfId="54" xr:uid="{00000000-0005-0000-0000-000035000000}"/>
    <cellStyle name="Comma 2 2 2" xfId="55" xr:uid="{00000000-0005-0000-0000-000036000000}"/>
    <cellStyle name="Comma 2 2 2 2" xfId="56" xr:uid="{00000000-0005-0000-0000-000037000000}"/>
    <cellStyle name="Comma 2 2 3" xfId="57" xr:uid="{00000000-0005-0000-0000-000038000000}"/>
    <cellStyle name="Comma 2 2 4" xfId="58" xr:uid="{00000000-0005-0000-0000-000039000000}"/>
    <cellStyle name="Comma 2 3" xfId="59" xr:uid="{00000000-0005-0000-0000-00003A000000}"/>
    <cellStyle name="Comma 2 3 2" xfId="60" xr:uid="{00000000-0005-0000-0000-00003B000000}"/>
    <cellStyle name="Comma 2 4" xfId="61" xr:uid="{00000000-0005-0000-0000-00003C000000}"/>
    <cellStyle name="Comma 2 5" xfId="516" xr:uid="{66BAD9F9-31B2-4317-B24D-5D5A31C0F80D}"/>
    <cellStyle name="Comma 2_CHF Armenia SSIP Budget 08 22 2009 Final Internal" xfId="62" xr:uid="{00000000-0005-0000-0000-00003D000000}"/>
    <cellStyle name="Comma 3" xfId="63" xr:uid="{00000000-0005-0000-0000-00003E000000}"/>
    <cellStyle name="Comma 3 2" xfId="64" xr:uid="{00000000-0005-0000-0000-00003F000000}"/>
    <cellStyle name="Comma 3 3" xfId="65" xr:uid="{00000000-0005-0000-0000-000040000000}"/>
    <cellStyle name="Comma 3 4" xfId="66" xr:uid="{00000000-0005-0000-0000-000041000000}"/>
    <cellStyle name="Comma 4" xfId="67" xr:uid="{00000000-0005-0000-0000-000042000000}"/>
    <cellStyle name="Comma 4 2" xfId="68" xr:uid="{00000000-0005-0000-0000-000043000000}"/>
    <cellStyle name="Comma 4 3" xfId="69" xr:uid="{00000000-0005-0000-0000-000044000000}"/>
    <cellStyle name="Comma 4 4" xfId="70" xr:uid="{00000000-0005-0000-0000-000045000000}"/>
    <cellStyle name="Comma 5" xfId="71" xr:uid="{00000000-0005-0000-0000-000046000000}"/>
    <cellStyle name="Comma 5 2" xfId="72" xr:uid="{00000000-0005-0000-0000-000047000000}"/>
    <cellStyle name="Comma 5 2 2" xfId="73" xr:uid="{00000000-0005-0000-0000-000048000000}"/>
    <cellStyle name="Comma 5 3" xfId="74" xr:uid="{00000000-0005-0000-0000-000049000000}"/>
    <cellStyle name="Comma 6" xfId="75" xr:uid="{00000000-0005-0000-0000-00004A000000}"/>
    <cellStyle name="Comma 6 2" xfId="76" xr:uid="{00000000-0005-0000-0000-00004B000000}"/>
    <cellStyle name="Comma 6 2 2" xfId="77" xr:uid="{00000000-0005-0000-0000-00004C000000}"/>
    <cellStyle name="Comma 6 3" xfId="78" xr:uid="{00000000-0005-0000-0000-00004D000000}"/>
    <cellStyle name="Comma 6 4" xfId="79" xr:uid="{00000000-0005-0000-0000-00004E000000}"/>
    <cellStyle name="Comma 7" xfId="80" xr:uid="{00000000-0005-0000-0000-00004F000000}"/>
    <cellStyle name="Comma 7 2" xfId="81" xr:uid="{00000000-0005-0000-0000-000050000000}"/>
    <cellStyle name="Comma 8" xfId="82" xr:uid="{00000000-0005-0000-0000-000051000000}"/>
    <cellStyle name="Comma 8 2" xfId="83" xr:uid="{00000000-0005-0000-0000-000052000000}"/>
    <cellStyle name="Comma 9" xfId="84" xr:uid="{00000000-0005-0000-0000-000053000000}"/>
    <cellStyle name="Comma0" xfId="85" xr:uid="{00000000-0005-0000-0000-000054000000}"/>
    <cellStyle name="Comma0 - Style2" xfId="86" xr:uid="{00000000-0005-0000-0000-000055000000}"/>
    <cellStyle name="Comma0 - Style3" xfId="87" xr:uid="{00000000-0005-0000-0000-000056000000}"/>
    <cellStyle name="Comma0 2" xfId="88" xr:uid="{00000000-0005-0000-0000-000057000000}"/>
    <cellStyle name="Comma0 3" xfId="89" xr:uid="{00000000-0005-0000-0000-000058000000}"/>
    <cellStyle name="Comma0 4" xfId="90" xr:uid="{00000000-0005-0000-0000-000059000000}"/>
    <cellStyle name="Comma0_Copy of S3R-0167pricing v3 Option B _ GMH" xfId="91" xr:uid="{00000000-0005-0000-0000-00005A000000}"/>
    <cellStyle name="Comma1 - Style1" xfId="92" xr:uid="{00000000-0005-0000-0000-00005B000000}"/>
    <cellStyle name="Curren - Style1" xfId="93" xr:uid="{00000000-0005-0000-0000-00005C000000}"/>
    <cellStyle name="Curren - Style2" xfId="94" xr:uid="{00000000-0005-0000-0000-00005D000000}"/>
    <cellStyle name="Curren - Style3" xfId="95" xr:uid="{00000000-0005-0000-0000-00005E000000}"/>
    <cellStyle name="Curren - Style4" xfId="96" xr:uid="{00000000-0005-0000-0000-00005F000000}"/>
    <cellStyle name="Curren - Style5" xfId="97" xr:uid="{00000000-0005-0000-0000-000060000000}"/>
    <cellStyle name="Currency" xfId="98" builtinId="4"/>
    <cellStyle name="Currency 10" xfId="99" xr:uid="{00000000-0005-0000-0000-000062000000}"/>
    <cellStyle name="Currency 2" xfId="100" xr:uid="{00000000-0005-0000-0000-000063000000}"/>
    <cellStyle name="Currency 2 2" xfId="101" xr:uid="{00000000-0005-0000-0000-000064000000}"/>
    <cellStyle name="Currency 2 2 2" xfId="102" xr:uid="{00000000-0005-0000-0000-000065000000}"/>
    <cellStyle name="Currency 2 3" xfId="103" xr:uid="{00000000-0005-0000-0000-000066000000}"/>
    <cellStyle name="Currency 22" xfId="104" xr:uid="{00000000-0005-0000-0000-000067000000}"/>
    <cellStyle name="Currency 3" xfId="105" xr:uid="{00000000-0005-0000-0000-000068000000}"/>
    <cellStyle name="Currency 3 2" xfId="106" xr:uid="{00000000-0005-0000-0000-000069000000}"/>
    <cellStyle name="Currency 4" xfId="107" xr:uid="{00000000-0005-0000-0000-00006A000000}"/>
    <cellStyle name="Currency 4 2" xfId="108" xr:uid="{00000000-0005-0000-0000-00006B000000}"/>
    <cellStyle name="Currency 4 2 2" xfId="109" xr:uid="{00000000-0005-0000-0000-00006C000000}"/>
    <cellStyle name="Currency 4 3" xfId="110" xr:uid="{00000000-0005-0000-0000-00006D000000}"/>
    <cellStyle name="Currency 5" xfId="111" xr:uid="{00000000-0005-0000-0000-00006E000000}"/>
    <cellStyle name="Currency 5 2" xfId="112" xr:uid="{00000000-0005-0000-0000-00006F000000}"/>
    <cellStyle name="Currency 5 3" xfId="113" xr:uid="{00000000-0005-0000-0000-000070000000}"/>
    <cellStyle name="Currency 5 4" xfId="114" xr:uid="{00000000-0005-0000-0000-000071000000}"/>
    <cellStyle name="Currency 6" xfId="115" xr:uid="{00000000-0005-0000-0000-000072000000}"/>
    <cellStyle name="Currency 6 2" xfId="116" xr:uid="{00000000-0005-0000-0000-000073000000}"/>
    <cellStyle name="Currency 7" xfId="117" xr:uid="{00000000-0005-0000-0000-000074000000}"/>
    <cellStyle name="Currency 8" xfId="118" xr:uid="{00000000-0005-0000-0000-000075000000}"/>
    <cellStyle name="Currency 9" xfId="119" xr:uid="{00000000-0005-0000-0000-000076000000}"/>
    <cellStyle name="Currency0" xfId="120" xr:uid="{00000000-0005-0000-0000-000077000000}"/>
    <cellStyle name="Date" xfId="121" xr:uid="{00000000-0005-0000-0000-000078000000}"/>
    <cellStyle name="Date 2" xfId="122" xr:uid="{00000000-0005-0000-0000-000079000000}"/>
    <cellStyle name="DateTime" xfId="123" xr:uid="{00000000-0005-0000-0000-00007A000000}"/>
    <cellStyle name="Desc" xfId="124" xr:uid="{00000000-0005-0000-0000-00007B000000}"/>
    <cellStyle name="dollar" xfId="125" xr:uid="{00000000-0005-0000-0000-00007C000000}"/>
    <cellStyle name="Euro" xfId="126" xr:uid="{00000000-0005-0000-0000-00007D000000}"/>
    <cellStyle name="Explanatory Text 2" xfId="127" xr:uid="{00000000-0005-0000-0000-00007E000000}"/>
    <cellStyle name="F2" xfId="128" xr:uid="{00000000-0005-0000-0000-00007F000000}"/>
    <cellStyle name="F3" xfId="129" xr:uid="{00000000-0005-0000-0000-000080000000}"/>
    <cellStyle name="F4" xfId="130" xr:uid="{00000000-0005-0000-0000-000081000000}"/>
    <cellStyle name="F5" xfId="131" xr:uid="{00000000-0005-0000-0000-000082000000}"/>
    <cellStyle name="F6" xfId="132" xr:uid="{00000000-0005-0000-0000-000083000000}"/>
    <cellStyle name="F7" xfId="133" xr:uid="{00000000-0005-0000-0000-000084000000}"/>
    <cellStyle name="F8" xfId="134" xr:uid="{00000000-0005-0000-0000-000085000000}"/>
    <cellStyle name="Fixed" xfId="135" xr:uid="{00000000-0005-0000-0000-000086000000}"/>
    <cellStyle name="Fixed 2" xfId="136" xr:uid="{00000000-0005-0000-0000-000087000000}"/>
    <cellStyle name="FRxAmtStyle" xfId="137" xr:uid="{00000000-0005-0000-0000-000088000000}"/>
    <cellStyle name="FRxCurrStyle" xfId="138" xr:uid="{00000000-0005-0000-0000-000089000000}"/>
    <cellStyle name="FRxPcntStyle" xfId="139" xr:uid="{00000000-0005-0000-0000-00008A000000}"/>
    <cellStyle name="Good 2" xfId="140" xr:uid="{00000000-0005-0000-0000-00008B000000}"/>
    <cellStyle name="Good 3" xfId="141" xr:uid="{00000000-0005-0000-0000-00008C000000}"/>
    <cellStyle name="Good 4" xfId="142" xr:uid="{00000000-0005-0000-0000-00008D000000}"/>
    <cellStyle name="Green cell" xfId="143" xr:uid="{00000000-0005-0000-0000-00008E000000}"/>
    <cellStyle name="Green cell 2" xfId="144" xr:uid="{00000000-0005-0000-0000-00008F000000}"/>
    <cellStyle name="Green cell 2 2" xfId="145" xr:uid="{00000000-0005-0000-0000-000090000000}"/>
    <cellStyle name="Green cell 2 2 2" xfId="146" xr:uid="{00000000-0005-0000-0000-000091000000}"/>
    <cellStyle name="Green cell 2 3" xfId="147" xr:uid="{00000000-0005-0000-0000-000092000000}"/>
    <cellStyle name="Green cell 3" xfId="148" xr:uid="{00000000-0005-0000-0000-000093000000}"/>
    <cellStyle name="Green cell 3 2" xfId="149" xr:uid="{00000000-0005-0000-0000-000094000000}"/>
    <cellStyle name="Green cell 3 2 2" xfId="150" xr:uid="{00000000-0005-0000-0000-000095000000}"/>
    <cellStyle name="Green cell 3 3" xfId="151" xr:uid="{00000000-0005-0000-0000-000096000000}"/>
    <cellStyle name="Green cell 4" xfId="152" xr:uid="{00000000-0005-0000-0000-000097000000}"/>
    <cellStyle name="Green cell 4 2" xfId="153" xr:uid="{00000000-0005-0000-0000-000098000000}"/>
    <cellStyle name="Green cell 4 2 2" xfId="154" xr:uid="{00000000-0005-0000-0000-000099000000}"/>
    <cellStyle name="Green cell 4 3" xfId="155" xr:uid="{00000000-0005-0000-0000-00009A000000}"/>
    <cellStyle name="Green cell 5" xfId="156" xr:uid="{00000000-0005-0000-0000-00009B000000}"/>
    <cellStyle name="Green cell 5 2" xfId="157" xr:uid="{00000000-0005-0000-0000-00009C000000}"/>
    <cellStyle name="Grey" xfId="158" xr:uid="{00000000-0005-0000-0000-00009D000000}"/>
    <cellStyle name="Header" xfId="159" xr:uid="{00000000-0005-0000-0000-00009E000000}"/>
    <cellStyle name="Header1" xfId="160" xr:uid="{00000000-0005-0000-0000-00009F000000}"/>
    <cellStyle name="Header2" xfId="161" xr:uid="{00000000-0005-0000-0000-0000A0000000}"/>
    <cellStyle name="Header2 2" xfId="162" xr:uid="{00000000-0005-0000-0000-0000A1000000}"/>
    <cellStyle name="Header2 2 2" xfId="163" xr:uid="{00000000-0005-0000-0000-0000A2000000}"/>
    <cellStyle name="Header2 2 2 2" xfId="164" xr:uid="{00000000-0005-0000-0000-0000A3000000}"/>
    <cellStyle name="Header2 2 3" xfId="165" xr:uid="{00000000-0005-0000-0000-0000A4000000}"/>
    <cellStyle name="Header2 3" xfId="166" xr:uid="{00000000-0005-0000-0000-0000A5000000}"/>
    <cellStyle name="Header2 3 2" xfId="167" xr:uid="{00000000-0005-0000-0000-0000A6000000}"/>
    <cellStyle name="Header2 3 2 2" xfId="168" xr:uid="{00000000-0005-0000-0000-0000A7000000}"/>
    <cellStyle name="Header2 3 3" xfId="169" xr:uid="{00000000-0005-0000-0000-0000A8000000}"/>
    <cellStyle name="Header2 4" xfId="170" xr:uid="{00000000-0005-0000-0000-0000A9000000}"/>
    <cellStyle name="Header2 4 2" xfId="171" xr:uid="{00000000-0005-0000-0000-0000AA000000}"/>
    <cellStyle name="Heading 1 2" xfId="172" xr:uid="{00000000-0005-0000-0000-0000AB000000}"/>
    <cellStyle name="Heading 2 2" xfId="173" xr:uid="{00000000-0005-0000-0000-0000AC000000}"/>
    <cellStyle name="Heading 3 2" xfId="174" xr:uid="{00000000-0005-0000-0000-0000AD000000}"/>
    <cellStyle name="Heading 4 2" xfId="175" xr:uid="{00000000-0005-0000-0000-0000AE000000}"/>
    <cellStyle name="HEADING1" xfId="176" xr:uid="{00000000-0005-0000-0000-0000AF000000}"/>
    <cellStyle name="HEADING2" xfId="177" xr:uid="{00000000-0005-0000-0000-0000B0000000}"/>
    <cellStyle name="Hyperlink 2" xfId="178" xr:uid="{00000000-0005-0000-0000-0000B1000000}"/>
    <cellStyle name="Hyperlink 2 2" xfId="179" xr:uid="{00000000-0005-0000-0000-0000B2000000}"/>
    <cellStyle name="Hyperlink 2 3" xfId="180" xr:uid="{00000000-0005-0000-0000-0000B3000000}"/>
    <cellStyle name="Hyperlink 3" xfId="181" xr:uid="{00000000-0005-0000-0000-0000B4000000}"/>
    <cellStyle name="Hyperlink 3 2" xfId="182" xr:uid="{00000000-0005-0000-0000-0000B5000000}"/>
    <cellStyle name="Hyperlink 3 3" xfId="183" xr:uid="{00000000-0005-0000-0000-0000B6000000}"/>
    <cellStyle name="Hyperlink 3 4" xfId="184" xr:uid="{00000000-0005-0000-0000-0000B7000000}"/>
    <cellStyle name="Hyperlink 3 5" xfId="185" xr:uid="{00000000-0005-0000-0000-0000B8000000}"/>
    <cellStyle name="Hyperlink 4" xfId="186" xr:uid="{00000000-0005-0000-0000-0000B9000000}"/>
    <cellStyle name="Hyperlink 5" xfId="187" xr:uid="{00000000-0005-0000-0000-0000BA000000}"/>
    <cellStyle name="Input [yellow]" xfId="188" xr:uid="{00000000-0005-0000-0000-0000BB000000}"/>
    <cellStyle name="Input [yellow] 2" xfId="189" xr:uid="{00000000-0005-0000-0000-0000BC000000}"/>
    <cellStyle name="Input [yellow] 2 2" xfId="190" xr:uid="{00000000-0005-0000-0000-0000BD000000}"/>
    <cellStyle name="Input [yellow] 2 2 2" xfId="191" xr:uid="{00000000-0005-0000-0000-0000BE000000}"/>
    <cellStyle name="Input [yellow] 2 3" xfId="192" xr:uid="{00000000-0005-0000-0000-0000BF000000}"/>
    <cellStyle name="Input [yellow] 3" xfId="193" xr:uid="{00000000-0005-0000-0000-0000C0000000}"/>
    <cellStyle name="Input [yellow] 3 2" xfId="194" xr:uid="{00000000-0005-0000-0000-0000C1000000}"/>
    <cellStyle name="Input [yellow] 3 2 2" xfId="195" xr:uid="{00000000-0005-0000-0000-0000C2000000}"/>
    <cellStyle name="Input [yellow] 3 3" xfId="196" xr:uid="{00000000-0005-0000-0000-0000C3000000}"/>
    <cellStyle name="Input [yellow] 4" xfId="197" xr:uid="{00000000-0005-0000-0000-0000C4000000}"/>
    <cellStyle name="Input [yellow] 4 2" xfId="198" xr:uid="{00000000-0005-0000-0000-0000C5000000}"/>
    <cellStyle name="Input [yellow] 4 2 2" xfId="199" xr:uid="{00000000-0005-0000-0000-0000C6000000}"/>
    <cellStyle name="Input [yellow] 4 3" xfId="200" xr:uid="{00000000-0005-0000-0000-0000C7000000}"/>
    <cellStyle name="Input [yellow] 5" xfId="201" xr:uid="{00000000-0005-0000-0000-0000C8000000}"/>
    <cellStyle name="Input [yellow] 5 2" xfId="202" xr:uid="{00000000-0005-0000-0000-0000C9000000}"/>
    <cellStyle name="Input 2" xfId="203" xr:uid="{00000000-0005-0000-0000-0000CA000000}"/>
    <cellStyle name="Jim" xfId="204" xr:uid="{00000000-0005-0000-0000-0000CB000000}"/>
    <cellStyle name="Jim 2" xfId="205" xr:uid="{00000000-0005-0000-0000-0000CC000000}"/>
    <cellStyle name="Jim 2 2" xfId="206" xr:uid="{00000000-0005-0000-0000-0000CD000000}"/>
    <cellStyle name="Jim 2 2 2" xfId="207" xr:uid="{00000000-0005-0000-0000-0000CE000000}"/>
    <cellStyle name="Jim 2 3" xfId="208" xr:uid="{00000000-0005-0000-0000-0000CF000000}"/>
    <cellStyle name="Jim 3" xfId="209" xr:uid="{00000000-0005-0000-0000-0000D0000000}"/>
    <cellStyle name="Jim 3 2" xfId="210" xr:uid="{00000000-0005-0000-0000-0000D1000000}"/>
    <cellStyle name="Jim 3 2 2" xfId="211" xr:uid="{00000000-0005-0000-0000-0000D2000000}"/>
    <cellStyle name="Jim 3 3" xfId="212" xr:uid="{00000000-0005-0000-0000-0000D3000000}"/>
    <cellStyle name="Jim 4" xfId="213" xr:uid="{00000000-0005-0000-0000-0000D4000000}"/>
    <cellStyle name="Jim 4 2" xfId="214" xr:uid="{00000000-0005-0000-0000-0000D5000000}"/>
    <cellStyle name="Jim 4 2 2" xfId="215" xr:uid="{00000000-0005-0000-0000-0000D6000000}"/>
    <cellStyle name="Jim 4 3" xfId="216" xr:uid="{00000000-0005-0000-0000-0000D7000000}"/>
    <cellStyle name="Jim 5" xfId="217" xr:uid="{00000000-0005-0000-0000-0000D8000000}"/>
    <cellStyle name="Jim 5 2" xfId="218" xr:uid="{00000000-0005-0000-0000-0000D9000000}"/>
    <cellStyle name="Linked Cell 2" xfId="219" xr:uid="{00000000-0005-0000-0000-0000DA000000}"/>
    <cellStyle name="Linked Cell 3" xfId="220" xr:uid="{00000000-0005-0000-0000-0000DB000000}"/>
    <cellStyle name="Locked" xfId="221" xr:uid="{00000000-0005-0000-0000-0000DC000000}"/>
    <cellStyle name="m/d/y" xfId="222" xr:uid="{00000000-0005-0000-0000-0000DD000000}"/>
    <cellStyle name="mm/dd/yy" xfId="223" xr:uid="{00000000-0005-0000-0000-0000DE000000}"/>
    <cellStyle name="N,NNN (blank 0)" xfId="224" xr:uid="{00000000-0005-0000-0000-0000DF000000}"/>
    <cellStyle name="Neutral 2" xfId="225" xr:uid="{00000000-0005-0000-0000-0000E0000000}"/>
    <cellStyle name="Neutral 3" xfId="226" xr:uid="{00000000-0005-0000-0000-0000E1000000}"/>
    <cellStyle name="Normal" xfId="0" builtinId="0"/>
    <cellStyle name="Normal - Style1" xfId="227" xr:uid="{00000000-0005-0000-0000-0000E3000000}"/>
    <cellStyle name="Normal 10" xfId="228" xr:uid="{00000000-0005-0000-0000-0000E4000000}"/>
    <cellStyle name="Normal 10 2" xfId="229" xr:uid="{00000000-0005-0000-0000-0000E5000000}"/>
    <cellStyle name="Normal 10 2 2" xfId="230" xr:uid="{00000000-0005-0000-0000-0000E6000000}"/>
    <cellStyle name="Normal 10 8" xfId="231" xr:uid="{00000000-0005-0000-0000-0000E7000000}"/>
    <cellStyle name="Normal 11" xfId="232" xr:uid="{00000000-0005-0000-0000-0000E8000000}"/>
    <cellStyle name="Normal 12" xfId="233" xr:uid="{00000000-0005-0000-0000-0000E9000000}"/>
    <cellStyle name="Normal 13" xfId="234" xr:uid="{00000000-0005-0000-0000-0000EA000000}"/>
    <cellStyle name="Normal 14" xfId="235" xr:uid="{00000000-0005-0000-0000-0000EB000000}"/>
    <cellStyle name="Normal 15" xfId="236" xr:uid="{00000000-0005-0000-0000-0000EC000000}"/>
    <cellStyle name="Normal 16" xfId="237" xr:uid="{00000000-0005-0000-0000-0000ED000000}"/>
    <cellStyle name="Normal 17" xfId="238" xr:uid="{00000000-0005-0000-0000-0000EE000000}"/>
    <cellStyle name="Normal 18" xfId="239" xr:uid="{00000000-0005-0000-0000-0000EF000000}"/>
    <cellStyle name="Normal 19" xfId="240" xr:uid="{00000000-0005-0000-0000-0000F0000000}"/>
    <cellStyle name="Normal 2" xfId="241" xr:uid="{00000000-0005-0000-0000-0000F1000000}"/>
    <cellStyle name="Normal 2 10" xfId="242" xr:uid="{00000000-0005-0000-0000-0000F2000000}"/>
    <cellStyle name="Normal 2 11" xfId="243" xr:uid="{00000000-0005-0000-0000-0000F3000000}"/>
    <cellStyle name="Normal 2 12" xfId="244" xr:uid="{00000000-0005-0000-0000-0000F4000000}"/>
    <cellStyle name="Normal 2 13" xfId="245" xr:uid="{00000000-0005-0000-0000-0000F5000000}"/>
    <cellStyle name="Normal 2 14" xfId="246" xr:uid="{00000000-0005-0000-0000-0000F6000000}"/>
    <cellStyle name="Normal 2 15" xfId="247" xr:uid="{00000000-0005-0000-0000-0000F7000000}"/>
    <cellStyle name="Normal 2 16" xfId="248" xr:uid="{00000000-0005-0000-0000-0000F8000000}"/>
    <cellStyle name="Normal 2 17" xfId="249" xr:uid="{00000000-0005-0000-0000-0000F9000000}"/>
    <cellStyle name="Normal 2 18" xfId="250" xr:uid="{00000000-0005-0000-0000-0000FA000000}"/>
    <cellStyle name="Normal 2 19" xfId="251" xr:uid="{00000000-0005-0000-0000-0000FB000000}"/>
    <cellStyle name="Normal 2 2" xfId="252" xr:uid="{00000000-0005-0000-0000-0000FC000000}"/>
    <cellStyle name="Normal 2 2 2" xfId="253" xr:uid="{00000000-0005-0000-0000-0000FD000000}"/>
    <cellStyle name="Normal 2 2 3" xfId="254" xr:uid="{00000000-0005-0000-0000-0000FE000000}"/>
    <cellStyle name="Normal 2 2 4" xfId="255" xr:uid="{00000000-0005-0000-0000-0000FF000000}"/>
    <cellStyle name="Normal 2 20" xfId="256" xr:uid="{00000000-0005-0000-0000-000000010000}"/>
    <cellStyle name="Normal 2 21" xfId="257" xr:uid="{00000000-0005-0000-0000-000001010000}"/>
    <cellStyle name="Normal 2 22" xfId="258" xr:uid="{00000000-0005-0000-0000-000002010000}"/>
    <cellStyle name="Normal 2 3" xfId="259" xr:uid="{00000000-0005-0000-0000-000003010000}"/>
    <cellStyle name="Normal 2 3 2" xfId="260" xr:uid="{00000000-0005-0000-0000-000004010000}"/>
    <cellStyle name="Normal 2 4" xfId="261" xr:uid="{00000000-0005-0000-0000-000005010000}"/>
    <cellStyle name="Normal 2 5" xfId="262" xr:uid="{00000000-0005-0000-0000-000006010000}"/>
    <cellStyle name="Normal 2 6" xfId="263" xr:uid="{00000000-0005-0000-0000-000007010000}"/>
    <cellStyle name="Normal 2 7" xfId="264" xr:uid="{00000000-0005-0000-0000-000008010000}"/>
    <cellStyle name="Normal 2 8" xfId="265" xr:uid="{00000000-0005-0000-0000-000009010000}"/>
    <cellStyle name="Normal 2 9" xfId="266" xr:uid="{00000000-0005-0000-0000-00000A010000}"/>
    <cellStyle name="Normal 2_ARD CEP 2 Budget Final" xfId="267" xr:uid="{00000000-0005-0000-0000-00000B010000}"/>
    <cellStyle name="Normal 20" xfId="268" xr:uid="{00000000-0005-0000-0000-00000C010000}"/>
    <cellStyle name="Normal 21" xfId="269" xr:uid="{00000000-0005-0000-0000-00000D010000}"/>
    <cellStyle name="Normal 22" xfId="270" xr:uid="{00000000-0005-0000-0000-00000E010000}"/>
    <cellStyle name="Normal 23" xfId="271" xr:uid="{00000000-0005-0000-0000-00000F010000}"/>
    <cellStyle name="Normal 24" xfId="272" xr:uid="{00000000-0005-0000-0000-000010010000}"/>
    <cellStyle name="Normal 25" xfId="273" xr:uid="{00000000-0005-0000-0000-000011010000}"/>
    <cellStyle name="Normal 26" xfId="274" xr:uid="{00000000-0005-0000-0000-000012010000}"/>
    <cellStyle name="Normal 27" xfId="275" xr:uid="{00000000-0005-0000-0000-000013010000}"/>
    <cellStyle name="Normal 28" xfId="276" xr:uid="{00000000-0005-0000-0000-000014010000}"/>
    <cellStyle name="Normal 29" xfId="277" xr:uid="{00000000-0005-0000-0000-000015010000}"/>
    <cellStyle name="Normal 3" xfId="278" xr:uid="{00000000-0005-0000-0000-000016010000}"/>
    <cellStyle name="Normal 3 2" xfId="279" xr:uid="{00000000-0005-0000-0000-000017010000}"/>
    <cellStyle name="Normal 3 2 2" xfId="280" xr:uid="{00000000-0005-0000-0000-000018010000}"/>
    <cellStyle name="Normal 3 2 2 2" xfId="281" xr:uid="{00000000-0005-0000-0000-000019010000}"/>
    <cellStyle name="Normal 3 2 2 3" xfId="282" xr:uid="{00000000-0005-0000-0000-00001A010000}"/>
    <cellStyle name="Normal 3 2 3" xfId="283" xr:uid="{00000000-0005-0000-0000-00001B010000}"/>
    <cellStyle name="Normal 3 2 3 2" xfId="284" xr:uid="{00000000-0005-0000-0000-00001C010000}"/>
    <cellStyle name="Normal 3 3" xfId="285" xr:uid="{00000000-0005-0000-0000-00001D010000}"/>
    <cellStyle name="Normal 3 4" xfId="286" xr:uid="{00000000-0005-0000-0000-00001E010000}"/>
    <cellStyle name="Normal 3_CHF-GEII Schools Rehab &amp; WatSan Combined Budget 9 7 2009 FINAL" xfId="287" xr:uid="{00000000-0005-0000-0000-00001F010000}"/>
    <cellStyle name="Normal 30" xfId="288" xr:uid="{00000000-0005-0000-0000-000020010000}"/>
    <cellStyle name="Normal 31" xfId="289" xr:uid="{00000000-0005-0000-0000-000021010000}"/>
    <cellStyle name="Normal 32" xfId="290" xr:uid="{00000000-0005-0000-0000-000022010000}"/>
    <cellStyle name="Normal 33" xfId="291" xr:uid="{00000000-0005-0000-0000-000023010000}"/>
    <cellStyle name="Normal 34" xfId="292" xr:uid="{00000000-0005-0000-0000-000024010000}"/>
    <cellStyle name="Normal 35" xfId="293" xr:uid="{00000000-0005-0000-0000-000025010000}"/>
    <cellStyle name="Normal 36" xfId="294" xr:uid="{00000000-0005-0000-0000-000026010000}"/>
    <cellStyle name="Normal 37" xfId="295" xr:uid="{00000000-0005-0000-0000-000027010000}"/>
    <cellStyle name="Normal 38" xfId="515" xr:uid="{D98FBAD3-AA2F-4AD7-8C43-93B948557DDD}"/>
    <cellStyle name="Normal 39" xfId="517" xr:uid="{9AB7FD94-7D35-4FE5-AF55-7668E4611BB7}"/>
    <cellStyle name="Normal 39 2" xfId="518" xr:uid="{318D78A5-79CE-4202-9905-7E5E7A60F1E7}"/>
    <cellStyle name="Normal 39 3" xfId="520" xr:uid="{7A9F400D-4917-4B3A-BDDD-8E81E9712054}"/>
    <cellStyle name="Normal 4" xfId="296" xr:uid="{00000000-0005-0000-0000-000028010000}"/>
    <cellStyle name="Normal 4 2" xfId="297" xr:uid="{00000000-0005-0000-0000-000029010000}"/>
    <cellStyle name="Normal 40" xfId="519" xr:uid="{8A08F67B-C5C6-4B8C-AA4A-943DE13FB1D9}"/>
    <cellStyle name="Normal 44" xfId="298" xr:uid="{00000000-0005-0000-0000-00002A010000}"/>
    <cellStyle name="Normal 5" xfId="299" xr:uid="{00000000-0005-0000-0000-00002B010000}"/>
    <cellStyle name="Normal 5 2" xfId="300" xr:uid="{00000000-0005-0000-0000-00002C010000}"/>
    <cellStyle name="Normal 5 2 2" xfId="301" xr:uid="{00000000-0005-0000-0000-00002D010000}"/>
    <cellStyle name="Normal 5 2 3" xfId="302" xr:uid="{00000000-0005-0000-0000-00002E010000}"/>
    <cellStyle name="Normal 5_12 04 20 Iraq Budget_ICNL BACKUP" xfId="303" xr:uid="{00000000-0005-0000-0000-00002F010000}"/>
    <cellStyle name="Normal 6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7" xfId="307" xr:uid="{00000000-0005-0000-0000-000033010000}"/>
    <cellStyle name="Normal 7 2" xfId="308" xr:uid="{00000000-0005-0000-0000-000034010000}"/>
    <cellStyle name="Normal 7 2 2" xfId="309" xr:uid="{00000000-0005-0000-0000-000035010000}"/>
    <cellStyle name="Normal 7 2 3" xfId="310" xr:uid="{00000000-0005-0000-0000-000036010000}"/>
    <cellStyle name="Normal 7 2_12 04 20 Iraq Budget_ICNL BACKUP" xfId="311" xr:uid="{00000000-0005-0000-0000-000037010000}"/>
    <cellStyle name="Normal 7 3" xfId="312" xr:uid="{00000000-0005-0000-0000-000038010000}"/>
    <cellStyle name="Normal 7 3 2" xfId="313" xr:uid="{00000000-0005-0000-0000-000039010000}"/>
    <cellStyle name="Normal 7 3_12 04 20 Iraq Budget_ICNL BACKUP" xfId="314" xr:uid="{00000000-0005-0000-0000-00003A010000}"/>
    <cellStyle name="Normal 7 4" xfId="315" xr:uid="{00000000-0005-0000-0000-00003B010000}"/>
    <cellStyle name="Normal 7 5" xfId="316" xr:uid="{00000000-0005-0000-0000-00003C010000}"/>
    <cellStyle name="Normal 7 6" xfId="317" xr:uid="{00000000-0005-0000-0000-00003D010000}"/>
    <cellStyle name="Normal 7_12 04 20 Iraq Budget_ICNL BACKUP" xfId="318" xr:uid="{00000000-0005-0000-0000-00003E010000}"/>
    <cellStyle name="Normal 8" xfId="319" xr:uid="{00000000-0005-0000-0000-00003F010000}"/>
    <cellStyle name="Normal 8 2" xfId="320" xr:uid="{00000000-0005-0000-0000-000040010000}"/>
    <cellStyle name="Normal 8 3" xfId="321" xr:uid="{00000000-0005-0000-0000-000041010000}"/>
    <cellStyle name="Normal 8 4" xfId="322" xr:uid="{00000000-0005-0000-0000-000042010000}"/>
    <cellStyle name="Normal 8 5" xfId="323" xr:uid="{00000000-0005-0000-0000-000043010000}"/>
    <cellStyle name="Normal 8 6" xfId="324" xr:uid="{00000000-0005-0000-0000-000044010000}"/>
    <cellStyle name="Normal 8_12 04 20 Iraq Budget_ICNL BACKUP" xfId="325" xr:uid="{00000000-0005-0000-0000-000045010000}"/>
    <cellStyle name="Normal 9" xfId="326" xr:uid="{00000000-0005-0000-0000-000046010000}"/>
    <cellStyle name="Normal 9 2" xfId="327" xr:uid="{00000000-0005-0000-0000-000047010000}"/>
    <cellStyle name="Note 2" xfId="328" xr:uid="{00000000-0005-0000-0000-000048010000}"/>
    <cellStyle name="Number" xfId="329" xr:uid="{00000000-0005-0000-0000-000049010000}"/>
    <cellStyle name="Number 2" xfId="330" xr:uid="{00000000-0005-0000-0000-00004A010000}"/>
    <cellStyle name="number 3" xfId="331" xr:uid="{00000000-0005-0000-0000-00004B010000}"/>
    <cellStyle name="number 3 2" xfId="332" xr:uid="{00000000-0005-0000-0000-00004C010000}"/>
    <cellStyle name="Option" xfId="333" xr:uid="{00000000-0005-0000-0000-00004D010000}"/>
    <cellStyle name="Output 2" xfId="334" xr:uid="{00000000-0005-0000-0000-00004E010000}"/>
    <cellStyle name="Percen - Style1" xfId="335" xr:uid="{00000000-0005-0000-0000-00004F010000}"/>
    <cellStyle name="Percen - Style3" xfId="336" xr:uid="{00000000-0005-0000-0000-000050010000}"/>
    <cellStyle name="Percent" xfId="337" builtinId="5"/>
    <cellStyle name="Percent [0]" xfId="338" xr:uid="{00000000-0005-0000-0000-000052010000}"/>
    <cellStyle name="Percent [2]" xfId="339" xr:uid="{00000000-0005-0000-0000-000053010000}"/>
    <cellStyle name="Percent 2" xfId="340" xr:uid="{00000000-0005-0000-0000-000054010000}"/>
    <cellStyle name="Percent 2 2" xfId="341" xr:uid="{00000000-0005-0000-0000-000055010000}"/>
    <cellStyle name="Percent 2 2 2" xfId="342" xr:uid="{00000000-0005-0000-0000-000056010000}"/>
    <cellStyle name="Percent 2 2 3" xfId="343" xr:uid="{00000000-0005-0000-0000-000057010000}"/>
    <cellStyle name="Percent 2 2 4" xfId="344" xr:uid="{00000000-0005-0000-0000-000058010000}"/>
    <cellStyle name="Percent 2 3" xfId="345" xr:uid="{00000000-0005-0000-0000-000059010000}"/>
    <cellStyle name="Percent 2 3 2" xfId="346" xr:uid="{00000000-0005-0000-0000-00005A010000}"/>
    <cellStyle name="Percent 3" xfId="347" xr:uid="{00000000-0005-0000-0000-00005B010000}"/>
    <cellStyle name="Percent 3 2" xfId="348" xr:uid="{00000000-0005-0000-0000-00005C010000}"/>
    <cellStyle name="Percent 4" xfId="349" xr:uid="{00000000-0005-0000-0000-00005D010000}"/>
    <cellStyle name="Percent 4 2" xfId="350" xr:uid="{00000000-0005-0000-0000-00005E010000}"/>
    <cellStyle name="Percent 4 2 2" xfId="351" xr:uid="{00000000-0005-0000-0000-00005F010000}"/>
    <cellStyle name="Percent 4 3" xfId="352" xr:uid="{00000000-0005-0000-0000-000060010000}"/>
    <cellStyle name="Percent 5" xfId="353" xr:uid="{00000000-0005-0000-0000-000061010000}"/>
    <cellStyle name="Percent 5 2" xfId="354" xr:uid="{00000000-0005-0000-0000-000062010000}"/>
    <cellStyle name="Percent 5 2 2" xfId="355" xr:uid="{00000000-0005-0000-0000-000063010000}"/>
    <cellStyle name="Percent 5 3" xfId="356" xr:uid="{00000000-0005-0000-0000-000064010000}"/>
    <cellStyle name="Percent 6" xfId="357" xr:uid="{00000000-0005-0000-0000-000065010000}"/>
    <cellStyle name="Percent 6 2" xfId="358" xr:uid="{00000000-0005-0000-0000-000066010000}"/>
    <cellStyle name="Percent 7" xfId="359" xr:uid="{00000000-0005-0000-0000-000067010000}"/>
    <cellStyle name="Percent 8" xfId="360" xr:uid="{00000000-0005-0000-0000-000068010000}"/>
    <cellStyle name="Percent 9" xfId="361" xr:uid="{00000000-0005-0000-0000-000069010000}"/>
    <cellStyle name="Period" xfId="362" xr:uid="{00000000-0005-0000-0000-00006A010000}"/>
    <cellStyle name="PROJ_NUM" xfId="363" xr:uid="{00000000-0005-0000-0000-00006B010000}"/>
    <cellStyle name="PSChar" xfId="364" xr:uid="{00000000-0005-0000-0000-00006C010000}"/>
    <cellStyle name="PSDate" xfId="365" xr:uid="{00000000-0005-0000-0000-00006D010000}"/>
    <cellStyle name="PSDec" xfId="366" xr:uid="{00000000-0005-0000-0000-00006E010000}"/>
    <cellStyle name="PSHeading" xfId="367" xr:uid="{00000000-0005-0000-0000-00006F010000}"/>
    <cellStyle name="PSInt" xfId="368" xr:uid="{00000000-0005-0000-0000-000070010000}"/>
    <cellStyle name="PSSpacer" xfId="369" xr:uid="{00000000-0005-0000-0000-000071010000}"/>
    <cellStyle name="RAMEY" xfId="370" xr:uid="{00000000-0005-0000-0000-000072010000}"/>
    <cellStyle name="Ramey $k" xfId="371" xr:uid="{00000000-0005-0000-0000-000073010000}"/>
    <cellStyle name="RAMEY_P&amp;O BKUP" xfId="372" xr:uid="{00000000-0005-0000-0000-000074010000}"/>
    <cellStyle name="STYL1 - Style1" xfId="373" xr:uid="{00000000-0005-0000-0000-000075010000}"/>
    <cellStyle name="Style 1" xfId="374" xr:uid="{00000000-0005-0000-0000-000076010000}"/>
    <cellStyle name="Style 21" xfId="375" xr:uid="{00000000-0005-0000-0000-000077010000}"/>
    <cellStyle name="Style 22" xfId="376" xr:uid="{00000000-0005-0000-0000-000078010000}"/>
    <cellStyle name="Style 23" xfId="377" xr:uid="{00000000-0005-0000-0000-000079010000}"/>
    <cellStyle name="Style 24" xfId="378" xr:uid="{00000000-0005-0000-0000-00007A010000}"/>
    <cellStyle name="Style 25" xfId="379" xr:uid="{00000000-0005-0000-0000-00007B010000}"/>
    <cellStyle name="Style 26" xfId="380" xr:uid="{00000000-0005-0000-0000-00007C010000}"/>
    <cellStyle name="Style 27" xfId="381" xr:uid="{00000000-0005-0000-0000-00007D010000}"/>
    <cellStyle name="STYLE1" xfId="382" xr:uid="{00000000-0005-0000-0000-00007E010000}"/>
    <cellStyle name="STYLE1 2" xfId="383" xr:uid="{00000000-0005-0000-0000-00007F010000}"/>
    <cellStyle name="STYLE1 3" xfId="384" xr:uid="{00000000-0005-0000-0000-000080010000}"/>
    <cellStyle name="STYLE2" xfId="385" xr:uid="{00000000-0005-0000-0000-000081010000}"/>
    <cellStyle name="STYLE3" xfId="386" xr:uid="{00000000-0005-0000-0000-000082010000}"/>
    <cellStyle name="STYLE4" xfId="387" xr:uid="{00000000-0005-0000-0000-000083010000}"/>
    <cellStyle name="STYLE5" xfId="388" xr:uid="{00000000-0005-0000-0000-000084010000}"/>
    <cellStyle name="þ_x0011_Í-&amp;ý&amp;‰ýG_x0008_Æ_x0009__x000a__x0007__x0001__x0001_" xfId="389" xr:uid="{00000000-0005-0000-0000-000085010000}"/>
    <cellStyle name="Thousands" xfId="390" xr:uid="{00000000-0005-0000-0000-000086010000}"/>
    <cellStyle name="Title 2" xfId="391" xr:uid="{00000000-0005-0000-0000-000087010000}"/>
    <cellStyle name="Total 2" xfId="392" xr:uid="{00000000-0005-0000-0000-000088010000}"/>
    <cellStyle name="Unit" xfId="393" xr:uid="{00000000-0005-0000-0000-000089010000}"/>
    <cellStyle name="Unlocked" xfId="394" xr:uid="{00000000-0005-0000-0000-00008A010000}"/>
    <cellStyle name="Warning Text 2" xfId="395" xr:uid="{00000000-0005-0000-0000-00008B010000}"/>
    <cellStyle name="Обычный_Budget_final_25_02_02" xfId="396" xr:uid="{00000000-0005-0000-0000-00008C010000}"/>
    <cellStyle name="アクセント 1" xfId="397" xr:uid="{00000000-0005-0000-0000-00008D010000}"/>
    <cellStyle name="アクセント 2" xfId="398" xr:uid="{00000000-0005-0000-0000-00008E010000}"/>
    <cellStyle name="アクセント 3" xfId="399" xr:uid="{00000000-0005-0000-0000-00008F010000}"/>
    <cellStyle name="アクセント 4" xfId="400" xr:uid="{00000000-0005-0000-0000-000090010000}"/>
    <cellStyle name="アクセント 5" xfId="401" xr:uid="{00000000-0005-0000-0000-000091010000}"/>
    <cellStyle name="アクセント 6" xfId="402" xr:uid="{00000000-0005-0000-0000-000092010000}"/>
    <cellStyle name="タイトル" xfId="403" xr:uid="{00000000-0005-0000-0000-000093010000}"/>
    <cellStyle name="チェック セル" xfId="404" xr:uid="{00000000-0005-0000-0000-000094010000}"/>
    <cellStyle name="どちらでもない" xfId="405" xr:uid="{00000000-0005-0000-0000-000095010000}"/>
    <cellStyle name="メモ" xfId="406" xr:uid="{00000000-0005-0000-0000-000096010000}"/>
    <cellStyle name="メモ 2" xfId="407" xr:uid="{00000000-0005-0000-0000-000097010000}"/>
    <cellStyle name="メモ 2 2" xfId="408" xr:uid="{00000000-0005-0000-0000-000098010000}"/>
    <cellStyle name="メモ 2 2 2" xfId="409" xr:uid="{00000000-0005-0000-0000-000099010000}"/>
    <cellStyle name="メモ 2 3" xfId="410" xr:uid="{00000000-0005-0000-0000-00009A010000}"/>
    <cellStyle name="メモ 3" xfId="411" xr:uid="{00000000-0005-0000-0000-00009B010000}"/>
    <cellStyle name="メモ 3 2" xfId="412" xr:uid="{00000000-0005-0000-0000-00009C010000}"/>
    <cellStyle name="メモ 3 2 2" xfId="413" xr:uid="{00000000-0005-0000-0000-00009D010000}"/>
    <cellStyle name="メモ 3 3" xfId="414" xr:uid="{00000000-0005-0000-0000-00009E010000}"/>
    <cellStyle name="メモ 4" xfId="415" xr:uid="{00000000-0005-0000-0000-00009F010000}"/>
    <cellStyle name="メモ 4 2" xfId="416" xr:uid="{00000000-0005-0000-0000-0000A0010000}"/>
    <cellStyle name="メモ 4 2 2" xfId="417" xr:uid="{00000000-0005-0000-0000-0000A1010000}"/>
    <cellStyle name="メモ 4 3" xfId="418" xr:uid="{00000000-0005-0000-0000-0000A2010000}"/>
    <cellStyle name="メモ 5" xfId="419" xr:uid="{00000000-0005-0000-0000-0000A3010000}"/>
    <cellStyle name="メモ 5 2" xfId="420" xr:uid="{00000000-0005-0000-0000-0000A4010000}"/>
    <cellStyle name="メモ 5 2 2" xfId="421" xr:uid="{00000000-0005-0000-0000-0000A5010000}"/>
    <cellStyle name="メモ 5 3" xfId="422" xr:uid="{00000000-0005-0000-0000-0000A6010000}"/>
    <cellStyle name="メモ 6" xfId="423" xr:uid="{00000000-0005-0000-0000-0000A7010000}"/>
    <cellStyle name="メモ 6 2" xfId="424" xr:uid="{00000000-0005-0000-0000-0000A8010000}"/>
    <cellStyle name="メモ 7" xfId="425" xr:uid="{00000000-0005-0000-0000-0000A9010000}"/>
    <cellStyle name="リンク セル" xfId="426" xr:uid="{00000000-0005-0000-0000-0000AA010000}"/>
    <cellStyle name="入力" xfId="427" xr:uid="{00000000-0005-0000-0000-0000AB010000}"/>
    <cellStyle name="入力 2" xfId="428" xr:uid="{00000000-0005-0000-0000-0000AC010000}"/>
    <cellStyle name="入力 2 2" xfId="429" xr:uid="{00000000-0005-0000-0000-0000AD010000}"/>
    <cellStyle name="入力 2 2 2" xfId="430" xr:uid="{00000000-0005-0000-0000-0000AE010000}"/>
    <cellStyle name="入力 2 3" xfId="431" xr:uid="{00000000-0005-0000-0000-0000AF010000}"/>
    <cellStyle name="入力 3" xfId="432" xr:uid="{00000000-0005-0000-0000-0000B0010000}"/>
    <cellStyle name="入力 3 2" xfId="433" xr:uid="{00000000-0005-0000-0000-0000B1010000}"/>
    <cellStyle name="入力 3 2 2" xfId="434" xr:uid="{00000000-0005-0000-0000-0000B2010000}"/>
    <cellStyle name="入力 3 3" xfId="435" xr:uid="{00000000-0005-0000-0000-0000B3010000}"/>
    <cellStyle name="入力 4" xfId="436" xr:uid="{00000000-0005-0000-0000-0000B4010000}"/>
    <cellStyle name="入力 4 2" xfId="437" xr:uid="{00000000-0005-0000-0000-0000B5010000}"/>
    <cellStyle name="入力 4 2 2" xfId="438" xr:uid="{00000000-0005-0000-0000-0000B6010000}"/>
    <cellStyle name="入力 4 3" xfId="439" xr:uid="{00000000-0005-0000-0000-0000B7010000}"/>
    <cellStyle name="入力 5" xfId="440" xr:uid="{00000000-0005-0000-0000-0000B8010000}"/>
    <cellStyle name="入力 5 2" xfId="441" xr:uid="{00000000-0005-0000-0000-0000B9010000}"/>
    <cellStyle name="入力 5 2 2" xfId="442" xr:uid="{00000000-0005-0000-0000-0000BA010000}"/>
    <cellStyle name="入力 5 3" xfId="443" xr:uid="{00000000-0005-0000-0000-0000BB010000}"/>
    <cellStyle name="入力 6" xfId="444" xr:uid="{00000000-0005-0000-0000-0000BC010000}"/>
    <cellStyle name="入力 6 2" xfId="445" xr:uid="{00000000-0005-0000-0000-0000BD010000}"/>
    <cellStyle name="入力 7" xfId="446" xr:uid="{00000000-0005-0000-0000-0000BE010000}"/>
    <cellStyle name="出力" xfId="447" xr:uid="{00000000-0005-0000-0000-0000BF010000}"/>
    <cellStyle name="出力 2" xfId="448" xr:uid="{00000000-0005-0000-0000-0000C0010000}"/>
    <cellStyle name="出力 2 2" xfId="449" xr:uid="{00000000-0005-0000-0000-0000C1010000}"/>
    <cellStyle name="出力 2 2 2" xfId="450" xr:uid="{00000000-0005-0000-0000-0000C2010000}"/>
    <cellStyle name="出力 2 3" xfId="451" xr:uid="{00000000-0005-0000-0000-0000C3010000}"/>
    <cellStyle name="出力 3" xfId="452" xr:uid="{00000000-0005-0000-0000-0000C4010000}"/>
    <cellStyle name="出力 3 2" xfId="453" xr:uid="{00000000-0005-0000-0000-0000C5010000}"/>
    <cellStyle name="出力 3 2 2" xfId="454" xr:uid="{00000000-0005-0000-0000-0000C6010000}"/>
    <cellStyle name="出力 3 3" xfId="455" xr:uid="{00000000-0005-0000-0000-0000C7010000}"/>
    <cellStyle name="出力 4" xfId="456" xr:uid="{00000000-0005-0000-0000-0000C8010000}"/>
    <cellStyle name="出力 4 2" xfId="457" xr:uid="{00000000-0005-0000-0000-0000C9010000}"/>
    <cellStyle name="出力 4 2 2" xfId="458" xr:uid="{00000000-0005-0000-0000-0000CA010000}"/>
    <cellStyle name="出力 4 3" xfId="459" xr:uid="{00000000-0005-0000-0000-0000CB010000}"/>
    <cellStyle name="出力 5" xfId="460" xr:uid="{00000000-0005-0000-0000-0000CC010000}"/>
    <cellStyle name="出力 5 2" xfId="461" xr:uid="{00000000-0005-0000-0000-0000CD010000}"/>
    <cellStyle name="出力 5 2 2" xfId="462" xr:uid="{00000000-0005-0000-0000-0000CE010000}"/>
    <cellStyle name="出力 5 3" xfId="463" xr:uid="{00000000-0005-0000-0000-0000CF010000}"/>
    <cellStyle name="出力 6" xfId="464" xr:uid="{00000000-0005-0000-0000-0000D0010000}"/>
    <cellStyle name="出力 6 2" xfId="465" xr:uid="{00000000-0005-0000-0000-0000D1010000}"/>
    <cellStyle name="出力 7" xfId="466" xr:uid="{00000000-0005-0000-0000-0000D2010000}"/>
    <cellStyle name="悪い" xfId="467" xr:uid="{00000000-0005-0000-0000-0000D3010000}"/>
    <cellStyle name="良い" xfId="468" xr:uid="{00000000-0005-0000-0000-0000D4010000}"/>
    <cellStyle name="見出し 1" xfId="469" xr:uid="{00000000-0005-0000-0000-0000D5010000}"/>
    <cellStyle name="見出し 2" xfId="470" xr:uid="{00000000-0005-0000-0000-0000D6010000}"/>
    <cellStyle name="見出し 3" xfId="471" xr:uid="{00000000-0005-0000-0000-0000D7010000}"/>
    <cellStyle name="見出し 4" xfId="472" xr:uid="{00000000-0005-0000-0000-0000D8010000}"/>
    <cellStyle name="計算" xfId="473" xr:uid="{00000000-0005-0000-0000-0000D9010000}"/>
    <cellStyle name="計算 2" xfId="474" xr:uid="{00000000-0005-0000-0000-0000DA010000}"/>
    <cellStyle name="計算 2 2" xfId="475" xr:uid="{00000000-0005-0000-0000-0000DB010000}"/>
    <cellStyle name="計算 2 2 2" xfId="476" xr:uid="{00000000-0005-0000-0000-0000DC010000}"/>
    <cellStyle name="計算 2 3" xfId="477" xr:uid="{00000000-0005-0000-0000-0000DD010000}"/>
    <cellStyle name="計算 3" xfId="478" xr:uid="{00000000-0005-0000-0000-0000DE010000}"/>
    <cellStyle name="計算 3 2" xfId="479" xr:uid="{00000000-0005-0000-0000-0000DF010000}"/>
    <cellStyle name="計算 3 2 2" xfId="480" xr:uid="{00000000-0005-0000-0000-0000E0010000}"/>
    <cellStyle name="計算 3 3" xfId="481" xr:uid="{00000000-0005-0000-0000-0000E1010000}"/>
    <cellStyle name="計算 4" xfId="482" xr:uid="{00000000-0005-0000-0000-0000E2010000}"/>
    <cellStyle name="計算 4 2" xfId="483" xr:uid="{00000000-0005-0000-0000-0000E3010000}"/>
    <cellStyle name="計算 4 2 2" xfId="484" xr:uid="{00000000-0005-0000-0000-0000E4010000}"/>
    <cellStyle name="計算 4 3" xfId="485" xr:uid="{00000000-0005-0000-0000-0000E5010000}"/>
    <cellStyle name="計算 5" xfId="486" xr:uid="{00000000-0005-0000-0000-0000E6010000}"/>
    <cellStyle name="計算 5 2" xfId="487" xr:uid="{00000000-0005-0000-0000-0000E7010000}"/>
    <cellStyle name="計算 5 2 2" xfId="488" xr:uid="{00000000-0005-0000-0000-0000E8010000}"/>
    <cellStyle name="計算 5 3" xfId="489" xr:uid="{00000000-0005-0000-0000-0000E9010000}"/>
    <cellStyle name="計算 6" xfId="490" xr:uid="{00000000-0005-0000-0000-0000EA010000}"/>
    <cellStyle name="計算 6 2" xfId="491" xr:uid="{00000000-0005-0000-0000-0000EB010000}"/>
    <cellStyle name="計算 7" xfId="492" xr:uid="{00000000-0005-0000-0000-0000EC010000}"/>
    <cellStyle name="説明文" xfId="493" xr:uid="{00000000-0005-0000-0000-0000ED010000}"/>
    <cellStyle name="警告文" xfId="494" xr:uid="{00000000-0005-0000-0000-0000EE010000}"/>
    <cellStyle name="集計" xfId="495" xr:uid="{00000000-0005-0000-0000-0000EF010000}"/>
    <cellStyle name="集計 2" xfId="496" xr:uid="{00000000-0005-0000-0000-0000F0010000}"/>
    <cellStyle name="集計 2 2" xfId="497" xr:uid="{00000000-0005-0000-0000-0000F1010000}"/>
    <cellStyle name="集計 2 2 2" xfId="498" xr:uid="{00000000-0005-0000-0000-0000F2010000}"/>
    <cellStyle name="集計 2 3" xfId="499" xr:uid="{00000000-0005-0000-0000-0000F3010000}"/>
    <cellStyle name="集計 3" xfId="500" xr:uid="{00000000-0005-0000-0000-0000F4010000}"/>
    <cellStyle name="集計 3 2" xfId="501" xr:uid="{00000000-0005-0000-0000-0000F5010000}"/>
    <cellStyle name="集計 3 2 2" xfId="502" xr:uid="{00000000-0005-0000-0000-0000F6010000}"/>
    <cellStyle name="集計 3 3" xfId="503" xr:uid="{00000000-0005-0000-0000-0000F7010000}"/>
    <cellStyle name="集計 4" xfId="504" xr:uid="{00000000-0005-0000-0000-0000F8010000}"/>
    <cellStyle name="集計 4 2" xfId="505" xr:uid="{00000000-0005-0000-0000-0000F9010000}"/>
    <cellStyle name="集計 4 2 2" xfId="506" xr:uid="{00000000-0005-0000-0000-0000FA010000}"/>
    <cellStyle name="集計 4 3" xfId="507" xr:uid="{00000000-0005-0000-0000-0000FB010000}"/>
    <cellStyle name="集計 5" xfId="508" xr:uid="{00000000-0005-0000-0000-0000FC010000}"/>
    <cellStyle name="集計 5 2" xfId="509" xr:uid="{00000000-0005-0000-0000-0000FD010000}"/>
    <cellStyle name="集計 5 2 2" xfId="510" xr:uid="{00000000-0005-0000-0000-0000FE010000}"/>
    <cellStyle name="集計 5 3" xfId="511" xr:uid="{00000000-0005-0000-0000-0000FF010000}"/>
    <cellStyle name="集計 6" xfId="512" xr:uid="{00000000-0005-0000-0000-000000020000}"/>
    <cellStyle name="集計 6 2" xfId="513" xr:uid="{00000000-0005-0000-0000-000001020000}"/>
    <cellStyle name="集計 7" xfId="514" xr:uid="{00000000-0005-0000-0000-00000202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Funds Snapshots'!$L$48:$L$49</c:f>
              <c:strCache>
                <c:ptCount val="1"/>
                <c:pt idx="0">
                  <c:v>Column Labels Cacao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12952229.504887147</c:v>
              </c:pt>
            </c:numLit>
          </c:val>
          <c:extLst>
            <c:ext xmlns:c16="http://schemas.microsoft.com/office/drawing/2014/chart" uri="{C3380CC4-5D6E-409C-BE32-E72D297353CC}">
              <c16:uniqueId val="{00000003-34C5-43D4-BB29-B9E679CE7FD3}"/>
            </c:ext>
          </c:extLst>
        </c:ser>
        <c:ser>
          <c:idx val="1"/>
          <c:order val="1"/>
          <c:tx>
            <c:strRef>
              <c:f>'Project Funds Snapshots'!$M$48:$M$49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12535646.939641403</c:v>
              </c:pt>
            </c:numLit>
          </c:val>
          <c:extLst>
            <c:ext xmlns:c16="http://schemas.microsoft.com/office/drawing/2014/chart" uri="{C3380CC4-5D6E-409C-BE32-E72D297353CC}">
              <c16:uniqueId val="{00000004-34C5-43D4-BB29-B9E679CE7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532959"/>
        <c:axId val="1595534623"/>
      </c:barChart>
      <c:catAx>
        <c:axId val="159553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34623"/>
        <c:crossesAt val="0"/>
        <c:auto val="1"/>
        <c:lblAlgn val="ctr"/>
        <c:lblOffset val="100"/>
        <c:noMultiLvlLbl val="0"/>
      </c:catAx>
      <c:valAx>
        <c:axId val="1595534623"/>
        <c:scaling>
          <c:orientation val="minMax"/>
          <c:max val="23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32959"/>
        <c:crosses val="autoZero"/>
        <c:crossBetween val="between"/>
        <c:minorUnit val="100000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Funds Snapshots'!$L$68</c:f>
              <c:strCache>
                <c:ptCount val="1"/>
                <c:pt idx="0">
                  <c:v>Sum of Total USDA Project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8"/>
              <c:pt idx="0">
                <c:v>Activity 1 Cacao</c:v>
              </c:pt>
              <c:pt idx="1">
                <c:v>Activity 1 Complementary</c:v>
              </c:pt>
              <c:pt idx="2">
                <c:v>Activity 2 Cacao</c:v>
              </c:pt>
              <c:pt idx="3">
                <c:v>Activity 2 Complementary</c:v>
              </c:pt>
              <c:pt idx="4">
                <c:v>Activity 3 Cacao</c:v>
              </c:pt>
              <c:pt idx="5">
                <c:v>Activity 3 Complementary</c:v>
              </c:pt>
              <c:pt idx="6">
                <c:v>Activity 4 Cacao</c:v>
              </c:pt>
              <c:pt idx="7">
                <c:v>Activity 4 Complementary</c:v>
              </c:pt>
              <c:pt idx="8">
                <c:v>Activity 5 Cacao</c:v>
              </c:pt>
              <c:pt idx="9">
                <c:v>Activity 5 Complementary</c:v>
              </c:pt>
              <c:pt idx="10">
                <c:v>Activity 6 Cacao</c:v>
              </c:pt>
              <c:pt idx="11">
                <c:v>Activity 6 Complementary</c:v>
              </c:pt>
              <c:pt idx="12">
                <c:v>Activity 7 Cacao</c:v>
              </c:pt>
              <c:pt idx="13">
                <c:v>Activity 7 Complementary</c:v>
              </c:pt>
              <c:pt idx="14">
                <c:v>Activity 8 Cacao</c:v>
              </c:pt>
              <c:pt idx="15">
                <c:v>Activity 8 Complementary</c:v>
              </c:pt>
              <c:pt idx="16">
                <c:v>Admin Cacao</c:v>
              </c:pt>
              <c:pt idx="17">
                <c:v>Admin Complementary</c:v>
              </c:pt>
            </c:strLit>
          </c:cat>
          <c:val>
            <c:numLit>
              <c:formatCode>General</c:formatCode>
              <c:ptCount val="18"/>
              <c:pt idx="0">
                <c:v>151854.55237737799</c:v>
              </c:pt>
              <c:pt idx="1">
                <c:v>151854.55237737799</c:v>
              </c:pt>
              <c:pt idx="2">
                <c:v>1071019.3976573437</c:v>
              </c:pt>
              <c:pt idx="3">
                <c:v>1071019.3976573437</c:v>
              </c:pt>
              <c:pt idx="4">
                <c:v>3116259.9774213778</c:v>
              </c:pt>
              <c:pt idx="5">
                <c:v>2699677.4121756321</c:v>
              </c:pt>
              <c:pt idx="6">
                <c:v>1104712.7978350194</c:v>
              </c:pt>
              <c:pt idx="7">
                <c:v>1104712.7978350194</c:v>
              </c:pt>
              <c:pt idx="8">
                <c:v>720322.02735930774</c:v>
              </c:pt>
              <c:pt idx="9">
                <c:v>720322.02735930774</c:v>
              </c:pt>
              <c:pt idx="10">
                <c:v>1067638.7139682823</c:v>
              </c:pt>
              <c:pt idx="11">
                <c:v>1067638.7139682823</c:v>
              </c:pt>
              <c:pt idx="12">
                <c:v>526203.39349367213</c:v>
              </c:pt>
              <c:pt idx="13">
                <c:v>526203.39349367213</c:v>
              </c:pt>
              <c:pt idx="14">
                <c:v>1891661.9414615948</c:v>
              </c:pt>
              <c:pt idx="15">
                <c:v>1891661.9414615948</c:v>
              </c:pt>
              <c:pt idx="16">
                <c:v>3302556.7033131719</c:v>
              </c:pt>
              <c:pt idx="17">
                <c:v>3302556.7033131719</c:v>
              </c:pt>
            </c:numLit>
          </c:val>
          <c:extLst>
            <c:ext xmlns:c16="http://schemas.microsoft.com/office/drawing/2014/chart" uri="{C3380CC4-5D6E-409C-BE32-E72D297353CC}">
              <c16:uniqueId val="{00000002-5B1E-412C-8350-20997D62C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625007"/>
        <c:axId val="1129631247"/>
      </c:barChart>
      <c:catAx>
        <c:axId val="112962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631247"/>
        <c:crosses val="autoZero"/>
        <c:auto val="1"/>
        <c:lblAlgn val="ctr"/>
        <c:lblOffset val="100"/>
        <c:noMultiLvlLbl val="0"/>
      </c:catAx>
      <c:valAx>
        <c:axId val="11296312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2962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Investment by Activity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2F3-44D6-8B06-7C57AE99995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F3-44D6-8B06-7C57AE99995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2F3-44D6-8B06-7C57AE99995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2F3-44D6-8B06-7C57AE99995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2F3-44D6-8B06-7C57AE99995B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F3-44D6-8B06-7C57AE99995B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2F3-44D6-8B06-7C57AE99995B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F3-44D6-8B06-7C57AE99995B}"/>
              </c:ext>
            </c:extLst>
          </c:dPt>
          <c:dLbls>
            <c:dLbl>
              <c:idx val="0"/>
              <c:layout>
                <c:manualLayout>
                  <c:x val="0.12164384086479736"/>
                  <c:y val="-8.730556259462746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F3-44D6-8B06-7C57AE99995B}"/>
                </c:ext>
              </c:extLst>
            </c:dLbl>
            <c:dLbl>
              <c:idx val="1"/>
              <c:layout>
                <c:manualLayout>
                  <c:x val="0.16602740442357478"/>
                  <c:y val="3.010536641193994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F3-44D6-8B06-7C57AE99995B}"/>
                </c:ext>
              </c:extLst>
            </c:dLbl>
            <c:dLbl>
              <c:idx val="2"/>
              <c:layout>
                <c:manualLayout>
                  <c:x val="0.2235616534812491"/>
                  <c:y val="5.7200196182686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F3-44D6-8B06-7C57AE99995B}"/>
                </c:ext>
              </c:extLst>
            </c:dLbl>
            <c:dLbl>
              <c:idx val="3"/>
              <c:layout>
                <c:manualLayout>
                  <c:x val="6.9041098869209311E-2"/>
                  <c:y val="9.03160992358213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F3-44D6-8B06-7C57AE99995B}"/>
                </c:ext>
              </c:extLst>
            </c:dLbl>
            <c:dLbl>
              <c:idx val="4"/>
              <c:layout>
                <c:manualLayout>
                  <c:x val="-0.15945206167412626"/>
                  <c:y val="0.12042146564776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F3-44D6-8B06-7C57AE99995B}"/>
                </c:ext>
              </c:extLst>
            </c:dLbl>
            <c:dLbl>
              <c:idx val="5"/>
              <c:layout>
                <c:manualLayout>
                  <c:x val="-0.17095891148566117"/>
                  <c:y val="4.214751297671669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F3-44D6-8B06-7C57AE99995B}"/>
                </c:ext>
              </c:extLst>
            </c:dLbl>
            <c:dLbl>
              <c:idx val="6"/>
              <c:layout>
                <c:manualLayout>
                  <c:x val="-0.16109589736148841"/>
                  <c:y val="-5.41896595414929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F3-44D6-8B06-7C57AE99995B}"/>
                </c:ext>
              </c:extLst>
            </c:dLbl>
            <c:dLbl>
              <c:idx val="7"/>
              <c:layout>
                <c:manualLayout>
                  <c:x val="-0.17260274717302332"/>
                  <c:y val="-0.1324636122125381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F3-44D6-8B06-7C57AE99995B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'USDA Budget Summary'!$A$28:$A$35</c:f>
              <c:strCache>
                <c:ptCount val="8"/>
                <c:pt idx="0">
                  <c:v>Activity 1: Value Chain Development (Value Chain Analysis, Carbon Assessment, and Living Incomes)</c:v>
                </c:pt>
                <c:pt idx="1">
                  <c:v>Activity 2: Producer Organization Development &amp; Commercialization</c:v>
                </c:pt>
                <c:pt idx="2">
                  <c:v>Activity 3: Agriculture Extension and Production Support</c:v>
                </c:pt>
                <c:pt idx="3">
                  <c:v>Activity 4: Post-Harvest Aggregation &amp; Processing</c:v>
                </c:pt>
                <c:pt idx="4">
                  <c:v>Activity 5: Ensure Financial Service/ Capital Access for Actors in the Value Chains</c:v>
                </c:pt>
                <c:pt idx="5">
                  <c:v>Activity 6: Innovation and Job Creation Through Youth Engagement</c:v>
                </c:pt>
                <c:pt idx="6">
                  <c:v>Activity 7: Establishment of Regional Community of Practice</c:v>
                </c:pt>
                <c:pt idx="7">
                  <c:v>Activity 8: Financial Services: Endowment Establishment, Fundraising and Management</c:v>
                </c:pt>
              </c:strCache>
            </c:strRef>
          </c:cat>
          <c:val>
            <c:numRef>
              <c:f>'USDA Budget Summary'!$B$28:$B$35</c:f>
              <c:numCache>
                <c:formatCode>\$#,##0.00;\$#,##0.00</c:formatCode>
                <c:ptCount val="8"/>
                <c:pt idx="0">
                  <c:v>154064.11124</c:v>
                </c:pt>
                <c:pt idx="1">
                  <c:v>1584517.6147265602</c:v>
                </c:pt>
                <c:pt idx="2">
                  <c:v>4399375.2009443659</c:v>
                </c:pt>
                <c:pt idx="3">
                  <c:v>1708699.662499059</c:v>
                </c:pt>
                <c:pt idx="4">
                  <c:v>618622.73150994955</c:v>
                </c:pt>
                <c:pt idx="5">
                  <c:v>1146739.425284096</c:v>
                </c:pt>
                <c:pt idx="6">
                  <c:v>813122.06619577599</c:v>
                </c:pt>
                <c:pt idx="7">
                  <c:v>3379625.3117510453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3-44D6-8B06-7C57AE99995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Partner Participation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Partner Participation</a:t>
          </a:r>
        </a:p>
      </cx:txPr>
    </cx:title>
    <cx:plotArea>
      <cx:plotAreaRegion>
        <cx:series layoutId="waterfall" uniqueId="{E189CCA2-3E06-DB49-BEA2-E992EB0237D7}">
          <cx:tx>
            <cx:txData>
              <cx:f/>
              <cx:v>Total USDA Project </cx:v>
            </cx:txData>
          </cx:tx>
          <cx:dataPt idx="0"/>
          <cx:dataPt idx="1"/>
          <cx:dataPt idx="2"/>
          <cx:dataLabels pos="outEnd">
            <cx:numFmt formatCode="$0.00,,&quot;M&quot;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dataLabel idx="4" pos="inEnd">
              <cx:numFmt formatCode="$0.00,,&quot;M&quot;" sourceLinked="0"/>
              <cx:visibility seriesName="0" categoryName="0" value="1"/>
            </cx:dataLabel>
            <cx:dataLabel idx="5" pos="inEnd">
              <cx:numFmt formatCode="$0.00,,&quot;M&quot;" sourceLinked="0"/>
              <cx:visibility seriesName="0" categoryName="0" value="1"/>
            </cx:dataLabel>
          </cx:dataLabels>
          <cx:dataId val="0"/>
          <cx:layoutPr>
            <cx:subtotals>
              <cx:idx val="0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Implementation by Activity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Implementation by Activity</a:t>
          </a:r>
        </a:p>
      </cx:txPr>
    </cx:title>
    <cx:plotArea>
      <cx:plotAreaRegion>
        <cx:series layoutId="waterfall" uniqueId="{E189CCA2-3E06-DB49-BEA2-E992EB0237D7}">
          <cx:tx>
            <cx:txData>
              <cx:f/>
              <cx:v>Total USDA Project </cx:v>
            </cx:txData>
          </cx:tx>
          <cx:dataPt idx="0"/>
          <cx:dataPt idx="1"/>
          <cx:dataPt idx="2"/>
          <cx:dataLabels pos="outEnd">
            <cx:numFmt formatCode="$0.00,,&quot;M&quot;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dataLabel idx="5" pos="inEnd">
              <cx:numFmt formatCode="$0.00,,&quot;M&quot;" sourceLinked="0"/>
              <cx:visibility seriesName="0" categoryName="0" value="1"/>
            </cx:dataLabel>
            <cx:dataLabel idx="6" pos="inEnd">
              <cx:numFmt formatCode="$0.00,,&quot;M&quot;" sourceLinked="0"/>
              <cx:visibility seriesName="0" categoryName="0" value="1"/>
            </cx:dataLabel>
            <cx:dataLabel idx="7" pos="inEnd">
              <cx:numFmt formatCode="$0.00,,&quot;M&quot;" sourceLinked="0"/>
              <cx:visibility seriesName="0" categoryName="0" value="1"/>
            </cx:dataLabel>
            <cx:dataLabel idx="8" pos="inEnd">
              <cx:numFmt formatCode="$0.00,,&quot;M&quot;" sourceLinked="0"/>
              <cx:visibility seriesName="0" categoryName="0" value="1"/>
            </cx:dataLabel>
          </cx:dataLabels>
          <cx:dataId val="0"/>
          <cx:layoutPr>
            <cx:subtotals>
              <cx:idx val="0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116416</xdr:colOff>
      <xdr:row>8</xdr:row>
      <xdr:rowOff>202746</xdr:rowOff>
    </xdr:from>
    <xdr:to>
      <xdr:col>21</xdr:col>
      <xdr:colOff>603249</xdr:colOff>
      <xdr:row>17</xdr:row>
      <xdr:rowOff>420612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D0C2784-D54C-9A45-9949-680B122844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84716" y="2343966"/>
              <a:ext cx="17117483" cy="2237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19</xdr:row>
      <xdr:rowOff>0</xdr:rowOff>
    </xdr:from>
    <xdr:to>
      <xdr:col>21</xdr:col>
      <xdr:colOff>486833</xdr:colOff>
      <xdr:row>35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F58BD0D-28FF-064A-AA66-D32DC15C37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68300" y="4892040"/>
              <a:ext cx="17117483" cy="3299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489857</xdr:colOff>
      <xdr:row>50</xdr:row>
      <xdr:rowOff>32658</xdr:rowOff>
    </xdr:from>
    <xdr:to>
      <xdr:col>13</xdr:col>
      <xdr:colOff>979715</xdr:colOff>
      <xdr:row>65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34638-077A-4FFB-B39D-A62E8F68F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182334</xdr:colOff>
      <xdr:row>67</xdr:row>
      <xdr:rowOff>0</xdr:rowOff>
    </xdr:from>
    <xdr:to>
      <xdr:col>15</xdr:col>
      <xdr:colOff>756557</xdr:colOff>
      <xdr:row>88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4CE647-D33E-486A-A9AE-73D57AA28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649111</xdr:colOff>
      <xdr:row>13</xdr:row>
      <xdr:rowOff>78315</xdr:rowOff>
    </xdr:from>
    <xdr:to>
      <xdr:col>20</xdr:col>
      <xdr:colOff>211666</xdr:colOff>
      <xdr:row>36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E1B8E-B6C6-40C6-9BB9-C92DC86F1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2EF5-0791-49CE-9BDB-71D613A8E3CD}">
  <dimension ref="A2:AE97"/>
  <sheetViews>
    <sheetView zoomScale="70" zoomScaleNormal="70" workbookViewId="0">
      <selection activeCell="F58" sqref="F58"/>
    </sheetView>
  </sheetViews>
  <sheetFormatPr defaultColWidth="8.71875" defaultRowHeight="14.4"/>
  <cols>
    <col min="1" max="1" width="8.71875" style="342" customWidth="1"/>
    <col min="2" max="2" width="40.44140625" style="342" bestFit="1" customWidth="1"/>
    <col min="3" max="3" width="18.44140625" style="342" customWidth="1"/>
    <col min="4" max="4" width="19.44140625" style="342" customWidth="1"/>
    <col min="5" max="5" width="8.44140625" style="342" customWidth="1"/>
    <col min="6" max="6" width="19" style="342" customWidth="1"/>
    <col min="7" max="7" width="16.44140625" style="342" customWidth="1"/>
    <col min="8" max="8" width="12.44140625" style="342" customWidth="1"/>
    <col min="9" max="9" width="10.71875" style="342" bestFit="1" customWidth="1"/>
    <col min="10" max="10" width="19.1640625" style="342" customWidth="1"/>
    <col min="11" max="11" width="17.27734375" style="342" bestFit="1" customWidth="1"/>
    <col min="12" max="12" width="25.1640625" style="342" bestFit="1" customWidth="1"/>
    <col min="13" max="13" width="30.44140625" style="342" bestFit="1" customWidth="1"/>
    <col min="14" max="14" width="16.27734375" style="342" bestFit="1" customWidth="1"/>
    <col min="15" max="15" width="30.44140625" style="342" bestFit="1" customWidth="1"/>
    <col min="16" max="16" width="16.27734375" style="342" bestFit="1" customWidth="1"/>
    <col min="17" max="17" width="30.44140625" style="342" bestFit="1" customWidth="1"/>
    <col min="18" max="18" width="16.27734375" style="342" bestFit="1" customWidth="1"/>
    <col min="19" max="19" width="30.44140625" style="342" bestFit="1" customWidth="1"/>
    <col min="20" max="20" width="16.27734375" style="342" bestFit="1" customWidth="1"/>
    <col min="21" max="21" width="30.44140625" style="342" bestFit="1" customWidth="1"/>
    <col min="22" max="22" width="16.27734375" style="342" bestFit="1" customWidth="1"/>
    <col min="23" max="23" width="30.44140625" style="342" bestFit="1" customWidth="1"/>
    <col min="24" max="24" width="16.27734375" style="342" bestFit="1" customWidth="1"/>
    <col min="25" max="25" width="30.44140625" style="342" bestFit="1" customWidth="1"/>
    <col min="26" max="26" width="16.27734375" style="342" bestFit="1" customWidth="1"/>
    <col min="27" max="27" width="30.44140625" style="342" bestFit="1" customWidth="1"/>
    <col min="28" max="28" width="13.71875" style="342" bestFit="1" customWidth="1"/>
    <col min="29" max="29" width="27.83203125" style="342" bestFit="1" customWidth="1"/>
    <col min="30" max="30" width="12.27734375" style="342" bestFit="1" customWidth="1"/>
    <col min="31" max="31" width="11.27734375" style="342" bestFit="1" customWidth="1"/>
    <col min="32" max="33" width="5.71875" style="342" bestFit="1" customWidth="1"/>
    <col min="34" max="35" width="6.71875" style="342" bestFit="1" customWidth="1"/>
    <col min="36" max="36" width="24.71875" style="342" bestFit="1" customWidth="1"/>
    <col min="37" max="37" width="7.44140625" style="342" bestFit="1" customWidth="1"/>
    <col min="38" max="47" width="8.44140625" style="342" bestFit="1" customWidth="1"/>
    <col min="48" max="48" width="9.71875" style="342" bestFit="1" customWidth="1"/>
    <col min="49" max="51" width="8.44140625" style="342" bestFit="1" customWidth="1"/>
    <col min="52" max="59" width="9.71875" style="342" bestFit="1" customWidth="1"/>
    <col min="60" max="60" width="20.1640625" style="342" bestFit="1" customWidth="1"/>
    <col min="61" max="61" width="29.71875" style="342" bestFit="1" customWidth="1"/>
    <col min="62" max="16384" width="8.71875" style="342"/>
  </cols>
  <sheetData>
    <row r="2" spans="1:11" ht="35.25" customHeight="1" thickBot="1">
      <c r="B2" s="511" t="s">
        <v>0</v>
      </c>
      <c r="C2" s="512"/>
      <c r="D2" s="512"/>
      <c r="E2" s="512"/>
      <c r="F2" s="512"/>
      <c r="G2" s="513"/>
    </row>
    <row r="3" spans="1:11" s="343" customFormat="1" ht="46.5" customHeight="1">
      <c r="B3" s="380"/>
      <c r="C3" s="370" t="s">
        <v>1</v>
      </c>
      <c r="D3" s="370" t="s">
        <v>2</v>
      </c>
      <c r="E3" s="370" t="s">
        <v>3</v>
      </c>
      <c r="F3" s="371" t="s">
        <v>4</v>
      </c>
      <c r="G3" s="342"/>
    </row>
    <row r="4" spans="1:11">
      <c r="B4" s="344"/>
      <c r="C4" s="345"/>
      <c r="D4" s="345"/>
      <c r="E4" s="345"/>
      <c r="F4" s="382"/>
    </row>
    <row r="5" spans="1:11">
      <c r="B5" s="344" t="s">
        <v>5</v>
      </c>
      <c r="C5" s="346">
        <f>C6+C7</f>
        <v>25487876</v>
      </c>
      <c r="D5" s="346">
        <f>'Program Budget'!W534-'Activity 2 Sub Budget'!P46-'CIAT Sub Budget'!P71-'CIAT Sub Budget'!P116-'CIAT Sub Budget'!P152-'Agrosavia Sub Budget'!P43</f>
        <v>18689314.794448324</v>
      </c>
      <c r="E5" s="482">
        <f>D5/$C$5</f>
        <v>0.7332629362465638</v>
      </c>
      <c r="F5" s="383">
        <f>'Program Budget'!W536+'Activity 2 Sub Budget'!P46+'CIAT Sub Budget'!P71+'CIAT Sub Budget'!P116+'CIAT Sub Budget'!P152+'Agrosavia Sub Budget'!P43</f>
        <v>4820633.015737542</v>
      </c>
      <c r="G5" s="351"/>
    </row>
    <row r="6" spans="1:11">
      <c r="B6" s="344" t="s">
        <v>6</v>
      </c>
      <c r="C6" s="346">
        <f>'USDA Budget Summary'!B65+'USDA Budget Summary'!C65</f>
        <v>23509948</v>
      </c>
      <c r="D6" s="347"/>
      <c r="E6" s="483"/>
      <c r="F6" s="384"/>
      <c r="G6" s="351"/>
    </row>
    <row r="7" spans="1:11" ht="14.7" thickBot="1">
      <c r="B7" s="373" t="s">
        <v>7</v>
      </c>
      <c r="C7" s="374">
        <f>'USDA Budget Summary'!D65</f>
        <v>1977928</v>
      </c>
      <c r="D7" s="374">
        <f>'USDA Budget Summary'!D36</f>
        <v>1977928.0692307693</v>
      </c>
      <c r="E7" s="484">
        <f>D7/$C$5</f>
        <v>7.7602702917684049E-2</v>
      </c>
      <c r="F7" s="385">
        <v>0</v>
      </c>
    </row>
    <row r="8" spans="1:11" ht="14.7" thickBot="1">
      <c r="B8" s="376"/>
      <c r="C8" s="379"/>
      <c r="D8" s="379"/>
      <c r="E8" s="379"/>
      <c r="F8" s="379"/>
    </row>
    <row r="9" spans="1:11" ht="43.2">
      <c r="B9" s="380"/>
      <c r="C9" s="370" t="s">
        <v>1</v>
      </c>
      <c r="D9" s="370" t="s">
        <v>2</v>
      </c>
      <c r="E9" s="370" t="s">
        <v>3</v>
      </c>
      <c r="F9" s="370" t="s">
        <v>4</v>
      </c>
      <c r="G9" s="370" t="s">
        <v>8</v>
      </c>
      <c r="H9" s="371" t="s">
        <v>9</v>
      </c>
      <c r="I9" s="364"/>
      <c r="K9" s="350" t="str">
        <f>C9</f>
        <v xml:space="preserve">Total USDA Project </v>
      </c>
    </row>
    <row r="10" spans="1:11">
      <c r="B10" s="344"/>
      <c r="C10" s="347"/>
      <c r="D10" s="347"/>
      <c r="E10" s="347"/>
      <c r="F10" s="347"/>
      <c r="G10" s="347"/>
      <c r="H10" s="381"/>
    </row>
    <row r="11" spans="1:11">
      <c r="B11" s="348" t="s">
        <v>10</v>
      </c>
      <c r="C11" s="349"/>
      <c r="D11" s="349"/>
      <c r="E11" s="349"/>
      <c r="F11" s="349"/>
      <c r="G11" s="349"/>
      <c r="H11" s="372"/>
      <c r="J11" s="476" t="s">
        <v>11</v>
      </c>
      <c r="K11" s="351">
        <f>SUM(K12:K16)*-1</f>
        <v>25487876</v>
      </c>
    </row>
    <row r="12" spans="1:11">
      <c r="B12" s="344" t="s">
        <v>12</v>
      </c>
      <c r="C12" s="346">
        <f>C5-SUM(C13:C16)</f>
        <v>21850529.725603703</v>
      </c>
      <c r="D12" s="346">
        <f>C12-F12-G12</f>
        <v>15455141.643901687</v>
      </c>
      <c r="E12" s="482">
        <f>D12/SUM($C$12:$C$16)</f>
        <v>0.60637228633338014</v>
      </c>
      <c r="F12" s="346">
        <f>'Indirect Calculations'!I72</f>
        <v>4572464.0817020163</v>
      </c>
      <c r="G12" s="346">
        <f>'USDA Budget Summary'!D65-SUM(G13:G16)</f>
        <v>1822924</v>
      </c>
      <c r="H12" s="485">
        <f>(G12+D12)/SUM($C$12:$C$16)</f>
        <v>0.67789350685407002</v>
      </c>
      <c r="I12" s="486"/>
      <c r="J12" s="476" t="s">
        <v>13</v>
      </c>
      <c r="K12" s="351">
        <f>-C12</f>
        <v>-21850529.725603703</v>
      </c>
    </row>
    <row r="13" spans="1:11">
      <c r="A13" s="487"/>
      <c r="B13" s="344" t="s">
        <v>14</v>
      </c>
      <c r="C13" s="346">
        <f>'CIAT Sub Budget'!P156+G13</f>
        <v>1776970.3710263821</v>
      </c>
      <c r="D13" s="346">
        <f>'CIAT Sub Budget'!P69+'CIAT Sub Budget'!P114+'CIAT Sub Budget'!P150</f>
        <v>1474514.8827512565</v>
      </c>
      <c r="E13" s="482">
        <f>D13/SUM($C$12:$C$16)</f>
        <v>5.7851618657877045E-2</v>
      </c>
      <c r="F13" s="346">
        <f>'CIAT Sub Budget'!P71+'CIAT Sub Budget'!P116+'CIAT Sub Budget'!P152</f>
        <v>147451.48827512565</v>
      </c>
      <c r="G13" s="346">
        <f>'Program Budget'!X160+'Program Budget'!X260</f>
        <v>155004</v>
      </c>
      <c r="H13" s="485">
        <f>(G13+D13)/SUM($C$12:$C$16)</f>
        <v>6.3933098338647618E-2</v>
      </c>
      <c r="I13" s="486"/>
      <c r="J13" s="476" t="s">
        <v>15</v>
      </c>
      <c r="K13" s="351">
        <f t="shared" ref="K13:K16" si="0">-C13</f>
        <v>-1776970.3710263821</v>
      </c>
    </row>
    <row r="14" spans="1:11">
      <c r="A14" s="487"/>
      <c r="B14" s="344" t="s">
        <v>16</v>
      </c>
      <c r="C14" s="346">
        <f>'Activity 2 Sub Budget'!P50</f>
        <v>1000773.1962189632</v>
      </c>
      <c r="D14" s="346">
        <f>'Activity 2 Sub Budget'!P44</f>
        <v>909793.81474451197</v>
      </c>
      <c r="E14" s="482">
        <f>D14/SUM($C$12:$C$16)</f>
        <v>3.5695160112380962E-2</v>
      </c>
      <c r="F14" s="346">
        <f>'Activity 2 Sub Budget'!P46</f>
        <v>90979.38147445122</v>
      </c>
      <c r="G14" s="346">
        <f>'Activity 2 Sub Budget'!Q50</f>
        <v>0</v>
      </c>
      <c r="H14" s="485">
        <f>(G14+D14)/SUM($C$12:$C$16)</f>
        <v>3.5695160112380962E-2</v>
      </c>
      <c r="I14" s="486"/>
      <c r="J14" s="476" t="s">
        <v>17</v>
      </c>
      <c r="K14" s="351">
        <f>-C14</f>
        <v>-1000773.1962189632</v>
      </c>
    </row>
    <row r="15" spans="1:11">
      <c r="A15" s="487"/>
      <c r="B15" s="344" t="s">
        <v>18</v>
      </c>
      <c r="C15" s="346">
        <f>'Agrosavia Sub Budget'!P47</f>
        <v>334340.20715094998</v>
      </c>
      <c r="D15" s="346">
        <f>'Agrosavia Sub Budget'!P41</f>
        <v>324602.142865</v>
      </c>
      <c r="E15" s="482">
        <f>D15/SUM($C$12:$C$16)</f>
        <v>1.2735550928802384E-2</v>
      </c>
      <c r="F15" s="346">
        <f>'Agrosavia Sub Budget'!P43</f>
        <v>9738.0642859499985</v>
      </c>
      <c r="G15" s="346">
        <f>'Agrosavia Sub Budget'!Q47</f>
        <v>0</v>
      </c>
      <c r="H15" s="485">
        <f>(G15+D15)/SUM($C$12:$C$16)</f>
        <v>1.2735550928802384E-2</v>
      </c>
      <c r="I15" s="486"/>
      <c r="J15" s="476" t="s">
        <v>19</v>
      </c>
      <c r="K15" s="351">
        <f t="shared" si="0"/>
        <v>-334340.20715094998</v>
      </c>
    </row>
    <row r="16" spans="1:11" ht="14.7" thickBot="1">
      <c r="B16" s="373" t="s">
        <v>20</v>
      </c>
      <c r="C16" s="374">
        <f>'Program Budget'!Y66</f>
        <v>525262.5</v>
      </c>
      <c r="D16" s="374">
        <f>'Program Budget'!Y66</f>
        <v>525262.5</v>
      </c>
      <c r="E16" s="484">
        <f>D16/SUM($C$12:$C$16)</f>
        <v>2.0608327661355539E-2</v>
      </c>
      <c r="F16" s="374">
        <v>0</v>
      </c>
      <c r="G16" s="374">
        <v>0</v>
      </c>
      <c r="H16" s="488">
        <f>(G16+D16)/SUM($C$12:$C$16)</f>
        <v>2.0608327661355539E-2</v>
      </c>
      <c r="I16" s="486"/>
      <c r="J16" s="476" t="s">
        <v>21</v>
      </c>
      <c r="K16" s="351">
        <f t="shared" si="0"/>
        <v>-525262.5</v>
      </c>
    </row>
    <row r="17" spans="2:12" ht="14.7" thickBot="1">
      <c r="B17" s="376"/>
      <c r="C17" s="379"/>
      <c r="D17" s="379"/>
      <c r="E17" s="489"/>
      <c r="F17" s="379"/>
      <c r="G17" s="379"/>
      <c r="H17" s="489"/>
      <c r="I17" s="486"/>
      <c r="J17" s="476"/>
      <c r="K17" s="351"/>
    </row>
    <row r="18" spans="2:12" ht="43.2">
      <c r="B18" s="369"/>
      <c r="C18" s="370" t="s">
        <v>1</v>
      </c>
      <c r="D18" s="370" t="s">
        <v>2</v>
      </c>
      <c r="E18" s="370" t="s">
        <v>3</v>
      </c>
      <c r="F18" s="370" t="s">
        <v>4</v>
      </c>
      <c r="G18" s="370" t="s">
        <v>8</v>
      </c>
      <c r="H18" s="371" t="s">
        <v>22</v>
      </c>
      <c r="I18" s="364"/>
      <c r="K18" s="350" t="str">
        <f>C18</f>
        <v xml:space="preserve">Total USDA Project </v>
      </c>
    </row>
    <row r="19" spans="2:12">
      <c r="B19" s="367"/>
      <c r="C19" s="368"/>
      <c r="D19" s="368"/>
      <c r="E19" s="368"/>
      <c r="F19" s="368"/>
      <c r="G19" s="368"/>
      <c r="H19" s="378"/>
      <c r="I19" s="364"/>
    </row>
    <row r="20" spans="2:12">
      <c r="B20" s="348" t="s">
        <v>23</v>
      </c>
      <c r="C20" s="349"/>
      <c r="D20" s="349"/>
      <c r="E20" s="349"/>
      <c r="F20" s="349"/>
      <c r="G20" s="349"/>
      <c r="H20" s="372"/>
      <c r="K20" s="351">
        <f>SUM(K21:K29)*-1</f>
        <v>25487875.879416633</v>
      </c>
    </row>
    <row r="21" spans="2:12">
      <c r="B21" s="344" t="s">
        <v>24</v>
      </c>
      <c r="C21" s="346">
        <f>'USDA Budget Summary'!F25+'USDA Budget Summary'!E57</f>
        <v>6605294.2850161325</v>
      </c>
      <c r="D21" s="346">
        <f>'USDA Budget Summary'!E25-'CIAT Sub Budget'!P71</f>
        <v>5040229.8998603523</v>
      </c>
      <c r="E21" s="482">
        <f>D21/SUM($C$21:$C$29)</f>
        <v>0.19775009591641629</v>
      </c>
      <c r="F21" s="346">
        <f>'USDA Budget Summary'!E57+'CIAT Sub Budget'!P71</f>
        <v>1565064.3851557795</v>
      </c>
      <c r="G21" s="346">
        <f>'USDA Budget Summary'!D25</f>
        <v>0</v>
      </c>
      <c r="H21" s="485">
        <f>(G21+D21)/SUM($C$21:$C$29)</f>
        <v>0.19775009591641629</v>
      </c>
      <c r="I21" s="490"/>
      <c r="J21" s="476" t="str">
        <f>B21</f>
        <v xml:space="preserve">Admin </v>
      </c>
      <c r="K21" s="351">
        <f>C21*-1</f>
        <v>-6605294.2850161325</v>
      </c>
    </row>
    <row r="22" spans="2:12">
      <c r="B22" s="344" t="s">
        <v>25</v>
      </c>
      <c r="C22" s="346">
        <f>'USDA Budget Summary'!F28+('USDA Budget Summary'!E28*0.2869)</f>
        <v>303709.10475475597</v>
      </c>
      <c r="D22" s="346">
        <f>'USDA Budget Summary'!B28</f>
        <v>154064.11124</v>
      </c>
      <c r="E22" s="482">
        <f t="shared" ref="E22:E29" si="1">D22/SUM($C$21:$C$29)</f>
        <v>6.0446037939324041E-3</v>
      </c>
      <c r="F22" s="346">
        <f>D22*0.2869</f>
        <v>44200.993514755995</v>
      </c>
      <c r="G22" s="346">
        <f>'Program Budget'!X163</f>
        <v>105444</v>
      </c>
      <c r="H22" s="485">
        <f t="shared" ref="H22:H29" si="2">(G22+D22)/SUM($C$21:$C$29)</f>
        <v>1.0181629589995462E-2</v>
      </c>
      <c r="I22" s="490"/>
      <c r="J22" s="476" t="str">
        <f t="shared" ref="J22:J29" si="3">B22</f>
        <v xml:space="preserve">Activity 1 </v>
      </c>
      <c r="K22" s="351">
        <f t="shared" ref="K22:K29" si="4">C22*-1</f>
        <v>-303709.10475475597</v>
      </c>
    </row>
    <row r="23" spans="2:12">
      <c r="B23" s="344" t="s">
        <v>26</v>
      </c>
      <c r="C23" s="346">
        <f>'USDA Budget Summary'!F29+('USDA Budget Summary'!E29*0.2869)</f>
        <v>2142038.7953146873</v>
      </c>
      <c r="D23" s="346">
        <f>'USDA Budget Summary'!B29-'Activity 2 Sub Budget'!P46</f>
        <v>1493538.233252109</v>
      </c>
      <c r="E23" s="482">
        <f t="shared" si="1"/>
        <v>5.8597987541921956E-2</v>
      </c>
      <c r="F23" s="346">
        <f>('USDA Budget Summary'!B29*0.2869)+'Activity 2 Sub Budget'!P46</f>
        <v>545577.48513950128</v>
      </c>
      <c r="G23" s="346">
        <f>'Program Budget'!X206</f>
        <v>102923.07692307692</v>
      </c>
      <c r="H23" s="485">
        <f t="shared" si="2"/>
        <v>6.2636106583697226E-2</v>
      </c>
      <c r="I23" s="490"/>
      <c r="J23" s="476" t="str">
        <f t="shared" si="3"/>
        <v>Activity 2</v>
      </c>
      <c r="K23" s="351">
        <f t="shared" si="4"/>
        <v>-2142038.7953146873</v>
      </c>
    </row>
    <row r="24" spans="2:12">
      <c r="B24" s="344" t="s">
        <v>27</v>
      </c>
      <c r="C24" s="346">
        <f>'USDA Budget Summary'!F30+('USDA Budget Summary'!E30*0.2869)</f>
        <v>5815755.9460953046</v>
      </c>
      <c r="D24" s="346">
        <f>'USDA Budget Summary'!B30-'CIAT Sub Budget'!P116-'CIAT Sub Budget'!P152</f>
        <v>4344411.4171418836</v>
      </c>
      <c r="E24" s="482">
        <f t="shared" si="1"/>
        <v>0.1704501166631277</v>
      </c>
      <c r="F24" s="346">
        <f>('USDA Budget Summary'!B30*0.2869)+'CIAT Sub Budget'!P116+'CIAT Sub Budget'!P152</f>
        <v>1317144.5289534212</v>
      </c>
      <c r="G24" s="346">
        <f>'Program Budget'!X265</f>
        <v>154200</v>
      </c>
      <c r="H24" s="485">
        <f t="shared" si="2"/>
        <v>0.17650005196293539</v>
      </c>
      <c r="I24" s="490"/>
      <c r="J24" s="476" t="str">
        <f t="shared" si="3"/>
        <v>Activity 3</v>
      </c>
      <c r="K24" s="351">
        <f t="shared" si="4"/>
        <v>-5815755.9460953046</v>
      </c>
    </row>
    <row r="25" spans="2:12">
      <c r="B25" s="344" t="s">
        <v>28</v>
      </c>
      <c r="C25" s="346">
        <f>'USDA Budget Summary'!F31+('USDA Budget Summary'!E31*0.2869)</f>
        <v>2209425.5956700388</v>
      </c>
      <c r="D25" s="346">
        <f>'USDA Budget Summary'!B31-'Agrosavia Sub Budget'!P43</f>
        <v>1698961.598213109</v>
      </c>
      <c r="E25" s="482">
        <f t="shared" si="1"/>
        <v>6.665763778240727E-2</v>
      </c>
      <c r="F25" s="346">
        <f>'USDA Budget Summary'!B31*0.2869+'Agrosavia Sub Budget'!P43</f>
        <v>499963.99745693</v>
      </c>
      <c r="G25" s="346">
        <f>'USDA Budget Summary'!D31</f>
        <v>10500</v>
      </c>
      <c r="H25" s="485">
        <f t="shared" si="2"/>
        <v>6.7069598357296895E-2</v>
      </c>
      <c r="I25" s="490"/>
      <c r="J25" s="476" t="str">
        <f t="shared" si="3"/>
        <v>Activity 4</v>
      </c>
      <c r="K25" s="351">
        <f t="shared" si="4"/>
        <v>-2209425.5956700388</v>
      </c>
    </row>
    <row r="26" spans="2:12">
      <c r="B26" s="344" t="s">
        <v>29</v>
      </c>
      <c r="C26" s="346">
        <f>'USDA Budget Summary'!F32+('USDA Budget Summary'!E32*0.2869)</f>
        <v>1440644.0547186155</v>
      </c>
      <c r="D26" s="346">
        <f>'USDA Budget Summary'!B32</f>
        <v>618622.73150994955</v>
      </c>
      <c r="E26" s="482">
        <f t="shared" si="1"/>
        <v>2.4271254867869695E-2</v>
      </c>
      <c r="F26" s="346">
        <f t="shared" ref="F26:F28" si="5">D26*0.2869</f>
        <v>177482.86167020453</v>
      </c>
      <c r="G26" s="346">
        <f>'Program Budget'!X367</f>
        <v>644538.4615384615</v>
      </c>
      <c r="H26" s="485">
        <f t="shared" si="2"/>
        <v>4.9559296311094653E-2</v>
      </c>
      <c r="I26" s="490"/>
      <c r="J26" s="476" t="str">
        <f t="shared" si="3"/>
        <v>Activity 5</v>
      </c>
      <c r="K26" s="351">
        <f t="shared" si="4"/>
        <v>-1440644.0547186155</v>
      </c>
    </row>
    <row r="27" spans="2:12">
      <c r="B27" s="344" t="s">
        <v>30</v>
      </c>
      <c r="C27" s="346">
        <f>'USDA Budget Summary'!F33+('USDA Budget Summary'!E33*0.2869)</f>
        <v>2135277.4279365647</v>
      </c>
      <c r="D27" s="346">
        <f>'USDA Budget Summary'!B33</f>
        <v>1146739.425284096</v>
      </c>
      <c r="E27" s="482">
        <f t="shared" si="1"/>
        <v>4.4991565037013299E-2</v>
      </c>
      <c r="F27" s="346">
        <f t="shared" si="5"/>
        <v>328999.54111400712</v>
      </c>
      <c r="G27" s="346">
        <f>'Program Budget'!X433</f>
        <v>659538.4615384615</v>
      </c>
      <c r="H27" s="485">
        <f t="shared" si="2"/>
        <v>7.0868121587223443E-2</v>
      </c>
      <c r="I27" s="490"/>
      <c r="J27" s="476" t="str">
        <f t="shared" si="3"/>
        <v>Activity 6</v>
      </c>
      <c r="K27" s="351">
        <f t="shared" si="4"/>
        <v>-2135277.4279365647</v>
      </c>
    </row>
    <row r="28" spans="2:12">
      <c r="B28" s="344" t="s">
        <v>31</v>
      </c>
      <c r="C28" s="346">
        <f>'USDA Budget Summary'!F34+('USDA Budget Summary'!E34*0.2869)</f>
        <v>1052406.786987344</v>
      </c>
      <c r="D28" s="346">
        <f>'USDA Budget Summary'!B34</f>
        <v>813122.06619577599</v>
      </c>
      <c r="E28" s="482">
        <f t="shared" si="1"/>
        <v>3.1902307985281458E-2</v>
      </c>
      <c r="F28" s="346">
        <f t="shared" si="5"/>
        <v>233284.72079156814</v>
      </c>
      <c r="G28" s="346">
        <f>'Program Budget'!X479</f>
        <v>6000</v>
      </c>
      <c r="H28" s="485">
        <f t="shared" si="2"/>
        <v>3.2137714028075533E-2</v>
      </c>
      <c r="I28" s="490"/>
      <c r="J28" s="476" t="str">
        <f t="shared" si="3"/>
        <v>Activity 7</v>
      </c>
      <c r="K28" s="351">
        <f t="shared" si="4"/>
        <v>-1052406.786987344</v>
      </c>
    </row>
    <row r="29" spans="2:12" ht="14.7" thickBot="1">
      <c r="B29" s="373" t="s">
        <v>32</v>
      </c>
      <c r="C29" s="374">
        <f>'USDA Budget Summary'!F35+(('USDA Budget Summary'!E35-3000000)*0.2869)</f>
        <v>3783323.8829231896</v>
      </c>
      <c r="D29" s="346">
        <f>'USDA Budget Summary'!B35</f>
        <v>3379625.3117510453</v>
      </c>
      <c r="E29" s="484">
        <f t="shared" si="1"/>
        <v>0.13259737012766706</v>
      </c>
      <c r="F29" s="346">
        <f>(D29-3000000)*0.2869</f>
        <v>108914.50194137488</v>
      </c>
      <c r="G29" s="374">
        <f>'Program Budget'!X526</f>
        <v>294784.06923076924</v>
      </c>
      <c r="H29" s="488">
        <f t="shared" si="2"/>
        <v>0.14416302866372538</v>
      </c>
      <c r="I29" s="490"/>
      <c r="J29" s="476" t="str">
        <f t="shared" si="3"/>
        <v>Activity 8</v>
      </c>
      <c r="K29" s="351">
        <f t="shared" si="4"/>
        <v>-3783323.8829231896</v>
      </c>
    </row>
    <row r="30" spans="2:12" ht="14.7" thickBot="1">
      <c r="B30" s="376"/>
      <c r="C30" s="377"/>
      <c r="D30" s="491"/>
      <c r="E30" s="377"/>
      <c r="F30" s="377"/>
      <c r="G30" s="377"/>
    </row>
    <row r="31" spans="2:12" ht="43.2">
      <c r="B31" s="369"/>
      <c r="C31" s="370" t="s">
        <v>1</v>
      </c>
      <c r="D31" s="370" t="s">
        <v>2</v>
      </c>
      <c r="E31" s="370" t="s">
        <v>3</v>
      </c>
      <c r="F31" s="370" t="s">
        <v>4</v>
      </c>
      <c r="G31" s="370" t="s">
        <v>8</v>
      </c>
      <c r="H31" s="371" t="s">
        <v>22</v>
      </c>
    </row>
    <row r="32" spans="2:12">
      <c r="B32" s="348" t="s">
        <v>33</v>
      </c>
      <c r="C32" s="356"/>
      <c r="D32" s="356"/>
      <c r="E32" s="356"/>
      <c r="F32" s="356"/>
      <c r="G32" s="356"/>
      <c r="H32" s="375"/>
      <c r="I32" s="365"/>
      <c r="L32" s="476"/>
    </row>
    <row r="33" spans="2:31">
      <c r="B33" s="344" t="str">
        <f>CONCATENATE(B21," - ",B12)</f>
        <v>Admin  - Prime</v>
      </c>
      <c r="C33" s="346">
        <f>'USDA Budget Summary'!E25+'USDA Budget Summary'!E57-C34-C35</f>
        <v>5062667.0358170578</v>
      </c>
      <c r="D33" s="346">
        <f>'USDA Budget Summary'!E25-D34-D35-F34-F35</f>
        <v>3590090.3551339209</v>
      </c>
      <c r="E33" s="482">
        <f t="shared" ref="E33:E46" si="6">D33/SUM($C$33:$C$46)</f>
        <v>0.14085482729587467</v>
      </c>
      <c r="F33" s="346">
        <f>'Indirect Calculations'!I46</f>
        <v>1472576.6806831365</v>
      </c>
      <c r="G33" s="346">
        <f>'USDA Budget Summary'!D25</f>
        <v>0</v>
      </c>
      <c r="H33" s="485">
        <f t="shared" ref="H33:H46" si="7">(G33+D33)/SUM($C$33:$C$46)</f>
        <v>0.14085482729587467</v>
      </c>
      <c r="I33" s="486"/>
    </row>
    <row r="34" spans="2:31">
      <c r="B34" s="344" t="s">
        <v>34</v>
      </c>
      <c r="C34" s="346">
        <f>'CIAT Sub Budget'!P73</f>
        <v>1017364.7491990747</v>
      </c>
      <c r="D34" s="346">
        <f>'CIAT Sub Budget'!P69</f>
        <v>924877.0447264316</v>
      </c>
      <c r="E34" s="482">
        <f t="shared" si="6"/>
        <v>3.6286940861687843E-2</v>
      </c>
      <c r="F34" s="346">
        <f>'CIAT Sub Budget'!P71</f>
        <v>92487.704472643149</v>
      </c>
      <c r="G34" s="346">
        <v>0</v>
      </c>
      <c r="H34" s="485">
        <f t="shared" si="7"/>
        <v>3.6286940861687843E-2</v>
      </c>
      <c r="I34" s="486"/>
      <c r="L34"/>
      <c r="M34"/>
      <c r="N34"/>
    </row>
    <row r="35" spans="2:31">
      <c r="B35" s="344" t="str">
        <f>CONCATENATE(B21," - ",B16)</f>
        <v>Admin  - Monetization Agent</v>
      </c>
      <c r="C35" s="346">
        <f>'Program Budget'!Y66</f>
        <v>525262.5</v>
      </c>
      <c r="D35" s="346">
        <f>'Program Budget'!Y66</f>
        <v>525262.5</v>
      </c>
      <c r="E35" s="482">
        <f t="shared" si="6"/>
        <v>2.0608327758853715E-2</v>
      </c>
      <c r="F35" s="346">
        <v>0</v>
      </c>
      <c r="G35" s="346">
        <v>0</v>
      </c>
      <c r="H35" s="485">
        <f t="shared" si="7"/>
        <v>2.0608327758853715E-2</v>
      </c>
      <c r="I35" s="486"/>
    </row>
    <row r="36" spans="2:31">
      <c r="B36" s="344" t="str">
        <f>CONCATENATE(B22," - ",B12)</f>
        <v>Activity 1  - Prime</v>
      </c>
      <c r="C36" s="346">
        <f>('USDA Budget Summary'!F28+('USDA Budget Summary'!B28*0.2869))</f>
        <v>303709.10475475597</v>
      </c>
      <c r="D36" s="346">
        <f>'USDA Budget Summary'!B28</f>
        <v>154064.11124</v>
      </c>
      <c r="E36" s="482">
        <f t="shared" si="6"/>
        <v>6.0446037939324024E-3</v>
      </c>
      <c r="F36" s="346">
        <f>'USDA Budget Summary'!B28*0.2869</f>
        <v>44200.993514755995</v>
      </c>
      <c r="G36" s="346">
        <f>'Program Budget'!X163</f>
        <v>105444</v>
      </c>
      <c r="H36" s="485">
        <f t="shared" si="7"/>
        <v>1.0181629589995458E-2</v>
      </c>
      <c r="I36" s="486"/>
    </row>
    <row r="37" spans="2:31">
      <c r="B37" s="344" t="str">
        <f>CONCATENATE(B23," - ",B12)</f>
        <v>Activity 2 - Prime</v>
      </c>
      <c r="C37" s="346">
        <f>'USDA Budget Summary'!F29+('USDA Budget Summary'!B29*0.2869)-C38</f>
        <v>1141265.5990957241</v>
      </c>
      <c r="D37" s="346">
        <f>'USDA Budget Summary'!B29-D38-F38</f>
        <v>583744.41850759694</v>
      </c>
      <c r="E37" s="482">
        <f t="shared" si="6"/>
        <v>2.2902827260666867E-2</v>
      </c>
      <c r="F37" s="346">
        <f>'USDA Budget Summary'!B29*0.2869</f>
        <v>454598.10366505012</v>
      </c>
      <c r="G37" s="346">
        <f>'Program Budget'!X206</f>
        <v>102923.07692307692</v>
      </c>
      <c r="H37" s="485">
        <f t="shared" si="7"/>
        <v>2.6940946302442134E-2</v>
      </c>
      <c r="I37" s="486"/>
      <c r="L37"/>
      <c r="M37"/>
      <c r="N37"/>
    </row>
    <row r="38" spans="2:31">
      <c r="B38" s="344" t="s">
        <v>35</v>
      </c>
      <c r="C38" s="346">
        <f>'Activity 2 Sub Budget'!P48</f>
        <v>1000773.1962189632</v>
      </c>
      <c r="D38" s="346">
        <f>'Activity 2 Sub Budget'!P44</f>
        <v>909793.81474451197</v>
      </c>
      <c r="E38" s="482">
        <f t="shared" si="6"/>
        <v>3.5695160281255071E-2</v>
      </c>
      <c r="F38" s="346">
        <f>'Activity 2 Sub Budget'!P46</f>
        <v>90979.38147445122</v>
      </c>
      <c r="G38" s="346">
        <f>'Activity 2 Sub Budget'!Q48</f>
        <v>0</v>
      </c>
      <c r="H38" s="485">
        <f t="shared" si="7"/>
        <v>3.5695160281255071E-2</v>
      </c>
      <c r="I38" s="486"/>
      <c r="L38"/>
      <c r="M38"/>
      <c r="N38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6"/>
      <c r="AA38" s="396"/>
      <c r="AB38" s="396"/>
      <c r="AC38" s="396"/>
      <c r="AD38" s="396"/>
      <c r="AE38" s="396"/>
    </row>
    <row r="39" spans="2:31">
      <c r="B39" s="344" t="str">
        <f>CONCATENATE(B24," - ",B12)</f>
        <v>Activity 3 - Prime</v>
      </c>
      <c r="C39" s="346">
        <f>('USDA Budget Summary'!F30+('USDA Budget Summary'!B30*0.2869))-C40</f>
        <v>5151154.3242679974</v>
      </c>
      <c r="D39" s="346">
        <f>'USDA Budget Summary'!B30-'Project Funds Snapshots'!D40-'Project Funds Snapshots'!F40</f>
        <v>3794773.5791170588</v>
      </c>
      <c r="E39" s="482">
        <f t="shared" si="6"/>
        <v>0.14888543859324194</v>
      </c>
      <c r="F39" s="346">
        <f>'USDA Budget Summary'!B30*0.2869</f>
        <v>1262180.7451509386</v>
      </c>
      <c r="G39" s="346">
        <f>'Program Budget'!X265-G40</f>
        <v>94200</v>
      </c>
      <c r="H39" s="485">
        <f t="shared" si="7"/>
        <v>0.15258131346510889</v>
      </c>
      <c r="I39" s="486"/>
      <c r="L39"/>
      <c r="M39"/>
      <c r="N39"/>
    </row>
    <row r="40" spans="2:31">
      <c r="B40" s="344" t="s">
        <v>36</v>
      </c>
      <c r="C40" s="346">
        <f>'CIAT Sub Budget'!P118+'CIAT Sub Budget'!P154+'Program Budget'!X260</f>
        <v>664601.62182730739</v>
      </c>
      <c r="D40" s="346">
        <f>'CIAT Sub Budget'!P150+'CIAT Sub Budget'!P114</f>
        <v>549637.83802482497</v>
      </c>
      <c r="E40" s="482">
        <f t="shared" si="6"/>
        <v>2.1564678069885709E-2</v>
      </c>
      <c r="F40" s="346">
        <f>'CIAT Sub Budget'!P116+'CIAT Sub Budget'!P152</f>
        <v>54963.783802482503</v>
      </c>
      <c r="G40" s="346">
        <f>'Program Budget'!X260</f>
        <v>60000</v>
      </c>
      <c r="H40" s="485">
        <f t="shared" si="7"/>
        <v>2.3918738497826449E-2</v>
      </c>
      <c r="I40" s="486"/>
      <c r="L40"/>
      <c r="M40"/>
      <c r="N40"/>
    </row>
    <row r="41" spans="2:31">
      <c r="B41" s="344" t="str">
        <f>CONCATENATE(B25," - ",B12)</f>
        <v>Activity 4 - Prime</v>
      </c>
      <c r="C41" s="346">
        <f>'USDA Budget Summary'!F31+('USDA Budget Summary'!B31*0.2869)-C42</f>
        <v>1875085.3885190887</v>
      </c>
      <c r="D41" s="346">
        <f>'USDA Budget Summary'!B31-D42-F42</f>
        <v>1374359.4553481089</v>
      </c>
      <c r="E41" s="482">
        <f t="shared" si="6"/>
        <v>5.3922086793352857E-2</v>
      </c>
      <c r="F41" s="346">
        <f>'USDA Budget Summary'!B31*0.2869</f>
        <v>490225.93317098002</v>
      </c>
      <c r="G41" s="346">
        <f>'Program Budget'!X313</f>
        <v>10500</v>
      </c>
      <c r="H41" s="485">
        <f t="shared" si="7"/>
        <v>5.4334047368242488E-2</v>
      </c>
      <c r="I41" s="486"/>
      <c r="L41"/>
      <c r="M41"/>
      <c r="N41"/>
    </row>
    <row r="42" spans="2:31">
      <c r="B42" s="344" t="s">
        <v>37</v>
      </c>
      <c r="C42" s="346">
        <f>'Agrosavia Sub Budget'!P45</f>
        <v>334340.20715094998</v>
      </c>
      <c r="D42" s="346">
        <f>'Agrosavia Sub Budget'!P41</f>
        <v>324602.142865</v>
      </c>
      <c r="E42" s="482">
        <f t="shared" si="6"/>
        <v>1.2735550989054385E-2</v>
      </c>
      <c r="F42" s="346">
        <f>'Agrosavia Sub Budget'!P43</f>
        <v>9738.0642859499985</v>
      </c>
      <c r="G42" s="346">
        <f>'Agrosavia Sub Budget'!Q45</f>
        <v>0</v>
      </c>
      <c r="H42" s="485">
        <f t="shared" si="7"/>
        <v>1.2735550989054385E-2</v>
      </c>
      <c r="I42" s="486"/>
      <c r="L42"/>
      <c r="M42"/>
      <c r="N42"/>
    </row>
    <row r="43" spans="2:31">
      <c r="B43" s="344" t="str">
        <f>CONCATENATE(B26," - ",B12)</f>
        <v>Activity 5 - Prime</v>
      </c>
      <c r="C43" s="346">
        <f>'USDA Budget Summary'!F32+('USDA Budget Summary'!B32*0.2869)</f>
        <v>1440644.0547186155</v>
      </c>
      <c r="D43" s="346">
        <f>'USDA Budget Summary'!B32</f>
        <v>618622.73150994955</v>
      </c>
      <c r="E43" s="482">
        <f t="shared" si="6"/>
        <v>2.4271254867869688E-2</v>
      </c>
      <c r="F43" s="346">
        <f>D43*0.2869</f>
        <v>177482.86167020453</v>
      </c>
      <c r="G43" s="346">
        <f>'Program Budget'!X367</f>
        <v>644538.4615384615</v>
      </c>
      <c r="H43" s="485">
        <f t="shared" si="7"/>
        <v>4.9559296311094632E-2</v>
      </c>
      <c r="I43" s="486"/>
      <c r="L43"/>
      <c r="M43"/>
      <c r="N43"/>
    </row>
    <row r="44" spans="2:31">
      <c r="B44" s="344" t="str">
        <f>CONCATENATE(B27," - ",B12)</f>
        <v>Activity 6 - Prime</v>
      </c>
      <c r="C44" s="346">
        <f>'USDA Budget Summary'!F33+('USDA Budget Summary'!B33*0.2869)</f>
        <v>2135277.4279365647</v>
      </c>
      <c r="D44" s="346">
        <f>'USDA Budget Summary'!B33</f>
        <v>1146739.425284096</v>
      </c>
      <c r="E44" s="482">
        <f t="shared" si="6"/>
        <v>4.4991565037013286E-2</v>
      </c>
      <c r="F44" s="346">
        <f t="shared" ref="F44:F45" si="8">D44*0.2869</f>
        <v>328999.54111400712</v>
      </c>
      <c r="G44" s="346">
        <f>'Program Budget'!X433</f>
        <v>659538.4615384615</v>
      </c>
      <c r="H44" s="485">
        <f t="shared" si="7"/>
        <v>7.0868121587223415E-2</v>
      </c>
      <c r="I44" s="486"/>
      <c r="L44"/>
      <c r="M44"/>
      <c r="N44"/>
    </row>
    <row r="45" spans="2:31">
      <c r="B45" s="344" t="str">
        <f>CONCATENATE(B28," - ",B12)</f>
        <v>Activity 7 - Prime</v>
      </c>
      <c r="C45" s="346">
        <f>'USDA Budget Summary'!F34+('USDA Budget Summary'!B34*0.2869)</f>
        <v>1052406.786987344</v>
      </c>
      <c r="D45" s="346">
        <f>'USDA Budget Summary'!B34</f>
        <v>813122.06619577599</v>
      </c>
      <c r="E45" s="482">
        <f t="shared" si="6"/>
        <v>3.1902307985281451E-2</v>
      </c>
      <c r="F45" s="346">
        <f t="shared" si="8"/>
        <v>233284.72079156814</v>
      </c>
      <c r="G45" s="346">
        <f>'Program Budget'!X479</f>
        <v>6000</v>
      </c>
      <c r="H45" s="485">
        <f t="shared" si="7"/>
        <v>3.2137714028075526E-2</v>
      </c>
      <c r="I45" s="486"/>
      <c r="L45"/>
      <c r="M45"/>
    </row>
    <row r="46" spans="2:31" ht="14.7" thickBot="1">
      <c r="B46" s="373" t="str">
        <f>CONCATENATE(B29," - ",B12)</f>
        <v>Activity 8 - Prime</v>
      </c>
      <c r="C46" s="374">
        <f>'USDA Budget Summary'!F35+(('USDA Budget Summary'!B35-3000000)*0.2869)</f>
        <v>3783323.8829231896</v>
      </c>
      <c r="D46" s="374">
        <f>'USDA Budget Summary'!B35</f>
        <v>3379625.3117510453</v>
      </c>
      <c r="E46" s="484">
        <f t="shared" si="6"/>
        <v>0.13259737012766704</v>
      </c>
      <c r="F46" s="374">
        <f>(D46-3000000)*0.2869</f>
        <v>108914.50194137488</v>
      </c>
      <c r="G46" s="374">
        <f>'Program Budget'!X526</f>
        <v>294784.06923076924</v>
      </c>
      <c r="H46" s="488">
        <f t="shared" si="7"/>
        <v>0.14416302866372532</v>
      </c>
      <c r="I46" s="486"/>
      <c r="L46"/>
      <c r="M46"/>
    </row>
    <row r="47" spans="2:31" ht="14.7" thickBot="1">
      <c r="B47" s="350"/>
      <c r="C47" s="351"/>
      <c r="D47" s="351"/>
      <c r="E47" s="351"/>
      <c r="F47" s="351"/>
      <c r="L47"/>
      <c r="M47"/>
    </row>
    <row r="48" spans="2:31" ht="43.2">
      <c r="B48" s="369"/>
      <c r="C48" s="370" t="s">
        <v>1</v>
      </c>
      <c r="D48" s="370" t="s">
        <v>2</v>
      </c>
      <c r="E48" s="370" t="s">
        <v>3</v>
      </c>
      <c r="F48" s="370" t="s">
        <v>4</v>
      </c>
      <c r="G48" s="370" t="s">
        <v>8</v>
      </c>
      <c r="H48" s="371" t="s">
        <v>22</v>
      </c>
      <c r="J48" s="351"/>
      <c r="K48"/>
      <c r="L48" s="357" t="s">
        <v>38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1:31">
      <c r="A49" s="395" t="s">
        <v>39</v>
      </c>
      <c r="B49" s="348" t="s">
        <v>40</v>
      </c>
      <c r="C49" s="477" t="s">
        <v>1</v>
      </c>
      <c r="D49" s="477" t="s">
        <v>2</v>
      </c>
      <c r="E49" s="477" t="s">
        <v>3</v>
      </c>
      <c r="F49" s="477" t="s">
        <v>4</v>
      </c>
      <c r="G49" s="477" t="s">
        <v>8</v>
      </c>
      <c r="H49" s="478" t="s">
        <v>22</v>
      </c>
      <c r="I49" s="395" t="s">
        <v>41</v>
      </c>
      <c r="K49"/>
      <c r="L49" t="s">
        <v>42</v>
      </c>
      <c r="M49" t="s">
        <v>43</v>
      </c>
      <c r="N49" t="s">
        <v>44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1:31">
      <c r="A50" s="395" t="s">
        <v>45</v>
      </c>
      <c r="B50" s="344" t="s">
        <v>46</v>
      </c>
      <c r="C50" s="346">
        <f>C21-C51</f>
        <v>3302647.1425080663</v>
      </c>
      <c r="D50" s="346">
        <f>C50-F50</f>
        <v>2520114.9499301766</v>
      </c>
      <c r="E50" s="482">
        <f>D50/SUM($C$51:$C$67)</f>
        <v>0.11359427391152273</v>
      </c>
      <c r="F50" s="346">
        <f>(('USDA Budget Summary'!E25*0.2869)*0.5)+('CIAT Sub Budget'!P71*0.5)</f>
        <v>782532.19257788977</v>
      </c>
      <c r="G50" s="346">
        <f>'USDA Budget Summary'!D24</f>
        <v>0</v>
      </c>
      <c r="H50" s="485">
        <f>(G50+D50)/SUM($C$51:$C$67)</f>
        <v>0.11359427391152273</v>
      </c>
      <c r="I50" s="395" t="s">
        <v>42</v>
      </c>
      <c r="K50" t="s">
        <v>47</v>
      </c>
      <c r="L50" s="480">
        <v>12952229.504887147</v>
      </c>
      <c r="M50" s="480">
        <v>12535646.939641403</v>
      </c>
      <c r="N50" s="480">
        <v>25487876.44452855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1:31">
      <c r="A51" s="395" t="s">
        <v>45</v>
      </c>
      <c r="B51" s="344" t="s">
        <v>48</v>
      </c>
      <c r="C51" s="346">
        <f>'Program Budget'!AB32+'Program Budget'!AB44+'Program Budget'!AB61+'Program Budget'!AB84+'Program Budget'!AB89+'Program Budget'!AB102+'Program Budget'!AB113+'Program Budget'!AB125+(('Program Budget'!AB32+'Program Budget'!AB44+'Program Budget'!AB61+'Program Budget'!AB84+'Program Budget'!AB89+'Program Budget'!AB102+'Program Budget'!AB113+'Program Budget'!AB125)*0.2869)</f>
        <v>3302647.1425080663</v>
      </c>
      <c r="D51" s="346">
        <f>C51-F51</f>
        <v>2520114.9499301766</v>
      </c>
      <c r="E51" s="482">
        <f>D51/SUM($C$51:$C$67)</f>
        <v>0.11359427391152273</v>
      </c>
      <c r="F51" s="346">
        <f>(('USDA Budget Summary'!E25*0.2869)*0.5)+('CIAT Sub Budget'!P71*0.5)</f>
        <v>782532.19257788977</v>
      </c>
      <c r="G51" s="346">
        <f>'USDA Budget Summary'!D25</f>
        <v>0</v>
      </c>
      <c r="H51" s="485">
        <f>(G51+D51)/SUM($C$51:$C$67)</f>
        <v>0.11359427391152273</v>
      </c>
      <c r="I51" s="395" t="s">
        <v>43</v>
      </c>
      <c r="J51" s="476"/>
      <c r="K51"/>
      <c r="L51"/>
      <c r="M51"/>
      <c r="N51"/>
      <c r="O51" s="476"/>
    </row>
    <row r="52" spans="1:31">
      <c r="A52" s="395" t="s">
        <v>49</v>
      </c>
      <c r="B52" s="344" t="s">
        <v>50</v>
      </c>
      <c r="C52" s="346">
        <f>'Program Budget'!AA163+('Program Budget'!AA163*0.2869)+G52</f>
        <v>151854.55237737799</v>
      </c>
      <c r="D52" s="346">
        <f>'Program Budget'!AA163</f>
        <v>77032.055619999999</v>
      </c>
      <c r="E52" s="482">
        <f t="shared" ref="E52:E67" si="9">D52/SUM($C$51:$C$67)</f>
        <v>3.4722227358352743E-3</v>
      </c>
      <c r="F52" s="346">
        <f>'Program Budget'!AA163*0.2869</f>
        <v>22100.496757377998</v>
      </c>
      <c r="G52" s="346">
        <f>'Program Budget'!X163*0.5</f>
        <v>52722</v>
      </c>
      <c r="H52" s="485">
        <f t="shared" ref="H52:H67" si="10">(G52+D52)/SUM($C$51:$C$67)</f>
        <v>5.8486688218875134E-3</v>
      </c>
      <c r="I52" s="395" t="s">
        <v>42</v>
      </c>
      <c r="K52"/>
      <c r="L52"/>
      <c r="M52"/>
      <c r="N52"/>
    </row>
    <row r="53" spans="1:31">
      <c r="A53" s="395" t="s">
        <v>49</v>
      </c>
      <c r="B53" s="344" t="s">
        <v>51</v>
      </c>
      <c r="C53" s="346">
        <f>'Program Budget'!AB163+('Program Budget'!AB163*0.2869)+G53</f>
        <v>151854.55237737799</v>
      </c>
      <c r="D53" s="346">
        <f>C53-G53-F53</f>
        <v>77032.055619999985</v>
      </c>
      <c r="E53" s="482">
        <f t="shared" si="9"/>
        <v>3.4722227358352739E-3</v>
      </c>
      <c r="F53" s="346">
        <f>'Program Budget'!AB163*0.2869</f>
        <v>22100.496757377998</v>
      </c>
      <c r="G53" s="346">
        <f>'Program Budget'!X163*0.5</f>
        <v>52722</v>
      </c>
      <c r="H53" s="485">
        <f t="shared" si="10"/>
        <v>5.8486688218875125E-3</v>
      </c>
      <c r="I53" s="395" t="s">
        <v>43</v>
      </c>
      <c r="K53"/>
      <c r="L53"/>
      <c r="M53"/>
      <c r="N53"/>
    </row>
    <row r="54" spans="1:31">
      <c r="A54" s="395" t="s">
        <v>26</v>
      </c>
      <c r="B54" s="344" t="s">
        <v>52</v>
      </c>
      <c r="C54" s="346">
        <f>'Program Budget'!AA206+('Program Budget'!AA206*0.2869)+G54</f>
        <v>1071019.3976573437</v>
      </c>
      <c r="D54" s="346">
        <f>C54-F54-G54</f>
        <v>746769.11662605451</v>
      </c>
      <c r="E54" s="482">
        <f t="shared" si="9"/>
        <v>3.3660645354703443E-2</v>
      </c>
      <c r="F54" s="346">
        <f>'Program Budget'!AA206*0.2869+('Activity 2 Sub Budget'!P46*0.5)</f>
        <v>272788.74256975064</v>
      </c>
      <c r="G54" s="346">
        <f>'Program Budget'!X206*0.5</f>
        <v>51461.538461538461</v>
      </c>
      <c r="H54" s="485">
        <f t="shared" si="10"/>
        <v>3.598027609062298E-2</v>
      </c>
      <c r="I54" s="395" t="s">
        <v>42</v>
      </c>
      <c r="J54" s="476"/>
      <c r="K54"/>
      <c r="L54"/>
      <c r="M54"/>
      <c r="N54"/>
      <c r="O54" s="476"/>
    </row>
    <row r="55" spans="1:31">
      <c r="A55" s="395" t="s">
        <v>26</v>
      </c>
      <c r="B55" s="344" t="s">
        <v>53</v>
      </c>
      <c r="C55" s="346">
        <f>'Program Budget'!AB206+('Program Budget'!AB206*0.2869)+G55</f>
        <v>1071019.3976573437</v>
      </c>
      <c r="D55" s="346">
        <f>C55-F55-G55</f>
        <v>746769.11662605451</v>
      </c>
      <c r="E55" s="482">
        <f t="shared" si="9"/>
        <v>3.3660645354703443E-2</v>
      </c>
      <c r="F55" s="346">
        <f>'Program Budget'!AB206*0.2869+('Activity 2 Sub Budget'!P46*0.5)</f>
        <v>272788.74256975064</v>
      </c>
      <c r="G55" s="346">
        <f>'Program Budget'!X206*0.5</f>
        <v>51461.538461538461</v>
      </c>
      <c r="H55" s="485">
        <f t="shared" si="10"/>
        <v>3.598027609062298E-2</v>
      </c>
      <c r="I55" s="395" t="s">
        <v>43</v>
      </c>
      <c r="K55"/>
      <c r="L55"/>
      <c r="M55"/>
      <c r="N55"/>
    </row>
    <row r="56" spans="1:31">
      <c r="A56" s="395" t="s">
        <v>27</v>
      </c>
      <c r="B56" s="344" t="s">
        <v>54</v>
      </c>
      <c r="C56" s="346">
        <f>'Program Budget'!AA265+('Program Budget'!AA265*0.2869)+'Program Budget'!AD265</f>
        <v>3027373.1556705255</v>
      </c>
      <c r="D56" s="346">
        <f>C56-G56-F56</f>
        <v>2270238.7637796341</v>
      </c>
      <c r="E56" s="482">
        <f t="shared" si="9"/>
        <v>0.10233109564485764</v>
      </c>
      <c r="F56" s="346">
        <f>'Program Budget'!AA265*0.2869+'CIAT Sub Budget'!P152+('CIAT Sub Budget'!P116*0.5)</f>
        <v>706134.39189089125</v>
      </c>
      <c r="G56" s="346">
        <f>'Program Budget'!AD265</f>
        <v>51000</v>
      </c>
      <c r="H56" s="485">
        <f t="shared" si="10"/>
        <v>0.10462992251767475</v>
      </c>
      <c r="I56" s="395" t="s">
        <v>42</v>
      </c>
      <c r="K56"/>
      <c r="L56"/>
      <c r="M56"/>
      <c r="N56"/>
      <c r="O56" s="396"/>
    </row>
    <row r="57" spans="1:31">
      <c r="A57" s="395" t="s">
        <v>27</v>
      </c>
      <c r="B57" s="344" t="s">
        <v>55</v>
      </c>
      <c r="C57" s="346">
        <f>'Program Budget'!AB265+('Program Budget'!AB265*0.2869)+'Program Budget'!AE265</f>
        <v>2788382.7904247791</v>
      </c>
      <c r="D57" s="346">
        <f>C57-G57-F57</f>
        <v>2074172.653362249</v>
      </c>
      <c r="E57" s="482">
        <f t="shared" si="9"/>
        <v>9.349340851787305E-2</v>
      </c>
      <c r="F57" s="346">
        <f>'Program Budget'!AB265*0.2869+'CIAT Sub Budget'!P116*0.5</f>
        <v>611010.13706253003</v>
      </c>
      <c r="G57" s="346">
        <f>'Program Budget'!AE265</f>
        <v>103200</v>
      </c>
      <c r="H57" s="485">
        <f t="shared" si="10"/>
        <v>9.8145152307573577E-2</v>
      </c>
      <c r="I57" s="395" t="s">
        <v>43</v>
      </c>
      <c r="K57"/>
      <c r="L57"/>
      <c r="M57"/>
      <c r="N57"/>
    </row>
    <row r="58" spans="1:31">
      <c r="A58" s="395" t="s">
        <v>28</v>
      </c>
      <c r="B58" s="344" t="s">
        <v>56</v>
      </c>
      <c r="C58" s="492">
        <f>'Program Budget'!AA313+('Program Budget'!AA313*0.2869)+G58</f>
        <v>1104712.7978350194</v>
      </c>
      <c r="D58" s="346">
        <f>'Program Budget'!AA313-('Agrosavia Sub Budget'!P43*0.5)</f>
        <v>849480.79910655448</v>
      </c>
      <c r="E58" s="482">
        <f t="shared" si="9"/>
        <v>3.8290378214280552E-2</v>
      </c>
      <c r="F58" s="346">
        <f>'Program Budget'!AA313*0.2869+('Agrosavia Sub Budget'!P43*0.5)</f>
        <v>249981.998728465</v>
      </c>
      <c r="G58" s="346">
        <f>'Program Budget'!X313*0.5</f>
        <v>5250</v>
      </c>
      <c r="H58" s="485">
        <f t="shared" si="10"/>
        <v>3.8527022157070552E-2</v>
      </c>
      <c r="I58" s="395" t="s">
        <v>42</v>
      </c>
      <c r="K58"/>
      <c r="L58"/>
      <c r="M58"/>
      <c r="N58"/>
    </row>
    <row r="59" spans="1:31">
      <c r="A59" s="395" t="s">
        <v>28</v>
      </c>
      <c r="B59" s="344" t="s">
        <v>57</v>
      </c>
      <c r="C59" s="346">
        <f>'Program Budget'!AB313+('Program Budget'!AB313*0.2869)+G59</f>
        <v>1104712.7978350194</v>
      </c>
      <c r="D59" s="346">
        <f>'Program Budget'!AB313-('Agrosavia Sub Budget'!P43*0.5)</f>
        <v>849480.79910655448</v>
      </c>
      <c r="E59" s="482">
        <f t="shared" si="9"/>
        <v>3.8290378214280552E-2</v>
      </c>
      <c r="F59" s="346">
        <f>'Program Budget'!AB313*0.2869+('Agrosavia Sub Budget'!P43*0.5)</f>
        <v>249981.998728465</v>
      </c>
      <c r="G59" s="346">
        <f>'Program Budget'!X313*0.5</f>
        <v>5250</v>
      </c>
      <c r="H59" s="485">
        <f t="shared" si="10"/>
        <v>3.8527022157070552E-2</v>
      </c>
      <c r="I59" s="395" t="s">
        <v>43</v>
      </c>
      <c r="K59"/>
      <c r="L59"/>
      <c r="M59"/>
      <c r="N59"/>
    </row>
    <row r="60" spans="1:31">
      <c r="A60" s="395" t="s">
        <v>29</v>
      </c>
      <c r="B60" s="344" t="s">
        <v>58</v>
      </c>
      <c r="C60" s="346">
        <f>'Program Budget'!AA367+('Program Budget'!AA367*0.2869)+G60</f>
        <v>720322.02735930774</v>
      </c>
      <c r="D60" s="346">
        <f>'Program Budget'!AA367</f>
        <v>309311.36575497477</v>
      </c>
      <c r="E60" s="482">
        <f t="shared" si="9"/>
        <v>1.394222116990786E-2</v>
      </c>
      <c r="F60" s="346">
        <f t="shared" ref="F60:F65" si="11">D60*0.2869</f>
        <v>88741.430835102263</v>
      </c>
      <c r="G60" s="346">
        <f>'Program Budget'!X367*0.5</f>
        <v>322269.23076923075</v>
      </c>
      <c r="H60" s="485">
        <f t="shared" si="10"/>
        <v>2.8468518581170787E-2</v>
      </c>
      <c r="I60" s="395" t="s">
        <v>42</v>
      </c>
      <c r="K60"/>
      <c r="L60"/>
      <c r="M60"/>
      <c r="N60"/>
    </row>
    <row r="61" spans="1:31">
      <c r="A61" s="395" t="s">
        <v>29</v>
      </c>
      <c r="B61" s="344" t="s">
        <v>59</v>
      </c>
      <c r="C61" s="346">
        <f>'Program Budget'!AB367+('Program Budget'!AB367*0.2869)+G61</f>
        <v>720322.02735930774</v>
      </c>
      <c r="D61" s="346">
        <f>'Program Budget'!AB367</f>
        <v>309311.36575497477</v>
      </c>
      <c r="E61" s="482">
        <f t="shared" si="9"/>
        <v>1.394222116990786E-2</v>
      </c>
      <c r="F61" s="346">
        <f t="shared" si="11"/>
        <v>88741.430835102263</v>
      </c>
      <c r="G61" s="346">
        <f>'Program Budget'!X367*0.5</f>
        <v>322269.23076923075</v>
      </c>
      <c r="H61" s="485">
        <f t="shared" si="10"/>
        <v>2.8468518581170787E-2</v>
      </c>
      <c r="I61" s="395" t="s">
        <v>43</v>
      </c>
      <c r="K61"/>
      <c r="L61"/>
      <c r="M61"/>
      <c r="N61"/>
    </row>
    <row r="62" spans="1:31">
      <c r="A62" s="395" t="s">
        <v>30</v>
      </c>
      <c r="B62" s="344" t="s">
        <v>60</v>
      </c>
      <c r="C62" s="346">
        <f>'Program Budget'!AA433+('Program Budget'!AA433*0.2869)+G62</f>
        <v>1067638.7139682823</v>
      </c>
      <c r="D62" s="346">
        <f>'Program Budget'!AA433</f>
        <v>573369.71264204802</v>
      </c>
      <c r="E62" s="482">
        <f t="shared" si="9"/>
        <v>2.5844660852568032E-2</v>
      </c>
      <c r="F62" s="346">
        <f t="shared" si="11"/>
        <v>164499.77055700356</v>
      </c>
      <c r="G62" s="346">
        <f>'Program Budget'!X433*0.5</f>
        <v>329769.23076923075</v>
      </c>
      <c r="H62" s="485">
        <f t="shared" si="10"/>
        <v>4.0709021039245237E-2</v>
      </c>
      <c r="I62" s="395" t="s">
        <v>42</v>
      </c>
      <c r="K62"/>
      <c r="L62"/>
      <c r="M62"/>
      <c r="N62"/>
    </row>
    <row r="63" spans="1:31">
      <c r="A63" s="395" t="s">
        <v>30</v>
      </c>
      <c r="B63" s="344" t="s">
        <v>61</v>
      </c>
      <c r="C63" s="346">
        <f>'Program Budget'!AB433+('Program Budget'!AB433*0.2869)+'Project Funds Snapshots'!G63</f>
        <v>1067638.7139682823</v>
      </c>
      <c r="D63" s="346">
        <f>'Program Budget'!AB433</f>
        <v>573369.71264204802</v>
      </c>
      <c r="E63" s="482">
        <f t="shared" si="9"/>
        <v>2.5844660852568032E-2</v>
      </c>
      <c r="F63" s="346">
        <f t="shared" si="11"/>
        <v>164499.77055700356</v>
      </c>
      <c r="G63" s="346">
        <f>'Program Budget'!X433*0.5</f>
        <v>329769.23076923075</v>
      </c>
      <c r="H63" s="485">
        <f t="shared" si="10"/>
        <v>4.0709021039245237E-2</v>
      </c>
      <c r="I63" s="395" t="s">
        <v>43</v>
      </c>
      <c r="K63"/>
      <c r="L63"/>
      <c r="M63"/>
      <c r="N63"/>
    </row>
    <row r="64" spans="1:31">
      <c r="A64" s="395" t="s">
        <v>31</v>
      </c>
      <c r="B64" s="344" t="s">
        <v>62</v>
      </c>
      <c r="C64" s="346">
        <f>'Program Budget'!AA479+('Program Budget'!AA479*0.2869)+G64</f>
        <v>526203.39349367213</v>
      </c>
      <c r="D64" s="346">
        <f>'Program Budget'!W479*0.5</f>
        <v>406561.03309788799</v>
      </c>
      <c r="E64" s="482">
        <f t="shared" si="9"/>
        <v>1.832575349658265E-2</v>
      </c>
      <c r="F64" s="346">
        <f>D64*0.2869</f>
        <v>116642.36039578407</v>
      </c>
      <c r="G64" s="346">
        <f>'Program Budget'!X479*0.5</f>
        <v>3000</v>
      </c>
      <c r="H64" s="485">
        <f t="shared" si="10"/>
        <v>1.8460978606748363E-2</v>
      </c>
      <c r="I64" s="395" t="s">
        <v>42</v>
      </c>
      <c r="K64"/>
      <c r="L64"/>
      <c r="M64"/>
      <c r="N64"/>
    </row>
    <row r="65" spans="1:30">
      <c r="A65" s="395" t="s">
        <v>31</v>
      </c>
      <c r="B65" s="344" t="s">
        <v>63</v>
      </c>
      <c r="C65" s="346">
        <f>('Program Budget'!AB479)+(('Program Budget'!AB479)*0.2869)+G65</f>
        <v>526203.39349367213</v>
      </c>
      <c r="D65" s="346">
        <f>'Program Budget'!W479*0.5</f>
        <v>406561.03309788799</v>
      </c>
      <c r="E65" s="482">
        <f t="shared" si="9"/>
        <v>1.832575349658265E-2</v>
      </c>
      <c r="F65" s="346">
        <f t="shared" si="11"/>
        <v>116642.36039578407</v>
      </c>
      <c r="G65" s="346">
        <f>'Program Budget'!X479*0.5</f>
        <v>3000</v>
      </c>
      <c r="H65" s="485">
        <f t="shared" si="10"/>
        <v>1.8460978606748363E-2</v>
      </c>
      <c r="I65" s="395" t="s">
        <v>43</v>
      </c>
      <c r="K65"/>
      <c r="L65"/>
      <c r="M65"/>
      <c r="N65"/>
    </row>
    <row r="66" spans="1:30">
      <c r="A66" s="395" t="s">
        <v>32</v>
      </c>
      <c r="B66" s="344" t="s">
        <v>64</v>
      </c>
      <c r="C66" s="346">
        <f>'Program Budget'!AA526+(('Program Budget'!AA526-1500000)*0.2869)+G66</f>
        <v>1891661.9414615948</v>
      </c>
      <c r="D66" s="346">
        <f>'Program Budget'!AA526</f>
        <v>1689812.6558755226</v>
      </c>
      <c r="E66" s="482">
        <f t="shared" si="9"/>
        <v>7.6168367516727814E-2</v>
      </c>
      <c r="F66" s="346">
        <f>(D66-1500000)*0.2869</f>
        <v>54457.250970687441</v>
      </c>
      <c r="G66" s="346">
        <f>'Program Budget'!X526*0.5</f>
        <v>147392.03461538462</v>
      </c>
      <c r="H66" s="485">
        <f t="shared" si="10"/>
        <v>8.2812068889532464E-2</v>
      </c>
      <c r="I66" s="395" t="s">
        <v>42</v>
      </c>
      <c r="K66"/>
      <c r="L66"/>
      <c r="M66"/>
      <c r="N66"/>
    </row>
    <row r="67" spans="1:30" ht="14.7" thickBot="1">
      <c r="A67" s="395" t="s">
        <v>32</v>
      </c>
      <c r="B67" s="373" t="s">
        <v>65</v>
      </c>
      <c r="C67" s="374">
        <f>'Program Budget'!AB526+(('Program Budget'!AB526-1500000)*0.2869)+G67</f>
        <v>1891661.9414615948</v>
      </c>
      <c r="D67" s="374">
        <f>'Program Budget'!AB526</f>
        <v>1689812.6558755226</v>
      </c>
      <c r="E67" s="484">
        <f t="shared" si="9"/>
        <v>7.6168367516727814E-2</v>
      </c>
      <c r="F67" s="346">
        <f>(D66-1500000)*0.2869</f>
        <v>54457.250970687441</v>
      </c>
      <c r="G67" s="346">
        <f>'Program Budget'!X526*0.5</f>
        <v>147392.03461538462</v>
      </c>
      <c r="H67" s="488">
        <f t="shared" si="10"/>
        <v>8.2812068889532464E-2</v>
      </c>
      <c r="I67" s="395" t="s">
        <v>43</v>
      </c>
      <c r="J67" s="476"/>
      <c r="K67"/>
      <c r="L67"/>
      <c r="M67"/>
      <c r="N67" s="476"/>
      <c r="O67" s="476"/>
    </row>
    <row r="68" spans="1:30">
      <c r="K68" s="357" t="s">
        <v>66</v>
      </c>
      <c r="L68" t="s">
        <v>47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1:30">
      <c r="K69" s="358" t="s">
        <v>49</v>
      </c>
      <c r="L69" s="481">
        <v>303709.10475475597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spans="1:30">
      <c r="K70" s="479" t="s">
        <v>42</v>
      </c>
      <c r="L70" s="481">
        <v>151854.55237737799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1:30">
      <c r="K71" s="479" t="s">
        <v>43</v>
      </c>
      <c r="L71" s="481">
        <v>151854.55237737799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 spans="1:30">
      <c r="K72" s="358" t="s">
        <v>26</v>
      </c>
      <c r="L72" s="481">
        <v>2142038.7953146873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1:30">
      <c r="K73" s="479" t="s">
        <v>42</v>
      </c>
      <c r="L73" s="481">
        <v>1071019.3976573437</v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 spans="1:30">
      <c r="K74" s="479" t="s">
        <v>43</v>
      </c>
      <c r="L74" s="481">
        <v>1071019.3976573437</v>
      </c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1:30">
      <c r="K75" s="358" t="s">
        <v>27</v>
      </c>
      <c r="L75" s="481">
        <v>5815937.3895970099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 spans="1:30">
      <c r="K76" s="479" t="s">
        <v>42</v>
      </c>
      <c r="L76" s="481">
        <v>3116259.9774213778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1:30">
      <c r="K77" s="479" t="s">
        <v>43</v>
      </c>
      <c r="L77" s="481">
        <v>2699677.4121756321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 spans="1:30">
      <c r="K78" s="358" t="s">
        <v>28</v>
      </c>
      <c r="L78" s="481">
        <v>2209425.5956700388</v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1:30">
      <c r="K79" s="479" t="s">
        <v>42</v>
      </c>
      <c r="L79" s="481">
        <v>1104712.7978350194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spans="1:30">
      <c r="K80" s="479" t="s">
        <v>43</v>
      </c>
      <c r="L80" s="481">
        <v>1104712.7978350194</v>
      </c>
      <c r="M80"/>
    </row>
    <row r="81" spans="11:13">
      <c r="K81" s="358" t="s">
        <v>29</v>
      </c>
      <c r="L81" s="481">
        <v>1440644.0547186155</v>
      </c>
      <c r="M81"/>
    </row>
    <row r="82" spans="11:13">
      <c r="K82" s="479" t="s">
        <v>42</v>
      </c>
      <c r="L82" s="481">
        <v>720322.02735930774</v>
      </c>
      <c r="M82"/>
    </row>
    <row r="83" spans="11:13">
      <c r="K83" s="479" t="s">
        <v>43</v>
      </c>
      <c r="L83" s="481">
        <v>720322.02735930774</v>
      </c>
      <c r="M83"/>
    </row>
    <row r="84" spans="11:13">
      <c r="K84" s="358" t="s">
        <v>30</v>
      </c>
      <c r="L84" s="481">
        <v>2135277.4279365647</v>
      </c>
      <c r="M84"/>
    </row>
    <row r="85" spans="11:13">
      <c r="K85" s="479" t="s">
        <v>42</v>
      </c>
      <c r="L85" s="481">
        <v>1067638.7139682823</v>
      </c>
      <c r="M85"/>
    </row>
    <row r="86" spans="11:13">
      <c r="K86" s="479" t="s">
        <v>43</v>
      </c>
      <c r="L86" s="481">
        <v>1067638.7139682823</v>
      </c>
    </row>
    <row r="87" spans="11:13">
      <c r="K87" s="358" t="s">
        <v>31</v>
      </c>
      <c r="L87" s="481">
        <v>1052406.7869873443</v>
      </c>
    </row>
    <row r="88" spans="11:13">
      <c r="K88" s="479" t="s">
        <v>42</v>
      </c>
      <c r="L88" s="481">
        <v>526203.39349367213</v>
      </c>
    </row>
    <row r="89" spans="11:13">
      <c r="K89" s="479" t="s">
        <v>43</v>
      </c>
      <c r="L89" s="481">
        <v>526203.39349367213</v>
      </c>
    </row>
    <row r="90" spans="11:13">
      <c r="K90" s="358" t="s">
        <v>32</v>
      </c>
      <c r="L90" s="481">
        <v>3783323.8829231896</v>
      </c>
    </row>
    <row r="91" spans="11:13">
      <c r="K91" s="479" t="s">
        <v>42</v>
      </c>
      <c r="L91" s="481">
        <v>1891661.9414615948</v>
      </c>
    </row>
    <row r="92" spans="11:13">
      <c r="K92" s="479" t="s">
        <v>43</v>
      </c>
      <c r="L92" s="481">
        <v>1891661.9414615948</v>
      </c>
    </row>
    <row r="93" spans="11:13">
      <c r="K93" s="358" t="s">
        <v>45</v>
      </c>
      <c r="L93" s="481">
        <v>6605113.4066263437</v>
      </c>
    </row>
    <row r="94" spans="11:13">
      <c r="K94" s="479" t="s">
        <v>42</v>
      </c>
      <c r="L94" s="481">
        <v>3302556.7033131719</v>
      </c>
    </row>
    <row r="95" spans="11:13">
      <c r="K95" s="479" t="s">
        <v>43</v>
      </c>
      <c r="L95" s="481">
        <v>3302556.7033131719</v>
      </c>
    </row>
    <row r="96" spans="11:13">
      <c r="K96" s="358" t="s">
        <v>44</v>
      </c>
      <c r="L96" s="481">
        <v>25487876.44452855</v>
      </c>
    </row>
    <row r="97" spans="12:12">
      <c r="L97" s="493"/>
    </row>
  </sheetData>
  <mergeCells count="1">
    <mergeCell ref="B2:G2"/>
  </mergeCells>
  <phoneticPr fontId="106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8"/>
  <sheetViews>
    <sheetView topLeftCell="A12" zoomScaleNormal="100" workbookViewId="0">
      <selection activeCell="A28" sqref="A28:A35"/>
    </sheetView>
  </sheetViews>
  <sheetFormatPr defaultColWidth="8.71875" defaultRowHeight="12.6"/>
  <cols>
    <col min="1" max="1" width="80.44140625" style="56" customWidth="1"/>
    <col min="2" max="2" width="18" style="165" bestFit="1" customWidth="1"/>
    <col min="3" max="3" width="16" style="56" customWidth="1"/>
    <col min="4" max="4" width="17.44140625" style="56" customWidth="1"/>
    <col min="5" max="5" width="18.44140625" style="56" customWidth="1"/>
    <col min="6" max="6" width="17.71875" style="56" bestFit="1" customWidth="1"/>
    <col min="7" max="7" width="0" style="56" hidden="1" customWidth="1"/>
    <col min="8" max="8" width="11.44140625" style="56" bestFit="1" customWidth="1"/>
    <col min="9" max="16384" width="8.71875" style="56"/>
  </cols>
  <sheetData>
    <row r="1" spans="1:6">
      <c r="A1" s="516" t="s">
        <v>67</v>
      </c>
      <c r="B1" s="516"/>
      <c r="C1" s="516"/>
      <c r="D1" s="516"/>
      <c r="E1" s="516"/>
      <c r="F1" s="516"/>
    </row>
    <row r="2" spans="1:6">
      <c r="A2" s="516" t="s">
        <v>68</v>
      </c>
      <c r="B2" s="516"/>
      <c r="C2" s="516"/>
      <c r="D2" s="516"/>
      <c r="E2" s="516"/>
      <c r="F2" s="516"/>
    </row>
    <row r="3" spans="1:6">
      <c r="D3" s="166"/>
    </row>
    <row r="4" spans="1:6">
      <c r="A4" s="232" t="s">
        <v>69</v>
      </c>
      <c r="B4" s="233" t="s">
        <v>70</v>
      </c>
      <c r="D4" s="166"/>
    </row>
    <row r="5" spans="1:6">
      <c r="A5" s="232" t="s">
        <v>71</v>
      </c>
      <c r="B5" s="233" t="s">
        <v>72</v>
      </c>
      <c r="D5" s="166"/>
    </row>
    <row r="6" spans="1:6">
      <c r="A6" s="232" t="s">
        <v>73</v>
      </c>
      <c r="B6" s="233" t="s">
        <v>74</v>
      </c>
      <c r="D6" s="166"/>
    </row>
    <row r="7" spans="1:6">
      <c r="A7" s="232" t="s">
        <v>75</v>
      </c>
      <c r="B7" s="234" t="s">
        <v>76</v>
      </c>
      <c r="D7" s="166"/>
    </row>
    <row r="8" spans="1:6">
      <c r="A8" s="232" t="s">
        <v>77</v>
      </c>
      <c r="B8" s="233" t="s">
        <v>78</v>
      </c>
      <c r="D8" s="166"/>
    </row>
    <row r="9" spans="1:6">
      <c r="D9" s="166"/>
    </row>
    <row r="10" spans="1:6">
      <c r="A10" s="517" t="s">
        <v>79</v>
      </c>
      <c r="B10" s="517"/>
      <c r="C10" s="517"/>
      <c r="D10" s="517"/>
      <c r="E10" s="517"/>
      <c r="F10" s="517"/>
    </row>
    <row r="11" spans="1:6" ht="36.9">
      <c r="A11" s="167" t="s">
        <v>80</v>
      </c>
      <c r="B11" s="168" t="s">
        <v>81</v>
      </c>
      <c r="C11" s="167" t="s">
        <v>82</v>
      </c>
      <c r="D11" s="169" t="s">
        <v>83</v>
      </c>
      <c r="E11" s="169" t="s">
        <v>84</v>
      </c>
      <c r="F11" s="167" t="s">
        <v>85</v>
      </c>
    </row>
    <row r="12" spans="1:6">
      <c r="A12" s="170"/>
      <c r="B12" s="171" t="s">
        <v>76</v>
      </c>
      <c r="C12" s="172">
        <v>21924000</v>
      </c>
      <c r="D12" s="173">
        <v>9591750</v>
      </c>
      <c r="E12" s="173">
        <v>2280000</v>
      </c>
      <c r="F12" s="172">
        <f>E12+D12+C12</f>
        <v>33795750</v>
      </c>
    </row>
    <row r="13" spans="1:6">
      <c r="A13" s="174"/>
      <c r="B13" s="175"/>
      <c r="C13" s="175"/>
      <c r="D13" s="176"/>
      <c r="E13" s="176"/>
      <c r="F13" s="177"/>
    </row>
    <row r="14" spans="1:6">
      <c r="A14" s="517" t="s">
        <v>86</v>
      </c>
      <c r="B14" s="517"/>
      <c r="C14" s="517"/>
      <c r="D14" s="517"/>
      <c r="E14" s="517"/>
      <c r="F14" s="517"/>
    </row>
    <row r="15" spans="1:6" ht="49.2">
      <c r="A15" s="178" t="s">
        <v>87</v>
      </c>
      <c r="B15" s="179" t="s">
        <v>88</v>
      </c>
      <c r="C15" s="178" t="s">
        <v>89</v>
      </c>
      <c r="D15" s="180" t="s">
        <v>7</v>
      </c>
      <c r="E15" s="178" t="s">
        <v>90</v>
      </c>
      <c r="F15" s="178" t="s">
        <v>91</v>
      </c>
    </row>
    <row r="16" spans="1:6">
      <c r="A16" s="518" t="s">
        <v>92</v>
      </c>
      <c r="B16" s="519"/>
      <c r="C16" s="519"/>
      <c r="D16" s="519"/>
      <c r="E16" s="519"/>
      <c r="F16" s="520"/>
    </row>
    <row r="17" spans="1:8">
      <c r="A17" s="181" t="s">
        <v>93</v>
      </c>
      <c r="B17" s="182">
        <f>'Program Budget'!W32-C17</f>
        <v>843769.36321422225</v>
      </c>
      <c r="C17" s="182">
        <v>430000</v>
      </c>
      <c r="D17" s="183">
        <f>'Program Budget'!X32</f>
        <v>0</v>
      </c>
      <c r="E17" s="182">
        <f>B17+C17</f>
        <v>1273769.3632142222</v>
      </c>
      <c r="F17" s="182">
        <f>B17+C17+D17</f>
        <v>1273769.3632142222</v>
      </c>
    </row>
    <row r="18" spans="1:8">
      <c r="A18" s="181" t="s">
        <v>94</v>
      </c>
      <c r="B18" s="182">
        <f>'Program Budget'!W44-C18</f>
        <v>499261.8851204511</v>
      </c>
      <c r="C18" s="182">
        <v>225648</v>
      </c>
      <c r="D18" s="183">
        <f>'Program Budget'!X44</f>
        <v>0</v>
      </c>
      <c r="E18" s="182">
        <f t="shared" ref="E18:E24" si="0">B18+C18</f>
        <v>724909.8851204511</v>
      </c>
      <c r="F18" s="182">
        <f t="shared" ref="F18:F24" si="1">B18+C18+D18</f>
        <v>724909.8851204511</v>
      </c>
    </row>
    <row r="19" spans="1:8">
      <c r="A19" s="181" t="s">
        <v>95</v>
      </c>
      <c r="B19" s="182">
        <f>'Program Budget'!W61-C19</f>
        <v>116709.46335720003</v>
      </c>
      <c r="C19" s="182">
        <v>39104</v>
      </c>
      <c r="D19" s="183">
        <f>'Program Budget'!X61</f>
        <v>0</v>
      </c>
      <c r="E19" s="182">
        <f t="shared" si="0"/>
        <v>155813.46335720003</v>
      </c>
      <c r="F19" s="182">
        <f t="shared" si="1"/>
        <v>155813.46335720003</v>
      </c>
    </row>
    <row r="20" spans="1:8">
      <c r="A20" s="181" t="s">
        <v>96</v>
      </c>
      <c r="B20" s="182">
        <f>'Program Budget'!W84-C20</f>
        <v>1619479.9991990747</v>
      </c>
      <c r="C20" s="182">
        <v>862147.25</v>
      </c>
      <c r="D20" s="183">
        <f>'Program Budget'!X84</f>
        <v>0</v>
      </c>
      <c r="E20" s="182">
        <f t="shared" si="0"/>
        <v>2481627.2491990747</v>
      </c>
      <c r="F20" s="182">
        <f t="shared" si="1"/>
        <v>2481627.2491990747</v>
      </c>
    </row>
    <row r="21" spans="1:8">
      <c r="A21" s="181" t="s">
        <v>97</v>
      </c>
      <c r="B21" s="182">
        <f>'Program Budget'!W89-C21</f>
        <v>0</v>
      </c>
      <c r="C21" s="182">
        <v>100000</v>
      </c>
      <c r="D21" s="183">
        <f>'Program Budget'!X89</f>
        <v>0</v>
      </c>
      <c r="E21" s="182">
        <f t="shared" si="0"/>
        <v>100000</v>
      </c>
      <c r="F21" s="182">
        <f t="shared" si="1"/>
        <v>100000</v>
      </c>
    </row>
    <row r="22" spans="1:8">
      <c r="A22" s="181" t="s">
        <v>98</v>
      </c>
      <c r="B22" s="182">
        <f>'Program Budget'!W102-C22</f>
        <v>168021.70739404799</v>
      </c>
      <c r="C22" s="182">
        <v>53944</v>
      </c>
      <c r="D22" s="183">
        <f>'Program Budget'!X102</f>
        <v>0</v>
      </c>
      <c r="E22" s="182">
        <f t="shared" si="0"/>
        <v>221965.70739404799</v>
      </c>
      <c r="F22" s="182">
        <f t="shared" si="1"/>
        <v>221965.70739404799</v>
      </c>
    </row>
    <row r="23" spans="1:8">
      <c r="A23" s="181" t="s">
        <v>99</v>
      </c>
      <c r="B23" s="182">
        <f>'Program Budget'!W113-C23</f>
        <v>45495.645808000001</v>
      </c>
      <c r="C23" s="182">
        <v>41096</v>
      </c>
      <c r="D23" s="183">
        <f>'Program Budget'!X113</f>
        <v>0</v>
      </c>
      <c r="E23" s="182">
        <f t="shared" si="0"/>
        <v>86591.645808000001</v>
      </c>
      <c r="F23" s="182">
        <f t="shared" si="1"/>
        <v>86591.645808000001</v>
      </c>
      <c r="H23" s="166"/>
    </row>
    <row r="24" spans="1:8">
      <c r="A24" s="181" t="s">
        <v>100</v>
      </c>
      <c r="B24" s="182">
        <f>'Program Budget'!W125-C24</f>
        <v>68280.290240000002</v>
      </c>
      <c r="C24" s="182">
        <f>'Program Budget'!M125</f>
        <v>19760</v>
      </c>
      <c r="D24" s="183">
        <v>0</v>
      </c>
      <c r="E24" s="182">
        <f t="shared" si="0"/>
        <v>88040.290240000002</v>
      </c>
      <c r="F24" s="182">
        <f t="shared" si="1"/>
        <v>88040.290240000002</v>
      </c>
    </row>
    <row r="25" spans="1:8" s="82" customFormat="1" ht="12.3">
      <c r="A25" s="184" t="s">
        <v>101</v>
      </c>
      <c r="B25" s="185">
        <f>SUM(B17:B24)</f>
        <v>3361018.3543329961</v>
      </c>
      <c r="C25" s="185">
        <f>SUM(C17:C24)</f>
        <v>1771699.25</v>
      </c>
      <c r="D25" s="185">
        <f>SUM(D17:D24)</f>
        <v>0</v>
      </c>
      <c r="E25" s="185">
        <f>SUM(E17:E24)</f>
        <v>5132717.6043329956</v>
      </c>
      <c r="F25" s="185">
        <f>SUM(F17:F24)</f>
        <v>5132717.6043329956</v>
      </c>
      <c r="H25" s="186"/>
    </row>
    <row r="26" spans="1:8">
      <c r="A26" s="521"/>
      <c r="B26" s="521"/>
      <c r="C26" s="521"/>
      <c r="D26" s="521"/>
      <c r="E26" s="521"/>
      <c r="F26" s="187"/>
    </row>
    <row r="27" spans="1:8">
      <c r="A27" s="522" t="s">
        <v>102</v>
      </c>
      <c r="B27" s="519"/>
      <c r="C27" s="519"/>
      <c r="D27" s="519"/>
      <c r="E27" s="519"/>
      <c r="F27" s="523"/>
    </row>
    <row r="28" spans="1:8" ht="12.75" customHeight="1">
      <c r="A28" s="188" t="s">
        <v>103</v>
      </c>
      <c r="B28" s="189">
        <f>'Program Budget'!W163</f>
        <v>154064.11124</v>
      </c>
      <c r="C28" s="189">
        <v>0</v>
      </c>
      <c r="D28" s="189">
        <f>'Program Budget'!X163</f>
        <v>105444</v>
      </c>
      <c r="E28" s="189">
        <f>B28+C28</f>
        <v>154064.11124</v>
      </c>
      <c r="F28" s="189">
        <f t="shared" ref="F28:F32" si="2">B28+C28+D28</f>
        <v>259508.11124</v>
      </c>
      <c r="G28" s="354">
        <f>B28/$B$36</f>
        <v>1.116021161491982E-2</v>
      </c>
    </row>
    <row r="29" spans="1:8">
      <c r="A29" s="188" t="s">
        <v>104</v>
      </c>
      <c r="B29" s="189">
        <f>'Program Budget'!W206</f>
        <v>1584517.6147265602</v>
      </c>
      <c r="C29" s="189">
        <v>0</v>
      </c>
      <c r="D29" s="189">
        <f>'Program Budget'!X206</f>
        <v>102923.07692307692</v>
      </c>
      <c r="E29" s="189">
        <f t="shared" ref="E29:E32" si="3">B29+C29</f>
        <v>1584517.6147265602</v>
      </c>
      <c r="F29" s="189">
        <f t="shared" si="2"/>
        <v>1687440.6916496372</v>
      </c>
      <c r="G29" s="354">
        <f t="shared" ref="G29:G36" si="4">B29/$B$36</f>
        <v>0.11478047512550857</v>
      </c>
    </row>
    <row r="30" spans="1:8">
      <c r="A30" s="188" t="s">
        <v>105</v>
      </c>
      <c r="B30" s="189">
        <f>'Program Budget'!W265</f>
        <v>4399375.2009443659</v>
      </c>
      <c r="C30" s="189">
        <v>0</v>
      </c>
      <c r="D30" s="189">
        <f>ROUND('Program Budget'!X265,0)</f>
        <v>154200</v>
      </c>
      <c r="E30" s="189">
        <f t="shared" si="3"/>
        <v>4399375.2009443659</v>
      </c>
      <c r="F30" s="189">
        <f t="shared" si="2"/>
        <v>4553575.2009443659</v>
      </c>
      <c r="G30" s="354">
        <f t="shared" si="4"/>
        <v>0.31868523967587148</v>
      </c>
    </row>
    <row r="31" spans="1:8" ht="12.75" customHeight="1">
      <c r="A31" s="188" t="s">
        <v>106</v>
      </c>
      <c r="B31" s="189">
        <f>'Program Budget'!W313</f>
        <v>1708699.662499059</v>
      </c>
      <c r="C31" s="189">
        <v>0</v>
      </c>
      <c r="D31" s="189">
        <f>'Program Budget'!X313</f>
        <v>10500</v>
      </c>
      <c r="E31" s="189">
        <f>B31+C31</f>
        <v>1708699.662499059</v>
      </c>
      <c r="F31" s="189">
        <f>B31+C31+D31</f>
        <v>1719199.662499059</v>
      </c>
      <c r="G31" s="354">
        <f t="shared" si="4"/>
        <v>0.12377606741991533</v>
      </c>
    </row>
    <row r="32" spans="1:8">
      <c r="A32" s="188" t="s">
        <v>107</v>
      </c>
      <c r="B32" s="189">
        <f>'Program Budget'!W367</f>
        <v>618622.73150994955</v>
      </c>
      <c r="C32" s="189">
        <v>0</v>
      </c>
      <c r="D32" s="189">
        <f>'Program Budget'!X367</f>
        <v>644538.4615384615</v>
      </c>
      <c r="E32" s="189">
        <f t="shared" si="3"/>
        <v>618622.73150994955</v>
      </c>
      <c r="F32" s="189">
        <f t="shared" si="2"/>
        <v>1263161.193048411</v>
      </c>
      <c r="G32" s="354">
        <f t="shared" si="4"/>
        <v>4.4812257299143614E-2</v>
      </c>
    </row>
    <row r="33" spans="1:7">
      <c r="A33" s="188" t="s">
        <v>108</v>
      </c>
      <c r="B33" s="189">
        <f>'Program Budget'!W433</f>
        <v>1146739.425284096</v>
      </c>
      <c r="C33" s="189">
        <v>0</v>
      </c>
      <c r="D33" s="189">
        <f>'Program Budget'!X433</f>
        <v>659538.4615384615</v>
      </c>
      <c r="E33" s="189">
        <f>B33+C33</f>
        <v>1146739.425284096</v>
      </c>
      <c r="F33" s="189">
        <f>B33+C33+D33</f>
        <v>1806277.8868225575</v>
      </c>
      <c r="G33" s="354">
        <f t="shared" si="4"/>
        <v>8.3068370370862288E-2</v>
      </c>
    </row>
    <row r="34" spans="1:7">
      <c r="A34" s="188" t="s">
        <v>109</v>
      </c>
      <c r="B34" s="189">
        <f>'Program Budget'!W479</f>
        <v>813122.06619577599</v>
      </c>
      <c r="C34" s="189">
        <v>0</v>
      </c>
      <c r="D34" s="189">
        <f>'Program Budget'!X479</f>
        <v>6000</v>
      </c>
      <c r="E34" s="189">
        <f>B34+C34</f>
        <v>813122.06619577599</v>
      </c>
      <c r="F34" s="189">
        <f>B34+C34+D34</f>
        <v>819122.06619577599</v>
      </c>
      <c r="G34" s="354">
        <f t="shared" si="4"/>
        <v>5.8901545950369526E-2</v>
      </c>
    </row>
    <row r="35" spans="1:7">
      <c r="A35" s="188" t="s">
        <v>110</v>
      </c>
      <c r="B35" s="189">
        <f>'Program Budget'!W526</f>
        <v>3379625.3117510453</v>
      </c>
      <c r="C35" s="189">
        <v>0</v>
      </c>
      <c r="D35" s="189">
        <f>'Program Budget'!X526</f>
        <v>294784.06923076924</v>
      </c>
      <c r="E35" s="189">
        <f>B35+C35</f>
        <v>3379625.3117510453</v>
      </c>
      <c r="F35" s="189">
        <f>B35+C35+D35</f>
        <v>3674409.3809818146</v>
      </c>
      <c r="G35" s="354">
        <f t="shared" si="4"/>
        <v>0.24481583254340936</v>
      </c>
    </row>
    <row r="36" spans="1:7" s="82" customFormat="1">
      <c r="A36" s="50" t="s">
        <v>111</v>
      </c>
      <c r="B36" s="190">
        <f>SUM(B28:B35)</f>
        <v>13804766.124150852</v>
      </c>
      <c r="C36" s="190">
        <f>SUM(C28:C35)</f>
        <v>0</v>
      </c>
      <c r="D36" s="191">
        <f>SUM(D28:D35)</f>
        <v>1977928.0692307693</v>
      </c>
      <c r="E36" s="190">
        <f>SUM(E28:E35)</f>
        <v>13804766.124150852</v>
      </c>
      <c r="F36" s="190">
        <f>SUM(F28:F35)</f>
        <v>15782694.193381622</v>
      </c>
      <c r="G36" s="354">
        <f t="shared" si="4"/>
        <v>1</v>
      </c>
    </row>
    <row r="37" spans="1:7">
      <c r="A37" s="192"/>
      <c r="B37" s="187"/>
      <c r="C37" s="193"/>
      <c r="D37" s="194"/>
      <c r="E37" s="187"/>
      <c r="F37" s="187"/>
    </row>
    <row r="38" spans="1:7">
      <c r="A38" s="522" t="s">
        <v>112</v>
      </c>
      <c r="B38" s="524"/>
      <c r="C38" s="524"/>
      <c r="D38" s="524"/>
      <c r="E38" s="524"/>
      <c r="F38" s="523"/>
    </row>
    <row r="39" spans="1:7">
      <c r="A39" s="48" t="s">
        <v>113</v>
      </c>
      <c r="B39" s="189">
        <v>0</v>
      </c>
      <c r="C39" s="195">
        <v>0</v>
      </c>
      <c r="D39" s="196">
        <v>0</v>
      </c>
      <c r="E39" s="189">
        <f>B39+C39</f>
        <v>0</v>
      </c>
      <c r="F39" s="189">
        <f>B39+C39+D39</f>
        <v>0</v>
      </c>
    </row>
    <row r="40" spans="1:7">
      <c r="A40" s="49" t="s">
        <v>114</v>
      </c>
      <c r="B40" s="197"/>
      <c r="C40" s="197"/>
      <c r="D40" s="197"/>
      <c r="E40" s="197"/>
      <c r="F40" s="197"/>
    </row>
    <row r="41" spans="1:7">
      <c r="A41" s="49" t="s">
        <v>115</v>
      </c>
      <c r="B41" s="197"/>
      <c r="C41" s="197"/>
      <c r="D41" s="197"/>
      <c r="E41" s="197"/>
      <c r="F41" s="197"/>
    </row>
    <row r="42" spans="1:7" s="82" customFormat="1" ht="12.3">
      <c r="A42" s="50" t="s">
        <v>116</v>
      </c>
      <c r="B42" s="190">
        <f>SUM(B39:B41)</f>
        <v>0</v>
      </c>
      <c r="C42" s="190">
        <f>SUM(C39:C41)</f>
        <v>0</v>
      </c>
      <c r="D42" s="190">
        <f>SUM(D39:D41)</f>
        <v>0</v>
      </c>
      <c r="E42" s="190">
        <f>SUM(E39:E41)</f>
        <v>0</v>
      </c>
      <c r="F42" s="190">
        <f>SUM(F39:F41)</f>
        <v>0</v>
      </c>
    </row>
    <row r="43" spans="1:7">
      <c r="A43" s="192"/>
      <c r="B43" s="187"/>
      <c r="C43" s="193"/>
      <c r="D43" s="194"/>
      <c r="E43" s="187"/>
      <c r="F43" s="187"/>
    </row>
    <row r="44" spans="1:7">
      <c r="A44" s="522" t="s">
        <v>117</v>
      </c>
      <c r="B44" s="519"/>
      <c r="C44" s="519"/>
      <c r="D44" s="519"/>
      <c r="E44" s="519"/>
      <c r="F44" s="523"/>
    </row>
    <row r="45" spans="1:7">
      <c r="A45" s="198" t="s">
        <v>118</v>
      </c>
      <c r="B45" s="189">
        <v>0</v>
      </c>
      <c r="C45" s="189">
        <v>0</v>
      </c>
      <c r="D45" s="196">
        <v>0</v>
      </c>
      <c r="E45" s="189">
        <f t="shared" ref="E45:E51" si="5">B45+C45</f>
        <v>0</v>
      </c>
      <c r="F45" s="189">
        <f>B45+C45+D45</f>
        <v>0</v>
      </c>
    </row>
    <row r="46" spans="1:7">
      <c r="A46" s="188" t="s">
        <v>94</v>
      </c>
      <c r="B46" s="189">
        <v>0</v>
      </c>
      <c r="C46" s="189">
        <v>0</v>
      </c>
      <c r="D46" s="196">
        <v>0</v>
      </c>
      <c r="E46" s="189">
        <f t="shared" si="5"/>
        <v>0</v>
      </c>
      <c r="F46" s="189">
        <f t="shared" ref="F46:F51" si="6">B46+C46+D46</f>
        <v>0</v>
      </c>
    </row>
    <row r="47" spans="1:7">
      <c r="A47" s="188" t="s">
        <v>119</v>
      </c>
      <c r="B47" s="189">
        <v>0</v>
      </c>
      <c r="C47" s="189">
        <v>0</v>
      </c>
      <c r="D47" s="196">
        <v>0</v>
      </c>
      <c r="E47" s="189">
        <f t="shared" si="5"/>
        <v>0</v>
      </c>
      <c r="F47" s="189">
        <f t="shared" si="6"/>
        <v>0</v>
      </c>
    </row>
    <row r="48" spans="1:7">
      <c r="A48" s="188" t="s">
        <v>120</v>
      </c>
      <c r="B48" s="189">
        <v>0</v>
      </c>
      <c r="C48" s="189">
        <v>0</v>
      </c>
      <c r="D48" s="196">
        <f>0</f>
        <v>0</v>
      </c>
      <c r="E48" s="189">
        <f t="shared" si="5"/>
        <v>0</v>
      </c>
      <c r="F48" s="189">
        <f t="shared" si="6"/>
        <v>0</v>
      </c>
    </row>
    <row r="49" spans="1:6">
      <c r="A49" s="188" t="s">
        <v>121</v>
      </c>
      <c r="B49" s="189">
        <v>0</v>
      </c>
      <c r="C49" s="189">
        <v>0</v>
      </c>
      <c r="D49" s="196">
        <v>0</v>
      </c>
      <c r="E49" s="189">
        <f t="shared" si="5"/>
        <v>0</v>
      </c>
      <c r="F49" s="189">
        <f t="shared" si="6"/>
        <v>0</v>
      </c>
    </row>
    <row r="50" spans="1:6">
      <c r="A50" s="188" t="s">
        <v>99</v>
      </c>
      <c r="B50" s="189">
        <v>0</v>
      </c>
      <c r="C50" s="189">
        <v>0</v>
      </c>
      <c r="D50" s="196">
        <v>0</v>
      </c>
      <c r="E50" s="189">
        <f t="shared" si="5"/>
        <v>0</v>
      </c>
      <c r="F50" s="189">
        <f t="shared" si="6"/>
        <v>0</v>
      </c>
    </row>
    <row r="51" spans="1:6">
      <c r="A51" s="188" t="s">
        <v>100</v>
      </c>
      <c r="B51" s="189">
        <v>0</v>
      </c>
      <c r="C51" s="189">
        <v>0</v>
      </c>
      <c r="D51" s="196">
        <v>0</v>
      </c>
      <c r="E51" s="189">
        <f t="shared" si="5"/>
        <v>0</v>
      </c>
      <c r="F51" s="189">
        <f t="shared" si="6"/>
        <v>0</v>
      </c>
    </row>
    <row r="52" spans="1:6" s="82" customFormat="1" ht="12.3">
      <c r="A52" s="199" t="s">
        <v>122</v>
      </c>
      <c r="B52" s="190">
        <f>SUM(B45:B51)</f>
        <v>0</v>
      </c>
      <c r="C52" s="190">
        <v>0</v>
      </c>
      <c r="D52" s="191">
        <f>SUM(D45:D51)</f>
        <v>0</v>
      </c>
      <c r="E52" s="191">
        <f>SUM(E45:E51)</f>
        <v>0</v>
      </c>
      <c r="F52" s="190">
        <f>SUM(F45:F51)</f>
        <v>0</v>
      </c>
    </row>
    <row r="53" spans="1:6">
      <c r="A53" s="200"/>
      <c r="B53" s="201"/>
      <c r="C53" s="202"/>
      <c r="D53" s="203"/>
      <c r="E53" s="202"/>
      <c r="F53" s="189"/>
    </row>
    <row r="54" spans="1:6" s="82" customFormat="1" ht="12.3">
      <c r="A54" s="199" t="s">
        <v>123</v>
      </c>
      <c r="B54" s="204">
        <f>B25+B36+B52+B42</f>
        <v>17165784.478483848</v>
      </c>
      <c r="C54" s="204">
        <f>C25+C36+C52+C42</f>
        <v>1771699.25</v>
      </c>
      <c r="D54" s="205">
        <f>D25+D36+D52+D42</f>
        <v>1977928.0692307693</v>
      </c>
      <c r="E54" s="204">
        <f>E42+E36+E25+E52</f>
        <v>18937483.728483848</v>
      </c>
      <c r="F54" s="204">
        <f>F42+F36+F25+F52</f>
        <v>20915411.797714617</v>
      </c>
    </row>
    <row r="55" spans="1:6">
      <c r="A55" s="206"/>
      <c r="B55" s="207"/>
      <c r="C55" s="207"/>
      <c r="D55" s="208"/>
      <c r="E55" s="207"/>
      <c r="F55" s="187"/>
    </row>
    <row r="56" spans="1:6">
      <c r="A56" s="525" t="s">
        <v>124</v>
      </c>
      <c r="B56" s="526"/>
      <c r="C56" s="526"/>
      <c r="D56" s="526"/>
      <c r="E56" s="526"/>
      <c r="F56" s="527"/>
    </row>
    <row r="57" spans="1:6">
      <c r="A57" s="209" t="s">
        <v>125</v>
      </c>
      <c r="B57" s="210">
        <f>(B25*0.2869)</f>
        <v>964276.16585813649</v>
      </c>
      <c r="C57" s="210">
        <f>C25*0.2869</f>
        <v>508300.51482499996</v>
      </c>
      <c r="D57" s="197"/>
      <c r="E57" s="211">
        <f>B57+C57</f>
        <v>1472576.6806831365</v>
      </c>
      <c r="F57" s="197"/>
    </row>
    <row r="58" spans="1:6">
      <c r="A58" s="209" t="s">
        <v>126</v>
      </c>
      <c r="B58" s="212">
        <f>(B36-'Program Budget'!M517)*0.2869</f>
        <v>3099887.4010188794</v>
      </c>
      <c r="C58" s="212">
        <f>C36*0.2869</f>
        <v>0</v>
      </c>
      <c r="D58" s="197"/>
      <c r="E58" s="213">
        <f>B58+C58</f>
        <v>3099887.4010188794</v>
      </c>
      <c r="F58" s="197"/>
    </row>
    <row r="59" spans="1:6">
      <c r="A59" s="184" t="s">
        <v>127</v>
      </c>
      <c r="B59" s="212">
        <f>B42*0.2869</f>
        <v>0</v>
      </c>
      <c r="C59" s="212">
        <f>C42*0.2869</f>
        <v>0</v>
      </c>
      <c r="D59" s="197"/>
      <c r="E59" s="213">
        <f>B59+C59</f>
        <v>0</v>
      </c>
      <c r="F59" s="197"/>
    </row>
    <row r="60" spans="1:6">
      <c r="A60" s="214" t="s">
        <v>128</v>
      </c>
      <c r="B60" s="212">
        <f>B52*0.2869</f>
        <v>0</v>
      </c>
      <c r="C60" s="212">
        <f>C52*0.2869</f>
        <v>0</v>
      </c>
      <c r="D60" s="197"/>
      <c r="E60" s="213">
        <f>B60+C60</f>
        <v>0</v>
      </c>
      <c r="F60" s="197"/>
    </row>
    <row r="61" spans="1:6">
      <c r="A61" s="184" t="s">
        <v>129</v>
      </c>
      <c r="B61" s="212">
        <f>ROUND(SUM(B57:B60),0)</f>
        <v>4064164</v>
      </c>
      <c r="C61" s="212">
        <f>ROUND(SUM(C57:C60),0)</f>
        <v>508301</v>
      </c>
      <c r="D61" s="197"/>
      <c r="E61" s="215">
        <f>ROUND(SUM(E57:E60),0)</f>
        <v>4572464</v>
      </c>
      <c r="F61" s="197"/>
    </row>
    <row r="62" spans="1:6">
      <c r="A62" s="216"/>
      <c r="B62" s="217"/>
      <c r="C62" s="217"/>
      <c r="D62" s="217"/>
      <c r="E62" s="217"/>
      <c r="F62" s="218"/>
    </row>
    <row r="63" spans="1:6">
      <c r="A63" s="219" t="s">
        <v>130</v>
      </c>
      <c r="B63" s="197"/>
      <c r="C63" s="197"/>
      <c r="D63" s="197"/>
      <c r="E63" s="197"/>
      <c r="F63" s="212"/>
    </row>
    <row r="64" spans="1:6">
      <c r="A64" s="220"/>
      <c r="B64" s="221"/>
      <c r="C64" s="222"/>
      <c r="D64" s="223"/>
      <c r="E64" s="222"/>
      <c r="F64" s="224"/>
    </row>
    <row r="65" spans="1:6" s="82" customFormat="1" ht="12.3">
      <c r="A65" s="225" t="s">
        <v>131</v>
      </c>
      <c r="B65" s="226">
        <f>ROUNDDOWN(B61+B54,0)</f>
        <v>21229948</v>
      </c>
      <c r="C65" s="226">
        <f>ROUND(C61+C54,0)</f>
        <v>2280000</v>
      </c>
      <c r="D65" s="226">
        <f>ROUND(D61+D54,0)</f>
        <v>1977928</v>
      </c>
      <c r="E65" s="226">
        <f>ROUND(E61+E54,0)</f>
        <v>23509948</v>
      </c>
      <c r="F65" s="227">
        <f>ROUND(F54+E61,0)</f>
        <v>25487876</v>
      </c>
    </row>
    <row r="66" spans="1:6">
      <c r="A66" s="228"/>
      <c r="B66" s="229"/>
      <c r="C66" s="229"/>
      <c r="D66" s="230"/>
      <c r="E66" s="229">
        <f>E65*10%</f>
        <v>2350994.8000000003</v>
      </c>
      <c r="F66" s="231"/>
    </row>
    <row r="67" spans="1:6">
      <c r="A67" s="514" t="s">
        <v>132</v>
      </c>
      <c r="B67" s="515"/>
      <c r="C67" s="515"/>
      <c r="D67" s="515"/>
      <c r="E67" s="515"/>
      <c r="F67" s="51">
        <f>F12+D65</f>
        <v>35773678</v>
      </c>
    </row>
    <row r="68" spans="1:6">
      <c r="D68" s="166"/>
    </row>
    <row r="69" spans="1:6">
      <c r="D69" s="166"/>
    </row>
    <row r="70" spans="1:6">
      <c r="D70" s="166"/>
    </row>
    <row r="71" spans="1:6">
      <c r="D71" s="166"/>
    </row>
    <row r="72" spans="1:6">
      <c r="D72" s="166"/>
    </row>
    <row r="73" spans="1:6">
      <c r="D73" s="166"/>
    </row>
    <row r="74" spans="1:6">
      <c r="D74" s="166"/>
    </row>
    <row r="75" spans="1:6">
      <c r="D75" s="166"/>
    </row>
    <row r="76" spans="1:6">
      <c r="D76" s="166"/>
    </row>
    <row r="77" spans="1:6">
      <c r="D77" s="166"/>
    </row>
    <row r="78" spans="1:6">
      <c r="D78" s="166"/>
    </row>
    <row r="79" spans="1:6">
      <c r="D79" s="166"/>
    </row>
    <row r="80" spans="1:6">
      <c r="D80" s="166"/>
    </row>
    <row r="81" spans="4:4">
      <c r="D81" s="166"/>
    </row>
    <row r="82" spans="4:4">
      <c r="D82" s="166"/>
    </row>
    <row r="83" spans="4:4">
      <c r="D83" s="166"/>
    </row>
    <row r="84" spans="4:4">
      <c r="D84" s="166"/>
    </row>
    <row r="85" spans="4:4">
      <c r="D85" s="166"/>
    </row>
    <row r="86" spans="4:4">
      <c r="D86" s="166"/>
    </row>
    <row r="87" spans="4:4">
      <c r="D87" s="166"/>
    </row>
    <row r="88" spans="4:4">
      <c r="D88" s="166"/>
    </row>
    <row r="89" spans="4:4">
      <c r="D89" s="166"/>
    </row>
    <row r="90" spans="4:4">
      <c r="D90" s="166"/>
    </row>
    <row r="91" spans="4:4">
      <c r="D91" s="166"/>
    </row>
    <row r="92" spans="4:4">
      <c r="D92" s="166"/>
    </row>
    <row r="93" spans="4:4">
      <c r="D93" s="166"/>
    </row>
    <row r="94" spans="4:4">
      <c r="D94" s="166"/>
    </row>
    <row r="95" spans="4:4">
      <c r="D95" s="166"/>
    </row>
    <row r="96" spans="4:4">
      <c r="D96" s="166"/>
    </row>
    <row r="97" spans="4:4">
      <c r="D97" s="166"/>
    </row>
    <row r="98" spans="4:4">
      <c r="D98" s="166"/>
    </row>
    <row r="99" spans="4:4">
      <c r="D99" s="166"/>
    </row>
    <row r="100" spans="4:4">
      <c r="D100" s="166"/>
    </row>
    <row r="101" spans="4:4">
      <c r="D101" s="166"/>
    </row>
    <row r="102" spans="4:4">
      <c r="D102" s="166"/>
    </row>
    <row r="103" spans="4:4">
      <c r="D103" s="166"/>
    </row>
    <row r="104" spans="4:4">
      <c r="D104" s="166"/>
    </row>
    <row r="105" spans="4:4">
      <c r="D105" s="166"/>
    </row>
    <row r="106" spans="4:4">
      <c r="D106" s="166"/>
    </row>
    <row r="107" spans="4:4">
      <c r="D107" s="166"/>
    </row>
    <row r="108" spans="4:4">
      <c r="D108" s="166"/>
    </row>
    <row r="109" spans="4:4">
      <c r="D109" s="166"/>
    </row>
    <row r="110" spans="4:4">
      <c r="D110" s="166"/>
    </row>
    <row r="111" spans="4:4">
      <c r="D111" s="166"/>
    </row>
    <row r="112" spans="4:4">
      <c r="D112" s="166"/>
    </row>
    <row r="113" spans="4:4">
      <c r="D113" s="166"/>
    </row>
    <row r="114" spans="4:4">
      <c r="D114" s="166"/>
    </row>
    <row r="115" spans="4:4">
      <c r="D115" s="166"/>
    </row>
    <row r="116" spans="4:4">
      <c r="D116" s="166"/>
    </row>
    <row r="117" spans="4:4">
      <c r="D117" s="166"/>
    </row>
    <row r="118" spans="4:4">
      <c r="D118" s="166"/>
    </row>
    <row r="119" spans="4:4">
      <c r="D119" s="166"/>
    </row>
    <row r="120" spans="4:4">
      <c r="D120" s="166"/>
    </row>
    <row r="121" spans="4:4">
      <c r="D121" s="166"/>
    </row>
    <row r="122" spans="4:4">
      <c r="D122" s="166"/>
    </row>
    <row r="123" spans="4:4">
      <c r="D123" s="166"/>
    </row>
    <row r="124" spans="4:4">
      <c r="D124" s="166"/>
    </row>
    <row r="125" spans="4:4">
      <c r="D125" s="166"/>
    </row>
    <row r="126" spans="4:4">
      <c r="D126" s="166"/>
    </row>
    <row r="127" spans="4:4">
      <c r="D127" s="166"/>
    </row>
    <row r="128" spans="4:4">
      <c r="D128" s="166"/>
    </row>
  </sheetData>
  <mergeCells count="11">
    <mergeCell ref="A67:E67"/>
    <mergeCell ref="A1:F1"/>
    <mergeCell ref="A2:F2"/>
    <mergeCell ref="A10:F10"/>
    <mergeCell ref="A14:F14"/>
    <mergeCell ref="A16:F16"/>
    <mergeCell ref="A26:E26"/>
    <mergeCell ref="A27:F27"/>
    <mergeCell ref="A38:F38"/>
    <mergeCell ref="A44:F44"/>
    <mergeCell ref="A56:F56"/>
  </mergeCells>
  <pageMargins left="0.7" right="0.7" top="0.75" bottom="0.75" header="0.3" footer="0.3"/>
  <pageSetup scale="59" orientation="portrait" r:id="rId1"/>
  <headerFooter>
    <oddFooter>&amp;C&amp;"Times New Roman,Italic"&amp;12Partners of the Americas – FY 2020 FFPr Colombia – USDA-FAS-10.606-0700-20-(514)                                                                                      &amp;KFF0000 66</oddFooter>
  </headerFooter>
  <ignoredErrors>
    <ignoredError sqref="B7 B12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0CB6-660F-44F2-A222-D4DC3A20B7B0}">
  <sheetPr>
    <pageSetUpPr fitToPage="1"/>
  </sheetPr>
  <dimension ref="A1:J76"/>
  <sheetViews>
    <sheetView zoomScaleNormal="100" zoomScaleSheetLayoutView="90" workbookViewId="0">
      <pane ySplit="7" topLeftCell="A8" activePane="bottomLeft" state="frozen"/>
      <selection activeCell="B75" sqref="B75"/>
      <selection pane="bottomLeft" activeCell="I66" sqref="I66"/>
    </sheetView>
  </sheetViews>
  <sheetFormatPr defaultColWidth="11.44140625" defaultRowHeight="12.6"/>
  <cols>
    <col min="1" max="1" width="3.44140625" style="56" customWidth="1"/>
    <col min="2" max="2" width="64.1640625" style="58" bestFit="1" customWidth="1"/>
    <col min="3" max="3" width="10.71875" style="128" bestFit="1" customWidth="1"/>
    <col min="4" max="8" width="10.71875" style="94" bestFit="1" customWidth="1"/>
    <col min="9" max="9" width="11.71875" style="94" bestFit="1" customWidth="1"/>
    <col min="10" max="10" width="32.1640625" style="56" bestFit="1" customWidth="1"/>
    <col min="11" max="11" width="12.44140625" style="56" bestFit="1" customWidth="1"/>
    <col min="12" max="16384" width="11.44140625" style="56"/>
  </cols>
  <sheetData>
    <row r="1" spans="2:10" ht="13.8">
      <c r="B1" s="528" t="s">
        <v>133</v>
      </c>
      <c r="C1" s="528"/>
      <c r="D1" s="528"/>
      <c r="E1" s="528"/>
      <c r="F1" s="528"/>
      <c r="G1" s="528"/>
      <c r="H1" s="528"/>
      <c r="I1" s="528"/>
    </row>
    <row r="2" spans="2:10" ht="13.8">
      <c r="B2" s="529" t="s">
        <v>134</v>
      </c>
      <c r="C2" s="529"/>
      <c r="D2" s="529"/>
      <c r="E2" s="529"/>
      <c r="F2" s="529"/>
      <c r="G2" s="529"/>
      <c r="H2" s="529"/>
      <c r="I2" s="529"/>
    </row>
    <row r="3" spans="2:10" ht="13.8">
      <c r="B3" s="528" t="s">
        <v>135</v>
      </c>
      <c r="C3" s="528"/>
      <c r="D3" s="528"/>
      <c r="E3" s="528"/>
      <c r="F3" s="528"/>
      <c r="G3" s="528"/>
      <c r="H3" s="528"/>
      <c r="I3" s="528"/>
    </row>
    <row r="4" spans="2:10" ht="13.8">
      <c r="B4" s="528" t="s">
        <v>136</v>
      </c>
      <c r="C4" s="528"/>
      <c r="D4" s="528"/>
      <c r="E4" s="528"/>
      <c r="F4" s="528"/>
      <c r="G4" s="528"/>
      <c r="H4" s="528"/>
      <c r="I4" s="528"/>
    </row>
    <row r="5" spans="2:10" ht="13.8">
      <c r="B5" s="528" t="s">
        <v>137</v>
      </c>
      <c r="C5" s="528"/>
      <c r="D5" s="528"/>
      <c r="E5" s="528"/>
      <c r="F5" s="528"/>
      <c r="G5" s="528"/>
      <c r="H5" s="528"/>
      <c r="I5" s="528"/>
    </row>
    <row r="7" spans="2:10" ht="24.9">
      <c r="B7" s="316" t="s">
        <v>138</v>
      </c>
      <c r="C7" s="317" t="s">
        <v>139</v>
      </c>
      <c r="D7" s="318" t="s">
        <v>140</v>
      </c>
      <c r="E7" s="318" t="s">
        <v>141</v>
      </c>
      <c r="F7" s="318" t="s">
        <v>142</v>
      </c>
      <c r="G7" s="317" t="s">
        <v>143</v>
      </c>
      <c r="H7" s="317" t="s">
        <v>144</v>
      </c>
      <c r="I7" s="317" t="s">
        <v>145</v>
      </c>
    </row>
    <row r="8" spans="2:10">
      <c r="B8" s="104" t="s">
        <v>146</v>
      </c>
      <c r="C8" s="107"/>
      <c r="D8" s="108"/>
      <c r="E8" s="108"/>
      <c r="F8" s="108"/>
      <c r="G8" s="108"/>
      <c r="H8" s="108"/>
      <c r="I8" s="108"/>
    </row>
    <row r="9" spans="2:10" hidden="1">
      <c r="B9" s="238" t="s">
        <v>147</v>
      </c>
      <c r="C9" s="241"/>
      <c r="D9" s="242"/>
      <c r="E9" s="242"/>
      <c r="F9" s="242"/>
      <c r="G9" s="242"/>
      <c r="H9" s="242"/>
      <c r="I9" s="242"/>
    </row>
    <row r="10" spans="2:10" hidden="1">
      <c r="B10" s="58" t="s">
        <v>148</v>
      </c>
      <c r="C10" s="119">
        <f>141500/12</f>
        <v>11791.666666666666</v>
      </c>
      <c r="D10" s="119" t="e">
        <f>#REF!*C10*#REF!</f>
        <v>#REF!</v>
      </c>
      <c r="E10" s="119" t="e">
        <f>#REF!*C10*#REF!*#REF!</f>
        <v>#REF!</v>
      </c>
      <c r="F10" s="119" t="e">
        <f>#REF!*C10*#REF!*#REF!*#REF!</f>
        <v>#REF!</v>
      </c>
      <c r="G10" s="119" t="e">
        <f>#REF!*C10*#REF!*#REF!*#REF!*#REF!</f>
        <v>#REF!</v>
      </c>
      <c r="H10" s="119" t="e">
        <f>#REF!*C10*#REF!*#REF!*#REF!*#REF!*#REF!</f>
        <v>#REF!</v>
      </c>
      <c r="I10" s="119" t="e">
        <f t="shared" ref="I10:I24" si="0">SUM(G10,F10,E10,D10,H10)</f>
        <v>#REF!</v>
      </c>
    </row>
    <row r="11" spans="2:10" hidden="1">
      <c r="B11" s="58" t="s">
        <v>149</v>
      </c>
      <c r="C11" s="119">
        <f>110000/12</f>
        <v>9166.6666666666661</v>
      </c>
      <c r="D11" s="119" t="e">
        <f>#REF!*C11*#REF!</f>
        <v>#REF!</v>
      </c>
      <c r="E11" s="119" t="e">
        <f>#REF!*C11*#REF!*#REF!</f>
        <v>#REF!</v>
      </c>
      <c r="F11" s="119" t="e">
        <f>#REF!*C11*#REF!*#REF!*#REF!</f>
        <v>#REF!</v>
      </c>
      <c r="G11" s="119" t="e">
        <f>#REF!*C11*#REF!*#REF!*#REF!*#REF!</f>
        <v>#REF!</v>
      </c>
      <c r="H11" s="119" t="e">
        <f>#REF!*C11*#REF!*#REF!*#REF!*#REF!*#REF!</f>
        <v>#REF!</v>
      </c>
      <c r="I11" s="119" t="e">
        <f t="shared" si="0"/>
        <v>#REF!</v>
      </c>
    </row>
    <row r="12" spans="2:10" hidden="1">
      <c r="B12" s="58" t="s">
        <v>150</v>
      </c>
      <c r="C12" s="119">
        <f>39000/12</f>
        <v>3250</v>
      </c>
      <c r="D12" s="119" t="e">
        <f>#REF!*C12*#REF!</f>
        <v>#REF!</v>
      </c>
      <c r="E12" s="119" t="e">
        <f>#REF!*C12*#REF!*#REF!</f>
        <v>#REF!</v>
      </c>
      <c r="F12" s="119" t="e">
        <f>#REF!*C12*#REF!*#REF!*#REF!</f>
        <v>#REF!</v>
      </c>
      <c r="G12" s="119" t="e">
        <f>#REF!*C12*#REF!*#REF!*#REF!*#REF!</f>
        <v>#REF!</v>
      </c>
      <c r="H12" s="119" t="e">
        <f>#REF!*C12*#REF!*#REF!*#REF!*#REF!*#REF!</f>
        <v>#REF!</v>
      </c>
      <c r="I12" s="119" t="e">
        <f t="shared" si="0"/>
        <v>#REF!</v>
      </c>
    </row>
    <row r="13" spans="2:10" hidden="1">
      <c r="B13" s="58" t="s">
        <v>151</v>
      </c>
      <c r="C13" s="119">
        <f>39000/12</f>
        <v>3250</v>
      </c>
      <c r="D13" s="119" t="e">
        <f>#REF!*C13*#REF!</f>
        <v>#REF!</v>
      </c>
      <c r="E13" s="119" t="e">
        <f>#REF!*C13*#REF!*#REF!</f>
        <v>#REF!</v>
      </c>
      <c r="F13" s="119" t="e">
        <f>#REF!*C13*#REF!*#REF!*#REF!</f>
        <v>#REF!</v>
      </c>
      <c r="G13" s="119" t="e">
        <f>#REF!*C13*#REF!*#REF!*#REF!*#REF!</f>
        <v>#REF!</v>
      </c>
      <c r="H13" s="119" t="e">
        <f>#REF!*C13*#REF!*#REF!*#REF!*#REF!*#REF!</f>
        <v>#REF!</v>
      </c>
      <c r="I13" s="119" t="e">
        <f t="shared" si="0"/>
        <v>#REF!</v>
      </c>
    </row>
    <row r="14" spans="2:10" hidden="1">
      <c r="B14" s="58" t="s">
        <v>152</v>
      </c>
      <c r="C14" s="119">
        <f t="shared" ref="C14:C22" si="1">22000/12</f>
        <v>1833.3333333333333</v>
      </c>
      <c r="D14" s="119" t="e">
        <f>#REF!*C14*#REF!</f>
        <v>#REF!</v>
      </c>
      <c r="E14" s="119" t="e">
        <f>#REF!*C14*#REF!*#REF!</f>
        <v>#REF!</v>
      </c>
      <c r="F14" s="119" t="e">
        <f>#REF!*C14*#REF!*#REF!*#REF!</f>
        <v>#REF!</v>
      </c>
      <c r="G14" s="119" t="e">
        <f>#REF!*C14*#REF!*#REF!*#REF!*#REF!</f>
        <v>#REF!</v>
      </c>
      <c r="H14" s="119" t="e">
        <f>#REF!*C14*#REF!*#REF!*#REF!*#REF!*#REF!</f>
        <v>#REF!</v>
      </c>
      <c r="I14" s="119" t="e">
        <f t="shared" si="0"/>
        <v>#REF!</v>
      </c>
      <c r="J14" s="153"/>
    </row>
    <row r="15" spans="2:10" hidden="1">
      <c r="B15" s="58" t="s">
        <v>152</v>
      </c>
      <c r="C15" s="119">
        <f t="shared" si="1"/>
        <v>1833.3333333333333</v>
      </c>
      <c r="D15" s="119" t="e">
        <f>#REF!*C15*#REF!</f>
        <v>#REF!</v>
      </c>
      <c r="E15" s="119" t="e">
        <f>#REF!*C15*#REF!*#REF!</f>
        <v>#REF!</v>
      </c>
      <c r="F15" s="119" t="e">
        <f>#REF!*C15*#REF!*#REF!*#REF!</f>
        <v>#REF!</v>
      </c>
      <c r="G15" s="119" t="e">
        <f>#REF!*C15*#REF!*#REF!*#REF!*#REF!</f>
        <v>#REF!</v>
      </c>
      <c r="H15" s="119" t="e">
        <f>#REF!*C15*#REF!*#REF!*#REF!*#REF!*#REF!</f>
        <v>#REF!</v>
      </c>
      <c r="I15" s="119" t="e">
        <f t="shared" si="0"/>
        <v>#REF!</v>
      </c>
      <c r="J15" s="153"/>
    </row>
    <row r="16" spans="2:10" hidden="1">
      <c r="B16" s="58" t="s">
        <v>153</v>
      </c>
      <c r="C16" s="119">
        <f t="shared" si="1"/>
        <v>1833.3333333333333</v>
      </c>
      <c r="D16" s="119" t="e">
        <f>#REF!*C16*#REF!</f>
        <v>#REF!</v>
      </c>
      <c r="E16" s="119" t="e">
        <f>#REF!*C16*#REF!*#REF!</f>
        <v>#REF!</v>
      </c>
      <c r="F16" s="119" t="e">
        <f>#REF!*C16*#REF!*#REF!*#REF!</f>
        <v>#REF!</v>
      </c>
      <c r="G16" s="119" t="e">
        <f>#REF!*C16*#REF!*#REF!*#REF!*#REF!</f>
        <v>#REF!</v>
      </c>
      <c r="H16" s="119" t="e">
        <f>#REF!*C16*#REF!*#REF!*#REF!*#REF!*#REF!</f>
        <v>#REF!</v>
      </c>
      <c r="I16" s="119" t="e">
        <f t="shared" si="0"/>
        <v>#REF!</v>
      </c>
    </row>
    <row r="17" spans="2:10" hidden="1">
      <c r="B17" s="58" t="s">
        <v>153</v>
      </c>
      <c r="C17" s="119">
        <f>18000/12</f>
        <v>1500</v>
      </c>
      <c r="D17" s="119" t="e">
        <f>#REF!*C17*#REF!</f>
        <v>#REF!</v>
      </c>
      <c r="E17" s="119" t="e">
        <f>#REF!*C17*#REF!*#REF!</f>
        <v>#REF!</v>
      </c>
      <c r="F17" s="119" t="e">
        <f>#REF!*C17*#REF!*#REF!*#REF!</f>
        <v>#REF!</v>
      </c>
      <c r="G17" s="119" t="e">
        <f>#REF!*C17*#REF!*#REF!*#REF!*#REF!</f>
        <v>#REF!</v>
      </c>
      <c r="H17" s="119" t="e">
        <f>#REF!*C17*#REF!*#REF!*#REF!*#REF!*#REF!</f>
        <v>#REF!</v>
      </c>
      <c r="I17" s="119" t="e">
        <f t="shared" si="0"/>
        <v>#REF!</v>
      </c>
    </row>
    <row r="18" spans="2:10" hidden="1">
      <c r="B18" s="58" t="s">
        <v>154</v>
      </c>
      <c r="C18" s="119">
        <f t="shared" si="1"/>
        <v>1833.3333333333333</v>
      </c>
      <c r="D18" s="119" t="e">
        <f>#REF!*C18*#REF!</f>
        <v>#REF!</v>
      </c>
      <c r="E18" s="119" t="e">
        <f>#REF!*C18*#REF!*#REF!</f>
        <v>#REF!</v>
      </c>
      <c r="F18" s="119" t="e">
        <f>#REF!*C18*#REF!*#REF!*#REF!</f>
        <v>#REF!</v>
      </c>
      <c r="G18" s="119" t="e">
        <f>#REF!*C18*#REF!*#REF!*#REF!*#REF!</f>
        <v>#REF!</v>
      </c>
      <c r="H18" s="119" t="e">
        <f>#REF!*C18*#REF!*#REF!*#REF!*#REF!*#REF!</f>
        <v>#REF!</v>
      </c>
      <c r="I18" s="119" t="e">
        <f t="shared" si="0"/>
        <v>#REF!</v>
      </c>
    </row>
    <row r="19" spans="2:10" hidden="1">
      <c r="B19" s="58" t="s">
        <v>154</v>
      </c>
      <c r="C19" s="119">
        <f t="shared" si="1"/>
        <v>1833.3333333333333</v>
      </c>
      <c r="D19" s="119" t="e">
        <f>#REF!*C19*#REF!</f>
        <v>#REF!</v>
      </c>
      <c r="E19" s="119" t="e">
        <f>#REF!*C19*#REF!*#REF!</f>
        <v>#REF!</v>
      </c>
      <c r="F19" s="119" t="e">
        <f>#REF!*C19*#REF!*#REF!*#REF!</f>
        <v>#REF!</v>
      </c>
      <c r="G19" s="119" t="e">
        <f>#REF!*C19*#REF!*#REF!*#REF!*#REF!</f>
        <v>#REF!</v>
      </c>
      <c r="H19" s="119" t="e">
        <f>#REF!*C19*#REF!*#REF!*#REF!*#REF!*#REF!</f>
        <v>#REF!</v>
      </c>
      <c r="I19" s="119" t="e">
        <f t="shared" si="0"/>
        <v>#REF!</v>
      </c>
    </row>
    <row r="20" spans="2:10" hidden="1">
      <c r="B20" s="58" t="s">
        <v>154</v>
      </c>
      <c r="C20" s="119">
        <f>18000/12</f>
        <v>1500</v>
      </c>
      <c r="D20" s="119" t="e">
        <f>#REF!*C20*#REF!</f>
        <v>#REF!</v>
      </c>
      <c r="E20" s="119" t="e">
        <f>#REF!*C20*#REF!*#REF!</f>
        <v>#REF!</v>
      </c>
      <c r="F20" s="119" t="e">
        <f>#REF!*C20*#REF!*#REF!*#REF!</f>
        <v>#REF!</v>
      </c>
      <c r="G20" s="119" t="e">
        <f>#REF!*C20*#REF!*#REF!*#REF!*#REF!</f>
        <v>#REF!</v>
      </c>
      <c r="H20" s="119" t="e">
        <f>#REF!*C20*#REF!*#REF!*#REF!*#REF!*#REF!</f>
        <v>#REF!</v>
      </c>
      <c r="I20" s="119" t="e">
        <f t="shared" si="0"/>
        <v>#REF!</v>
      </c>
    </row>
    <row r="21" spans="2:10" hidden="1">
      <c r="B21" s="58" t="s">
        <v>154</v>
      </c>
      <c r="C21" s="119">
        <f>18000/12</f>
        <v>1500</v>
      </c>
      <c r="D21" s="119" t="e">
        <f>#REF!*C21*#REF!</f>
        <v>#REF!</v>
      </c>
      <c r="E21" s="119" t="e">
        <f>#REF!*C21*#REF!*#REF!</f>
        <v>#REF!</v>
      </c>
      <c r="F21" s="119" t="e">
        <f>#REF!*C21*#REF!*#REF!*#REF!</f>
        <v>#REF!</v>
      </c>
      <c r="G21" s="119" t="e">
        <f>#REF!*C21*#REF!*#REF!*#REF!*#REF!</f>
        <v>#REF!</v>
      </c>
      <c r="H21" s="119" t="e">
        <f>#REF!*C21*#REF!*#REF!*#REF!*#REF!*#REF!</f>
        <v>#REF!</v>
      </c>
      <c r="I21" s="119" t="e">
        <f t="shared" si="0"/>
        <v>#REF!</v>
      </c>
    </row>
    <row r="22" spans="2:10" hidden="1">
      <c r="B22" s="58" t="s">
        <v>155</v>
      </c>
      <c r="C22" s="119">
        <f t="shared" si="1"/>
        <v>1833.3333333333333</v>
      </c>
      <c r="D22" s="119" t="e">
        <f>#REF!*C22*#REF!</f>
        <v>#REF!</v>
      </c>
      <c r="E22" s="119" t="e">
        <f>#REF!*C22*#REF!*#REF!</f>
        <v>#REF!</v>
      </c>
      <c r="F22" s="119" t="e">
        <f>#REF!*C22*#REF!*#REF!*#REF!</f>
        <v>#REF!</v>
      </c>
      <c r="G22" s="119" t="e">
        <f>#REF!*C22*#REF!*#REF!*#REF!*#REF!</f>
        <v>#REF!</v>
      </c>
      <c r="H22" s="119" t="e">
        <f>#REF!*C22*#REF!*#REF!*#REF!*#REF!*#REF!</f>
        <v>#REF!</v>
      </c>
      <c r="I22" s="119" t="e">
        <f t="shared" si="0"/>
        <v>#REF!</v>
      </c>
    </row>
    <row r="23" spans="2:10" hidden="1">
      <c r="B23" s="58" t="s">
        <v>156</v>
      </c>
      <c r="C23" s="119">
        <f>18000/12</f>
        <v>1500</v>
      </c>
      <c r="D23" s="119" t="e">
        <f>#REF!*C23*#REF!</f>
        <v>#REF!</v>
      </c>
      <c r="E23" s="119" t="e">
        <f>#REF!*C23*#REF!*#REF!</f>
        <v>#REF!</v>
      </c>
      <c r="F23" s="119" t="e">
        <f>#REF!*C23*#REF!*#REF!*#REF!</f>
        <v>#REF!</v>
      </c>
      <c r="G23" s="119" t="e">
        <f>#REF!*C23*#REF!*#REF!*#REF!*#REF!</f>
        <v>#REF!</v>
      </c>
      <c r="H23" s="119" t="e">
        <f>#REF!*C23*#REF!*#REF!*#REF!*#REF!*#REF!</f>
        <v>#REF!</v>
      </c>
      <c r="I23" s="119" t="e">
        <f t="shared" si="0"/>
        <v>#REF!</v>
      </c>
    </row>
    <row r="24" spans="2:10" hidden="1">
      <c r="B24" s="58" t="s">
        <v>157</v>
      </c>
      <c r="C24" s="119">
        <f>15000/12</f>
        <v>1250</v>
      </c>
      <c r="D24" s="119" t="e">
        <f>#REF!*C24*#REF!</f>
        <v>#REF!</v>
      </c>
      <c r="E24" s="119" t="e">
        <f>#REF!*C24*#REF!*#REF!</f>
        <v>#REF!</v>
      </c>
      <c r="F24" s="119" t="e">
        <f>#REF!*C24*#REF!*#REF!*#REF!</f>
        <v>#REF!</v>
      </c>
      <c r="G24" s="119" t="e">
        <f>#REF!*C24*#REF!*#REF!*#REF!*#REF!</f>
        <v>#REF!</v>
      </c>
      <c r="H24" s="119" t="e">
        <f>#REF!*C24*#REF!*#REF!*#REF!*#REF!*#REF!</f>
        <v>#REF!</v>
      </c>
      <c r="I24" s="119" t="e">
        <f t="shared" si="0"/>
        <v>#REF!</v>
      </c>
    </row>
    <row r="25" spans="2:10" hidden="1">
      <c r="C25" s="119"/>
      <c r="D25" s="119"/>
      <c r="E25" s="119"/>
      <c r="F25" s="119"/>
      <c r="G25" s="119"/>
      <c r="H25" s="119"/>
      <c r="I25" s="119"/>
    </row>
    <row r="26" spans="2:10" hidden="1">
      <c r="B26" s="238" t="s">
        <v>158</v>
      </c>
      <c r="C26" s="244"/>
      <c r="D26" s="244"/>
      <c r="E26" s="244"/>
      <c r="F26" s="244"/>
      <c r="G26" s="244"/>
      <c r="H26" s="244"/>
      <c r="I26" s="244"/>
    </row>
    <row r="27" spans="2:10" hidden="1">
      <c r="B27" s="58" t="s">
        <v>159</v>
      </c>
      <c r="C27" s="119">
        <f>55000/12</f>
        <v>4583.333333333333</v>
      </c>
      <c r="D27" s="119" t="e">
        <f>#REF!*C27*#REF!</f>
        <v>#REF!</v>
      </c>
      <c r="E27" s="119" t="e">
        <f>#REF!*C27*#REF!*#REF!</f>
        <v>#REF!</v>
      </c>
      <c r="F27" s="119" t="e">
        <f>#REF!*C27*#REF!*#REF!*#REF!</f>
        <v>#REF!</v>
      </c>
      <c r="G27" s="119" t="e">
        <f>#REF!*C27*#REF!*#REF!*#REF!*#REF!</f>
        <v>#REF!</v>
      </c>
      <c r="H27" s="119" t="e">
        <f>#REF!*C27*#REF!*#REF!*#REF!*#REF!*#REF!</f>
        <v>#REF!</v>
      </c>
      <c r="I27" s="119" t="e">
        <f>SUM(G27,F27,E27,D27,H27)</f>
        <v>#REF!</v>
      </c>
      <c r="J27" s="158"/>
    </row>
    <row r="28" spans="2:10" hidden="1">
      <c r="C28" s="119"/>
      <c r="D28" s="119"/>
      <c r="E28" s="119"/>
      <c r="F28" s="119"/>
      <c r="G28" s="119"/>
      <c r="H28" s="119"/>
      <c r="I28" s="119"/>
    </row>
    <row r="29" spans="2:10">
      <c r="B29" s="313" t="s">
        <v>160</v>
      </c>
      <c r="C29" s="313"/>
      <c r="D29" s="320">
        <f>'Program Budget'!J32</f>
        <v>188172.22222222222</v>
      </c>
      <c r="E29" s="320">
        <f>'Program Budget'!M32</f>
        <v>268458.66666666663</v>
      </c>
      <c r="F29" s="320">
        <f>'Program Budget'!P32</f>
        <v>279197.01333333331</v>
      </c>
      <c r="G29" s="320">
        <f>'Program Budget'!S32</f>
        <v>267080.20906666666</v>
      </c>
      <c r="H29" s="320">
        <f>'Program Budget'!V32</f>
        <v>270861.25192533334</v>
      </c>
      <c r="I29" s="319">
        <f>SUM(D29:H29)</f>
        <v>1273769.3632142222</v>
      </c>
    </row>
    <row r="30" spans="2:10">
      <c r="B30" s="106" t="s">
        <v>161</v>
      </c>
      <c r="C30" s="107"/>
      <c r="D30" s="108"/>
      <c r="E30" s="108"/>
      <c r="F30" s="108"/>
      <c r="G30" s="108"/>
      <c r="H30" s="108"/>
      <c r="I30" s="108"/>
    </row>
    <row r="31" spans="2:10">
      <c r="B31" s="321" t="s">
        <v>162</v>
      </c>
      <c r="C31" s="322"/>
      <c r="D31" s="320">
        <f>'Program Budget'!J44</f>
        <v>112358.32577777778</v>
      </c>
      <c r="E31" s="320">
        <f>'Program Budget'!M44</f>
        <v>144568.97781333333</v>
      </c>
      <c r="F31" s="320">
        <f>'Program Budget'!P44</f>
        <v>150026.25692586665</v>
      </c>
      <c r="G31" s="320">
        <f>'Program Budget'!S44</f>
        <v>143150.0001822293</v>
      </c>
      <c r="H31" s="320">
        <f>'Program Budget'!V44</f>
        <v>174806.32442124397</v>
      </c>
      <c r="I31" s="319">
        <f>SUM(D31:H31)</f>
        <v>724909.88512045098</v>
      </c>
    </row>
    <row r="32" spans="2:10">
      <c r="B32" s="106" t="s">
        <v>163</v>
      </c>
      <c r="C32" s="107"/>
      <c r="D32" s="108"/>
      <c r="E32" s="108"/>
      <c r="F32" s="108"/>
      <c r="G32" s="108"/>
      <c r="H32" s="108"/>
      <c r="I32" s="108"/>
    </row>
    <row r="33" spans="1:10">
      <c r="A33" s="251"/>
      <c r="B33" s="313" t="s">
        <v>164</v>
      </c>
      <c r="C33" s="322"/>
      <c r="D33" s="320">
        <f>'Program Budget'!J61</f>
        <v>20120</v>
      </c>
      <c r="E33" s="320">
        <f>'Program Budget'!M61</f>
        <v>32458.800000000003</v>
      </c>
      <c r="F33" s="320">
        <f>'Program Budget'!P61</f>
        <v>33639.732000000004</v>
      </c>
      <c r="G33" s="320">
        <f>'Program Budget'!S61</f>
        <v>34864.378680000002</v>
      </c>
      <c r="H33" s="320">
        <f>'Program Budget'!V61</f>
        <v>34730.552677200001</v>
      </c>
      <c r="I33" s="319">
        <f>SUM(D33:H33)</f>
        <v>155813.4633572</v>
      </c>
    </row>
    <row r="34" spans="1:10">
      <c r="B34" s="106" t="s">
        <v>165</v>
      </c>
      <c r="C34" s="107"/>
      <c r="D34" s="108"/>
      <c r="E34" s="108"/>
      <c r="F34" s="108"/>
      <c r="G34" s="108"/>
      <c r="H34" s="108"/>
      <c r="I34" s="108"/>
    </row>
    <row r="35" spans="1:10">
      <c r="A35" s="251"/>
      <c r="B35" s="313" t="s">
        <v>166</v>
      </c>
      <c r="C35" s="322"/>
      <c r="D35" s="320">
        <f>'Program Budget'!J84</f>
        <v>1570061.224275707</v>
      </c>
      <c r="E35" s="320">
        <f>'Program Budget'!M84</f>
        <v>385066.02492336766</v>
      </c>
      <c r="F35" s="320">
        <f>'Program Budget'!P84</f>
        <v>245500</v>
      </c>
      <c r="G35" s="320">
        <f>'Program Budget'!S84</f>
        <v>60500</v>
      </c>
      <c r="H35" s="320">
        <f>'Program Budget'!V84</f>
        <v>220500</v>
      </c>
      <c r="I35" s="319">
        <f>SUM(D35:H35)</f>
        <v>2481627.2491990747</v>
      </c>
    </row>
    <row r="36" spans="1:10">
      <c r="B36" s="106" t="s">
        <v>167</v>
      </c>
      <c r="C36" s="107"/>
      <c r="D36" s="108"/>
      <c r="E36" s="108"/>
      <c r="F36" s="108"/>
      <c r="G36" s="108"/>
      <c r="H36" s="108"/>
      <c r="I36" s="108"/>
    </row>
    <row r="37" spans="1:10">
      <c r="B37" s="313" t="s">
        <v>168</v>
      </c>
      <c r="C37" s="313"/>
      <c r="D37" s="315">
        <f>'Program Budget'!J89</f>
        <v>100000</v>
      </c>
      <c r="E37" s="315">
        <f>'Program Budget'!M89</f>
        <v>0</v>
      </c>
      <c r="F37" s="315">
        <f>'Program Budget'!P89</f>
        <v>0</v>
      </c>
      <c r="G37" s="315">
        <f>'Program Budget'!S89</f>
        <v>0</v>
      </c>
      <c r="H37" s="315">
        <f>'Program Budget'!V89</f>
        <v>0</v>
      </c>
      <c r="I37" s="319">
        <f>SUM(D37:H37)</f>
        <v>100000</v>
      </c>
    </row>
    <row r="38" spans="1:10">
      <c r="A38" s="251"/>
      <c r="B38" s="106" t="s">
        <v>169</v>
      </c>
      <c r="C38" s="107"/>
      <c r="D38" s="108"/>
      <c r="E38" s="108"/>
      <c r="F38" s="108"/>
      <c r="G38" s="108"/>
      <c r="H38" s="108"/>
      <c r="I38" s="108"/>
    </row>
    <row r="39" spans="1:10">
      <c r="B39" s="313" t="s">
        <v>170</v>
      </c>
      <c r="C39" s="314"/>
      <c r="D39" s="315">
        <f>'Program Budget'!J102</f>
        <v>13910.8</v>
      </c>
      <c r="E39" s="315">
        <f>'Program Budget'!M102</f>
        <v>56400.031999999999</v>
      </c>
      <c r="F39" s="315">
        <f>'Program Budget'!P102</f>
        <v>58656.033280000003</v>
      </c>
      <c r="G39" s="315">
        <f>'Program Budget'!S102</f>
        <v>61002.274611199995</v>
      </c>
      <c r="H39" s="315">
        <f>'Program Budget'!V102</f>
        <v>31996.567502848004</v>
      </c>
      <c r="I39" s="319">
        <f>SUM(D39:H39)</f>
        <v>221965.70739404799</v>
      </c>
    </row>
    <row r="40" spans="1:10">
      <c r="A40" s="251"/>
      <c r="B40" s="106" t="s">
        <v>171</v>
      </c>
      <c r="C40" s="107"/>
      <c r="D40" s="108"/>
      <c r="E40" s="108"/>
      <c r="F40" s="108"/>
      <c r="G40" s="108"/>
      <c r="H40" s="108"/>
      <c r="I40" s="108"/>
    </row>
    <row r="41" spans="1:10" ht="12.9" thickBot="1">
      <c r="B41" s="143" t="s">
        <v>172</v>
      </c>
      <c r="C41" s="160"/>
      <c r="D41" s="161">
        <f>'Program Budget'!J113</f>
        <v>72798.63</v>
      </c>
      <c r="E41" s="161">
        <f>'Program Budget'!M113</f>
        <v>3744</v>
      </c>
      <c r="F41" s="161">
        <f>'Program Budget'!P113</f>
        <v>3893.76</v>
      </c>
      <c r="G41" s="161">
        <f>'Program Budget'!S113</f>
        <v>4049.5104000000006</v>
      </c>
      <c r="H41" s="161">
        <f>'Program Budget'!V113</f>
        <v>2105.7454080000002</v>
      </c>
      <c r="I41" s="161">
        <f>SUM(D41:H41)</f>
        <v>86591.645808000001</v>
      </c>
    </row>
    <row r="42" spans="1:10">
      <c r="A42" s="251"/>
      <c r="B42" s="106" t="s">
        <v>173</v>
      </c>
      <c r="C42" s="107"/>
      <c r="D42" s="108"/>
      <c r="E42" s="108"/>
      <c r="F42" s="108"/>
      <c r="G42" s="108"/>
      <c r="H42" s="108"/>
      <c r="I42" s="108"/>
    </row>
    <row r="43" spans="1:10" ht="12.9" thickBot="1">
      <c r="B43" s="143" t="s">
        <v>174</v>
      </c>
      <c r="C43" s="160"/>
      <c r="D43" s="161">
        <f>'Program Budget'!J125</f>
        <v>13525</v>
      </c>
      <c r="E43" s="161">
        <f>'Program Budget'!M125</f>
        <v>19760</v>
      </c>
      <c r="F43" s="161">
        <f>'Program Budget'!P125</f>
        <v>19926.400000000001</v>
      </c>
      <c r="G43" s="161">
        <f>'Program Budget'!S125</f>
        <v>20099.456000000002</v>
      </c>
      <c r="H43" s="161">
        <f>'Program Budget'!V125</f>
        <v>14729.434240000002</v>
      </c>
      <c r="I43" s="161">
        <f>SUM(D43:H43)</f>
        <v>88040.290240000002</v>
      </c>
    </row>
    <row r="44" spans="1:10" ht="12.9" thickBot="1">
      <c r="B44" s="274" t="s">
        <v>175</v>
      </c>
      <c r="C44" s="275"/>
      <c r="D44" s="276">
        <f t="shared" ref="D44:I44" si="2">SUM(D29:D43)</f>
        <v>2090946.2022757069</v>
      </c>
      <c r="E44" s="276">
        <f t="shared" si="2"/>
        <v>910456.50140336761</v>
      </c>
      <c r="F44" s="276">
        <f t="shared" si="2"/>
        <v>790839.19553919998</v>
      </c>
      <c r="G44" s="276">
        <f t="shared" si="2"/>
        <v>590745.82894009608</v>
      </c>
      <c r="H44" s="276">
        <f t="shared" si="2"/>
        <v>749729.87617462524</v>
      </c>
      <c r="I44" s="276">
        <f t="shared" si="2"/>
        <v>5132717.6043329956</v>
      </c>
    </row>
    <row r="45" spans="1:10">
      <c r="B45" s="147"/>
      <c r="C45" s="117"/>
      <c r="D45" s="151"/>
      <c r="E45" s="151"/>
      <c r="F45" s="151"/>
      <c r="G45" s="151"/>
      <c r="H45" s="151"/>
      <c r="I45" s="151"/>
    </row>
    <row r="46" spans="1:10">
      <c r="B46" s="147" t="s">
        <v>176</v>
      </c>
      <c r="C46" s="155">
        <v>0.28689999999999999</v>
      </c>
      <c r="D46" s="151">
        <f>D44*$C$46</f>
        <v>599892.46543290024</v>
      </c>
      <c r="E46" s="151">
        <f>E44*$C$46</f>
        <v>261209.97025262617</v>
      </c>
      <c r="F46" s="151">
        <f>F44*$C$46</f>
        <v>226891.76520019647</v>
      </c>
      <c r="G46" s="151">
        <f>G44*$C$46</f>
        <v>169484.97832291355</v>
      </c>
      <c r="H46" s="151">
        <f>H44*$C$46</f>
        <v>215097.50147449996</v>
      </c>
      <c r="I46" s="151">
        <f>SUM(H46+G46,F46,E46,D46)</f>
        <v>1472576.6806831365</v>
      </c>
      <c r="J46" s="311"/>
    </row>
    <row r="47" spans="1:10">
      <c r="B47" s="277"/>
      <c r="C47" s="116"/>
      <c r="D47" s="279"/>
      <c r="E47" s="279"/>
      <c r="F47" s="279"/>
      <c r="G47" s="279"/>
      <c r="H47" s="279"/>
      <c r="I47" s="279"/>
    </row>
    <row r="48" spans="1:10" ht="12.9" thickBot="1">
      <c r="B48" s="280" t="s">
        <v>177</v>
      </c>
      <c r="C48" s="281"/>
      <c r="D48" s="282">
        <f>D46</f>
        <v>599892.46543290024</v>
      </c>
      <c r="E48" s="282">
        <f t="shared" ref="E48:H48" si="3">E46</f>
        <v>261209.97025262617</v>
      </c>
      <c r="F48" s="282">
        <f t="shared" si="3"/>
        <v>226891.76520019647</v>
      </c>
      <c r="G48" s="282">
        <f t="shared" si="3"/>
        <v>169484.97832291355</v>
      </c>
      <c r="H48" s="282">
        <f t="shared" si="3"/>
        <v>215097.50147449996</v>
      </c>
      <c r="I48" s="282">
        <f>I46</f>
        <v>1472576.6806831365</v>
      </c>
    </row>
    <row r="49" spans="2:10" ht="12.9" thickTop="1">
      <c r="B49" s="313"/>
      <c r="C49" s="314"/>
      <c r="D49" s="315"/>
      <c r="E49" s="315"/>
      <c r="F49" s="315"/>
      <c r="G49" s="315"/>
      <c r="H49" s="315"/>
      <c r="I49" s="315"/>
    </row>
    <row r="50" spans="2:10">
      <c r="B50" s="266" t="str">
        <f>'USDA Budget Summary'!A28</f>
        <v>Activity 1: Value Chain Development (Value Chain Analysis, Carbon Assessment, and Living Incomes)</v>
      </c>
      <c r="C50" s="107"/>
      <c r="D50" s="267"/>
      <c r="E50" s="267"/>
      <c r="F50" s="267"/>
      <c r="G50" s="267"/>
      <c r="H50" s="267"/>
      <c r="I50" s="267"/>
    </row>
    <row r="51" spans="2:10">
      <c r="B51" s="313" t="s">
        <v>178</v>
      </c>
      <c r="C51" s="124"/>
      <c r="D51" s="319">
        <f>'Program Budget'!J163</f>
        <v>118015.001</v>
      </c>
      <c r="E51" s="319">
        <f>'Program Budget'!M163</f>
        <v>36049.110240000002</v>
      </c>
      <c r="F51" s="319">
        <f>'Program Budget'!P163</f>
        <v>0</v>
      </c>
      <c r="G51" s="319">
        <f>'Program Budget'!S163</f>
        <v>0</v>
      </c>
      <c r="H51" s="319">
        <f>'Program Budget'!V163</f>
        <v>0</v>
      </c>
      <c r="I51" s="319">
        <f>SUM(D51:H51)</f>
        <v>154064.11124</v>
      </c>
      <c r="J51" s="352"/>
    </row>
    <row r="52" spans="2:10">
      <c r="B52" s="266" t="str">
        <f>'USDA Budget Summary'!A29</f>
        <v>Activity 2: Producer Organization Development &amp; Commercialization</v>
      </c>
      <c r="C52" s="107"/>
      <c r="D52" s="267"/>
      <c r="E52" s="267"/>
      <c r="F52" s="267"/>
      <c r="G52" s="267"/>
      <c r="H52" s="267"/>
      <c r="I52" s="267"/>
      <c r="J52" s="352"/>
    </row>
    <row r="53" spans="2:10">
      <c r="B53" s="313" t="s">
        <v>179</v>
      </c>
      <c r="C53" s="124"/>
      <c r="D53" s="319">
        <f>'Program Budget'!J206</f>
        <v>227437.91800000003</v>
      </c>
      <c r="E53" s="319">
        <f>'Program Budget'!M206</f>
        <v>352581.63855999999</v>
      </c>
      <c r="F53" s="319">
        <f>'Program Budget'!P206</f>
        <v>359812.34003200004</v>
      </c>
      <c r="G53" s="319">
        <f>'Program Budget'!S206</f>
        <v>372714.84537625604</v>
      </c>
      <c r="H53" s="319">
        <f>'Program Budget'!V206</f>
        <v>271970.87275830406</v>
      </c>
      <c r="I53" s="319">
        <f>SUM(D53:H53)</f>
        <v>1584517.61472656</v>
      </c>
      <c r="J53" s="352"/>
    </row>
    <row r="54" spans="2:10">
      <c r="B54" s="266" t="str">
        <f>'USDA Budget Summary'!A30</f>
        <v>Activity 3: Agriculture Extension and Production Support</v>
      </c>
      <c r="C54" s="107"/>
      <c r="D54" s="267"/>
      <c r="E54" s="267"/>
      <c r="F54" s="267"/>
      <c r="G54" s="267"/>
      <c r="H54" s="267"/>
      <c r="I54" s="267"/>
      <c r="J54" s="352"/>
    </row>
    <row r="55" spans="2:10">
      <c r="B55" s="313" t="s">
        <v>180</v>
      </c>
      <c r="C55" s="124"/>
      <c r="D55" s="319">
        <f>'Program Budget'!J265</f>
        <v>448988.92099999997</v>
      </c>
      <c r="E55" s="319">
        <f>'Program Budget'!M265</f>
        <v>1226785.7150227076</v>
      </c>
      <c r="F55" s="319">
        <f>'Program Budget'!P265</f>
        <v>1174652.7925936156</v>
      </c>
      <c r="G55" s="319">
        <f>'Program Budget'!S265</f>
        <v>840537.00015684008</v>
      </c>
      <c r="H55" s="319">
        <f>'Program Budget'!V265</f>
        <v>708410.77217120258</v>
      </c>
      <c r="I55" s="319">
        <f>SUM(D55:H55)</f>
        <v>4399375.2009443659</v>
      </c>
      <c r="J55" s="352"/>
    </row>
    <row r="56" spans="2:10">
      <c r="B56" s="266" t="str">
        <f>'USDA Budget Summary'!A31</f>
        <v>Activity 4: Post-Harvest Aggregation &amp; Processing</v>
      </c>
      <c r="C56" s="107"/>
      <c r="D56" s="267"/>
      <c r="E56" s="267"/>
      <c r="F56" s="267"/>
      <c r="G56" s="267"/>
      <c r="H56" s="267"/>
      <c r="I56" s="267"/>
      <c r="J56" s="352"/>
    </row>
    <row r="57" spans="2:10">
      <c r="B57" s="313" t="s">
        <v>181</v>
      </c>
      <c r="C57" s="124"/>
      <c r="D57" s="319">
        <f>'Program Budget'!J313</f>
        <v>169506.75025000001</v>
      </c>
      <c r="E57" s="319">
        <f>'Program Budget'!M313</f>
        <v>456486.67067999998</v>
      </c>
      <c r="F57" s="319">
        <f>'Program Budget'!P313</f>
        <v>508797.8015228</v>
      </c>
      <c r="G57" s="319">
        <f>'Program Budget'!S313</f>
        <v>301601.39729149407</v>
      </c>
      <c r="H57" s="319">
        <f>'Program Budget'!V313</f>
        <v>272307.04275476484</v>
      </c>
      <c r="I57" s="319">
        <f>SUM(D57:H57)</f>
        <v>1708699.662499059</v>
      </c>
      <c r="J57" s="352"/>
    </row>
    <row r="58" spans="2:10">
      <c r="B58" s="266" t="str">
        <f>'USDA Budget Summary'!A32</f>
        <v>Activity 5: Ensure Financial Service/ Capital Access for Actors in the Value Chains</v>
      </c>
      <c r="C58" s="107"/>
      <c r="D58" s="267"/>
      <c r="E58" s="267"/>
      <c r="F58" s="267"/>
      <c r="G58" s="267"/>
      <c r="H58" s="267"/>
      <c r="I58" s="267"/>
      <c r="J58" s="352"/>
    </row>
    <row r="59" spans="2:10">
      <c r="B59" s="313" t="s">
        <v>182</v>
      </c>
      <c r="C59" s="124"/>
      <c r="D59" s="319">
        <f>'Program Budget'!J367</f>
        <v>63483.97800000001</v>
      </c>
      <c r="E59" s="319">
        <f>'Program Budget'!M367</f>
        <v>192068.13503999999</v>
      </c>
      <c r="F59" s="319">
        <f>'Program Budget'!P367</f>
        <v>195410.8604416</v>
      </c>
      <c r="G59" s="319">
        <f>'Program Budget'!S367</f>
        <v>105122.42543104</v>
      </c>
      <c r="H59" s="319">
        <f>'Program Budget'!V367</f>
        <v>62537.332597309447</v>
      </c>
      <c r="I59" s="319">
        <f>SUM(D59:H59)</f>
        <v>618622.73150994955</v>
      </c>
      <c r="J59" s="352"/>
    </row>
    <row r="60" spans="2:10">
      <c r="B60" s="266" t="str">
        <f>'USDA Budget Summary'!A33</f>
        <v>Activity 6: Innovation and Job Creation Through Youth Engagement</v>
      </c>
      <c r="C60" s="107"/>
      <c r="D60" s="267"/>
      <c r="E60" s="267"/>
      <c r="F60" s="267"/>
      <c r="G60" s="267"/>
      <c r="H60" s="267"/>
      <c r="I60" s="267"/>
      <c r="J60" s="352"/>
    </row>
    <row r="61" spans="2:10">
      <c r="B61" s="313" t="s">
        <v>183</v>
      </c>
      <c r="C61" s="124"/>
      <c r="D61" s="319">
        <f>'Program Budget'!J433</f>
        <v>0</v>
      </c>
      <c r="E61" s="319">
        <f>'Program Budget'!M433</f>
        <v>403287.98496000003</v>
      </c>
      <c r="F61" s="319">
        <f>'Program Budget'!P433</f>
        <v>437686.00390080002</v>
      </c>
      <c r="G61" s="319">
        <f>'Program Budget'!S433</f>
        <v>214795.23486425602</v>
      </c>
      <c r="H61" s="319">
        <f>'Program Budget'!V433</f>
        <v>90970.201559040011</v>
      </c>
      <c r="I61" s="319">
        <f>SUM(D61:H61)</f>
        <v>1146739.425284096</v>
      </c>
      <c r="J61" s="352"/>
    </row>
    <row r="62" spans="2:10">
      <c r="B62" s="266" t="str">
        <f>'USDA Budget Summary'!A34</f>
        <v>Activity 7: Establishment of Regional Community of Practice</v>
      </c>
      <c r="C62" s="107"/>
      <c r="D62" s="267"/>
      <c r="E62" s="267"/>
      <c r="F62" s="267"/>
      <c r="G62" s="267"/>
      <c r="H62" s="267"/>
      <c r="I62" s="267"/>
      <c r="J62" s="352"/>
    </row>
    <row r="63" spans="2:10">
      <c r="B63" s="313" t="s">
        <v>184</v>
      </c>
      <c r="C63" s="124"/>
      <c r="D63" s="319">
        <f>'Program Budget'!J479</f>
        <v>88278.324999999997</v>
      </c>
      <c r="E63" s="319">
        <f>'Program Budget'!M479</f>
        <v>117620.75200000001</v>
      </c>
      <c r="F63" s="319">
        <f>'Program Budget'!P479</f>
        <v>252657.20928000001</v>
      </c>
      <c r="G63" s="319">
        <f>'Program Budget'!S479</f>
        <v>140690.60536320001</v>
      </c>
      <c r="H63" s="319">
        <f>'Program Budget'!V479</f>
        <v>213875.17455257601</v>
      </c>
      <c r="I63" s="319">
        <f>SUM(D63:H63)</f>
        <v>813122.0661957761</v>
      </c>
      <c r="J63" s="352"/>
    </row>
    <row r="64" spans="2:10">
      <c r="B64" s="266" t="str">
        <f>'USDA Budget Summary'!A35</f>
        <v>Activity 8: Financial Services: Endowment Establishment, Fundraising and Management</v>
      </c>
      <c r="C64" s="107"/>
      <c r="D64" s="267"/>
      <c r="E64" s="267"/>
      <c r="F64" s="267"/>
      <c r="G64" s="267"/>
      <c r="H64" s="267"/>
      <c r="I64" s="267"/>
      <c r="J64" s="352"/>
    </row>
    <row r="65" spans="2:10" ht="12.9" thickBot="1">
      <c r="B65" s="143" t="s">
        <v>185</v>
      </c>
      <c r="C65" s="162"/>
      <c r="D65" s="157">
        <f>'Program Budget'!J526</f>
        <v>11125</v>
      </c>
      <c r="E65" s="157">
        <f>'Program Budget'!M526</f>
        <v>3044523.2137600002</v>
      </c>
      <c r="F65" s="157">
        <f>'Program Budget'!P526</f>
        <v>45874.142310399999</v>
      </c>
      <c r="G65" s="157">
        <f>'Program Budget'!S526</f>
        <v>137266.78142771201</v>
      </c>
      <c r="H65" s="157">
        <f>'Program Budget'!V526</f>
        <v>140836.17425293312</v>
      </c>
      <c r="I65" s="157">
        <f>SUM(D65:H65)</f>
        <v>3379625.3117510453</v>
      </c>
      <c r="J65" s="352"/>
    </row>
    <row r="66" spans="2:10" ht="12.9" thickBot="1">
      <c r="B66" s="274" t="s">
        <v>186</v>
      </c>
      <c r="C66" s="275"/>
      <c r="D66" s="276">
        <f>SUM(D51:D65)</f>
        <v>1126835.8932500002</v>
      </c>
      <c r="E66" s="276">
        <f t="shared" ref="E66:H66" si="4">SUM(E51:E65)</f>
        <v>5829403.2202627081</v>
      </c>
      <c r="F66" s="276">
        <f t="shared" si="4"/>
        <v>2974891.1500812159</v>
      </c>
      <c r="G66" s="276">
        <f t="shared" si="4"/>
        <v>2112728.2899107984</v>
      </c>
      <c r="H66" s="276">
        <f t="shared" si="4"/>
        <v>1760907.57064613</v>
      </c>
      <c r="I66" s="276">
        <f>SUM(I51:I65)</f>
        <v>13804766.124150852</v>
      </c>
      <c r="J66" s="95"/>
    </row>
    <row r="67" spans="2:10">
      <c r="B67" s="147"/>
      <c r="C67" s="117"/>
      <c r="D67" s="151"/>
      <c r="E67" s="151"/>
      <c r="F67" s="151"/>
      <c r="G67" s="151"/>
      <c r="H67" s="151"/>
      <c r="I67" s="151"/>
    </row>
    <row r="68" spans="2:10">
      <c r="B68" s="147" t="s">
        <v>187</v>
      </c>
      <c r="C68" s="155">
        <v>0.28689999999999999</v>
      </c>
      <c r="D68" s="151">
        <f>D66*$C$68</f>
        <v>323289.21777342504</v>
      </c>
      <c r="E68" s="151">
        <f>(E66-3000000)*$C$68</f>
        <v>811755.78389337088</v>
      </c>
      <c r="F68" s="151">
        <f>F66*$C$68</f>
        <v>853496.2709583008</v>
      </c>
      <c r="G68" s="151">
        <f>G66*$C$68</f>
        <v>606141.74637540802</v>
      </c>
      <c r="H68" s="151">
        <f>H66*$C$68</f>
        <v>505204.38201837469</v>
      </c>
      <c r="I68" s="151">
        <f>SUM(H68+G68,F68,E68,D68)</f>
        <v>3099887.4010188794</v>
      </c>
      <c r="J68" s="311" t="s">
        <v>188</v>
      </c>
    </row>
    <row r="69" spans="2:10">
      <c r="B69" s="277"/>
      <c r="C69" s="116"/>
      <c r="D69" s="279"/>
      <c r="E69" s="279"/>
      <c r="F69" s="279"/>
      <c r="G69" s="279"/>
      <c r="H69" s="279"/>
      <c r="I69" s="279"/>
    </row>
    <row r="70" spans="2:10" ht="12.9" thickBot="1">
      <c r="B70" s="280" t="s">
        <v>189</v>
      </c>
      <c r="C70" s="281"/>
      <c r="D70" s="282">
        <f>D68</f>
        <v>323289.21777342504</v>
      </c>
      <c r="E70" s="282">
        <f t="shared" ref="E70:I70" si="5">E68</f>
        <v>811755.78389337088</v>
      </c>
      <c r="F70" s="282">
        <f t="shared" si="5"/>
        <v>853496.2709583008</v>
      </c>
      <c r="G70" s="282">
        <f>G68</f>
        <v>606141.74637540802</v>
      </c>
      <c r="H70" s="282">
        <f t="shared" si="5"/>
        <v>505204.38201837469</v>
      </c>
      <c r="I70" s="282">
        <f t="shared" si="5"/>
        <v>3099887.4010188794</v>
      </c>
    </row>
    <row r="71" spans="2:10" ht="12.9" thickTop="1"/>
    <row r="72" spans="2:10" ht="12.9" thickBot="1">
      <c r="B72" s="280" t="s">
        <v>190</v>
      </c>
      <c r="C72" s="281"/>
      <c r="D72" s="282">
        <f t="shared" ref="D72:H72" si="6">D70+D48</f>
        <v>923181.68320632528</v>
      </c>
      <c r="E72" s="282">
        <f t="shared" si="6"/>
        <v>1072965.7541459971</v>
      </c>
      <c r="F72" s="282">
        <f t="shared" si="6"/>
        <v>1080388.0361584972</v>
      </c>
      <c r="G72" s="282">
        <f t="shared" si="6"/>
        <v>775626.72469832154</v>
      </c>
      <c r="H72" s="282">
        <f t="shared" si="6"/>
        <v>720301.88349287468</v>
      </c>
      <c r="I72" s="282">
        <f>I70+I48</f>
        <v>4572464.0817020163</v>
      </c>
    </row>
    <row r="73" spans="2:10" ht="12.9" thickTop="1">
      <c r="I73" s="130"/>
    </row>
    <row r="75" spans="2:10">
      <c r="B75" s="283"/>
    </row>
    <row r="76" spans="2:10">
      <c r="B76" s="283"/>
    </row>
  </sheetData>
  <mergeCells count="5">
    <mergeCell ref="B1:I1"/>
    <mergeCell ref="B2:I2"/>
    <mergeCell ref="B3:I3"/>
    <mergeCell ref="B5:I5"/>
    <mergeCell ref="B4:I4"/>
  </mergeCells>
  <pageMargins left="0.7" right="0.7" top="0.75" bottom="0.75" header="0.3" footer="0.3"/>
  <pageSetup scale="12" orientation="landscape" r:id="rId1"/>
  <headerFooter alignWithMargins="0"/>
  <rowBreaks count="1" manualBreakCount="1">
    <brk id="49" min="1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545"/>
  <sheetViews>
    <sheetView tabSelected="1" zoomScale="85" zoomScaleNormal="85" zoomScaleSheetLayoutView="90" workbookViewId="0">
      <pane xSplit="5" ySplit="10" topLeftCell="F30" activePane="bottomRight" state="frozen"/>
      <selection pane="topRight" activeCell="C1" sqref="C1"/>
      <selection pane="bottomLeft" activeCell="A11" sqref="A11"/>
      <selection pane="bottomRight" activeCell="A41" sqref="A41"/>
    </sheetView>
  </sheetViews>
  <sheetFormatPr defaultColWidth="11.44140625" defaultRowHeight="12.6"/>
  <cols>
    <col min="1" max="1" width="14.71875" style="56" customWidth="1"/>
    <col min="2" max="2" width="11.27734375" style="56" customWidth="1"/>
    <col min="3" max="3" width="9.83203125" style="56" customWidth="1"/>
    <col min="4" max="4" width="11.44140625" style="56" customWidth="1"/>
    <col min="5" max="5" width="61.83203125" style="58" customWidth="1"/>
    <col min="6" max="6" width="11.27734375" style="296" bestFit="1" customWidth="1"/>
    <col min="7" max="7" width="10.27734375" style="58" bestFit="1" customWidth="1"/>
    <col min="8" max="8" width="6" style="58" bestFit="1" customWidth="1"/>
    <col min="9" max="9" width="10.83203125" style="128" bestFit="1" customWidth="1"/>
    <col min="10" max="10" width="11.44140625" style="94" bestFit="1" customWidth="1"/>
    <col min="11" max="11" width="11.27734375" style="81" bestFit="1" customWidth="1"/>
    <col min="12" max="12" width="7.44140625" style="94" bestFit="1" customWidth="1"/>
    <col min="13" max="13" width="11.44140625" style="94" bestFit="1" customWidth="1"/>
    <col min="14" max="14" width="11.27734375" style="81" bestFit="1" customWidth="1"/>
    <col min="15" max="15" width="7.44140625" style="94" bestFit="1" customWidth="1"/>
    <col min="16" max="16" width="10.27734375" style="94" bestFit="1" customWidth="1"/>
    <col min="17" max="17" width="11.27734375" style="81" bestFit="1" customWidth="1"/>
    <col min="18" max="18" width="6" style="94" bestFit="1" customWidth="1"/>
    <col min="19" max="19" width="10.27734375" style="94" bestFit="1" customWidth="1"/>
    <col min="20" max="20" width="11.27734375" style="81" bestFit="1" customWidth="1"/>
    <col min="21" max="21" width="8.5546875" style="94" bestFit="1" customWidth="1"/>
    <col min="22" max="22" width="10.27734375" style="94" bestFit="1" customWidth="1"/>
    <col min="23" max="23" width="12.71875" style="94" bestFit="1" customWidth="1"/>
    <col min="24" max="24" width="12.44140625" style="94" bestFit="1" customWidth="1"/>
    <col min="25" max="25" width="11.44140625" style="94" bestFit="1" customWidth="1"/>
    <col min="26" max="26" width="33.44140625" style="56" bestFit="1" customWidth="1"/>
    <col min="27" max="27" width="11.27734375" style="56" bestFit="1" customWidth="1"/>
    <col min="28" max="28" width="13.71875" style="56" bestFit="1" customWidth="1"/>
    <col min="29" max="16384" width="11.44140625" style="56"/>
  </cols>
  <sheetData>
    <row r="1" spans="1:28" ht="13.8">
      <c r="E1" s="528" t="s">
        <v>133</v>
      </c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</row>
    <row r="2" spans="1:28" ht="14.1">
      <c r="A2" s="503"/>
      <c r="B2" s="503"/>
      <c r="E2" s="529" t="s">
        <v>134</v>
      </c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Y2" s="529"/>
    </row>
    <row r="3" spans="1:28" ht="14.1">
      <c r="A3" s="503"/>
      <c r="B3" s="503"/>
      <c r="E3" s="528" t="s">
        <v>135</v>
      </c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528"/>
    </row>
    <row r="4" spans="1:28" ht="14.1">
      <c r="A4" s="503"/>
      <c r="B4" s="503"/>
      <c r="E4" s="528" t="s">
        <v>136</v>
      </c>
      <c r="F4" s="528"/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  <c r="S4" s="528"/>
      <c r="T4" s="528"/>
      <c r="U4" s="528"/>
      <c r="V4" s="528"/>
      <c r="W4" s="528"/>
      <c r="X4" s="528"/>
      <c r="Y4" s="528"/>
    </row>
    <row r="5" spans="1:28" ht="14.1" thickBot="1">
      <c r="E5" s="532" t="s">
        <v>191</v>
      </c>
      <c r="F5" s="53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28" ht="14.1">
      <c r="A6" s="504" t="s">
        <v>192</v>
      </c>
      <c r="B6" s="505" t="s">
        <v>193</v>
      </c>
      <c r="E6" s="72" t="s">
        <v>194</v>
      </c>
      <c r="F6" s="284">
        <v>1.03</v>
      </c>
      <c r="G6" s="52"/>
      <c r="H6" s="52"/>
      <c r="I6" s="52"/>
      <c r="J6" s="494"/>
      <c r="K6" s="494"/>
      <c r="L6" s="494"/>
      <c r="M6" s="494"/>
      <c r="N6" s="531"/>
      <c r="O6" s="531"/>
      <c r="P6" s="531"/>
      <c r="Q6" s="531"/>
      <c r="R6" s="494"/>
      <c r="S6" s="494"/>
      <c r="T6" s="494"/>
      <c r="U6" s="494"/>
      <c r="V6" s="494"/>
      <c r="W6" s="52"/>
      <c r="X6" s="52"/>
      <c r="Y6" s="52"/>
    </row>
    <row r="7" spans="1:28" ht="14.1">
      <c r="A7" s="506" t="s">
        <v>195</v>
      </c>
      <c r="B7" s="507" t="s">
        <v>196</v>
      </c>
      <c r="E7" s="72" t="s">
        <v>197</v>
      </c>
      <c r="F7" s="284">
        <v>1.04</v>
      </c>
    </row>
    <row r="8" spans="1:28" ht="14.4" thickBot="1">
      <c r="A8" s="508" t="s">
        <v>198</v>
      </c>
      <c r="B8" s="509" t="s">
        <v>199</v>
      </c>
      <c r="E8" s="72" t="s">
        <v>200</v>
      </c>
      <c r="F8" s="284">
        <v>1.04</v>
      </c>
    </row>
    <row r="10" spans="1:28" ht="49.8" thickBot="1">
      <c r="A10" s="101" t="s">
        <v>201</v>
      </c>
      <c r="B10" s="101" t="s">
        <v>202</v>
      </c>
      <c r="C10" s="101" t="s">
        <v>203</v>
      </c>
      <c r="D10" s="101" t="s">
        <v>204</v>
      </c>
      <c r="E10" s="101" t="s">
        <v>138</v>
      </c>
      <c r="F10" s="237" t="s">
        <v>205</v>
      </c>
      <c r="G10" s="101" t="s">
        <v>206</v>
      </c>
      <c r="H10" s="101" t="s">
        <v>207</v>
      </c>
      <c r="I10" s="102" t="s">
        <v>139</v>
      </c>
      <c r="J10" s="103" t="s">
        <v>140</v>
      </c>
      <c r="K10" s="237" t="s">
        <v>208</v>
      </c>
      <c r="L10" s="101" t="s">
        <v>207</v>
      </c>
      <c r="M10" s="103" t="s">
        <v>141</v>
      </c>
      <c r="N10" s="237" t="s">
        <v>209</v>
      </c>
      <c r="O10" s="101" t="s">
        <v>207</v>
      </c>
      <c r="P10" s="103" t="s">
        <v>142</v>
      </c>
      <c r="Q10" s="237" t="s">
        <v>210</v>
      </c>
      <c r="R10" s="101" t="s">
        <v>207</v>
      </c>
      <c r="S10" s="103" t="s">
        <v>143</v>
      </c>
      <c r="T10" s="237" t="s">
        <v>211</v>
      </c>
      <c r="U10" s="103" t="s">
        <v>207</v>
      </c>
      <c r="V10" s="103" t="s">
        <v>144</v>
      </c>
      <c r="W10" s="103" t="s">
        <v>145</v>
      </c>
      <c r="X10" s="102" t="s">
        <v>212</v>
      </c>
      <c r="Y10" s="102" t="s">
        <v>213</v>
      </c>
      <c r="AA10" s="102" t="s">
        <v>214</v>
      </c>
      <c r="AB10" s="102" t="s">
        <v>215</v>
      </c>
    </row>
    <row r="11" spans="1:28">
      <c r="A11" s="104"/>
      <c r="B11" s="104"/>
      <c r="C11" s="104"/>
      <c r="D11" s="104"/>
      <c r="E11" s="104" t="s">
        <v>216</v>
      </c>
      <c r="F11" s="285"/>
      <c r="G11" s="106"/>
      <c r="H11" s="106"/>
      <c r="I11" s="107"/>
      <c r="J11" s="108"/>
      <c r="K11" s="285"/>
      <c r="L11" s="108"/>
      <c r="M11" s="108"/>
      <c r="N11" s="285"/>
      <c r="O11" s="108"/>
      <c r="P11" s="108"/>
      <c r="Q11" s="285"/>
      <c r="R11" s="108"/>
      <c r="S11" s="108"/>
      <c r="T11" s="285"/>
      <c r="U11" s="108"/>
      <c r="V11" s="108"/>
      <c r="W11" s="108"/>
      <c r="X11" s="108"/>
      <c r="Y11" s="108"/>
    </row>
    <row r="12" spans="1:28" ht="14.5" customHeight="1">
      <c r="A12" s="238"/>
      <c r="B12" s="238"/>
      <c r="C12" s="238"/>
      <c r="D12" s="238"/>
      <c r="E12" s="238" t="s">
        <v>217</v>
      </c>
      <c r="F12" s="286"/>
      <c r="G12" s="239"/>
      <c r="H12" s="240"/>
      <c r="I12" s="241"/>
      <c r="J12" s="242"/>
      <c r="K12" s="286"/>
      <c r="L12" s="242"/>
      <c r="M12" s="242"/>
      <c r="N12" s="286"/>
      <c r="O12" s="242"/>
      <c r="P12" s="242"/>
      <c r="Q12" s="286"/>
      <c r="R12" s="242"/>
      <c r="S12" s="242"/>
      <c r="T12" s="286"/>
      <c r="U12" s="242"/>
      <c r="V12" s="242"/>
      <c r="W12" s="242"/>
      <c r="X12" s="242"/>
      <c r="Y12" s="242"/>
      <c r="AA12" s="238" t="s">
        <v>214</v>
      </c>
      <c r="AB12" s="238" t="s">
        <v>215</v>
      </c>
    </row>
    <row r="13" spans="1:28">
      <c r="A13" s="58" t="s">
        <v>218</v>
      </c>
      <c r="B13" s="58">
        <v>50000</v>
      </c>
      <c r="C13" s="58" t="s">
        <v>219</v>
      </c>
      <c r="D13" s="58">
        <v>0</v>
      </c>
      <c r="E13" s="58" t="s">
        <v>220</v>
      </c>
      <c r="F13" s="287">
        <f>'LOE Breakdown by Year'!D11</f>
        <v>0.15</v>
      </c>
      <c r="G13" s="127" t="s">
        <v>221</v>
      </c>
      <c r="H13" s="119">
        <v>12</v>
      </c>
      <c r="I13" s="119">
        <f>150000/12</f>
        <v>12500</v>
      </c>
      <c r="J13" s="119">
        <f t="shared" ref="J13:J26" si="0">H13*I13*F13</f>
        <v>22500</v>
      </c>
      <c r="K13" s="287">
        <f>'LOE Breakdown by Year'!D35</f>
        <v>0.1</v>
      </c>
      <c r="L13" s="119">
        <v>12</v>
      </c>
      <c r="M13" s="119">
        <f>L13*I13*$F$8*$K13</f>
        <v>15600</v>
      </c>
      <c r="N13" s="287">
        <f>'LOE Breakdown by Year'!D59</f>
        <v>0.1</v>
      </c>
      <c r="O13" s="119">
        <v>12</v>
      </c>
      <c r="P13" s="119">
        <f t="shared" ref="P13:P26" si="1">O13*I13*$N13*$F$8*$F$8</f>
        <v>16224</v>
      </c>
      <c r="Q13" s="287">
        <f>'LOE Breakdown by Year'!D83</f>
        <v>0.1</v>
      </c>
      <c r="R13" s="119">
        <v>12</v>
      </c>
      <c r="S13" s="119">
        <f>R13*I13*$Q13*$F$8*$F$8*$F$8</f>
        <v>16872.96</v>
      </c>
      <c r="T13" s="287">
        <f>'LOE Breakdown by Year'!D107</f>
        <v>0.1</v>
      </c>
      <c r="U13" s="119">
        <v>12</v>
      </c>
      <c r="V13" s="119">
        <f>U13*I13*$T13*$F$8*$F$8*$F$8*$F$8</f>
        <v>17547.878400000001</v>
      </c>
      <c r="W13" s="119">
        <f>SUM(S13,P13,M13,J13,V13)</f>
        <v>88744.838399999993</v>
      </c>
      <c r="X13" s="119">
        <v>0</v>
      </c>
      <c r="Y13" s="119">
        <f>SUM(W13:X13)</f>
        <v>88744.838399999993</v>
      </c>
      <c r="AA13" s="366">
        <v>0.5</v>
      </c>
      <c r="AB13" s="366">
        <v>0.5</v>
      </c>
    </row>
    <row r="14" spans="1:28">
      <c r="A14" s="58" t="s">
        <v>218</v>
      </c>
      <c r="B14" s="58">
        <v>70000</v>
      </c>
      <c r="C14" s="58" t="s">
        <v>222</v>
      </c>
      <c r="D14" s="58">
        <v>0</v>
      </c>
      <c r="E14" s="58" t="s">
        <v>223</v>
      </c>
      <c r="F14" s="287">
        <f>'LOE Breakdown by Year'!D12</f>
        <v>0.1</v>
      </c>
      <c r="G14" s="127" t="s">
        <v>221</v>
      </c>
      <c r="H14" s="119">
        <v>8</v>
      </c>
      <c r="I14" s="119">
        <f>70000/12</f>
        <v>5833.333333333333</v>
      </c>
      <c r="J14" s="119">
        <f>H14*I14*F14</f>
        <v>4666.666666666667</v>
      </c>
      <c r="K14" s="287">
        <f>'LOE Breakdown by Year'!D36</f>
        <v>0.1</v>
      </c>
      <c r="L14" s="119">
        <v>12</v>
      </c>
      <c r="M14" s="119">
        <f t="shared" ref="M14:M26" si="2">L14*I14*$F$8*$K14</f>
        <v>7280</v>
      </c>
      <c r="N14" s="287">
        <f>'LOE Breakdown by Year'!D60</f>
        <v>0.1</v>
      </c>
      <c r="O14" s="119">
        <v>12</v>
      </c>
      <c r="P14" s="119">
        <f t="shared" si="1"/>
        <v>7571.2</v>
      </c>
      <c r="Q14" s="287">
        <f>'LOE Breakdown by Year'!D84</f>
        <v>0.1</v>
      </c>
      <c r="R14" s="119">
        <v>12</v>
      </c>
      <c r="S14" s="119">
        <f>R14*I14*$Q14*$F$8*$F$8*$F$8</f>
        <v>7874.0479999999998</v>
      </c>
      <c r="T14" s="287">
        <f>'LOE Breakdown by Year'!D108</f>
        <v>0.1</v>
      </c>
      <c r="U14" s="119">
        <v>12</v>
      </c>
      <c r="V14" s="119">
        <f t="shared" ref="V14:V26" si="3">U14*I14*$T14*$F$8*$F$8*$F$8*$F$8</f>
        <v>8189.0099200000004</v>
      </c>
      <c r="W14" s="119">
        <f t="shared" ref="W14:W26" si="4">SUM(S14,P14,M14,J14,V14)</f>
        <v>35580.924586666668</v>
      </c>
      <c r="X14" s="119">
        <v>0</v>
      </c>
      <c r="Y14" s="119">
        <f>SUM(W14:X14)</f>
        <v>35580.924586666668</v>
      </c>
      <c r="AA14" s="366">
        <v>0.5</v>
      </c>
      <c r="AB14" s="366">
        <v>0.5</v>
      </c>
    </row>
    <row r="15" spans="1:28">
      <c r="A15" s="58" t="s">
        <v>218</v>
      </c>
      <c r="B15" s="58">
        <v>70000</v>
      </c>
      <c r="C15" s="58" t="s">
        <v>222</v>
      </c>
      <c r="D15" s="58">
        <v>0</v>
      </c>
      <c r="E15" s="58" t="s">
        <v>150</v>
      </c>
      <c r="F15" s="287">
        <f>'LOE Breakdown by Year'!D13</f>
        <v>1</v>
      </c>
      <c r="G15" s="127" t="s">
        <v>221</v>
      </c>
      <c r="H15" s="119">
        <v>8</v>
      </c>
      <c r="I15" s="119">
        <f>46000/12</f>
        <v>3833.3333333333335</v>
      </c>
      <c r="J15" s="119">
        <f t="shared" si="0"/>
        <v>30666.666666666668</v>
      </c>
      <c r="K15" s="287">
        <f>'LOE Breakdown by Year'!D37</f>
        <v>0.95</v>
      </c>
      <c r="L15" s="119">
        <v>12</v>
      </c>
      <c r="M15" s="119">
        <f t="shared" si="2"/>
        <v>45448</v>
      </c>
      <c r="N15" s="287">
        <f>'LOE Breakdown by Year'!D61</f>
        <v>0.95</v>
      </c>
      <c r="O15" s="119">
        <v>12</v>
      </c>
      <c r="P15" s="119">
        <f t="shared" si="1"/>
        <v>47265.919999999998</v>
      </c>
      <c r="Q15" s="287">
        <f>'LOE Breakdown by Year'!D85</f>
        <v>0.5</v>
      </c>
      <c r="R15" s="119">
        <v>12</v>
      </c>
      <c r="S15" s="119">
        <f t="shared" ref="S15:S26" si="5">R15*I15*$Q15*$F$8*$F$8*$F$8</f>
        <v>25871.871999999999</v>
      </c>
      <c r="T15" s="287">
        <f>'LOE Breakdown by Year'!D109</f>
        <v>0.75</v>
      </c>
      <c r="U15" s="119">
        <v>12</v>
      </c>
      <c r="V15" s="119">
        <f t="shared" si="3"/>
        <v>40360.120320000009</v>
      </c>
      <c r="W15" s="119">
        <f t="shared" si="4"/>
        <v>189612.57898666669</v>
      </c>
      <c r="X15" s="119">
        <v>0</v>
      </c>
      <c r="Y15" s="119">
        <f t="shared" ref="Y15:Y22" si="6">SUM(W15:X15)</f>
        <v>189612.57898666669</v>
      </c>
      <c r="AA15" s="366">
        <v>0.5</v>
      </c>
      <c r="AB15" s="366">
        <v>0.5</v>
      </c>
    </row>
    <row r="16" spans="1:28">
      <c r="A16" s="58" t="s">
        <v>218</v>
      </c>
      <c r="B16" s="58">
        <v>70000</v>
      </c>
      <c r="C16" s="58" t="s">
        <v>222</v>
      </c>
      <c r="D16" s="58">
        <v>0</v>
      </c>
      <c r="E16" s="58" t="s">
        <v>151</v>
      </c>
      <c r="F16" s="287">
        <f>'LOE Breakdown by Year'!D14</f>
        <v>0.25</v>
      </c>
      <c r="G16" s="127" t="s">
        <v>221</v>
      </c>
      <c r="H16" s="119">
        <v>8</v>
      </c>
      <c r="I16" s="119">
        <f>46000/12</f>
        <v>3833.3333333333335</v>
      </c>
      <c r="J16" s="119">
        <f t="shared" si="0"/>
        <v>7666.666666666667</v>
      </c>
      <c r="K16" s="287">
        <f>'LOE Breakdown by Year'!D38</f>
        <v>0.25</v>
      </c>
      <c r="L16" s="119">
        <v>12</v>
      </c>
      <c r="M16" s="119">
        <f t="shared" si="2"/>
        <v>11960</v>
      </c>
      <c r="N16" s="287">
        <f>'LOE Breakdown by Year'!D62</f>
        <v>0.25</v>
      </c>
      <c r="O16" s="119">
        <v>12</v>
      </c>
      <c r="P16" s="119">
        <f t="shared" si="1"/>
        <v>12438.4</v>
      </c>
      <c r="Q16" s="287">
        <f>'LOE Breakdown by Year'!D86</f>
        <v>0.25</v>
      </c>
      <c r="R16" s="119">
        <v>12</v>
      </c>
      <c r="S16" s="119">
        <f t="shared" si="5"/>
        <v>12935.936</v>
      </c>
      <c r="T16" s="287">
        <f>'LOE Breakdown by Year'!D110</f>
        <v>0.25</v>
      </c>
      <c r="U16" s="119">
        <v>12</v>
      </c>
      <c r="V16" s="119">
        <f t="shared" si="3"/>
        <v>13453.373439999999</v>
      </c>
      <c r="W16" s="119">
        <f t="shared" si="4"/>
        <v>58454.376106666663</v>
      </c>
      <c r="X16" s="119">
        <v>0</v>
      </c>
      <c r="Y16" s="119">
        <f t="shared" si="6"/>
        <v>58454.376106666663</v>
      </c>
      <c r="AA16" s="366">
        <v>0.5</v>
      </c>
      <c r="AB16" s="366">
        <v>0.5</v>
      </c>
    </row>
    <row r="17" spans="1:28">
      <c r="A17" s="58" t="s">
        <v>218</v>
      </c>
      <c r="B17" s="58">
        <v>70000</v>
      </c>
      <c r="C17" s="58" t="s">
        <v>222</v>
      </c>
      <c r="D17" s="58">
        <v>0</v>
      </c>
      <c r="E17" s="58" t="s">
        <v>224</v>
      </c>
      <c r="F17" s="287">
        <f>'LOE Breakdown by Year'!D15</f>
        <v>0.25</v>
      </c>
      <c r="G17" s="127" t="s">
        <v>221</v>
      </c>
      <c r="H17" s="119">
        <v>7</v>
      </c>
      <c r="I17" s="119">
        <f>32000/12</f>
        <v>2666.6666666666665</v>
      </c>
      <c r="J17" s="119">
        <f t="shared" si="0"/>
        <v>4666.6666666666661</v>
      </c>
      <c r="K17" s="287">
        <f>'LOE Breakdown by Year'!D39</f>
        <v>0.25</v>
      </c>
      <c r="L17" s="119">
        <v>12</v>
      </c>
      <c r="M17" s="119">
        <f t="shared" si="2"/>
        <v>8320</v>
      </c>
      <c r="N17" s="287">
        <f>'LOE Breakdown by Year'!D63</f>
        <v>0.25</v>
      </c>
      <c r="O17" s="119">
        <v>12</v>
      </c>
      <c r="P17" s="119">
        <f t="shared" si="1"/>
        <v>8652.8000000000011</v>
      </c>
      <c r="Q17" s="287">
        <f>'LOE Breakdown by Year'!D87</f>
        <v>0.25</v>
      </c>
      <c r="R17" s="119">
        <v>12</v>
      </c>
      <c r="S17" s="119">
        <f t="shared" si="5"/>
        <v>8998.9120000000021</v>
      </c>
      <c r="T17" s="287">
        <f>'LOE Breakdown by Year'!D111</f>
        <v>0.25</v>
      </c>
      <c r="U17" s="119">
        <v>9</v>
      </c>
      <c r="V17" s="119">
        <f t="shared" si="3"/>
        <v>7019.1513600000008</v>
      </c>
      <c r="W17" s="119">
        <f t="shared" si="4"/>
        <v>37657.530026666675</v>
      </c>
      <c r="X17" s="119">
        <v>0</v>
      </c>
      <c r="Y17" s="119">
        <f t="shared" si="6"/>
        <v>37657.530026666675</v>
      </c>
      <c r="Z17" s="153"/>
      <c r="AA17" s="366">
        <v>0.5</v>
      </c>
      <c r="AB17" s="366">
        <v>0.5</v>
      </c>
    </row>
    <row r="18" spans="1:28">
      <c r="A18" s="58" t="s">
        <v>218</v>
      </c>
      <c r="B18" s="58">
        <v>70000</v>
      </c>
      <c r="C18" s="58" t="s">
        <v>222</v>
      </c>
      <c r="D18" s="58">
        <v>0</v>
      </c>
      <c r="E18" s="58" t="s">
        <v>225</v>
      </c>
      <c r="F18" s="287">
        <f>'LOE Breakdown by Year'!D16</f>
        <v>0.25</v>
      </c>
      <c r="G18" s="127" t="s">
        <v>221</v>
      </c>
      <c r="H18" s="119">
        <v>3</v>
      </c>
      <c r="I18" s="119">
        <f>26000/12</f>
        <v>2166.6666666666665</v>
      </c>
      <c r="J18" s="119">
        <f t="shared" si="0"/>
        <v>1625</v>
      </c>
      <c r="K18" s="287">
        <f>'LOE Breakdown by Year'!D40</f>
        <v>0.25</v>
      </c>
      <c r="L18" s="119">
        <v>12</v>
      </c>
      <c r="M18" s="119">
        <f t="shared" si="2"/>
        <v>6760</v>
      </c>
      <c r="N18" s="287">
        <f>'LOE Breakdown by Year'!D64</f>
        <v>0.25</v>
      </c>
      <c r="O18" s="119">
        <v>12</v>
      </c>
      <c r="P18" s="119">
        <f t="shared" si="1"/>
        <v>7030.4000000000005</v>
      </c>
      <c r="Q18" s="287">
        <f>'LOE Breakdown by Year'!D88</f>
        <v>0.25</v>
      </c>
      <c r="R18" s="119">
        <v>12</v>
      </c>
      <c r="S18" s="119">
        <f t="shared" si="5"/>
        <v>7311.6160000000009</v>
      </c>
      <c r="T18" s="287">
        <f>'LOE Breakdown by Year'!D112</f>
        <v>0.25</v>
      </c>
      <c r="U18" s="119">
        <v>9</v>
      </c>
      <c r="V18" s="119">
        <f t="shared" si="3"/>
        <v>5703.060480000001</v>
      </c>
      <c r="W18" s="119">
        <f t="shared" si="4"/>
        <v>28430.076480000003</v>
      </c>
      <c r="X18" s="119">
        <v>0</v>
      </c>
      <c r="Y18" s="119">
        <f>SUM(W18:X18)</f>
        <v>28430.076480000003</v>
      </c>
      <c r="Z18" s="153"/>
      <c r="AA18" s="366">
        <v>0.5</v>
      </c>
      <c r="AB18" s="366">
        <v>0.5</v>
      </c>
    </row>
    <row r="19" spans="1:28">
      <c r="A19" s="58" t="s">
        <v>218</v>
      </c>
      <c r="B19" s="58">
        <v>70000</v>
      </c>
      <c r="C19" s="58" t="s">
        <v>222</v>
      </c>
      <c r="D19" s="58">
        <v>0</v>
      </c>
      <c r="E19" s="58" t="s">
        <v>226</v>
      </c>
      <c r="F19" s="287">
        <f>'LOE Breakdown by Year'!D17</f>
        <v>0.05</v>
      </c>
      <c r="G19" s="127" t="s">
        <v>221</v>
      </c>
      <c r="H19" s="119">
        <v>8</v>
      </c>
      <c r="I19" s="119">
        <f>46000/12</f>
        <v>3833.3333333333335</v>
      </c>
      <c r="J19" s="119">
        <f t="shared" si="0"/>
        <v>1533.3333333333335</v>
      </c>
      <c r="K19" s="287">
        <f>'LOE Breakdown by Year'!D41</f>
        <v>0.1</v>
      </c>
      <c r="L19" s="119">
        <v>12</v>
      </c>
      <c r="M19" s="119">
        <f t="shared" si="2"/>
        <v>4784</v>
      </c>
      <c r="N19" s="287">
        <f>'LOE Breakdown by Year'!D65</f>
        <v>0.1</v>
      </c>
      <c r="O19" s="119">
        <v>12</v>
      </c>
      <c r="P19" s="119">
        <f t="shared" si="1"/>
        <v>4975.3600000000006</v>
      </c>
      <c r="Q19" s="287">
        <f>'LOE Breakdown by Year'!D89</f>
        <v>0.1</v>
      </c>
      <c r="R19" s="119">
        <v>12</v>
      </c>
      <c r="S19" s="119">
        <f t="shared" si="5"/>
        <v>5174.3744000000006</v>
      </c>
      <c r="T19" s="287">
        <f>'LOE Breakdown by Year'!D113</f>
        <v>0.1</v>
      </c>
      <c r="U19" s="119">
        <v>9</v>
      </c>
      <c r="V19" s="119">
        <f t="shared" si="3"/>
        <v>4036.0120320000001</v>
      </c>
      <c r="W19" s="119">
        <f t="shared" si="4"/>
        <v>20503.079765333332</v>
      </c>
      <c r="X19" s="119">
        <v>0</v>
      </c>
      <c r="Y19" s="119">
        <f>SUM(W19:X19)</f>
        <v>20503.079765333332</v>
      </c>
      <c r="AA19" s="366">
        <v>0.5</v>
      </c>
      <c r="AB19" s="366">
        <v>0.5</v>
      </c>
    </row>
    <row r="20" spans="1:28" hidden="1">
      <c r="A20" s="58" t="s">
        <v>218</v>
      </c>
      <c r="B20" s="58">
        <v>70000</v>
      </c>
      <c r="C20" s="58" t="s">
        <v>222</v>
      </c>
      <c r="D20" s="58">
        <v>0</v>
      </c>
      <c r="E20" s="58" t="s">
        <v>227</v>
      </c>
      <c r="F20" s="287">
        <f>'LOE Breakdown by Year'!D18</f>
        <v>0</v>
      </c>
      <c r="G20" s="127" t="s">
        <v>221</v>
      </c>
      <c r="H20" s="119">
        <v>3</v>
      </c>
      <c r="I20" s="119">
        <f>(21000/12)*15</f>
        <v>26250</v>
      </c>
      <c r="J20" s="119">
        <f>H20*I20*F20</f>
        <v>0</v>
      </c>
      <c r="K20" s="287">
        <f>'LOE Breakdown by Year'!D42</f>
        <v>0</v>
      </c>
      <c r="L20" s="119">
        <v>12</v>
      </c>
      <c r="M20" s="119">
        <f>L20*I20*$F$8*$K20</f>
        <v>0</v>
      </c>
      <c r="N20" s="287">
        <f>'LOE Breakdown by Year'!D66</f>
        <v>0</v>
      </c>
      <c r="O20" s="119">
        <v>12</v>
      </c>
      <c r="P20" s="119">
        <f t="shared" si="1"/>
        <v>0</v>
      </c>
      <c r="Q20" s="287">
        <f>'LOE Breakdown by Year'!D90</f>
        <v>0</v>
      </c>
      <c r="R20" s="119">
        <v>12</v>
      </c>
      <c r="S20" s="119">
        <f t="shared" ref="S20" si="7">R20*I20*$Q20*$F$8*$F$8*$F$8</f>
        <v>0</v>
      </c>
      <c r="T20" s="287">
        <f>'LOE Breakdown by Year'!D114</f>
        <v>0</v>
      </c>
      <c r="U20" s="119">
        <v>9</v>
      </c>
      <c r="V20" s="119">
        <f t="shared" ref="V20" si="8">U20*I20*$T20*$F$8*$F$8*$F$8*$F$8</f>
        <v>0</v>
      </c>
      <c r="W20" s="119">
        <f t="shared" si="4"/>
        <v>0</v>
      </c>
      <c r="X20" s="119">
        <v>0</v>
      </c>
      <c r="Y20" s="119">
        <f>SUM(W20:X20)</f>
        <v>0</v>
      </c>
      <c r="AA20" s="366">
        <v>0.5</v>
      </c>
      <c r="AB20" s="366">
        <v>0.5</v>
      </c>
    </row>
    <row r="21" spans="1:28">
      <c r="A21" s="58" t="s">
        <v>218</v>
      </c>
      <c r="B21" s="58">
        <v>70000</v>
      </c>
      <c r="C21" s="58" t="s">
        <v>222</v>
      </c>
      <c r="D21" s="58">
        <v>0</v>
      </c>
      <c r="E21" s="58" t="s">
        <v>228</v>
      </c>
      <c r="F21" s="287">
        <f>'LOE Breakdown by Year'!D19</f>
        <v>0.1</v>
      </c>
      <c r="G21" s="127" t="s">
        <v>221</v>
      </c>
      <c r="H21" s="119">
        <v>3</v>
      </c>
      <c r="I21" s="119">
        <f>34000/12</f>
        <v>2833.3333333333335</v>
      </c>
      <c r="J21" s="119">
        <f t="shared" si="0"/>
        <v>850</v>
      </c>
      <c r="K21" s="287">
        <f>'LOE Breakdown by Year'!D43</f>
        <v>0.1</v>
      </c>
      <c r="L21" s="119">
        <v>12</v>
      </c>
      <c r="M21" s="119">
        <f t="shared" si="2"/>
        <v>3536</v>
      </c>
      <c r="N21" s="287">
        <f>'LOE Breakdown by Year'!D67</f>
        <v>0.1</v>
      </c>
      <c r="O21" s="119">
        <v>12</v>
      </c>
      <c r="P21" s="119">
        <f t="shared" si="1"/>
        <v>3677.44</v>
      </c>
      <c r="Q21" s="287">
        <f>'LOE Breakdown by Year'!D91</f>
        <v>0.1</v>
      </c>
      <c r="R21" s="119">
        <v>12</v>
      </c>
      <c r="S21" s="119">
        <f t="shared" si="5"/>
        <v>3824.5376000000001</v>
      </c>
      <c r="T21" s="287">
        <f>'LOE Breakdown by Year'!D115</f>
        <v>0.1</v>
      </c>
      <c r="U21" s="119">
        <v>9</v>
      </c>
      <c r="V21" s="119">
        <f t="shared" si="3"/>
        <v>2983.1393280000002</v>
      </c>
      <c r="W21" s="119">
        <f t="shared" si="4"/>
        <v>14871.116927999999</v>
      </c>
      <c r="X21" s="119">
        <v>0</v>
      </c>
      <c r="Y21" s="119">
        <f t="shared" si="6"/>
        <v>14871.116927999999</v>
      </c>
      <c r="AA21" s="366">
        <v>1</v>
      </c>
      <c r="AB21" s="366">
        <v>0</v>
      </c>
    </row>
    <row r="22" spans="1:28">
      <c r="A22" s="58" t="s">
        <v>218</v>
      </c>
      <c r="B22" s="58">
        <v>70000</v>
      </c>
      <c r="C22" s="58" t="s">
        <v>222</v>
      </c>
      <c r="D22" s="58">
        <v>0</v>
      </c>
      <c r="E22" s="58" t="s">
        <v>229</v>
      </c>
      <c r="F22" s="287">
        <f>'LOE Breakdown by Year'!D20</f>
        <v>0.1</v>
      </c>
      <c r="G22" s="127" t="s">
        <v>221</v>
      </c>
      <c r="H22" s="119">
        <v>3</v>
      </c>
      <c r="I22" s="119">
        <f>34000/12</f>
        <v>2833.3333333333335</v>
      </c>
      <c r="J22" s="119">
        <f t="shared" si="0"/>
        <v>850</v>
      </c>
      <c r="K22" s="287">
        <f>'LOE Breakdown by Year'!D44</f>
        <v>0.1</v>
      </c>
      <c r="L22" s="119">
        <v>12</v>
      </c>
      <c r="M22" s="119">
        <f t="shared" si="2"/>
        <v>3536</v>
      </c>
      <c r="N22" s="287">
        <f>'LOE Breakdown by Year'!D68</f>
        <v>0.1</v>
      </c>
      <c r="O22" s="119">
        <v>12</v>
      </c>
      <c r="P22" s="119">
        <f t="shared" si="1"/>
        <v>3677.44</v>
      </c>
      <c r="Q22" s="287">
        <f>'LOE Breakdown by Year'!D92</f>
        <v>0.1</v>
      </c>
      <c r="R22" s="119">
        <v>12</v>
      </c>
      <c r="S22" s="119">
        <f t="shared" si="5"/>
        <v>3824.5376000000001</v>
      </c>
      <c r="T22" s="287">
        <f>'LOE Breakdown by Year'!D116</f>
        <v>0.1</v>
      </c>
      <c r="U22" s="119">
        <v>9</v>
      </c>
      <c r="V22" s="119">
        <f t="shared" si="3"/>
        <v>2983.1393280000002</v>
      </c>
      <c r="W22" s="119">
        <f t="shared" si="4"/>
        <v>14871.116927999999</v>
      </c>
      <c r="X22" s="119">
        <v>0</v>
      </c>
      <c r="Y22" s="119">
        <f t="shared" si="6"/>
        <v>14871.116927999999</v>
      </c>
      <c r="AA22" s="366">
        <v>0</v>
      </c>
      <c r="AB22" s="366">
        <v>1</v>
      </c>
    </row>
    <row r="23" spans="1:28">
      <c r="A23" s="58" t="s">
        <v>218</v>
      </c>
      <c r="B23" s="58">
        <v>70000</v>
      </c>
      <c r="C23" s="58" t="s">
        <v>222</v>
      </c>
      <c r="D23" s="58">
        <v>0</v>
      </c>
      <c r="E23" s="58" t="s">
        <v>230</v>
      </c>
      <c r="F23" s="287">
        <f>'LOE Breakdown by Year'!D21</f>
        <v>0.1</v>
      </c>
      <c r="G23" s="127" t="s">
        <v>221</v>
      </c>
      <c r="H23" s="119">
        <v>3</v>
      </c>
      <c r="I23" s="119">
        <f>32000/12</f>
        <v>2666.6666666666665</v>
      </c>
      <c r="J23" s="119">
        <f t="shared" ref="J23" si="9">H23*I23*F23</f>
        <v>800</v>
      </c>
      <c r="K23" s="287">
        <f>'LOE Breakdown by Year'!D45</f>
        <v>0.1</v>
      </c>
      <c r="L23" s="119">
        <v>12</v>
      </c>
      <c r="M23" s="119">
        <f t="shared" ref="M23" si="10">L23*I23*$F$8*$K23</f>
        <v>3328</v>
      </c>
      <c r="N23" s="287">
        <f>'LOE Breakdown by Year'!D69</f>
        <v>0.1</v>
      </c>
      <c r="O23" s="119">
        <v>12</v>
      </c>
      <c r="P23" s="119">
        <f t="shared" si="1"/>
        <v>3461.12</v>
      </c>
      <c r="Q23" s="287">
        <f>'LOE Breakdown by Year'!D93</f>
        <v>0.1</v>
      </c>
      <c r="R23" s="119">
        <v>12</v>
      </c>
      <c r="S23" s="119">
        <f t="shared" ref="S23" si="11">R23*I23*$Q23*$F$8*$F$8*$F$8</f>
        <v>3599.5648000000001</v>
      </c>
      <c r="T23" s="287">
        <f>'LOE Breakdown by Year'!D117</f>
        <v>0.1</v>
      </c>
      <c r="U23" s="119">
        <v>9</v>
      </c>
      <c r="V23" s="119">
        <f t="shared" ref="V23" si="12">U23*I23*$T23*$F$8*$F$8*$F$8*$F$8</f>
        <v>2807.6605440000003</v>
      </c>
      <c r="W23" s="119">
        <f t="shared" si="4"/>
        <v>13996.345343999999</v>
      </c>
      <c r="X23" s="119">
        <v>0</v>
      </c>
      <c r="Y23" s="119">
        <f t="shared" ref="Y23" si="13">SUM(W23:X23)</f>
        <v>13996.345343999999</v>
      </c>
      <c r="AA23" s="366">
        <v>0.5</v>
      </c>
      <c r="AB23" s="366">
        <v>0.5</v>
      </c>
    </row>
    <row r="24" spans="1:28">
      <c r="A24" s="58" t="s">
        <v>218</v>
      </c>
      <c r="B24" s="58">
        <v>70000</v>
      </c>
      <c r="C24" s="58" t="s">
        <v>222</v>
      </c>
      <c r="D24" s="58">
        <v>0</v>
      </c>
      <c r="E24" s="58" t="s">
        <v>231</v>
      </c>
      <c r="F24" s="287">
        <f>'LOE Breakdown by Year'!D22</f>
        <v>0.33333333333333331</v>
      </c>
      <c r="G24" s="127" t="s">
        <v>221</v>
      </c>
      <c r="H24" s="119">
        <v>8</v>
      </c>
      <c r="I24" s="119">
        <f>82000/12</f>
        <v>6833.333333333333</v>
      </c>
      <c r="J24" s="119">
        <f t="shared" si="0"/>
        <v>18222.222222222219</v>
      </c>
      <c r="K24" s="287">
        <f>'LOE Breakdown by Year'!D46</f>
        <v>0.33333333333333331</v>
      </c>
      <c r="L24" s="119">
        <v>12</v>
      </c>
      <c r="M24" s="119">
        <f t="shared" si="2"/>
        <v>28426.666666666664</v>
      </c>
      <c r="N24" s="287">
        <f>'LOE Breakdown by Year'!D70</f>
        <v>0.33333333333333331</v>
      </c>
      <c r="O24" s="119">
        <v>12</v>
      </c>
      <c r="P24" s="119">
        <f t="shared" si="1"/>
        <v>29563.733333333337</v>
      </c>
      <c r="Q24" s="287">
        <f>'LOE Breakdown by Year'!D94</f>
        <v>0.33333333333333331</v>
      </c>
      <c r="R24" s="119">
        <v>12</v>
      </c>
      <c r="S24" s="119">
        <f t="shared" si="5"/>
        <v>30746.282666666673</v>
      </c>
      <c r="T24" s="287">
        <f>'LOE Breakdown by Year'!D118</f>
        <v>0.33333333333333331</v>
      </c>
      <c r="U24" s="119">
        <v>12</v>
      </c>
      <c r="V24" s="119">
        <f t="shared" si="3"/>
        <v>31976.133973333341</v>
      </c>
      <c r="W24" s="119">
        <f t="shared" si="4"/>
        <v>138935.03886222222</v>
      </c>
      <c r="X24" s="119">
        <v>0</v>
      </c>
      <c r="Y24" s="119">
        <f>SUM(W24:X24)</f>
        <v>138935.03886222222</v>
      </c>
      <c r="AA24" s="366">
        <v>0.5</v>
      </c>
      <c r="AB24" s="366">
        <v>0.5</v>
      </c>
    </row>
    <row r="25" spans="1:28">
      <c r="A25" s="58" t="s">
        <v>218</v>
      </c>
      <c r="B25" s="58">
        <v>70000</v>
      </c>
      <c r="C25" s="58" t="s">
        <v>222</v>
      </c>
      <c r="D25" s="58">
        <v>0</v>
      </c>
      <c r="E25" s="58" t="s">
        <v>156</v>
      </c>
      <c r="F25" s="287">
        <f>'LOE Breakdown by Year'!D23</f>
        <v>1</v>
      </c>
      <c r="G25" s="127" t="s">
        <v>221</v>
      </c>
      <c r="H25" s="119">
        <v>3</v>
      </c>
      <c r="I25" s="119">
        <f>21000/12</f>
        <v>1750</v>
      </c>
      <c r="J25" s="119">
        <f t="shared" si="0"/>
        <v>5250</v>
      </c>
      <c r="K25" s="287">
        <f>'LOE Breakdown by Year'!D47</f>
        <v>1</v>
      </c>
      <c r="L25" s="119">
        <v>12</v>
      </c>
      <c r="M25" s="119">
        <f t="shared" si="2"/>
        <v>21840</v>
      </c>
      <c r="N25" s="287">
        <f>'LOE Breakdown by Year'!D71</f>
        <v>1</v>
      </c>
      <c r="O25" s="119">
        <v>12</v>
      </c>
      <c r="P25" s="119">
        <f t="shared" si="1"/>
        <v>22713.600000000002</v>
      </c>
      <c r="Q25" s="287">
        <f>'LOE Breakdown by Year'!D95</f>
        <v>1</v>
      </c>
      <c r="R25" s="119">
        <v>12</v>
      </c>
      <c r="S25" s="119">
        <f t="shared" si="5"/>
        <v>23622.144000000004</v>
      </c>
      <c r="T25" s="287">
        <f>'LOE Breakdown by Year'!D119</f>
        <v>1</v>
      </c>
      <c r="U25" s="119">
        <v>9</v>
      </c>
      <c r="V25" s="119">
        <f t="shared" si="3"/>
        <v>18425.27232</v>
      </c>
      <c r="W25" s="119">
        <f t="shared" si="4"/>
        <v>91851.01632000001</v>
      </c>
      <c r="X25" s="119">
        <v>0</v>
      </c>
      <c r="Y25" s="119">
        <f>SUM(W25:X25)</f>
        <v>91851.01632000001</v>
      </c>
      <c r="AA25" s="366">
        <v>0.5</v>
      </c>
      <c r="AB25" s="366">
        <v>0.5</v>
      </c>
    </row>
    <row r="26" spans="1:28">
      <c r="A26" s="58" t="s">
        <v>218</v>
      </c>
      <c r="B26" s="58">
        <v>70000</v>
      </c>
      <c r="C26" s="58" t="s">
        <v>222</v>
      </c>
      <c r="D26" s="58">
        <v>0</v>
      </c>
      <c r="E26" s="58" t="s">
        <v>157</v>
      </c>
      <c r="F26" s="287">
        <f>'LOE Breakdown by Year'!D24</f>
        <v>0.5</v>
      </c>
      <c r="G26" s="127" t="s">
        <v>221</v>
      </c>
      <c r="H26" s="119">
        <v>3</v>
      </c>
      <c r="I26" s="119">
        <f>15000/12</f>
        <v>1250</v>
      </c>
      <c r="J26" s="119">
        <f t="shared" si="0"/>
        <v>1875</v>
      </c>
      <c r="K26" s="287">
        <f>'LOE Breakdown by Year'!D48</f>
        <v>0.5</v>
      </c>
      <c r="L26" s="119">
        <v>12</v>
      </c>
      <c r="M26" s="119">
        <f t="shared" si="2"/>
        <v>7800</v>
      </c>
      <c r="N26" s="287">
        <f>'LOE Breakdown by Year'!D72</f>
        <v>0.5</v>
      </c>
      <c r="O26" s="119">
        <v>12</v>
      </c>
      <c r="P26" s="119">
        <f t="shared" si="1"/>
        <v>8112</v>
      </c>
      <c r="Q26" s="287">
        <f>'LOE Breakdown by Year'!D96</f>
        <v>0.5</v>
      </c>
      <c r="R26" s="119">
        <v>12</v>
      </c>
      <c r="S26" s="119">
        <f t="shared" si="5"/>
        <v>8436.48</v>
      </c>
      <c r="T26" s="287">
        <f>'LOE Breakdown by Year'!D120</f>
        <v>0.5</v>
      </c>
      <c r="U26" s="119">
        <v>9</v>
      </c>
      <c r="V26" s="119">
        <f t="shared" si="3"/>
        <v>6580.4544000000005</v>
      </c>
      <c r="W26" s="119">
        <f t="shared" si="4"/>
        <v>32803.934399999998</v>
      </c>
      <c r="X26" s="119">
        <v>0</v>
      </c>
      <c r="Y26" s="119">
        <f>SUM(W26:X26)</f>
        <v>32803.934399999998</v>
      </c>
      <c r="AA26" s="366">
        <v>0.5</v>
      </c>
      <c r="AB26" s="366">
        <v>0.5</v>
      </c>
    </row>
    <row r="27" spans="1:28">
      <c r="A27" s="58" t="s">
        <v>218</v>
      </c>
      <c r="B27" s="58">
        <v>70000</v>
      </c>
      <c r="C27" s="58" t="s">
        <v>222</v>
      </c>
      <c r="D27" s="58">
        <v>0</v>
      </c>
      <c r="E27" s="58" t="s">
        <v>232</v>
      </c>
      <c r="F27" s="287">
        <f>'LOE Breakdown by Year'!D25</f>
        <v>1</v>
      </c>
      <c r="G27" s="127" t="s">
        <v>221</v>
      </c>
      <c r="H27" s="119">
        <v>3</v>
      </c>
      <c r="I27" s="119">
        <f>12000/12</f>
        <v>1000</v>
      </c>
      <c r="J27" s="119">
        <f t="shared" ref="J27" si="14">H27*I27*F27</f>
        <v>3000</v>
      </c>
      <c r="K27" s="287">
        <f>'LOE Breakdown by Year'!D49</f>
        <v>1</v>
      </c>
      <c r="L27" s="119">
        <v>12</v>
      </c>
      <c r="M27" s="119">
        <f t="shared" ref="M27" si="15">L27*I27*$F$8*$K27</f>
        <v>12480</v>
      </c>
      <c r="N27" s="287">
        <f>'LOE Breakdown by Year'!D73</f>
        <v>1</v>
      </c>
      <c r="O27" s="119">
        <v>12</v>
      </c>
      <c r="P27" s="119">
        <f t="shared" ref="P27" si="16">O27*I27*$N27*$F$8*$F$8</f>
        <v>12979.2</v>
      </c>
      <c r="Q27" s="287">
        <f>'LOE Breakdown by Year'!D97</f>
        <v>1</v>
      </c>
      <c r="R27" s="119">
        <v>12</v>
      </c>
      <c r="S27" s="119">
        <f t="shared" ref="S27" si="17">R27*I27*$Q27*$F$8*$F$8*$F$8</f>
        <v>13498.368</v>
      </c>
      <c r="T27" s="287">
        <f>'LOE Breakdown by Year'!D121</f>
        <v>1</v>
      </c>
      <c r="U27" s="119">
        <v>9</v>
      </c>
      <c r="V27" s="119">
        <f t="shared" ref="V27" si="18">U27*I27*$T27*$F$8*$F$8*$F$8*$F$8</f>
        <v>10528.72704</v>
      </c>
      <c r="W27" s="119">
        <f t="shared" ref="W27" si="19">SUM(S27,P27,M27,J27,V27)</f>
        <v>52486.295039999997</v>
      </c>
      <c r="X27" s="119">
        <v>0</v>
      </c>
      <c r="Y27" s="119">
        <f>SUM(W27:X27)</f>
        <v>52486.295039999997</v>
      </c>
      <c r="AA27" s="366">
        <v>0.5</v>
      </c>
      <c r="AB27" s="366">
        <v>0.5</v>
      </c>
    </row>
    <row r="28" spans="1:28">
      <c r="A28" s="238"/>
      <c r="B28" s="238"/>
      <c r="C28" s="238"/>
      <c r="D28" s="238"/>
      <c r="E28" s="238" t="s">
        <v>233</v>
      </c>
      <c r="F28" s="289"/>
      <c r="G28" s="243"/>
      <c r="H28" s="244"/>
      <c r="I28" s="244"/>
      <c r="J28" s="244"/>
      <c r="K28" s="289"/>
      <c r="L28" s="244"/>
      <c r="M28" s="244"/>
      <c r="N28" s="289"/>
      <c r="O28" s="244"/>
      <c r="P28" s="244"/>
      <c r="Q28" s="289"/>
      <c r="R28" s="244"/>
      <c r="S28" s="244"/>
      <c r="T28" s="289"/>
      <c r="U28" s="244"/>
      <c r="V28" s="244"/>
      <c r="W28" s="244"/>
      <c r="X28" s="244"/>
      <c r="Y28" s="244"/>
      <c r="AA28" s="366"/>
      <c r="AB28" s="366"/>
    </row>
    <row r="29" spans="1:28">
      <c r="A29" s="58" t="s">
        <v>218</v>
      </c>
      <c r="B29" s="58">
        <v>50000</v>
      </c>
      <c r="C29" s="58" t="s">
        <v>219</v>
      </c>
      <c r="D29" s="58">
        <v>0</v>
      </c>
      <c r="E29" s="58" t="s">
        <v>234</v>
      </c>
      <c r="F29" s="288">
        <v>0.2</v>
      </c>
      <c r="G29" s="127" t="s">
        <v>221</v>
      </c>
      <c r="H29" s="119">
        <v>12</v>
      </c>
      <c r="I29" s="119">
        <f>120000/12</f>
        <v>10000</v>
      </c>
      <c r="J29" s="119">
        <f>H29*I29*F29</f>
        <v>24000</v>
      </c>
      <c r="K29" s="288">
        <v>0.2</v>
      </c>
      <c r="L29" s="119">
        <v>12</v>
      </c>
      <c r="M29" s="119">
        <f t="shared" ref="M29" si="20">L29*I29*$F$8*$K29</f>
        <v>24960</v>
      </c>
      <c r="N29" s="288">
        <v>0.2</v>
      </c>
      <c r="O29" s="119">
        <v>12</v>
      </c>
      <c r="P29" s="119">
        <f>O29*I29*$N29*$F$8*$F$8</f>
        <v>25958.400000000001</v>
      </c>
      <c r="Q29" s="288">
        <v>0.2</v>
      </c>
      <c r="R29" s="119">
        <v>12</v>
      </c>
      <c r="S29" s="119">
        <f>R29*I29*$Q29*$F$8*$F$8*$F$8</f>
        <v>26996.736000000001</v>
      </c>
      <c r="T29" s="288">
        <v>0.2</v>
      </c>
      <c r="U29" s="119">
        <v>12</v>
      </c>
      <c r="V29" s="119">
        <f t="shared" ref="V29" si="21">U29*I29*$T29*$F$8*$F$8*$F$8*$F$8</f>
        <v>28076.605440000003</v>
      </c>
      <c r="W29" s="119">
        <f t="shared" ref="W29" si="22">SUM(S29,P29,M29,J29,V29)</f>
        <v>129991.74144</v>
      </c>
      <c r="X29" s="119">
        <v>0</v>
      </c>
      <c r="Y29" s="119">
        <f>SUM(W29:X29)</f>
        <v>129991.74144</v>
      </c>
      <c r="Z29" s="158"/>
      <c r="AA29" s="366">
        <v>0.5</v>
      </c>
      <c r="AB29" s="366">
        <v>0.5</v>
      </c>
    </row>
    <row r="30" spans="1:28">
      <c r="A30" s="58" t="s">
        <v>218</v>
      </c>
      <c r="B30" s="58">
        <v>50000</v>
      </c>
      <c r="C30" s="58" t="s">
        <v>219</v>
      </c>
      <c r="D30" s="58">
        <v>0</v>
      </c>
      <c r="E30" s="58" t="s">
        <v>159</v>
      </c>
      <c r="F30" s="288">
        <f>'LOE Breakdown by Year'!D28</f>
        <v>1</v>
      </c>
      <c r="G30" s="127" t="s">
        <v>221</v>
      </c>
      <c r="H30" s="119">
        <v>12</v>
      </c>
      <c r="I30" s="119">
        <f>60000/12</f>
        <v>5000</v>
      </c>
      <c r="J30" s="119">
        <f>H30*I30*F30</f>
        <v>60000</v>
      </c>
      <c r="K30" s="288">
        <f>'LOE Breakdown by Year'!D52</f>
        <v>1</v>
      </c>
      <c r="L30" s="119">
        <v>12</v>
      </c>
      <c r="M30" s="119">
        <f t="shared" ref="M30" si="23">L30*I30*$F$8*$K30</f>
        <v>62400</v>
      </c>
      <c r="N30" s="288">
        <f>'LOE Breakdown by Year'!D76</f>
        <v>1</v>
      </c>
      <c r="O30" s="119">
        <v>12</v>
      </c>
      <c r="P30" s="119">
        <f>O30*I30*$N30*$F$8*$F$8</f>
        <v>64896</v>
      </c>
      <c r="Q30" s="288">
        <f>'LOE Breakdown by Year'!D100</f>
        <v>1</v>
      </c>
      <c r="R30" s="119">
        <v>12</v>
      </c>
      <c r="S30" s="119">
        <f>R30*I30*$Q30*$F$8*$F$8*$F$8</f>
        <v>67491.839999999997</v>
      </c>
      <c r="T30" s="288">
        <f>'LOE Breakdown by Year'!D124</f>
        <v>1</v>
      </c>
      <c r="U30" s="119">
        <v>12</v>
      </c>
      <c r="V30" s="119">
        <f t="shared" ref="V30" si="24">U30*I30*$T30*$F$8*$F$8*$F$8*$F$8</f>
        <v>70191.513600000006</v>
      </c>
      <c r="W30" s="119">
        <f t="shared" ref="W30" si="25">SUM(S30,P30,M30,J30,V30)</f>
        <v>324979.35360000003</v>
      </c>
      <c r="X30" s="119">
        <v>0</v>
      </c>
      <c r="Y30" s="119">
        <f>SUM(W30:X30)</f>
        <v>324979.35360000003</v>
      </c>
      <c r="Z30" s="158"/>
      <c r="AA30" s="366">
        <v>0.5</v>
      </c>
      <c r="AB30" s="366">
        <v>0.5</v>
      </c>
    </row>
    <row r="31" spans="1:28">
      <c r="A31" s="58"/>
      <c r="B31" s="58"/>
      <c r="C31" s="58"/>
      <c r="D31" s="58"/>
      <c r="F31" s="287"/>
      <c r="G31" s="127"/>
      <c r="H31" s="119"/>
      <c r="I31" s="119"/>
      <c r="J31" s="119"/>
      <c r="K31" s="287"/>
      <c r="L31" s="119"/>
      <c r="M31" s="119"/>
      <c r="N31" s="287"/>
      <c r="O31" s="119"/>
      <c r="P31" s="119"/>
      <c r="Q31" s="287"/>
      <c r="R31" s="119"/>
      <c r="S31" s="119"/>
      <c r="T31" s="287"/>
      <c r="U31" s="119"/>
      <c r="V31" s="119"/>
      <c r="W31" s="119"/>
      <c r="X31" s="119"/>
      <c r="Y31" s="119"/>
    </row>
    <row r="32" spans="1:28" ht="12.9" thickBot="1">
      <c r="A32" s="143"/>
      <c r="B32" s="143"/>
      <c r="C32" s="143"/>
      <c r="D32" s="143"/>
      <c r="E32" s="143" t="s">
        <v>160</v>
      </c>
      <c r="F32" s="290"/>
      <c r="G32" s="143"/>
      <c r="H32" s="143"/>
      <c r="I32" s="143"/>
      <c r="J32" s="146">
        <f>SUM(J13:J30)</f>
        <v>188172.22222222222</v>
      </c>
      <c r="K32" s="290"/>
      <c r="L32" s="146"/>
      <c r="M32" s="146">
        <f>SUM(M13:M30)</f>
        <v>268458.66666666663</v>
      </c>
      <c r="N32" s="290"/>
      <c r="O32" s="146"/>
      <c r="P32" s="146">
        <f>SUM(P13:P30)</f>
        <v>279197.01333333331</v>
      </c>
      <c r="Q32" s="290"/>
      <c r="R32" s="146"/>
      <c r="S32" s="146">
        <f>SUM(S13:S30)</f>
        <v>267080.20906666666</v>
      </c>
      <c r="T32" s="290"/>
      <c r="U32" s="146"/>
      <c r="V32" s="146">
        <f>SUM(V13:V30)</f>
        <v>270861.25192533334</v>
      </c>
      <c r="W32" s="146">
        <f>SUM(W13:W30)</f>
        <v>1273769.3632142222</v>
      </c>
      <c r="X32" s="146">
        <f>SUM(X13:X30)</f>
        <v>0</v>
      </c>
      <c r="Y32" s="146">
        <f>SUM(Y13:Y30)</f>
        <v>1273769.3632142222</v>
      </c>
      <c r="AA32" s="146">
        <f>SUMPRODUCT(Y13:Y27,AA13:AA27)+SUMPRODUCT(Y29:Y30,AA29:AA30)</f>
        <v>636884.68160711112</v>
      </c>
      <c r="AB32" s="146">
        <f>+SUMPRODUCT(Y13:Y27,AB13:AB27)+SUMPRODUCT(Y29:Y30,AB29:AB30)</f>
        <v>636884.68160711112</v>
      </c>
    </row>
    <row r="33" spans="1:28">
      <c r="E33" s="245"/>
      <c r="F33" s="291"/>
      <c r="G33" s="245"/>
      <c r="H33" s="154"/>
      <c r="I33" s="154"/>
      <c r="J33" s="154"/>
      <c r="K33" s="291"/>
      <c r="L33" s="154"/>
      <c r="M33" s="154"/>
      <c r="N33" s="291"/>
      <c r="O33" s="154"/>
      <c r="P33" s="154"/>
      <c r="Q33" s="291"/>
      <c r="R33" s="154"/>
      <c r="S33" s="154"/>
      <c r="T33" s="291"/>
      <c r="U33" s="154"/>
      <c r="V33" s="154"/>
      <c r="W33" s="154"/>
      <c r="X33" s="154"/>
      <c r="Y33" s="154"/>
    </row>
    <row r="34" spans="1:28">
      <c r="A34" s="106"/>
      <c r="B34" s="106"/>
      <c r="C34" s="106"/>
      <c r="D34" s="106"/>
      <c r="E34" s="106" t="s">
        <v>235</v>
      </c>
      <c r="F34" s="292"/>
      <c r="G34" s="106"/>
      <c r="H34" s="106"/>
      <c r="I34" s="107"/>
      <c r="J34" s="108"/>
      <c r="K34" s="292"/>
      <c r="L34" s="108"/>
      <c r="M34" s="108"/>
      <c r="N34" s="292"/>
      <c r="O34" s="108"/>
      <c r="P34" s="108"/>
      <c r="Q34" s="292"/>
      <c r="R34" s="108"/>
      <c r="S34" s="108"/>
      <c r="T34" s="292"/>
      <c r="U34" s="108"/>
      <c r="V34" s="108"/>
      <c r="W34" s="108"/>
      <c r="X34" s="108"/>
      <c r="Y34" s="108"/>
    </row>
    <row r="35" spans="1:28">
      <c r="A35" s="58" t="s">
        <v>236</v>
      </c>
      <c r="B35" s="58">
        <v>70015</v>
      </c>
      <c r="C35" s="58" t="s">
        <v>222</v>
      </c>
      <c r="D35" s="58">
        <v>0</v>
      </c>
      <c r="E35" s="58" t="s">
        <v>237</v>
      </c>
      <c r="F35" s="288"/>
      <c r="G35" s="246" t="s">
        <v>238</v>
      </c>
      <c r="H35" s="119"/>
      <c r="I35" s="438">
        <v>0.53864000000000001</v>
      </c>
      <c r="J35" s="119">
        <f>(J14+J15+J16+J24+J19+J17+J21+J22+J23)*$I$35</f>
        <v>37662.905777777778</v>
      </c>
      <c r="K35" s="288"/>
      <c r="L35" s="119"/>
      <c r="M35" s="119">
        <f>(M14+M15+M16+M24+M19+M17+M21+M22+M23)*$I$35</f>
        <v>62815.478613333325</v>
      </c>
      <c r="N35" s="288"/>
      <c r="O35" s="119"/>
      <c r="P35" s="119">
        <f>(P14+P15+P16+P24+P19+P17+P21+P22+P23)*$I$35</f>
        <v>65328.097757866664</v>
      </c>
      <c r="Q35" s="288"/>
      <c r="R35" s="119"/>
      <c r="S35" s="119">
        <f>(S14+S15+S16+S24+S19+S17+S21+S22+S23)*$I$35</f>
        <v>55399.159047509333</v>
      </c>
      <c r="T35" s="288"/>
      <c r="U35" s="119"/>
      <c r="V35" s="119">
        <f>(V14+V15+V16+V24+V19+V17+V21+V22+V23)*$I$35</f>
        <v>61301.401205746362</v>
      </c>
      <c r="W35" s="119">
        <f t="shared" ref="W35:W42" si="26">SUM(S35,P35,M35,J35,V35)</f>
        <v>282507.04240223346</v>
      </c>
      <c r="X35" s="154">
        <v>0</v>
      </c>
      <c r="Y35" s="119">
        <f t="shared" ref="Y35:Y41" si="27">SUM(W35:X35)</f>
        <v>282507.04240223346</v>
      </c>
      <c r="AA35" s="366">
        <v>0.5</v>
      </c>
      <c r="AB35" s="366">
        <v>0.5</v>
      </c>
    </row>
    <row r="36" spans="1:28">
      <c r="A36" s="58" t="s">
        <v>236</v>
      </c>
      <c r="B36" s="58">
        <v>70015</v>
      </c>
      <c r="C36" s="58" t="s">
        <v>222</v>
      </c>
      <c r="D36" s="58">
        <v>0</v>
      </c>
      <c r="E36" s="58" t="s">
        <v>239</v>
      </c>
      <c r="F36" s="288"/>
      <c r="G36" s="246" t="s">
        <v>238</v>
      </c>
      <c r="H36" s="119"/>
      <c r="I36" s="438">
        <v>0.40364</v>
      </c>
      <c r="J36" s="119">
        <f>(J18+J20+J25+J26+J27)*$I$36</f>
        <v>4742.7700000000004</v>
      </c>
      <c r="K36" s="288"/>
      <c r="L36" s="119"/>
      <c r="M36" s="119">
        <f>(M18+M20+M25+M26+M27)*$I$36</f>
        <v>19729.923200000001</v>
      </c>
      <c r="N36" s="288"/>
      <c r="O36" s="119"/>
      <c r="P36" s="119">
        <f>(P18+P20+P25+P26+P27)*$I$36</f>
        <v>20519.120127999999</v>
      </c>
      <c r="Q36" s="288"/>
      <c r="R36" s="119"/>
      <c r="S36" s="119">
        <f>(S18+S20+S25+S26+S27)*$I$36</f>
        <v>21339.884933120004</v>
      </c>
      <c r="T36" s="288"/>
      <c r="U36" s="119"/>
      <c r="V36" s="119">
        <f>(V18+V20+V25+V26+V27)*$I$36</f>
        <v>16645.1102478336</v>
      </c>
      <c r="W36" s="119">
        <f t="shared" si="26"/>
        <v>82976.808508953603</v>
      </c>
      <c r="X36" s="154">
        <v>0</v>
      </c>
      <c r="Y36" s="119">
        <f t="shared" si="27"/>
        <v>82976.808508953603</v>
      </c>
      <c r="AA36" s="366">
        <v>0.5</v>
      </c>
      <c r="AB36" s="366">
        <v>0.5</v>
      </c>
    </row>
    <row r="37" spans="1:28">
      <c r="A37" s="58" t="s">
        <v>236</v>
      </c>
      <c r="B37" s="58">
        <v>50900</v>
      </c>
      <c r="C37" s="58" t="s">
        <v>219</v>
      </c>
      <c r="D37" s="58">
        <v>0</v>
      </c>
      <c r="E37" s="58" t="s">
        <v>240</v>
      </c>
      <c r="F37" s="288"/>
      <c r="G37" s="246" t="s">
        <v>238</v>
      </c>
      <c r="H37" s="353"/>
      <c r="I37" s="155">
        <v>0.21809999999999999</v>
      </c>
      <c r="J37" s="119">
        <f>(J30+J29)*$I$37</f>
        <v>18320.399999999998</v>
      </c>
      <c r="K37" s="288"/>
      <c r="L37" s="119"/>
      <c r="M37" s="119">
        <f>(M30+M29)*$I$37</f>
        <v>19053.216</v>
      </c>
      <c r="N37" s="288"/>
      <c r="O37" s="119"/>
      <c r="P37" s="119">
        <f>(P30+P29)*$I$37</f>
        <v>19815.344639999999</v>
      </c>
      <c r="Q37" s="288"/>
      <c r="R37" s="119"/>
      <c r="S37" s="119">
        <f>(S30+S29)*$I$37</f>
        <v>20607.958425599998</v>
      </c>
      <c r="T37" s="288"/>
      <c r="U37" s="119"/>
      <c r="V37" s="119">
        <f>(V30+V29)*$I$37</f>
        <v>21432.276762623998</v>
      </c>
      <c r="W37" s="119">
        <f t="shared" si="26"/>
        <v>99229.195828223994</v>
      </c>
      <c r="X37" s="154">
        <v>0</v>
      </c>
      <c r="Y37" s="119">
        <f t="shared" si="27"/>
        <v>99229.195828223994</v>
      </c>
      <c r="AA37" s="366">
        <v>0.5</v>
      </c>
      <c r="AB37" s="366">
        <v>0.5</v>
      </c>
    </row>
    <row r="38" spans="1:28">
      <c r="A38" s="56" t="s">
        <v>241</v>
      </c>
      <c r="B38" s="58">
        <v>50202</v>
      </c>
      <c r="C38" s="58" t="s">
        <v>222</v>
      </c>
      <c r="D38" s="56">
        <v>0</v>
      </c>
      <c r="E38" s="120" t="s">
        <v>242</v>
      </c>
      <c r="F38" s="293"/>
      <c r="G38" s="246" t="s">
        <v>238</v>
      </c>
      <c r="I38" s="247">
        <v>0.1</v>
      </c>
      <c r="J38" s="248">
        <f>J13*$I$38</f>
        <v>2250</v>
      </c>
      <c r="K38" s="293"/>
      <c r="L38" s="248"/>
      <c r="M38" s="248">
        <f>M13*$I$38</f>
        <v>1560</v>
      </c>
      <c r="N38" s="293"/>
      <c r="O38" s="248"/>
      <c r="P38" s="248">
        <f>P13*$I$38</f>
        <v>1622.4</v>
      </c>
      <c r="Q38" s="293"/>
      <c r="R38" s="248"/>
      <c r="S38" s="248">
        <f>S13*$I$38</f>
        <v>1687.296</v>
      </c>
      <c r="T38" s="293"/>
      <c r="U38" s="248"/>
      <c r="V38" s="248">
        <f>V13*$I$38</f>
        <v>1754.7878400000002</v>
      </c>
      <c r="W38" s="119">
        <f t="shared" si="26"/>
        <v>8874.4838400000008</v>
      </c>
      <c r="X38" s="119" t="s">
        <v>243</v>
      </c>
      <c r="Y38" s="119">
        <f t="shared" si="27"/>
        <v>8874.4838400000008</v>
      </c>
      <c r="AA38" s="366">
        <v>0.5</v>
      </c>
      <c r="AB38" s="366">
        <v>0.5</v>
      </c>
    </row>
    <row r="39" spans="1:28">
      <c r="A39" s="58" t="s">
        <v>236</v>
      </c>
      <c r="B39" s="58">
        <v>50900</v>
      </c>
      <c r="C39" s="58" t="s">
        <v>219</v>
      </c>
      <c r="D39" s="58">
        <v>0</v>
      </c>
      <c r="E39" s="120" t="s">
        <v>244</v>
      </c>
      <c r="F39" s="293"/>
      <c r="G39" s="246" t="s">
        <v>238</v>
      </c>
      <c r="I39" s="359">
        <v>0.56810000000000005</v>
      </c>
      <c r="J39" s="248">
        <f>J13*$I$39</f>
        <v>12782.250000000002</v>
      </c>
      <c r="K39" s="293"/>
      <c r="L39" s="248"/>
      <c r="M39" s="248">
        <f>M13*$I$39</f>
        <v>8862.36</v>
      </c>
      <c r="N39" s="293"/>
      <c r="O39" s="248"/>
      <c r="P39" s="248">
        <f>P13*$I$39</f>
        <v>9216.8544000000002</v>
      </c>
      <c r="Q39" s="293"/>
      <c r="R39" s="248"/>
      <c r="S39" s="248">
        <f>S13*$I$39</f>
        <v>9585.5285760000006</v>
      </c>
      <c r="T39" s="293"/>
      <c r="U39" s="248"/>
      <c r="V39" s="248">
        <f>V13*$I$39</f>
        <v>9968.9497190400016</v>
      </c>
      <c r="W39" s="119">
        <f t="shared" ref="W39" si="28">SUM(S39,P39,M39,J39,V39)</f>
        <v>50415.942695040001</v>
      </c>
      <c r="X39" s="119" t="s">
        <v>243</v>
      </c>
      <c r="Y39" s="119">
        <f t="shared" si="27"/>
        <v>50415.942695040001</v>
      </c>
      <c r="AA39" s="366">
        <v>0.5</v>
      </c>
      <c r="AB39" s="366">
        <v>0.5</v>
      </c>
    </row>
    <row r="40" spans="1:28">
      <c r="A40" s="56" t="s">
        <v>245</v>
      </c>
      <c r="B40" s="58">
        <v>50203</v>
      </c>
      <c r="C40" s="58" t="s">
        <v>222</v>
      </c>
      <c r="D40" s="56">
        <v>0</v>
      </c>
      <c r="E40" s="58" t="s">
        <v>246</v>
      </c>
      <c r="G40" s="58" t="s">
        <v>221</v>
      </c>
      <c r="H40" s="119">
        <v>4</v>
      </c>
      <c r="I40" s="119">
        <v>2500</v>
      </c>
      <c r="J40" s="119">
        <f>H40*I40</f>
        <v>10000</v>
      </c>
      <c r="K40" s="296"/>
      <c r="L40" s="119">
        <v>12</v>
      </c>
      <c r="M40" s="119">
        <f t="shared" ref="M40" si="29">I40*L40*$F$6</f>
        <v>30900</v>
      </c>
      <c r="N40" s="296"/>
      <c r="O40" s="119">
        <v>12</v>
      </c>
      <c r="P40" s="119">
        <f>I40*O40*$F$6*$F$6</f>
        <v>31827</v>
      </c>
      <c r="Q40" s="296"/>
      <c r="R40" s="119">
        <v>12</v>
      </c>
      <c r="S40" s="119">
        <f t="shared" ref="S40" si="30">I40*R40*$F$6*$F$6*$F$6</f>
        <v>32781.81</v>
      </c>
      <c r="T40" s="296"/>
      <c r="U40" s="119">
        <v>12</v>
      </c>
      <c r="V40" s="119">
        <f t="shared" ref="V40" si="31">U40*I40*$F$6*$F$6*$F$6*$F$6</f>
        <v>33765.264299999995</v>
      </c>
      <c r="W40" s="119">
        <f t="shared" ref="W40" si="32">SUM(S40,P40,M40,J40,V40)</f>
        <v>139274.07429999998</v>
      </c>
      <c r="X40" s="119" t="s">
        <v>243</v>
      </c>
      <c r="Y40" s="119">
        <f t="shared" si="27"/>
        <v>139274.07429999998</v>
      </c>
      <c r="AA40" s="366">
        <v>0.5</v>
      </c>
      <c r="AB40" s="366">
        <v>0.5</v>
      </c>
    </row>
    <row r="41" spans="1:28">
      <c r="A41" s="58" t="s">
        <v>247</v>
      </c>
      <c r="B41" s="58">
        <v>50205</v>
      </c>
      <c r="C41" s="58" t="s">
        <v>222</v>
      </c>
      <c r="D41" s="58">
        <v>0</v>
      </c>
      <c r="E41" s="58" t="s">
        <v>248</v>
      </c>
      <c r="G41" s="58" t="s">
        <v>249</v>
      </c>
      <c r="H41" s="119">
        <v>1</v>
      </c>
      <c r="I41" s="119">
        <v>25000</v>
      </c>
      <c r="J41" s="119">
        <f>H41*I41</f>
        <v>25000</v>
      </c>
      <c r="K41" s="296"/>
      <c r="L41" s="119">
        <v>0</v>
      </c>
      <c r="M41" s="119">
        <f t="shared" ref="M41:M42" si="33">I41*L41*$F$6</f>
        <v>0</v>
      </c>
      <c r="N41" s="296"/>
      <c r="O41" s="119">
        <v>0</v>
      </c>
      <c r="P41" s="119">
        <f>I41*O41*$F$6*$F$6</f>
        <v>0</v>
      </c>
      <c r="Q41" s="296"/>
      <c r="R41" s="119">
        <v>0</v>
      </c>
      <c r="S41" s="119">
        <f t="shared" ref="S41:S42" si="34">I41*R41*$F$6*$F$6*$F$6</f>
        <v>0</v>
      </c>
      <c r="T41" s="296"/>
      <c r="U41" s="119">
        <v>1</v>
      </c>
      <c r="V41" s="119">
        <f t="shared" ref="V41:V42" si="35">U41*I41*$F$6*$F$6*$F$6*$F$6</f>
        <v>28137.720249999998</v>
      </c>
      <c r="W41" s="119">
        <f t="shared" si="26"/>
        <v>53137.720249999998</v>
      </c>
      <c r="X41" s="119" t="s">
        <v>243</v>
      </c>
      <c r="Y41" s="119">
        <f t="shared" si="27"/>
        <v>53137.720249999998</v>
      </c>
      <c r="AA41" s="366">
        <v>0.5</v>
      </c>
      <c r="AB41" s="366">
        <v>0.5</v>
      </c>
    </row>
    <row r="42" spans="1:28">
      <c r="A42" s="56" t="s">
        <v>250</v>
      </c>
      <c r="B42" s="58">
        <v>50206</v>
      </c>
      <c r="C42" s="58" t="s">
        <v>222</v>
      </c>
      <c r="D42" s="56">
        <v>0</v>
      </c>
      <c r="E42" s="58" t="s">
        <v>251</v>
      </c>
      <c r="G42" s="58" t="s">
        <v>249</v>
      </c>
      <c r="H42" s="119">
        <v>2</v>
      </c>
      <c r="I42" s="119">
        <v>800</v>
      </c>
      <c r="J42" s="119">
        <f>H42*I42</f>
        <v>1600</v>
      </c>
      <c r="K42" s="296"/>
      <c r="L42" s="119">
        <v>2</v>
      </c>
      <c r="M42" s="119">
        <f t="shared" si="33"/>
        <v>1648</v>
      </c>
      <c r="N42" s="296"/>
      <c r="O42" s="119">
        <v>2</v>
      </c>
      <c r="P42" s="119">
        <f t="shared" ref="P42" si="36">I42*O42*$F$6*$F$6</f>
        <v>1697.44</v>
      </c>
      <c r="Q42" s="296"/>
      <c r="R42" s="119">
        <v>2</v>
      </c>
      <c r="S42" s="119">
        <f t="shared" si="34"/>
        <v>1748.3632</v>
      </c>
      <c r="T42" s="296"/>
      <c r="U42" s="119">
        <v>2</v>
      </c>
      <c r="V42" s="119">
        <f t="shared" si="35"/>
        <v>1800.8140960000001</v>
      </c>
      <c r="W42" s="119">
        <f t="shared" si="26"/>
        <v>8494.6172960000004</v>
      </c>
      <c r="X42" s="119" t="s">
        <v>243</v>
      </c>
      <c r="Y42" s="119">
        <f>SUM(W42:X42)</f>
        <v>8494.6172960000004</v>
      </c>
      <c r="AA42" s="366">
        <v>0.5</v>
      </c>
      <c r="AB42" s="366">
        <v>0.5</v>
      </c>
    </row>
    <row r="43" spans="1:28">
      <c r="A43" s="120"/>
      <c r="B43" s="120"/>
      <c r="C43" s="120"/>
      <c r="D43" s="120"/>
      <c r="E43" s="120"/>
      <c r="F43" s="293"/>
      <c r="J43" s="119"/>
      <c r="K43" s="293"/>
      <c r="L43" s="119"/>
      <c r="M43" s="119"/>
      <c r="N43" s="293"/>
      <c r="O43" s="119"/>
      <c r="P43" s="119"/>
      <c r="Q43" s="293"/>
      <c r="R43" s="119"/>
      <c r="S43" s="119"/>
      <c r="T43" s="293"/>
      <c r="U43" s="119"/>
      <c r="V43" s="119"/>
      <c r="W43" s="119"/>
      <c r="X43" s="119"/>
      <c r="Y43" s="119"/>
      <c r="AA43" s="366"/>
      <c r="AB43" s="366"/>
    </row>
    <row r="44" spans="1:28" ht="12.9" thickBot="1">
      <c r="A44" s="159"/>
      <c r="B44" s="159"/>
      <c r="C44" s="159"/>
      <c r="D44" s="159"/>
      <c r="E44" s="159" t="s">
        <v>162</v>
      </c>
      <c r="F44" s="294"/>
      <c r="G44" s="143"/>
      <c r="H44" s="159"/>
      <c r="I44" s="145"/>
      <c r="J44" s="146">
        <f>SUM(J35:J43)</f>
        <v>112358.32577777778</v>
      </c>
      <c r="K44" s="294"/>
      <c r="L44" s="146"/>
      <c r="M44" s="146">
        <f>SUM(M35:M43)</f>
        <v>144568.97781333333</v>
      </c>
      <c r="N44" s="294"/>
      <c r="O44" s="146"/>
      <c r="P44" s="146">
        <f>SUM(P35:P43)</f>
        <v>150026.25692586665</v>
      </c>
      <c r="Q44" s="294"/>
      <c r="R44" s="146"/>
      <c r="S44" s="146">
        <f>SUM(S35:S43)</f>
        <v>143150.0001822293</v>
      </c>
      <c r="T44" s="294"/>
      <c r="U44" s="146"/>
      <c r="V44" s="146">
        <f>SUM(V35:V43)</f>
        <v>174806.32442124397</v>
      </c>
      <c r="W44" s="146">
        <f>SUM(W35:W43)</f>
        <v>724909.8851204511</v>
      </c>
      <c r="X44" s="146">
        <f>SUM(X35:X43)</f>
        <v>0</v>
      </c>
      <c r="Y44" s="146">
        <f>SUM(Y35:Y43)</f>
        <v>724909.8851204511</v>
      </c>
      <c r="AA44" s="146">
        <f>SUMPRODUCT(Y35:Y42,AA35:AA42)</f>
        <v>362454.94256022555</v>
      </c>
      <c r="AB44" s="146">
        <f>SUMPRODUCT(Y35:Y42,AB35:AB42)</f>
        <v>362454.94256022555</v>
      </c>
    </row>
    <row r="45" spans="1:28">
      <c r="E45" s="245"/>
      <c r="F45" s="291"/>
      <c r="G45" s="245"/>
      <c r="H45" s="154"/>
      <c r="I45" s="154"/>
      <c r="J45" s="154"/>
      <c r="K45" s="291"/>
      <c r="L45" s="154"/>
      <c r="M45" s="154"/>
      <c r="N45" s="291"/>
      <c r="O45" s="154"/>
      <c r="P45" s="154"/>
      <c r="Q45" s="291"/>
      <c r="R45" s="154"/>
      <c r="S45" s="154"/>
      <c r="T45" s="291"/>
      <c r="U45" s="154"/>
      <c r="V45" s="154"/>
      <c r="W45" s="154"/>
      <c r="X45" s="154"/>
      <c r="Y45" s="154"/>
    </row>
    <row r="46" spans="1:28">
      <c r="A46" s="106"/>
      <c r="B46" s="106"/>
      <c r="C46" s="106"/>
      <c r="D46" s="106"/>
      <c r="E46" s="106" t="s">
        <v>95</v>
      </c>
      <c r="F46" s="292"/>
      <c r="G46" s="106"/>
      <c r="H46" s="106"/>
      <c r="I46" s="107"/>
      <c r="J46" s="108"/>
      <c r="K46" s="292"/>
      <c r="L46" s="108"/>
      <c r="M46" s="108"/>
      <c r="N46" s="292"/>
      <c r="O46" s="108"/>
      <c r="P46" s="108"/>
      <c r="Q46" s="292"/>
      <c r="R46" s="108"/>
      <c r="S46" s="108"/>
      <c r="T46" s="292"/>
      <c r="U46" s="108"/>
      <c r="V46" s="108"/>
      <c r="W46" s="108"/>
      <c r="X46" s="108"/>
      <c r="Y46" s="108"/>
    </row>
    <row r="47" spans="1:28">
      <c r="A47" s="238"/>
      <c r="B47" s="238"/>
      <c r="C47" s="238"/>
      <c r="D47" s="238"/>
      <c r="E47" s="238" t="s">
        <v>252</v>
      </c>
      <c r="F47" s="295"/>
      <c r="G47" s="249"/>
      <c r="H47" s="250"/>
      <c r="I47" s="244"/>
      <c r="J47" s="244"/>
      <c r="K47" s="295"/>
      <c r="L47" s="244"/>
      <c r="M47" s="244"/>
      <c r="N47" s="295"/>
      <c r="O47" s="244"/>
      <c r="P47" s="244"/>
      <c r="Q47" s="295"/>
      <c r="R47" s="244"/>
      <c r="S47" s="244"/>
      <c r="T47" s="295"/>
      <c r="U47" s="244"/>
      <c r="V47" s="244"/>
      <c r="W47" s="244"/>
      <c r="X47" s="244"/>
      <c r="Y47" s="244"/>
      <c r="AA47" s="366"/>
      <c r="AB47" s="366"/>
    </row>
    <row r="48" spans="1:28">
      <c r="A48" s="58" t="s">
        <v>253</v>
      </c>
      <c r="B48" s="120">
        <v>86040</v>
      </c>
      <c r="C48" s="58" t="s">
        <v>219</v>
      </c>
      <c r="D48" s="58">
        <v>0</v>
      </c>
      <c r="E48" s="58" t="s">
        <v>254</v>
      </c>
      <c r="G48" s="58" t="s">
        <v>255</v>
      </c>
      <c r="H48" s="119">
        <v>1</v>
      </c>
      <c r="I48" s="119">
        <v>800</v>
      </c>
      <c r="J48" s="119">
        <f>H48*I48</f>
        <v>800</v>
      </c>
      <c r="K48" s="296"/>
      <c r="L48" s="119">
        <v>3</v>
      </c>
      <c r="M48" s="119">
        <f>I48*L48*$F$6</f>
        <v>2472</v>
      </c>
      <c r="N48" s="296"/>
      <c r="O48" s="119">
        <v>3</v>
      </c>
      <c r="P48" s="119">
        <f>I48*O48*$F$6*$F$6</f>
        <v>2546.16</v>
      </c>
      <c r="Q48" s="296"/>
      <c r="R48" s="119">
        <v>3</v>
      </c>
      <c r="S48" s="119">
        <f>I48*R48*$F$6*$F$6*$F$6</f>
        <v>2622.5448000000001</v>
      </c>
      <c r="T48" s="296"/>
      <c r="U48" s="119">
        <v>3</v>
      </c>
      <c r="V48" s="119">
        <f>U48*I48*$F$6*$F$6*$F$6*$F$6</f>
        <v>2701.2211440000001</v>
      </c>
      <c r="W48" s="119">
        <f t="shared" ref="W48:W60" si="37">SUM(S48,P48,M48,J48,V48)</f>
        <v>11141.925943999999</v>
      </c>
      <c r="X48" s="119" t="s">
        <v>243</v>
      </c>
      <c r="Y48" s="119">
        <f>SUM(W48:X48)</f>
        <v>11141.925943999999</v>
      </c>
      <c r="AA48" s="366">
        <v>0.5</v>
      </c>
      <c r="AB48" s="366">
        <v>0.5</v>
      </c>
    </row>
    <row r="49" spans="1:28" ht="50.4">
      <c r="A49" s="58" t="s">
        <v>256</v>
      </c>
      <c r="B49" s="120" t="s">
        <v>257</v>
      </c>
      <c r="C49" s="58" t="s">
        <v>219</v>
      </c>
      <c r="D49" s="58">
        <v>0</v>
      </c>
      <c r="E49" s="58" t="s">
        <v>258</v>
      </c>
      <c r="G49" s="58" t="s">
        <v>259</v>
      </c>
      <c r="H49" s="119">
        <f>H48*5</f>
        <v>5</v>
      </c>
      <c r="I49" s="119">
        <v>100</v>
      </c>
      <c r="J49" s="119">
        <f>H49*I49</f>
        <v>500</v>
      </c>
      <c r="K49" s="296"/>
      <c r="L49" s="119">
        <f>L48*5</f>
        <v>15</v>
      </c>
      <c r="M49" s="119">
        <f t="shared" ref="M49:M56" si="38">I49*L49*$F$6</f>
        <v>1545</v>
      </c>
      <c r="N49" s="296"/>
      <c r="O49" s="119">
        <f>O48*5</f>
        <v>15</v>
      </c>
      <c r="P49" s="119">
        <f t="shared" ref="P49:P56" si="39">I49*O49*$F$6*$F$6</f>
        <v>1591.3500000000001</v>
      </c>
      <c r="Q49" s="296"/>
      <c r="R49" s="119">
        <f>R48*5</f>
        <v>15</v>
      </c>
      <c r="S49" s="119">
        <f t="shared" ref="S49:S56" si="40">I49*R49*$F$6*$F$6*$F$6</f>
        <v>1639.0905000000002</v>
      </c>
      <c r="T49" s="296"/>
      <c r="U49" s="119">
        <f>U48*5</f>
        <v>15</v>
      </c>
      <c r="V49" s="119">
        <f t="shared" ref="V49:V55" si="41">U49*I49*$F$6*$F$6*$F$6*$F$6</f>
        <v>1688.2632150000004</v>
      </c>
      <c r="W49" s="119">
        <f t="shared" si="37"/>
        <v>6963.7037150000015</v>
      </c>
      <c r="X49" s="119" t="s">
        <v>243</v>
      </c>
      <c r="Y49" s="119">
        <f>SUM(W49:X49)</f>
        <v>6963.7037150000015</v>
      </c>
      <c r="AA49" s="366">
        <v>0.5</v>
      </c>
      <c r="AB49" s="366">
        <v>0.5</v>
      </c>
    </row>
    <row r="50" spans="1:28">
      <c r="A50" s="58" t="s">
        <v>256</v>
      </c>
      <c r="B50" s="120">
        <v>86000</v>
      </c>
      <c r="C50" s="58" t="s">
        <v>219</v>
      </c>
      <c r="D50" s="58">
        <v>0</v>
      </c>
      <c r="E50" s="58" t="s">
        <v>260</v>
      </c>
      <c r="G50" s="58" t="s">
        <v>255</v>
      </c>
      <c r="H50" s="119">
        <f>H48</f>
        <v>1</v>
      </c>
      <c r="I50" s="119">
        <v>100</v>
      </c>
      <c r="J50" s="119">
        <f>H50*I50</f>
        <v>100</v>
      </c>
      <c r="K50" s="296"/>
      <c r="L50" s="119">
        <f>L48</f>
        <v>3</v>
      </c>
      <c r="M50" s="119">
        <f>I50*L50*$F$6</f>
        <v>309</v>
      </c>
      <c r="N50" s="296"/>
      <c r="O50" s="119">
        <f>O48</f>
        <v>3</v>
      </c>
      <c r="P50" s="119">
        <f t="shared" si="39"/>
        <v>318.27</v>
      </c>
      <c r="Q50" s="296"/>
      <c r="R50" s="119">
        <f>R48</f>
        <v>3</v>
      </c>
      <c r="S50" s="119">
        <f t="shared" si="40"/>
        <v>327.81810000000002</v>
      </c>
      <c r="T50" s="296"/>
      <c r="U50" s="119">
        <f>U48</f>
        <v>3</v>
      </c>
      <c r="V50" s="119">
        <f t="shared" si="41"/>
        <v>337.65264300000001</v>
      </c>
      <c r="W50" s="119">
        <f t="shared" si="37"/>
        <v>1392.7407429999998</v>
      </c>
      <c r="X50" s="119" t="s">
        <v>243</v>
      </c>
      <c r="Y50" s="119">
        <f>SUM(W50:X50)</f>
        <v>1392.7407429999998</v>
      </c>
      <c r="AA50" s="366">
        <v>0.5</v>
      </c>
      <c r="AB50" s="366">
        <v>0.5</v>
      </c>
    </row>
    <row r="51" spans="1:28">
      <c r="A51" s="58" t="s">
        <v>256</v>
      </c>
      <c r="B51" s="120">
        <v>86050</v>
      </c>
      <c r="C51" s="58" t="s">
        <v>219</v>
      </c>
      <c r="D51" s="58">
        <v>0</v>
      </c>
      <c r="E51" s="58" t="s">
        <v>261</v>
      </c>
      <c r="G51" s="58" t="s">
        <v>255</v>
      </c>
      <c r="H51" s="119">
        <f>H48</f>
        <v>1</v>
      </c>
      <c r="I51" s="119">
        <v>25</v>
      </c>
      <c r="J51" s="119">
        <f>H51*I51</f>
        <v>25</v>
      </c>
      <c r="K51" s="296"/>
      <c r="L51" s="119">
        <f>L48</f>
        <v>3</v>
      </c>
      <c r="M51" s="119">
        <f t="shared" si="38"/>
        <v>77.25</v>
      </c>
      <c r="N51" s="296"/>
      <c r="O51" s="119">
        <f>O48</f>
        <v>3</v>
      </c>
      <c r="P51" s="119">
        <f t="shared" si="39"/>
        <v>79.567499999999995</v>
      </c>
      <c r="Q51" s="296"/>
      <c r="R51" s="119">
        <f>R48</f>
        <v>3</v>
      </c>
      <c r="S51" s="119">
        <f t="shared" si="40"/>
        <v>81.954525000000004</v>
      </c>
      <c r="T51" s="296"/>
      <c r="U51" s="119">
        <f>U48</f>
        <v>3</v>
      </c>
      <c r="V51" s="119">
        <f t="shared" si="41"/>
        <v>84.413160750000003</v>
      </c>
      <c r="W51" s="119">
        <f t="shared" si="37"/>
        <v>348.18518574999996</v>
      </c>
      <c r="X51" s="119" t="s">
        <v>243</v>
      </c>
      <c r="Y51" s="119">
        <f>SUM(W51:X51)</f>
        <v>348.18518574999996</v>
      </c>
      <c r="AA51" s="366">
        <v>0.5</v>
      </c>
      <c r="AB51" s="366">
        <v>0.5</v>
      </c>
    </row>
    <row r="52" spans="1:28">
      <c r="A52" s="238"/>
      <c r="B52" s="238"/>
      <c r="C52" s="238"/>
      <c r="D52" s="238"/>
      <c r="E52" s="238" t="s">
        <v>262</v>
      </c>
      <c r="F52" s="295"/>
      <c r="G52" s="249"/>
      <c r="H52" s="244"/>
      <c r="I52" s="244"/>
      <c r="J52" s="244"/>
      <c r="K52" s="295"/>
      <c r="L52" s="244"/>
      <c r="M52" s="244"/>
      <c r="N52" s="295"/>
      <c r="O52" s="244"/>
      <c r="P52" s="244"/>
      <c r="Q52" s="295"/>
      <c r="R52" s="244"/>
      <c r="S52" s="244"/>
      <c r="T52" s="295"/>
      <c r="U52" s="244"/>
      <c r="V52" s="244"/>
      <c r="W52" s="244"/>
      <c r="X52" s="244"/>
      <c r="Y52" s="244"/>
      <c r="AA52" s="366"/>
      <c r="AB52" s="366"/>
    </row>
    <row r="53" spans="1:28">
      <c r="A53" s="58" t="s">
        <v>263</v>
      </c>
      <c r="B53" s="120">
        <v>86040</v>
      </c>
      <c r="C53" s="58" t="s">
        <v>222</v>
      </c>
      <c r="D53" s="58">
        <v>0</v>
      </c>
      <c r="E53" s="58" t="s">
        <v>264</v>
      </c>
      <c r="G53" s="58" t="s">
        <v>255</v>
      </c>
      <c r="H53" s="119">
        <v>1</v>
      </c>
      <c r="I53" s="119">
        <v>800</v>
      </c>
      <c r="J53" s="119">
        <f>H53*I53</f>
        <v>800</v>
      </c>
      <c r="K53" s="296"/>
      <c r="L53" s="119">
        <v>3</v>
      </c>
      <c r="M53" s="119">
        <f t="shared" si="38"/>
        <v>2472</v>
      </c>
      <c r="N53" s="296"/>
      <c r="O53" s="119">
        <v>3</v>
      </c>
      <c r="P53" s="119">
        <f t="shared" si="39"/>
        <v>2546.16</v>
      </c>
      <c r="Q53" s="296"/>
      <c r="R53" s="119">
        <v>3</v>
      </c>
      <c r="S53" s="119">
        <f t="shared" si="40"/>
        <v>2622.5448000000001</v>
      </c>
      <c r="T53" s="296"/>
      <c r="U53" s="119">
        <v>3</v>
      </c>
      <c r="V53" s="119">
        <f t="shared" si="41"/>
        <v>2701.2211440000001</v>
      </c>
      <c r="W53" s="119">
        <f t="shared" si="37"/>
        <v>11141.925943999999</v>
      </c>
      <c r="X53" s="119" t="s">
        <v>243</v>
      </c>
      <c r="Y53" s="119">
        <f>SUM(W53:X53)</f>
        <v>11141.925943999999</v>
      </c>
      <c r="AA53" s="366">
        <v>0.5</v>
      </c>
      <c r="AB53" s="366">
        <v>0.5</v>
      </c>
    </row>
    <row r="54" spans="1:28" ht="50.4">
      <c r="A54" s="58" t="s">
        <v>263</v>
      </c>
      <c r="B54" s="120" t="s">
        <v>257</v>
      </c>
      <c r="C54" s="58" t="s">
        <v>222</v>
      </c>
      <c r="D54" s="58">
        <v>0</v>
      </c>
      <c r="E54" s="58" t="s">
        <v>265</v>
      </c>
      <c r="G54" s="58" t="s">
        <v>259</v>
      </c>
      <c r="H54" s="119">
        <f>10*H53</f>
        <v>10</v>
      </c>
      <c r="I54" s="119">
        <v>150</v>
      </c>
      <c r="J54" s="119">
        <f>H54*I54</f>
        <v>1500</v>
      </c>
      <c r="K54" s="296"/>
      <c r="L54" s="119">
        <f>10*L53</f>
        <v>30</v>
      </c>
      <c r="M54" s="119">
        <f t="shared" si="38"/>
        <v>4635</v>
      </c>
      <c r="N54" s="296"/>
      <c r="O54" s="119">
        <f>10*O53</f>
        <v>30</v>
      </c>
      <c r="P54" s="119">
        <f t="shared" si="39"/>
        <v>4774.05</v>
      </c>
      <c r="Q54" s="296"/>
      <c r="R54" s="119">
        <f>10*R53</f>
        <v>30</v>
      </c>
      <c r="S54" s="119">
        <f t="shared" si="40"/>
        <v>4917.2715000000007</v>
      </c>
      <c r="T54" s="296"/>
      <c r="U54" s="119">
        <f>10*U53</f>
        <v>30</v>
      </c>
      <c r="V54" s="119">
        <f t="shared" si="41"/>
        <v>5064.7896450000007</v>
      </c>
      <c r="W54" s="119">
        <f t="shared" si="37"/>
        <v>20891.111145000003</v>
      </c>
      <c r="X54" s="119" t="s">
        <v>243</v>
      </c>
      <c r="Y54" s="119">
        <f>SUM(W54:X54)</f>
        <v>20891.111145000003</v>
      </c>
      <c r="AA54" s="366">
        <v>0.5</v>
      </c>
      <c r="AB54" s="366">
        <v>0.5</v>
      </c>
    </row>
    <row r="55" spans="1:28">
      <c r="A55" s="58" t="s">
        <v>263</v>
      </c>
      <c r="B55" s="120">
        <v>86000</v>
      </c>
      <c r="C55" s="58" t="s">
        <v>222</v>
      </c>
      <c r="D55" s="58">
        <v>0</v>
      </c>
      <c r="E55" s="58" t="s">
        <v>266</v>
      </c>
      <c r="G55" s="58" t="s">
        <v>255</v>
      </c>
      <c r="H55" s="119">
        <f>H53</f>
        <v>1</v>
      </c>
      <c r="I55" s="119">
        <v>50</v>
      </c>
      <c r="J55" s="119">
        <f>H55*I55</f>
        <v>50</v>
      </c>
      <c r="K55" s="296"/>
      <c r="L55" s="119">
        <f>L53</f>
        <v>3</v>
      </c>
      <c r="M55" s="119">
        <f t="shared" si="38"/>
        <v>154.5</v>
      </c>
      <c r="N55" s="296"/>
      <c r="O55" s="119">
        <f>O53</f>
        <v>3</v>
      </c>
      <c r="P55" s="119">
        <f t="shared" si="39"/>
        <v>159.13499999999999</v>
      </c>
      <c r="Q55" s="296"/>
      <c r="R55" s="119">
        <f>R53</f>
        <v>3</v>
      </c>
      <c r="S55" s="119">
        <f t="shared" si="40"/>
        <v>163.90905000000001</v>
      </c>
      <c r="T55" s="296"/>
      <c r="U55" s="119">
        <f>U53</f>
        <v>3</v>
      </c>
      <c r="V55" s="119">
        <f t="shared" si="41"/>
        <v>168.82632150000001</v>
      </c>
      <c r="W55" s="119">
        <f t="shared" si="37"/>
        <v>696.37037149999992</v>
      </c>
      <c r="X55" s="119" t="s">
        <v>243</v>
      </c>
      <c r="Y55" s="119">
        <f>SUM(W55:X55)</f>
        <v>696.37037149999992</v>
      </c>
      <c r="AA55" s="366">
        <v>0.5</v>
      </c>
      <c r="AB55" s="366">
        <v>0.5</v>
      </c>
    </row>
    <row r="56" spans="1:28">
      <c r="A56" s="58" t="s">
        <v>263</v>
      </c>
      <c r="B56" s="120">
        <v>86050</v>
      </c>
      <c r="C56" s="58" t="s">
        <v>222</v>
      </c>
      <c r="D56" s="58">
        <v>0</v>
      </c>
      <c r="E56" s="58" t="s">
        <v>267</v>
      </c>
      <c r="G56" s="58" t="s">
        <v>255</v>
      </c>
      <c r="H56" s="119">
        <f>H53</f>
        <v>1</v>
      </c>
      <c r="I56" s="119">
        <v>25</v>
      </c>
      <c r="J56" s="119">
        <f>H56*I56</f>
        <v>25</v>
      </c>
      <c r="K56" s="296"/>
      <c r="L56" s="119">
        <f>L53</f>
        <v>3</v>
      </c>
      <c r="M56" s="119">
        <f t="shared" si="38"/>
        <v>77.25</v>
      </c>
      <c r="N56" s="296"/>
      <c r="O56" s="119">
        <f>O53</f>
        <v>3</v>
      </c>
      <c r="P56" s="119">
        <f t="shared" si="39"/>
        <v>79.567499999999995</v>
      </c>
      <c r="Q56" s="296"/>
      <c r="R56" s="119">
        <f>R53</f>
        <v>3</v>
      </c>
      <c r="S56" s="119">
        <f t="shared" si="40"/>
        <v>81.954525000000004</v>
      </c>
      <c r="T56" s="296"/>
      <c r="U56" s="119">
        <f>U53</f>
        <v>3</v>
      </c>
      <c r="V56" s="119">
        <f>U56*I56*$F$6*$F$6*$F$6*$F$6</f>
        <v>84.413160750000003</v>
      </c>
      <c r="W56" s="119">
        <f t="shared" si="37"/>
        <v>348.18518574999996</v>
      </c>
      <c r="X56" s="119" t="s">
        <v>243</v>
      </c>
      <c r="Y56" s="119">
        <f>SUM(W56:X56)</f>
        <v>348.18518574999996</v>
      </c>
      <c r="AA56" s="366">
        <v>0.5</v>
      </c>
      <c r="AB56" s="366">
        <v>0.5</v>
      </c>
    </row>
    <row r="57" spans="1:28">
      <c r="A57" s="238"/>
      <c r="B57" s="238"/>
      <c r="C57" s="238"/>
      <c r="D57" s="238"/>
      <c r="E57" s="238" t="s">
        <v>268</v>
      </c>
      <c r="F57" s="295"/>
      <c r="G57" s="249"/>
      <c r="H57" s="244"/>
      <c r="I57" s="244"/>
      <c r="J57" s="244"/>
      <c r="K57" s="295"/>
      <c r="L57" s="244"/>
      <c r="M57" s="244"/>
      <c r="N57" s="295"/>
      <c r="O57" s="244"/>
      <c r="P57" s="244"/>
      <c r="Q57" s="295"/>
      <c r="R57" s="244"/>
      <c r="S57" s="244"/>
      <c r="T57" s="295"/>
      <c r="U57" s="244"/>
      <c r="V57" s="244"/>
      <c r="W57" s="244"/>
      <c r="X57" s="244"/>
      <c r="Y57" s="244"/>
      <c r="AA57" s="366"/>
      <c r="AB57" s="366"/>
    </row>
    <row r="58" spans="1:28">
      <c r="A58" s="58" t="s">
        <v>269</v>
      </c>
      <c r="B58" s="58">
        <v>86000</v>
      </c>
      <c r="C58" s="58" t="s">
        <v>222</v>
      </c>
      <c r="D58" s="58">
        <v>0</v>
      </c>
      <c r="E58" s="58" t="s">
        <v>270</v>
      </c>
      <c r="F58" s="293"/>
      <c r="G58" s="58" t="s">
        <v>221</v>
      </c>
      <c r="H58" s="119">
        <v>3</v>
      </c>
      <c r="I58" s="119">
        <v>400</v>
      </c>
      <c r="J58" s="119">
        <f>H58*I58</f>
        <v>1200</v>
      </c>
      <c r="K58" s="293"/>
      <c r="L58" s="119">
        <v>12</v>
      </c>
      <c r="M58" s="119">
        <f t="shared" ref="M58" si="42">L58*I58*$F$7</f>
        <v>4992</v>
      </c>
      <c r="N58" s="293"/>
      <c r="O58" s="119">
        <v>12</v>
      </c>
      <c r="P58" s="119">
        <f t="shared" ref="P58" si="43">O58*I58*$F$7*$F$7</f>
        <v>5191.68</v>
      </c>
      <c r="Q58" s="293"/>
      <c r="R58" s="119">
        <v>12</v>
      </c>
      <c r="S58" s="119">
        <f t="shared" ref="S58" si="44">R58*I58*$F$7*$F$7*$F$7</f>
        <v>5399.3472000000002</v>
      </c>
      <c r="T58" s="293"/>
      <c r="U58" s="119">
        <v>9</v>
      </c>
      <c r="V58" s="119">
        <f t="shared" ref="V58" si="45">U58*I58*$F$7*$F$7*$F$7*$F$7</f>
        <v>4211.4908160000005</v>
      </c>
      <c r="W58" s="119">
        <f t="shared" ref="W58" si="46">SUM(S58,P58,M58,J58,V58)</f>
        <v>20994.518016000002</v>
      </c>
      <c r="X58" s="119" t="s">
        <v>243</v>
      </c>
      <c r="Y58" s="119">
        <f>SUM(W58:X58)</f>
        <v>20994.518016000002</v>
      </c>
      <c r="AA58" s="366">
        <v>0.5</v>
      </c>
      <c r="AB58" s="366">
        <v>0.5</v>
      </c>
    </row>
    <row r="59" spans="1:28">
      <c r="A59" s="58" t="s">
        <v>269</v>
      </c>
      <c r="B59" s="58">
        <v>86000</v>
      </c>
      <c r="C59" s="58" t="s">
        <v>222</v>
      </c>
      <c r="D59" s="58">
        <v>0</v>
      </c>
      <c r="E59" s="58" t="s">
        <v>271</v>
      </c>
      <c r="G59" s="58" t="s">
        <v>255</v>
      </c>
      <c r="H59" s="119">
        <f>12*3</f>
        <v>36</v>
      </c>
      <c r="I59" s="119">
        <v>100</v>
      </c>
      <c r="J59" s="119">
        <f>H59*I59</f>
        <v>3600</v>
      </c>
      <c r="K59" s="296"/>
      <c r="L59" s="119">
        <f>12*3</f>
        <v>36</v>
      </c>
      <c r="M59" s="119">
        <f>I59*L59*$F$7</f>
        <v>3744</v>
      </c>
      <c r="N59" s="296"/>
      <c r="O59" s="119">
        <f>12*3</f>
        <v>36</v>
      </c>
      <c r="P59" s="119">
        <f>I59*O59*$F$7*$F$7</f>
        <v>3893.76</v>
      </c>
      <c r="Q59" s="296"/>
      <c r="R59" s="119">
        <f>12*3</f>
        <v>36</v>
      </c>
      <c r="S59" s="119">
        <f>I59*R59*$F$7*$F$7*$F$7</f>
        <v>4049.5104000000006</v>
      </c>
      <c r="T59" s="296"/>
      <c r="U59" s="119">
        <f>12*3</f>
        <v>36</v>
      </c>
      <c r="V59" s="119">
        <f>I59*U59*$F$7*$F$7*$F$7*$F$7</f>
        <v>4211.4908160000005</v>
      </c>
      <c r="W59" s="119">
        <f t="shared" si="37"/>
        <v>19498.761216000003</v>
      </c>
      <c r="X59" s="119" t="s">
        <v>243</v>
      </c>
      <c r="Y59" s="119">
        <f>SUM(W59:X59)</f>
        <v>19498.761216000003</v>
      </c>
      <c r="AA59" s="366">
        <v>0.5</v>
      </c>
      <c r="AB59" s="366">
        <v>0.5</v>
      </c>
    </row>
    <row r="60" spans="1:28" ht="50.4">
      <c r="A60" s="58" t="s">
        <v>269</v>
      </c>
      <c r="B60" s="120" t="s">
        <v>257</v>
      </c>
      <c r="C60" s="58" t="s">
        <v>222</v>
      </c>
      <c r="D60" s="58">
        <v>0</v>
      </c>
      <c r="E60" s="58" t="s">
        <v>272</v>
      </c>
      <c r="G60" s="58" t="s">
        <v>259</v>
      </c>
      <c r="H60" s="119">
        <f>4*H59</f>
        <v>144</v>
      </c>
      <c r="I60" s="119">
        <v>80</v>
      </c>
      <c r="J60" s="119">
        <f>H60*I60</f>
        <v>11520</v>
      </c>
      <c r="K60" s="296"/>
      <c r="L60" s="119">
        <f>4*L59</f>
        <v>144</v>
      </c>
      <c r="M60" s="119">
        <f>I60*L60*$F$7</f>
        <v>11980.800000000001</v>
      </c>
      <c r="N60" s="296"/>
      <c r="O60" s="119">
        <f>4*O59</f>
        <v>144</v>
      </c>
      <c r="P60" s="119">
        <f>I60*O60*$F$7*$F$7</f>
        <v>12460.032000000001</v>
      </c>
      <c r="Q60" s="296"/>
      <c r="R60" s="119">
        <f>4*R59</f>
        <v>144</v>
      </c>
      <c r="S60" s="119">
        <f>I60*R60*$F$7*$F$7*$F$7</f>
        <v>12958.433280000001</v>
      </c>
      <c r="T60" s="296"/>
      <c r="U60" s="119">
        <f>4*U59</f>
        <v>144</v>
      </c>
      <c r="V60" s="119">
        <f>I60*U60*$F$7*$F$7*$F$7*$F$7</f>
        <v>13476.770611200001</v>
      </c>
      <c r="W60" s="119">
        <f t="shared" si="37"/>
        <v>62396.035891200008</v>
      </c>
      <c r="X60" s="119" t="s">
        <v>243</v>
      </c>
      <c r="Y60" s="119">
        <f>SUM(W60:X60)</f>
        <v>62396.035891200008</v>
      </c>
      <c r="AA60" s="366">
        <v>0.5</v>
      </c>
      <c r="AB60" s="366">
        <v>0.5</v>
      </c>
    </row>
    <row r="61" spans="1:28" ht="12.9" thickBot="1">
      <c r="A61" s="143"/>
      <c r="B61" s="143"/>
      <c r="C61" s="143"/>
      <c r="D61" s="143"/>
      <c r="E61" s="143" t="s">
        <v>164</v>
      </c>
      <c r="F61" s="294"/>
      <c r="G61" s="144"/>
      <c r="H61" s="144"/>
      <c r="I61" s="145"/>
      <c r="J61" s="146">
        <f>SUM(J47:J60)</f>
        <v>20120</v>
      </c>
      <c r="K61" s="294"/>
      <c r="L61" s="146"/>
      <c r="M61" s="146">
        <f>SUM(M47:M60)</f>
        <v>32458.800000000003</v>
      </c>
      <c r="N61" s="294"/>
      <c r="O61" s="146"/>
      <c r="P61" s="146">
        <f>SUM(P47:P60)</f>
        <v>33639.732000000004</v>
      </c>
      <c r="Q61" s="294"/>
      <c r="R61" s="146"/>
      <c r="S61" s="146">
        <f>SUM(S47:S60)</f>
        <v>34864.378680000002</v>
      </c>
      <c r="T61" s="294"/>
      <c r="U61" s="146"/>
      <c r="V61" s="146">
        <f>SUM(V47:V60)</f>
        <v>34730.552677200001</v>
      </c>
      <c r="W61" s="146">
        <f>SUM(W47:W60)</f>
        <v>155813.46335720003</v>
      </c>
      <c r="X61" s="146">
        <f>SUM(X47:X60)</f>
        <v>0</v>
      </c>
      <c r="Y61" s="146">
        <f>SUM(Y47:Y60)</f>
        <v>155813.46335720003</v>
      </c>
      <c r="AA61" s="146">
        <f>SUMPRODUCT(Y48:Y60,AA48:AA60)</f>
        <v>77906.731678600016</v>
      </c>
      <c r="AB61" s="146">
        <f>SUMPRODUCT(Y48:Y60,AB48:AB60)</f>
        <v>77906.731678600016</v>
      </c>
    </row>
    <row r="62" spans="1:28">
      <c r="A62" s="245"/>
      <c r="B62" s="245"/>
      <c r="C62" s="245"/>
      <c r="D62" s="245"/>
      <c r="E62" s="245"/>
      <c r="F62" s="291"/>
      <c r="G62" s="245"/>
      <c r="H62" s="154"/>
      <c r="I62" s="154"/>
      <c r="J62" s="154"/>
      <c r="K62" s="291"/>
      <c r="L62" s="154"/>
      <c r="M62" s="154"/>
      <c r="N62" s="291"/>
      <c r="O62" s="154"/>
      <c r="P62" s="154"/>
      <c r="Q62" s="291"/>
      <c r="R62" s="154"/>
      <c r="S62" s="154"/>
      <c r="T62" s="291"/>
      <c r="U62" s="154"/>
      <c r="V62" s="154"/>
      <c r="W62" s="154"/>
      <c r="X62" s="154"/>
      <c r="Y62" s="154"/>
    </row>
    <row r="63" spans="1:28">
      <c r="A63" s="106"/>
      <c r="B63" s="106"/>
      <c r="C63" s="106"/>
      <c r="D63" s="106"/>
      <c r="E63" s="106" t="s">
        <v>96</v>
      </c>
      <c r="F63" s="292"/>
      <c r="G63" s="106"/>
      <c r="H63" s="106"/>
      <c r="I63" s="107"/>
      <c r="J63" s="108"/>
      <c r="K63" s="292"/>
      <c r="L63" s="108"/>
      <c r="M63" s="108"/>
      <c r="N63" s="292"/>
      <c r="O63" s="108"/>
      <c r="P63" s="108"/>
      <c r="Q63" s="292"/>
      <c r="R63" s="108"/>
      <c r="S63" s="108"/>
      <c r="T63" s="292"/>
      <c r="U63" s="108"/>
      <c r="V63" s="108"/>
      <c r="W63" s="108"/>
      <c r="X63" s="108"/>
      <c r="Y63" s="108"/>
    </row>
    <row r="64" spans="1:28">
      <c r="A64" s="56" t="s">
        <v>273</v>
      </c>
      <c r="B64" s="56">
        <v>82100</v>
      </c>
      <c r="C64" s="58" t="s">
        <v>222</v>
      </c>
      <c r="D64" s="56">
        <v>0</v>
      </c>
      <c r="E64" s="58" t="s">
        <v>274</v>
      </c>
      <c r="F64" s="293"/>
      <c r="G64" s="126" t="s">
        <v>249</v>
      </c>
      <c r="H64" s="119">
        <v>1</v>
      </c>
      <c r="I64" s="119">
        <v>5000</v>
      </c>
      <c r="J64" s="119">
        <f>H64*I64</f>
        <v>5000</v>
      </c>
      <c r="K64" s="293"/>
      <c r="L64" s="119">
        <v>1</v>
      </c>
      <c r="M64" s="119">
        <f t="shared" ref="M64:M68" si="47">L64*I64</f>
        <v>5000</v>
      </c>
      <c r="N64" s="293"/>
      <c r="O64" s="119">
        <v>1</v>
      </c>
      <c r="P64" s="119">
        <f t="shared" ref="P64:P68" si="48">O64*I64</f>
        <v>5000</v>
      </c>
      <c r="Q64" s="293"/>
      <c r="R64" s="119">
        <v>1</v>
      </c>
      <c r="S64" s="119">
        <f t="shared" ref="S64:S68" si="49">R64*I64</f>
        <v>5000</v>
      </c>
      <c r="T64" s="293"/>
      <c r="U64" s="119">
        <v>1</v>
      </c>
      <c r="V64" s="119">
        <v>5000</v>
      </c>
      <c r="W64" s="119">
        <f t="shared" ref="W64:W81" si="50">SUM(S64,P64,M64,J64,V64)</f>
        <v>25000</v>
      </c>
      <c r="X64" s="119">
        <v>0</v>
      </c>
      <c r="Y64" s="119">
        <f t="shared" ref="Y64:Y73" si="51">W64+X64</f>
        <v>25000</v>
      </c>
      <c r="AA64" s="366">
        <v>0.5</v>
      </c>
      <c r="AB64" s="366">
        <v>0.5</v>
      </c>
    </row>
    <row r="65" spans="1:33">
      <c r="A65" s="56" t="s">
        <v>275</v>
      </c>
      <c r="B65" s="56">
        <v>81010</v>
      </c>
      <c r="C65" s="58" t="s">
        <v>222</v>
      </c>
      <c r="D65" s="56">
        <v>0</v>
      </c>
      <c r="E65" s="58" t="s">
        <v>276</v>
      </c>
      <c r="F65" s="293"/>
      <c r="G65" s="126" t="s">
        <v>249</v>
      </c>
      <c r="H65" s="119">
        <v>1</v>
      </c>
      <c r="I65" s="119">
        <v>1500</v>
      </c>
      <c r="J65" s="119">
        <f>H65*I65</f>
        <v>1500</v>
      </c>
      <c r="K65" s="293"/>
      <c r="L65" s="119">
        <v>1</v>
      </c>
      <c r="M65" s="119">
        <f t="shared" si="47"/>
        <v>1500</v>
      </c>
      <c r="N65" s="293"/>
      <c r="O65" s="119">
        <v>1</v>
      </c>
      <c r="P65" s="119">
        <f t="shared" si="48"/>
        <v>1500</v>
      </c>
      <c r="Q65" s="293"/>
      <c r="R65" s="119">
        <v>1</v>
      </c>
      <c r="S65" s="119">
        <f t="shared" si="49"/>
        <v>1500</v>
      </c>
      <c r="T65" s="293"/>
      <c r="U65" s="119">
        <v>1</v>
      </c>
      <c r="V65" s="119">
        <f>U65*I65</f>
        <v>1500</v>
      </c>
      <c r="W65" s="119">
        <f t="shared" si="50"/>
        <v>7500</v>
      </c>
      <c r="X65" s="119">
        <v>0</v>
      </c>
      <c r="Y65" s="119">
        <f>W65+X65</f>
        <v>7500</v>
      </c>
      <c r="AA65" s="366">
        <v>0.5</v>
      </c>
      <c r="AB65" s="366">
        <v>0.5</v>
      </c>
    </row>
    <row r="66" spans="1:33">
      <c r="A66" s="56" t="s">
        <v>277</v>
      </c>
      <c r="B66" s="56">
        <v>81010</v>
      </c>
      <c r="C66" s="58" t="s">
        <v>219</v>
      </c>
      <c r="D66" s="58">
        <v>0</v>
      </c>
      <c r="E66" s="58" t="s">
        <v>278</v>
      </c>
      <c r="F66" s="293"/>
      <c r="G66" s="246" t="s">
        <v>238</v>
      </c>
      <c r="I66" s="252">
        <v>2.5000000000000001E-2</v>
      </c>
      <c r="J66" s="119">
        <f>I66*21010500</f>
        <v>525262.5</v>
      </c>
      <c r="K66" s="293"/>
      <c r="L66" s="119">
        <v>0</v>
      </c>
      <c r="M66" s="119">
        <f t="shared" si="47"/>
        <v>0</v>
      </c>
      <c r="N66" s="293"/>
      <c r="O66" s="119">
        <v>0</v>
      </c>
      <c r="P66" s="119">
        <f t="shared" si="48"/>
        <v>0</v>
      </c>
      <c r="Q66" s="293"/>
      <c r="R66" s="119">
        <v>0</v>
      </c>
      <c r="S66" s="119">
        <f t="shared" si="49"/>
        <v>0</v>
      </c>
      <c r="T66" s="293"/>
      <c r="U66" s="119">
        <v>0</v>
      </c>
      <c r="V66" s="119">
        <f t="shared" ref="V66:V68" si="52">U66*I66</f>
        <v>0</v>
      </c>
      <c r="W66" s="119">
        <f t="shared" si="50"/>
        <v>525262.5</v>
      </c>
      <c r="X66" s="119">
        <v>0</v>
      </c>
      <c r="Y66" s="119">
        <f t="shared" si="51"/>
        <v>525262.5</v>
      </c>
      <c r="AA66" s="366">
        <v>0.5</v>
      </c>
      <c r="AB66" s="366">
        <v>0.5</v>
      </c>
    </row>
    <row r="67" spans="1:33">
      <c r="A67" s="56" t="s">
        <v>279</v>
      </c>
      <c r="B67" s="56">
        <v>81010</v>
      </c>
      <c r="C67" s="58" t="s">
        <v>222</v>
      </c>
      <c r="D67" s="58">
        <v>0</v>
      </c>
      <c r="E67" s="58" t="s">
        <v>280</v>
      </c>
      <c r="F67" s="293"/>
      <c r="G67" s="126" t="s">
        <v>281</v>
      </c>
      <c r="H67" s="119">
        <v>0</v>
      </c>
      <c r="I67" s="119">
        <v>100000</v>
      </c>
      <c r="J67" s="119">
        <f>H67*I67</f>
        <v>0</v>
      </c>
      <c r="K67" s="293"/>
      <c r="L67" s="119">
        <v>1</v>
      </c>
      <c r="M67" s="119">
        <f t="shared" si="47"/>
        <v>100000</v>
      </c>
      <c r="N67" s="293"/>
      <c r="O67" s="119">
        <v>0</v>
      </c>
      <c r="P67" s="119">
        <f t="shared" si="48"/>
        <v>0</v>
      </c>
      <c r="Q67" s="293"/>
      <c r="R67" s="119">
        <v>0</v>
      </c>
      <c r="S67" s="119">
        <f t="shared" si="49"/>
        <v>0</v>
      </c>
      <c r="T67" s="293"/>
      <c r="U67" s="119">
        <v>0</v>
      </c>
      <c r="V67" s="119">
        <f t="shared" si="52"/>
        <v>0</v>
      </c>
      <c r="W67" s="119">
        <f t="shared" ref="W67" si="53">SUM(S67,P67,M67,J67,V67)</f>
        <v>100000</v>
      </c>
      <c r="X67" s="119">
        <v>0</v>
      </c>
      <c r="Y67" s="119">
        <f t="shared" si="51"/>
        <v>100000</v>
      </c>
      <c r="AA67" s="366">
        <v>0.5</v>
      </c>
      <c r="AB67" s="366">
        <v>0.5</v>
      </c>
    </row>
    <row r="68" spans="1:33">
      <c r="A68" s="56" t="s">
        <v>282</v>
      </c>
      <c r="B68" s="58">
        <v>81000</v>
      </c>
      <c r="C68" s="58" t="s">
        <v>222</v>
      </c>
      <c r="D68" s="56">
        <v>0</v>
      </c>
      <c r="E68" s="58" t="s">
        <v>283</v>
      </c>
      <c r="F68" s="293"/>
      <c r="G68" s="126" t="s">
        <v>221</v>
      </c>
      <c r="H68" s="119">
        <v>5</v>
      </c>
      <c r="I68" s="119">
        <v>2500</v>
      </c>
      <c r="J68" s="119">
        <f>H68*I68</f>
        <v>12500</v>
      </c>
      <c r="K68" s="293"/>
      <c r="L68" s="119">
        <v>12</v>
      </c>
      <c r="M68" s="119">
        <f t="shared" si="47"/>
        <v>30000</v>
      </c>
      <c r="N68" s="293"/>
      <c r="O68" s="119">
        <v>12</v>
      </c>
      <c r="P68" s="119">
        <f t="shared" si="48"/>
        <v>30000</v>
      </c>
      <c r="Q68" s="293"/>
      <c r="R68" s="119">
        <v>12</v>
      </c>
      <c r="S68" s="119">
        <f t="shared" si="49"/>
        <v>30000</v>
      </c>
      <c r="T68" s="293"/>
      <c r="U68" s="119">
        <v>6</v>
      </c>
      <c r="V68" s="119">
        <f t="shared" si="52"/>
        <v>15000</v>
      </c>
      <c r="W68" s="119">
        <f t="shared" si="50"/>
        <v>117500</v>
      </c>
      <c r="X68" s="119">
        <v>0</v>
      </c>
      <c r="Y68" s="119">
        <f t="shared" ref="Y68" si="54">W68+X68</f>
        <v>117500</v>
      </c>
      <c r="Z68" s="119"/>
      <c r="AA68" s="366">
        <v>0.5</v>
      </c>
      <c r="AB68" s="366">
        <v>0.5</v>
      </c>
    </row>
    <row r="69" spans="1:33">
      <c r="A69" s="253"/>
      <c r="B69" s="253"/>
      <c r="C69" s="253"/>
      <c r="D69" s="253"/>
      <c r="E69" s="253" t="s">
        <v>284</v>
      </c>
      <c r="F69" s="297"/>
      <c r="G69" s="254"/>
      <c r="H69" s="255"/>
      <c r="I69" s="256"/>
      <c r="J69" s="257"/>
      <c r="K69" s="297"/>
      <c r="L69" s="257"/>
      <c r="M69" s="257"/>
      <c r="N69" s="297"/>
      <c r="O69" s="257"/>
      <c r="P69" s="257"/>
      <c r="Q69" s="297"/>
      <c r="R69" s="257"/>
      <c r="S69" s="257"/>
      <c r="T69" s="297"/>
      <c r="U69" s="257"/>
      <c r="V69" s="257"/>
      <c r="W69" s="257"/>
      <c r="X69" s="257"/>
      <c r="Y69" s="257"/>
      <c r="AA69" s="366"/>
      <c r="AB69" s="366"/>
    </row>
    <row r="70" spans="1:33">
      <c r="A70" s="258"/>
      <c r="B70" s="258"/>
      <c r="C70" s="258"/>
      <c r="D70" s="258"/>
      <c r="E70" s="258" t="s">
        <v>285</v>
      </c>
      <c r="F70" s="295"/>
      <c r="G70" s="249"/>
      <c r="H70" s="249"/>
      <c r="I70" s="250"/>
      <c r="J70" s="259"/>
      <c r="K70" s="295"/>
      <c r="L70" s="259"/>
      <c r="M70" s="259"/>
      <c r="N70" s="295"/>
      <c r="O70" s="259"/>
      <c r="P70" s="259"/>
      <c r="Q70" s="295"/>
      <c r="R70" s="259"/>
      <c r="S70" s="259"/>
      <c r="T70" s="295"/>
      <c r="U70" s="259"/>
      <c r="V70" s="259"/>
      <c r="W70" s="244"/>
      <c r="X70" s="244"/>
      <c r="Y70" s="259"/>
      <c r="AA70" s="366"/>
      <c r="AB70" s="366"/>
    </row>
    <row r="71" spans="1:33">
      <c r="A71" s="56" t="s">
        <v>286</v>
      </c>
      <c r="B71" s="56">
        <v>81010</v>
      </c>
      <c r="C71" s="58" t="s">
        <v>222</v>
      </c>
      <c r="D71" s="56">
        <v>0</v>
      </c>
      <c r="E71" s="58" t="s">
        <v>287</v>
      </c>
      <c r="F71" s="293"/>
      <c r="G71" s="127" t="s">
        <v>281</v>
      </c>
      <c r="H71" s="119">
        <v>1</v>
      </c>
      <c r="I71" s="119">
        <f>165000</f>
        <v>165000</v>
      </c>
      <c r="J71" s="119">
        <f>H71*I71</f>
        <v>165000</v>
      </c>
      <c r="K71" s="293"/>
      <c r="L71" s="119">
        <v>0</v>
      </c>
      <c r="M71" s="119">
        <f>L71*I71</f>
        <v>0</v>
      </c>
      <c r="N71" s="293"/>
      <c r="O71" s="119">
        <v>0</v>
      </c>
      <c r="P71" s="119">
        <f>O71*I71</f>
        <v>0</v>
      </c>
      <c r="Q71" s="293"/>
      <c r="R71" s="119">
        <v>0</v>
      </c>
      <c r="S71" s="119">
        <f>R71*I71</f>
        <v>0</v>
      </c>
      <c r="T71" s="293"/>
      <c r="U71" s="119">
        <v>0</v>
      </c>
      <c r="V71" s="119">
        <f>U71*I71</f>
        <v>0</v>
      </c>
      <c r="W71" s="119">
        <f t="shared" si="50"/>
        <v>165000</v>
      </c>
      <c r="X71" s="119">
        <v>0</v>
      </c>
      <c r="Y71" s="119">
        <f t="shared" si="51"/>
        <v>165000</v>
      </c>
      <c r="Z71" s="119"/>
      <c r="AA71" s="366">
        <v>0.5</v>
      </c>
      <c r="AB71" s="366">
        <v>0.5</v>
      </c>
      <c r="AC71" s="94"/>
      <c r="AD71" s="94"/>
      <c r="AE71" s="94"/>
      <c r="AF71" s="121"/>
      <c r="AG71" s="121"/>
    </row>
    <row r="72" spans="1:33">
      <c r="A72" s="56" t="s">
        <v>288</v>
      </c>
      <c r="B72" s="56">
        <v>81010</v>
      </c>
      <c r="C72" s="58" t="s">
        <v>222</v>
      </c>
      <c r="D72" s="56">
        <v>0</v>
      </c>
      <c r="E72" s="58" t="s">
        <v>289</v>
      </c>
      <c r="F72" s="293"/>
      <c r="G72" s="127" t="s">
        <v>281</v>
      </c>
      <c r="H72" s="119">
        <v>0</v>
      </c>
      <c r="I72" s="119">
        <f>185000</f>
        <v>185000</v>
      </c>
      <c r="J72" s="119">
        <v>0</v>
      </c>
      <c r="K72" s="293"/>
      <c r="L72" s="119">
        <v>0</v>
      </c>
      <c r="M72" s="119">
        <f>L72*I72</f>
        <v>0</v>
      </c>
      <c r="N72" s="293"/>
      <c r="O72" s="119">
        <v>1</v>
      </c>
      <c r="P72" s="119">
        <f>O72*I72</f>
        <v>185000</v>
      </c>
      <c r="Q72" s="293"/>
      <c r="R72" s="119">
        <v>0</v>
      </c>
      <c r="S72" s="119">
        <f>R72*I72</f>
        <v>0</v>
      </c>
      <c r="T72" s="293"/>
      <c r="U72" s="119">
        <v>0</v>
      </c>
      <c r="V72" s="119">
        <f>U72*I72</f>
        <v>0</v>
      </c>
      <c r="W72" s="119">
        <f t="shared" si="50"/>
        <v>185000</v>
      </c>
      <c r="X72" s="119">
        <v>0</v>
      </c>
      <c r="Y72" s="119">
        <f>W72+X72</f>
        <v>185000</v>
      </c>
      <c r="AA72" s="366">
        <v>0.5</v>
      </c>
      <c r="AB72" s="366">
        <v>0.5</v>
      </c>
    </row>
    <row r="73" spans="1:33">
      <c r="A73" s="56" t="s">
        <v>290</v>
      </c>
      <c r="B73" s="56">
        <v>81010</v>
      </c>
      <c r="C73" s="58" t="s">
        <v>222</v>
      </c>
      <c r="D73" s="56">
        <v>0</v>
      </c>
      <c r="E73" s="58" t="s">
        <v>291</v>
      </c>
      <c r="F73" s="293"/>
      <c r="G73" s="127" t="s">
        <v>281</v>
      </c>
      <c r="H73" s="119">
        <v>0</v>
      </c>
      <c r="I73" s="119">
        <f>175000</f>
        <v>175000</v>
      </c>
      <c r="J73" s="119">
        <v>0</v>
      </c>
      <c r="K73" s="293"/>
      <c r="L73" s="119">
        <v>0</v>
      </c>
      <c r="M73" s="119">
        <f>L73*I73</f>
        <v>0</v>
      </c>
      <c r="N73" s="293"/>
      <c r="O73" s="119">
        <v>0</v>
      </c>
      <c r="P73" s="119">
        <f>O73*I73</f>
        <v>0</v>
      </c>
      <c r="Q73" s="293"/>
      <c r="R73" s="119">
        <v>0</v>
      </c>
      <c r="S73" s="119">
        <f>R73*I73</f>
        <v>0</v>
      </c>
      <c r="T73" s="293"/>
      <c r="U73" s="119">
        <v>1</v>
      </c>
      <c r="V73" s="119">
        <f>U73*I73</f>
        <v>175000</v>
      </c>
      <c r="W73" s="119">
        <f t="shared" si="50"/>
        <v>175000</v>
      </c>
      <c r="X73" s="119">
        <v>0</v>
      </c>
      <c r="Y73" s="119">
        <f t="shared" si="51"/>
        <v>175000</v>
      </c>
      <c r="AA73" s="366">
        <v>0.5</v>
      </c>
      <c r="AB73" s="366">
        <v>0.5</v>
      </c>
    </row>
    <row r="74" spans="1:33">
      <c r="A74" s="58" t="s">
        <v>292</v>
      </c>
      <c r="B74" s="56">
        <v>81010</v>
      </c>
      <c r="C74" s="58" t="s">
        <v>222</v>
      </c>
      <c r="D74" s="58" t="s">
        <v>15</v>
      </c>
      <c r="E74" s="58" t="s">
        <v>293</v>
      </c>
      <c r="F74" s="293"/>
      <c r="G74" s="126" t="s">
        <v>294</v>
      </c>
      <c r="H74" s="119">
        <v>1</v>
      </c>
      <c r="I74" s="119"/>
      <c r="J74" s="119">
        <f>'CIAT Sub Budget'!G73</f>
        <v>792798.72427570703</v>
      </c>
      <c r="K74" s="293"/>
      <c r="L74" s="119">
        <v>1</v>
      </c>
      <c r="M74" s="119">
        <f>'CIAT Sub Budget'!I73</f>
        <v>224566.02492336766</v>
      </c>
      <c r="N74" s="293"/>
      <c r="O74" s="119">
        <v>1</v>
      </c>
      <c r="P74" s="119">
        <f>'CIAT Sub Budget'!K73</f>
        <v>0</v>
      </c>
      <c r="Q74" s="293"/>
      <c r="R74" s="119">
        <v>1</v>
      </c>
      <c r="S74" s="119">
        <f>'CIAT Sub Budget'!M73</f>
        <v>0</v>
      </c>
      <c r="T74" s="293"/>
      <c r="U74" s="119">
        <v>1</v>
      </c>
      <c r="V74" s="119">
        <f>'CIAT Sub Budget'!O73</f>
        <v>0</v>
      </c>
      <c r="W74" s="119">
        <f>SUM(S74,P74,M74,J74,V74)</f>
        <v>1017364.7491990747</v>
      </c>
      <c r="X74" s="119">
        <f>'CIAT Sub Budget'!Q73</f>
        <v>0</v>
      </c>
      <c r="Y74" s="136">
        <f>SUM(W74:X74)</f>
        <v>1017364.7491990747</v>
      </c>
      <c r="Z74" s="93"/>
      <c r="AA74" s="366">
        <v>0.5</v>
      </c>
      <c r="AB74" s="366">
        <v>0.5</v>
      </c>
    </row>
    <row r="75" spans="1:33">
      <c r="A75" s="258"/>
      <c r="B75" s="258"/>
      <c r="C75" s="258"/>
      <c r="D75" s="258"/>
      <c r="E75" s="258" t="s">
        <v>295</v>
      </c>
      <c r="F75" s="295"/>
      <c r="G75" s="249"/>
      <c r="H75" s="249"/>
      <c r="I75" s="250"/>
      <c r="J75" s="259"/>
      <c r="K75" s="295"/>
      <c r="L75" s="259"/>
      <c r="M75" s="259"/>
      <c r="N75" s="295"/>
      <c r="O75" s="259"/>
      <c r="P75" s="259"/>
      <c r="Q75" s="295"/>
      <c r="R75" s="259"/>
      <c r="S75" s="259"/>
      <c r="T75" s="295"/>
      <c r="U75" s="259"/>
      <c r="V75" s="259"/>
      <c r="W75" s="244"/>
      <c r="X75" s="244"/>
      <c r="Y75" s="259"/>
      <c r="AA75" s="366"/>
      <c r="AB75" s="366"/>
    </row>
    <row r="76" spans="1:33" ht="50.4">
      <c r="A76" s="58" t="s">
        <v>296</v>
      </c>
      <c r="B76" s="58" t="s">
        <v>297</v>
      </c>
      <c r="C76" s="58" t="s">
        <v>222</v>
      </c>
      <c r="D76" s="56">
        <v>0</v>
      </c>
      <c r="E76" s="120" t="s">
        <v>298</v>
      </c>
      <c r="F76" s="293"/>
      <c r="G76" s="58" t="s">
        <v>299</v>
      </c>
      <c r="H76" s="58">
        <v>1</v>
      </c>
      <c r="I76" s="128">
        <v>8000</v>
      </c>
      <c r="J76" s="94">
        <f>H76*I76</f>
        <v>8000</v>
      </c>
      <c r="K76" s="293"/>
      <c r="L76" s="119">
        <v>0</v>
      </c>
      <c r="M76" s="119">
        <f>L76*I76</f>
        <v>0</v>
      </c>
      <c r="N76" s="293"/>
      <c r="O76" s="119">
        <v>0</v>
      </c>
      <c r="P76" s="119">
        <f>O76*I76</f>
        <v>0</v>
      </c>
      <c r="Q76" s="293"/>
      <c r="R76" s="119">
        <v>0</v>
      </c>
      <c r="S76" s="119">
        <f>R76*I76</f>
        <v>0</v>
      </c>
      <c r="T76" s="293"/>
      <c r="U76" s="119">
        <v>0</v>
      </c>
      <c r="V76" s="119">
        <f>U76*L76</f>
        <v>0</v>
      </c>
      <c r="W76" s="119">
        <f t="shared" si="50"/>
        <v>8000</v>
      </c>
      <c r="X76" s="119" t="s">
        <v>243</v>
      </c>
      <c r="Y76" s="119">
        <f>SUM(W76:X76)</f>
        <v>8000</v>
      </c>
      <c r="AA76" s="366">
        <v>0.5</v>
      </c>
      <c r="AB76" s="366">
        <v>0.5</v>
      </c>
    </row>
    <row r="77" spans="1:33">
      <c r="A77" s="58" t="s">
        <v>296</v>
      </c>
      <c r="B77" s="56">
        <v>87000</v>
      </c>
      <c r="C77" s="58" t="s">
        <v>222</v>
      </c>
      <c r="D77" s="56">
        <v>0</v>
      </c>
      <c r="E77" s="120" t="s">
        <v>300</v>
      </c>
      <c r="F77" s="293"/>
      <c r="G77" s="58" t="s">
        <v>301</v>
      </c>
      <c r="H77" s="58">
        <v>1</v>
      </c>
      <c r="I77" s="128">
        <v>3000</v>
      </c>
      <c r="J77" s="94">
        <f>H77*I77</f>
        <v>3000</v>
      </c>
      <c r="K77" s="293"/>
      <c r="L77" s="119">
        <v>0</v>
      </c>
      <c r="M77" s="119">
        <f>L77*I77</f>
        <v>0</v>
      </c>
      <c r="N77" s="293"/>
      <c r="O77" s="119">
        <v>0</v>
      </c>
      <c r="P77" s="119">
        <f>O77*I77</f>
        <v>0</v>
      </c>
      <c r="Q77" s="293"/>
      <c r="R77" s="119">
        <v>0</v>
      </c>
      <c r="S77" s="119">
        <f>R77*I77</f>
        <v>0</v>
      </c>
      <c r="T77" s="293"/>
      <c r="U77" s="119">
        <v>0</v>
      </c>
      <c r="V77" s="119">
        <f>U77*L77</f>
        <v>0</v>
      </c>
      <c r="W77" s="119">
        <f t="shared" si="50"/>
        <v>3000</v>
      </c>
      <c r="X77" s="119" t="s">
        <v>243</v>
      </c>
      <c r="Y77" s="119">
        <f>SUM(W77:X77)</f>
        <v>3000</v>
      </c>
      <c r="AA77" s="366">
        <v>0.5</v>
      </c>
      <c r="AB77" s="366">
        <v>0.5</v>
      </c>
    </row>
    <row r="78" spans="1:33">
      <c r="A78" s="258"/>
      <c r="B78" s="258"/>
      <c r="C78" s="258"/>
      <c r="D78" s="258"/>
      <c r="E78" s="258" t="s">
        <v>302</v>
      </c>
      <c r="F78" s="295"/>
      <c r="G78" s="260"/>
      <c r="H78" s="261"/>
      <c r="I78" s="261"/>
      <c r="J78" s="261"/>
      <c r="K78" s="295"/>
      <c r="L78" s="261"/>
      <c r="M78" s="261"/>
      <c r="N78" s="295"/>
      <c r="O78" s="261"/>
      <c r="P78" s="261"/>
      <c r="Q78" s="295"/>
      <c r="R78" s="261"/>
      <c r="S78" s="261"/>
      <c r="T78" s="295"/>
      <c r="U78" s="261"/>
      <c r="V78" s="261"/>
      <c r="W78" s="244"/>
      <c r="X78" s="244"/>
      <c r="Y78" s="261"/>
      <c r="AA78" s="366"/>
      <c r="AB78" s="366"/>
    </row>
    <row r="79" spans="1:33">
      <c r="A79" s="56" t="s">
        <v>303</v>
      </c>
      <c r="B79" s="56">
        <v>81000</v>
      </c>
      <c r="C79" s="56" t="s">
        <v>219</v>
      </c>
      <c r="D79" s="56">
        <v>0</v>
      </c>
      <c r="E79" s="58" t="s">
        <v>304</v>
      </c>
      <c r="F79" s="293"/>
      <c r="G79" s="126" t="s">
        <v>249</v>
      </c>
      <c r="H79" s="119">
        <v>1</v>
      </c>
      <c r="I79" s="119">
        <v>28000</v>
      </c>
      <c r="J79" s="119">
        <f>H79*I79</f>
        <v>28000</v>
      </c>
      <c r="K79" s="296"/>
      <c r="L79" s="119">
        <v>0</v>
      </c>
      <c r="M79" s="119">
        <f>L79*I79</f>
        <v>0</v>
      </c>
      <c r="N79" s="296"/>
      <c r="O79" s="119">
        <v>0</v>
      </c>
      <c r="P79" s="119">
        <f>O79*I79</f>
        <v>0</v>
      </c>
      <c r="Q79" s="296"/>
      <c r="R79" s="119">
        <v>0</v>
      </c>
      <c r="S79" s="119">
        <f>R79*I79</f>
        <v>0</v>
      </c>
      <c r="T79" s="296"/>
      <c r="U79" s="119">
        <v>0</v>
      </c>
      <c r="V79" s="119">
        <f>U79*I79</f>
        <v>0</v>
      </c>
      <c r="W79" s="119">
        <f t="shared" si="50"/>
        <v>28000</v>
      </c>
      <c r="X79" s="154" t="s">
        <v>243</v>
      </c>
      <c r="Y79" s="119">
        <f>SUM(W79:X79)</f>
        <v>28000</v>
      </c>
      <c r="AA79" s="366">
        <v>0.5</v>
      </c>
      <c r="AB79" s="366">
        <v>0.5</v>
      </c>
    </row>
    <row r="80" spans="1:33">
      <c r="A80" s="56" t="s">
        <v>303</v>
      </c>
      <c r="B80" s="56">
        <v>89400</v>
      </c>
      <c r="C80" s="56" t="s">
        <v>219</v>
      </c>
      <c r="D80" s="56">
        <v>0</v>
      </c>
      <c r="E80" s="58" t="s">
        <v>305</v>
      </c>
      <c r="G80" s="58" t="s">
        <v>249</v>
      </c>
      <c r="H80" s="119">
        <v>1</v>
      </c>
      <c r="I80" s="119">
        <v>24000</v>
      </c>
      <c r="J80" s="119">
        <f>H80*I80</f>
        <v>24000</v>
      </c>
      <c r="K80" s="296"/>
      <c r="L80" s="119">
        <v>1</v>
      </c>
      <c r="M80" s="119">
        <f>L80*I80</f>
        <v>24000</v>
      </c>
      <c r="N80" s="296"/>
      <c r="O80" s="119">
        <v>1</v>
      </c>
      <c r="P80" s="119">
        <f>O80*I80</f>
        <v>24000</v>
      </c>
      <c r="Q80" s="296"/>
      <c r="R80" s="119">
        <v>1</v>
      </c>
      <c r="S80" s="119">
        <f>R80*I80</f>
        <v>24000</v>
      </c>
      <c r="T80" s="296"/>
      <c r="U80" s="119">
        <v>1</v>
      </c>
      <c r="V80" s="119">
        <f>U80*I80</f>
        <v>24000</v>
      </c>
      <c r="W80" s="119">
        <f t="shared" si="50"/>
        <v>120000</v>
      </c>
      <c r="X80" s="154"/>
      <c r="Y80" s="119">
        <f>SUM(W80:X80)</f>
        <v>120000</v>
      </c>
      <c r="Z80" s="355"/>
      <c r="AA80" s="366">
        <v>0.5</v>
      </c>
      <c r="AB80" s="366">
        <v>0.5</v>
      </c>
    </row>
    <row r="81" spans="1:28">
      <c r="A81" s="56" t="s">
        <v>303</v>
      </c>
      <c r="B81" s="56">
        <v>87000</v>
      </c>
      <c r="C81" s="56" t="s">
        <v>219</v>
      </c>
      <c r="D81" s="56">
        <v>0</v>
      </c>
      <c r="E81" s="58" t="s">
        <v>306</v>
      </c>
      <c r="G81" s="58" t="s">
        <v>249</v>
      </c>
      <c r="H81" s="119">
        <v>1</v>
      </c>
      <c r="I81" s="119">
        <v>5000</v>
      </c>
      <c r="J81" s="119">
        <f>H81*I81</f>
        <v>5000</v>
      </c>
      <c r="K81" s="296"/>
      <c r="L81" s="119"/>
      <c r="M81" s="119">
        <f>L81*I81</f>
        <v>0</v>
      </c>
      <c r="N81" s="296"/>
      <c r="O81" s="119"/>
      <c r="P81" s="119">
        <f>O81*I81</f>
        <v>0</v>
      </c>
      <c r="Q81" s="296"/>
      <c r="R81" s="119"/>
      <c r="S81" s="119">
        <f>R81*I81</f>
        <v>0</v>
      </c>
      <c r="T81" s="296"/>
      <c r="U81" s="119"/>
      <c r="V81" s="119">
        <f>U81*I81</f>
        <v>0</v>
      </c>
      <c r="W81" s="119">
        <f t="shared" si="50"/>
        <v>5000</v>
      </c>
      <c r="X81" s="154" t="s">
        <v>243</v>
      </c>
      <c r="Y81" s="119">
        <f>SUM(W81:X81)</f>
        <v>5000</v>
      </c>
      <c r="Z81" s="96" t="s">
        <v>307</v>
      </c>
      <c r="AA81" s="366">
        <v>0.5</v>
      </c>
      <c r="AB81" s="366">
        <v>0.5</v>
      </c>
    </row>
    <row r="82" spans="1:28" s="265" customFormat="1">
      <c r="A82" s="253"/>
      <c r="B82" s="253"/>
      <c r="C82" s="253"/>
      <c r="D82" s="253"/>
      <c r="E82" s="253" t="s">
        <v>308</v>
      </c>
      <c r="F82" s="297"/>
      <c r="G82" s="262"/>
      <c r="H82" s="263"/>
      <c r="I82" s="263"/>
      <c r="J82" s="263">
        <f>SUM(J70:J81)</f>
        <v>1025798.724275707</v>
      </c>
      <c r="K82" s="297"/>
      <c r="L82" s="263"/>
      <c r="M82" s="263">
        <f>SUM(M70:M81)</f>
        <v>248566.02492336766</v>
      </c>
      <c r="N82" s="297"/>
      <c r="O82" s="263"/>
      <c r="P82" s="263">
        <f>SUM(P70:P81)</f>
        <v>209000</v>
      </c>
      <c r="Q82" s="297"/>
      <c r="R82" s="263"/>
      <c r="S82" s="263">
        <f>SUM(S70:S81)</f>
        <v>24000</v>
      </c>
      <c r="T82" s="297"/>
      <c r="U82" s="263"/>
      <c r="V82" s="263">
        <f>SUM(V70:V81)</f>
        <v>199000</v>
      </c>
      <c r="W82" s="263">
        <f>SUM(W70:W81)</f>
        <v>1706364.7491990747</v>
      </c>
      <c r="X82" s="263">
        <f>SUM(X70:X81)</f>
        <v>0</v>
      </c>
      <c r="Y82" s="263">
        <f>SUM(Y70:Y81)</f>
        <v>1706364.7491990747</v>
      </c>
      <c r="Z82" s="264">
        <f>W82/W538</f>
        <v>7.2580541776438121E-2</v>
      </c>
      <c r="AB82" s="56"/>
    </row>
    <row r="83" spans="1:28">
      <c r="A83" s="58"/>
      <c r="B83" s="58"/>
      <c r="C83" s="58"/>
      <c r="D83" s="58"/>
      <c r="F83" s="293"/>
      <c r="G83" s="126"/>
      <c r="H83" s="119"/>
      <c r="I83" s="119"/>
      <c r="J83" s="119"/>
      <c r="K83" s="293"/>
      <c r="L83" s="119"/>
      <c r="M83" s="119"/>
      <c r="N83" s="293"/>
      <c r="O83" s="119"/>
      <c r="P83" s="119"/>
      <c r="Q83" s="293"/>
      <c r="R83" s="119"/>
      <c r="S83" s="119"/>
      <c r="T83" s="293"/>
      <c r="U83" s="119"/>
      <c r="V83" s="119"/>
      <c r="W83" s="119"/>
      <c r="X83" s="119"/>
      <c r="Y83" s="119"/>
      <c r="Z83" s="264"/>
      <c r="AA83" s="265"/>
    </row>
    <row r="84" spans="1:28" ht="12.9" thickBot="1">
      <c r="A84" s="143"/>
      <c r="B84" s="143"/>
      <c r="C84" s="143"/>
      <c r="D84" s="143"/>
      <c r="E84" s="143" t="s">
        <v>166</v>
      </c>
      <c r="F84" s="294"/>
      <c r="G84" s="144"/>
      <c r="H84" s="144"/>
      <c r="I84" s="145"/>
      <c r="J84" s="146">
        <f>SUM(J64:J81)</f>
        <v>1570061.224275707</v>
      </c>
      <c r="K84" s="294"/>
      <c r="L84" s="146"/>
      <c r="M84" s="146">
        <f>SUM(M64:M81)</f>
        <v>385066.02492336766</v>
      </c>
      <c r="N84" s="294"/>
      <c r="O84" s="146"/>
      <c r="P84" s="146">
        <f>SUM(P64:P81)</f>
        <v>245500</v>
      </c>
      <c r="Q84" s="294"/>
      <c r="R84" s="146"/>
      <c r="S84" s="146">
        <f>SUM(S64:S81)</f>
        <v>60500</v>
      </c>
      <c r="T84" s="294"/>
      <c r="U84" s="146"/>
      <c r="V84" s="146">
        <f>SUM(V64:V81)</f>
        <v>220500</v>
      </c>
      <c r="W84" s="146">
        <f>SUM(W64:W81)</f>
        <v>2481627.2491990747</v>
      </c>
      <c r="X84" s="146">
        <f>SUM(X64:X81)</f>
        <v>0</v>
      </c>
      <c r="Y84" s="157">
        <f>SUM(W84:X84)</f>
        <v>2481627.2491990747</v>
      </c>
      <c r="AA84" s="146">
        <f>SUMPRODUCT(Y64:Y81,AA64:AA81)</f>
        <v>1240813.6245995373</v>
      </c>
      <c r="AB84" s="146">
        <f>SUMPRODUCT(Y64:Y81,AB64:AB81)</f>
        <v>1240813.6245995373</v>
      </c>
    </row>
    <row r="85" spans="1:28">
      <c r="A85" s="245"/>
      <c r="B85" s="245"/>
      <c r="C85" s="245"/>
      <c r="D85" s="245"/>
      <c r="E85" s="245"/>
      <c r="F85" s="291"/>
      <c r="G85" s="245"/>
      <c r="H85" s="154"/>
      <c r="I85" s="154"/>
      <c r="J85" s="154"/>
      <c r="K85" s="291"/>
      <c r="L85" s="154"/>
      <c r="M85" s="154"/>
      <c r="N85" s="291"/>
      <c r="O85" s="154"/>
      <c r="P85" s="154"/>
      <c r="Q85" s="291"/>
      <c r="R85" s="154"/>
      <c r="S85" s="154"/>
      <c r="T85" s="291"/>
      <c r="U85" s="154"/>
      <c r="V85" s="154"/>
      <c r="W85" s="154"/>
      <c r="X85" s="154"/>
      <c r="Y85" s="154"/>
    </row>
    <row r="86" spans="1:28">
      <c r="A86" s="106"/>
      <c r="B86" s="106"/>
      <c r="C86" s="106"/>
      <c r="D86" s="106"/>
      <c r="E86" s="106" t="s">
        <v>97</v>
      </c>
      <c r="F86" s="292"/>
      <c r="G86" s="106"/>
      <c r="H86" s="106"/>
      <c r="I86" s="107"/>
      <c r="J86" s="108"/>
      <c r="K86" s="292"/>
      <c r="L86" s="108"/>
      <c r="M86" s="108"/>
      <c r="N86" s="292"/>
      <c r="O86" s="108"/>
      <c r="P86" s="108"/>
      <c r="Q86" s="292"/>
      <c r="R86" s="108"/>
      <c r="S86" s="108"/>
      <c r="T86" s="292"/>
      <c r="U86" s="108"/>
      <c r="V86" s="108"/>
      <c r="W86" s="108"/>
      <c r="X86" s="108"/>
      <c r="Y86" s="108"/>
    </row>
    <row r="87" spans="1:28">
      <c r="A87" s="56" t="s">
        <v>309</v>
      </c>
      <c r="B87" s="56">
        <v>85200</v>
      </c>
      <c r="C87" s="58" t="s">
        <v>222</v>
      </c>
      <c r="D87" s="56">
        <v>0</v>
      </c>
      <c r="E87" s="58" t="s">
        <v>310</v>
      </c>
      <c r="F87" s="293"/>
      <c r="G87" s="127" t="s">
        <v>281</v>
      </c>
      <c r="H87" s="119">
        <v>2</v>
      </c>
      <c r="I87" s="119">
        <v>50000</v>
      </c>
      <c r="J87" s="119">
        <f>H87*I87</f>
        <v>100000</v>
      </c>
      <c r="K87" s="293"/>
      <c r="L87" s="119">
        <v>0</v>
      </c>
      <c r="M87" s="119">
        <f>L87*I87</f>
        <v>0</v>
      </c>
      <c r="N87" s="293"/>
      <c r="O87" s="119">
        <v>0</v>
      </c>
      <c r="P87" s="119">
        <f>O87*I87</f>
        <v>0</v>
      </c>
      <c r="Q87" s="293"/>
      <c r="R87" s="119">
        <v>0</v>
      </c>
      <c r="S87" s="119">
        <f>R87*I87</f>
        <v>0</v>
      </c>
      <c r="T87" s="293"/>
      <c r="U87" s="119">
        <v>0</v>
      </c>
      <c r="V87" s="119">
        <f>U87*L87</f>
        <v>0</v>
      </c>
      <c r="W87" s="119">
        <f t="shared" ref="W87" si="55">SUM(S87,P87,M87,J87,V87)</f>
        <v>100000</v>
      </c>
      <c r="X87" s="119">
        <v>0</v>
      </c>
      <c r="Y87" s="119">
        <f>W87+X87</f>
        <v>100000</v>
      </c>
      <c r="AA87" s="366">
        <v>0.5</v>
      </c>
      <c r="AB87" s="366">
        <v>0.5</v>
      </c>
    </row>
    <row r="88" spans="1:28">
      <c r="A88" s="58"/>
      <c r="B88" s="58"/>
      <c r="C88" s="58"/>
      <c r="D88" s="58"/>
      <c r="F88" s="293"/>
      <c r="G88" s="126"/>
      <c r="H88" s="119"/>
      <c r="I88" s="119"/>
      <c r="J88" s="119"/>
      <c r="K88" s="293"/>
      <c r="L88" s="119"/>
      <c r="M88" s="119"/>
      <c r="N88" s="293"/>
      <c r="O88" s="119"/>
      <c r="P88" s="119"/>
      <c r="Q88" s="293"/>
      <c r="R88" s="119"/>
      <c r="S88" s="119"/>
      <c r="T88" s="293"/>
      <c r="U88" s="119"/>
      <c r="V88" s="119"/>
      <c r="W88" s="119"/>
      <c r="X88" s="119"/>
      <c r="Y88" s="119"/>
    </row>
    <row r="89" spans="1:28" ht="12.9" thickBot="1">
      <c r="A89" s="143"/>
      <c r="B89" s="143"/>
      <c r="C89" s="143"/>
      <c r="D89" s="143"/>
      <c r="E89" s="143" t="s">
        <v>168</v>
      </c>
      <c r="F89" s="294"/>
      <c r="G89" s="144"/>
      <c r="H89" s="144"/>
      <c r="I89" s="145"/>
      <c r="J89" s="146">
        <f>SUM(J87:J87)</f>
        <v>100000</v>
      </c>
      <c r="K89" s="294"/>
      <c r="L89" s="146"/>
      <c r="M89" s="146">
        <f>SUM(M87:M87)</f>
        <v>0</v>
      </c>
      <c r="N89" s="294"/>
      <c r="O89" s="146"/>
      <c r="P89" s="146">
        <f>SUM(P87:P87)</f>
        <v>0</v>
      </c>
      <c r="Q89" s="294"/>
      <c r="R89" s="146"/>
      <c r="S89" s="146">
        <f>SUM(S87:S87)</f>
        <v>0</v>
      </c>
      <c r="T89" s="294"/>
      <c r="U89" s="146"/>
      <c r="V89" s="146">
        <f>SUM(V87:V87)</f>
        <v>0</v>
      </c>
      <c r="W89" s="146">
        <f>SUM(W87:W88)</f>
        <v>100000</v>
      </c>
      <c r="X89" s="146">
        <f>SUM(X87:X87)</f>
        <v>0</v>
      </c>
      <c r="Y89" s="157">
        <f>SUM(W89:X89)</f>
        <v>100000</v>
      </c>
      <c r="AA89" s="146">
        <f>Y89*AA87</f>
        <v>50000</v>
      </c>
      <c r="AB89" s="146">
        <f>Y89*AB87</f>
        <v>50000</v>
      </c>
    </row>
    <row r="90" spans="1:28">
      <c r="A90" s="245"/>
      <c r="B90" s="245"/>
      <c r="C90" s="245"/>
      <c r="D90" s="245"/>
      <c r="E90" s="245"/>
      <c r="F90" s="291"/>
      <c r="G90" s="245"/>
      <c r="H90" s="154"/>
      <c r="I90" s="154"/>
      <c r="J90" s="154"/>
      <c r="K90" s="291"/>
      <c r="L90" s="154"/>
      <c r="M90" s="154"/>
      <c r="N90" s="291"/>
      <c r="O90" s="154"/>
      <c r="P90" s="154"/>
      <c r="Q90" s="291"/>
      <c r="R90" s="154"/>
      <c r="S90" s="154"/>
      <c r="T90" s="291"/>
      <c r="U90" s="154"/>
      <c r="V90" s="154"/>
      <c r="W90" s="154"/>
      <c r="X90" s="154"/>
      <c r="Y90" s="154"/>
    </row>
    <row r="91" spans="1:28">
      <c r="A91" s="106"/>
      <c r="B91" s="106"/>
      <c r="C91" s="106"/>
      <c r="D91" s="106"/>
      <c r="E91" s="106" t="s">
        <v>311</v>
      </c>
      <c r="F91" s="292"/>
      <c r="G91" s="106"/>
      <c r="H91" s="106"/>
      <c r="I91" s="107"/>
      <c r="J91" s="108"/>
      <c r="K91" s="292"/>
      <c r="L91" s="108"/>
      <c r="M91" s="108"/>
      <c r="N91" s="292"/>
      <c r="O91" s="108"/>
      <c r="P91" s="108"/>
      <c r="Q91" s="292"/>
      <c r="R91" s="108"/>
      <c r="S91" s="108"/>
      <c r="T91" s="292"/>
      <c r="U91" s="108"/>
      <c r="V91" s="108"/>
      <c r="W91" s="108"/>
      <c r="X91" s="108"/>
      <c r="Y91" s="108"/>
    </row>
    <row r="92" spans="1:28">
      <c r="A92" s="258"/>
      <c r="B92" s="258"/>
      <c r="C92" s="258"/>
      <c r="D92" s="258"/>
      <c r="E92" s="258" t="s">
        <v>312</v>
      </c>
      <c r="F92" s="302"/>
      <c r="G92" s="258"/>
      <c r="H92" s="258"/>
      <c r="I92" s="258"/>
      <c r="J92" s="258"/>
      <c r="K92" s="302"/>
      <c r="L92" s="258"/>
      <c r="M92" s="258"/>
      <c r="N92" s="302"/>
      <c r="O92" s="258"/>
      <c r="P92" s="258"/>
      <c r="Q92" s="302"/>
      <c r="R92" s="258"/>
      <c r="S92" s="258"/>
      <c r="T92" s="302"/>
      <c r="U92" s="258"/>
      <c r="V92" s="258"/>
      <c r="W92" s="258"/>
      <c r="X92" s="258"/>
      <c r="Y92" s="258"/>
    </row>
    <row r="93" spans="1:28">
      <c r="A93" s="56" t="s">
        <v>313</v>
      </c>
      <c r="B93" s="56">
        <v>82350</v>
      </c>
      <c r="C93" s="58" t="s">
        <v>314</v>
      </c>
      <c r="D93" s="56">
        <v>0</v>
      </c>
      <c r="E93" s="58" t="s">
        <v>315</v>
      </c>
      <c r="G93" s="126" t="s">
        <v>221</v>
      </c>
      <c r="H93" s="119">
        <v>3</v>
      </c>
      <c r="I93" s="119">
        <v>30</v>
      </c>
      <c r="J93" s="119">
        <f>H93*I93</f>
        <v>90</v>
      </c>
      <c r="K93" s="296"/>
      <c r="L93" s="119">
        <v>12</v>
      </c>
      <c r="M93" s="119">
        <f>L93*I93*$F$7</f>
        <v>374.40000000000003</v>
      </c>
      <c r="N93" s="296"/>
      <c r="O93" s="119">
        <v>12</v>
      </c>
      <c r="P93" s="119">
        <f>O93*I93*$F$7*$F$7</f>
        <v>389.37600000000003</v>
      </c>
      <c r="Q93" s="296"/>
      <c r="R93" s="119">
        <v>12</v>
      </c>
      <c r="S93" s="119">
        <f>R93*I93*$F$7*$F$7*$F$7</f>
        <v>404.95104000000003</v>
      </c>
      <c r="T93" s="296"/>
      <c r="U93" s="119">
        <v>6</v>
      </c>
      <c r="V93" s="119">
        <f>U93*I93*$F$7*$F$7*$F$7*$F$7</f>
        <v>210.57454080000002</v>
      </c>
      <c r="W93" s="119">
        <f t="shared" ref="W93:W100" si="56">SUM(S93,P93,M93,J93,V93)</f>
        <v>1469.3015808000002</v>
      </c>
      <c r="X93" s="119">
        <v>0</v>
      </c>
      <c r="Y93" s="119">
        <f>W93+X93</f>
        <v>1469.3015808000002</v>
      </c>
      <c r="AA93" s="366">
        <v>0.5</v>
      </c>
      <c r="AB93" s="366">
        <v>0.5</v>
      </c>
    </row>
    <row r="94" spans="1:28">
      <c r="A94" s="56" t="s">
        <v>313</v>
      </c>
      <c r="B94" s="56">
        <v>82030</v>
      </c>
      <c r="C94" s="58" t="s">
        <v>314</v>
      </c>
      <c r="D94" s="56">
        <v>0</v>
      </c>
      <c r="E94" s="58" t="s">
        <v>316</v>
      </c>
      <c r="G94" s="126" t="s">
        <v>221</v>
      </c>
      <c r="H94" s="119">
        <v>3</v>
      </c>
      <c r="I94" s="119">
        <v>150</v>
      </c>
      <c r="J94" s="119">
        <f t="shared" ref="J94:J97" si="57">H94*I94</f>
        <v>450</v>
      </c>
      <c r="K94" s="296"/>
      <c r="L94" s="119">
        <v>12</v>
      </c>
      <c r="M94" s="119">
        <f t="shared" ref="M94:M100" si="58">L94*I94*$F$7</f>
        <v>1872</v>
      </c>
      <c r="N94" s="296"/>
      <c r="O94" s="119">
        <v>12</v>
      </c>
      <c r="P94" s="119">
        <f t="shared" ref="P94:P100" si="59">O94*I94*$F$7*$F$7</f>
        <v>1946.88</v>
      </c>
      <c r="Q94" s="296"/>
      <c r="R94" s="119">
        <v>12</v>
      </c>
      <c r="S94" s="119">
        <f t="shared" ref="S94:S100" si="60">R94*I94*$F$7*$F$7*$F$7</f>
        <v>2024.7552000000003</v>
      </c>
      <c r="T94" s="296"/>
      <c r="U94" s="119">
        <v>6</v>
      </c>
      <c r="V94" s="119">
        <f t="shared" ref="V94:V100" si="61">U94*I94*$F$7*$F$7*$F$7*$F$7</f>
        <v>1052.8727040000001</v>
      </c>
      <c r="W94" s="119">
        <f t="shared" si="56"/>
        <v>7346.507904000001</v>
      </c>
      <c r="X94" s="119">
        <v>0</v>
      </c>
      <c r="Y94" s="119">
        <f t="shared" ref="Y94:Y97" si="62">W94+X94</f>
        <v>7346.507904000001</v>
      </c>
      <c r="AA94" s="366">
        <v>0.5</v>
      </c>
      <c r="AB94" s="366">
        <v>0.5</v>
      </c>
    </row>
    <row r="95" spans="1:28">
      <c r="A95" s="56" t="s">
        <v>313</v>
      </c>
      <c r="B95" s="56">
        <v>82350</v>
      </c>
      <c r="C95" s="58" t="s">
        <v>314</v>
      </c>
      <c r="D95" s="56">
        <v>0</v>
      </c>
      <c r="E95" s="58" t="s">
        <v>315</v>
      </c>
      <c r="G95" s="126" t="s">
        <v>221</v>
      </c>
      <c r="H95" s="119">
        <v>3</v>
      </c>
      <c r="I95" s="119">
        <v>250</v>
      </c>
      <c r="J95" s="119">
        <f t="shared" si="57"/>
        <v>750</v>
      </c>
      <c r="K95" s="296"/>
      <c r="L95" s="119">
        <v>12</v>
      </c>
      <c r="M95" s="119">
        <f t="shared" si="58"/>
        <v>3120</v>
      </c>
      <c r="N95" s="296"/>
      <c r="O95" s="119">
        <v>12</v>
      </c>
      <c r="P95" s="119">
        <f t="shared" si="59"/>
        <v>3244.8</v>
      </c>
      <c r="Q95" s="296"/>
      <c r="R95" s="119">
        <v>12</v>
      </c>
      <c r="S95" s="119">
        <f t="shared" si="60"/>
        <v>3374.5920000000001</v>
      </c>
      <c r="T95" s="296"/>
      <c r="U95" s="119">
        <v>6</v>
      </c>
      <c r="V95" s="119">
        <f t="shared" si="61"/>
        <v>1754.7878400000002</v>
      </c>
      <c r="W95" s="119">
        <f t="shared" si="56"/>
        <v>12244.179840000001</v>
      </c>
      <c r="X95" s="119">
        <v>0</v>
      </c>
      <c r="Y95" s="119">
        <f t="shared" si="62"/>
        <v>12244.179840000001</v>
      </c>
      <c r="AA95" s="366">
        <v>0.5</v>
      </c>
      <c r="AB95" s="366">
        <v>0.5</v>
      </c>
    </row>
    <row r="96" spans="1:28">
      <c r="A96" s="56" t="s">
        <v>317</v>
      </c>
      <c r="B96" s="56">
        <v>90450</v>
      </c>
      <c r="C96" s="58" t="s">
        <v>314</v>
      </c>
      <c r="D96" s="56">
        <v>0</v>
      </c>
      <c r="E96" s="58" t="s">
        <v>318</v>
      </c>
      <c r="G96" s="126" t="s">
        <v>249</v>
      </c>
      <c r="H96" s="119">
        <v>1</v>
      </c>
      <c r="I96" s="119">
        <v>470.8</v>
      </c>
      <c r="J96" s="119">
        <f>H96*I96</f>
        <v>470.8</v>
      </c>
      <c r="K96" s="296"/>
      <c r="L96" s="119">
        <v>1</v>
      </c>
      <c r="M96" s="119">
        <f t="shared" si="58"/>
        <v>489.63200000000001</v>
      </c>
      <c r="N96" s="296"/>
      <c r="O96" s="119">
        <v>1</v>
      </c>
      <c r="P96" s="119">
        <f t="shared" si="59"/>
        <v>509.21728000000002</v>
      </c>
      <c r="Q96" s="296"/>
      <c r="R96" s="119">
        <v>1</v>
      </c>
      <c r="S96" s="119">
        <f t="shared" si="60"/>
        <v>529.58597120000002</v>
      </c>
      <c r="T96" s="296"/>
      <c r="U96" s="119">
        <v>1</v>
      </c>
      <c r="V96" s="119">
        <f t="shared" si="61"/>
        <v>550.76941004800005</v>
      </c>
      <c r="W96" s="119">
        <f t="shared" si="56"/>
        <v>2550.004661248</v>
      </c>
      <c r="X96" s="119">
        <v>0</v>
      </c>
      <c r="Y96" s="119">
        <f>W96+X96</f>
        <v>2550.004661248</v>
      </c>
      <c r="AA96" s="366">
        <v>0.5</v>
      </c>
      <c r="AB96" s="366">
        <v>0.5</v>
      </c>
    </row>
    <row r="97" spans="1:33">
      <c r="A97" s="56" t="s">
        <v>319</v>
      </c>
      <c r="B97" s="56">
        <v>85180</v>
      </c>
      <c r="C97" s="58" t="s">
        <v>222</v>
      </c>
      <c r="D97" s="56">
        <v>0</v>
      </c>
      <c r="E97" s="58" t="s">
        <v>320</v>
      </c>
      <c r="F97" s="293"/>
      <c r="G97" s="126" t="s">
        <v>221</v>
      </c>
      <c r="H97" s="119">
        <v>3</v>
      </c>
      <c r="I97" s="119">
        <v>3000</v>
      </c>
      <c r="J97" s="119">
        <f t="shared" si="57"/>
        <v>9000</v>
      </c>
      <c r="K97" s="293"/>
      <c r="L97" s="119">
        <v>12</v>
      </c>
      <c r="M97" s="119">
        <f>L97*I97*$F$7</f>
        <v>37440</v>
      </c>
      <c r="N97" s="293"/>
      <c r="O97" s="119">
        <v>12</v>
      </c>
      <c r="P97" s="119">
        <f>O97*I97*$F$7*$F$7</f>
        <v>38937.599999999999</v>
      </c>
      <c r="Q97" s="293"/>
      <c r="R97" s="119">
        <v>12</v>
      </c>
      <c r="S97" s="119">
        <f t="shared" si="60"/>
        <v>40495.103999999999</v>
      </c>
      <c r="T97" s="293"/>
      <c r="U97" s="119">
        <v>6</v>
      </c>
      <c r="V97" s="119">
        <f t="shared" si="61"/>
        <v>21057.45408</v>
      </c>
      <c r="W97" s="119">
        <f t="shared" si="56"/>
        <v>146930.15807999999</v>
      </c>
      <c r="X97" s="119">
        <v>0</v>
      </c>
      <c r="Y97" s="119">
        <f t="shared" si="62"/>
        <v>146930.15807999999</v>
      </c>
      <c r="AA97" s="366">
        <v>0.5</v>
      </c>
      <c r="AB97" s="366">
        <v>0.5</v>
      </c>
    </row>
    <row r="98" spans="1:33">
      <c r="A98" s="58" t="s">
        <v>321</v>
      </c>
      <c r="B98" s="58">
        <v>90900</v>
      </c>
      <c r="C98" s="58" t="s">
        <v>314</v>
      </c>
      <c r="D98" s="58">
        <v>0</v>
      </c>
      <c r="E98" s="58" t="s">
        <v>322</v>
      </c>
      <c r="F98" s="293"/>
      <c r="G98" s="126" t="s">
        <v>221</v>
      </c>
      <c r="H98" s="119">
        <v>3</v>
      </c>
      <c r="I98" s="119">
        <v>200</v>
      </c>
      <c r="J98" s="119">
        <f>H98*I98</f>
        <v>600</v>
      </c>
      <c r="K98" s="293"/>
      <c r="L98" s="119">
        <v>12</v>
      </c>
      <c r="M98" s="119">
        <f t="shared" si="58"/>
        <v>2496</v>
      </c>
      <c r="N98" s="293"/>
      <c r="O98" s="119">
        <v>12</v>
      </c>
      <c r="P98" s="119">
        <f t="shared" si="59"/>
        <v>2595.84</v>
      </c>
      <c r="Q98" s="293"/>
      <c r="R98" s="119">
        <v>12</v>
      </c>
      <c r="S98" s="119">
        <f t="shared" si="60"/>
        <v>2699.6736000000001</v>
      </c>
      <c r="T98" s="293"/>
      <c r="U98" s="119">
        <v>6</v>
      </c>
      <c r="V98" s="119">
        <f t="shared" si="61"/>
        <v>1403.8302720000002</v>
      </c>
      <c r="W98" s="119">
        <f t="shared" si="56"/>
        <v>9795.3438720000013</v>
      </c>
      <c r="X98" s="119">
        <v>0</v>
      </c>
      <c r="Y98" s="119">
        <f>W98+X98</f>
        <v>9795.3438720000013</v>
      </c>
      <c r="AA98" s="366">
        <v>0.5</v>
      </c>
      <c r="AB98" s="366">
        <v>0.5</v>
      </c>
    </row>
    <row r="99" spans="1:33">
      <c r="A99" s="56" t="s">
        <v>323</v>
      </c>
      <c r="B99" s="56">
        <v>87010</v>
      </c>
      <c r="C99" s="58" t="s">
        <v>314</v>
      </c>
      <c r="D99" s="56">
        <v>0</v>
      </c>
      <c r="E99" s="58" t="s">
        <v>324</v>
      </c>
      <c r="F99" s="293"/>
      <c r="G99" s="126" t="s">
        <v>221</v>
      </c>
      <c r="H99" s="119">
        <v>3</v>
      </c>
      <c r="I99" s="119">
        <v>250</v>
      </c>
      <c r="J99" s="119">
        <f>H99*I99</f>
        <v>750</v>
      </c>
      <c r="K99" s="293"/>
      <c r="L99" s="119">
        <v>12</v>
      </c>
      <c r="M99" s="119">
        <f t="shared" si="58"/>
        <v>3120</v>
      </c>
      <c r="N99" s="293"/>
      <c r="O99" s="119">
        <v>12</v>
      </c>
      <c r="P99" s="119">
        <f t="shared" si="59"/>
        <v>3244.8</v>
      </c>
      <c r="Q99" s="293"/>
      <c r="R99" s="119">
        <v>12</v>
      </c>
      <c r="S99" s="119">
        <f t="shared" si="60"/>
        <v>3374.5920000000001</v>
      </c>
      <c r="T99" s="293"/>
      <c r="U99" s="119">
        <v>6</v>
      </c>
      <c r="V99" s="119">
        <f t="shared" si="61"/>
        <v>1754.7878400000002</v>
      </c>
      <c r="W99" s="119">
        <f t="shared" si="56"/>
        <v>12244.179840000001</v>
      </c>
      <c r="X99" s="119">
        <v>0</v>
      </c>
      <c r="Y99" s="119">
        <f>W99+X99</f>
        <v>12244.179840000001</v>
      </c>
      <c r="AA99" s="366">
        <v>0.5</v>
      </c>
      <c r="AB99" s="366">
        <v>0.5</v>
      </c>
    </row>
    <row r="100" spans="1:33">
      <c r="A100" s="56" t="s">
        <v>325</v>
      </c>
      <c r="B100" s="56">
        <v>89400</v>
      </c>
      <c r="C100" s="58" t="s">
        <v>314</v>
      </c>
      <c r="D100" s="56">
        <v>0</v>
      </c>
      <c r="E100" s="58" t="s">
        <v>326</v>
      </c>
      <c r="F100" s="293"/>
      <c r="G100" s="126" t="s">
        <v>221</v>
      </c>
      <c r="H100" s="119">
        <v>3</v>
      </c>
      <c r="I100" s="119">
        <v>600</v>
      </c>
      <c r="J100" s="119">
        <f>H100*I100</f>
        <v>1800</v>
      </c>
      <c r="K100" s="293"/>
      <c r="L100" s="119">
        <v>12</v>
      </c>
      <c r="M100" s="119">
        <f t="shared" si="58"/>
        <v>7488</v>
      </c>
      <c r="N100" s="293"/>
      <c r="O100" s="119">
        <v>12</v>
      </c>
      <c r="P100" s="119">
        <f t="shared" si="59"/>
        <v>7787.52</v>
      </c>
      <c r="Q100" s="293"/>
      <c r="R100" s="119">
        <v>12</v>
      </c>
      <c r="S100" s="119">
        <f t="shared" si="60"/>
        <v>8099.0208000000011</v>
      </c>
      <c r="T100" s="293"/>
      <c r="U100" s="119">
        <v>6</v>
      </c>
      <c r="V100" s="119">
        <f t="shared" si="61"/>
        <v>4211.4908160000005</v>
      </c>
      <c r="W100" s="119">
        <f t="shared" si="56"/>
        <v>29386.031616000004</v>
      </c>
      <c r="X100" s="119">
        <v>0</v>
      </c>
      <c r="Y100" s="119">
        <f>W100+X100</f>
        <v>29386.031616000004</v>
      </c>
      <c r="AA100" s="366">
        <v>0.5</v>
      </c>
      <c r="AB100" s="366">
        <v>0.5</v>
      </c>
    </row>
    <row r="101" spans="1:33">
      <c r="A101" s="58"/>
      <c r="B101" s="58"/>
      <c r="C101" s="58"/>
      <c r="D101" s="58"/>
      <c r="F101" s="293"/>
      <c r="G101" s="126"/>
      <c r="K101" s="293"/>
      <c r="N101" s="293"/>
      <c r="Q101" s="293"/>
      <c r="T101" s="293"/>
      <c r="AA101" s="366"/>
      <c r="AB101" s="366"/>
    </row>
    <row r="102" spans="1:33" ht="12.9" thickBot="1">
      <c r="A102" s="143"/>
      <c r="B102" s="143"/>
      <c r="C102" s="143"/>
      <c r="D102" s="143"/>
      <c r="E102" s="143" t="s">
        <v>170</v>
      </c>
      <c r="F102" s="294"/>
      <c r="G102" s="143"/>
      <c r="H102" s="143"/>
      <c r="I102" s="160"/>
      <c r="J102" s="161">
        <f>SUM(J93:J100)</f>
        <v>13910.8</v>
      </c>
      <c r="K102" s="294"/>
      <c r="L102" s="161"/>
      <c r="M102" s="161">
        <f>SUM(M93:M100)</f>
        <v>56400.031999999999</v>
      </c>
      <c r="N102" s="294"/>
      <c r="O102" s="161"/>
      <c r="P102" s="161">
        <f>SUM(P93:P100)</f>
        <v>58656.033280000003</v>
      </c>
      <c r="Q102" s="294"/>
      <c r="R102" s="161"/>
      <c r="S102" s="161">
        <f>SUM(S93:S100)</f>
        <v>61002.274611199995</v>
      </c>
      <c r="T102" s="294"/>
      <c r="U102" s="161"/>
      <c r="V102" s="161">
        <f>SUM(V93:V100)</f>
        <v>31996.567502848004</v>
      </c>
      <c r="W102" s="146">
        <f>SUM(W93:W101)</f>
        <v>221965.70739404799</v>
      </c>
      <c r="X102" s="161">
        <f>SUM(X93:X100)</f>
        <v>0</v>
      </c>
      <c r="Y102" s="157">
        <f>SUM(W102:X102)</f>
        <v>221965.70739404799</v>
      </c>
      <c r="AA102" s="146">
        <f>SUMPRODUCT(Y93:Y100,AA93:AA100)</f>
        <v>110982.85369702399</v>
      </c>
      <c r="AB102" s="146">
        <f>SUMPRODUCT(Y93:Y100,AB93:AB100)</f>
        <v>110982.85369702399</v>
      </c>
    </row>
    <row r="103" spans="1:33">
      <c r="A103" s="245"/>
      <c r="B103" s="245"/>
      <c r="C103" s="245"/>
      <c r="D103" s="245"/>
      <c r="E103" s="245"/>
      <c r="F103" s="291"/>
      <c r="G103" s="245"/>
      <c r="H103" s="154"/>
      <c r="I103" s="154"/>
      <c r="J103" s="154"/>
      <c r="K103" s="291"/>
      <c r="L103" s="154"/>
      <c r="M103" s="154"/>
      <c r="N103" s="291"/>
      <c r="O103" s="154"/>
      <c r="P103" s="154"/>
      <c r="Q103" s="291"/>
      <c r="R103" s="154"/>
      <c r="S103" s="154"/>
      <c r="T103" s="291"/>
      <c r="U103" s="154"/>
      <c r="V103" s="154"/>
      <c r="W103" s="154"/>
      <c r="X103" s="154"/>
      <c r="Y103" s="154"/>
    </row>
    <row r="104" spans="1:33">
      <c r="A104" s="106"/>
      <c r="B104" s="106"/>
      <c r="C104" s="106"/>
      <c r="D104" s="106"/>
      <c r="E104" s="106" t="s">
        <v>327</v>
      </c>
      <c r="F104" s="292"/>
      <c r="G104" s="106"/>
      <c r="H104" s="106"/>
      <c r="I104" s="107"/>
      <c r="J104" s="108"/>
      <c r="K104" s="292"/>
      <c r="L104" s="108"/>
      <c r="M104" s="108"/>
      <c r="N104" s="292"/>
      <c r="O104" s="108"/>
      <c r="P104" s="108"/>
      <c r="Q104" s="292"/>
      <c r="R104" s="108"/>
      <c r="S104" s="108"/>
      <c r="T104" s="292"/>
      <c r="U104" s="108"/>
      <c r="V104" s="108"/>
      <c r="W104" s="108"/>
      <c r="X104" s="108"/>
      <c r="Y104" s="108"/>
    </row>
    <row r="105" spans="1:33">
      <c r="A105" s="58" t="s">
        <v>328</v>
      </c>
      <c r="B105" s="58">
        <v>82401</v>
      </c>
      <c r="C105" s="58" t="s">
        <v>222</v>
      </c>
      <c r="D105" s="58">
        <v>0</v>
      </c>
      <c r="E105" s="58" t="s">
        <v>329</v>
      </c>
      <c r="F105" s="293"/>
      <c r="G105" s="127" t="s">
        <v>281</v>
      </c>
      <c r="H105" s="119">
        <v>15</v>
      </c>
      <c r="I105" s="119">
        <v>1100</v>
      </c>
      <c r="J105" s="119">
        <f>H105*I105</f>
        <v>16500</v>
      </c>
      <c r="K105" s="293"/>
      <c r="L105" s="119">
        <v>0</v>
      </c>
      <c r="M105" s="119">
        <f>L105*I105</f>
        <v>0</v>
      </c>
      <c r="N105" s="293"/>
      <c r="O105" s="119">
        <v>0</v>
      </c>
      <c r="P105" s="119">
        <f>O105*I105</f>
        <v>0</v>
      </c>
      <c r="Q105" s="293"/>
      <c r="R105" s="119">
        <v>0</v>
      </c>
      <c r="S105" s="119">
        <f>R105*I105</f>
        <v>0</v>
      </c>
      <c r="T105" s="293"/>
      <c r="U105" s="119">
        <v>0</v>
      </c>
      <c r="V105" s="119">
        <f>U105*L105</f>
        <v>0</v>
      </c>
      <c r="W105" s="119">
        <f t="shared" ref="W105" si="63">SUM(S105,P105,M105,J105,V105)</f>
        <v>16500</v>
      </c>
      <c r="X105" s="119">
        <v>0</v>
      </c>
      <c r="Y105" s="119">
        <f>W105+X105</f>
        <v>16500</v>
      </c>
      <c r="AA105" s="366">
        <v>0.5</v>
      </c>
      <c r="AB105" s="366">
        <v>0.5</v>
      </c>
    </row>
    <row r="106" spans="1:33">
      <c r="A106" s="58" t="s">
        <v>330</v>
      </c>
      <c r="B106" s="58">
        <v>82401</v>
      </c>
      <c r="C106" s="58" t="s">
        <v>314</v>
      </c>
      <c r="D106" s="56">
        <v>0</v>
      </c>
      <c r="E106" s="58" t="s">
        <v>331</v>
      </c>
      <c r="F106" s="293"/>
      <c r="G106" s="127" t="s">
        <v>281</v>
      </c>
      <c r="H106" s="119">
        <v>29</v>
      </c>
      <c r="I106" s="119">
        <f>Supplies!B12</f>
        <v>1114.97</v>
      </c>
      <c r="J106" s="119">
        <f t="shared" ref="J106:J111" si="64">H106*I106</f>
        <v>32334.13</v>
      </c>
      <c r="K106" s="293"/>
      <c r="L106" s="119">
        <v>0</v>
      </c>
      <c r="M106" s="119">
        <f t="shared" ref="M106:M109" si="65">L106*I106</f>
        <v>0</v>
      </c>
      <c r="N106" s="293"/>
      <c r="O106" s="119">
        <v>0</v>
      </c>
      <c r="P106" s="119">
        <f t="shared" ref="P106:P109" si="66">O106*I106</f>
        <v>0</v>
      </c>
      <c r="Q106" s="293"/>
      <c r="R106" s="119">
        <v>0</v>
      </c>
      <c r="S106" s="119">
        <f t="shared" ref="S106:S109" si="67">R106*I106</f>
        <v>0</v>
      </c>
      <c r="T106" s="293"/>
      <c r="U106" s="119">
        <v>0</v>
      </c>
      <c r="V106" s="119">
        <f t="shared" ref="V106:V109" si="68">U106*L106</f>
        <v>0</v>
      </c>
      <c r="W106" s="119">
        <f t="shared" ref="W106:W111" si="69">SUM(S106,P106,M106,J106,V106)</f>
        <v>32334.13</v>
      </c>
      <c r="X106" s="119">
        <v>0</v>
      </c>
      <c r="Y106" s="119">
        <f t="shared" ref="Y106:Y111" si="70">W106+X106</f>
        <v>32334.13</v>
      </c>
      <c r="Z106" s="119"/>
      <c r="AA106" s="366">
        <v>0.5</v>
      </c>
      <c r="AB106" s="366">
        <v>0.5</v>
      </c>
      <c r="AC106" s="94"/>
      <c r="AD106" s="94"/>
      <c r="AE106" s="94"/>
      <c r="AF106" s="121"/>
      <c r="AG106" s="121"/>
    </row>
    <row r="107" spans="1:33">
      <c r="A107" s="58" t="s">
        <v>330</v>
      </c>
      <c r="B107" s="58">
        <v>82401</v>
      </c>
      <c r="C107" s="58" t="s">
        <v>314</v>
      </c>
      <c r="D107" s="56">
        <v>0</v>
      </c>
      <c r="E107" s="58" t="s">
        <v>332</v>
      </c>
      <c r="F107" s="293"/>
      <c r="G107" s="127" t="s">
        <v>281</v>
      </c>
      <c r="H107" s="119">
        <v>15</v>
      </c>
      <c r="I107" s="119">
        <f>Supplies!B5</f>
        <v>850</v>
      </c>
      <c r="J107" s="119">
        <f t="shared" si="64"/>
        <v>12750</v>
      </c>
      <c r="K107" s="293"/>
      <c r="L107" s="119">
        <v>0</v>
      </c>
      <c r="M107" s="119">
        <f t="shared" si="65"/>
        <v>0</v>
      </c>
      <c r="N107" s="293"/>
      <c r="O107" s="119">
        <v>0</v>
      </c>
      <c r="P107" s="119">
        <f t="shared" si="66"/>
        <v>0</v>
      </c>
      <c r="Q107" s="293"/>
      <c r="R107" s="119">
        <v>0</v>
      </c>
      <c r="S107" s="119">
        <f t="shared" si="67"/>
        <v>0</v>
      </c>
      <c r="T107" s="293"/>
      <c r="U107" s="119">
        <v>0</v>
      </c>
      <c r="V107" s="119">
        <f t="shared" si="68"/>
        <v>0</v>
      </c>
      <c r="W107" s="119">
        <f t="shared" si="69"/>
        <v>12750</v>
      </c>
      <c r="X107" s="119">
        <v>0</v>
      </c>
      <c r="Y107" s="119">
        <f t="shared" si="70"/>
        <v>12750</v>
      </c>
      <c r="AA107" s="366">
        <v>0.5</v>
      </c>
      <c r="AB107" s="366">
        <v>0.5</v>
      </c>
    </row>
    <row r="108" spans="1:33">
      <c r="A108" s="58" t="s">
        <v>330</v>
      </c>
      <c r="B108" s="58">
        <v>82401</v>
      </c>
      <c r="C108" s="58" t="s">
        <v>314</v>
      </c>
      <c r="D108" s="56">
        <v>0</v>
      </c>
      <c r="E108" s="58" t="s">
        <v>333</v>
      </c>
      <c r="F108" s="293"/>
      <c r="G108" s="127" t="s">
        <v>281</v>
      </c>
      <c r="H108" s="119">
        <v>2</v>
      </c>
      <c r="I108" s="119">
        <f>Supplies!B22</f>
        <v>840</v>
      </c>
      <c r="J108" s="119">
        <f>H108*I108</f>
        <v>1680</v>
      </c>
      <c r="K108" s="293"/>
      <c r="L108" s="119">
        <v>0</v>
      </c>
      <c r="M108" s="119">
        <f>L108*I108</f>
        <v>0</v>
      </c>
      <c r="N108" s="293"/>
      <c r="O108" s="119">
        <v>0</v>
      </c>
      <c r="P108" s="119">
        <f>O108*I108</f>
        <v>0</v>
      </c>
      <c r="Q108" s="293"/>
      <c r="R108" s="119">
        <v>0</v>
      </c>
      <c r="S108" s="119">
        <f>R108*I108</f>
        <v>0</v>
      </c>
      <c r="T108" s="293"/>
      <c r="U108" s="119">
        <v>0</v>
      </c>
      <c r="V108" s="119">
        <f>U108*L108</f>
        <v>0</v>
      </c>
      <c r="W108" s="119">
        <f t="shared" si="69"/>
        <v>1680</v>
      </c>
      <c r="X108" s="119">
        <v>0</v>
      </c>
      <c r="Y108" s="119">
        <f>W108+X108</f>
        <v>1680</v>
      </c>
      <c r="AA108" s="366">
        <v>0.5</v>
      </c>
      <c r="AB108" s="366">
        <v>0.5</v>
      </c>
    </row>
    <row r="109" spans="1:33">
      <c r="A109" s="58" t="s">
        <v>330</v>
      </c>
      <c r="B109" s="58">
        <v>82401</v>
      </c>
      <c r="C109" s="58" t="s">
        <v>314</v>
      </c>
      <c r="D109" s="56">
        <v>0</v>
      </c>
      <c r="E109" s="58" t="s">
        <v>334</v>
      </c>
      <c r="F109" s="293"/>
      <c r="G109" s="127" t="s">
        <v>281</v>
      </c>
      <c r="H109" s="119">
        <v>1</v>
      </c>
      <c r="I109" s="119">
        <f>Supplies!B17</f>
        <v>634.5</v>
      </c>
      <c r="J109" s="119">
        <f t="shared" si="64"/>
        <v>634.5</v>
      </c>
      <c r="K109" s="293"/>
      <c r="L109" s="119">
        <v>0</v>
      </c>
      <c r="M109" s="119">
        <f t="shared" si="65"/>
        <v>0</v>
      </c>
      <c r="N109" s="293"/>
      <c r="O109" s="119">
        <v>0</v>
      </c>
      <c r="P109" s="119">
        <f t="shared" si="66"/>
        <v>0</v>
      </c>
      <c r="Q109" s="293"/>
      <c r="R109" s="119">
        <v>0</v>
      </c>
      <c r="S109" s="119">
        <f t="shared" si="67"/>
        <v>0</v>
      </c>
      <c r="T109" s="293"/>
      <c r="U109" s="119">
        <v>0</v>
      </c>
      <c r="V109" s="119">
        <f t="shared" si="68"/>
        <v>0</v>
      </c>
      <c r="W109" s="119">
        <f t="shared" si="69"/>
        <v>634.5</v>
      </c>
      <c r="X109" s="119">
        <v>0</v>
      </c>
      <c r="Y109" s="119">
        <f t="shared" si="70"/>
        <v>634.5</v>
      </c>
      <c r="AA109" s="366">
        <v>0.5</v>
      </c>
      <c r="AB109" s="366">
        <v>0.5</v>
      </c>
    </row>
    <row r="110" spans="1:33" ht="25.2">
      <c r="A110" s="58" t="s">
        <v>330</v>
      </c>
      <c r="B110" s="58">
        <v>82401</v>
      </c>
      <c r="C110" s="58" t="s">
        <v>314</v>
      </c>
      <c r="D110" s="56">
        <v>0</v>
      </c>
      <c r="E110" s="58" t="s">
        <v>335</v>
      </c>
      <c r="F110" s="293"/>
      <c r="G110" s="127" t="s">
        <v>281</v>
      </c>
      <c r="H110" s="119">
        <v>1</v>
      </c>
      <c r="I110" s="119">
        <v>8000</v>
      </c>
      <c r="J110" s="119">
        <f t="shared" ref="J110" si="71">H110*I110</f>
        <v>8000</v>
      </c>
      <c r="K110" s="293"/>
      <c r="L110" s="119">
        <v>0</v>
      </c>
      <c r="M110" s="119">
        <f t="shared" ref="M110" si="72">L110*I110</f>
        <v>0</v>
      </c>
      <c r="N110" s="293"/>
      <c r="O110" s="119">
        <v>0</v>
      </c>
      <c r="P110" s="119">
        <f t="shared" ref="P110" si="73">O110*I110</f>
        <v>0</v>
      </c>
      <c r="Q110" s="293"/>
      <c r="R110" s="119">
        <v>0</v>
      </c>
      <c r="S110" s="119">
        <f t="shared" ref="S110" si="74">R110*I110</f>
        <v>0</v>
      </c>
      <c r="T110" s="293"/>
      <c r="U110" s="119">
        <v>0</v>
      </c>
      <c r="V110" s="119">
        <f t="shared" ref="V110" si="75">U110*L110</f>
        <v>0</v>
      </c>
      <c r="W110" s="119">
        <f t="shared" ref="W110" si="76">SUM(S110,P110,M110,J110,V110)</f>
        <v>8000</v>
      </c>
      <c r="X110" s="119">
        <v>0</v>
      </c>
      <c r="Y110" s="119">
        <f t="shared" ref="Y110" si="77">W110+X110</f>
        <v>8000</v>
      </c>
      <c r="AA110" s="366">
        <v>0.5</v>
      </c>
      <c r="AB110" s="366">
        <v>0.5</v>
      </c>
    </row>
    <row r="111" spans="1:33">
      <c r="A111" s="58" t="s">
        <v>330</v>
      </c>
      <c r="B111" s="58">
        <v>82401</v>
      </c>
      <c r="C111" s="58" t="s">
        <v>314</v>
      </c>
      <c r="D111" s="56">
        <v>0</v>
      </c>
      <c r="E111" s="58" t="s">
        <v>336</v>
      </c>
      <c r="G111" s="126" t="s">
        <v>221</v>
      </c>
      <c r="H111" s="119">
        <v>3</v>
      </c>
      <c r="I111" s="119">
        <v>300</v>
      </c>
      <c r="J111" s="119">
        <f t="shared" si="64"/>
        <v>900</v>
      </c>
      <c r="K111" s="296"/>
      <c r="L111" s="119">
        <v>12</v>
      </c>
      <c r="M111" s="119">
        <f t="shared" ref="M111" si="78">L111*I111*$F$7</f>
        <v>3744</v>
      </c>
      <c r="N111" s="296"/>
      <c r="O111" s="119">
        <v>12</v>
      </c>
      <c r="P111" s="119">
        <f t="shared" ref="P111" si="79">O111*I111*$F$7*$F$7</f>
        <v>3893.76</v>
      </c>
      <c r="Q111" s="296"/>
      <c r="R111" s="119">
        <v>12</v>
      </c>
      <c r="S111" s="119">
        <f t="shared" ref="S111" si="80">R111*I111*$F$7*$F$7*$F$7</f>
        <v>4049.5104000000006</v>
      </c>
      <c r="T111" s="296"/>
      <c r="U111" s="119">
        <v>6</v>
      </c>
      <c r="V111" s="119">
        <f t="shared" ref="V111" si="81">U111*I111*$F$7*$F$7*$F$7*$F$7</f>
        <v>2105.7454080000002</v>
      </c>
      <c r="W111" s="119">
        <f t="shared" si="69"/>
        <v>14693.015808000002</v>
      </c>
      <c r="X111" s="119">
        <v>0</v>
      </c>
      <c r="Y111" s="119">
        <f t="shared" si="70"/>
        <v>14693.015808000002</v>
      </c>
      <c r="AA111" s="366">
        <v>0.5</v>
      </c>
      <c r="AB111" s="366">
        <v>0.5</v>
      </c>
    </row>
    <row r="112" spans="1:33">
      <c r="A112" s="58"/>
      <c r="B112" s="58"/>
      <c r="C112" s="58"/>
      <c r="D112" s="58"/>
      <c r="F112" s="293"/>
      <c r="G112" s="126"/>
      <c r="K112" s="293"/>
      <c r="N112" s="293"/>
      <c r="Q112" s="293"/>
      <c r="T112" s="293"/>
      <c r="AA112" s="366"/>
      <c r="AB112" s="366"/>
    </row>
    <row r="113" spans="1:28" ht="12.9" thickBot="1">
      <c r="A113" s="143"/>
      <c r="B113" s="143"/>
      <c r="C113" s="143"/>
      <c r="D113" s="143"/>
      <c r="E113" s="143" t="s">
        <v>172</v>
      </c>
      <c r="F113" s="294"/>
      <c r="G113" s="143"/>
      <c r="H113" s="143"/>
      <c r="I113" s="160"/>
      <c r="J113" s="161">
        <f>SUM(J105:J112)</f>
        <v>72798.63</v>
      </c>
      <c r="K113" s="294"/>
      <c r="L113" s="161"/>
      <c r="M113" s="161">
        <f>SUM(M105:M112)</f>
        <v>3744</v>
      </c>
      <c r="N113" s="294"/>
      <c r="O113" s="161"/>
      <c r="P113" s="161">
        <f>SUM(P105:P112)</f>
        <v>3893.76</v>
      </c>
      <c r="Q113" s="294"/>
      <c r="R113" s="161"/>
      <c r="S113" s="161">
        <f>SUM(S105:S112)</f>
        <v>4049.5104000000006</v>
      </c>
      <c r="T113" s="294"/>
      <c r="U113" s="161"/>
      <c r="V113" s="161">
        <f>SUM(V105:V112)</f>
        <v>2105.7454080000002</v>
      </c>
      <c r="W113" s="161">
        <f>SUM(W105:W112)</f>
        <v>86591.645808000001</v>
      </c>
      <c r="X113" s="161">
        <f>SUM(X105:X112)</f>
        <v>0</v>
      </c>
      <c r="Y113" s="161">
        <f>SUM(Y105:Y112)</f>
        <v>86591.645808000001</v>
      </c>
      <c r="AA113" s="146">
        <f>SUMPRODUCT(Y105:Y111,AA105:AA111)</f>
        <v>43295.822904000001</v>
      </c>
      <c r="AB113" s="146">
        <f>SUMPRODUCT(Y105:Y111,AB105:AB111)</f>
        <v>43295.822904000001</v>
      </c>
    </row>
    <row r="114" spans="1:28">
      <c r="A114" s="245"/>
      <c r="B114" s="245"/>
      <c r="C114" s="245"/>
      <c r="D114" s="245"/>
      <c r="E114" s="245"/>
      <c r="F114" s="291"/>
      <c r="G114" s="245"/>
      <c r="H114" s="154"/>
      <c r="I114" s="154"/>
      <c r="J114" s="154"/>
      <c r="K114" s="291"/>
      <c r="L114" s="154"/>
      <c r="M114" s="154"/>
      <c r="N114" s="291"/>
      <c r="O114" s="154"/>
      <c r="P114" s="154"/>
      <c r="Q114" s="291"/>
      <c r="R114" s="154"/>
      <c r="S114" s="154"/>
      <c r="T114" s="291"/>
      <c r="U114" s="154"/>
      <c r="V114" s="154"/>
      <c r="W114" s="154"/>
      <c r="X114" s="154"/>
      <c r="Y114" s="154"/>
    </row>
    <row r="115" spans="1:28">
      <c r="A115" s="106"/>
      <c r="B115" s="106"/>
      <c r="C115" s="106"/>
      <c r="D115" s="106"/>
      <c r="E115" s="106" t="s">
        <v>100</v>
      </c>
      <c r="F115" s="292"/>
      <c r="G115" s="106"/>
      <c r="H115" s="106"/>
      <c r="I115" s="107"/>
      <c r="J115" s="108"/>
      <c r="K115" s="292"/>
      <c r="L115" s="108"/>
      <c r="M115" s="108"/>
      <c r="N115" s="292"/>
      <c r="O115" s="108"/>
      <c r="P115" s="108"/>
      <c r="Q115" s="292"/>
      <c r="R115" s="108"/>
      <c r="S115" s="108"/>
      <c r="T115" s="292"/>
      <c r="U115" s="108"/>
      <c r="V115" s="108"/>
      <c r="W115" s="108"/>
      <c r="X115" s="108"/>
      <c r="Y115" s="108"/>
    </row>
    <row r="116" spans="1:28">
      <c r="A116" s="58" t="s">
        <v>337</v>
      </c>
      <c r="B116" s="58">
        <v>87000</v>
      </c>
      <c r="C116" s="58" t="s">
        <v>314</v>
      </c>
      <c r="D116" s="56">
        <v>0</v>
      </c>
      <c r="E116" s="58" t="s">
        <v>338</v>
      </c>
      <c r="G116" s="126" t="s">
        <v>281</v>
      </c>
      <c r="H116" s="119">
        <v>5</v>
      </c>
      <c r="I116" s="119">
        <v>1500</v>
      </c>
      <c r="J116" s="119">
        <f>H116*I116</f>
        <v>7500</v>
      </c>
      <c r="K116" s="296"/>
      <c r="L116" s="119">
        <v>5</v>
      </c>
      <c r="M116" s="119">
        <f t="shared" ref="M116" si="82">L116*I116</f>
        <v>7500</v>
      </c>
      <c r="N116" s="296"/>
      <c r="O116" s="119">
        <v>5</v>
      </c>
      <c r="P116" s="119">
        <f t="shared" ref="P116" si="83">O116*I116</f>
        <v>7500</v>
      </c>
      <c r="Q116" s="296"/>
      <c r="R116" s="119">
        <v>5</v>
      </c>
      <c r="S116" s="119">
        <f t="shared" ref="S116" si="84">R116*I116</f>
        <v>7500</v>
      </c>
      <c r="T116" s="296"/>
      <c r="U116" s="119">
        <v>4</v>
      </c>
      <c r="V116" s="119">
        <f>U116*I116</f>
        <v>6000</v>
      </c>
      <c r="W116" s="119">
        <f>SUM(S116,P116,M116,J116,V116)</f>
        <v>36000</v>
      </c>
      <c r="X116" s="119">
        <v>0</v>
      </c>
      <c r="Y116" s="119">
        <f>W116+X116</f>
        <v>36000</v>
      </c>
      <c r="Z116" s="119"/>
      <c r="AA116" s="366">
        <v>0.5</v>
      </c>
      <c r="AB116" s="366">
        <v>0.5</v>
      </c>
    </row>
    <row r="117" spans="1:28">
      <c r="A117" s="258"/>
      <c r="B117" s="258"/>
      <c r="C117" s="258"/>
      <c r="D117" s="258"/>
      <c r="E117" s="258" t="s">
        <v>339</v>
      </c>
      <c r="F117" s="302"/>
      <c r="G117" s="258"/>
      <c r="H117" s="258"/>
      <c r="I117" s="258"/>
      <c r="J117" s="258"/>
      <c r="K117" s="302"/>
      <c r="L117" s="258"/>
      <c r="M117" s="258"/>
      <c r="N117" s="302"/>
      <c r="O117" s="258"/>
      <c r="P117" s="258"/>
      <c r="Q117" s="302"/>
      <c r="R117" s="258"/>
      <c r="S117" s="258"/>
      <c r="T117" s="302"/>
      <c r="U117" s="258"/>
      <c r="V117" s="258"/>
      <c r="W117" s="258"/>
      <c r="X117" s="258"/>
      <c r="Y117" s="258"/>
      <c r="AA117" s="366"/>
      <c r="AB117" s="366"/>
    </row>
    <row r="118" spans="1:28">
      <c r="A118" s="58" t="s">
        <v>340</v>
      </c>
      <c r="B118" s="56">
        <v>85105</v>
      </c>
      <c r="C118" s="58" t="s">
        <v>222</v>
      </c>
      <c r="D118" s="56">
        <v>0</v>
      </c>
      <c r="E118" s="58" t="s">
        <v>341</v>
      </c>
      <c r="F118" s="293"/>
      <c r="G118" s="126" t="s">
        <v>249</v>
      </c>
      <c r="H118" s="119">
        <v>1</v>
      </c>
      <c r="I118" s="119">
        <v>1500</v>
      </c>
      <c r="J118" s="119">
        <f t="shared" ref="J118" si="85">H118*I118</f>
        <v>1500</v>
      </c>
      <c r="K118" s="293"/>
      <c r="L118" s="119">
        <v>1</v>
      </c>
      <c r="M118" s="119">
        <f t="shared" ref="M118" si="86">L118*I118*$F$7</f>
        <v>1560</v>
      </c>
      <c r="N118" s="293"/>
      <c r="O118" s="119">
        <v>1</v>
      </c>
      <c r="P118" s="119">
        <f t="shared" ref="P118" si="87">O118*I118*$F$7*$F$7</f>
        <v>1622.4</v>
      </c>
      <c r="Q118" s="293"/>
      <c r="R118" s="119">
        <v>1</v>
      </c>
      <c r="S118" s="119">
        <f t="shared" ref="S118" si="88">R118*I118*$F$7*$F$7*$F$7</f>
        <v>1687.296</v>
      </c>
      <c r="T118" s="293"/>
      <c r="U118" s="119">
        <v>1</v>
      </c>
      <c r="V118" s="119">
        <f t="shared" ref="V118" si="89">U118*I118*$F$7*$F$7*$F$7*$F$7</f>
        <v>1754.7878400000002</v>
      </c>
      <c r="W118" s="119">
        <f t="shared" ref="W118:W120" si="90">SUM(S118,P118,M118,J118,V118)</f>
        <v>8124.4838399999999</v>
      </c>
      <c r="X118" s="119">
        <v>0</v>
      </c>
      <c r="Y118" s="119">
        <f>W118+X118</f>
        <v>8124.4838399999999</v>
      </c>
      <c r="AA118" s="366">
        <v>0.5</v>
      </c>
      <c r="AB118" s="366">
        <v>0.5</v>
      </c>
    </row>
    <row r="119" spans="1:28">
      <c r="A119" s="58" t="s">
        <v>340</v>
      </c>
      <c r="B119" s="56">
        <v>85105</v>
      </c>
      <c r="C119" s="58" t="s">
        <v>222</v>
      </c>
      <c r="D119" s="56">
        <v>0</v>
      </c>
      <c r="E119" s="58" t="s">
        <v>342</v>
      </c>
      <c r="F119" s="293"/>
      <c r="G119" s="126" t="s">
        <v>221</v>
      </c>
      <c r="H119" s="119">
        <v>3</v>
      </c>
      <c r="I119" s="119">
        <f>25*15</f>
        <v>375</v>
      </c>
      <c r="J119" s="119">
        <f>H119*I119</f>
        <v>1125</v>
      </c>
      <c r="K119" s="293"/>
      <c r="L119" s="119">
        <v>12</v>
      </c>
      <c r="M119" s="119">
        <f>L119*I119</f>
        <v>4500</v>
      </c>
      <c r="N119" s="293"/>
      <c r="O119" s="119">
        <v>12</v>
      </c>
      <c r="P119" s="119">
        <f>O119*I119</f>
        <v>4500</v>
      </c>
      <c r="Q119" s="293"/>
      <c r="R119" s="119">
        <v>12</v>
      </c>
      <c r="S119" s="119">
        <f>R119*I119</f>
        <v>4500</v>
      </c>
      <c r="T119" s="293"/>
      <c r="U119" s="119">
        <v>6</v>
      </c>
      <c r="V119" s="119">
        <f>U119*I119</f>
        <v>2250</v>
      </c>
      <c r="W119" s="119">
        <f t="shared" ref="W119" si="91">SUM(S119,P119,M119,J119,V119)</f>
        <v>16875</v>
      </c>
      <c r="X119" s="119">
        <v>0</v>
      </c>
      <c r="Y119" s="119">
        <f>W119+X119</f>
        <v>16875</v>
      </c>
      <c r="AA119" s="366">
        <v>0.5</v>
      </c>
      <c r="AB119" s="366">
        <v>0.5</v>
      </c>
    </row>
    <row r="120" spans="1:28">
      <c r="A120" s="58" t="s">
        <v>340</v>
      </c>
      <c r="B120" s="56">
        <v>85105</v>
      </c>
      <c r="C120" s="58" t="s">
        <v>222</v>
      </c>
      <c r="D120" s="56">
        <v>0</v>
      </c>
      <c r="E120" s="58" t="s">
        <v>343</v>
      </c>
      <c r="F120" s="293"/>
      <c r="G120" s="126" t="s">
        <v>221</v>
      </c>
      <c r="H120" s="119">
        <v>3</v>
      </c>
      <c r="I120" s="119">
        <v>300</v>
      </c>
      <c r="J120" s="119">
        <f>H120*I120</f>
        <v>900</v>
      </c>
      <c r="K120" s="293"/>
      <c r="L120" s="119">
        <v>12</v>
      </c>
      <c r="M120" s="119">
        <f>L120*I120</f>
        <v>3600</v>
      </c>
      <c r="N120" s="293"/>
      <c r="O120" s="119">
        <v>12</v>
      </c>
      <c r="P120" s="119">
        <f>O120*I120</f>
        <v>3600</v>
      </c>
      <c r="Q120" s="293"/>
      <c r="R120" s="119">
        <v>12</v>
      </c>
      <c r="S120" s="119">
        <f>R120*I120</f>
        <v>3600</v>
      </c>
      <c r="T120" s="293"/>
      <c r="U120" s="119">
        <v>6</v>
      </c>
      <c r="V120" s="119">
        <f>U120*I120</f>
        <v>1800</v>
      </c>
      <c r="W120" s="119">
        <f t="shared" si="90"/>
        <v>13500</v>
      </c>
      <c r="X120" s="119">
        <v>0</v>
      </c>
      <c r="Y120" s="119">
        <f>W120+X120</f>
        <v>13500</v>
      </c>
      <c r="AA120" s="366">
        <v>0.5</v>
      </c>
      <c r="AB120" s="366">
        <v>0.5</v>
      </c>
    </row>
    <row r="121" spans="1:28">
      <c r="A121" s="258"/>
      <c r="B121" s="258"/>
      <c r="C121" s="258"/>
      <c r="D121" s="258"/>
      <c r="E121" s="258" t="s">
        <v>344</v>
      </c>
      <c r="F121" s="302"/>
      <c r="G121" s="258"/>
      <c r="H121" s="258"/>
      <c r="I121" s="258"/>
      <c r="J121" s="258"/>
      <c r="K121" s="302"/>
      <c r="L121" s="258"/>
      <c r="M121" s="258"/>
      <c r="N121" s="302"/>
      <c r="O121" s="258"/>
      <c r="P121" s="258"/>
      <c r="Q121" s="302"/>
      <c r="R121" s="258"/>
      <c r="S121" s="258"/>
      <c r="T121" s="302"/>
      <c r="U121" s="258"/>
      <c r="V121" s="258"/>
      <c r="W121" s="258"/>
      <c r="X121" s="258"/>
      <c r="Y121" s="258"/>
      <c r="AA121" s="366"/>
      <c r="AB121" s="366"/>
    </row>
    <row r="122" spans="1:28">
      <c r="A122" s="58" t="s">
        <v>345</v>
      </c>
      <c r="B122" s="58">
        <v>89500</v>
      </c>
      <c r="C122" s="58" t="s">
        <v>222</v>
      </c>
      <c r="D122" s="58">
        <v>0</v>
      </c>
      <c r="E122" s="58" t="s">
        <v>346</v>
      </c>
      <c r="F122" s="293"/>
      <c r="G122" s="126" t="s">
        <v>249</v>
      </c>
      <c r="H122" s="119">
        <v>1</v>
      </c>
      <c r="I122" s="119">
        <v>500</v>
      </c>
      <c r="J122" s="119">
        <f t="shared" ref="J122" si="92">H122*I122</f>
        <v>500</v>
      </c>
      <c r="K122" s="293"/>
      <c r="L122" s="119">
        <v>1</v>
      </c>
      <c r="M122" s="119">
        <f t="shared" ref="M122" si="93">L122*I122*$F$7</f>
        <v>520</v>
      </c>
      <c r="N122" s="293"/>
      <c r="O122" s="119">
        <v>1</v>
      </c>
      <c r="P122" s="119">
        <f t="shared" ref="P122" si="94">O122*I122*$F$7*$F$7</f>
        <v>540.80000000000007</v>
      </c>
      <c r="Q122" s="293"/>
      <c r="R122" s="119">
        <v>1</v>
      </c>
      <c r="S122" s="119">
        <f t="shared" ref="S122" si="95">R122*I122*$F$7*$F$7*$F$7</f>
        <v>562.43200000000013</v>
      </c>
      <c r="T122" s="293"/>
      <c r="U122" s="119">
        <v>1</v>
      </c>
      <c r="V122" s="119">
        <f t="shared" ref="V122" si="96">U122*I122*$F$7*$F$7*$F$7*$F$7</f>
        <v>584.92928000000018</v>
      </c>
      <c r="W122" s="119">
        <f t="shared" ref="W122" si="97">SUM(S122,P122,M122,J122,V122)</f>
        <v>2708.1612800000003</v>
      </c>
      <c r="X122" s="119">
        <v>0</v>
      </c>
      <c r="Y122" s="119">
        <f>W122+X122</f>
        <v>2708.1612800000003</v>
      </c>
      <c r="AA122" s="366">
        <v>0.5</v>
      </c>
      <c r="AB122" s="366">
        <v>0.5</v>
      </c>
    </row>
    <row r="123" spans="1:28">
      <c r="A123" s="58" t="s">
        <v>345</v>
      </c>
      <c r="B123" s="58">
        <v>89500</v>
      </c>
      <c r="C123" s="58" t="s">
        <v>222</v>
      </c>
      <c r="D123" s="58">
        <v>0</v>
      </c>
      <c r="E123" s="58" t="s">
        <v>347</v>
      </c>
      <c r="G123" s="126" t="s">
        <v>249</v>
      </c>
      <c r="H123" s="119">
        <f>H105</f>
        <v>15</v>
      </c>
      <c r="I123" s="119">
        <v>100</v>
      </c>
      <c r="J123" s="119">
        <f>H123*I123</f>
        <v>1500</v>
      </c>
      <c r="K123" s="296"/>
      <c r="L123" s="119">
        <f>H105</f>
        <v>15</v>
      </c>
      <c r="M123" s="119">
        <f>L123*I123*$F$7</f>
        <v>1560</v>
      </c>
      <c r="N123" s="296"/>
      <c r="O123" s="119">
        <f>H105</f>
        <v>15</v>
      </c>
      <c r="P123" s="119">
        <f>O123*I123*$F$7*$F$7</f>
        <v>1622.4</v>
      </c>
      <c r="Q123" s="296"/>
      <c r="R123" s="119">
        <f>H105</f>
        <v>15</v>
      </c>
      <c r="S123" s="119">
        <f>R123*I123*$F$7*$F$7*$F$7</f>
        <v>1687.296</v>
      </c>
      <c r="T123" s="296"/>
      <c r="U123" s="119">
        <f>H105</f>
        <v>15</v>
      </c>
      <c r="V123" s="119">
        <f>U123*I123*$F$7*$F$7*$F$7*$F$7</f>
        <v>1754.7878400000002</v>
      </c>
      <c r="W123" s="119">
        <f>SUM(S123,P123,M123,J123,V123)</f>
        <v>8124.4838399999999</v>
      </c>
      <c r="X123" s="119">
        <v>0</v>
      </c>
      <c r="Y123" s="119">
        <f>W123+X123</f>
        <v>8124.4838399999999</v>
      </c>
      <c r="AA123" s="366">
        <v>0.5</v>
      </c>
      <c r="AB123" s="366">
        <v>0.5</v>
      </c>
    </row>
    <row r="124" spans="1:28">
      <c r="A124" s="58" t="s">
        <v>345</v>
      </c>
      <c r="B124" s="58">
        <v>89500</v>
      </c>
      <c r="C124" s="58" t="s">
        <v>222</v>
      </c>
      <c r="D124" s="58">
        <v>0</v>
      </c>
      <c r="E124" s="58" t="s">
        <v>348</v>
      </c>
      <c r="F124" s="293"/>
      <c r="G124" s="126" t="s">
        <v>249</v>
      </c>
      <c r="H124" s="119">
        <f>H87</f>
        <v>2</v>
      </c>
      <c r="I124" s="119">
        <v>250</v>
      </c>
      <c r="J124" s="119">
        <f>H124*I124</f>
        <v>500</v>
      </c>
      <c r="K124" s="293"/>
      <c r="L124" s="119">
        <f>H87</f>
        <v>2</v>
      </c>
      <c r="M124" s="119">
        <f t="shared" ref="M124" si="98">L124*I124*$F$7</f>
        <v>520</v>
      </c>
      <c r="N124" s="293"/>
      <c r="O124" s="119">
        <f>H87</f>
        <v>2</v>
      </c>
      <c r="P124" s="119">
        <f t="shared" ref="P124" si="99">O124*I124*$F$7*$F$7</f>
        <v>540.80000000000007</v>
      </c>
      <c r="Q124" s="293"/>
      <c r="R124" s="119">
        <f>H87</f>
        <v>2</v>
      </c>
      <c r="S124" s="119">
        <f t="shared" ref="S124" si="100">R124*I124*$F$7*$F$7*$F$7</f>
        <v>562.43200000000013</v>
      </c>
      <c r="T124" s="293"/>
      <c r="U124" s="119">
        <f>H87</f>
        <v>2</v>
      </c>
      <c r="V124" s="119">
        <f t="shared" ref="V124" si="101">U124*I124*$F$7*$F$7*$F$7*$F$7</f>
        <v>584.92928000000018</v>
      </c>
      <c r="W124" s="119">
        <f t="shared" ref="W124" si="102">SUM(S124,P124,M124,J124,V124)</f>
        <v>2708.1612800000003</v>
      </c>
      <c r="X124" s="119">
        <v>0</v>
      </c>
      <c r="Y124" s="119">
        <f>W124+X124</f>
        <v>2708.1612800000003</v>
      </c>
      <c r="AA124" s="366">
        <v>0.5</v>
      </c>
      <c r="AB124" s="366">
        <v>0.5</v>
      </c>
    </row>
    <row r="125" spans="1:28" ht="12.9" thickBot="1">
      <c r="A125" s="143"/>
      <c r="B125" s="143"/>
      <c r="C125" s="143"/>
      <c r="D125" s="143"/>
      <c r="E125" s="143" t="s">
        <v>174</v>
      </c>
      <c r="F125" s="294"/>
      <c r="G125" s="143"/>
      <c r="H125" s="143"/>
      <c r="I125" s="160"/>
      <c r="J125" s="161">
        <f>SUM(J116:J124)</f>
        <v>13525</v>
      </c>
      <c r="K125" s="294"/>
      <c r="L125" s="161"/>
      <c r="M125" s="161">
        <f>SUM(M116:M124)</f>
        <v>19760</v>
      </c>
      <c r="N125" s="294"/>
      <c r="O125" s="161"/>
      <c r="P125" s="161">
        <f>SUM(P116:P124)</f>
        <v>19926.400000000001</v>
      </c>
      <c r="Q125" s="294"/>
      <c r="R125" s="161"/>
      <c r="S125" s="161">
        <f>SUM(S116:S124)</f>
        <v>20099.456000000002</v>
      </c>
      <c r="T125" s="294"/>
      <c r="U125" s="161"/>
      <c r="V125" s="161">
        <f>SUM(V116:V124)</f>
        <v>14729.434240000002</v>
      </c>
      <c r="W125" s="161">
        <f>SUM(W116:W124)</f>
        <v>88040.290240000002</v>
      </c>
      <c r="X125" s="161">
        <f>SUM(X116:X124)</f>
        <v>0</v>
      </c>
      <c r="Y125" s="161">
        <f>SUM(Y116:Y124)</f>
        <v>88040.290240000002</v>
      </c>
      <c r="AA125" s="146">
        <f>SUMPRODUCT(Y116:Y124,AA116:AA124)</f>
        <v>44020.145120000001</v>
      </c>
      <c r="AB125" s="146">
        <f>SUMPRODUCT(Y116:Y124,AB116:AB124)</f>
        <v>44020.145120000001</v>
      </c>
    </row>
    <row r="126" spans="1:28">
      <c r="A126" s="245"/>
      <c r="B126" s="245"/>
      <c r="C126" s="245"/>
      <c r="D126" s="245"/>
      <c r="E126" s="245"/>
      <c r="F126" s="291"/>
      <c r="G126" s="245"/>
      <c r="H126" s="154"/>
      <c r="I126" s="154"/>
      <c r="J126" s="154"/>
      <c r="K126" s="291"/>
      <c r="L126" s="154"/>
      <c r="M126" s="154"/>
      <c r="N126" s="291"/>
      <c r="O126" s="154"/>
      <c r="P126" s="154"/>
      <c r="Q126" s="291"/>
      <c r="R126" s="154"/>
      <c r="S126" s="154"/>
      <c r="T126" s="291"/>
      <c r="U126" s="154"/>
      <c r="V126" s="154"/>
      <c r="W126" s="154"/>
      <c r="X126" s="154"/>
      <c r="Y126" s="154"/>
    </row>
    <row r="127" spans="1:28">
      <c r="A127" s="266"/>
      <c r="B127" s="266"/>
      <c r="C127" s="266"/>
      <c r="D127" s="266"/>
      <c r="E127" s="266" t="str">
        <f>'USDA Budget Summary'!A28</f>
        <v>Activity 1: Value Chain Development (Value Chain Analysis, Carbon Assessment, and Living Incomes)</v>
      </c>
      <c r="F127" s="298"/>
      <c r="G127" s="106"/>
      <c r="H127" s="106"/>
      <c r="I127" s="107"/>
      <c r="J127" s="267"/>
      <c r="K127" s="298"/>
      <c r="L127" s="267"/>
      <c r="M127" s="267"/>
      <c r="N127" s="298"/>
      <c r="O127" s="267"/>
      <c r="P127" s="267"/>
      <c r="Q127" s="298"/>
      <c r="R127" s="267"/>
      <c r="S127" s="267"/>
      <c r="T127" s="298"/>
      <c r="U127" s="267"/>
      <c r="V127" s="267"/>
      <c r="W127" s="267"/>
      <c r="X127" s="268"/>
      <c r="Y127" s="267"/>
    </row>
    <row r="128" spans="1:28">
      <c r="A128" s="269"/>
      <c r="B128" s="269"/>
      <c r="C128" s="269"/>
      <c r="D128" s="269"/>
      <c r="E128" s="269" t="s">
        <v>349</v>
      </c>
      <c r="F128" s="299"/>
      <c r="G128" s="270"/>
      <c r="H128" s="271"/>
      <c r="I128" s="271"/>
      <c r="J128" s="271"/>
      <c r="K128" s="299"/>
      <c r="L128" s="271"/>
      <c r="M128" s="271"/>
      <c r="N128" s="299"/>
      <c r="O128" s="271"/>
      <c r="P128" s="271"/>
      <c r="Q128" s="299"/>
      <c r="R128" s="271"/>
      <c r="S128" s="271"/>
      <c r="T128" s="299"/>
      <c r="U128" s="271"/>
      <c r="V128" s="271"/>
      <c r="W128" s="271"/>
      <c r="X128" s="271"/>
      <c r="Y128" s="271"/>
    </row>
    <row r="129" spans="1:28">
      <c r="A129" s="109"/>
      <c r="B129" s="109"/>
      <c r="C129" s="109"/>
      <c r="D129" s="109"/>
      <c r="E129" s="109" t="s">
        <v>350</v>
      </c>
      <c r="F129" s="300"/>
      <c r="G129" s="123"/>
      <c r="H129" s="124"/>
      <c r="I129" s="124"/>
      <c r="J129" s="124"/>
      <c r="K129" s="300"/>
      <c r="L129" s="124"/>
      <c r="M129" s="124"/>
      <c r="N129" s="300"/>
      <c r="O129" s="124"/>
      <c r="P129" s="124"/>
      <c r="Q129" s="300"/>
      <c r="R129" s="124"/>
      <c r="S129" s="124"/>
      <c r="T129" s="300"/>
      <c r="U129" s="124"/>
      <c r="V129" s="124"/>
      <c r="W129" s="124"/>
      <c r="X129" s="124"/>
      <c r="Y129" s="124"/>
    </row>
    <row r="130" spans="1:28">
      <c r="A130" s="58" t="s">
        <v>351</v>
      </c>
      <c r="B130" s="58">
        <v>50000</v>
      </c>
      <c r="C130" s="58" t="s">
        <v>219</v>
      </c>
      <c r="D130" s="58">
        <v>0</v>
      </c>
      <c r="E130" s="58" t="str">
        <f t="shared" ref="E130:E143" si="103">E13</f>
        <v xml:space="preserve">Key Personnel: Chief of Party </v>
      </c>
      <c r="F130" s="287">
        <f>'LOE Breakdown by Year'!E11</f>
        <v>0.25</v>
      </c>
      <c r="G130" s="127" t="s">
        <v>221</v>
      </c>
      <c r="H130" s="119">
        <f t="shared" ref="H130:I143" si="104">H13</f>
        <v>12</v>
      </c>
      <c r="I130" s="119">
        <f t="shared" si="104"/>
        <v>12500</v>
      </c>
      <c r="J130" s="119">
        <f t="shared" ref="J130" si="105">H130*I130*F130</f>
        <v>37500</v>
      </c>
      <c r="K130" s="287">
        <f>'LOE Breakdown by Year'!E35</f>
        <v>0.05</v>
      </c>
      <c r="L130" s="119">
        <f t="shared" ref="L130:L143" si="106">L13</f>
        <v>12</v>
      </c>
      <c r="M130" s="119">
        <f>L130*I130*$F$8*$K130</f>
        <v>7800</v>
      </c>
      <c r="N130" s="287">
        <f>'LOE Breakdown by Year'!E59</f>
        <v>0</v>
      </c>
      <c r="O130" s="119">
        <f t="shared" ref="O130:O143" si="107">O13</f>
        <v>12</v>
      </c>
      <c r="P130" s="119">
        <f t="shared" ref="P130:P141" si="108">O130*I130*$N130*$F$8*$F$8</f>
        <v>0</v>
      </c>
      <c r="Q130" s="287">
        <f>'LOE Breakdown by Year'!E83</f>
        <v>0</v>
      </c>
      <c r="R130" s="119">
        <f t="shared" ref="R130:R143" si="109">R13</f>
        <v>12</v>
      </c>
      <c r="S130" s="119">
        <f t="shared" ref="S130" si="110">R130*I130*$Q130*$F$8*$F$8*$F$8</f>
        <v>0</v>
      </c>
      <c r="T130" s="287">
        <f>'LOE Breakdown by Year'!E107</f>
        <v>0</v>
      </c>
      <c r="U130" s="119">
        <f t="shared" ref="U130:U143" si="111">U13</f>
        <v>12</v>
      </c>
      <c r="V130" s="119">
        <f t="shared" ref="V130" si="112">U130*I130*$T130*$F$8*$F$8*$F$8*$F$8</f>
        <v>0</v>
      </c>
      <c r="W130" s="119">
        <f t="shared" ref="W130" si="113">SUM(S130,P130,M130,J130,V130)</f>
        <v>45300</v>
      </c>
      <c r="X130" s="119">
        <v>0</v>
      </c>
      <c r="Y130" s="119">
        <f t="shared" ref="Y130" si="114">SUM(W130:X130)</f>
        <v>45300</v>
      </c>
      <c r="AA130" s="366">
        <v>0.5</v>
      </c>
      <c r="AB130" s="366">
        <v>0.5</v>
      </c>
    </row>
    <row r="131" spans="1:28">
      <c r="A131" s="58" t="s">
        <v>351</v>
      </c>
      <c r="B131" s="58">
        <v>70000</v>
      </c>
      <c r="C131" s="58" t="s">
        <v>222</v>
      </c>
      <c r="D131" s="58">
        <v>0</v>
      </c>
      <c r="E131" s="58" t="str">
        <f t="shared" si="103"/>
        <v>Key Personnel: Technical Director</v>
      </c>
      <c r="F131" s="287">
        <f>'LOE Breakdown by Year'!E12</f>
        <v>0.25</v>
      </c>
      <c r="G131" s="127" t="s">
        <v>221</v>
      </c>
      <c r="H131" s="119">
        <f t="shared" si="104"/>
        <v>8</v>
      </c>
      <c r="I131" s="119">
        <f t="shared" si="104"/>
        <v>5833.333333333333</v>
      </c>
      <c r="J131" s="119">
        <f t="shared" ref="J131:J141" si="115">H131*I131*F131</f>
        <v>11666.666666666666</v>
      </c>
      <c r="K131" s="287">
        <f>'LOE Breakdown by Year'!E36</f>
        <v>0.1</v>
      </c>
      <c r="L131" s="119">
        <f t="shared" si="106"/>
        <v>12</v>
      </c>
      <c r="M131" s="119">
        <f t="shared" ref="M131:M141" si="116">L131*I131*$F$8*$K131</f>
        <v>7280</v>
      </c>
      <c r="N131" s="287">
        <f>'LOE Breakdown by Year'!E60</f>
        <v>0</v>
      </c>
      <c r="O131" s="119">
        <f t="shared" si="107"/>
        <v>12</v>
      </c>
      <c r="P131" s="119">
        <f t="shared" si="108"/>
        <v>0</v>
      </c>
      <c r="Q131" s="287">
        <f>'LOE Breakdown by Year'!E84</f>
        <v>0</v>
      </c>
      <c r="R131" s="119">
        <f t="shared" si="109"/>
        <v>12</v>
      </c>
      <c r="S131" s="119">
        <f t="shared" ref="S131:S141" si="117">R131*I131*$Q131*$F$8*$F$8*$F$8</f>
        <v>0</v>
      </c>
      <c r="T131" s="287">
        <f>'LOE Breakdown by Year'!E108</f>
        <v>0</v>
      </c>
      <c r="U131" s="119">
        <f t="shared" si="111"/>
        <v>12</v>
      </c>
      <c r="V131" s="119">
        <f t="shared" ref="V131:V141" si="118">U131*I131*$T131*$F$8*$F$8*$F$8*$F$8</f>
        <v>0</v>
      </c>
      <c r="W131" s="119">
        <f t="shared" ref="W131:W141" si="119">SUM(S131,P131,M131,J131,V131)</f>
        <v>18946.666666666664</v>
      </c>
      <c r="X131" s="119">
        <v>0</v>
      </c>
      <c r="Y131" s="119">
        <f t="shared" ref="Y131:Y141" si="120">SUM(W131:X131)</f>
        <v>18946.666666666664</v>
      </c>
      <c r="AA131" s="366">
        <v>0.5</v>
      </c>
      <c r="AB131" s="366">
        <v>0.5</v>
      </c>
    </row>
    <row r="132" spans="1:28" hidden="1">
      <c r="A132" s="58"/>
      <c r="B132" s="58"/>
      <c r="C132" s="58"/>
      <c r="D132" s="58"/>
      <c r="E132" s="58" t="str">
        <f t="shared" si="103"/>
        <v xml:space="preserve">F&amp;A Director </v>
      </c>
      <c r="F132" s="287">
        <f>'LOE Breakdown by Year'!E13</f>
        <v>0</v>
      </c>
      <c r="G132" s="127" t="s">
        <v>221</v>
      </c>
      <c r="H132" s="119">
        <f t="shared" si="104"/>
        <v>8</v>
      </c>
      <c r="I132" s="119">
        <f t="shared" si="104"/>
        <v>3833.3333333333335</v>
      </c>
      <c r="J132" s="119">
        <f t="shared" si="115"/>
        <v>0</v>
      </c>
      <c r="K132" s="287">
        <f>'LOE Breakdown by Year'!E37</f>
        <v>0</v>
      </c>
      <c r="L132" s="119">
        <f t="shared" si="106"/>
        <v>12</v>
      </c>
      <c r="M132" s="119">
        <f t="shared" si="116"/>
        <v>0</v>
      </c>
      <c r="N132" s="287">
        <f>'LOE Breakdown by Year'!E61</f>
        <v>0</v>
      </c>
      <c r="O132" s="119">
        <f t="shared" si="107"/>
        <v>12</v>
      </c>
      <c r="P132" s="119">
        <f t="shared" si="108"/>
        <v>0</v>
      </c>
      <c r="Q132" s="287">
        <f>'LOE Breakdown by Year'!E85</f>
        <v>0</v>
      </c>
      <c r="R132" s="119">
        <f t="shared" si="109"/>
        <v>12</v>
      </c>
      <c r="S132" s="119">
        <f t="shared" si="117"/>
        <v>0</v>
      </c>
      <c r="T132" s="287">
        <f>'LOE Breakdown by Year'!E109</f>
        <v>0</v>
      </c>
      <c r="U132" s="119">
        <f t="shared" si="111"/>
        <v>12</v>
      </c>
      <c r="V132" s="119">
        <f t="shared" si="118"/>
        <v>0</v>
      </c>
      <c r="W132" s="119">
        <f t="shared" si="119"/>
        <v>0</v>
      </c>
      <c r="X132" s="119">
        <v>0</v>
      </c>
      <c r="Y132" s="119">
        <f t="shared" si="120"/>
        <v>0</v>
      </c>
      <c r="AA132" s="366">
        <v>0.5</v>
      </c>
      <c r="AB132" s="366">
        <v>0.5</v>
      </c>
    </row>
    <row r="133" spans="1:28">
      <c r="A133" s="58" t="s">
        <v>351</v>
      </c>
      <c r="B133" s="58">
        <v>70000</v>
      </c>
      <c r="C133" s="58" t="s">
        <v>222</v>
      </c>
      <c r="D133" s="58">
        <v>0</v>
      </c>
      <c r="E133" s="58" t="str">
        <f t="shared" si="103"/>
        <v xml:space="preserve">M&amp;E Director </v>
      </c>
      <c r="F133" s="287">
        <f>'LOE Breakdown by Year'!E14</f>
        <v>0.25</v>
      </c>
      <c r="G133" s="127" t="s">
        <v>221</v>
      </c>
      <c r="H133" s="119">
        <f t="shared" si="104"/>
        <v>8</v>
      </c>
      <c r="I133" s="119">
        <f t="shared" si="104"/>
        <v>3833.3333333333335</v>
      </c>
      <c r="J133" s="119">
        <f t="shared" si="115"/>
        <v>7666.666666666667</v>
      </c>
      <c r="K133" s="287">
        <f>'LOE Breakdown by Year'!E38</f>
        <v>0</v>
      </c>
      <c r="L133" s="119">
        <f t="shared" si="106"/>
        <v>12</v>
      </c>
      <c r="M133" s="119">
        <f t="shared" si="116"/>
        <v>0</v>
      </c>
      <c r="N133" s="287">
        <f>'LOE Breakdown by Year'!E62</f>
        <v>0</v>
      </c>
      <c r="O133" s="119">
        <f t="shared" si="107"/>
        <v>12</v>
      </c>
      <c r="P133" s="119">
        <f t="shared" si="108"/>
        <v>0</v>
      </c>
      <c r="Q133" s="287">
        <f>'LOE Breakdown by Year'!E86</f>
        <v>0</v>
      </c>
      <c r="R133" s="119">
        <f t="shared" si="109"/>
        <v>12</v>
      </c>
      <c r="S133" s="119">
        <f t="shared" si="117"/>
        <v>0</v>
      </c>
      <c r="T133" s="287">
        <f>'LOE Breakdown by Year'!E110</f>
        <v>0</v>
      </c>
      <c r="U133" s="119">
        <f t="shared" si="111"/>
        <v>12</v>
      </c>
      <c r="V133" s="119">
        <f t="shared" si="118"/>
        <v>0</v>
      </c>
      <c r="W133" s="119">
        <f t="shared" si="119"/>
        <v>7666.666666666667</v>
      </c>
      <c r="X133" s="119">
        <v>0</v>
      </c>
      <c r="Y133" s="119">
        <f t="shared" si="120"/>
        <v>7666.666666666667</v>
      </c>
      <c r="AA133" s="366">
        <v>0.5</v>
      </c>
      <c r="AB133" s="366">
        <v>0.5</v>
      </c>
    </row>
    <row r="134" spans="1:28">
      <c r="A134" s="58" t="s">
        <v>351</v>
      </c>
      <c r="B134" s="58">
        <v>70000</v>
      </c>
      <c r="C134" s="58" t="s">
        <v>222</v>
      </c>
      <c r="D134" s="58">
        <v>0</v>
      </c>
      <c r="E134" s="58" t="str">
        <f t="shared" si="103"/>
        <v>M&amp;E Mid-level Specialist</v>
      </c>
      <c r="F134" s="287">
        <f>'LOE Breakdown by Year'!E15</f>
        <v>0.25</v>
      </c>
      <c r="G134" s="127" t="s">
        <v>221</v>
      </c>
      <c r="H134" s="119">
        <f t="shared" si="104"/>
        <v>7</v>
      </c>
      <c r="I134" s="119">
        <f t="shared" si="104"/>
        <v>2666.6666666666665</v>
      </c>
      <c r="J134" s="119">
        <f t="shared" si="115"/>
        <v>4666.6666666666661</v>
      </c>
      <c r="K134" s="287">
        <f>'LOE Breakdown by Year'!E39</f>
        <v>0</v>
      </c>
      <c r="L134" s="119">
        <f t="shared" si="106"/>
        <v>12</v>
      </c>
      <c r="M134" s="119">
        <f t="shared" si="116"/>
        <v>0</v>
      </c>
      <c r="N134" s="287">
        <f>'LOE Breakdown by Year'!E63</f>
        <v>0</v>
      </c>
      <c r="O134" s="119">
        <f t="shared" si="107"/>
        <v>12</v>
      </c>
      <c r="P134" s="119">
        <f t="shared" si="108"/>
        <v>0</v>
      </c>
      <c r="Q134" s="287">
        <f>'LOE Breakdown by Year'!E87</f>
        <v>0</v>
      </c>
      <c r="R134" s="119">
        <f t="shared" si="109"/>
        <v>12</v>
      </c>
      <c r="S134" s="119">
        <f t="shared" si="117"/>
        <v>0</v>
      </c>
      <c r="T134" s="287">
        <f>'LOE Breakdown by Year'!E111</f>
        <v>0</v>
      </c>
      <c r="U134" s="119">
        <f t="shared" si="111"/>
        <v>9</v>
      </c>
      <c r="V134" s="119">
        <f t="shared" si="118"/>
        <v>0</v>
      </c>
      <c r="W134" s="119">
        <f t="shared" si="119"/>
        <v>4666.6666666666661</v>
      </c>
      <c r="X134" s="119">
        <v>0</v>
      </c>
      <c r="Y134" s="119">
        <f t="shared" si="120"/>
        <v>4666.6666666666661</v>
      </c>
      <c r="AA134" s="366">
        <v>0.5</v>
      </c>
      <c r="AB134" s="366">
        <v>0.5</v>
      </c>
    </row>
    <row r="135" spans="1:28">
      <c r="A135" s="58" t="s">
        <v>351</v>
      </c>
      <c r="B135" s="58">
        <v>70000</v>
      </c>
      <c r="C135" s="58" t="s">
        <v>222</v>
      </c>
      <c r="D135" s="58">
        <v>0</v>
      </c>
      <c r="E135" s="58" t="str">
        <f t="shared" si="103"/>
        <v>M&amp;E Specialist</v>
      </c>
      <c r="F135" s="287">
        <f>'LOE Breakdown by Year'!E16</f>
        <v>0.25</v>
      </c>
      <c r="G135" s="127" t="s">
        <v>221</v>
      </c>
      <c r="H135" s="119">
        <f t="shared" si="104"/>
        <v>3</v>
      </c>
      <c r="I135" s="119">
        <f t="shared" si="104"/>
        <v>2166.6666666666665</v>
      </c>
      <c r="J135" s="119">
        <f t="shared" si="115"/>
        <v>1625</v>
      </c>
      <c r="K135" s="287">
        <f>'LOE Breakdown by Year'!E40</f>
        <v>0</v>
      </c>
      <c r="L135" s="119">
        <f t="shared" si="106"/>
        <v>12</v>
      </c>
      <c r="M135" s="119">
        <f t="shared" si="116"/>
        <v>0</v>
      </c>
      <c r="N135" s="287">
        <f>'LOE Breakdown by Year'!E64</f>
        <v>0</v>
      </c>
      <c r="O135" s="119">
        <f t="shared" si="107"/>
        <v>12</v>
      </c>
      <c r="P135" s="119">
        <f t="shared" si="108"/>
        <v>0</v>
      </c>
      <c r="Q135" s="287">
        <f>'LOE Breakdown by Year'!E88</f>
        <v>0</v>
      </c>
      <c r="R135" s="119">
        <f t="shared" si="109"/>
        <v>12</v>
      </c>
      <c r="S135" s="119">
        <f t="shared" si="117"/>
        <v>0</v>
      </c>
      <c r="T135" s="287">
        <f>'LOE Breakdown by Year'!E112</f>
        <v>0</v>
      </c>
      <c r="U135" s="119">
        <f t="shared" si="111"/>
        <v>9</v>
      </c>
      <c r="V135" s="119">
        <f t="shared" si="118"/>
        <v>0</v>
      </c>
      <c r="W135" s="119">
        <f t="shared" si="119"/>
        <v>1625</v>
      </c>
      <c r="X135" s="119">
        <v>0</v>
      </c>
      <c r="Y135" s="119">
        <f t="shared" si="120"/>
        <v>1625</v>
      </c>
      <c r="AA135" s="366">
        <v>0.5</v>
      </c>
      <c r="AB135" s="366">
        <v>0.5</v>
      </c>
    </row>
    <row r="136" spans="1:28" hidden="1">
      <c r="A136" s="58"/>
      <c r="B136" s="58"/>
      <c r="C136" s="58"/>
      <c r="D136" s="58"/>
      <c r="E136" s="58" t="str">
        <f t="shared" si="103"/>
        <v>Partnerships and Investment Director</v>
      </c>
      <c r="F136" s="287">
        <f>'LOE Breakdown by Year'!E17</f>
        <v>0</v>
      </c>
      <c r="G136" s="127" t="s">
        <v>221</v>
      </c>
      <c r="H136" s="119">
        <f t="shared" si="104"/>
        <v>8</v>
      </c>
      <c r="I136" s="119">
        <f t="shared" si="104"/>
        <v>3833.3333333333335</v>
      </c>
      <c r="J136" s="119">
        <f t="shared" si="115"/>
        <v>0</v>
      </c>
      <c r="K136" s="287">
        <f>'LOE Breakdown by Year'!E41</f>
        <v>0</v>
      </c>
      <c r="L136" s="119">
        <f t="shared" si="106"/>
        <v>12</v>
      </c>
      <c r="M136" s="119">
        <f t="shared" si="116"/>
        <v>0</v>
      </c>
      <c r="N136" s="287">
        <f>'LOE Breakdown by Year'!E65</f>
        <v>0</v>
      </c>
      <c r="O136" s="119">
        <f t="shared" si="107"/>
        <v>12</v>
      </c>
      <c r="P136" s="119">
        <f t="shared" si="108"/>
        <v>0</v>
      </c>
      <c r="Q136" s="287">
        <f>'LOE Breakdown by Year'!E89</f>
        <v>0</v>
      </c>
      <c r="R136" s="119">
        <f t="shared" si="109"/>
        <v>12</v>
      </c>
      <c r="S136" s="119">
        <f t="shared" si="117"/>
        <v>0</v>
      </c>
      <c r="T136" s="287">
        <f>'LOE Breakdown by Year'!E113</f>
        <v>0</v>
      </c>
      <c r="U136" s="119">
        <f t="shared" si="111"/>
        <v>9</v>
      </c>
      <c r="V136" s="119">
        <f t="shared" si="118"/>
        <v>0</v>
      </c>
      <c r="W136" s="119">
        <f t="shared" si="119"/>
        <v>0</v>
      </c>
      <c r="X136" s="119">
        <v>0</v>
      </c>
      <c r="Y136" s="119">
        <f t="shared" si="120"/>
        <v>0</v>
      </c>
      <c r="AA136" s="366">
        <v>0.5</v>
      </c>
      <c r="AB136" s="366">
        <v>0.5</v>
      </c>
    </row>
    <row r="137" spans="1:28" hidden="1">
      <c r="A137" s="58"/>
      <c r="B137" s="58"/>
      <c r="C137" s="58"/>
      <c r="D137" s="58"/>
      <c r="E137" s="58" t="str">
        <f t="shared" si="103"/>
        <v>Extension Agents (15)</v>
      </c>
      <c r="F137" s="287">
        <f>'LOE Breakdown by Year'!E18</f>
        <v>0</v>
      </c>
      <c r="G137" s="127" t="s">
        <v>221</v>
      </c>
      <c r="H137" s="119">
        <f t="shared" si="104"/>
        <v>3</v>
      </c>
      <c r="I137" s="119">
        <f t="shared" si="104"/>
        <v>26250</v>
      </c>
      <c r="J137" s="119">
        <f t="shared" si="115"/>
        <v>0</v>
      </c>
      <c r="K137" s="287">
        <f>'LOE Breakdown by Year'!E42</f>
        <v>0</v>
      </c>
      <c r="L137" s="119">
        <f t="shared" si="106"/>
        <v>12</v>
      </c>
      <c r="M137" s="119">
        <f t="shared" si="116"/>
        <v>0</v>
      </c>
      <c r="N137" s="287">
        <f>'LOE Breakdown by Year'!E66</f>
        <v>0</v>
      </c>
      <c r="O137" s="119">
        <f t="shared" si="107"/>
        <v>12</v>
      </c>
      <c r="P137" s="119">
        <f t="shared" si="108"/>
        <v>0</v>
      </c>
      <c r="Q137" s="287">
        <f>'LOE Breakdown by Year'!E90</f>
        <v>0</v>
      </c>
      <c r="R137" s="119">
        <f t="shared" si="109"/>
        <v>12</v>
      </c>
      <c r="S137" s="119">
        <f t="shared" si="117"/>
        <v>0</v>
      </c>
      <c r="T137" s="287">
        <f>'LOE Breakdown by Year'!E114</f>
        <v>0</v>
      </c>
      <c r="U137" s="119">
        <f t="shared" si="111"/>
        <v>9</v>
      </c>
      <c r="V137" s="119">
        <f t="shared" si="118"/>
        <v>0</v>
      </c>
      <c r="W137" s="119">
        <f t="shared" si="119"/>
        <v>0</v>
      </c>
      <c r="X137" s="119">
        <v>0</v>
      </c>
      <c r="Y137" s="119">
        <f t="shared" si="120"/>
        <v>0</v>
      </c>
      <c r="AA137" s="366">
        <v>0.5</v>
      </c>
      <c r="AB137" s="366">
        <v>0.5</v>
      </c>
    </row>
    <row r="138" spans="1:28">
      <c r="A138" s="58" t="s">
        <v>351</v>
      </c>
      <c r="B138" s="58">
        <v>70000</v>
      </c>
      <c r="C138" s="58" t="s">
        <v>222</v>
      </c>
      <c r="D138" s="58">
        <v>0</v>
      </c>
      <c r="E138" s="58" t="str">
        <f t="shared" si="103"/>
        <v>Activity Lead Agribusiness Senior Specialist (Cacao)</v>
      </c>
      <c r="F138" s="287">
        <f>'LOE Breakdown by Year'!E19</f>
        <v>0.3</v>
      </c>
      <c r="G138" s="127" t="s">
        <v>221</v>
      </c>
      <c r="H138" s="119">
        <f t="shared" si="104"/>
        <v>3</v>
      </c>
      <c r="I138" s="119">
        <f t="shared" si="104"/>
        <v>2833.3333333333335</v>
      </c>
      <c r="J138" s="119">
        <f t="shared" si="115"/>
        <v>2550</v>
      </c>
      <c r="K138" s="287">
        <f>'LOE Breakdown by Year'!E43</f>
        <v>0.05</v>
      </c>
      <c r="L138" s="119">
        <f t="shared" si="106"/>
        <v>12</v>
      </c>
      <c r="M138" s="119">
        <f t="shared" si="116"/>
        <v>1768</v>
      </c>
      <c r="N138" s="287">
        <f>'LOE Breakdown by Year'!E67</f>
        <v>0</v>
      </c>
      <c r="O138" s="119">
        <f t="shared" si="107"/>
        <v>12</v>
      </c>
      <c r="P138" s="119">
        <f t="shared" si="108"/>
        <v>0</v>
      </c>
      <c r="Q138" s="287">
        <f>'LOE Breakdown by Year'!E91</f>
        <v>0</v>
      </c>
      <c r="R138" s="119">
        <f t="shared" si="109"/>
        <v>12</v>
      </c>
      <c r="S138" s="119">
        <f t="shared" si="117"/>
        <v>0</v>
      </c>
      <c r="T138" s="287">
        <f>'LOE Breakdown by Year'!E115</f>
        <v>0</v>
      </c>
      <c r="U138" s="119">
        <f t="shared" si="111"/>
        <v>9</v>
      </c>
      <c r="V138" s="119">
        <f t="shared" si="118"/>
        <v>0</v>
      </c>
      <c r="W138" s="119">
        <f t="shared" si="119"/>
        <v>4318</v>
      </c>
      <c r="X138" s="119">
        <v>0</v>
      </c>
      <c r="Y138" s="119">
        <f t="shared" si="120"/>
        <v>4318</v>
      </c>
      <c r="AA138" s="366">
        <v>1</v>
      </c>
      <c r="AB138" s="366">
        <v>0</v>
      </c>
    </row>
    <row r="139" spans="1:28">
      <c r="A139" s="58" t="s">
        <v>351</v>
      </c>
      <c r="B139" s="58">
        <v>70000</v>
      </c>
      <c r="C139" s="58" t="s">
        <v>222</v>
      </c>
      <c r="D139" s="58">
        <v>0</v>
      </c>
      <c r="E139" s="58" t="str">
        <f t="shared" si="103"/>
        <v>Activity Lead Agribusiness Senior Specialist (Complementary Crop)</v>
      </c>
      <c r="F139" s="287">
        <f>'LOE Breakdown by Year'!E20</f>
        <v>0.3</v>
      </c>
      <c r="G139" s="127" t="s">
        <v>221</v>
      </c>
      <c r="H139" s="119">
        <f t="shared" si="104"/>
        <v>3</v>
      </c>
      <c r="I139" s="119">
        <f t="shared" si="104"/>
        <v>2833.3333333333335</v>
      </c>
      <c r="J139" s="119">
        <f t="shared" si="115"/>
        <v>2550</v>
      </c>
      <c r="K139" s="287">
        <f>'LOE Breakdown by Year'!E44</f>
        <v>0.05</v>
      </c>
      <c r="L139" s="119">
        <f t="shared" si="106"/>
        <v>12</v>
      </c>
      <c r="M139" s="119">
        <f t="shared" si="116"/>
        <v>1768</v>
      </c>
      <c r="N139" s="287">
        <f>'LOE Breakdown by Year'!E68</f>
        <v>0</v>
      </c>
      <c r="O139" s="119">
        <f t="shared" si="107"/>
        <v>12</v>
      </c>
      <c r="P139" s="119">
        <f t="shared" si="108"/>
        <v>0</v>
      </c>
      <c r="Q139" s="287">
        <f>'LOE Breakdown by Year'!E92</f>
        <v>0</v>
      </c>
      <c r="R139" s="119">
        <f t="shared" si="109"/>
        <v>12</v>
      </c>
      <c r="S139" s="119">
        <f t="shared" si="117"/>
        <v>0</v>
      </c>
      <c r="T139" s="287">
        <f>'LOE Breakdown by Year'!E116</f>
        <v>0</v>
      </c>
      <c r="U139" s="119">
        <f t="shared" si="111"/>
        <v>9</v>
      </c>
      <c r="V139" s="119">
        <f t="shared" si="118"/>
        <v>0</v>
      </c>
      <c r="W139" s="119">
        <f t="shared" si="119"/>
        <v>4318</v>
      </c>
      <c r="X139" s="119">
        <v>0</v>
      </c>
      <c r="Y139" s="119">
        <f t="shared" si="120"/>
        <v>4318</v>
      </c>
      <c r="AA139" s="366">
        <v>0</v>
      </c>
      <c r="AB139" s="366">
        <v>1</v>
      </c>
    </row>
    <row r="140" spans="1:28">
      <c r="A140" s="58" t="s">
        <v>351</v>
      </c>
      <c r="B140" s="58">
        <v>70000</v>
      </c>
      <c r="C140" s="58" t="s">
        <v>222</v>
      </c>
      <c r="D140" s="58">
        <v>0</v>
      </c>
      <c r="E140" s="58" t="str">
        <f t="shared" si="103"/>
        <v xml:space="preserve">Food Safety Mid-Specialist </v>
      </c>
      <c r="F140" s="287">
        <f>'LOE Breakdown by Year'!E21</f>
        <v>0.1</v>
      </c>
      <c r="G140" s="127" t="s">
        <v>221</v>
      </c>
      <c r="H140" s="119">
        <f t="shared" si="104"/>
        <v>3</v>
      </c>
      <c r="I140" s="119">
        <f t="shared" si="104"/>
        <v>2666.6666666666665</v>
      </c>
      <c r="J140" s="119">
        <f t="shared" si="115"/>
        <v>800</v>
      </c>
      <c r="K140" s="287">
        <f>'LOE Breakdown by Year'!E45</f>
        <v>0</v>
      </c>
      <c r="L140" s="119">
        <f t="shared" si="106"/>
        <v>12</v>
      </c>
      <c r="M140" s="119">
        <f t="shared" si="116"/>
        <v>0</v>
      </c>
      <c r="N140" s="287">
        <f>'LOE Breakdown by Year'!E69</f>
        <v>0</v>
      </c>
      <c r="O140" s="119">
        <f t="shared" si="107"/>
        <v>12</v>
      </c>
      <c r="P140" s="119">
        <f t="shared" si="108"/>
        <v>0</v>
      </c>
      <c r="Q140" s="287">
        <f>'LOE Breakdown by Year'!E93</f>
        <v>0</v>
      </c>
      <c r="R140" s="119">
        <f t="shared" si="109"/>
        <v>12</v>
      </c>
      <c r="S140" s="119">
        <f t="shared" si="117"/>
        <v>0</v>
      </c>
      <c r="T140" s="287">
        <f>'LOE Breakdown by Year'!E117</f>
        <v>0</v>
      </c>
      <c r="U140" s="119">
        <f t="shared" si="111"/>
        <v>9</v>
      </c>
      <c r="V140" s="119">
        <f t="shared" si="118"/>
        <v>0</v>
      </c>
      <c r="W140" s="119">
        <f t="shared" si="119"/>
        <v>800</v>
      </c>
      <c r="X140" s="119">
        <v>0</v>
      </c>
      <c r="Y140" s="119">
        <f t="shared" si="120"/>
        <v>800</v>
      </c>
      <c r="AA140" s="366">
        <v>0.5</v>
      </c>
      <c r="AB140" s="366">
        <v>0.5</v>
      </c>
    </row>
    <row r="141" spans="1:28" hidden="1">
      <c r="A141" s="58"/>
      <c r="B141" s="58"/>
      <c r="C141" s="58"/>
      <c r="D141" s="58"/>
      <c r="E141" s="58" t="str">
        <f t="shared" si="103"/>
        <v>Compliance Director</v>
      </c>
      <c r="F141" s="287">
        <f>'LOE Breakdown by Year'!E22</f>
        <v>0</v>
      </c>
      <c r="G141" s="127" t="s">
        <v>221</v>
      </c>
      <c r="H141" s="119">
        <f t="shared" si="104"/>
        <v>8</v>
      </c>
      <c r="I141" s="119">
        <f t="shared" si="104"/>
        <v>6833.333333333333</v>
      </c>
      <c r="J141" s="119">
        <f t="shared" si="115"/>
        <v>0</v>
      </c>
      <c r="K141" s="287">
        <f>'LOE Breakdown by Year'!E46</f>
        <v>0</v>
      </c>
      <c r="L141" s="119">
        <f t="shared" si="106"/>
        <v>12</v>
      </c>
      <c r="M141" s="119">
        <f t="shared" si="116"/>
        <v>0</v>
      </c>
      <c r="N141" s="287">
        <f>'LOE Breakdown by Year'!E70</f>
        <v>0</v>
      </c>
      <c r="O141" s="119">
        <f t="shared" si="107"/>
        <v>12</v>
      </c>
      <c r="P141" s="119">
        <f t="shared" si="108"/>
        <v>0</v>
      </c>
      <c r="Q141" s="287">
        <f>'LOE Breakdown by Year'!E94</f>
        <v>0</v>
      </c>
      <c r="R141" s="119">
        <f t="shared" si="109"/>
        <v>12</v>
      </c>
      <c r="S141" s="119">
        <f t="shared" si="117"/>
        <v>0</v>
      </c>
      <c r="T141" s="287">
        <f>'LOE Breakdown by Year'!E118</f>
        <v>0</v>
      </c>
      <c r="U141" s="119">
        <f t="shared" si="111"/>
        <v>12</v>
      </c>
      <c r="V141" s="119">
        <f t="shared" si="118"/>
        <v>0</v>
      </c>
      <c r="W141" s="119">
        <f t="shared" si="119"/>
        <v>0</v>
      </c>
      <c r="X141" s="119">
        <v>0</v>
      </c>
      <c r="Y141" s="119">
        <f t="shared" si="120"/>
        <v>0</v>
      </c>
      <c r="AA141" s="366">
        <v>0.5</v>
      </c>
      <c r="AB141" s="366">
        <v>0.5</v>
      </c>
    </row>
    <row r="142" spans="1:28" hidden="1">
      <c r="A142" s="58"/>
      <c r="B142" s="58"/>
      <c r="C142" s="58"/>
      <c r="D142" s="58"/>
      <c r="E142" s="58" t="str">
        <f t="shared" si="103"/>
        <v xml:space="preserve">Accountant </v>
      </c>
      <c r="F142" s="287">
        <f>'LOE Breakdown by Year'!E23</f>
        <v>0</v>
      </c>
      <c r="G142" s="127" t="s">
        <v>221</v>
      </c>
      <c r="H142" s="119">
        <f t="shared" si="104"/>
        <v>3</v>
      </c>
      <c r="I142" s="119">
        <f t="shared" si="104"/>
        <v>1750</v>
      </c>
      <c r="J142" s="119">
        <f t="shared" ref="J142:J143" si="121">H142*I142*F142</f>
        <v>0</v>
      </c>
      <c r="K142" s="287">
        <f>'LOE Breakdown by Year'!E47</f>
        <v>0</v>
      </c>
      <c r="L142" s="119">
        <f t="shared" si="106"/>
        <v>12</v>
      </c>
      <c r="M142" s="119">
        <f t="shared" ref="M142:M143" si="122">L142*I142*$F$8*$K142</f>
        <v>0</v>
      </c>
      <c r="N142" s="287">
        <f>'LOE Breakdown by Year'!E71</f>
        <v>0</v>
      </c>
      <c r="O142" s="119">
        <f t="shared" si="107"/>
        <v>12</v>
      </c>
      <c r="P142" s="119">
        <f t="shared" ref="P142:P143" si="123">O142*I142*$N142*$F$8*$F$8</f>
        <v>0</v>
      </c>
      <c r="Q142" s="287">
        <f>'LOE Breakdown by Year'!E95</f>
        <v>0</v>
      </c>
      <c r="R142" s="119">
        <f t="shared" si="109"/>
        <v>12</v>
      </c>
      <c r="S142" s="119">
        <f t="shared" ref="S142:S143" si="124">R142*I142*$Q142*$F$8*$F$8*$F$8</f>
        <v>0</v>
      </c>
      <c r="T142" s="287">
        <f>'LOE Breakdown by Year'!E119</f>
        <v>0</v>
      </c>
      <c r="U142" s="119">
        <f t="shared" si="111"/>
        <v>9</v>
      </c>
      <c r="V142" s="119">
        <f t="shared" ref="V142:V143" si="125">U142*I142*$T142*$F$8*$F$8*$F$8*$F$8</f>
        <v>0</v>
      </c>
      <c r="W142" s="119">
        <f t="shared" ref="W142:W143" si="126">SUM(S142,P142,M142,J142,V142)</f>
        <v>0</v>
      </c>
      <c r="X142" s="119">
        <v>0</v>
      </c>
      <c r="Y142" s="119">
        <f t="shared" ref="Y142:Y143" si="127">SUM(W142:X142)</f>
        <v>0</v>
      </c>
      <c r="AA142" s="366">
        <v>0.5</v>
      </c>
      <c r="AB142" s="366">
        <v>0.5</v>
      </c>
    </row>
    <row r="143" spans="1:28" hidden="1">
      <c r="A143" s="58"/>
      <c r="B143" s="58"/>
      <c r="C143" s="58"/>
      <c r="D143" s="58"/>
      <c r="E143" s="58" t="str">
        <f t="shared" si="103"/>
        <v xml:space="preserve">Administrative Assistant </v>
      </c>
      <c r="F143" s="287">
        <f>'LOE Breakdown by Year'!E24</f>
        <v>0</v>
      </c>
      <c r="G143" s="127" t="s">
        <v>221</v>
      </c>
      <c r="H143" s="119">
        <f t="shared" si="104"/>
        <v>3</v>
      </c>
      <c r="I143" s="119">
        <f t="shared" si="104"/>
        <v>1250</v>
      </c>
      <c r="J143" s="119">
        <f t="shared" si="121"/>
        <v>0</v>
      </c>
      <c r="K143" s="287">
        <f>'LOE Breakdown by Year'!E48</f>
        <v>0</v>
      </c>
      <c r="L143" s="119">
        <f t="shared" si="106"/>
        <v>12</v>
      </c>
      <c r="M143" s="119">
        <f t="shared" si="122"/>
        <v>0</v>
      </c>
      <c r="N143" s="287">
        <f>'LOE Breakdown by Year'!E72</f>
        <v>0</v>
      </c>
      <c r="O143" s="119">
        <f t="shared" si="107"/>
        <v>12</v>
      </c>
      <c r="P143" s="119">
        <f t="shared" si="123"/>
        <v>0</v>
      </c>
      <c r="Q143" s="287">
        <f>'LOE Breakdown by Year'!E96</f>
        <v>0</v>
      </c>
      <c r="R143" s="119">
        <f t="shared" si="109"/>
        <v>12</v>
      </c>
      <c r="S143" s="119">
        <f t="shared" si="124"/>
        <v>0</v>
      </c>
      <c r="T143" s="287">
        <f>'LOE Breakdown by Year'!E120</f>
        <v>0</v>
      </c>
      <c r="U143" s="119">
        <f t="shared" si="111"/>
        <v>9</v>
      </c>
      <c r="V143" s="119">
        <f t="shared" si="125"/>
        <v>0</v>
      </c>
      <c r="W143" s="119">
        <f t="shared" si="126"/>
        <v>0</v>
      </c>
      <c r="X143" s="119">
        <v>0</v>
      </c>
      <c r="Y143" s="119">
        <f t="shared" si="127"/>
        <v>0</v>
      </c>
      <c r="AA143" s="366">
        <v>0.5</v>
      </c>
      <c r="AB143" s="366">
        <v>0.5</v>
      </c>
    </row>
    <row r="144" spans="1:28">
      <c r="A144" s="109"/>
      <c r="B144" s="109"/>
      <c r="C144" s="109"/>
      <c r="D144" s="109"/>
      <c r="E144" s="109" t="s">
        <v>352</v>
      </c>
      <c r="F144" s="300"/>
      <c r="G144" s="123"/>
      <c r="H144" s="124"/>
      <c r="I144" s="124"/>
      <c r="J144" s="125">
        <f>SUM(J130:J143)</f>
        <v>69025</v>
      </c>
      <c r="K144" s="300"/>
      <c r="L144" s="125"/>
      <c r="M144" s="125">
        <f>SUM(M130:M143)</f>
        <v>18616</v>
      </c>
      <c r="N144" s="300"/>
      <c r="O144" s="125"/>
      <c r="P144" s="125">
        <f>SUM(P130:P143)</f>
        <v>0</v>
      </c>
      <c r="Q144" s="300"/>
      <c r="R144" s="125"/>
      <c r="S144" s="125">
        <f>SUM(S130:S143)</f>
        <v>0</v>
      </c>
      <c r="T144" s="300"/>
      <c r="U144" s="125"/>
      <c r="V144" s="125">
        <f>SUM(V130:V143)</f>
        <v>0</v>
      </c>
      <c r="W144" s="125">
        <f>SUM(W130:W143)</f>
        <v>87641</v>
      </c>
      <c r="X144" s="125">
        <f>SUM(X130:X143)</f>
        <v>0</v>
      </c>
      <c r="Y144" s="125">
        <f>SUM(Y130:Y143)</f>
        <v>87641</v>
      </c>
      <c r="AA144" s="366"/>
      <c r="AB144" s="366"/>
    </row>
    <row r="145" spans="1:28">
      <c r="A145" s="272"/>
      <c r="B145" s="272"/>
      <c r="C145" s="272"/>
      <c r="D145" s="272"/>
      <c r="E145" s="272"/>
      <c r="F145" s="301"/>
      <c r="G145" s="245"/>
      <c r="H145" s="154"/>
      <c r="I145" s="154"/>
      <c r="J145" s="154"/>
      <c r="K145" s="301"/>
      <c r="L145" s="154"/>
      <c r="M145" s="154"/>
      <c r="N145" s="301"/>
      <c r="O145" s="154"/>
      <c r="P145" s="154"/>
      <c r="Q145" s="301"/>
      <c r="R145" s="154"/>
      <c r="S145" s="154"/>
      <c r="T145" s="301"/>
      <c r="U145" s="154"/>
      <c r="V145" s="154"/>
      <c r="W145" s="154"/>
      <c r="X145" s="154"/>
      <c r="Y145" s="154"/>
      <c r="AA145" s="366"/>
      <c r="AB145" s="366"/>
    </row>
    <row r="146" spans="1:28">
      <c r="A146" s="109"/>
      <c r="B146" s="109"/>
      <c r="C146" s="109"/>
      <c r="D146" s="109"/>
      <c r="E146" s="109" t="s">
        <v>353</v>
      </c>
      <c r="F146" s="300"/>
      <c r="G146" s="123"/>
      <c r="H146" s="124"/>
      <c r="I146" s="124"/>
      <c r="J146" s="125"/>
      <c r="K146" s="300"/>
      <c r="L146" s="125"/>
      <c r="M146" s="125"/>
      <c r="N146" s="300"/>
      <c r="O146" s="125"/>
      <c r="P146" s="125"/>
      <c r="Q146" s="300"/>
      <c r="R146" s="125"/>
      <c r="S146" s="125"/>
      <c r="T146" s="300"/>
      <c r="U146" s="125"/>
      <c r="V146" s="125"/>
      <c r="W146" s="125"/>
      <c r="X146" s="125"/>
      <c r="Y146" s="125"/>
      <c r="AA146" s="366"/>
      <c r="AB146" s="366"/>
    </row>
    <row r="147" spans="1:28">
      <c r="A147" s="58" t="s">
        <v>354</v>
      </c>
      <c r="B147" s="58">
        <v>70015</v>
      </c>
      <c r="C147" s="58" t="s">
        <v>222</v>
      </c>
      <c r="D147" s="58">
        <v>0</v>
      </c>
      <c r="E147" s="58" t="str">
        <f>E35</f>
        <v>Fringe Benefits CCN - Colombia (above $2,600 monthly)</v>
      </c>
      <c r="F147" s="288"/>
      <c r="G147" s="246" t="s">
        <v>238</v>
      </c>
      <c r="H147" s="119"/>
      <c r="I147" s="438">
        <f>I35</f>
        <v>0.53864000000000001</v>
      </c>
      <c r="J147" s="119">
        <f>(J131+J132+J133+J134+J136+J138+J139+J140+J141)*$I$147</f>
        <v>16105.335999999999</v>
      </c>
      <c r="K147" s="288"/>
      <c r="L147" s="119"/>
      <c r="M147" s="119">
        <f>(M131+M132+M133+M134+M136+M138+M139+M140+M141)*$I$147</f>
        <v>5825.9302399999997</v>
      </c>
      <c r="N147" s="288"/>
      <c r="O147" s="119"/>
      <c r="P147" s="119">
        <f>(P131+P132+P133+P134+P136+P138+P139+P140+P141)*$I$147</f>
        <v>0</v>
      </c>
      <c r="Q147" s="288"/>
      <c r="R147" s="119"/>
      <c r="S147" s="119">
        <f>(S131+S132+S133+S134+S136+S138+S139+S140+S141)*$I$147</f>
        <v>0</v>
      </c>
      <c r="T147" s="288"/>
      <c r="U147" s="119"/>
      <c r="V147" s="119">
        <f>(V131+V132+V133+V134+V136+V138+V139+V140+V141)*$I$147</f>
        <v>0</v>
      </c>
      <c r="W147" s="119">
        <f t="shared" ref="W147:W150" si="128">SUM(S147,P147,M147,J147,V147)</f>
        <v>21931.266239999997</v>
      </c>
      <c r="X147" s="154">
        <v>0</v>
      </c>
      <c r="Y147" s="119">
        <f>SUM(W147:X147)</f>
        <v>21931.266239999997</v>
      </c>
      <c r="AA147" s="366">
        <v>0.5</v>
      </c>
      <c r="AB147" s="366">
        <v>0.5</v>
      </c>
    </row>
    <row r="148" spans="1:28">
      <c r="A148" s="58" t="s">
        <v>354</v>
      </c>
      <c r="B148" s="58">
        <v>70015</v>
      </c>
      <c r="C148" s="58" t="s">
        <v>222</v>
      </c>
      <c r="D148" s="58">
        <v>0</v>
      </c>
      <c r="E148" s="58" t="str">
        <f>E36</f>
        <v>Fringe Benefits CCN - Colombia (below $2,600 monthly)</v>
      </c>
      <c r="F148" s="288"/>
      <c r="G148" s="246" t="s">
        <v>238</v>
      </c>
      <c r="H148" s="119"/>
      <c r="I148" s="438">
        <f>I36</f>
        <v>0.40364</v>
      </c>
      <c r="J148" s="119">
        <f>(J137+J135+J142+J143)*$I$148</f>
        <v>655.91499999999996</v>
      </c>
      <c r="K148" s="288"/>
      <c r="L148" s="119"/>
      <c r="M148" s="119">
        <f>(M137+M135+M142+M143)*$I$148</f>
        <v>0</v>
      </c>
      <c r="N148" s="288"/>
      <c r="O148" s="119"/>
      <c r="P148" s="119">
        <f>(P137+P135+P142+P143)*$I$148</f>
        <v>0</v>
      </c>
      <c r="Q148" s="288"/>
      <c r="R148" s="119"/>
      <c r="S148" s="119">
        <f>(S137+S135+S142+S143)*$I$148</f>
        <v>0</v>
      </c>
      <c r="T148" s="288"/>
      <c r="U148" s="119"/>
      <c r="V148" s="119">
        <f>(V137+V135+V142+V143)*$I$148</f>
        <v>0</v>
      </c>
      <c r="W148" s="119">
        <f t="shared" si="128"/>
        <v>655.91499999999996</v>
      </c>
      <c r="X148" s="154">
        <v>0</v>
      </c>
      <c r="Y148" s="119">
        <f>SUM(W148:X148)</f>
        <v>655.91499999999996</v>
      </c>
      <c r="AA148" s="366">
        <v>0.5</v>
      </c>
      <c r="AB148" s="366">
        <v>0.5</v>
      </c>
    </row>
    <row r="149" spans="1:28">
      <c r="A149" s="510" t="s">
        <v>924</v>
      </c>
      <c r="B149" s="58">
        <v>50202</v>
      </c>
      <c r="C149" s="58" t="s">
        <v>219</v>
      </c>
      <c r="D149" s="58">
        <v>0</v>
      </c>
      <c r="E149" s="120" t="str">
        <f>E38</f>
        <v>Post (Hardship) Differential for Chief of Party</v>
      </c>
      <c r="F149" s="293"/>
      <c r="G149" s="246" t="s">
        <v>238</v>
      </c>
      <c r="I149" s="247">
        <f>I38</f>
        <v>0.1</v>
      </c>
      <c r="J149" s="248">
        <f>J130*$I$149</f>
        <v>3750</v>
      </c>
      <c r="K149" s="293"/>
      <c r="L149" s="248"/>
      <c r="M149" s="248">
        <f>M130*$I$149</f>
        <v>780</v>
      </c>
      <c r="N149" s="293"/>
      <c r="O149" s="248"/>
      <c r="P149" s="248">
        <f>P130*$I$149</f>
        <v>0</v>
      </c>
      <c r="Q149" s="293"/>
      <c r="R149" s="248"/>
      <c r="S149" s="248">
        <f>S130*$I$149</f>
        <v>0</v>
      </c>
      <c r="T149" s="293"/>
      <c r="U149" s="248"/>
      <c r="V149" s="248">
        <f>V130*$I$149</f>
        <v>0</v>
      </c>
      <c r="W149" s="119">
        <f t="shared" ref="W149" si="129">SUM(S149,P149,M149,J149,V149)</f>
        <v>4530</v>
      </c>
      <c r="X149" s="119" t="s">
        <v>243</v>
      </c>
      <c r="Y149" s="119">
        <f>SUM(W149:X149)</f>
        <v>4530</v>
      </c>
      <c r="AA149" s="366">
        <v>0.5</v>
      </c>
      <c r="AB149" s="366">
        <v>0.5</v>
      </c>
    </row>
    <row r="150" spans="1:28">
      <c r="A150" s="58" t="s">
        <v>354</v>
      </c>
      <c r="B150" s="58">
        <v>50900</v>
      </c>
      <c r="C150" s="58" t="s">
        <v>219</v>
      </c>
      <c r="D150" s="58">
        <v>0</v>
      </c>
      <c r="E150" s="120" t="str">
        <f>E39</f>
        <v>Fringe Benefits Package for Chief of Party</v>
      </c>
      <c r="F150" s="293"/>
      <c r="G150" s="246" t="s">
        <v>238</v>
      </c>
      <c r="I150" s="150">
        <f>I39</f>
        <v>0.56810000000000005</v>
      </c>
      <c r="J150" s="248">
        <f>J130*$I$150</f>
        <v>21303.750000000004</v>
      </c>
      <c r="K150" s="293"/>
      <c r="L150" s="248"/>
      <c r="M150" s="248">
        <f>M130*$I$150</f>
        <v>4431.18</v>
      </c>
      <c r="N150" s="293"/>
      <c r="O150" s="248"/>
      <c r="P150" s="248">
        <f>P130*$I$150</f>
        <v>0</v>
      </c>
      <c r="Q150" s="293"/>
      <c r="R150" s="248"/>
      <c r="S150" s="248">
        <f>S130*$I$150</f>
        <v>0</v>
      </c>
      <c r="T150" s="293"/>
      <c r="U150" s="248"/>
      <c r="V150" s="248">
        <f>V130*$I$150</f>
        <v>0</v>
      </c>
      <c r="W150" s="119">
        <f t="shared" si="128"/>
        <v>25734.930000000004</v>
      </c>
      <c r="X150" s="119" t="s">
        <v>243</v>
      </c>
      <c r="Y150" s="119">
        <f>SUM(W150:X150)</f>
        <v>25734.930000000004</v>
      </c>
      <c r="AA150" s="366">
        <v>0.5</v>
      </c>
      <c r="AB150" s="366">
        <v>0.5</v>
      </c>
    </row>
    <row r="151" spans="1:28">
      <c r="A151" s="109"/>
      <c r="B151" s="109"/>
      <c r="C151" s="109"/>
      <c r="D151" s="109"/>
      <c r="E151" s="109" t="s">
        <v>355</v>
      </c>
      <c r="F151" s="300"/>
      <c r="G151" s="123"/>
      <c r="H151" s="124"/>
      <c r="I151" s="124"/>
      <c r="J151" s="125">
        <f>SUM(J147:J150)</f>
        <v>41815.001000000004</v>
      </c>
      <c r="K151" s="300"/>
      <c r="L151" s="125"/>
      <c r="M151" s="125">
        <f>SUM(M147:M150)</f>
        <v>11037.11024</v>
      </c>
      <c r="N151" s="300"/>
      <c r="O151" s="125"/>
      <c r="P151" s="125">
        <f>SUM(P147:P150)</f>
        <v>0</v>
      </c>
      <c r="Q151" s="300"/>
      <c r="R151" s="125"/>
      <c r="S151" s="125">
        <f>SUM(S147:S150)</f>
        <v>0</v>
      </c>
      <c r="T151" s="300"/>
      <c r="U151" s="125"/>
      <c r="V151" s="125">
        <f>SUM(V147:V150)</f>
        <v>0</v>
      </c>
      <c r="W151" s="125">
        <f>SUM(W147:W150)</f>
        <v>52852.111239999998</v>
      </c>
      <c r="X151" s="125">
        <f>SUM(X147:X150)</f>
        <v>0</v>
      </c>
      <c r="Y151" s="125">
        <f>SUM(Y147:Y150)</f>
        <v>52852.111239999998</v>
      </c>
      <c r="AA151" s="366"/>
      <c r="AB151" s="366"/>
    </row>
    <row r="152" spans="1:28">
      <c r="A152" s="272"/>
      <c r="B152" s="272"/>
      <c r="C152" s="272"/>
      <c r="D152" s="272"/>
      <c r="E152" s="272"/>
      <c r="F152" s="301"/>
      <c r="G152" s="245"/>
      <c r="H152" s="154"/>
      <c r="I152" s="154"/>
      <c r="J152" s="154"/>
      <c r="K152" s="301"/>
      <c r="L152" s="154"/>
      <c r="M152" s="154"/>
      <c r="N152" s="301"/>
      <c r="O152" s="154"/>
      <c r="P152" s="154"/>
      <c r="Q152" s="301"/>
      <c r="R152" s="154"/>
      <c r="S152" s="154"/>
      <c r="T152" s="301"/>
      <c r="U152" s="154"/>
      <c r="V152" s="154"/>
      <c r="W152" s="154"/>
      <c r="X152" s="154"/>
      <c r="Y152" s="154"/>
      <c r="AA152" s="355"/>
      <c r="AB152" s="355"/>
    </row>
    <row r="153" spans="1:28">
      <c r="A153" s="109"/>
      <c r="B153" s="109"/>
      <c r="C153" s="109"/>
      <c r="D153" s="109"/>
      <c r="E153" s="109" t="s">
        <v>356</v>
      </c>
      <c r="F153" s="300"/>
      <c r="G153" s="123"/>
      <c r="H153" s="124"/>
      <c r="I153" s="124"/>
      <c r="J153" s="124"/>
      <c r="K153" s="300"/>
      <c r="L153" s="124"/>
      <c r="M153" s="124"/>
      <c r="N153" s="300"/>
      <c r="O153" s="124"/>
      <c r="P153" s="124"/>
      <c r="Q153" s="300"/>
      <c r="R153" s="124"/>
      <c r="S153" s="124"/>
      <c r="T153" s="300"/>
      <c r="U153" s="124"/>
      <c r="V153" s="124"/>
      <c r="W153" s="124"/>
      <c r="X153" s="124"/>
      <c r="Y153" s="124"/>
      <c r="AA153" s="366"/>
      <c r="AB153" s="366"/>
    </row>
    <row r="154" spans="1:28">
      <c r="A154" s="58" t="s">
        <v>357</v>
      </c>
      <c r="B154" s="58">
        <v>86000</v>
      </c>
      <c r="C154" s="58" t="s">
        <v>222</v>
      </c>
      <c r="D154" s="58">
        <v>0</v>
      </c>
      <c r="E154" s="58" t="s">
        <v>358</v>
      </c>
      <c r="G154" s="58" t="s">
        <v>255</v>
      </c>
      <c r="H154" s="119">
        <v>7</v>
      </c>
      <c r="I154" s="119">
        <v>25</v>
      </c>
      <c r="J154" s="119">
        <f>H154*I154</f>
        <v>175</v>
      </c>
      <c r="K154" s="296"/>
      <c r="L154" s="119">
        <v>6</v>
      </c>
      <c r="M154" s="119">
        <f>I154*L154*$F$7</f>
        <v>156</v>
      </c>
      <c r="N154" s="296"/>
      <c r="O154" s="119">
        <v>0</v>
      </c>
      <c r="P154" s="119">
        <f>I154*O154*$F$7*$F$7</f>
        <v>0</v>
      </c>
      <c r="Q154" s="296"/>
      <c r="R154" s="119">
        <v>0</v>
      </c>
      <c r="S154" s="119">
        <f>I154*R154*$F$7*$F$7*$F$7</f>
        <v>0</v>
      </c>
      <c r="T154" s="296"/>
      <c r="U154" s="119">
        <v>0</v>
      </c>
      <c r="V154" s="119">
        <f>I154*U154*$F$7*$F$7*$F$7*$F$7</f>
        <v>0</v>
      </c>
      <c r="W154" s="119">
        <f t="shared" ref="W154:W155" si="130">SUM(S154,P154,M154,J154,V154)</f>
        <v>331</v>
      </c>
      <c r="X154" s="119" t="s">
        <v>243</v>
      </c>
      <c r="Y154" s="119">
        <f>SUM(W154:X154)</f>
        <v>331</v>
      </c>
      <c r="AA154" s="366">
        <v>0.5</v>
      </c>
      <c r="AB154" s="366">
        <v>0.5</v>
      </c>
    </row>
    <row r="155" spans="1:28" ht="50.4">
      <c r="A155" s="58" t="s">
        <v>357</v>
      </c>
      <c r="B155" s="120" t="s">
        <v>257</v>
      </c>
      <c r="C155" s="58" t="s">
        <v>222</v>
      </c>
      <c r="D155" s="58">
        <v>0</v>
      </c>
      <c r="E155" s="58" t="s">
        <v>359</v>
      </c>
      <c r="G155" s="58" t="s">
        <v>259</v>
      </c>
      <c r="H155" s="119">
        <f>H154*10</f>
        <v>70</v>
      </c>
      <c r="I155" s="119">
        <v>100</v>
      </c>
      <c r="J155" s="119">
        <f>H155*I155</f>
        <v>7000</v>
      </c>
      <c r="K155" s="296"/>
      <c r="L155" s="119">
        <f>10*L154</f>
        <v>60</v>
      </c>
      <c r="M155" s="119">
        <f>I155*L155*$F$7</f>
        <v>6240</v>
      </c>
      <c r="N155" s="296"/>
      <c r="O155" s="119">
        <f>20*O154</f>
        <v>0</v>
      </c>
      <c r="P155" s="119">
        <f>I155*O155*$F$7*$F$7</f>
        <v>0</v>
      </c>
      <c r="Q155" s="296"/>
      <c r="R155" s="119">
        <f>20*R154</f>
        <v>0</v>
      </c>
      <c r="S155" s="119">
        <f>I155*R155*$F$7*$F$7*$F$7</f>
        <v>0</v>
      </c>
      <c r="T155" s="296"/>
      <c r="U155" s="119">
        <f>20*U154</f>
        <v>0</v>
      </c>
      <c r="V155" s="119">
        <f>I155*U155*$F$7*$F$7*$F$7*$F$7</f>
        <v>0</v>
      </c>
      <c r="W155" s="119">
        <f t="shared" si="130"/>
        <v>13240</v>
      </c>
      <c r="X155" s="119" t="s">
        <v>243</v>
      </c>
      <c r="Y155" s="119">
        <f>SUM(W155:X155)</f>
        <v>13240</v>
      </c>
      <c r="AA155" s="366">
        <v>0.5</v>
      </c>
      <c r="AB155" s="366">
        <v>0.5</v>
      </c>
    </row>
    <row r="156" spans="1:28">
      <c r="A156" s="109"/>
      <c r="B156" s="109"/>
      <c r="C156" s="109"/>
      <c r="D156" s="109"/>
      <c r="E156" s="109" t="s">
        <v>360</v>
      </c>
      <c r="F156" s="300"/>
      <c r="G156" s="123"/>
      <c r="H156" s="124"/>
      <c r="I156" s="124"/>
      <c r="J156" s="125">
        <f>SUM(J154:J155)</f>
        <v>7175</v>
      </c>
      <c r="K156" s="300"/>
      <c r="L156" s="125"/>
      <c r="M156" s="125">
        <f>SUM(M154:M155)</f>
        <v>6396</v>
      </c>
      <c r="N156" s="300"/>
      <c r="O156" s="125"/>
      <c r="P156" s="125">
        <f>SUM(P154:P155)</f>
        <v>0</v>
      </c>
      <c r="Q156" s="300"/>
      <c r="R156" s="125"/>
      <c r="S156" s="125">
        <f>SUM(S154:S155)</f>
        <v>0</v>
      </c>
      <c r="T156" s="300"/>
      <c r="U156" s="125"/>
      <c r="V156" s="125">
        <f>SUM(V154:V155)</f>
        <v>0</v>
      </c>
      <c r="W156" s="125">
        <f>SUM(W154:W155)</f>
        <v>13571</v>
      </c>
      <c r="X156" s="125">
        <f>SUM(X154:X155)</f>
        <v>0</v>
      </c>
      <c r="Y156" s="125">
        <f>SUM(Y154:Y155)</f>
        <v>13571</v>
      </c>
      <c r="AA156" s="366"/>
      <c r="AB156" s="366"/>
    </row>
    <row r="157" spans="1:28">
      <c r="A157" s="272"/>
      <c r="B157" s="272"/>
      <c r="C157" s="272"/>
      <c r="D157" s="272"/>
      <c r="E157" s="272"/>
      <c r="F157" s="301"/>
      <c r="G157" s="245"/>
      <c r="H157" s="154"/>
      <c r="I157" s="154"/>
      <c r="J157" s="273"/>
      <c r="K157" s="301"/>
      <c r="L157" s="273"/>
      <c r="M157" s="273"/>
      <c r="N157" s="301"/>
      <c r="O157" s="273"/>
      <c r="P157" s="273"/>
      <c r="Q157" s="301"/>
      <c r="R157" s="273"/>
      <c r="S157" s="273"/>
      <c r="T157" s="301"/>
      <c r="U157" s="273"/>
      <c r="V157" s="273"/>
      <c r="W157" s="273"/>
      <c r="X157" s="273"/>
      <c r="Y157" s="273"/>
      <c r="AA157" s="355"/>
      <c r="AB157" s="355"/>
    </row>
    <row r="158" spans="1:28">
      <c r="A158" s="109"/>
      <c r="B158" s="109"/>
      <c r="C158" s="109"/>
      <c r="D158" s="109"/>
      <c r="E158" s="109" t="s">
        <v>361</v>
      </c>
      <c r="F158" s="300"/>
      <c r="G158" s="123"/>
      <c r="H158" s="124"/>
      <c r="I158" s="124"/>
      <c r="J158" s="124"/>
      <c r="K158" s="300"/>
      <c r="L158" s="124"/>
      <c r="M158" s="124"/>
      <c r="N158" s="300"/>
      <c r="O158" s="124"/>
      <c r="P158" s="124"/>
      <c r="Q158" s="300"/>
      <c r="R158" s="124"/>
      <c r="S158" s="124"/>
      <c r="T158" s="300"/>
      <c r="U158" s="124"/>
      <c r="V158" s="124"/>
      <c r="W158" s="124"/>
      <c r="X158" s="124"/>
      <c r="Y158" s="124"/>
      <c r="AA158" s="366"/>
      <c r="AB158" s="366"/>
    </row>
    <row r="159" spans="1:28">
      <c r="A159" s="120" t="s">
        <v>362</v>
      </c>
      <c r="B159" s="120">
        <v>96000</v>
      </c>
      <c r="C159" s="120" t="s">
        <v>219</v>
      </c>
      <c r="D159" s="120">
        <v>0</v>
      </c>
      <c r="E159" s="120" t="s">
        <v>363</v>
      </c>
      <c r="G159" s="126" t="s">
        <v>364</v>
      </c>
      <c r="H159" s="119">
        <f>2*5*8</f>
        <v>80</v>
      </c>
      <c r="I159" s="119">
        <f>522/8</f>
        <v>65.25</v>
      </c>
      <c r="J159" s="119">
        <v>0</v>
      </c>
      <c r="K159" s="296"/>
      <c r="L159" s="119">
        <f>2*5*8</f>
        <v>80</v>
      </c>
      <c r="M159" s="119">
        <v>0</v>
      </c>
      <c r="N159" s="296"/>
      <c r="O159" s="119">
        <v>0</v>
      </c>
      <c r="P159" s="119">
        <v>0</v>
      </c>
      <c r="Q159" s="296"/>
      <c r="R159" s="119">
        <v>0</v>
      </c>
      <c r="S159" s="119">
        <v>0</v>
      </c>
      <c r="T159" s="296"/>
      <c r="U159" s="119">
        <v>0</v>
      </c>
      <c r="V159" s="119">
        <v>0</v>
      </c>
      <c r="W159" s="119">
        <f>SUM(S159,P159,M159,J159,V159)</f>
        <v>0</v>
      </c>
      <c r="X159" s="119">
        <f>(H159*I159)+(L159*I159)+(O159*I159)+(I159*R159)+(U159*I159)</f>
        <v>10440</v>
      </c>
      <c r="Y159" s="360">
        <f>SUM(W159:X159)</f>
        <v>10440</v>
      </c>
      <c r="AA159" s="366">
        <v>0.5</v>
      </c>
      <c r="AB159" s="366">
        <v>0.5</v>
      </c>
    </row>
    <row r="160" spans="1:28">
      <c r="A160" s="120" t="s">
        <v>362</v>
      </c>
      <c r="B160" s="120">
        <v>96000</v>
      </c>
      <c r="C160" s="120" t="s">
        <v>219</v>
      </c>
      <c r="D160" s="120">
        <v>0</v>
      </c>
      <c r="E160" s="58" t="s">
        <v>365</v>
      </c>
      <c r="G160" s="126" t="s">
        <v>221</v>
      </c>
      <c r="H160" s="119">
        <v>6</v>
      </c>
      <c r="I160" s="119">
        <v>10556</v>
      </c>
      <c r="J160" s="119">
        <v>0</v>
      </c>
      <c r="K160" s="296"/>
      <c r="L160" s="119">
        <v>3</v>
      </c>
      <c r="M160" s="119">
        <v>0</v>
      </c>
      <c r="N160" s="296"/>
      <c r="O160" s="119">
        <v>0</v>
      </c>
      <c r="P160" s="119">
        <v>0</v>
      </c>
      <c r="Q160" s="296"/>
      <c r="R160" s="119">
        <v>0</v>
      </c>
      <c r="S160" s="119">
        <v>0</v>
      </c>
      <c r="T160" s="296"/>
      <c r="U160" s="119">
        <v>0</v>
      </c>
      <c r="V160" s="119">
        <v>0</v>
      </c>
      <c r="W160" s="119">
        <f>SUM(S160,P160,M160,J160,V160)</f>
        <v>0</v>
      </c>
      <c r="X160" s="119">
        <f>(H160*I160)+(L160*I160)+(O160*I160)+(I160*R160)+(U160*I160)</f>
        <v>95004</v>
      </c>
      <c r="Y160" s="360">
        <f>SUM(W160:X160)</f>
        <v>95004</v>
      </c>
      <c r="AA160" s="366">
        <v>0.5</v>
      </c>
      <c r="AB160" s="366">
        <v>0.5</v>
      </c>
    </row>
    <row r="161" spans="1:28">
      <c r="A161" s="109"/>
      <c r="B161" s="109"/>
      <c r="C161" s="109"/>
      <c r="D161" s="109"/>
      <c r="E161" s="109" t="s">
        <v>366</v>
      </c>
      <c r="F161" s="300"/>
      <c r="G161" s="123"/>
      <c r="H161" s="124"/>
      <c r="I161" s="125"/>
      <c r="J161" s="125">
        <f>SUM(J159:J160)</f>
        <v>0</v>
      </c>
      <c r="K161" s="300"/>
      <c r="L161" s="125"/>
      <c r="M161" s="125">
        <f>SUM(M159:M160)</f>
        <v>0</v>
      </c>
      <c r="N161" s="300"/>
      <c r="O161" s="125"/>
      <c r="P161" s="125">
        <f>SUM(P159:P160)</f>
        <v>0</v>
      </c>
      <c r="Q161" s="300"/>
      <c r="R161" s="125"/>
      <c r="S161" s="125">
        <f>SUM(S159:S160)</f>
        <v>0</v>
      </c>
      <c r="T161" s="300"/>
      <c r="U161" s="125"/>
      <c r="V161" s="125">
        <f>SUM(V159:V160)</f>
        <v>0</v>
      </c>
      <c r="W161" s="125">
        <f>SUM(W159:W160)</f>
        <v>0</v>
      </c>
      <c r="X161" s="125">
        <f>SUM(X159:X160)</f>
        <v>105444</v>
      </c>
      <c r="Y161" s="125">
        <f>SUM(Y159:Y160)</f>
        <v>105444</v>
      </c>
      <c r="Z161" s="142"/>
      <c r="AA161" s="366"/>
      <c r="AB161" s="366"/>
    </row>
    <row r="162" spans="1:28">
      <c r="A162" s="272"/>
      <c r="B162" s="272"/>
      <c r="C162" s="272"/>
      <c r="D162" s="272"/>
      <c r="E162" s="272"/>
      <c r="F162" s="301"/>
      <c r="G162" s="245"/>
      <c r="H162" s="154"/>
      <c r="I162" s="154"/>
      <c r="J162" s="273"/>
      <c r="K162" s="301"/>
      <c r="L162" s="273"/>
      <c r="M162" s="273"/>
      <c r="N162" s="301"/>
      <c r="O162" s="273"/>
      <c r="P162" s="273"/>
      <c r="Q162" s="301"/>
      <c r="R162" s="273"/>
      <c r="S162" s="273"/>
      <c r="T162" s="301"/>
      <c r="U162" s="273"/>
      <c r="V162" s="273"/>
      <c r="W162" s="273"/>
      <c r="X162" s="273"/>
      <c r="Y162" s="273"/>
      <c r="AA162" s="355"/>
      <c r="AB162" s="355"/>
    </row>
    <row r="163" spans="1:28" ht="12.9" thickBot="1">
      <c r="A163" s="143"/>
      <c r="B163" s="143"/>
      <c r="C163" s="143"/>
      <c r="D163" s="143"/>
      <c r="E163" s="143" t="s">
        <v>178</v>
      </c>
      <c r="F163" s="294"/>
      <c r="G163" s="143"/>
      <c r="H163" s="162"/>
      <c r="I163" s="162"/>
      <c r="J163" s="157">
        <f>SUM(J161+J156+J151+J144)</f>
        <v>118015.001</v>
      </c>
      <c r="K163" s="294"/>
      <c r="L163" s="157"/>
      <c r="M163" s="157">
        <f>SUM(M161+M156+M151+M144)</f>
        <v>36049.110240000002</v>
      </c>
      <c r="N163" s="294"/>
      <c r="O163" s="157"/>
      <c r="P163" s="157">
        <f>SUM(P161+P156+P151+P144)</f>
        <v>0</v>
      </c>
      <c r="Q163" s="294"/>
      <c r="R163" s="157"/>
      <c r="S163" s="157">
        <f>SUM(S161+S156+S151+S144)</f>
        <v>0</v>
      </c>
      <c r="T163" s="294"/>
      <c r="U163" s="157"/>
      <c r="V163" s="157">
        <f>SUM(V161+V156+V151+V144)</f>
        <v>0</v>
      </c>
      <c r="W163" s="157">
        <f>SUM(W161+W156+W151+W144)</f>
        <v>154064.11124</v>
      </c>
      <c r="X163" s="157">
        <f>SUM(X161+X156+X151+X144)</f>
        <v>105444</v>
      </c>
      <c r="Y163" s="157">
        <f>SUM(Y161+Y156+Y151+Y144)</f>
        <v>259508.11124</v>
      </c>
      <c r="AA163" s="161">
        <f>SUMPRODUCT(W130:W143,AA130:AA143)+SUMPRODUCT(W147:W150,AA147:AA150)+SUMPRODUCT(W154:W155,AA154:AA155)+SUMPRODUCT(W159:W160,AA159:AA160)</f>
        <v>77032.055619999999</v>
      </c>
      <c r="AB163" s="161">
        <f>SUMPRODUCT(W130:W143,AB130:AB143)+SUMPRODUCT(W147:W150,AB147:AB150)+SUMPRODUCT(W154:W155,AB154:AB155)+SUMPRODUCT(W159:W160,AB159:AB160)</f>
        <v>77032.055619999999</v>
      </c>
    </row>
    <row r="164" spans="1:28">
      <c r="A164" s="245"/>
      <c r="B164" s="245"/>
      <c r="C164" s="245"/>
      <c r="D164" s="245"/>
      <c r="E164" s="245"/>
      <c r="F164" s="291"/>
      <c r="G164" s="245"/>
      <c r="H164" s="154"/>
      <c r="I164" s="154"/>
      <c r="J164" s="154"/>
      <c r="K164" s="291"/>
      <c r="L164" s="154"/>
      <c r="M164" s="154"/>
      <c r="N164" s="291"/>
      <c r="O164" s="154"/>
      <c r="P164" s="154"/>
      <c r="Q164" s="291"/>
      <c r="R164" s="154"/>
      <c r="S164" s="154"/>
      <c r="T164" s="291"/>
      <c r="U164" s="154"/>
      <c r="V164" s="154"/>
      <c r="W164" s="154"/>
      <c r="X164" s="154"/>
      <c r="Y164" s="154"/>
    </row>
    <row r="165" spans="1:28">
      <c r="A165" s="266"/>
      <c r="B165" s="266"/>
      <c r="C165" s="266"/>
      <c r="D165" s="266"/>
      <c r="E165" s="266" t="str">
        <f>'USDA Budget Summary'!A29</f>
        <v>Activity 2: Producer Organization Development &amp; Commercialization</v>
      </c>
      <c r="F165" s="298"/>
      <c r="G165" s="106"/>
      <c r="H165" s="106"/>
      <c r="I165" s="107"/>
      <c r="J165" s="267"/>
      <c r="K165" s="298"/>
      <c r="L165" s="267"/>
      <c r="M165" s="267"/>
      <c r="N165" s="298"/>
      <c r="O165" s="267"/>
      <c r="P165" s="267"/>
      <c r="Q165" s="298"/>
      <c r="R165" s="267"/>
      <c r="S165" s="267"/>
      <c r="T165" s="298"/>
      <c r="U165" s="267"/>
      <c r="V165" s="267"/>
      <c r="W165" s="267"/>
      <c r="X165" s="268"/>
      <c r="Y165" s="267"/>
    </row>
    <row r="166" spans="1:28">
      <c r="A166" s="269"/>
      <c r="B166" s="269"/>
      <c r="C166" s="269"/>
      <c r="D166" s="269"/>
      <c r="E166" s="269" t="s">
        <v>349</v>
      </c>
      <c r="F166" s="299"/>
      <c r="G166" s="270"/>
      <c r="H166" s="271"/>
      <c r="I166" s="271"/>
      <c r="J166" s="271"/>
      <c r="K166" s="299"/>
      <c r="L166" s="271"/>
      <c r="M166" s="271"/>
      <c r="N166" s="299"/>
      <c r="O166" s="271"/>
      <c r="P166" s="271"/>
      <c r="Q166" s="299"/>
      <c r="R166" s="271"/>
      <c r="S166" s="271"/>
      <c r="T166" s="299"/>
      <c r="U166" s="271"/>
      <c r="V166" s="271"/>
      <c r="W166" s="271"/>
      <c r="X166" s="271"/>
      <c r="Y166" s="271"/>
    </row>
    <row r="167" spans="1:28">
      <c r="A167" s="109"/>
      <c r="B167" s="109"/>
      <c r="C167" s="109"/>
      <c r="D167" s="109"/>
      <c r="E167" s="109" t="s">
        <v>367</v>
      </c>
      <c r="F167" s="300"/>
      <c r="G167" s="123"/>
      <c r="H167" s="124"/>
      <c r="I167" s="124"/>
      <c r="J167" s="124"/>
      <c r="K167" s="300"/>
      <c r="L167" s="124"/>
      <c r="M167" s="124"/>
      <c r="N167" s="300"/>
      <c r="O167" s="124"/>
      <c r="P167" s="124"/>
      <c r="Q167" s="300"/>
      <c r="R167" s="124"/>
      <c r="S167" s="124"/>
      <c r="T167" s="300"/>
      <c r="U167" s="124"/>
      <c r="V167" s="124"/>
      <c r="W167" s="124"/>
      <c r="X167" s="124"/>
      <c r="Y167" s="124"/>
    </row>
    <row r="168" spans="1:28">
      <c r="A168" s="58" t="s">
        <v>368</v>
      </c>
      <c r="B168" s="58">
        <v>50000</v>
      </c>
      <c r="C168" s="58" t="s">
        <v>219</v>
      </c>
      <c r="D168" s="58">
        <v>0</v>
      </c>
      <c r="E168" s="58" t="str">
        <f t="shared" ref="E168:E181" si="131">E13</f>
        <v xml:space="preserve">Key Personnel: Chief of Party </v>
      </c>
      <c r="F168" s="287">
        <f>'LOE Breakdown by Year'!F11</f>
        <v>0.15</v>
      </c>
      <c r="G168" s="127" t="s">
        <v>221</v>
      </c>
      <c r="H168" s="119">
        <f t="shared" ref="H168:I181" si="132">H13</f>
        <v>12</v>
      </c>
      <c r="I168" s="119">
        <f t="shared" si="132"/>
        <v>12500</v>
      </c>
      <c r="J168" s="119">
        <f>H168*I168*F168</f>
        <v>22500</v>
      </c>
      <c r="K168" s="287">
        <f>'LOE Breakdown by Year'!F35</f>
        <v>0.15</v>
      </c>
      <c r="L168" s="119">
        <f t="shared" ref="L168:L181" si="133">L13</f>
        <v>12</v>
      </c>
      <c r="M168" s="119">
        <f>L168*I168*$F$8*$K168</f>
        <v>23400</v>
      </c>
      <c r="N168" s="287">
        <f>'LOE Breakdown by Year'!F59</f>
        <v>0.15</v>
      </c>
      <c r="O168" s="119">
        <f t="shared" ref="O168:O181" si="134">O13</f>
        <v>12</v>
      </c>
      <c r="P168" s="119">
        <f t="shared" ref="P168:P179" si="135">O168*I168*$N168*$F$8*$F$8</f>
        <v>24336</v>
      </c>
      <c r="Q168" s="287">
        <f>'LOE Breakdown by Year'!F83</f>
        <v>0.15</v>
      </c>
      <c r="R168" s="119">
        <f t="shared" ref="R168:R181" si="136">R13</f>
        <v>12</v>
      </c>
      <c r="S168" s="119">
        <f t="shared" ref="S168" si="137">R168*I168*$Q168*$F$8*$F$8*$F$8</f>
        <v>25309.440000000002</v>
      </c>
      <c r="T168" s="287">
        <f>'LOE Breakdown by Year'!F107</f>
        <v>0.05</v>
      </c>
      <c r="U168" s="119">
        <f t="shared" ref="U168:U181" si="138">U13</f>
        <v>12</v>
      </c>
      <c r="V168" s="119">
        <f t="shared" ref="V168" si="139">U168*I168*$T168*$F$8*$F$8*$F$8*$F$8</f>
        <v>8773.9392000000007</v>
      </c>
      <c r="W168" s="119">
        <f t="shared" ref="W168" si="140">SUM(S168,P168,M168,J168,V168)</f>
        <v>104319.3792</v>
      </c>
      <c r="X168" s="119">
        <v>0</v>
      </c>
      <c r="Y168" s="119">
        <f t="shared" ref="Y168" si="141">SUM(W168:X168)</f>
        <v>104319.3792</v>
      </c>
      <c r="AA168" s="366">
        <v>0.5</v>
      </c>
      <c r="AB168" s="366">
        <v>0.5</v>
      </c>
    </row>
    <row r="169" spans="1:28">
      <c r="A169" s="58" t="s">
        <v>368</v>
      </c>
      <c r="B169" s="58">
        <v>70000</v>
      </c>
      <c r="C169" s="58" t="s">
        <v>222</v>
      </c>
      <c r="D169" s="58">
        <v>0</v>
      </c>
      <c r="E169" s="58" t="str">
        <f t="shared" si="131"/>
        <v>Key Personnel: Technical Director</v>
      </c>
      <c r="F169" s="287">
        <f>'LOE Breakdown by Year'!F12</f>
        <v>0.25</v>
      </c>
      <c r="G169" s="127" t="s">
        <v>221</v>
      </c>
      <c r="H169" s="119">
        <f t="shared" si="132"/>
        <v>8</v>
      </c>
      <c r="I169" s="119">
        <f t="shared" si="132"/>
        <v>5833.333333333333</v>
      </c>
      <c r="J169" s="119">
        <f t="shared" ref="J169:J179" si="142">H169*I169*F169</f>
        <v>11666.666666666666</v>
      </c>
      <c r="K169" s="287">
        <f>'LOE Breakdown by Year'!F36</f>
        <v>0.25</v>
      </c>
      <c r="L169" s="119">
        <f t="shared" si="133"/>
        <v>12</v>
      </c>
      <c r="M169" s="119">
        <f t="shared" ref="M169:M179" si="143">L169*I169*$F$8*$K169</f>
        <v>18200</v>
      </c>
      <c r="N169" s="287">
        <f>'LOE Breakdown by Year'!F60</f>
        <v>0.25</v>
      </c>
      <c r="O169" s="119">
        <f t="shared" si="134"/>
        <v>12</v>
      </c>
      <c r="P169" s="119">
        <f t="shared" si="135"/>
        <v>18928</v>
      </c>
      <c r="Q169" s="287">
        <f>'LOE Breakdown by Year'!F84</f>
        <v>0.25</v>
      </c>
      <c r="R169" s="119">
        <f t="shared" si="136"/>
        <v>12</v>
      </c>
      <c r="S169" s="119">
        <f t="shared" ref="S169:S179" si="144">R169*I169*$Q169*$F$8*$F$8*$F$8</f>
        <v>19685.12</v>
      </c>
      <c r="T169" s="287">
        <f>'LOE Breakdown by Year'!F108</f>
        <v>0.25</v>
      </c>
      <c r="U169" s="119">
        <f t="shared" si="138"/>
        <v>12</v>
      </c>
      <c r="V169" s="119">
        <f t="shared" ref="V169:V179" si="145">U169*I169*$T169*$F$8*$F$8*$F$8*$F$8</f>
        <v>20472.524799999999</v>
      </c>
      <c r="W169" s="119">
        <f t="shared" ref="W169:W179" si="146">SUM(S169,P169,M169,J169,V169)</f>
        <v>88952.311466666666</v>
      </c>
      <c r="X169" s="119">
        <v>0</v>
      </c>
      <c r="Y169" s="119">
        <f t="shared" ref="Y169:Y179" si="147">SUM(W169:X169)</f>
        <v>88952.311466666666</v>
      </c>
      <c r="AA169" s="366">
        <v>0.5</v>
      </c>
      <c r="AB169" s="366">
        <v>0.5</v>
      </c>
    </row>
    <row r="170" spans="1:28" hidden="1">
      <c r="A170" s="58" t="s">
        <v>368</v>
      </c>
      <c r="B170" s="58">
        <v>70000</v>
      </c>
      <c r="C170" s="58" t="s">
        <v>222</v>
      </c>
      <c r="D170" s="58"/>
      <c r="E170" s="58" t="str">
        <f t="shared" si="131"/>
        <v xml:space="preserve">F&amp;A Director </v>
      </c>
      <c r="F170" s="287">
        <f>'LOE Breakdown by Year'!F13</f>
        <v>0</v>
      </c>
      <c r="G170" s="127" t="s">
        <v>221</v>
      </c>
      <c r="H170" s="119">
        <f t="shared" si="132"/>
        <v>8</v>
      </c>
      <c r="I170" s="119">
        <f t="shared" si="132"/>
        <v>3833.3333333333335</v>
      </c>
      <c r="J170" s="119">
        <f t="shared" si="142"/>
        <v>0</v>
      </c>
      <c r="K170" s="287">
        <f>'LOE Breakdown by Year'!F37</f>
        <v>0</v>
      </c>
      <c r="L170" s="119">
        <f t="shared" si="133"/>
        <v>12</v>
      </c>
      <c r="M170" s="119">
        <f t="shared" si="143"/>
        <v>0</v>
      </c>
      <c r="N170" s="287">
        <f>'LOE Breakdown by Year'!F61</f>
        <v>0</v>
      </c>
      <c r="O170" s="119">
        <f t="shared" si="134"/>
        <v>12</v>
      </c>
      <c r="P170" s="119">
        <f t="shared" si="135"/>
        <v>0</v>
      </c>
      <c r="Q170" s="287">
        <f>'LOE Breakdown by Year'!F85</f>
        <v>0</v>
      </c>
      <c r="R170" s="119">
        <f t="shared" si="136"/>
        <v>12</v>
      </c>
      <c r="S170" s="119">
        <f t="shared" si="144"/>
        <v>0</v>
      </c>
      <c r="T170" s="287">
        <f>'LOE Breakdown by Year'!F109</f>
        <v>0</v>
      </c>
      <c r="U170" s="119">
        <f t="shared" si="138"/>
        <v>12</v>
      </c>
      <c r="V170" s="119">
        <f t="shared" si="145"/>
        <v>0</v>
      </c>
      <c r="W170" s="119">
        <f t="shared" si="146"/>
        <v>0</v>
      </c>
      <c r="X170" s="119">
        <v>0</v>
      </c>
      <c r="Y170" s="119">
        <f t="shared" si="147"/>
        <v>0</v>
      </c>
      <c r="AA170" s="366">
        <v>0.5</v>
      </c>
      <c r="AB170" s="366">
        <v>0.5</v>
      </c>
    </row>
    <row r="171" spans="1:28">
      <c r="A171" s="58" t="s">
        <v>368</v>
      </c>
      <c r="B171" s="58">
        <v>70000</v>
      </c>
      <c r="C171" s="58" t="s">
        <v>222</v>
      </c>
      <c r="D171" s="58">
        <v>0</v>
      </c>
      <c r="E171" s="58" t="str">
        <f t="shared" si="131"/>
        <v xml:space="preserve">M&amp;E Director </v>
      </c>
      <c r="F171" s="287">
        <f>'LOE Breakdown by Year'!F14</f>
        <v>0.2</v>
      </c>
      <c r="G171" s="127" t="s">
        <v>221</v>
      </c>
      <c r="H171" s="119">
        <f t="shared" si="132"/>
        <v>8</v>
      </c>
      <c r="I171" s="119">
        <f t="shared" si="132"/>
        <v>3833.3333333333335</v>
      </c>
      <c r="J171" s="119">
        <f t="shared" si="142"/>
        <v>6133.3333333333339</v>
      </c>
      <c r="K171" s="287">
        <f>'LOE Breakdown by Year'!F38</f>
        <v>0.2</v>
      </c>
      <c r="L171" s="119">
        <f t="shared" si="133"/>
        <v>12</v>
      </c>
      <c r="M171" s="119">
        <f t="shared" si="143"/>
        <v>9568</v>
      </c>
      <c r="N171" s="287">
        <f>'LOE Breakdown by Year'!F62</f>
        <v>0.2</v>
      </c>
      <c r="O171" s="119">
        <f t="shared" si="134"/>
        <v>12</v>
      </c>
      <c r="P171" s="119">
        <f t="shared" si="135"/>
        <v>9950.7200000000012</v>
      </c>
      <c r="Q171" s="287">
        <f>'LOE Breakdown by Year'!F86</f>
        <v>0.2</v>
      </c>
      <c r="R171" s="119">
        <f t="shared" si="136"/>
        <v>12</v>
      </c>
      <c r="S171" s="119">
        <f t="shared" si="144"/>
        <v>10348.748800000001</v>
      </c>
      <c r="T171" s="287">
        <f>'LOE Breakdown by Year'!F110</f>
        <v>0.2</v>
      </c>
      <c r="U171" s="119">
        <f t="shared" si="138"/>
        <v>12</v>
      </c>
      <c r="V171" s="119">
        <f t="shared" si="145"/>
        <v>10762.698752000002</v>
      </c>
      <c r="W171" s="119">
        <f t="shared" si="146"/>
        <v>46763.500885333342</v>
      </c>
      <c r="X171" s="119">
        <v>0</v>
      </c>
      <c r="Y171" s="119">
        <f t="shared" si="147"/>
        <v>46763.500885333342</v>
      </c>
      <c r="AA171" s="366">
        <v>0.5</v>
      </c>
      <c r="AB171" s="366">
        <v>0.5</v>
      </c>
    </row>
    <row r="172" spans="1:28">
      <c r="A172" s="58" t="s">
        <v>368</v>
      </c>
      <c r="B172" s="58">
        <v>70000</v>
      </c>
      <c r="C172" s="58" t="s">
        <v>222</v>
      </c>
      <c r="D172" s="58">
        <v>0</v>
      </c>
      <c r="E172" s="58" t="str">
        <f t="shared" si="131"/>
        <v>M&amp;E Mid-level Specialist</v>
      </c>
      <c r="F172" s="287">
        <f>'LOE Breakdown by Year'!F15</f>
        <v>0.2</v>
      </c>
      <c r="G172" s="127" t="s">
        <v>221</v>
      </c>
      <c r="H172" s="119">
        <f t="shared" si="132"/>
        <v>7</v>
      </c>
      <c r="I172" s="119">
        <f t="shared" si="132"/>
        <v>2666.6666666666665</v>
      </c>
      <c r="J172" s="119">
        <f t="shared" si="142"/>
        <v>3733.333333333333</v>
      </c>
      <c r="K172" s="287">
        <f>'LOE Breakdown by Year'!F39</f>
        <v>0.2</v>
      </c>
      <c r="L172" s="119">
        <f t="shared" si="133"/>
        <v>12</v>
      </c>
      <c r="M172" s="119">
        <f t="shared" si="143"/>
        <v>6656</v>
      </c>
      <c r="N172" s="287">
        <f>'LOE Breakdown by Year'!F63</f>
        <v>0.2</v>
      </c>
      <c r="O172" s="119">
        <f t="shared" si="134"/>
        <v>12</v>
      </c>
      <c r="P172" s="119">
        <f t="shared" si="135"/>
        <v>6922.24</v>
      </c>
      <c r="Q172" s="287">
        <f>'LOE Breakdown by Year'!F87</f>
        <v>0.2</v>
      </c>
      <c r="R172" s="119">
        <f t="shared" si="136"/>
        <v>12</v>
      </c>
      <c r="S172" s="119">
        <f t="shared" si="144"/>
        <v>7199.1296000000002</v>
      </c>
      <c r="T172" s="287">
        <f>'LOE Breakdown by Year'!F111</f>
        <v>0.25</v>
      </c>
      <c r="U172" s="119">
        <f t="shared" si="138"/>
        <v>9</v>
      </c>
      <c r="V172" s="119">
        <f t="shared" si="145"/>
        <v>7019.1513600000008</v>
      </c>
      <c r="W172" s="119">
        <f t="shared" si="146"/>
        <v>31529.85429333333</v>
      </c>
      <c r="X172" s="119">
        <v>0</v>
      </c>
      <c r="Y172" s="119">
        <f t="shared" si="147"/>
        <v>31529.85429333333</v>
      </c>
      <c r="AA172" s="366">
        <v>0.5</v>
      </c>
      <c r="AB172" s="366">
        <v>0.5</v>
      </c>
    </row>
    <row r="173" spans="1:28">
      <c r="A173" s="58" t="s">
        <v>368</v>
      </c>
      <c r="B173" s="58">
        <v>70000</v>
      </c>
      <c r="C173" s="58" t="s">
        <v>222</v>
      </c>
      <c r="D173" s="58">
        <v>0</v>
      </c>
      <c r="E173" s="58" t="str">
        <f t="shared" si="131"/>
        <v>M&amp;E Specialist</v>
      </c>
      <c r="F173" s="287">
        <f>'LOE Breakdown by Year'!F16</f>
        <v>0.2</v>
      </c>
      <c r="G173" s="127" t="s">
        <v>221</v>
      </c>
      <c r="H173" s="119">
        <f t="shared" si="132"/>
        <v>3</v>
      </c>
      <c r="I173" s="119">
        <f t="shared" si="132"/>
        <v>2166.6666666666665</v>
      </c>
      <c r="J173" s="119">
        <f t="shared" si="142"/>
        <v>1300</v>
      </c>
      <c r="K173" s="287">
        <f>'LOE Breakdown by Year'!F40</f>
        <v>0.2</v>
      </c>
      <c r="L173" s="119">
        <f t="shared" si="133"/>
        <v>12</v>
      </c>
      <c r="M173" s="119">
        <f t="shared" si="143"/>
        <v>5408</v>
      </c>
      <c r="N173" s="287">
        <f>'LOE Breakdown by Year'!F64</f>
        <v>0.2</v>
      </c>
      <c r="O173" s="119">
        <f t="shared" si="134"/>
        <v>12</v>
      </c>
      <c r="P173" s="119">
        <f t="shared" si="135"/>
        <v>5624.3200000000006</v>
      </c>
      <c r="Q173" s="287">
        <f>'LOE Breakdown by Year'!F88</f>
        <v>0.2</v>
      </c>
      <c r="R173" s="119">
        <f t="shared" si="136"/>
        <v>12</v>
      </c>
      <c r="S173" s="119">
        <f t="shared" si="144"/>
        <v>5849.2928000000011</v>
      </c>
      <c r="T173" s="287">
        <f>'LOE Breakdown by Year'!F112</f>
        <v>0.25</v>
      </c>
      <c r="U173" s="119">
        <f t="shared" si="138"/>
        <v>9</v>
      </c>
      <c r="V173" s="119">
        <f t="shared" si="145"/>
        <v>5703.060480000001</v>
      </c>
      <c r="W173" s="119">
        <f t="shared" si="146"/>
        <v>23884.673280000003</v>
      </c>
      <c r="X173" s="119">
        <v>0</v>
      </c>
      <c r="Y173" s="119">
        <f t="shared" si="147"/>
        <v>23884.673280000003</v>
      </c>
      <c r="AA173" s="366">
        <v>0.5</v>
      </c>
      <c r="AB173" s="366">
        <v>0.5</v>
      </c>
    </row>
    <row r="174" spans="1:28" hidden="1">
      <c r="A174" s="58" t="s">
        <v>368</v>
      </c>
      <c r="B174" s="58">
        <v>70000</v>
      </c>
      <c r="C174" s="58" t="s">
        <v>222</v>
      </c>
      <c r="D174" s="58"/>
      <c r="E174" s="58" t="str">
        <f t="shared" si="131"/>
        <v>Partnerships and Investment Director</v>
      </c>
      <c r="F174" s="287">
        <f>'LOE Breakdown by Year'!F17</f>
        <v>0</v>
      </c>
      <c r="G174" s="127" t="s">
        <v>221</v>
      </c>
      <c r="H174" s="119">
        <f t="shared" si="132"/>
        <v>8</v>
      </c>
      <c r="I174" s="119">
        <f t="shared" si="132"/>
        <v>3833.3333333333335</v>
      </c>
      <c r="J174" s="119">
        <f t="shared" si="142"/>
        <v>0</v>
      </c>
      <c r="K174" s="287">
        <f>'LOE Breakdown by Year'!F41</f>
        <v>0</v>
      </c>
      <c r="L174" s="119">
        <f t="shared" si="133"/>
        <v>12</v>
      </c>
      <c r="M174" s="119">
        <f t="shared" si="143"/>
        <v>0</v>
      </c>
      <c r="N174" s="287">
        <f>'LOE Breakdown by Year'!F65</f>
        <v>0</v>
      </c>
      <c r="O174" s="119">
        <f t="shared" si="134"/>
        <v>12</v>
      </c>
      <c r="P174" s="119">
        <f t="shared" si="135"/>
        <v>0</v>
      </c>
      <c r="Q174" s="287">
        <f>'LOE Breakdown by Year'!F89</f>
        <v>0</v>
      </c>
      <c r="R174" s="119">
        <f t="shared" si="136"/>
        <v>12</v>
      </c>
      <c r="S174" s="119">
        <f t="shared" si="144"/>
        <v>0</v>
      </c>
      <c r="T174" s="287">
        <f>'LOE Breakdown by Year'!F113</f>
        <v>0</v>
      </c>
      <c r="U174" s="119">
        <f t="shared" si="138"/>
        <v>9</v>
      </c>
      <c r="V174" s="119">
        <f t="shared" si="145"/>
        <v>0</v>
      </c>
      <c r="W174" s="119">
        <f t="shared" si="146"/>
        <v>0</v>
      </c>
      <c r="X174" s="119">
        <v>0</v>
      </c>
      <c r="Y174" s="119">
        <f t="shared" si="147"/>
        <v>0</v>
      </c>
      <c r="AA174" s="366">
        <v>0.5</v>
      </c>
      <c r="AB174" s="366">
        <v>0.5</v>
      </c>
    </row>
    <row r="175" spans="1:28" hidden="1">
      <c r="A175" s="58" t="s">
        <v>368</v>
      </c>
      <c r="B175" s="58">
        <v>70000</v>
      </c>
      <c r="C175" s="58" t="s">
        <v>222</v>
      </c>
      <c r="D175" s="58"/>
      <c r="E175" s="58" t="str">
        <f t="shared" si="131"/>
        <v>Extension Agents (15)</v>
      </c>
      <c r="F175" s="287">
        <f>'LOE Breakdown by Year'!F18</f>
        <v>0</v>
      </c>
      <c r="G175" s="127" t="s">
        <v>221</v>
      </c>
      <c r="H175" s="119">
        <f t="shared" si="132"/>
        <v>3</v>
      </c>
      <c r="I175" s="119">
        <f t="shared" si="132"/>
        <v>26250</v>
      </c>
      <c r="J175" s="119">
        <f t="shared" si="142"/>
        <v>0</v>
      </c>
      <c r="K175" s="287">
        <f>'LOE Breakdown by Year'!F42</f>
        <v>0</v>
      </c>
      <c r="L175" s="119">
        <f t="shared" si="133"/>
        <v>12</v>
      </c>
      <c r="M175" s="119">
        <f t="shared" si="143"/>
        <v>0</v>
      </c>
      <c r="N175" s="287">
        <f>'LOE Breakdown by Year'!F66</f>
        <v>0</v>
      </c>
      <c r="O175" s="119">
        <f t="shared" si="134"/>
        <v>12</v>
      </c>
      <c r="P175" s="119">
        <f t="shared" si="135"/>
        <v>0</v>
      </c>
      <c r="Q175" s="287">
        <f>'LOE Breakdown by Year'!F90</f>
        <v>0</v>
      </c>
      <c r="R175" s="119">
        <f t="shared" si="136"/>
        <v>12</v>
      </c>
      <c r="S175" s="119">
        <f t="shared" si="144"/>
        <v>0</v>
      </c>
      <c r="T175" s="287">
        <f>'LOE Breakdown by Year'!F114</f>
        <v>0</v>
      </c>
      <c r="U175" s="119">
        <f t="shared" si="138"/>
        <v>9</v>
      </c>
      <c r="V175" s="119">
        <f t="shared" si="145"/>
        <v>0</v>
      </c>
      <c r="W175" s="119">
        <f t="shared" si="146"/>
        <v>0</v>
      </c>
      <c r="X175" s="119">
        <v>0</v>
      </c>
      <c r="Y175" s="119">
        <f t="shared" si="147"/>
        <v>0</v>
      </c>
      <c r="AA175" s="366">
        <v>0.5</v>
      </c>
      <c r="AB175" s="366">
        <v>0.5</v>
      </c>
    </row>
    <row r="176" spans="1:28">
      <c r="A176" s="58" t="s">
        <v>368</v>
      </c>
      <c r="B176" s="58">
        <v>70000</v>
      </c>
      <c r="C176" s="58" t="s">
        <v>222</v>
      </c>
      <c r="D176" s="58">
        <v>0</v>
      </c>
      <c r="E176" s="58" t="str">
        <f t="shared" si="131"/>
        <v>Activity Lead Agribusiness Senior Specialist (Cacao)</v>
      </c>
      <c r="F176" s="287">
        <f>'LOE Breakdown by Year'!F19</f>
        <v>0.1</v>
      </c>
      <c r="G176" s="127" t="s">
        <v>221</v>
      </c>
      <c r="H176" s="119">
        <f t="shared" si="132"/>
        <v>3</v>
      </c>
      <c r="I176" s="119">
        <f t="shared" si="132"/>
        <v>2833.3333333333335</v>
      </c>
      <c r="J176" s="119">
        <f t="shared" si="142"/>
        <v>850</v>
      </c>
      <c r="K176" s="287">
        <f>'LOE Breakdown by Year'!F43</f>
        <v>0.1</v>
      </c>
      <c r="L176" s="119">
        <f t="shared" si="133"/>
        <v>12</v>
      </c>
      <c r="M176" s="119">
        <f t="shared" si="143"/>
        <v>3536</v>
      </c>
      <c r="N176" s="287">
        <f>'LOE Breakdown by Year'!F67</f>
        <v>0.1</v>
      </c>
      <c r="O176" s="119">
        <f t="shared" si="134"/>
        <v>12</v>
      </c>
      <c r="P176" s="119">
        <f t="shared" si="135"/>
        <v>3677.44</v>
      </c>
      <c r="Q176" s="287">
        <f>'LOE Breakdown by Year'!F91</f>
        <v>0.1</v>
      </c>
      <c r="R176" s="119">
        <f t="shared" si="136"/>
        <v>12</v>
      </c>
      <c r="S176" s="119">
        <f t="shared" si="144"/>
        <v>3824.5376000000001</v>
      </c>
      <c r="T176" s="287">
        <f>'LOE Breakdown by Year'!F115</f>
        <v>0.3</v>
      </c>
      <c r="U176" s="119">
        <f t="shared" si="138"/>
        <v>9</v>
      </c>
      <c r="V176" s="119">
        <f t="shared" si="145"/>
        <v>8949.4179839999997</v>
      </c>
      <c r="W176" s="119">
        <f t="shared" si="146"/>
        <v>20837.395583999998</v>
      </c>
      <c r="X176" s="119">
        <v>0</v>
      </c>
      <c r="Y176" s="119">
        <f t="shared" si="147"/>
        <v>20837.395583999998</v>
      </c>
      <c r="AA176" s="366">
        <v>1</v>
      </c>
      <c r="AB176" s="366">
        <v>0</v>
      </c>
    </row>
    <row r="177" spans="1:28">
      <c r="A177" s="58" t="s">
        <v>368</v>
      </c>
      <c r="B177" s="58">
        <v>70000</v>
      </c>
      <c r="C177" s="58" t="s">
        <v>222</v>
      </c>
      <c r="D177" s="58">
        <v>0</v>
      </c>
      <c r="E177" s="58" t="str">
        <f t="shared" si="131"/>
        <v>Activity Lead Agribusiness Senior Specialist (Complementary Crop)</v>
      </c>
      <c r="F177" s="287">
        <f>'LOE Breakdown by Year'!F20</f>
        <v>0.1</v>
      </c>
      <c r="G177" s="127" t="s">
        <v>221</v>
      </c>
      <c r="H177" s="119">
        <f t="shared" si="132"/>
        <v>3</v>
      </c>
      <c r="I177" s="119">
        <f t="shared" si="132"/>
        <v>2833.3333333333335</v>
      </c>
      <c r="J177" s="119">
        <f t="shared" si="142"/>
        <v>850</v>
      </c>
      <c r="K177" s="287">
        <f>'LOE Breakdown by Year'!F44</f>
        <v>0.1</v>
      </c>
      <c r="L177" s="119">
        <f t="shared" si="133"/>
        <v>12</v>
      </c>
      <c r="M177" s="119">
        <f t="shared" si="143"/>
        <v>3536</v>
      </c>
      <c r="N177" s="287">
        <f>'LOE Breakdown by Year'!F68</f>
        <v>0.1</v>
      </c>
      <c r="O177" s="119">
        <f t="shared" si="134"/>
        <v>12</v>
      </c>
      <c r="P177" s="119">
        <f t="shared" si="135"/>
        <v>3677.44</v>
      </c>
      <c r="Q177" s="287">
        <f>'LOE Breakdown by Year'!F92</f>
        <v>0.1</v>
      </c>
      <c r="R177" s="119">
        <f t="shared" si="136"/>
        <v>12</v>
      </c>
      <c r="S177" s="119">
        <f t="shared" si="144"/>
        <v>3824.5376000000001</v>
      </c>
      <c r="T177" s="287">
        <f>'LOE Breakdown by Year'!F116</f>
        <v>0.3</v>
      </c>
      <c r="U177" s="119">
        <f t="shared" si="138"/>
        <v>9</v>
      </c>
      <c r="V177" s="119">
        <f t="shared" si="145"/>
        <v>8949.4179839999997</v>
      </c>
      <c r="W177" s="119">
        <f t="shared" si="146"/>
        <v>20837.395583999998</v>
      </c>
      <c r="X177" s="119">
        <v>0</v>
      </c>
      <c r="Y177" s="119">
        <f t="shared" si="147"/>
        <v>20837.395583999998</v>
      </c>
      <c r="AA177" s="366">
        <v>0</v>
      </c>
      <c r="AB177" s="366">
        <v>1</v>
      </c>
    </row>
    <row r="178" spans="1:28">
      <c r="A178" s="58" t="s">
        <v>368</v>
      </c>
      <c r="B178" s="58">
        <v>70000</v>
      </c>
      <c r="C178" s="58" t="s">
        <v>222</v>
      </c>
      <c r="D178" s="58">
        <v>0</v>
      </c>
      <c r="E178" s="58" t="str">
        <f t="shared" si="131"/>
        <v xml:space="preserve">Food Safety Mid-Specialist </v>
      </c>
      <c r="F178" s="287">
        <f>'LOE Breakdown by Year'!F21</f>
        <v>0.25</v>
      </c>
      <c r="G178" s="127" t="s">
        <v>221</v>
      </c>
      <c r="H178" s="119">
        <f t="shared" si="132"/>
        <v>3</v>
      </c>
      <c r="I178" s="119">
        <f t="shared" si="132"/>
        <v>2666.6666666666665</v>
      </c>
      <c r="J178" s="119">
        <f t="shared" si="142"/>
        <v>2000</v>
      </c>
      <c r="K178" s="287">
        <f>'LOE Breakdown by Year'!F45</f>
        <v>0.25</v>
      </c>
      <c r="L178" s="119">
        <f t="shared" si="133"/>
        <v>12</v>
      </c>
      <c r="M178" s="119">
        <f t="shared" si="143"/>
        <v>8320</v>
      </c>
      <c r="N178" s="287">
        <f>'LOE Breakdown by Year'!F69</f>
        <v>0.2</v>
      </c>
      <c r="O178" s="119">
        <f t="shared" si="134"/>
        <v>12</v>
      </c>
      <c r="P178" s="119">
        <f t="shared" si="135"/>
        <v>6922.24</v>
      </c>
      <c r="Q178" s="287">
        <f>'LOE Breakdown by Year'!F93</f>
        <v>0.25</v>
      </c>
      <c r="R178" s="119">
        <f t="shared" si="136"/>
        <v>12</v>
      </c>
      <c r="S178" s="119">
        <f t="shared" si="144"/>
        <v>8998.9120000000021</v>
      </c>
      <c r="T178" s="287">
        <f>'LOE Breakdown by Year'!F117</f>
        <v>0.25</v>
      </c>
      <c r="U178" s="119">
        <f t="shared" si="138"/>
        <v>9</v>
      </c>
      <c r="V178" s="119">
        <f t="shared" si="145"/>
        <v>7019.1513600000008</v>
      </c>
      <c r="W178" s="119">
        <f t="shared" si="146"/>
        <v>33260.303360000005</v>
      </c>
      <c r="X178" s="119">
        <v>0</v>
      </c>
      <c r="Y178" s="119">
        <f t="shared" si="147"/>
        <v>33260.303360000005</v>
      </c>
      <c r="AA178" s="366">
        <v>0.5</v>
      </c>
      <c r="AB178" s="366">
        <v>0.5</v>
      </c>
    </row>
    <row r="179" spans="1:28" hidden="1">
      <c r="A179" s="58"/>
      <c r="B179" s="58"/>
      <c r="C179" s="58"/>
      <c r="D179" s="58"/>
      <c r="E179" s="58" t="str">
        <f t="shared" si="131"/>
        <v>Compliance Director</v>
      </c>
      <c r="F179" s="287">
        <f>'LOE Breakdown by Year'!F22</f>
        <v>0</v>
      </c>
      <c r="G179" s="127" t="s">
        <v>221</v>
      </c>
      <c r="H179" s="119">
        <f t="shared" si="132"/>
        <v>8</v>
      </c>
      <c r="I179" s="119">
        <f t="shared" si="132"/>
        <v>6833.333333333333</v>
      </c>
      <c r="J179" s="119">
        <f t="shared" si="142"/>
        <v>0</v>
      </c>
      <c r="K179" s="287">
        <f>'LOE Breakdown by Year'!F46</f>
        <v>0</v>
      </c>
      <c r="L179" s="119">
        <f t="shared" si="133"/>
        <v>12</v>
      </c>
      <c r="M179" s="119">
        <f t="shared" si="143"/>
        <v>0</v>
      </c>
      <c r="N179" s="287">
        <f>'LOE Breakdown by Year'!F70</f>
        <v>0</v>
      </c>
      <c r="O179" s="119">
        <f t="shared" si="134"/>
        <v>12</v>
      </c>
      <c r="P179" s="119">
        <f t="shared" si="135"/>
        <v>0</v>
      </c>
      <c r="Q179" s="287">
        <f>'LOE Breakdown by Year'!F94</f>
        <v>0</v>
      </c>
      <c r="R179" s="119">
        <f t="shared" si="136"/>
        <v>12</v>
      </c>
      <c r="S179" s="119">
        <f t="shared" si="144"/>
        <v>0</v>
      </c>
      <c r="T179" s="287">
        <f>'LOE Breakdown by Year'!F118</f>
        <v>0</v>
      </c>
      <c r="U179" s="119">
        <f t="shared" si="138"/>
        <v>12</v>
      </c>
      <c r="V179" s="119">
        <f t="shared" si="145"/>
        <v>0</v>
      </c>
      <c r="W179" s="119">
        <f t="shared" si="146"/>
        <v>0</v>
      </c>
      <c r="X179" s="119">
        <v>0</v>
      </c>
      <c r="Y179" s="119">
        <f t="shared" si="147"/>
        <v>0</v>
      </c>
      <c r="AA179" s="366">
        <v>0.5</v>
      </c>
      <c r="AB179" s="366">
        <v>0.5</v>
      </c>
    </row>
    <row r="180" spans="1:28" hidden="1">
      <c r="A180" s="58"/>
      <c r="B180" s="58"/>
      <c r="C180" s="58"/>
      <c r="D180" s="58"/>
      <c r="E180" s="58" t="str">
        <f t="shared" si="131"/>
        <v xml:space="preserve">Accountant </v>
      </c>
      <c r="F180" s="287">
        <f>'LOE Breakdown by Year'!F23</f>
        <v>0</v>
      </c>
      <c r="G180" s="127" t="s">
        <v>221</v>
      </c>
      <c r="H180" s="119">
        <f t="shared" si="132"/>
        <v>3</v>
      </c>
      <c r="I180" s="119">
        <f t="shared" si="132"/>
        <v>1750</v>
      </c>
      <c r="J180" s="119">
        <f t="shared" ref="J180:J181" si="148">H180*I180*F180</f>
        <v>0</v>
      </c>
      <c r="K180" s="287">
        <f>'LOE Breakdown by Year'!F47</f>
        <v>0</v>
      </c>
      <c r="L180" s="119">
        <f t="shared" si="133"/>
        <v>12</v>
      </c>
      <c r="M180" s="119">
        <f t="shared" ref="M180:M181" si="149">L180*I180*$F$8*$K180</f>
        <v>0</v>
      </c>
      <c r="N180" s="287">
        <f>'LOE Breakdown by Year'!F71</f>
        <v>0</v>
      </c>
      <c r="O180" s="119">
        <f t="shared" si="134"/>
        <v>12</v>
      </c>
      <c r="P180" s="119">
        <f t="shared" ref="P180:P181" si="150">O180*I180*$N180*$F$8*$F$8</f>
        <v>0</v>
      </c>
      <c r="Q180" s="287">
        <f>'LOE Breakdown by Year'!F95</f>
        <v>0</v>
      </c>
      <c r="R180" s="119">
        <f t="shared" si="136"/>
        <v>12</v>
      </c>
      <c r="S180" s="119">
        <f t="shared" ref="S180:S181" si="151">R180*I180*$Q180*$F$8*$F$8*$F$8</f>
        <v>0</v>
      </c>
      <c r="T180" s="287">
        <f>'LOE Breakdown by Year'!F119</f>
        <v>0</v>
      </c>
      <c r="U180" s="119">
        <f t="shared" si="138"/>
        <v>9</v>
      </c>
      <c r="V180" s="119">
        <f t="shared" ref="V180:V181" si="152">U180*I180*$T180*$F$8*$F$8*$F$8*$F$8</f>
        <v>0</v>
      </c>
      <c r="W180" s="119">
        <f t="shared" ref="W180:W181" si="153">SUM(S180,P180,M180,J180,V180)</f>
        <v>0</v>
      </c>
      <c r="X180" s="119">
        <v>0</v>
      </c>
      <c r="Y180" s="119">
        <f t="shared" ref="Y180:Y181" si="154">SUM(W180:X180)</f>
        <v>0</v>
      </c>
      <c r="AA180" s="366">
        <v>0.5</v>
      </c>
      <c r="AB180" s="366">
        <v>0.5</v>
      </c>
    </row>
    <row r="181" spans="1:28" hidden="1">
      <c r="A181" s="58"/>
      <c r="B181" s="58"/>
      <c r="C181" s="58"/>
      <c r="D181" s="58"/>
      <c r="E181" s="58" t="str">
        <f t="shared" si="131"/>
        <v xml:space="preserve">Administrative Assistant </v>
      </c>
      <c r="F181" s="287">
        <f>'LOE Breakdown by Year'!F24</f>
        <v>0</v>
      </c>
      <c r="G181" s="127" t="s">
        <v>221</v>
      </c>
      <c r="H181" s="119">
        <f t="shared" si="132"/>
        <v>3</v>
      </c>
      <c r="I181" s="119">
        <f t="shared" si="132"/>
        <v>1250</v>
      </c>
      <c r="J181" s="119">
        <f t="shared" si="148"/>
        <v>0</v>
      </c>
      <c r="K181" s="287">
        <f>'LOE Breakdown by Year'!F48</f>
        <v>0</v>
      </c>
      <c r="L181" s="119">
        <f t="shared" si="133"/>
        <v>12</v>
      </c>
      <c r="M181" s="119">
        <f t="shared" si="149"/>
        <v>0</v>
      </c>
      <c r="N181" s="287">
        <f>'LOE Breakdown by Year'!F72</f>
        <v>0</v>
      </c>
      <c r="O181" s="119">
        <f t="shared" si="134"/>
        <v>12</v>
      </c>
      <c r="P181" s="119">
        <f t="shared" si="150"/>
        <v>0</v>
      </c>
      <c r="Q181" s="287">
        <f>'LOE Breakdown by Year'!F96</f>
        <v>0</v>
      </c>
      <c r="R181" s="119">
        <f t="shared" si="136"/>
        <v>12</v>
      </c>
      <c r="S181" s="119">
        <f t="shared" si="151"/>
        <v>0</v>
      </c>
      <c r="T181" s="287">
        <f>'LOE Breakdown by Year'!F120</f>
        <v>0</v>
      </c>
      <c r="U181" s="119">
        <f t="shared" si="138"/>
        <v>9</v>
      </c>
      <c r="V181" s="119">
        <f t="shared" si="152"/>
        <v>0</v>
      </c>
      <c r="W181" s="119">
        <f t="shared" si="153"/>
        <v>0</v>
      </c>
      <c r="X181" s="119">
        <v>0</v>
      </c>
      <c r="Y181" s="119">
        <f t="shared" si="154"/>
        <v>0</v>
      </c>
      <c r="AA181" s="366">
        <v>0.5</v>
      </c>
      <c r="AB181" s="366">
        <v>0.5</v>
      </c>
    </row>
    <row r="182" spans="1:28">
      <c r="A182" s="109"/>
      <c r="B182" s="109"/>
      <c r="C182" s="109"/>
      <c r="D182" s="109"/>
      <c r="E182" s="109" t="s">
        <v>369</v>
      </c>
      <c r="F182" s="300"/>
      <c r="G182" s="123"/>
      <c r="H182" s="124"/>
      <c r="I182" s="124"/>
      <c r="J182" s="125">
        <f>SUM(J168:J181)</f>
        <v>49033.333333333336</v>
      </c>
      <c r="K182" s="300"/>
      <c r="L182" s="125"/>
      <c r="M182" s="125">
        <f>SUM(M168:M181)</f>
        <v>78624</v>
      </c>
      <c r="N182" s="300"/>
      <c r="O182" s="125"/>
      <c r="P182" s="125">
        <f>SUM(P168:P181)</f>
        <v>80038.400000000009</v>
      </c>
      <c r="Q182" s="300"/>
      <c r="R182" s="125"/>
      <c r="S182" s="125">
        <f>SUM(S168:S181)</f>
        <v>85039.718399999983</v>
      </c>
      <c r="T182" s="300"/>
      <c r="U182" s="125"/>
      <c r="V182" s="125">
        <f>SUM(V168:V181)</f>
        <v>77649.36192000001</v>
      </c>
      <c r="W182" s="125">
        <f>SUM(W168:W181)</f>
        <v>370384.81365333329</v>
      </c>
      <c r="X182" s="125">
        <f>SUM(X168:X181)</f>
        <v>0</v>
      </c>
      <c r="Y182" s="125">
        <f>SUM(Y168:Y181)</f>
        <v>370384.81365333329</v>
      </c>
      <c r="AA182" s="366"/>
      <c r="AB182" s="366"/>
    </row>
    <row r="183" spans="1:28">
      <c r="A183" s="272"/>
      <c r="B183" s="272"/>
      <c r="C183" s="272"/>
      <c r="D183" s="272"/>
      <c r="E183" s="272"/>
      <c r="F183" s="301"/>
      <c r="G183" s="245"/>
      <c r="H183" s="154"/>
      <c r="I183" s="154"/>
      <c r="J183" s="154"/>
      <c r="K183" s="301"/>
      <c r="L183" s="154"/>
      <c r="M183" s="154"/>
      <c r="N183" s="301"/>
      <c r="O183" s="154"/>
      <c r="P183" s="154"/>
      <c r="Q183" s="301"/>
      <c r="R183" s="154"/>
      <c r="S183" s="154"/>
      <c r="T183" s="301"/>
      <c r="U183" s="154"/>
      <c r="V183" s="154"/>
      <c r="W183" s="154"/>
      <c r="X183" s="154"/>
      <c r="Y183" s="154"/>
      <c r="AA183" s="366"/>
      <c r="AB183" s="366"/>
    </row>
    <row r="184" spans="1:28">
      <c r="A184" s="109"/>
      <c r="B184" s="109"/>
      <c r="C184" s="109"/>
      <c r="D184" s="109"/>
      <c r="E184" s="109" t="s">
        <v>370</v>
      </c>
      <c r="F184" s="300"/>
      <c r="G184" s="123"/>
      <c r="H184" s="124"/>
      <c r="I184" s="124"/>
      <c r="J184" s="125"/>
      <c r="K184" s="300"/>
      <c r="L184" s="125"/>
      <c r="M184" s="125"/>
      <c r="N184" s="300"/>
      <c r="O184" s="125"/>
      <c r="P184" s="125"/>
      <c r="Q184" s="300"/>
      <c r="R184" s="125"/>
      <c r="S184" s="125"/>
      <c r="T184" s="300"/>
      <c r="U184" s="125"/>
      <c r="V184" s="125"/>
      <c r="W184" s="125"/>
      <c r="X184" s="125"/>
      <c r="Y184" s="125"/>
      <c r="AA184" s="366"/>
      <c r="AB184" s="366"/>
    </row>
    <row r="185" spans="1:28">
      <c r="A185" s="58" t="s">
        <v>371</v>
      </c>
      <c r="B185" s="58">
        <v>70015</v>
      </c>
      <c r="C185" s="58" t="s">
        <v>222</v>
      </c>
      <c r="D185" s="58">
        <v>0</v>
      </c>
      <c r="E185" s="58" t="str">
        <f>E35</f>
        <v>Fringe Benefits CCN - Colombia (above $2,600 monthly)</v>
      </c>
      <c r="F185" s="288"/>
      <c r="G185" s="246" t="s">
        <v>238</v>
      </c>
      <c r="H185" s="119"/>
      <c r="I185" s="438">
        <f>I35</f>
        <v>0.53864000000000001</v>
      </c>
      <c r="J185" s="119">
        <f>(J169+J170+J171+J172+J174+J176+J177+J178+J179)*$I$185</f>
        <v>13591.682666666666</v>
      </c>
      <c r="K185" s="288"/>
      <c r="L185" s="119"/>
      <c r="M185" s="119">
        <f>(M169+M170+M171+M172+M174+M176+M177+M178+M179)*$I$185</f>
        <v>26832.890240000001</v>
      </c>
      <c r="N185" s="288"/>
      <c r="O185" s="119"/>
      <c r="P185" s="119">
        <f>(P169+P170+P171+P172+P174+P176+P177+P178+P179)*$I$185</f>
        <v>26974.057011200002</v>
      </c>
      <c r="Q185" s="288"/>
      <c r="R185" s="119"/>
      <c r="S185" s="119">
        <f>(S169+S170+S171+S172+S174+S176+S177+S178+S179)*$I$185</f>
        <v>29022.454083584005</v>
      </c>
      <c r="T185" s="288"/>
      <c r="U185" s="119"/>
      <c r="V185" s="119">
        <f>(V169+V170+V171+V172+V174+V176+V177+V178+V179)*$I$185</f>
        <v>34027.161196953602</v>
      </c>
      <c r="W185" s="119">
        <f t="shared" ref="W185:W188" si="155">SUM(S185,P185,M185,J185,V185)</f>
        <v>130448.24519840427</v>
      </c>
      <c r="X185" s="154">
        <v>0</v>
      </c>
      <c r="Y185" s="119">
        <f>SUM(W185:X185)</f>
        <v>130448.24519840427</v>
      </c>
      <c r="AA185" s="366">
        <v>0.5</v>
      </c>
      <c r="AB185" s="366">
        <v>0.5</v>
      </c>
    </row>
    <row r="186" spans="1:28">
      <c r="A186" s="58" t="s">
        <v>371</v>
      </c>
      <c r="B186" s="58">
        <v>70015</v>
      </c>
      <c r="C186" s="58" t="s">
        <v>222</v>
      </c>
      <c r="D186" s="58">
        <v>0</v>
      </c>
      <c r="E186" s="58" t="str">
        <f>E36</f>
        <v>Fringe Benefits CCN - Colombia (below $2,600 monthly)</v>
      </c>
      <c r="F186" s="288"/>
      <c r="G186" s="246" t="s">
        <v>238</v>
      </c>
      <c r="H186" s="119"/>
      <c r="I186" s="438">
        <f>I36</f>
        <v>0.40364</v>
      </c>
      <c r="J186" s="119">
        <f>(J175+J173+J180+J181)*$I$186</f>
        <v>524.73199999999997</v>
      </c>
      <c r="K186" s="288"/>
      <c r="L186" s="119"/>
      <c r="M186" s="119">
        <f>(M175+M173+M180+M181)*$I$186</f>
        <v>2182.8851199999999</v>
      </c>
      <c r="N186" s="288"/>
      <c r="O186" s="119"/>
      <c r="P186" s="119">
        <f>(P175+P173+P180+P181)*$I$186</f>
        <v>2270.2005248</v>
      </c>
      <c r="Q186" s="288"/>
      <c r="R186" s="119"/>
      <c r="S186" s="119">
        <f>(S175+S173+S180+S181)*$I$186</f>
        <v>2361.0085457920004</v>
      </c>
      <c r="T186" s="288"/>
      <c r="U186" s="119"/>
      <c r="V186" s="119">
        <f>(V175+V173+V180+V181)*$I$186</f>
        <v>2301.9833321472006</v>
      </c>
      <c r="W186" s="119">
        <f t="shared" si="155"/>
        <v>9640.8095227392005</v>
      </c>
      <c r="X186" s="154">
        <v>0</v>
      </c>
      <c r="Y186" s="119">
        <f>SUM(W186:X186)</f>
        <v>9640.8095227392005</v>
      </c>
      <c r="AA186" s="366">
        <v>0.5</v>
      </c>
      <c r="AB186" s="366">
        <v>0.5</v>
      </c>
    </row>
    <row r="187" spans="1:28">
      <c r="A187" s="510" t="s">
        <v>923</v>
      </c>
      <c r="B187" s="58">
        <v>50202</v>
      </c>
      <c r="C187" s="58" t="s">
        <v>219</v>
      </c>
      <c r="D187" s="58">
        <v>0</v>
      </c>
      <c r="E187" s="120" t="str">
        <f>E38</f>
        <v>Post (Hardship) Differential for Chief of Party</v>
      </c>
      <c r="F187" s="293"/>
      <c r="G187" s="246" t="s">
        <v>238</v>
      </c>
      <c r="I187" s="247">
        <f>I38</f>
        <v>0.1</v>
      </c>
      <c r="J187" s="248">
        <f>J168*$I$187</f>
        <v>2250</v>
      </c>
      <c r="K187" s="293"/>
      <c r="L187" s="248"/>
      <c r="M187" s="248">
        <f>M168*$I$187</f>
        <v>2340</v>
      </c>
      <c r="N187" s="293"/>
      <c r="O187" s="248"/>
      <c r="P187" s="248">
        <f>P168*$I$187</f>
        <v>2433.6</v>
      </c>
      <c r="Q187" s="293"/>
      <c r="R187" s="248"/>
      <c r="S187" s="248">
        <f>S168*$I$187</f>
        <v>2530.9440000000004</v>
      </c>
      <c r="T187" s="293"/>
      <c r="U187" s="248"/>
      <c r="V187" s="248">
        <f>V168*$I$187</f>
        <v>877.39392000000009</v>
      </c>
      <c r="W187" s="119">
        <f t="shared" si="155"/>
        <v>10431.93792</v>
      </c>
      <c r="X187" s="119" t="s">
        <v>243</v>
      </c>
      <c r="Y187" s="119">
        <f>SUM(W187:X187)</f>
        <v>10431.93792</v>
      </c>
      <c r="AA187" s="366">
        <v>0.5</v>
      </c>
      <c r="AB187" s="366">
        <v>0.5</v>
      </c>
    </row>
    <row r="188" spans="1:28">
      <c r="A188" s="58" t="s">
        <v>371</v>
      </c>
      <c r="B188" s="58">
        <v>50900</v>
      </c>
      <c r="C188" s="58" t="s">
        <v>219</v>
      </c>
      <c r="D188" s="58">
        <v>0</v>
      </c>
      <c r="E188" s="120" t="str">
        <f>E39</f>
        <v>Fringe Benefits Package for Chief of Party</v>
      </c>
      <c r="F188" s="293"/>
      <c r="G188" s="246" t="s">
        <v>238</v>
      </c>
      <c r="I188" s="359">
        <f>I39</f>
        <v>0.56810000000000005</v>
      </c>
      <c r="J188" s="248">
        <f>J168*$I$188</f>
        <v>12782.250000000002</v>
      </c>
      <c r="K188" s="293"/>
      <c r="L188" s="248"/>
      <c r="M188" s="248">
        <f>M168*$I$188</f>
        <v>13293.54</v>
      </c>
      <c r="N188" s="293"/>
      <c r="O188" s="248"/>
      <c r="P188" s="248">
        <f>P168*$I$188</f>
        <v>13825.281600000002</v>
      </c>
      <c r="Q188" s="293"/>
      <c r="R188" s="248"/>
      <c r="S188" s="248">
        <f>S168*$I$188</f>
        <v>14378.292864000003</v>
      </c>
      <c r="T188" s="293"/>
      <c r="U188" s="248"/>
      <c r="V188" s="248">
        <f>V168*$I$188</f>
        <v>4984.4748595200008</v>
      </c>
      <c r="W188" s="119">
        <f t="shared" si="155"/>
        <v>59263.839323520006</v>
      </c>
      <c r="X188" s="119" t="s">
        <v>243</v>
      </c>
      <c r="Y188" s="119">
        <f>SUM(W188:X188)</f>
        <v>59263.839323520006</v>
      </c>
      <c r="AA188" s="366">
        <v>0.5</v>
      </c>
      <c r="AB188" s="366">
        <v>0.5</v>
      </c>
    </row>
    <row r="189" spans="1:28">
      <c r="A189" s="109"/>
      <c r="B189" s="109"/>
      <c r="C189" s="109"/>
      <c r="D189" s="109"/>
      <c r="E189" s="109" t="s">
        <v>372</v>
      </c>
      <c r="F189" s="300"/>
      <c r="G189" s="123"/>
      <c r="H189" s="124"/>
      <c r="I189" s="124"/>
      <c r="J189" s="125">
        <f>SUM(J185:J188)</f>
        <v>29148.664666666667</v>
      </c>
      <c r="K189" s="300"/>
      <c r="L189" s="125"/>
      <c r="M189" s="125">
        <f>SUM(M185:M188)</f>
        <v>44649.315360000001</v>
      </c>
      <c r="N189" s="300"/>
      <c r="O189" s="125"/>
      <c r="P189" s="125">
        <f>SUM(P185:P188)</f>
        <v>45503.139135999998</v>
      </c>
      <c r="Q189" s="300"/>
      <c r="R189" s="125"/>
      <c r="S189" s="125">
        <f>SUM(S185:S188)</f>
        <v>48292.699493376007</v>
      </c>
      <c r="T189" s="300"/>
      <c r="U189" s="125"/>
      <c r="V189" s="125">
        <f>SUM(V185:V188)</f>
        <v>42191.013308620808</v>
      </c>
      <c r="W189" s="125">
        <f>SUM(W185:W188)</f>
        <v>209784.83196466346</v>
      </c>
      <c r="X189" s="125">
        <f>SUM(X185:X188)</f>
        <v>0</v>
      </c>
      <c r="Y189" s="125">
        <f>SUM(Y185:Y188)</f>
        <v>209784.83196466346</v>
      </c>
      <c r="AA189" s="366"/>
      <c r="AB189" s="366"/>
    </row>
    <row r="190" spans="1:28">
      <c r="A190" s="272"/>
      <c r="B190" s="272"/>
      <c r="C190" s="272"/>
      <c r="D190" s="272"/>
      <c r="E190" s="272"/>
      <c r="F190" s="301"/>
      <c r="G190" s="245"/>
      <c r="H190" s="154"/>
      <c r="I190" s="154"/>
      <c r="J190" s="154"/>
      <c r="K190" s="301"/>
      <c r="L190" s="154"/>
      <c r="M190" s="154"/>
      <c r="N190" s="301"/>
      <c r="O190" s="154"/>
      <c r="P190" s="154"/>
      <c r="Q190" s="301"/>
      <c r="R190" s="154"/>
      <c r="S190" s="154"/>
      <c r="T190" s="301"/>
      <c r="U190" s="154"/>
      <c r="V190" s="154"/>
      <c r="W190" s="154"/>
      <c r="X190" s="154"/>
      <c r="Y190" s="154"/>
      <c r="AA190" s="355"/>
      <c r="AB190" s="355"/>
    </row>
    <row r="191" spans="1:28">
      <c r="A191" s="109"/>
      <c r="B191" s="109"/>
      <c r="C191" s="109"/>
      <c r="D191" s="109"/>
      <c r="E191" s="109" t="s">
        <v>373</v>
      </c>
      <c r="F191" s="300"/>
      <c r="G191" s="123"/>
      <c r="H191" s="124"/>
      <c r="I191" s="124"/>
      <c r="J191" s="124"/>
      <c r="K191" s="300"/>
      <c r="L191" s="124"/>
      <c r="M191" s="124"/>
      <c r="N191" s="300"/>
      <c r="O191" s="124"/>
      <c r="P191" s="124"/>
      <c r="Q191" s="300"/>
      <c r="R191" s="124"/>
      <c r="S191" s="124"/>
      <c r="T191" s="300"/>
      <c r="U191" s="124"/>
      <c r="V191" s="124"/>
      <c r="W191" s="124"/>
      <c r="X191" s="124"/>
      <c r="Y191" s="124"/>
      <c r="AA191" s="366"/>
      <c r="AB191" s="366"/>
    </row>
    <row r="192" spans="1:28">
      <c r="A192" s="58" t="s">
        <v>374</v>
      </c>
      <c r="B192" s="58">
        <v>86000</v>
      </c>
      <c r="C192" s="58" t="s">
        <v>222</v>
      </c>
      <c r="D192" s="58">
        <v>0</v>
      </c>
      <c r="E192" s="58" t="s">
        <v>375</v>
      </c>
      <c r="G192" s="58" t="s">
        <v>255</v>
      </c>
      <c r="H192" s="119">
        <v>1</v>
      </c>
      <c r="I192" s="119">
        <v>100</v>
      </c>
      <c r="J192" s="119">
        <f>H192*I192</f>
        <v>100</v>
      </c>
      <c r="K192" s="296"/>
      <c r="L192" s="119">
        <v>1</v>
      </c>
      <c r="M192" s="119">
        <f>I192*L192*$F$7</f>
        <v>104</v>
      </c>
      <c r="N192" s="296"/>
      <c r="O192" s="119">
        <v>1</v>
      </c>
      <c r="P192" s="119">
        <f>I192*O192*$F$7*$F$7</f>
        <v>108.16</v>
      </c>
      <c r="Q192" s="296"/>
      <c r="R192" s="119">
        <v>1</v>
      </c>
      <c r="S192" s="119">
        <f>I192*R192*$F$7*$F$7*$F$7</f>
        <v>112.4864</v>
      </c>
      <c r="T192" s="296"/>
      <c r="U192" s="119">
        <v>1</v>
      </c>
      <c r="V192" s="119">
        <f>I192*U192*$F$7*$F$7*$F$7*$F$7</f>
        <v>116.98585600000001</v>
      </c>
      <c r="W192" s="119">
        <f t="shared" ref="W192" si="156">SUM(S192,P192,M192,J192,V192)</f>
        <v>541.63225599999998</v>
      </c>
      <c r="X192" s="119" t="s">
        <v>243</v>
      </c>
      <c r="Y192" s="119">
        <f>SUM(W192:X192)</f>
        <v>541.63225599999998</v>
      </c>
      <c r="AA192" s="366">
        <v>0.5</v>
      </c>
      <c r="AB192" s="366">
        <v>0.5</v>
      </c>
    </row>
    <row r="193" spans="1:28" ht="50.4">
      <c r="A193" s="58" t="s">
        <v>374</v>
      </c>
      <c r="B193" s="120" t="s">
        <v>257</v>
      </c>
      <c r="C193" s="58" t="s">
        <v>222</v>
      </c>
      <c r="D193" s="58">
        <v>0</v>
      </c>
      <c r="E193" s="58" t="s">
        <v>376</v>
      </c>
      <c r="G193" s="58" t="s">
        <v>259</v>
      </c>
      <c r="H193" s="119">
        <f>7*H192</f>
        <v>7</v>
      </c>
      <c r="I193" s="119">
        <v>80</v>
      </c>
      <c r="J193" s="119">
        <f>H193*I193</f>
        <v>560</v>
      </c>
      <c r="K193" s="296"/>
      <c r="L193" s="119">
        <f>7*L192</f>
        <v>7</v>
      </c>
      <c r="M193" s="119">
        <f>I193*L193*$F$7</f>
        <v>582.4</v>
      </c>
      <c r="N193" s="296"/>
      <c r="O193" s="119">
        <f>7*O192</f>
        <v>7</v>
      </c>
      <c r="P193" s="119">
        <f>I193*O193*$F$7*$F$7</f>
        <v>605.69600000000003</v>
      </c>
      <c r="Q193" s="296"/>
      <c r="R193" s="119">
        <f>7*R192</f>
        <v>7</v>
      </c>
      <c r="S193" s="119">
        <f>I193*R193*$F$7*$F$7*$F$7</f>
        <v>629.92384000000004</v>
      </c>
      <c r="T193" s="296"/>
      <c r="U193" s="119">
        <f>7*U192</f>
        <v>7</v>
      </c>
      <c r="V193" s="119">
        <f>I193*U193*$F$7*$F$7*$F$7*$F$7</f>
        <v>655.12079360000007</v>
      </c>
      <c r="W193" s="119">
        <f t="shared" ref="W193" si="157">SUM(S193,P193,M193,J193,V193)</f>
        <v>3033.1406336</v>
      </c>
      <c r="X193" s="119" t="s">
        <v>243</v>
      </c>
      <c r="Y193" s="119">
        <f>SUM(W193:X193)</f>
        <v>3033.1406336</v>
      </c>
      <c r="AA193" s="366">
        <v>0.5</v>
      </c>
      <c r="AB193" s="366">
        <v>0.5</v>
      </c>
    </row>
    <row r="194" spans="1:28">
      <c r="A194" s="109"/>
      <c r="B194" s="109"/>
      <c r="C194" s="109"/>
      <c r="D194" s="109"/>
      <c r="E194" s="109" t="s">
        <v>377</v>
      </c>
      <c r="F194" s="300"/>
      <c r="G194" s="123"/>
      <c r="H194" s="124"/>
      <c r="I194" s="125"/>
      <c r="J194" s="125">
        <f>SUM(J192:J193)</f>
        <v>660</v>
      </c>
      <c r="K194" s="300"/>
      <c r="L194" s="125"/>
      <c r="M194" s="125">
        <f>SUM(M192:M193)</f>
        <v>686.4</v>
      </c>
      <c r="N194" s="300"/>
      <c r="O194" s="125"/>
      <c r="P194" s="125">
        <f>SUM(P192:P193)</f>
        <v>713.85599999999999</v>
      </c>
      <c r="Q194" s="300"/>
      <c r="R194" s="125"/>
      <c r="S194" s="125">
        <f>SUM(S192:S193)</f>
        <v>742.41024000000004</v>
      </c>
      <c r="T194" s="300"/>
      <c r="U194" s="125"/>
      <c r="V194" s="125">
        <f>SUM(V192:V193)</f>
        <v>772.10664960000008</v>
      </c>
      <c r="W194" s="125">
        <f>SUM(W192:W193)</f>
        <v>3574.7728895999999</v>
      </c>
      <c r="X194" s="125">
        <f>SUM(X192:X193)</f>
        <v>0</v>
      </c>
      <c r="Y194" s="125">
        <f>SUM(Y192:Y193)</f>
        <v>3574.7728895999999</v>
      </c>
      <c r="Z194" s="142"/>
      <c r="AA194" s="366"/>
      <c r="AB194" s="366"/>
    </row>
    <row r="195" spans="1:28">
      <c r="A195" s="272"/>
      <c r="B195" s="272"/>
      <c r="C195" s="272"/>
      <c r="D195" s="272"/>
      <c r="E195" s="272"/>
      <c r="F195" s="301"/>
      <c r="G195" s="245"/>
      <c r="H195" s="154"/>
      <c r="I195" s="154"/>
      <c r="J195" s="154"/>
      <c r="K195" s="301"/>
      <c r="L195" s="154"/>
      <c r="M195" s="154"/>
      <c r="N195" s="301"/>
      <c r="O195" s="154"/>
      <c r="P195" s="154"/>
      <c r="Q195" s="301"/>
      <c r="R195" s="154"/>
      <c r="S195" s="154"/>
      <c r="T195" s="301"/>
      <c r="U195" s="154"/>
      <c r="V195" s="154"/>
      <c r="W195" s="154"/>
      <c r="X195" s="154"/>
      <c r="Y195" s="154"/>
      <c r="AA195" s="355"/>
      <c r="AB195" s="355"/>
    </row>
    <row r="196" spans="1:28">
      <c r="A196" s="109"/>
      <c r="B196" s="109"/>
      <c r="C196" s="109"/>
      <c r="D196" s="109"/>
      <c r="E196" s="109" t="s">
        <v>378</v>
      </c>
      <c r="F196" s="300"/>
      <c r="G196" s="123"/>
      <c r="H196" s="124"/>
      <c r="I196" s="124"/>
      <c r="J196" s="124"/>
      <c r="K196" s="300"/>
      <c r="L196" s="124"/>
      <c r="M196" s="124"/>
      <c r="N196" s="300"/>
      <c r="O196" s="124"/>
      <c r="P196" s="124"/>
      <c r="Q196" s="300"/>
      <c r="R196" s="124"/>
      <c r="S196" s="124"/>
      <c r="T196" s="300"/>
      <c r="U196" s="124"/>
      <c r="V196" s="124"/>
      <c r="W196" s="124"/>
      <c r="X196" s="124"/>
      <c r="Y196" s="124"/>
    </row>
    <row r="197" spans="1:28">
      <c r="A197" s="120" t="s">
        <v>379</v>
      </c>
      <c r="B197" s="120">
        <v>89050</v>
      </c>
      <c r="C197" s="58" t="s">
        <v>222</v>
      </c>
      <c r="D197" s="58" t="s">
        <v>17</v>
      </c>
      <c r="E197" s="120" t="s">
        <v>380</v>
      </c>
      <c r="G197" s="126" t="s">
        <v>294</v>
      </c>
      <c r="H197" s="119">
        <v>1</v>
      </c>
      <c r="I197" s="119"/>
      <c r="J197" s="119">
        <f>'Activity 2 Sub Budget'!G48</f>
        <v>148595.92000000001</v>
      </c>
      <c r="K197" s="296"/>
      <c r="L197" s="119">
        <v>1</v>
      </c>
      <c r="M197" s="119">
        <f>'Activity 2 Sub Budget'!I48</f>
        <v>228621.92320000002</v>
      </c>
      <c r="N197" s="296"/>
      <c r="O197" s="119">
        <v>1</v>
      </c>
      <c r="P197" s="119">
        <f>'Activity 2 Sub Budget'!K48</f>
        <v>233556.944896</v>
      </c>
      <c r="Q197" s="296"/>
      <c r="R197" s="119">
        <v>1</v>
      </c>
      <c r="S197" s="119">
        <f>'Activity 2 Sub Budget'!M48</f>
        <v>238640.01724288001</v>
      </c>
      <c r="T197" s="296"/>
      <c r="U197" s="119">
        <v>1</v>
      </c>
      <c r="V197" s="119">
        <f>'Activity 2 Sub Budget'!O48</f>
        <v>151358.39088008323</v>
      </c>
      <c r="W197" s="119">
        <f>SUM(S197,P197,M197,J197,V197)</f>
        <v>1000773.1962189634</v>
      </c>
      <c r="X197" s="119">
        <v>0</v>
      </c>
      <c r="Y197" s="360">
        <f>SUM(W197:X197)</f>
        <v>1000773.1962189634</v>
      </c>
      <c r="AA197" s="366">
        <v>0.5</v>
      </c>
      <c r="AB197" s="366">
        <v>0.5</v>
      </c>
    </row>
    <row r="198" spans="1:28">
      <c r="A198" s="109"/>
      <c r="B198" s="109"/>
      <c r="C198" s="109"/>
      <c r="D198" s="109"/>
      <c r="E198" s="109" t="s">
        <v>381</v>
      </c>
      <c r="F198" s="300"/>
      <c r="G198" s="123"/>
      <c r="H198" s="125"/>
      <c r="I198" s="125"/>
      <c r="J198" s="125">
        <f>SUM(J197:J197)</f>
        <v>148595.92000000001</v>
      </c>
      <c r="K198" s="303"/>
      <c r="L198" s="125"/>
      <c r="M198" s="125">
        <f>SUM(M197:M197)</f>
        <v>228621.92320000002</v>
      </c>
      <c r="N198" s="303"/>
      <c r="O198" s="125"/>
      <c r="P198" s="125">
        <f>SUM(P197:P197)</f>
        <v>233556.944896</v>
      </c>
      <c r="Q198" s="303"/>
      <c r="R198" s="125"/>
      <c r="S198" s="125">
        <f>SUM(S197:S197)</f>
        <v>238640.01724288001</v>
      </c>
      <c r="T198" s="303"/>
      <c r="U198" s="125"/>
      <c r="V198" s="125">
        <f>SUM(V197:V197)</f>
        <v>151358.39088008323</v>
      </c>
      <c r="W198" s="125">
        <f>SUM(W197:W197)</f>
        <v>1000773.1962189634</v>
      </c>
      <c r="X198" s="125">
        <f>SUM(X197:X197)</f>
        <v>0</v>
      </c>
      <c r="Y198" s="125">
        <f>SUM(Y197:Y197)</f>
        <v>1000773.1962189634</v>
      </c>
      <c r="Z198" s="142"/>
      <c r="AA198" s="366"/>
      <c r="AB198" s="366"/>
    </row>
    <row r="199" spans="1:28">
      <c r="A199" s="272"/>
      <c r="B199" s="272"/>
      <c r="C199" s="272"/>
      <c r="D199" s="272"/>
      <c r="E199" s="272"/>
      <c r="F199" s="301"/>
      <c r="G199" s="245"/>
      <c r="H199" s="154"/>
      <c r="I199" s="154"/>
      <c r="J199" s="154"/>
      <c r="K199" s="301"/>
      <c r="L199" s="154"/>
      <c r="M199" s="154"/>
      <c r="N199" s="301"/>
      <c r="O199" s="154"/>
      <c r="P199" s="154"/>
      <c r="Q199" s="301"/>
      <c r="R199" s="154"/>
      <c r="S199" s="154"/>
      <c r="T199" s="301"/>
      <c r="U199" s="154"/>
      <c r="V199" s="154"/>
      <c r="W199" s="154"/>
      <c r="X199" s="154"/>
      <c r="Y199" s="154"/>
      <c r="AA199" s="366"/>
      <c r="AB199" s="366"/>
    </row>
    <row r="200" spans="1:28">
      <c r="A200" s="109"/>
      <c r="B200" s="109"/>
      <c r="C200" s="109"/>
      <c r="D200" s="109"/>
      <c r="E200" s="109" t="s">
        <v>382</v>
      </c>
      <c r="F200" s="300"/>
      <c r="G200" s="123"/>
      <c r="H200" s="124"/>
      <c r="I200" s="124"/>
      <c r="J200" s="124"/>
      <c r="K200" s="300"/>
      <c r="L200" s="124"/>
      <c r="M200" s="124"/>
      <c r="N200" s="300"/>
      <c r="O200" s="124"/>
      <c r="P200" s="124"/>
      <c r="Q200" s="300"/>
      <c r="R200" s="124"/>
      <c r="S200" s="124"/>
      <c r="T200" s="300"/>
      <c r="U200" s="124"/>
      <c r="V200" s="124"/>
      <c r="W200" s="124"/>
      <c r="X200" s="124"/>
      <c r="Y200" s="124"/>
      <c r="AA200" s="366"/>
      <c r="AB200" s="366"/>
    </row>
    <row r="201" spans="1:28">
      <c r="A201" s="120" t="s">
        <v>383</v>
      </c>
      <c r="B201" s="120">
        <v>96000</v>
      </c>
      <c r="C201" s="120" t="s">
        <v>219</v>
      </c>
      <c r="D201" s="120">
        <v>0</v>
      </c>
      <c r="E201" s="120" t="s">
        <v>384</v>
      </c>
      <c r="G201" s="126" t="s">
        <v>364</v>
      </c>
      <c r="H201" s="119">
        <f>(2*5*8)*2</f>
        <v>160</v>
      </c>
      <c r="I201" s="119">
        <f>522/8</f>
        <v>65.25</v>
      </c>
      <c r="J201" s="119">
        <v>0</v>
      </c>
      <c r="K201" s="296"/>
      <c r="L201" s="119">
        <f>(2*5*8)*2</f>
        <v>160</v>
      </c>
      <c r="M201" s="119">
        <v>0</v>
      </c>
      <c r="N201" s="296"/>
      <c r="O201" s="119">
        <f>(2*5*8)*2</f>
        <v>160</v>
      </c>
      <c r="P201" s="119">
        <v>0</v>
      </c>
      <c r="Q201" s="296"/>
      <c r="R201" s="119">
        <f>(2*5*8)*2</f>
        <v>160</v>
      </c>
      <c r="S201" s="119">
        <v>0</v>
      </c>
      <c r="T201" s="296"/>
      <c r="U201" s="119">
        <f>(2*5*8)*2</f>
        <v>160</v>
      </c>
      <c r="V201" s="119">
        <v>0</v>
      </c>
      <c r="W201" s="119">
        <f>SUM(S201,P201,M201,J201,V201)</f>
        <v>0</v>
      </c>
      <c r="X201" s="119">
        <f>(H201*I201)+(L201*I201)+(O201*I201)+(I201*R201)+(U201*I201)</f>
        <v>52200</v>
      </c>
      <c r="Y201" s="360">
        <f>SUM(W201:X201)</f>
        <v>52200</v>
      </c>
      <c r="AA201" s="366">
        <v>0.5</v>
      </c>
      <c r="AB201" s="366">
        <v>0.5</v>
      </c>
    </row>
    <row r="202" spans="1:28">
      <c r="A202" s="120" t="s">
        <v>383</v>
      </c>
      <c r="B202" s="120">
        <v>96000</v>
      </c>
      <c r="C202" s="120" t="s">
        <v>219</v>
      </c>
      <c r="D202" s="120">
        <v>0</v>
      </c>
      <c r="E202" s="58" t="s">
        <v>385</v>
      </c>
      <c r="G202" s="126" t="s">
        <v>221</v>
      </c>
      <c r="H202" s="119">
        <v>6</v>
      </c>
      <c r="I202" s="119">
        <v>1360</v>
      </c>
      <c r="J202" s="119">
        <v>0</v>
      </c>
      <c r="K202" s="296"/>
      <c r="L202" s="119">
        <v>6</v>
      </c>
      <c r="M202" s="119">
        <v>0</v>
      </c>
      <c r="N202" s="296"/>
      <c r="O202" s="119">
        <v>6</v>
      </c>
      <c r="P202" s="119">
        <v>0</v>
      </c>
      <c r="Q202" s="296"/>
      <c r="R202" s="119">
        <v>6</v>
      </c>
      <c r="S202" s="119">
        <v>0</v>
      </c>
      <c r="T202" s="296"/>
      <c r="U202" s="119">
        <v>6</v>
      </c>
      <c r="V202" s="119">
        <v>0</v>
      </c>
      <c r="W202" s="119">
        <f>SUM(S202,P202,M202,J202,V202)</f>
        <v>0</v>
      </c>
      <c r="X202" s="119">
        <f>(H202*I202)+(L202*I202)+(O202*I202)+(I202*R202)+(U202*I202)</f>
        <v>40800</v>
      </c>
      <c r="Y202" s="360">
        <f>SUM(W202:X202)</f>
        <v>40800</v>
      </c>
      <c r="AA202" s="366">
        <v>0.5</v>
      </c>
      <c r="AB202" s="366">
        <v>0.5</v>
      </c>
    </row>
    <row r="203" spans="1:28" ht="25.2">
      <c r="A203" s="120" t="s">
        <v>383</v>
      </c>
      <c r="B203" s="120">
        <v>96000</v>
      </c>
      <c r="C203" s="120" t="s">
        <v>219</v>
      </c>
      <c r="D203" s="120">
        <v>0</v>
      </c>
      <c r="E203" s="120" t="s">
        <v>386</v>
      </c>
      <c r="G203" s="126" t="s">
        <v>364</v>
      </c>
      <c r="H203" s="119">
        <f>(2*5*8)</f>
        <v>80</v>
      </c>
      <c r="I203" s="119">
        <f>((4300*12)/2080)</f>
        <v>24.807692307692307</v>
      </c>
      <c r="J203" s="119">
        <v>0</v>
      </c>
      <c r="K203" s="296"/>
      <c r="L203" s="119">
        <f>(2*5*8)</f>
        <v>80</v>
      </c>
      <c r="M203" s="119">
        <v>0</v>
      </c>
      <c r="N203" s="296"/>
      <c r="O203" s="119">
        <f>(2*5*8)</f>
        <v>80</v>
      </c>
      <c r="P203" s="119">
        <v>0</v>
      </c>
      <c r="Q203" s="296"/>
      <c r="R203" s="119">
        <f>(2*5*8)</f>
        <v>80</v>
      </c>
      <c r="S203" s="119">
        <v>0</v>
      </c>
      <c r="T203" s="296"/>
      <c r="U203" s="119">
        <f>(2*5*8)</f>
        <v>80</v>
      </c>
      <c r="V203" s="119">
        <v>0</v>
      </c>
      <c r="W203" s="119">
        <f>SUM(S203,P203,M203,J203,V203)</f>
        <v>0</v>
      </c>
      <c r="X203" s="119">
        <f>(H203*I203)+(L203*I203)+(O203*I203)+(I203*R203)+(U203*I203)</f>
        <v>9923.076923076922</v>
      </c>
      <c r="Y203" s="360">
        <f>SUM(W203:X203)</f>
        <v>9923.076923076922</v>
      </c>
      <c r="AA203" s="366">
        <v>0.5</v>
      </c>
      <c r="AB203" s="366">
        <v>0.5</v>
      </c>
    </row>
    <row r="204" spans="1:28">
      <c r="A204" s="109"/>
      <c r="B204" s="109"/>
      <c r="C204" s="109"/>
      <c r="D204" s="109"/>
      <c r="E204" s="109" t="s">
        <v>387</v>
      </c>
      <c r="F204" s="300"/>
      <c r="G204" s="123"/>
      <c r="H204" s="124"/>
      <c r="I204" s="125"/>
      <c r="J204" s="125">
        <f>SUM(J201:J203)</f>
        <v>0</v>
      </c>
      <c r="K204" s="300"/>
      <c r="L204" s="125"/>
      <c r="M204" s="125">
        <f>SUM(M201:M203)</f>
        <v>0</v>
      </c>
      <c r="N204" s="300"/>
      <c r="O204" s="125"/>
      <c r="P204" s="125">
        <f>SUM(P201:P203)</f>
        <v>0</v>
      </c>
      <c r="Q204" s="300"/>
      <c r="R204" s="125"/>
      <c r="S204" s="125">
        <f>SUM(S201:S203)</f>
        <v>0</v>
      </c>
      <c r="T204" s="300"/>
      <c r="U204" s="125"/>
      <c r="V204" s="125">
        <f>SUM(V201:V203)</f>
        <v>0</v>
      </c>
      <c r="W204" s="125">
        <f>SUM(W201:W203)</f>
        <v>0</v>
      </c>
      <c r="X204" s="125">
        <f>SUM(X201:X203)</f>
        <v>102923.07692307692</v>
      </c>
      <c r="Y204" s="125">
        <f>SUM(Y201:Y203)</f>
        <v>102923.07692307692</v>
      </c>
      <c r="Z204" s="142"/>
      <c r="AA204" s="366"/>
      <c r="AB204" s="366"/>
    </row>
    <row r="205" spans="1:28">
      <c r="A205" s="272"/>
      <c r="B205" s="272"/>
      <c r="C205" s="272"/>
      <c r="D205" s="272"/>
      <c r="E205" s="272"/>
      <c r="F205" s="301"/>
      <c r="G205" s="245"/>
      <c r="H205" s="154"/>
      <c r="I205" s="154"/>
      <c r="J205" s="154"/>
      <c r="K205" s="301"/>
      <c r="L205" s="154"/>
      <c r="M205" s="154"/>
      <c r="N205" s="301"/>
      <c r="O205" s="154"/>
      <c r="P205" s="154"/>
      <c r="Q205" s="301"/>
      <c r="R205" s="154"/>
      <c r="S205" s="154"/>
      <c r="T205" s="301"/>
      <c r="U205" s="154"/>
      <c r="V205" s="154"/>
      <c r="W205" s="154"/>
      <c r="X205" s="154"/>
      <c r="Y205" s="154"/>
      <c r="AA205" s="366"/>
      <c r="AB205" s="366"/>
    </row>
    <row r="206" spans="1:28" ht="12.9" thickBot="1">
      <c r="A206" s="143"/>
      <c r="B206" s="143"/>
      <c r="C206" s="143"/>
      <c r="D206" s="143"/>
      <c r="E206" s="143" t="s">
        <v>179</v>
      </c>
      <c r="F206" s="294"/>
      <c r="G206" s="143"/>
      <c r="H206" s="162"/>
      <c r="I206" s="162"/>
      <c r="J206" s="157">
        <f>SUM(J198+J194+J189+J182+J204)</f>
        <v>227437.91800000003</v>
      </c>
      <c r="K206" s="294"/>
      <c r="L206" s="157"/>
      <c r="M206" s="157">
        <f>SUM(M198+M194+M189+M182+M204)</f>
        <v>352581.63855999999</v>
      </c>
      <c r="N206" s="294"/>
      <c r="O206" s="157"/>
      <c r="P206" s="157">
        <f>SUM(P198+P194+P189+P182+P204)</f>
        <v>359812.34003200004</v>
      </c>
      <c r="Q206" s="294"/>
      <c r="R206" s="157"/>
      <c r="S206" s="157">
        <f>SUM(S198+S194+S189+S182+S204)</f>
        <v>372714.84537625604</v>
      </c>
      <c r="T206" s="294"/>
      <c r="U206" s="157"/>
      <c r="V206" s="157">
        <f>SUM(V198+V194+V189+V182+V204)</f>
        <v>271970.87275830406</v>
      </c>
      <c r="W206" s="157">
        <f>SUM(W198+W194+W189+W182+W204)</f>
        <v>1584517.6147265602</v>
      </c>
      <c r="X206" s="157">
        <f>SUM(X198+X194+X189+X182+X204)</f>
        <v>102923.07692307692</v>
      </c>
      <c r="Y206" s="157">
        <f>SUM(Y198+Y194+Y189+Y182+Y204)</f>
        <v>1687440.6916496372</v>
      </c>
      <c r="Z206" s="352"/>
      <c r="AA206" s="146">
        <f>SUMPRODUCT(W168:W181,AA168:AA181)+SUMPRODUCT(W185:W188,AA185:AA188)+SUMPRODUCT(W192:W193,AA192:AA193)+SUMPRODUCT(W197:W197,AA197:AA197)+SUMPRODUCT(W201:W203,AA201:AA203)</f>
        <v>792258.8073632801</v>
      </c>
      <c r="AB206" s="146">
        <f>SUMPRODUCT(W168:W181,AB168:AB181)+SUMPRODUCT(W185:W188,AB185:AB188)+SUMPRODUCT(W192:W193,AB192:AB193)+SUMPRODUCT(W197,AB197:AB197)+SUMPRODUCT(W201:W203,AB201:AB203)</f>
        <v>792258.8073632801</v>
      </c>
    </row>
    <row r="207" spans="1:28">
      <c r="A207" s="245"/>
      <c r="B207" s="245"/>
      <c r="C207" s="245"/>
      <c r="D207" s="245"/>
      <c r="E207" s="245"/>
      <c r="F207" s="291"/>
      <c r="G207" s="245"/>
      <c r="H207" s="154"/>
      <c r="I207" s="154"/>
      <c r="J207" s="154"/>
      <c r="K207" s="291"/>
      <c r="L207" s="154"/>
      <c r="M207" s="154"/>
      <c r="N207" s="291"/>
      <c r="O207" s="154"/>
      <c r="P207" s="154"/>
      <c r="Q207" s="291"/>
      <c r="R207" s="154"/>
      <c r="S207" s="154"/>
      <c r="T207" s="291"/>
      <c r="U207" s="154"/>
      <c r="V207" s="154"/>
      <c r="W207" s="154"/>
      <c r="X207" s="154"/>
      <c r="Y207" s="154"/>
    </row>
    <row r="208" spans="1:28">
      <c r="A208" s="266"/>
      <c r="B208" s="266"/>
      <c r="C208" s="266"/>
      <c r="D208" s="266"/>
      <c r="E208" s="266" t="str">
        <f>'USDA Budget Summary'!A30</f>
        <v>Activity 3: Agriculture Extension and Production Support</v>
      </c>
      <c r="F208" s="298"/>
      <c r="G208" s="106"/>
      <c r="H208" s="106"/>
      <c r="I208" s="107"/>
      <c r="J208" s="267"/>
      <c r="K208" s="298"/>
      <c r="L208" s="267"/>
      <c r="M208" s="267"/>
      <c r="N208" s="298"/>
      <c r="O208" s="267"/>
      <c r="P208" s="267"/>
      <c r="Q208" s="298"/>
      <c r="R208" s="267"/>
      <c r="S208" s="267"/>
      <c r="T208" s="298"/>
      <c r="U208" s="267"/>
      <c r="V208" s="267"/>
      <c r="W208" s="267"/>
      <c r="X208" s="268"/>
      <c r="Y208" s="267"/>
    </row>
    <row r="209" spans="1:28">
      <c r="A209" s="269"/>
      <c r="B209" s="269"/>
      <c r="C209" s="269"/>
      <c r="D209" s="269"/>
      <c r="E209" s="269" t="s">
        <v>349</v>
      </c>
      <c r="F209" s="299"/>
      <c r="G209" s="270"/>
      <c r="H209" s="271"/>
      <c r="I209" s="271"/>
      <c r="J209" s="271"/>
      <c r="K209" s="299"/>
      <c r="L209" s="271"/>
      <c r="M209" s="271"/>
      <c r="N209" s="299"/>
      <c r="O209" s="271"/>
      <c r="P209" s="271"/>
      <c r="Q209" s="299"/>
      <c r="R209" s="271"/>
      <c r="S209" s="271"/>
      <c r="T209" s="299"/>
      <c r="U209" s="271"/>
      <c r="V209" s="271"/>
      <c r="W209" s="271"/>
      <c r="X209" s="271"/>
      <c r="Y209" s="271"/>
    </row>
    <row r="210" spans="1:28">
      <c r="A210" s="109"/>
      <c r="B210" s="109"/>
      <c r="C210" s="109"/>
      <c r="D210" s="109"/>
      <c r="E210" s="109" t="s">
        <v>388</v>
      </c>
      <c r="F210" s="300"/>
      <c r="G210" s="123"/>
      <c r="H210" s="124"/>
      <c r="I210" s="124"/>
      <c r="J210" s="124"/>
      <c r="K210" s="300"/>
      <c r="L210" s="124"/>
      <c r="M210" s="124"/>
      <c r="N210" s="300"/>
      <c r="O210" s="124"/>
      <c r="P210" s="124"/>
      <c r="Q210" s="300"/>
      <c r="R210" s="124"/>
      <c r="S210" s="124"/>
      <c r="T210" s="300"/>
      <c r="U210" s="124"/>
      <c r="V210" s="124"/>
      <c r="W210" s="124"/>
      <c r="X210" s="124"/>
      <c r="Y210" s="124"/>
    </row>
    <row r="211" spans="1:28">
      <c r="A211" s="58" t="s">
        <v>389</v>
      </c>
      <c r="B211" s="58">
        <v>50000</v>
      </c>
      <c r="C211" s="58" t="s">
        <v>219</v>
      </c>
      <c r="D211" s="58">
        <v>0</v>
      </c>
      <c r="E211" s="58" t="str">
        <f t="shared" ref="E211:E224" si="158">E13</f>
        <v xml:space="preserve">Key Personnel: Chief of Party </v>
      </c>
      <c r="F211" s="296">
        <f>'LOE Breakdown by Year'!G11</f>
        <v>0.1</v>
      </c>
      <c r="G211" s="127" t="s">
        <v>221</v>
      </c>
      <c r="H211" s="119">
        <f t="shared" ref="H211:I224" si="159">H13</f>
        <v>12</v>
      </c>
      <c r="I211" s="119">
        <f t="shared" si="159"/>
        <v>12500</v>
      </c>
      <c r="J211" s="119">
        <f>H211*I211*F211</f>
        <v>15000</v>
      </c>
      <c r="K211" s="287">
        <f>'LOE Breakdown by Year'!G35</f>
        <v>0.1</v>
      </c>
      <c r="L211" s="119">
        <f t="shared" ref="L211:L224" si="160">L13</f>
        <v>12</v>
      </c>
      <c r="M211" s="119">
        <f>L211*I211*$F$8*$K211</f>
        <v>15600</v>
      </c>
      <c r="N211" s="287">
        <f>'LOE Breakdown by Year'!G59</f>
        <v>0.1</v>
      </c>
      <c r="O211" s="119">
        <f t="shared" ref="O211:O224" si="161">O13</f>
        <v>12</v>
      </c>
      <c r="P211" s="119">
        <f t="shared" ref="P211:P222" si="162">O211*I211*$N211*$F$8*$F$8</f>
        <v>16224</v>
      </c>
      <c r="Q211" s="287">
        <f>'LOE Breakdown by Year'!G83</f>
        <v>0.1</v>
      </c>
      <c r="R211" s="119">
        <f t="shared" ref="R211:R224" si="163">R13</f>
        <v>12</v>
      </c>
      <c r="S211" s="119">
        <f t="shared" ref="S211" si="164">R211*I211*$Q211*$F$8*$F$8*$F$8</f>
        <v>16872.96</v>
      </c>
      <c r="T211" s="287">
        <f>'LOE Breakdown by Year'!G107</f>
        <v>0.1</v>
      </c>
      <c r="U211" s="119">
        <f t="shared" ref="U211:U224" si="165">U13</f>
        <v>12</v>
      </c>
      <c r="V211" s="119">
        <f t="shared" ref="V211" si="166">U211*I211*$T211*$F$8*$F$8*$F$8*$F$8</f>
        <v>17547.878400000001</v>
      </c>
      <c r="W211" s="119">
        <f t="shared" ref="W211" si="167">SUM(S211,P211,M211,J211,V211)</f>
        <v>81244.838400000008</v>
      </c>
      <c r="X211" s="119">
        <v>0</v>
      </c>
      <c r="Y211" s="119">
        <f t="shared" ref="Y211" si="168">SUM(W211:X211)</f>
        <v>81244.838400000008</v>
      </c>
      <c r="AA211" s="366">
        <v>0.5</v>
      </c>
      <c r="AB211" s="366">
        <v>0.5</v>
      </c>
    </row>
    <row r="212" spans="1:28">
      <c r="A212" s="58" t="s">
        <v>389</v>
      </c>
      <c r="B212" s="58">
        <v>70000</v>
      </c>
      <c r="C212" s="58" t="s">
        <v>222</v>
      </c>
      <c r="D212" s="58">
        <v>0</v>
      </c>
      <c r="E212" s="58" t="str">
        <f t="shared" si="158"/>
        <v>Key Personnel: Technical Director</v>
      </c>
      <c r="F212" s="288">
        <f>'LOE Breakdown by Year'!G12</f>
        <v>0.2</v>
      </c>
      <c r="G212" s="127" t="s">
        <v>221</v>
      </c>
      <c r="H212" s="119">
        <f t="shared" si="159"/>
        <v>8</v>
      </c>
      <c r="I212" s="119">
        <f t="shared" si="159"/>
        <v>5833.333333333333</v>
      </c>
      <c r="J212" s="119">
        <f t="shared" ref="J212:J222" si="169">H212*I212*F212</f>
        <v>9333.3333333333339</v>
      </c>
      <c r="K212" s="287">
        <f>'LOE Breakdown by Year'!G36</f>
        <v>0.2</v>
      </c>
      <c r="L212" s="119">
        <f t="shared" si="160"/>
        <v>12</v>
      </c>
      <c r="M212" s="119">
        <f t="shared" ref="M212:M222" si="170">L212*I212*$F$8*$K212</f>
        <v>14560</v>
      </c>
      <c r="N212" s="287">
        <f>'LOE Breakdown by Year'!G60</f>
        <v>0.2</v>
      </c>
      <c r="O212" s="119">
        <f t="shared" si="161"/>
        <v>12</v>
      </c>
      <c r="P212" s="119">
        <f t="shared" si="162"/>
        <v>15142.4</v>
      </c>
      <c r="Q212" s="287">
        <f>'LOE Breakdown by Year'!G84</f>
        <v>0.2</v>
      </c>
      <c r="R212" s="119">
        <f t="shared" si="163"/>
        <v>12</v>
      </c>
      <c r="S212" s="119">
        <f t="shared" ref="S212:S222" si="171">R212*I212*$Q212*$F$8*$F$8*$F$8</f>
        <v>15748.096</v>
      </c>
      <c r="T212" s="287">
        <f>'LOE Breakdown by Year'!G108</f>
        <v>0.3</v>
      </c>
      <c r="U212" s="119">
        <f t="shared" si="165"/>
        <v>12</v>
      </c>
      <c r="V212" s="119">
        <f t="shared" ref="V212:V222" si="172">U212*I212*$T212*$F$8*$F$8*$F$8*$F$8</f>
        <v>24567.029760000005</v>
      </c>
      <c r="W212" s="119">
        <f t="shared" ref="W212:W222" si="173">SUM(S212,P212,M212,J212,V212)</f>
        <v>79350.859093333333</v>
      </c>
      <c r="X212" s="119">
        <v>0</v>
      </c>
      <c r="Y212" s="119">
        <f t="shared" ref="Y212:Y222" si="174">SUM(W212:X212)</f>
        <v>79350.859093333333</v>
      </c>
      <c r="AA212" s="366">
        <v>0.5</v>
      </c>
      <c r="AB212" s="366">
        <v>0.5</v>
      </c>
    </row>
    <row r="213" spans="1:28" hidden="1">
      <c r="A213" s="58"/>
      <c r="B213" s="58">
        <v>70000</v>
      </c>
      <c r="C213" s="58" t="s">
        <v>222</v>
      </c>
      <c r="D213" s="58"/>
      <c r="E213" s="58" t="str">
        <f t="shared" si="158"/>
        <v xml:space="preserve">F&amp;A Director </v>
      </c>
      <c r="F213" s="288">
        <f>'LOE Breakdown by Year'!G13</f>
        <v>0</v>
      </c>
      <c r="G213" s="127" t="s">
        <v>221</v>
      </c>
      <c r="H213" s="119">
        <f t="shared" si="159"/>
        <v>8</v>
      </c>
      <c r="I213" s="119">
        <f t="shared" si="159"/>
        <v>3833.3333333333335</v>
      </c>
      <c r="J213" s="119">
        <f t="shared" si="169"/>
        <v>0</v>
      </c>
      <c r="K213" s="287">
        <f>'LOE Breakdown by Year'!G37</f>
        <v>0</v>
      </c>
      <c r="L213" s="119">
        <f t="shared" si="160"/>
        <v>12</v>
      </c>
      <c r="M213" s="119">
        <f t="shared" si="170"/>
        <v>0</v>
      </c>
      <c r="N213" s="287">
        <f>'LOE Breakdown by Year'!G61</f>
        <v>0</v>
      </c>
      <c r="O213" s="119">
        <f t="shared" si="161"/>
        <v>12</v>
      </c>
      <c r="P213" s="119">
        <f t="shared" si="162"/>
        <v>0</v>
      </c>
      <c r="Q213" s="287">
        <f>'LOE Breakdown by Year'!G85</f>
        <v>0</v>
      </c>
      <c r="R213" s="119">
        <f t="shared" si="163"/>
        <v>12</v>
      </c>
      <c r="S213" s="119">
        <f t="shared" si="171"/>
        <v>0</v>
      </c>
      <c r="T213" s="287">
        <f>'LOE Breakdown by Year'!G109</f>
        <v>0</v>
      </c>
      <c r="U213" s="119">
        <f t="shared" si="165"/>
        <v>12</v>
      </c>
      <c r="V213" s="119">
        <f t="shared" si="172"/>
        <v>0</v>
      </c>
      <c r="W213" s="119">
        <f t="shared" si="173"/>
        <v>0</v>
      </c>
      <c r="X213" s="119">
        <v>0</v>
      </c>
      <c r="Y213" s="119">
        <f t="shared" si="174"/>
        <v>0</v>
      </c>
      <c r="AA213" s="366">
        <v>0.5</v>
      </c>
      <c r="AB213" s="366">
        <v>0.5</v>
      </c>
    </row>
    <row r="214" spans="1:28">
      <c r="A214" s="58" t="s">
        <v>389</v>
      </c>
      <c r="B214" s="58">
        <v>70000</v>
      </c>
      <c r="C214" s="58" t="s">
        <v>222</v>
      </c>
      <c r="D214" s="58">
        <v>0</v>
      </c>
      <c r="E214" s="58" t="str">
        <f t="shared" si="158"/>
        <v xml:space="preserve">M&amp;E Director </v>
      </c>
      <c r="F214" s="288">
        <f>'LOE Breakdown by Year'!G14</f>
        <v>0.15</v>
      </c>
      <c r="G214" s="127" t="s">
        <v>221</v>
      </c>
      <c r="H214" s="119">
        <f t="shared" si="159"/>
        <v>8</v>
      </c>
      <c r="I214" s="119">
        <f t="shared" si="159"/>
        <v>3833.3333333333335</v>
      </c>
      <c r="J214" s="119">
        <f t="shared" si="169"/>
        <v>4600</v>
      </c>
      <c r="K214" s="287">
        <f>'LOE Breakdown by Year'!G38</f>
        <v>0.2</v>
      </c>
      <c r="L214" s="119">
        <f t="shared" si="160"/>
        <v>12</v>
      </c>
      <c r="M214" s="119">
        <f t="shared" si="170"/>
        <v>9568</v>
      </c>
      <c r="N214" s="287">
        <f>'LOE Breakdown by Year'!G62</f>
        <v>0.2</v>
      </c>
      <c r="O214" s="119">
        <f t="shared" si="161"/>
        <v>12</v>
      </c>
      <c r="P214" s="119">
        <f t="shared" si="162"/>
        <v>9950.7200000000012</v>
      </c>
      <c r="Q214" s="287">
        <f>'LOE Breakdown by Year'!G86</f>
        <v>0.15</v>
      </c>
      <c r="R214" s="119">
        <f t="shared" si="163"/>
        <v>12</v>
      </c>
      <c r="S214" s="119">
        <f t="shared" si="171"/>
        <v>7761.5616</v>
      </c>
      <c r="T214" s="287">
        <f>'LOE Breakdown by Year'!G110</f>
        <v>0.2</v>
      </c>
      <c r="U214" s="119">
        <f t="shared" si="165"/>
        <v>12</v>
      </c>
      <c r="V214" s="119">
        <f t="shared" si="172"/>
        <v>10762.698752000002</v>
      </c>
      <c r="W214" s="119">
        <f t="shared" si="173"/>
        <v>42642.980352000006</v>
      </c>
      <c r="X214" s="119">
        <v>0</v>
      </c>
      <c r="Y214" s="119">
        <f t="shared" si="174"/>
        <v>42642.980352000006</v>
      </c>
      <c r="AA214" s="366">
        <v>0.5</v>
      </c>
      <c r="AB214" s="366">
        <v>0.5</v>
      </c>
    </row>
    <row r="215" spans="1:28">
      <c r="A215" s="58" t="s">
        <v>389</v>
      </c>
      <c r="B215" s="58">
        <v>70000</v>
      </c>
      <c r="C215" s="58" t="s">
        <v>222</v>
      </c>
      <c r="D215" s="58">
        <v>0</v>
      </c>
      <c r="E215" s="58" t="str">
        <f t="shared" si="158"/>
        <v>M&amp;E Mid-level Specialist</v>
      </c>
      <c r="F215" s="288">
        <f>'LOE Breakdown by Year'!G15</f>
        <v>0.15</v>
      </c>
      <c r="G215" s="127" t="s">
        <v>221</v>
      </c>
      <c r="H215" s="119">
        <f t="shared" si="159"/>
        <v>7</v>
      </c>
      <c r="I215" s="119">
        <f t="shared" si="159"/>
        <v>2666.6666666666665</v>
      </c>
      <c r="J215" s="119">
        <f t="shared" si="169"/>
        <v>2799.9999999999995</v>
      </c>
      <c r="K215" s="287">
        <f>'LOE Breakdown by Year'!G39</f>
        <v>0.2</v>
      </c>
      <c r="L215" s="119">
        <f t="shared" si="160"/>
        <v>12</v>
      </c>
      <c r="M215" s="119">
        <f t="shared" si="170"/>
        <v>6656</v>
      </c>
      <c r="N215" s="287">
        <f>'LOE Breakdown by Year'!G63</f>
        <v>0.2</v>
      </c>
      <c r="O215" s="119">
        <f t="shared" si="161"/>
        <v>12</v>
      </c>
      <c r="P215" s="119">
        <f t="shared" si="162"/>
        <v>6922.24</v>
      </c>
      <c r="Q215" s="287">
        <f>'LOE Breakdown by Year'!G87</f>
        <v>0.15</v>
      </c>
      <c r="R215" s="119">
        <f t="shared" si="163"/>
        <v>12</v>
      </c>
      <c r="S215" s="119">
        <f t="shared" si="171"/>
        <v>5399.3472000000002</v>
      </c>
      <c r="T215" s="287">
        <f>'LOE Breakdown by Year'!G111</f>
        <v>0.25</v>
      </c>
      <c r="U215" s="119">
        <f t="shared" si="165"/>
        <v>9</v>
      </c>
      <c r="V215" s="119">
        <f t="shared" si="172"/>
        <v>7019.1513600000008</v>
      </c>
      <c r="W215" s="119">
        <f t="shared" si="173"/>
        <v>28796.738560000002</v>
      </c>
      <c r="X215" s="119">
        <v>0</v>
      </c>
      <c r="Y215" s="119">
        <f t="shared" si="174"/>
        <v>28796.738560000002</v>
      </c>
      <c r="AA215" s="366">
        <v>0.5</v>
      </c>
      <c r="AB215" s="366">
        <v>0.5</v>
      </c>
    </row>
    <row r="216" spans="1:28">
      <c r="A216" s="58" t="s">
        <v>389</v>
      </c>
      <c r="B216" s="58">
        <v>70000</v>
      </c>
      <c r="C216" s="58" t="s">
        <v>222</v>
      </c>
      <c r="D216" s="58">
        <v>0</v>
      </c>
      <c r="E216" s="58" t="str">
        <f t="shared" si="158"/>
        <v>M&amp;E Specialist</v>
      </c>
      <c r="F216" s="288">
        <f>'LOE Breakdown by Year'!G16</f>
        <v>0.15</v>
      </c>
      <c r="G216" s="127" t="s">
        <v>221</v>
      </c>
      <c r="H216" s="119">
        <f t="shared" si="159"/>
        <v>3</v>
      </c>
      <c r="I216" s="119">
        <f t="shared" si="159"/>
        <v>2166.6666666666665</v>
      </c>
      <c r="J216" s="119">
        <f t="shared" si="169"/>
        <v>975</v>
      </c>
      <c r="K216" s="287">
        <f>'LOE Breakdown by Year'!G40</f>
        <v>0.2</v>
      </c>
      <c r="L216" s="119">
        <f t="shared" si="160"/>
        <v>12</v>
      </c>
      <c r="M216" s="119">
        <f t="shared" si="170"/>
        <v>5408</v>
      </c>
      <c r="N216" s="287">
        <f>'LOE Breakdown by Year'!G64</f>
        <v>0.2</v>
      </c>
      <c r="O216" s="119">
        <f t="shared" si="161"/>
        <v>12</v>
      </c>
      <c r="P216" s="119">
        <f t="shared" si="162"/>
        <v>5624.3200000000006</v>
      </c>
      <c r="Q216" s="287">
        <f>'LOE Breakdown by Year'!G88</f>
        <v>0.15</v>
      </c>
      <c r="R216" s="119">
        <f t="shared" si="163"/>
        <v>12</v>
      </c>
      <c r="S216" s="119">
        <f t="shared" si="171"/>
        <v>4386.9696000000004</v>
      </c>
      <c r="T216" s="287">
        <f>'LOE Breakdown by Year'!G112</f>
        <v>0.25</v>
      </c>
      <c r="U216" s="119">
        <f t="shared" si="165"/>
        <v>9</v>
      </c>
      <c r="V216" s="119">
        <f t="shared" si="172"/>
        <v>5703.060480000001</v>
      </c>
      <c r="W216" s="119">
        <f t="shared" si="173"/>
        <v>22097.35008</v>
      </c>
      <c r="X216" s="119">
        <v>0</v>
      </c>
      <c r="Y216" s="119">
        <f t="shared" si="174"/>
        <v>22097.35008</v>
      </c>
      <c r="AA216" s="366">
        <v>0.5</v>
      </c>
      <c r="AB216" s="366">
        <v>0.5</v>
      </c>
    </row>
    <row r="217" spans="1:28" hidden="1">
      <c r="A217" s="58"/>
      <c r="B217" s="58">
        <v>70000</v>
      </c>
      <c r="C217" s="58" t="s">
        <v>222</v>
      </c>
      <c r="D217" s="58"/>
      <c r="E217" s="58" t="str">
        <f t="shared" si="158"/>
        <v>Partnerships and Investment Director</v>
      </c>
      <c r="F217" s="288">
        <f>'LOE Breakdown by Year'!G17</f>
        <v>0</v>
      </c>
      <c r="G217" s="127" t="s">
        <v>221</v>
      </c>
      <c r="H217" s="119">
        <f t="shared" si="159"/>
        <v>8</v>
      </c>
      <c r="I217" s="119">
        <f t="shared" si="159"/>
        <v>3833.3333333333335</v>
      </c>
      <c r="J217" s="119">
        <f t="shared" si="169"/>
        <v>0</v>
      </c>
      <c r="K217" s="287">
        <f>'LOE Breakdown by Year'!G41</f>
        <v>0</v>
      </c>
      <c r="L217" s="119">
        <f t="shared" si="160"/>
        <v>12</v>
      </c>
      <c r="M217" s="119">
        <f t="shared" si="170"/>
        <v>0</v>
      </c>
      <c r="N217" s="287">
        <f>'LOE Breakdown by Year'!G65</f>
        <v>0</v>
      </c>
      <c r="O217" s="119">
        <f t="shared" si="161"/>
        <v>12</v>
      </c>
      <c r="P217" s="119">
        <f t="shared" si="162"/>
        <v>0</v>
      </c>
      <c r="Q217" s="287">
        <f>'LOE Breakdown by Year'!G89</f>
        <v>0</v>
      </c>
      <c r="R217" s="119">
        <f t="shared" si="163"/>
        <v>12</v>
      </c>
      <c r="S217" s="119">
        <f t="shared" si="171"/>
        <v>0</v>
      </c>
      <c r="T217" s="287">
        <f>'LOE Breakdown by Year'!G113</f>
        <v>0</v>
      </c>
      <c r="U217" s="119">
        <f t="shared" si="165"/>
        <v>9</v>
      </c>
      <c r="V217" s="119">
        <f t="shared" si="172"/>
        <v>0</v>
      </c>
      <c r="W217" s="119">
        <f t="shared" si="173"/>
        <v>0</v>
      </c>
      <c r="X217" s="119">
        <v>0</v>
      </c>
      <c r="Y217" s="119">
        <f t="shared" si="174"/>
        <v>0</v>
      </c>
      <c r="AA217" s="366">
        <v>0.5</v>
      </c>
      <c r="AB217" s="366">
        <v>0.5</v>
      </c>
    </row>
    <row r="218" spans="1:28">
      <c r="A218" s="58" t="s">
        <v>389</v>
      </c>
      <c r="B218" s="58">
        <v>70000</v>
      </c>
      <c r="C218" s="58" t="s">
        <v>222</v>
      </c>
      <c r="D218" s="58">
        <v>0</v>
      </c>
      <c r="E218" s="58" t="str">
        <f t="shared" si="158"/>
        <v>Extension Agents (15)</v>
      </c>
      <c r="F218" s="288">
        <f>'LOE Breakdown by Year'!G18</f>
        <v>0.8</v>
      </c>
      <c r="G218" s="127" t="s">
        <v>221</v>
      </c>
      <c r="H218" s="119">
        <f t="shared" si="159"/>
        <v>3</v>
      </c>
      <c r="I218" s="119">
        <f t="shared" si="159"/>
        <v>26250</v>
      </c>
      <c r="J218" s="119">
        <f t="shared" si="169"/>
        <v>63000</v>
      </c>
      <c r="K218" s="287">
        <f>'LOE Breakdown by Year'!G42</f>
        <v>0.8</v>
      </c>
      <c r="L218" s="119">
        <f t="shared" si="160"/>
        <v>12</v>
      </c>
      <c r="M218" s="119">
        <f t="shared" si="170"/>
        <v>262080</v>
      </c>
      <c r="N218" s="287">
        <f>'LOE Breakdown by Year'!G66</f>
        <v>0.8</v>
      </c>
      <c r="O218" s="119">
        <f t="shared" si="161"/>
        <v>12</v>
      </c>
      <c r="P218" s="119">
        <f t="shared" si="162"/>
        <v>272563.20000000001</v>
      </c>
      <c r="Q218" s="287">
        <f>'LOE Breakdown by Year'!G90</f>
        <v>0.8</v>
      </c>
      <c r="R218" s="119">
        <f t="shared" si="163"/>
        <v>12</v>
      </c>
      <c r="S218" s="119">
        <f t="shared" si="171"/>
        <v>283465.728</v>
      </c>
      <c r="T218" s="287">
        <f>'LOE Breakdown by Year'!G114</f>
        <v>0.8</v>
      </c>
      <c r="U218" s="119">
        <f t="shared" si="165"/>
        <v>9</v>
      </c>
      <c r="V218" s="119">
        <f t="shared" si="172"/>
        <v>221103.26784000001</v>
      </c>
      <c r="W218" s="119">
        <f t="shared" si="173"/>
        <v>1102212.1958400002</v>
      </c>
      <c r="X218" s="119">
        <v>0</v>
      </c>
      <c r="Y218" s="119">
        <f t="shared" si="174"/>
        <v>1102212.1958400002</v>
      </c>
      <c r="AA218" s="366">
        <v>0.5</v>
      </c>
      <c r="AB218" s="366">
        <v>0.5</v>
      </c>
    </row>
    <row r="219" spans="1:28">
      <c r="A219" s="58" t="s">
        <v>389</v>
      </c>
      <c r="B219" s="58">
        <v>70000</v>
      </c>
      <c r="C219" s="58" t="s">
        <v>222</v>
      </c>
      <c r="D219" s="58">
        <v>0</v>
      </c>
      <c r="E219" s="58" t="str">
        <f t="shared" si="158"/>
        <v>Activity Lead Agribusiness Senior Specialist (Cacao)</v>
      </c>
      <c r="F219" s="288">
        <f>'LOE Breakdown by Year'!G19</f>
        <v>0.3</v>
      </c>
      <c r="G219" s="127" t="s">
        <v>221</v>
      </c>
      <c r="H219" s="119">
        <f t="shared" si="159"/>
        <v>3</v>
      </c>
      <c r="I219" s="119">
        <f t="shared" si="159"/>
        <v>2833.3333333333335</v>
      </c>
      <c r="J219" s="119">
        <f t="shared" si="169"/>
        <v>2550</v>
      </c>
      <c r="K219" s="287">
        <f>'LOE Breakdown by Year'!G43</f>
        <v>0.35</v>
      </c>
      <c r="L219" s="119">
        <f t="shared" si="160"/>
        <v>12</v>
      </c>
      <c r="M219" s="119">
        <f t="shared" si="170"/>
        <v>12376</v>
      </c>
      <c r="N219" s="287">
        <f>'LOE Breakdown by Year'!G67</f>
        <v>0.35</v>
      </c>
      <c r="O219" s="119">
        <f t="shared" si="161"/>
        <v>12</v>
      </c>
      <c r="P219" s="119">
        <f t="shared" si="162"/>
        <v>12871.04</v>
      </c>
      <c r="Q219" s="287">
        <f>'LOE Breakdown by Year'!G91</f>
        <v>0.35</v>
      </c>
      <c r="R219" s="119">
        <f t="shared" si="163"/>
        <v>12</v>
      </c>
      <c r="S219" s="119">
        <f t="shared" si="171"/>
        <v>13385.881600000001</v>
      </c>
      <c r="T219" s="287">
        <f>'LOE Breakdown by Year'!G115</f>
        <v>0.3</v>
      </c>
      <c r="U219" s="119">
        <f t="shared" si="165"/>
        <v>9</v>
      </c>
      <c r="V219" s="119">
        <f t="shared" si="172"/>
        <v>8949.4179839999997</v>
      </c>
      <c r="W219" s="119">
        <f t="shared" si="173"/>
        <v>50132.339584000001</v>
      </c>
      <c r="X219" s="119">
        <v>0</v>
      </c>
      <c r="Y219" s="119">
        <f t="shared" si="174"/>
        <v>50132.339584000001</v>
      </c>
      <c r="AA219" s="366">
        <v>1</v>
      </c>
      <c r="AB219" s="366">
        <v>0</v>
      </c>
    </row>
    <row r="220" spans="1:28">
      <c r="A220" s="58" t="s">
        <v>389</v>
      </c>
      <c r="B220" s="58">
        <v>70000</v>
      </c>
      <c r="C220" s="58" t="s">
        <v>222</v>
      </c>
      <c r="D220" s="58">
        <v>0</v>
      </c>
      <c r="E220" s="58" t="str">
        <f t="shared" si="158"/>
        <v>Activity Lead Agribusiness Senior Specialist (Complementary Crop)</v>
      </c>
      <c r="F220" s="288">
        <f>'LOE Breakdown by Year'!G20</f>
        <v>0.3</v>
      </c>
      <c r="G220" s="127" t="s">
        <v>221</v>
      </c>
      <c r="H220" s="119">
        <f t="shared" si="159"/>
        <v>3</v>
      </c>
      <c r="I220" s="119">
        <f t="shared" si="159"/>
        <v>2833.3333333333335</v>
      </c>
      <c r="J220" s="119">
        <f t="shared" si="169"/>
        <v>2550</v>
      </c>
      <c r="K220" s="287">
        <f>'LOE Breakdown by Year'!G44</f>
        <v>0.35</v>
      </c>
      <c r="L220" s="119">
        <f t="shared" si="160"/>
        <v>12</v>
      </c>
      <c r="M220" s="119">
        <f t="shared" si="170"/>
        <v>12376</v>
      </c>
      <c r="N220" s="287">
        <f>'LOE Breakdown by Year'!G68</f>
        <v>0.35</v>
      </c>
      <c r="O220" s="119">
        <f t="shared" si="161"/>
        <v>12</v>
      </c>
      <c r="P220" s="119">
        <f t="shared" si="162"/>
        <v>12871.04</v>
      </c>
      <c r="Q220" s="287">
        <f>'LOE Breakdown by Year'!G92</f>
        <v>0.35</v>
      </c>
      <c r="R220" s="119">
        <f t="shared" si="163"/>
        <v>12</v>
      </c>
      <c r="S220" s="119">
        <f t="shared" si="171"/>
        <v>13385.881600000001</v>
      </c>
      <c r="T220" s="287">
        <f>'LOE Breakdown by Year'!G116</f>
        <v>0.3</v>
      </c>
      <c r="U220" s="119">
        <f t="shared" si="165"/>
        <v>9</v>
      </c>
      <c r="V220" s="119">
        <f t="shared" si="172"/>
        <v>8949.4179839999997</v>
      </c>
      <c r="W220" s="119">
        <f t="shared" si="173"/>
        <v>50132.339584000001</v>
      </c>
      <c r="X220" s="119">
        <v>0</v>
      </c>
      <c r="Y220" s="119">
        <f t="shared" si="174"/>
        <v>50132.339584000001</v>
      </c>
      <c r="AA220" s="366">
        <v>0</v>
      </c>
      <c r="AB220" s="366">
        <v>1</v>
      </c>
    </row>
    <row r="221" spans="1:28">
      <c r="A221" s="58" t="s">
        <v>389</v>
      </c>
      <c r="B221" s="58">
        <v>70000</v>
      </c>
      <c r="C221" s="58" t="s">
        <v>222</v>
      </c>
      <c r="D221" s="58">
        <v>0</v>
      </c>
      <c r="E221" s="58" t="str">
        <f t="shared" si="158"/>
        <v xml:space="preserve">Food Safety Mid-Specialist </v>
      </c>
      <c r="F221" s="288">
        <f>'LOE Breakdown by Year'!G21</f>
        <v>0.1</v>
      </c>
      <c r="G221" s="127" t="s">
        <v>221</v>
      </c>
      <c r="H221" s="119">
        <f t="shared" si="159"/>
        <v>3</v>
      </c>
      <c r="I221" s="119">
        <f t="shared" si="159"/>
        <v>2666.6666666666665</v>
      </c>
      <c r="J221" s="119">
        <f t="shared" si="169"/>
        <v>800</v>
      </c>
      <c r="K221" s="287">
        <f>'LOE Breakdown by Year'!G45</f>
        <v>0.1</v>
      </c>
      <c r="L221" s="119">
        <f t="shared" si="160"/>
        <v>12</v>
      </c>
      <c r="M221" s="119">
        <f t="shared" si="170"/>
        <v>3328</v>
      </c>
      <c r="N221" s="287">
        <f>'LOE Breakdown by Year'!G69</f>
        <v>0.1</v>
      </c>
      <c r="O221" s="119">
        <f t="shared" si="161"/>
        <v>12</v>
      </c>
      <c r="P221" s="119">
        <f t="shared" si="162"/>
        <v>3461.12</v>
      </c>
      <c r="Q221" s="287">
        <f>'LOE Breakdown by Year'!G93</f>
        <v>0.1</v>
      </c>
      <c r="R221" s="119">
        <f t="shared" si="163"/>
        <v>12</v>
      </c>
      <c r="S221" s="119">
        <f t="shared" si="171"/>
        <v>3599.5648000000001</v>
      </c>
      <c r="T221" s="287">
        <f>'LOE Breakdown by Year'!G117</f>
        <v>0.1</v>
      </c>
      <c r="U221" s="119">
        <f t="shared" si="165"/>
        <v>9</v>
      </c>
      <c r="V221" s="119">
        <f t="shared" si="172"/>
        <v>2807.6605440000003</v>
      </c>
      <c r="W221" s="119">
        <f t="shared" si="173"/>
        <v>13996.345343999999</v>
      </c>
      <c r="X221" s="119">
        <v>0</v>
      </c>
      <c r="Y221" s="119">
        <f t="shared" si="174"/>
        <v>13996.345343999999</v>
      </c>
      <c r="AA221" s="366">
        <v>0.5</v>
      </c>
      <c r="AB221" s="366">
        <v>0.5</v>
      </c>
    </row>
    <row r="222" spans="1:28" hidden="1">
      <c r="A222" s="58"/>
      <c r="B222" s="58">
        <v>70000</v>
      </c>
      <c r="C222" s="58" t="s">
        <v>222</v>
      </c>
      <c r="D222" s="58"/>
      <c r="E222" s="58" t="str">
        <f t="shared" si="158"/>
        <v>Compliance Director</v>
      </c>
      <c r="F222" s="288">
        <f>'LOE Breakdown by Year'!G22</f>
        <v>0</v>
      </c>
      <c r="G222" s="127" t="s">
        <v>221</v>
      </c>
      <c r="H222" s="119">
        <f t="shared" si="159"/>
        <v>8</v>
      </c>
      <c r="I222" s="119">
        <f t="shared" si="159"/>
        <v>6833.333333333333</v>
      </c>
      <c r="J222" s="119">
        <f t="shared" si="169"/>
        <v>0</v>
      </c>
      <c r="K222" s="287">
        <f>'LOE Breakdown by Year'!G46</f>
        <v>0</v>
      </c>
      <c r="L222" s="119">
        <f t="shared" si="160"/>
        <v>12</v>
      </c>
      <c r="M222" s="119">
        <f t="shared" si="170"/>
        <v>0</v>
      </c>
      <c r="N222" s="287">
        <f>'LOE Breakdown by Year'!G70</f>
        <v>0</v>
      </c>
      <c r="O222" s="119">
        <f t="shared" si="161"/>
        <v>12</v>
      </c>
      <c r="P222" s="119">
        <f t="shared" si="162"/>
        <v>0</v>
      </c>
      <c r="Q222" s="287">
        <f>'LOE Breakdown by Year'!G94</f>
        <v>0</v>
      </c>
      <c r="R222" s="119">
        <f t="shared" si="163"/>
        <v>12</v>
      </c>
      <c r="S222" s="119">
        <f t="shared" si="171"/>
        <v>0</v>
      </c>
      <c r="T222" s="287">
        <f>'LOE Breakdown by Year'!G118</f>
        <v>0</v>
      </c>
      <c r="U222" s="119">
        <f t="shared" si="165"/>
        <v>12</v>
      </c>
      <c r="V222" s="119">
        <f t="shared" si="172"/>
        <v>0</v>
      </c>
      <c r="W222" s="119">
        <f t="shared" si="173"/>
        <v>0</v>
      </c>
      <c r="X222" s="119">
        <v>0</v>
      </c>
      <c r="Y222" s="119">
        <f t="shared" si="174"/>
        <v>0</v>
      </c>
      <c r="AA222" s="366">
        <v>0.5</v>
      </c>
      <c r="AB222" s="366">
        <v>0.5</v>
      </c>
    </row>
    <row r="223" spans="1:28" hidden="1">
      <c r="A223" s="58"/>
      <c r="B223" s="58">
        <v>70000</v>
      </c>
      <c r="C223" s="58" t="s">
        <v>222</v>
      </c>
      <c r="D223" s="58"/>
      <c r="E223" s="58" t="str">
        <f t="shared" si="158"/>
        <v xml:space="preserve">Accountant </v>
      </c>
      <c r="F223" s="288">
        <f>'LOE Breakdown by Year'!G23</f>
        <v>0</v>
      </c>
      <c r="G223" s="127" t="s">
        <v>221</v>
      </c>
      <c r="H223" s="119">
        <f t="shared" si="159"/>
        <v>3</v>
      </c>
      <c r="I223" s="119">
        <f t="shared" si="159"/>
        <v>1750</v>
      </c>
      <c r="J223" s="119">
        <f t="shared" ref="J223:J224" si="175">H223*I223*F223</f>
        <v>0</v>
      </c>
      <c r="K223" s="287">
        <f>'LOE Breakdown by Year'!G47</f>
        <v>0</v>
      </c>
      <c r="L223" s="119">
        <f t="shared" si="160"/>
        <v>12</v>
      </c>
      <c r="M223" s="119">
        <f t="shared" ref="M223:M224" si="176">L223*I223*$F$8*$K223</f>
        <v>0</v>
      </c>
      <c r="N223" s="287">
        <f>'LOE Breakdown by Year'!G71</f>
        <v>0</v>
      </c>
      <c r="O223" s="119">
        <f t="shared" si="161"/>
        <v>12</v>
      </c>
      <c r="P223" s="119">
        <f t="shared" ref="P223:P224" si="177">O223*I223*$N223*$F$8*$F$8</f>
        <v>0</v>
      </c>
      <c r="Q223" s="287">
        <f>'LOE Breakdown by Year'!G95</f>
        <v>0</v>
      </c>
      <c r="R223" s="119">
        <f t="shared" si="163"/>
        <v>12</v>
      </c>
      <c r="S223" s="119">
        <f t="shared" ref="S223:S224" si="178">R223*I223*$Q223*$F$8*$F$8*$F$8</f>
        <v>0</v>
      </c>
      <c r="T223" s="287">
        <f>'LOE Breakdown by Year'!G119</f>
        <v>0</v>
      </c>
      <c r="U223" s="119">
        <f t="shared" si="165"/>
        <v>9</v>
      </c>
      <c r="V223" s="119">
        <f t="shared" ref="V223:V224" si="179">U223*I223*$T223*$F$8*$F$8*$F$8*$F$8</f>
        <v>0</v>
      </c>
      <c r="W223" s="119">
        <f t="shared" ref="W223:W224" si="180">SUM(S223,P223,M223,J223,V223)</f>
        <v>0</v>
      </c>
      <c r="X223" s="119">
        <v>0</v>
      </c>
      <c r="Y223" s="119">
        <f t="shared" ref="Y223:Y224" si="181">SUM(W223:X223)</f>
        <v>0</v>
      </c>
      <c r="AA223" s="366">
        <v>0.5</v>
      </c>
      <c r="AB223" s="366">
        <v>0.5</v>
      </c>
    </row>
    <row r="224" spans="1:28" hidden="1">
      <c r="A224" s="58"/>
      <c r="B224" s="58">
        <v>70000</v>
      </c>
      <c r="C224" s="58" t="s">
        <v>222</v>
      </c>
      <c r="D224" s="58"/>
      <c r="E224" s="58" t="str">
        <f t="shared" si="158"/>
        <v xml:space="preserve">Administrative Assistant </v>
      </c>
      <c r="F224" s="288">
        <f>'LOE Breakdown by Year'!G24</f>
        <v>0</v>
      </c>
      <c r="G224" s="127" t="s">
        <v>221</v>
      </c>
      <c r="H224" s="119">
        <f t="shared" si="159"/>
        <v>3</v>
      </c>
      <c r="I224" s="119">
        <f t="shared" si="159"/>
        <v>1250</v>
      </c>
      <c r="J224" s="119">
        <f t="shared" si="175"/>
        <v>0</v>
      </c>
      <c r="K224" s="287">
        <f>'LOE Breakdown by Year'!G48</f>
        <v>0</v>
      </c>
      <c r="L224" s="119">
        <f t="shared" si="160"/>
        <v>12</v>
      </c>
      <c r="M224" s="119">
        <f t="shared" si="176"/>
        <v>0</v>
      </c>
      <c r="N224" s="287">
        <f>'LOE Breakdown by Year'!G72</f>
        <v>0</v>
      </c>
      <c r="O224" s="119">
        <f t="shared" si="161"/>
        <v>12</v>
      </c>
      <c r="P224" s="119">
        <f t="shared" si="177"/>
        <v>0</v>
      </c>
      <c r="Q224" s="287">
        <f>'LOE Breakdown by Year'!G96</f>
        <v>0</v>
      </c>
      <c r="R224" s="119">
        <f t="shared" si="163"/>
        <v>12</v>
      </c>
      <c r="S224" s="119">
        <f t="shared" si="178"/>
        <v>0</v>
      </c>
      <c r="T224" s="287">
        <f>'LOE Breakdown by Year'!G120</f>
        <v>0</v>
      </c>
      <c r="U224" s="119">
        <f t="shared" si="165"/>
        <v>9</v>
      </c>
      <c r="V224" s="119">
        <f t="shared" si="179"/>
        <v>0</v>
      </c>
      <c r="W224" s="119">
        <f t="shared" si="180"/>
        <v>0</v>
      </c>
      <c r="X224" s="119">
        <v>0</v>
      </c>
      <c r="Y224" s="119">
        <f t="shared" si="181"/>
        <v>0</v>
      </c>
      <c r="AA224" s="366">
        <v>0.5</v>
      </c>
      <c r="AB224" s="366">
        <v>0.5</v>
      </c>
    </row>
    <row r="225" spans="1:28">
      <c r="A225" s="109"/>
      <c r="B225" s="109"/>
      <c r="C225" s="109"/>
      <c r="D225" s="109"/>
      <c r="E225" s="109" t="s">
        <v>390</v>
      </c>
      <c r="F225" s="300"/>
      <c r="G225" s="123"/>
      <c r="H225" s="124"/>
      <c r="I225" s="124"/>
      <c r="J225" s="125">
        <f>SUM(J211:J224)</f>
        <v>101608.33333333334</v>
      </c>
      <c r="K225" s="300"/>
      <c r="L225" s="125"/>
      <c r="M225" s="125">
        <f>SUM(M211:M224)</f>
        <v>341952</v>
      </c>
      <c r="N225" s="300"/>
      <c r="O225" s="125"/>
      <c r="P225" s="125">
        <f>SUM(P211:P224)</f>
        <v>355630.07999999996</v>
      </c>
      <c r="Q225" s="300"/>
      <c r="R225" s="125"/>
      <c r="S225" s="125">
        <f>SUM(S211:S224)</f>
        <v>364005.99040000007</v>
      </c>
      <c r="T225" s="300"/>
      <c r="U225" s="125"/>
      <c r="V225" s="125">
        <f>SUM(V211:V224)</f>
        <v>307409.58310400002</v>
      </c>
      <c r="W225" s="125">
        <f>SUM(W211:W224)</f>
        <v>1470605.9868373335</v>
      </c>
      <c r="X225" s="125">
        <f>SUM(X211:X224)</f>
        <v>0</v>
      </c>
      <c r="Y225" s="125">
        <f>SUM(Y211:Y224)</f>
        <v>1470605.9868373335</v>
      </c>
    </row>
    <row r="226" spans="1:28">
      <c r="A226" s="272"/>
      <c r="B226" s="272"/>
      <c r="C226" s="272"/>
      <c r="D226" s="272"/>
      <c r="E226" s="272"/>
      <c r="F226" s="301"/>
      <c r="G226" s="245"/>
      <c r="H226" s="154"/>
      <c r="I226" s="154"/>
      <c r="J226" s="154"/>
      <c r="K226" s="301"/>
      <c r="L226" s="154"/>
      <c r="M226" s="154"/>
      <c r="N226" s="301"/>
      <c r="O226" s="154"/>
      <c r="P226" s="154"/>
      <c r="Q226" s="301"/>
      <c r="R226" s="154"/>
      <c r="S226" s="154"/>
      <c r="T226" s="301"/>
      <c r="U226" s="154"/>
      <c r="V226" s="154"/>
      <c r="W226" s="154"/>
      <c r="X226" s="154"/>
      <c r="Y226" s="154"/>
    </row>
    <row r="227" spans="1:28">
      <c r="A227" s="109"/>
      <c r="B227" s="109"/>
      <c r="C227" s="109"/>
      <c r="D227" s="109"/>
      <c r="E227" s="109" t="s">
        <v>391</v>
      </c>
      <c r="F227" s="300"/>
      <c r="G227" s="123"/>
      <c r="H227" s="124"/>
      <c r="I227" s="124"/>
      <c r="J227" s="125"/>
      <c r="K227" s="300"/>
      <c r="L227" s="125"/>
      <c r="M227" s="125"/>
      <c r="N227" s="300"/>
      <c r="O227" s="125"/>
      <c r="P227" s="125"/>
      <c r="Q227" s="300"/>
      <c r="R227" s="125"/>
      <c r="S227" s="125"/>
      <c r="T227" s="300"/>
      <c r="U227" s="125"/>
      <c r="V227" s="125"/>
      <c r="W227" s="125"/>
      <c r="X227" s="125"/>
      <c r="Y227" s="125"/>
    </row>
    <row r="228" spans="1:28">
      <c r="A228" s="58" t="s">
        <v>392</v>
      </c>
      <c r="B228" s="58">
        <v>70015</v>
      </c>
      <c r="C228" s="58" t="s">
        <v>222</v>
      </c>
      <c r="D228" s="58">
        <v>0</v>
      </c>
      <c r="E228" s="58" t="str">
        <f>E35</f>
        <v>Fringe Benefits CCN - Colombia (above $2,600 monthly)</v>
      </c>
      <c r="F228" s="288"/>
      <c r="G228" s="246" t="s">
        <v>238</v>
      </c>
      <c r="H228" s="119"/>
      <c r="I228" s="438">
        <f>I35</f>
        <v>0.53864000000000001</v>
      </c>
      <c r="J228" s="119">
        <f>(J217+J212+J213+J214+J222+J215+J219+J220+J221)*$I$228</f>
        <v>12191.218666666666</v>
      </c>
      <c r="K228" s="288"/>
      <c r="L228" s="119"/>
      <c r="M228" s="119">
        <f>(M217+M212+M213+M214+M222+M215+M219+M220+M221)*$I$228</f>
        <v>31706.504960000002</v>
      </c>
      <c r="N228" s="288"/>
      <c r="O228" s="119"/>
      <c r="P228" s="119">
        <f>(P217+P212+P213+P214+P222+P215+P219+P220+P221)*$I$228</f>
        <v>32974.765158400005</v>
      </c>
      <c r="Q228" s="288"/>
      <c r="R228" s="119"/>
      <c r="S228" s="119">
        <f>(S217+S212+S213+S214+S222+S215+S219+S220+S221)*$I$228</f>
        <v>31930.758459392004</v>
      </c>
      <c r="T228" s="288"/>
      <c r="U228" s="119"/>
      <c r="V228" s="119">
        <f>(V217+V212+V213+V214+V222+V215+V219+V220+V221)*$I$228</f>
        <v>33964.147935477769</v>
      </c>
      <c r="W228" s="119">
        <f t="shared" ref="W228:W231" si="182">SUM(S228,P228,M228,J228,V228)</f>
        <v>142767.39517993643</v>
      </c>
      <c r="X228" s="154">
        <v>0</v>
      </c>
      <c r="Y228" s="119">
        <f>SUM(W228:X228)</f>
        <v>142767.39517993643</v>
      </c>
      <c r="AA228" s="366">
        <v>0.5</v>
      </c>
      <c r="AB228" s="366">
        <v>0.5</v>
      </c>
    </row>
    <row r="229" spans="1:28">
      <c r="A229" s="58" t="s">
        <v>392</v>
      </c>
      <c r="B229" s="58">
        <v>70015</v>
      </c>
      <c r="C229" s="58" t="s">
        <v>222</v>
      </c>
      <c r="D229" s="58">
        <v>0</v>
      </c>
      <c r="E229" s="58" t="str">
        <f>E36</f>
        <v>Fringe Benefits CCN - Colombia (below $2,600 monthly)</v>
      </c>
      <c r="F229" s="288"/>
      <c r="G229" s="246" t="s">
        <v>238</v>
      </c>
      <c r="H229" s="119"/>
      <c r="I229" s="438">
        <f>I36</f>
        <v>0.40364</v>
      </c>
      <c r="J229" s="119">
        <f>(J218+J216+J223+J224)*$I$229</f>
        <v>25822.868999999999</v>
      </c>
      <c r="K229" s="288"/>
      <c r="L229" s="119"/>
      <c r="M229" s="119">
        <f>(M218+M216+M223+M224)*$I$229</f>
        <v>107968.85632000001</v>
      </c>
      <c r="N229" s="288"/>
      <c r="O229" s="119"/>
      <c r="P229" s="119">
        <f>(P218+P216+P223+P224)*$I$229</f>
        <v>112287.61057280001</v>
      </c>
      <c r="Q229" s="288"/>
      <c r="R229" s="119"/>
      <c r="S229" s="119">
        <f>(S218+S216+S223+S224)*$I$229</f>
        <v>116188.862859264</v>
      </c>
      <c r="T229" s="288"/>
      <c r="U229" s="119"/>
      <c r="V229" s="119">
        <f>(V218+V216+V223+V224)*$I$229</f>
        <v>91548.106363084808</v>
      </c>
      <c r="W229" s="119">
        <f t="shared" si="182"/>
        <v>453816.30511514883</v>
      </c>
      <c r="X229" s="154">
        <v>0</v>
      </c>
      <c r="Y229" s="119">
        <f>SUM(W229:X229)</f>
        <v>453816.30511514883</v>
      </c>
      <c r="AA229" s="366">
        <v>0.5</v>
      </c>
      <c r="AB229" s="366">
        <v>0.5</v>
      </c>
    </row>
    <row r="230" spans="1:28">
      <c r="A230" s="510" t="s">
        <v>925</v>
      </c>
      <c r="B230" s="58">
        <v>50202</v>
      </c>
      <c r="C230" s="58" t="s">
        <v>219</v>
      </c>
      <c r="D230" s="58">
        <v>0</v>
      </c>
      <c r="E230" s="120" t="str">
        <f>E38</f>
        <v>Post (Hardship) Differential for Chief of Party</v>
      </c>
      <c r="F230" s="293"/>
      <c r="G230" s="246" t="s">
        <v>238</v>
      </c>
      <c r="I230" s="129">
        <f>I38</f>
        <v>0.1</v>
      </c>
      <c r="J230" s="248">
        <f>J211*$I$230</f>
        <v>1500</v>
      </c>
      <c r="K230" s="293"/>
      <c r="L230" s="248"/>
      <c r="M230" s="248">
        <f>M211*$I$230</f>
        <v>1560</v>
      </c>
      <c r="N230" s="293"/>
      <c r="O230" s="248"/>
      <c r="P230" s="248">
        <f>P211*$I$230</f>
        <v>1622.4</v>
      </c>
      <c r="Q230" s="293"/>
      <c r="R230" s="248"/>
      <c r="S230" s="248">
        <f>S211*$I$230</f>
        <v>1687.296</v>
      </c>
      <c r="T230" s="293"/>
      <c r="U230" s="248"/>
      <c r="V230" s="248">
        <f>V211*$I$230</f>
        <v>1754.7878400000002</v>
      </c>
      <c r="W230" s="119">
        <f t="shared" si="182"/>
        <v>8124.4838399999999</v>
      </c>
      <c r="X230" s="119" t="s">
        <v>243</v>
      </c>
      <c r="Y230" s="119">
        <f>SUM(W230:X230)</f>
        <v>8124.4838399999999</v>
      </c>
      <c r="AA230" s="366">
        <v>0.5</v>
      </c>
      <c r="AB230" s="366">
        <v>0.5</v>
      </c>
    </row>
    <row r="231" spans="1:28">
      <c r="A231" s="58" t="s">
        <v>392</v>
      </c>
      <c r="B231" s="58">
        <v>50900</v>
      </c>
      <c r="C231" s="58" t="s">
        <v>219</v>
      </c>
      <c r="D231" s="58">
        <v>0</v>
      </c>
      <c r="E231" s="120" t="str">
        <f>E39</f>
        <v>Fringe Benefits Package for Chief of Party</v>
      </c>
      <c r="F231" s="293"/>
      <c r="G231" s="246" t="s">
        <v>238</v>
      </c>
      <c r="I231" s="150">
        <f>I39</f>
        <v>0.56810000000000005</v>
      </c>
      <c r="J231" s="248">
        <f>J211*$I$231</f>
        <v>8521.5</v>
      </c>
      <c r="K231" s="293"/>
      <c r="L231" s="248"/>
      <c r="M231" s="248">
        <f>M211*$I$231</f>
        <v>8862.36</v>
      </c>
      <c r="N231" s="293"/>
      <c r="O231" s="248"/>
      <c r="P231" s="248">
        <f>P211*$I$231</f>
        <v>9216.8544000000002</v>
      </c>
      <c r="Q231" s="293"/>
      <c r="R231" s="248"/>
      <c r="S231" s="248">
        <f>S211*$I$231</f>
        <v>9585.5285760000006</v>
      </c>
      <c r="T231" s="293"/>
      <c r="U231" s="248"/>
      <c r="V231" s="248">
        <f>V211*$I$231</f>
        <v>9968.9497190400016</v>
      </c>
      <c r="W231" s="119">
        <f t="shared" si="182"/>
        <v>46155.192695040001</v>
      </c>
      <c r="X231" s="119" t="s">
        <v>243</v>
      </c>
      <c r="Y231" s="119">
        <f>SUM(W231:X231)</f>
        <v>46155.192695040001</v>
      </c>
      <c r="AA231" s="366">
        <v>0.5</v>
      </c>
      <c r="AB231" s="366">
        <v>0.5</v>
      </c>
    </row>
    <row r="232" spans="1:28">
      <c r="A232" s="109"/>
      <c r="B232" s="109"/>
      <c r="C232" s="109"/>
      <c r="D232" s="109"/>
      <c r="E232" s="109" t="s">
        <v>393</v>
      </c>
      <c r="F232" s="300"/>
      <c r="G232" s="123"/>
      <c r="H232" s="124"/>
      <c r="I232" s="124"/>
      <c r="J232" s="125">
        <f>SUM(J228:J231)</f>
        <v>48035.587666666666</v>
      </c>
      <c r="K232" s="300"/>
      <c r="L232" s="125"/>
      <c r="M232" s="125">
        <f>SUM(M228:M231)</f>
        <v>150097.72128</v>
      </c>
      <c r="N232" s="300"/>
      <c r="O232" s="125"/>
      <c r="P232" s="125">
        <f>SUM(P228:P231)</f>
        <v>156101.63013120001</v>
      </c>
      <c r="Q232" s="300"/>
      <c r="R232" s="125"/>
      <c r="S232" s="125">
        <f>SUM(S228:S231)</f>
        <v>159392.44589465603</v>
      </c>
      <c r="T232" s="300"/>
      <c r="U232" s="125"/>
      <c r="V232" s="125">
        <f>SUM(V228:V231)</f>
        <v>137235.99185760258</v>
      </c>
      <c r="W232" s="125">
        <f>SUM(W228:W231)</f>
        <v>650863.37683012534</v>
      </c>
      <c r="X232" s="125">
        <f>SUM(X228:X231)</f>
        <v>0</v>
      </c>
      <c r="Y232" s="125">
        <f>SUM(Y228:Y231)</f>
        <v>650863.37683012534</v>
      </c>
      <c r="AA232" s="366"/>
      <c r="AB232" s="366"/>
    </row>
    <row r="233" spans="1:28">
      <c r="A233" s="272"/>
      <c r="B233" s="272"/>
      <c r="C233" s="272"/>
      <c r="D233" s="272"/>
      <c r="E233" s="272"/>
      <c r="F233" s="301"/>
      <c r="G233" s="245"/>
      <c r="H233" s="154"/>
      <c r="I233" s="154"/>
      <c r="J233" s="154"/>
      <c r="K233" s="301"/>
      <c r="L233" s="154"/>
      <c r="M233" s="154"/>
      <c r="N233" s="301"/>
      <c r="O233" s="154"/>
      <c r="P233" s="154"/>
      <c r="Q233" s="301"/>
      <c r="R233" s="154"/>
      <c r="S233" s="154"/>
      <c r="T233" s="301"/>
      <c r="U233" s="154"/>
      <c r="V233" s="154"/>
      <c r="W233" s="154"/>
      <c r="X233" s="154"/>
      <c r="Y233" s="154"/>
      <c r="AA233" s="355"/>
      <c r="AB233" s="355"/>
    </row>
    <row r="234" spans="1:28">
      <c r="A234" s="109"/>
      <c r="B234" s="109"/>
      <c r="C234" s="109"/>
      <c r="D234" s="109"/>
      <c r="E234" s="109" t="s">
        <v>394</v>
      </c>
      <c r="F234" s="300"/>
      <c r="G234" s="123"/>
      <c r="H234" s="124"/>
      <c r="I234" s="124"/>
      <c r="J234" s="124"/>
      <c r="K234" s="300"/>
      <c r="L234" s="124"/>
      <c r="M234" s="124"/>
      <c r="N234" s="300"/>
      <c r="O234" s="124"/>
      <c r="P234" s="124"/>
      <c r="Q234" s="300"/>
      <c r="R234" s="124"/>
      <c r="S234" s="124"/>
      <c r="T234" s="300"/>
      <c r="U234" s="124"/>
      <c r="V234" s="124"/>
      <c r="W234" s="124"/>
      <c r="X234" s="124"/>
      <c r="Y234" s="124"/>
      <c r="AA234" s="366"/>
      <c r="AB234" s="366"/>
    </row>
    <row r="235" spans="1:28">
      <c r="A235" s="58" t="s">
        <v>395</v>
      </c>
      <c r="B235" s="58">
        <v>86000</v>
      </c>
      <c r="C235" s="58" t="s">
        <v>222</v>
      </c>
      <c r="D235" s="58">
        <v>0</v>
      </c>
      <c r="E235" s="58" t="s">
        <v>396</v>
      </c>
      <c r="F235" s="293"/>
      <c r="G235" s="58" t="s">
        <v>221</v>
      </c>
      <c r="H235" s="119">
        <v>3</v>
      </c>
      <c r="I235" s="119">
        <f>100*15</f>
        <v>1500</v>
      </c>
      <c r="J235" s="119">
        <f>H235*I235</f>
        <v>4500</v>
      </c>
      <c r="K235" s="293"/>
      <c r="L235" s="119">
        <v>12</v>
      </c>
      <c r="M235" s="119">
        <f t="shared" ref="M235" si="183">L235*I235*$F$7</f>
        <v>18720</v>
      </c>
      <c r="N235" s="293"/>
      <c r="O235" s="119">
        <v>12</v>
      </c>
      <c r="P235" s="119">
        <f t="shared" ref="P235" si="184">O235*I235*$F$7*$F$7</f>
        <v>19468.8</v>
      </c>
      <c r="Q235" s="293"/>
      <c r="R235" s="119">
        <v>12</v>
      </c>
      <c r="S235" s="119">
        <f t="shared" ref="S235" si="185">R235*I235*$F$7*$F$7*$F$7</f>
        <v>20247.552</v>
      </c>
      <c r="T235" s="293"/>
      <c r="U235" s="119">
        <v>9</v>
      </c>
      <c r="V235" s="119">
        <f t="shared" ref="V235" si="186">U235*I235*$F$7*$F$7*$F$7*$F$7</f>
        <v>15793.090560000001</v>
      </c>
      <c r="W235" s="119">
        <f t="shared" ref="W235" si="187">SUM(S235,P235,M235,J235,V235)</f>
        <v>78729.442559999996</v>
      </c>
      <c r="X235" s="119" t="s">
        <v>243</v>
      </c>
      <c r="Y235" s="119">
        <f>SUM(W235:X235)</f>
        <v>78729.442559999996</v>
      </c>
      <c r="AA235" s="366">
        <v>0.5</v>
      </c>
      <c r="AB235" s="366">
        <v>0.5</v>
      </c>
    </row>
    <row r="236" spans="1:28">
      <c r="A236" s="58" t="s">
        <v>395</v>
      </c>
      <c r="B236" s="58">
        <v>86000</v>
      </c>
      <c r="C236" s="58" t="s">
        <v>222</v>
      </c>
      <c r="D236" s="58">
        <v>0</v>
      </c>
      <c r="E236" s="58" t="s">
        <v>375</v>
      </c>
      <c r="G236" s="58" t="s">
        <v>255</v>
      </c>
      <c r="H236" s="119">
        <v>1</v>
      </c>
      <c r="I236" s="119">
        <v>100</v>
      </c>
      <c r="J236" s="119">
        <f>H236*I236</f>
        <v>100</v>
      </c>
      <c r="K236" s="296"/>
      <c r="L236" s="119">
        <v>1</v>
      </c>
      <c r="M236" s="119">
        <f>I236*L236*$F$7</f>
        <v>104</v>
      </c>
      <c r="N236" s="296"/>
      <c r="O236" s="119">
        <v>1</v>
      </c>
      <c r="P236" s="119">
        <f>I236*O236*$F$7*$F$7</f>
        <v>108.16</v>
      </c>
      <c r="Q236" s="296"/>
      <c r="R236" s="119">
        <v>1</v>
      </c>
      <c r="S236" s="119">
        <f>I236*R236*$F$7*$F$7*$F$7</f>
        <v>112.4864</v>
      </c>
      <c r="T236" s="296"/>
      <c r="U236" s="119">
        <v>1</v>
      </c>
      <c r="V236" s="119">
        <f>I236*U236*$F$7*$F$7*$F$7*$F$7</f>
        <v>116.98585600000001</v>
      </c>
      <c r="W236" s="119">
        <f t="shared" ref="W236:W237" si="188">SUM(S236,P236,M236,J236,V236)</f>
        <v>541.63225599999998</v>
      </c>
      <c r="X236" s="119" t="s">
        <v>243</v>
      </c>
      <c r="Y236" s="119">
        <f>SUM(W236:X236)</f>
        <v>541.63225599999998</v>
      </c>
      <c r="AA236" s="366">
        <v>0.5</v>
      </c>
      <c r="AB236" s="366">
        <v>0.5</v>
      </c>
    </row>
    <row r="237" spans="1:28" ht="50.4">
      <c r="A237" s="58" t="s">
        <v>395</v>
      </c>
      <c r="B237" s="120" t="s">
        <v>257</v>
      </c>
      <c r="C237" s="58" t="s">
        <v>222</v>
      </c>
      <c r="D237" s="58">
        <v>0</v>
      </c>
      <c r="E237" s="58" t="s">
        <v>376</v>
      </c>
      <c r="G237" s="58" t="s">
        <v>259</v>
      </c>
      <c r="H237" s="119">
        <f>7*H236</f>
        <v>7</v>
      </c>
      <c r="I237" s="119">
        <v>80</v>
      </c>
      <c r="J237" s="119">
        <f>H237*I237</f>
        <v>560</v>
      </c>
      <c r="K237" s="296"/>
      <c r="L237" s="119">
        <f>7*L236</f>
        <v>7</v>
      </c>
      <c r="M237" s="119">
        <f>I237*L237*$F$7</f>
        <v>582.4</v>
      </c>
      <c r="N237" s="296"/>
      <c r="O237" s="119">
        <f>7*O236</f>
        <v>7</v>
      </c>
      <c r="P237" s="119">
        <f>I237*O237*$F$7*$F$7</f>
        <v>605.69600000000003</v>
      </c>
      <c r="Q237" s="296"/>
      <c r="R237" s="119">
        <f>7*R236</f>
        <v>7</v>
      </c>
      <c r="S237" s="119">
        <f>I237*R237*$F$7*$F$7*$F$7</f>
        <v>629.92384000000004</v>
      </c>
      <c r="T237" s="296"/>
      <c r="U237" s="119">
        <f>7*U236</f>
        <v>7</v>
      </c>
      <c r="V237" s="119">
        <f>I237*U237*$F$7*$F$7*$F$7*$F$7</f>
        <v>655.12079360000007</v>
      </c>
      <c r="W237" s="119">
        <f t="shared" si="188"/>
        <v>3033.1406336</v>
      </c>
      <c r="X237" s="119" t="s">
        <v>243</v>
      </c>
      <c r="Y237" s="119">
        <f>SUM(W237:X237)</f>
        <v>3033.1406336</v>
      </c>
      <c r="AA237" s="366">
        <v>0.5</v>
      </c>
      <c r="AB237" s="366">
        <v>0.5</v>
      </c>
    </row>
    <row r="238" spans="1:28">
      <c r="A238" s="109"/>
      <c r="B238" s="109"/>
      <c r="C238" s="109"/>
      <c r="D238" s="109"/>
      <c r="E238" s="109" t="s">
        <v>397</v>
      </c>
      <c r="F238" s="300"/>
      <c r="G238" s="123"/>
      <c r="H238" s="125"/>
      <c r="I238" s="125"/>
      <c r="J238" s="125">
        <f>SUM(J235:J237)</f>
        <v>5160</v>
      </c>
      <c r="K238" s="300"/>
      <c r="L238" s="125"/>
      <c r="M238" s="125">
        <f>SUM(M235:M237)</f>
        <v>19406.400000000001</v>
      </c>
      <c r="N238" s="300"/>
      <c r="O238" s="125"/>
      <c r="P238" s="125">
        <f>SUM(P235:P237)</f>
        <v>20182.655999999999</v>
      </c>
      <c r="Q238" s="300"/>
      <c r="R238" s="125"/>
      <c r="S238" s="125">
        <f>SUM(S235:S237)</f>
        <v>20989.962240000001</v>
      </c>
      <c r="T238" s="300"/>
      <c r="U238" s="125"/>
      <c r="V238" s="125">
        <f>SUM(V235:V237)</f>
        <v>16565.197209599999</v>
      </c>
      <c r="W238" s="125">
        <f>SUM(W235:W237)</f>
        <v>82304.215449599986</v>
      </c>
      <c r="X238" s="125">
        <f>SUM(X235:X237)</f>
        <v>0</v>
      </c>
      <c r="Y238" s="125">
        <f>SUM(Y235:Y237)</f>
        <v>82304.215449599986</v>
      </c>
      <c r="Z238" s="142"/>
    </row>
    <row r="239" spans="1:28">
      <c r="A239" s="272"/>
      <c r="B239" s="272"/>
      <c r="C239" s="272"/>
      <c r="D239" s="272"/>
      <c r="E239" s="272"/>
      <c r="F239" s="301"/>
      <c r="G239" s="245"/>
      <c r="H239" s="154"/>
      <c r="I239" s="154"/>
      <c r="J239" s="154"/>
      <c r="K239" s="301"/>
      <c r="L239" s="154"/>
      <c r="M239" s="154"/>
      <c r="N239" s="301"/>
      <c r="O239" s="154"/>
      <c r="P239" s="154"/>
      <c r="Q239" s="301"/>
      <c r="R239" s="154"/>
      <c r="S239" s="154"/>
      <c r="T239" s="301"/>
      <c r="U239" s="154"/>
      <c r="V239" s="154"/>
      <c r="W239" s="154"/>
      <c r="X239" s="154"/>
      <c r="Y239" s="154"/>
    </row>
    <row r="240" spans="1:28">
      <c r="A240" s="109"/>
      <c r="B240" s="109"/>
      <c r="C240" s="109"/>
      <c r="D240" s="109"/>
      <c r="E240" s="109" t="s">
        <v>398</v>
      </c>
      <c r="F240" s="300"/>
      <c r="G240" s="123"/>
      <c r="H240" s="124"/>
      <c r="I240" s="124"/>
      <c r="J240" s="124"/>
      <c r="K240" s="300"/>
      <c r="L240" s="124"/>
      <c r="M240" s="124"/>
      <c r="N240" s="300"/>
      <c r="O240" s="124"/>
      <c r="P240" s="124"/>
      <c r="Q240" s="300"/>
      <c r="R240" s="124"/>
      <c r="S240" s="124"/>
      <c r="T240" s="300"/>
      <c r="U240" s="124"/>
      <c r="V240" s="124"/>
      <c r="W240" s="124"/>
      <c r="X240" s="124"/>
      <c r="Y240" s="124"/>
    </row>
    <row r="241" spans="1:28">
      <c r="A241" s="120" t="s">
        <v>399</v>
      </c>
      <c r="B241" s="120">
        <v>89050</v>
      </c>
      <c r="C241" s="58" t="s">
        <v>222</v>
      </c>
      <c r="D241" s="58" t="s">
        <v>15</v>
      </c>
      <c r="E241" s="120" t="s">
        <v>400</v>
      </c>
      <c r="F241" s="293"/>
      <c r="G241" s="126" t="s">
        <v>294</v>
      </c>
      <c r="H241" s="119">
        <v>1</v>
      </c>
      <c r="I241" s="119"/>
      <c r="J241" s="119">
        <f>'CIAT Sub Budget'!G118</f>
        <v>0</v>
      </c>
      <c r="K241" s="293"/>
      <c r="L241" s="119">
        <v>1</v>
      </c>
      <c r="M241" s="119">
        <f>'CIAT Sub Budget'!I118</f>
        <v>109283.00240000001</v>
      </c>
      <c r="N241" s="293"/>
      <c r="O241" s="119">
        <v>1</v>
      </c>
      <c r="P241" s="119">
        <f>'CIAT Sub Budget'!K118</f>
        <v>114097.296346</v>
      </c>
      <c r="Q241" s="293"/>
      <c r="R241" s="119">
        <v>1</v>
      </c>
      <c r="S241" s="119">
        <f>'CIAT Sub Budget'!M118</f>
        <v>48948.601622184011</v>
      </c>
      <c r="T241" s="293"/>
      <c r="U241" s="119">
        <v>1</v>
      </c>
      <c r="V241" s="119">
        <f>'CIAT Sub Budget'!O118</f>
        <v>0</v>
      </c>
      <c r="W241" s="119">
        <f t="shared" ref="W241:W246" si="189">SUM(S241,P241,M241,J241,V241)</f>
        <v>272328.90036818403</v>
      </c>
      <c r="X241" s="119">
        <v>0</v>
      </c>
      <c r="Y241" s="136">
        <f t="shared" ref="Y241:Y246" si="190">SUM(W241:X241)</f>
        <v>272328.90036818403</v>
      </c>
      <c r="AA241" s="366">
        <v>0.5</v>
      </c>
      <c r="AB241" s="366">
        <v>0.5</v>
      </c>
    </row>
    <row r="242" spans="1:28">
      <c r="A242" s="58" t="s">
        <v>399</v>
      </c>
      <c r="B242" s="120">
        <v>89050</v>
      </c>
      <c r="C242" s="58" t="s">
        <v>222</v>
      </c>
      <c r="D242" s="58" t="s">
        <v>15</v>
      </c>
      <c r="E242" s="58" t="s">
        <v>401</v>
      </c>
      <c r="F242" s="293"/>
      <c r="G242" s="126" t="s">
        <v>294</v>
      </c>
      <c r="H242" s="119">
        <v>1</v>
      </c>
      <c r="I242" s="119"/>
      <c r="J242" s="119">
        <f>'CIAT Sub Budget'!G154</f>
        <v>6985</v>
      </c>
      <c r="K242" s="293"/>
      <c r="L242" s="119">
        <v>1</v>
      </c>
      <c r="M242" s="119">
        <f>'CIAT Sub Budget'!I154</f>
        <v>163846.59134270757</v>
      </c>
      <c r="N242" s="293"/>
      <c r="O242" s="119">
        <v>1</v>
      </c>
      <c r="P242" s="119">
        <f>'CIAT Sub Budget'!K154</f>
        <v>161441.13011641588</v>
      </c>
      <c r="Q242" s="293"/>
      <c r="R242" s="119">
        <v>1</v>
      </c>
      <c r="S242" s="119">
        <f>'CIAT Sub Budget'!M154</f>
        <v>0</v>
      </c>
      <c r="T242" s="293"/>
      <c r="U242" s="119">
        <v>1</v>
      </c>
      <c r="V242" s="119">
        <f>'CIAT Sub Budget'!O154</f>
        <v>0</v>
      </c>
      <c r="W242" s="119">
        <f t="shared" si="189"/>
        <v>332272.72145912342</v>
      </c>
      <c r="X242" s="119">
        <v>0</v>
      </c>
      <c r="Y242" s="136">
        <f>SUM(W242:X242)</f>
        <v>332272.72145912342</v>
      </c>
      <c r="AA242" s="366">
        <v>1</v>
      </c>
      <c r="AB242" s="366">
        <v>0</v>
      </c>
    </row>
    <row r="243" spans="1:28" ht="50.4">
      <c r="A243" s="58" t="s">
        <v>402</v>
      </c>
      <c r="B243" s="120" t="s">
        <v>403</v>
      </c>
      <c r="C243" s="58" t="s">
        <v>222</v>
      </c>
      <c r="D243" s="58">
        <v>0</v>
      </c>
      <c r="E243" s="58" t="s">
        <v>404</v>
      </c>
      <c r="G243" s="126" t="s">
        <v>405</v>
      </c>
      <c r="H243" s="119">
        <v>1</v>
      </c>
      <c r="I243" s="119"/>
      <c r="J243" s="119">
        <v>12000</v>
      </c>
      <c r="K243" s="296"/>
      <c r="L243" s="119">
        <v>1</v>
      </c>
      <c r="M243" s="119">
        <v>12000</v>
      </c>
      <c r="N243" s="296"/>
      <c r="O243" s="119">
        <v>1</v>
      </c>
      <c r="P243" s="119">
        <v>12000</v>
      </c>
      <c r="Q243" s="296"/>
      <c r="R243" s="119">
        <v>1</v>
      </c>
      <c r="S243" s="119">
        <v>12000</v>
      </c>
      <c r="T243" s="296"/>
      <c r="U243" s="119">
        <v>1</v>
      </c>
      <c r="V243" s="119">
        <v>12000</v>
      </c>
      <c r="W243" s="119">
        <f t="shared" si="189"/>
        <v>60000</v>
      </c>
      <c r="X243" s="119">
        <v>0</v>
      </c>
      <c r="Y243" s="360">
        <f t="shared" si="190"/>
        <v>60000</v>
      </c>
      <c r="AA243" s="366">
        <v>0.5</v>
      </c>
      <c r="AB243" s="366">
        <v>0.5</v>
      </c>
    </row>
    <row r="244" spans="1:28" ht="50.4">
      <c r="A244" s="58" t="s">
        <v>406</v>
      </c>
      <c r="B244" s="120" t="s">
        <v>403</v>
      </c>
      <c r="C244" s="58" t="s">
        <v>222</v>
      </c>
      <c r="D244" s="58">
        <v>0</v>
      </c>
      <c r="E244" s="58" t="s">
        <v>407</v>
      </c>
      <c r="G244" s="126" t="s">
        <v>405</v>
      </c>
      <c r="H244" s="119">
        <v>1</v>
      </c>
      <c r="I244" s="119"/>
      <c r="J244" s="119">
        <v>30000</v>
      </c>
      <c r="K244" s="296"/>
      <c r="L244" s="119">
        <v>1</v>
      </c>
      <c r="M244" s="119">
        <v>30000</v>
      </c>
      <c r="N244" s="296"/>
      <c r="O244" s="119">
        <v>1</v>
      </c>
      <c r="P244" s="119">
        <v>30000</v>
      </c>
      <c r="Q244" s="296"/>
      <c r="R244" s="119">
        <v>1</v>
      </c>
      <c r="S244" s="119">
        <v>30000</v>
      </c>
      <c r="T244" s="296"/>
      <c r="U244" s="119">
        <v>1</v>
      </c>
      <c r="V244" s="119">
        <v>30000</v>
      </c>
      <c r="W244" s="119">
        <f t="shared" ref="W244" si="191">SUM(S244,P244,M244,J244,V244)</f>
        <v>150000</v>
      </c>
      <c r="X244" s="119">
        <v>0</v>
      </c>
      <c r="Y244" s="360">
        <f t="shared" ref="Y244" si="192">SUM(W244:X244)</f>
        <v>150000</v>
      </c>
      <c r="AA244" s="366">
        <v>0.5</v>
      </c>
      <c r="AB244" s="366">
        <v>0.5</v>
      </c>
    </row>
    <row r="245" spans="1:28" ht="50.4">
      <c r="A245" s="58" t="s">
        <v>408</v>
      </c>
      <c r="B245" s="120" t="s">
        <v>403</v>
      </c>
      <c r="C245" s="58" t="s">
        <v>222</v>
      </c>
      <c r="D245" s="58">
        <v>0</v>
      </c>
      <c r="E245" s="58" t="s">
        <v>409</v>
      </c>
      <c r="G245" s="126" t="s">
        <v>405</v>
      </c>
      <c r="H245" s="119">
        <v>1</v>
      </c>
      <c r="I245" s="119"/>
      <c r="J245" s="119">
        <v>80000</v>
      </c>
      <c r="K245" s="296"/>
      <c r="L245" s="119">
        <v>1</v>
      </c>
      <c r="M245" s="119">
        <v>80000</v>
      </c>
      <c r="N245" s="296"/>
      <c r="O245" s="119">
        <v>1</v>
      </c>
      <c r="P245" s="119">
        <v>80000</v>
      </c>
      <c r="Q245" s="296"/>
      <c r="R245" s="119">
        <v>1</v>
      </c>
      <c r="S245" s="119">
        <v>80000</v>
      </c>
      <c r="T245" s="296"/>
      <c r="U245" s="119">
        <v>1</v>
      </c>
      <c r="V245" s="119">
        <v>80000</v>
      </c>
      <c r="W245" s="119">
        <f t="shared" si="189"/>
        <v>400000</v>
      </c>
      <c r="X245" s="119">
        <v>0</v>
      </c>
      <c r="Y245" s="360">
        <f t="shared" si="190"/>
        <v>400000</v>
      </c>
      <c r="AA245" s="366">
        <v>0.5</v>
      </c>
      <c r="AB245" s="366">
        <v>0.5</v>
      </c>
    </row>
    <row r="246" spans="1:28" ht="50.4">
      <c r="A246" s="58" t="s">
        <v>410</v>
      </c>
      <c r="B246" s="120" t="s">
        <v>403</v>
      </c>
      <c r="C246" s="58" t="s">
        <v>222</v>
      </c>
      <c r="D246" s="58">
        <v>0</v>
      </c>
      <c r="E246" s="58" t="s">
        <v>411</v>
      </c>
      <c r="G246" s="126" t="s">
        <v>405</v>
      </c>
      <c r="H246" s="119">
        <v>1</v>
      </c>
      <c r="I246" s="119"/>
      <c r="J246" s="119">
        <v>52000</v>
      </c>
      <c r="K246" s="296"/>
      <c r="L246" s="119">
        <v>1</v>
      </c>
      <c r="M246" s="119">
        <v>52000</v>
      </c>
      <c r="N246" s="296"/>
      <c r="O246" s="119">
        <v>1</v>
      </c>
      <c r="P246" s="119">
        <v>52000</v>
      </c>
      <c r="Q246" s="296"/>
      <c r="R246" s="119">
        <v>1</v>
      </c>
      <c r="S246" s="119">
        <v>52000</v>
      </c>
      <c r="T246" s="296"/>
      <c r="U246" s="119">
        <v>1</v>
      </c>
      <c r="V246" s="119">
        <v>52000</v>
      </c>
      <c r="W246" s="119">
        <f t="shared" si="189"/>
        <v>260000</v>
      </c>
      <c r="X246" s="119">
        <v>0</v>
      </c>
      <c r="Y246" s="360">
        <f t="shared" si="190"/>
        <v>260000</v>
      </c>
      <c r="AA246" s="366">
        <v>1</v>
      </c>
      <c r="AB246" s="366">
        <v>0</v>
      </c>
    </row>
    <row r="247" spans="1:28" ht="50.4">
      <c r="A247" s="58" t="s">
        <v>412</v>
      </c>
      <c r="B247" s="120" t="s">
        <v>403</v>
      </c>
      <c r="C247" s="58" t="s">
        <v>222</v>
      </c>
      <c r="D247" s="58">
        <v>0</v>
      </c>
      <c r="E247" s="58" t="s">
        <v>413</v>
      </c>
      <c r="G247" s="126" t="s">
        <v>405</v>
      </c>
      <c r="H247" s="119">
        <v>1</v>
      </c>
      <c r="I247" s="119"/>
      <c r="J247" s="119">
        <v>73200</v>
      </c>
      <c r="K247" s="296"/>
      <c r="L247" s="119">
        <v>1</v>
      </c>
      <c r="M247" s="119">
        <v>73200</v>
      </c>
      <c r="N247" s="296"/>
      <c r="O247" s="119">
        <v>1</v>
      </c>
      <c r="P247" s="119">
        <v>73200</v>
      </c>
      <c r="Q247" s="296"/>
      <c r="R247" s="119">
        <v>1</v>
      </c>
      <c r="S247" s="119">
        <v>73200</v>
      </c>
      <c r="T247" s="296"/>
      <c r="U247" s="119">
        <v>1</v>
      </c>
      <c r="V247" s="119">
        <v>73200</v>
      </c>
      <c r="W247" s="119">
        <f t="shared" ref="W247" si="193">SUM(S247,P247,M247,J247,V247)</f>
        <v>366000</v>
      </c>
      <c r="X247" s="119">
        <v>0</v>
      </c>
      <c r="Y247" s="360">
        <f t="shared" ref="Y247" si="194">SUM(W247:X247)</f>
        <v>366000</v>
      </c>
      <c r="AA247" s="366">
        <v>0</v>
      </c>
      <c r="AB247" s="366">
        <v>1</v>
      </c>
    </row>
    <row r="248" spans="1:28">
      <c r="A248" s="109"/>
      <c r="B248" s="109"/>
      <c r="C248" s="109"/>
      <c r="D248" s="109"/>
      <c r="E248" s="109" t="s">
        <v>414</v>
      </c>
      <c r="F248" s="300"/>
      <c r="G248" s="123"/>
      <c r="H248" s="124"/>
      <c r="I248" s="125"/>
      <c r="J248" s="125">
        <f>SUM(J241:J247)</f>
        <v>254185</v>
      </c>
      <c r="K248" s="303"/>
      <c r="L248" s="125"/>
      <c r="M248" s="125">
        <f>SUM(M241:M247)</f>
        <v>520329.59374270757</v>
      </c>
      <c r="N248" s="303"/>
      <c r="O248" s="125"/>
      <c r="P248" s="125">
        <f>SUM(P241:P247)</f>
        <v>522738.4264624159</v>
      </c>
      <c r="Q248" s="303"/>
      <c r="R248" s="125"/>
      <c r="S248" s="125">
        <f>SUM(S241:S247)</f>
        <v>296148.60162218404</v>
      </c>
      <c r="T248" s="303"/>
      <c r="U248" s="125"/>
      <c r="V248" s="125">
        <f>SUM(V241:V247)</f>
        <v>247200</v>
      </c>
      <c r="W248" s="125">
        <f>SUM(W241:W247)</f>
        <v>1840601.6218273074</v>
      </c>
      <c r="X248" s="125">
        <f>SUM(X241:X247)</f>
        <v>0</v>
      </c>
      <c r="Y248" s="125">
        <f>SUM(Y241:Y247)</f>
        <v>1840601.6218273074</v>
      </c>
      <c r="Z248" s="142"/>
    </row>
    <row r="249" spans="1:28">
      <c r="A249" s="272"/>
      <c r="B249" s="272"/>
      <c r="C249" s="272"/>
      <c r="D249" s="272"/>
      <c r="E249" s="272"/>
      <c r="F249" s="301"/>
      <c r="G249" s="245"/>
      <c r="H249" s="154"/>
      <c r="I249" s="154"/>
      <c r="J249" s="154"/>
      <c r="K249" s="301"/>
      <c r="L249" s="154"/>
      <c r="M249" s="154"/>
      <c r="N249" s="301"/>
      <c r="O249" s="154"/>
      <c r="P249" s="154"/>
      <c r="Q249" s="301"/>
      <c r="R249" s="154"/>
      <c r="S249" s="154"/>
      <c r="T249" s="301"/>
      <c r="U249" s="154"/>
      <c r="V249" s="154"/>
      <c r="W249" s="154"/>
      <c r="X249" s="154"/>
      <c r="Y249" s="154"/>
    </row>
    <row r="250" spans="1:28">
      <c r="A250" s="109"/>
      <c r="B250" s="109"/>
      <c r="C250" s="109"/>
      <c r="D250" s="109"/>
      <c r="E250" s="109" t="s">
        <v>415</v>
      </c>
      <c r="F250" s="300"/>
      <c r="G250" s="123"/>
      <c r="H250" s="124"/>
      <c r="I250" s="124"/>
      <c r="J250" s="124"/>
      <c r="K250" s="300"/>
      <c r="L250" s="124"/>
      <c r="M250" s="124"/>
      <c r="N250" s="300"/>
      <c r="O250" s="124"/>
      <c r="P250" s="124"/>
      <c r="Q250" s="300"/>
      <c r="R250" s="124"/>
      <c r="S250" s="124"/>
      <c r="T250" s="300"/>
      <c r="U250" s="124"/>
      <c r="V250" s="124"/>
      <c r="W250" s="124"/>
      <c r="X250" s="124"/>
      <c r="Y250" s="124"/>
    </row>
    <row r="251" spans="1:28">
      <c r="A251" s="58" t="s">
        <v>416</v>
      </c>
      <c r="B251" s="58">
        <v>82420</v>
      </c>
      <c r="C251" s="58" t="s">
        <v>222</v>
      </c>
      <c r="D251" s="58">
        <v>0</v>
      </c>
      <c r="E251" s="58" t="s">
        <v>417</v>
      </c>
      <c r="F251" s="293"/>
      <c r="G251" s="58" t="s">
        <v>281</v>
      </c>
      <c r="H251" s="119">
        <v>1</v>
      </c>
      <c r="I251" s="119">
        <v>25000</v>
      </c>
      <c r="J251" s="119">
        <v>25000</v>
      </c>
      <c r="K251" s="293"/>
      <c r="L251" s="119">
        <v>3</v>
      </c>
      <c r="M251" s="119">
        <v>75000</v>
      </c>
      <c r="N251" s="293"/>
      <c r="O251" s="119">
        <v>0</v>
      </c>
      <c r="P251" s="119">
        <v>0</v>
      </c>
      <c r="Q251" s="293"/>
      <c r="R251" s="119">
        <v>0</v>
      </c>
      <c r="S251" s="119">
        <v>0</v>
      </c>
      <c r="T251" s="293"/>
      <c r="U251" s="119">
        <v>0</v>
      </c>
      <c r="V251" s="119">
        <v>0</v>
      </c>
      <c r="W251" s="119">
        <v>100000</v>
      </c>
      <c r="X251" s="119">
        <v>0</v>
      </c>
      <c r="Y251" s="119">
        <v>100000</v>
      </c>
      <c r="AA251" s="366">
        <v>0.5</v>
      </c>
      <c r="AB251" s="366">
        <v>0.5</v>
      </c>
    </row>
    <row r="252" spans="1:28">
      <c r="A252" s="109"/>
      <c r="B252" s="109"/>
      <c r="C252" s="109"/>
      <c r="D252" s="109"/>
      <c r="E252" s="109" t="s">
        <v>418</v>
      </c>
      <c r="F252" s="300"/>
      <c r="G252" s="123"/>
      <c r="H252" s="124"/>
      <c r="I252" s="125"/>
      <c r="J252" s="125">
        <f>J251</f>
        <v>25000</v>
      </c>
      <c r="K252" s="303"/>
      <c r="L252" s="125"/>
      <c r="M252" s="125">
        <f>M251</f>
        <v>75000</v>
      </c>
      <c r="N252" s="303"/>
      <c r="O252" s="125"/>
      <c r="P252" s="125">
        <f>P251</f>
        <v>0</v>
      </c>
      <c r="Q252" s="303"/>
      <c r="R252" s="125"/>
      <c r="S252" s="125">
        <f>S251</f>
        <v>0</v>
      </c>
      <c r="T252" s="303"/>
      <c r="U252" s="125"/>
      <c r="V252" s="125">
        <f>V251</f>
        <v>0</v>
      </c>
      <c r="W252" s="125">
        <f>W251</f>
        <v>100000</v>
      </c>
      <c r="X252" s="125">
        <f>X251</f>
        <v>0</v>
      </c>
      <c r="Y252" s="125">
        <f>Y251</f>
        <v>100000</v>
      </c>
      <c r="Z252" s="142"/>
    </row>
    <row r="253" spans="1:28">
      <c r="A253" s="272"/>
      <c r="B253" s="272"/>
      <c r="C253" s="272"/>
      <c r="D253" s="272"/>
      <c r="E253" s="272"/>
      <c r="F253" s="301"/>
      <c r="G253" s="245"/>
      <c r="H253" s="154"/>
      <c r="I253" s="154"/>
      <c r="J253" s="154"/>
      <c r="K253" s="301"/>
      <c r="L253" s="154"/>
      <c r="M253" s="154"/>
      <c r="N253" s="301"/>
      <c r="O253" s="154"/>
      <c r="P253" s="154"/>
      <c r="Q253" s="301"/>
      <c r="R253" s="154"/>
      <c r="S253" s="154"/>
      <c r="T253" s="301"/>
      <c r="U253" s="154"/>
      <c r="V253" s="154"/>
      <c r="W253" s="154"/>
      <c r="X253" s="154"/>
      <c r="Y253" s="154"/>
    </row>
    <row r="254" spans="1:28">
      <c r="A254" s="109"/>
      <c r="B254" s="109"/>
      <c r="C254" s="109"/>
      <c r="D254" s="109"/>
      <c r="E254" s="109" t="s">
        <v>419</v>
      </c>
      <c r="F254" s="300"/>
      <c r="G254" s="123"/>
      <c r="H254" s="124"/>
      <c r="I254" s="124"/>
      <c r="J254" s="124"/>
      <c r="K254" s="300"/>
      <c r="L254" s="124"/>
      <c r="M254" s="124"/>
      <c r="N254" s="300"/>
      <c r="O254" s="124"/>
      <c r="P254" s="124"/>
      <c r="Q254" s="300"/>
      <c r="R254" s="124"/>
      <c r="S254" s="124"/>
      <c r="T254" s="300"/>
      <c r="U254" s="124"/>
      <c r="V254" s="124"/>
      <c r="W254" s="124"/>
      <c r="X254" s="124"/>
      <c r="Y254" s="124"/>
    </row>
    <row r="255" spans="1:28">
      <c r="A255" s="258"/>
      <c r="B255" s="258"/>
      <c r="C255" s="258"/>
      <c r="D255" s="258"/>
      <c r="E255" s="258" t="s">
        <v>420</v>
      </c>
      <c r="F255" s="302"/>
      <c r="G255" s="258"/>
      <c r="H255" s="258"/>
      <c r="I255" s="258"/>
      <c r="J255" s="258"/>
      <c r="K255" s="302"/>
      <c r="L255" s="258"/>
      <c r="M255" s="258"/>
      <c r="N255" s="302"/>
      <c r="O255" s="258"/>
      <c r="P255" s="258"/>
      <c r="Q255" s="302"/>
      <c r="R255" s="258"/>
      <c r="S255" s="258"/>
      <c r="T255" s="302"/>
      <c r="U255" s="258"/>
      <c r="V255" s="258"/>
      <c r="W255" s="258"/>
      <c r="X255" s="258"/>
      <c r="Y255" s="258"/>
      <c r="Z255" s="58"/>
      <c r="AA255" s="58"/>
      <c r="AB255" s="58"/>
    </row>
    <row r="256" spans="1:28">
      <c r="A256" s="58" t="s">
        <v>421</v>
      </c>
      <c r="B256" s="58">
        <v>89000</v>
      </c>
      <c r="C256" s="58" t="s">
        <v>222</v>
      </c>
      <c r="D256" s="58">
        <v>0</v>
      </c>
      <c r="E256" s="58" t="s">
        <v>422</v>
      </c>
      <c r="F256" s="293"/>
      <c r="G256" s="58" t="s">
        <v>423</v>
      </c>
      <c r="H256" s="119">
        <v>1</v>
      </c>
      <c r="I256" s="119">
        <v>15000</v>
      </c>
      <c r="J256" s="119">
        <v>15000</v>
      </c>
      <c r="K256" s="293"/>
      <c r="L256" s="119">
        <v>8</v>
      </c>
      <c r="M256" s="119">
        <v>120000</v>
      </c>
      <c r="N256" s="293"/>
      <c r="O256" s="119">
        <v>8</v>
      </c>
      <c r="P256" s="119">
        <v>120000</v>
      </c>
      <c r="Q256" s="293"/>
      <c r="R256" s="119">
        <v>0</v>
      </c>
      <c r="S256" s="119">
        <v>0</v>
      </c>
      <c r="T256" s="293"/>
      <c r="U256" s="119">
        <v>0</v>
      </c>
      <c r="V256" s="119">
        <v>0</v>
      </c>
      <c r="W256" s="119">
        <v>255000</v>
      </c>
      <c r="X256" s="119">
        <v>0</v>
      </c>
      <c r="Y256" s="119">
        <v>255000</v>
      </c>
      <c r="Z256" s="58"/>
      <c r="AA256" s="366">
        <v>0.5</v>
      </c>
      <c r="AB256" s="366">
        <v>0.5</v>
      </c>
    </row>
    <row r="257" spans="1:31">
      <c r="A257" s="109"/>
      <c r="B257" s="109"/>
      <c r="C257" s="109"/>
      <c r="D257" s="109"/>
      <c r="E257" s="109" t="s">
        <v>424</v>
      </c>
      <c r="F257" s="300"/>
      <c r="G257" s="123"/>
      <c r="H257" s="124"/>
      <c r="I257" s="125"/>
      <c r="J257" s="125">
        <f>SUM(J256:J256)</f>
        <v>15000</v>
      </c>
      <c r="K257" s="303"/>
      <c r="L257" s="125"/>
      <c r="M257" s="125">
        <f>SUM(M256:M256)</f>
        <v>120000</v>
      </c>
      <c r="N257" s="303"/>
      <c r="O257" s="125"/>
      <c r="P257" s="125">
        <f>SUM(P256:P256)</f>
        <v>120000</v>
      </c>
      <c r="Q257" s="303"/>
      <c r="R257" s="125"/>
      <c r="S257" s="125">
        <f>SUM(S256:S256)</f>
        <v>0</v>
      </c>
      <c r="T257" s="303"/>
      <c r="U257" s="125"/>
      <c r="V257" s="125">
        <f>SUM(V256:V256)</f>
        <v>0</v>
      </c>
      <c r="W257" s="125">
        <f>SUM(W256:W256)</f>
        <v>255000</v>
      </c>
      <c r="X257" s="125">
        <f>SUM(X256:X256)</f>
        <v>0</v>
      </c>
      <c r="Y257" s="125">
        <f>SUM(Y256:Y256)</f>
        <v>255000</v>
      </c>
      <c r="Z257" s="142"/>
    </row>
    <row r="258" spans="1:31">
      <c r="A258" s="272"/>
      <c r="B258" s="272"/>
      <c r="C258" s="272"/>
      <c r="D258" s="272"/>
      <c r="E258" s="272"/>
      <c r="F258" s="301"/>
      <c r="G258" s="245"/>
      <c r="H258" s="154"/>
      <c r="I258" s="154"/>
      <c r="J258" s="154"/>
      <c r="K258" s="301"/>
      <c r="L258" s="154"/>
      <c r="M258" s="154"/>
      <c r="N258" s="301"/>
      <c r="O258" s="154"/>
      <c r="P258" s="154"/>
      <c r="Q258" s="301"/>
      <c r="R258" s="154"/>
      <c r="S258" s="154"/>
      <c r="T258" s="301"/>
      <c r="U258" s="154"/>
      <c r="V258" s="154"/>
      <c r="W258" s="154"/>
      <c r="X258" s="154"/>
      <c r="Y258" s="154"/>
    </row>
    <row r="259" spans="1:31">
      <c r="A259" s="109"/>
      <c r="B259" s="109"/>
      <c r="C259" s="109"/>
      <c r="D259" s="109"/>
      <c r="E259" s="109" t="s">
        <v>425</v>
      </c>
      <c r="F259" s="300"/>
      <c r="G259" s="123"/>
      <c r="H259" s="124"/>
      <c r="I259" s="124"/>
      <c r="J259" s="124"/>
      <c r="K259" s="300"/>
      <c r="L259" s="124"/>
      <c r="M259" s="124"/>
      <c r="N259" s="300"/>
      <c r="O259" s="124"/>
      <c r="P259" s="124"/>
      <c r="Q259" s="300"/>
      <c r="R259" s="124"/>
      <c r="S259" s="124"/>
      <c r="T259" s="300"/>
      <c r="U259" s="124"/>
      <c r="V259" s="124"/>
      <c r="W259" s="124"/>
      <c r="X259" s="124"/>
      <c r="Y259" s="124"/>
    </row>
    <row r="260" spans="1:31">
      <c r="A260" s="120" t="s">
        <v>426</v>
      </c>
      <c r="B260" s="120">
        <v>96000</v>
      </c>
      <c r="C260" s="120" t="s">
        <v>219</v>
      </c>
      <c r="D260" s="120">
        <v>0</v>
      </c>
      <c r="E260" s="58" t="s">
        <v>427</v>
      </c>
      <c r="G260" s="126" t="s">
        <v>221</v>
      </c>
      <c r="H260" s="119">
        <v>0</v>
      </c>
      <c r="I260" s="119">
        <v>2000</v>
      </c>
      <c r="J260" s="119">
        <v>0</v>
      </c>
      <c r="K260" s="296"/>
      <c r="L260" s="119">
        <v>12</v>
      </c>
      <c r="M260" s="119">
        <v>0</v>
      </c>
      <c r="N260" s="296"/>
      <c r="O260" s="119">
        <v>12</v>
      </c>
      <c r="P260" s="119">
        <v>0</v>
      </c>
      <c r="Q260" s="296"/>
      <c r="R260" s="119">
        <v>6</v>
      </c>
      <c r="S260" s="119">
        <v>0</v>
      </c>
      <c r="T260" s="296"/>
      <c r="U260" s="119">
        <v>0</v>
      </c>
      <c r="V260" s="119">
        <v>0</v>
      </c>
      <c r="W260" s="119">
        <f>SUM(S260,P260,M260,J260,V260)</f>
        <v>0</v>
      </c>
      <c r="X260" s="119">
        <f>(H260*I260)+(L260*I260)+(O260*I260)+(I260*R260)+(U260*I260)</f>
        <v>60000</v>
      </c>
      <c r="Y260" s="360">
        <f>SUM(W260:X260)</f>
        <v>60000</v>
      </c>
      <c r="AA260" s="366">
        <v>0.5</v>
      </c>
      <c r="AB260" s="366">
        <v>0.5</v>
      </c>
    </row>
    <row r="261" spans="1:31">
      <c r="A261" s="120" t="s">
        <v>426</v>
      </c>
      <c r="B261" s="120">
        <v>96000</v>
      </c>
      <c r="C261" s="120" t="s">
        <v>219</v>
      </c>
      <c r="D261" s="120">
        <v>0</v>
      </c>
      <c r="E261" s="120" t="s">
        <v>428</v>
      </c>
      <c r="G261" s="126" t="s">
        <v>364</v>
      </c>
      <c r="H261" s="119">
        <f>80*2</f>
        <v>160</v>
      </c>
      <c r="I261" s="119">
        <f>522/8</f>
        <v>65.25</v>
      </c>
      <c r="J261" s="119">
        <v>0</v>
      </c>
      <c r="K261" s="296"/>
      <c r="L261" s="119">
        <f>80*2</f>
        <v>160</v>
      </c>
      <c r="M261" s="119">
        <v>0</v>
      </c>
      <c r="N261" s="296"/>
      <c r="O261" s="119">
        <f>80*2</f>
        <v>160</v>
      </c>
      <c r="P261" s="119">
        <v>0</v>
      </c>
      <c r="Q261" s="296"/>
      <c r="R261" s="119">
        <f>80*2</f>
        <v>160</v>
      </c>
      <c r="S261" s="119">
        <v>0</v>
      </c>
      <c r="T261" s="296"/>
      <c r="U261" s="119">
        <f>80*2</f>
        <v>160</v>
      </c>
      <c r="V261" s="119">
        <v>0</v>
      </c>
      <c r="W261" s="119">
        <f>SUM(S261,P261,M261,J261,V261)</f>
        <v>0</v>
      </c>
      <c r="X261" s="119">
        <f>(H261*I261)+(L261*I261)+(O261*I261)+(I261*R261)+(U261*I261)</f>
        <v>52200</v>
      </c>
      <c r="Y261" s="360">
        <f>SUM(W261:X261)</f>
        <v>52200</v>
      </c>
      <c r="AA261" s="366">
        <v>0</v>
      </c>
      <c r="AB261" s="366">
        <v>1</v>
      </c>
    </row>
    <row r="262" spans="1:31">
      <c r="A262" s="120" t="s">
        <v>426</v>
      </c>
      <c r="B262" s="120">
        <v>96000</v>
      </c>
      <c r="C262" s="120" t="s">
        <v>219</v>
      </c>
      <c r="D262" s="120">
        <v>0</v>
      </c>
      <c r="E262" s="58" t="s">
        <v>429</v>
      </c>
      <c r="F262" s="293"/>
      <c r="G262" s="126" t="s">
        <v>221</v>
      </c>
      <c r="H262" s="119">
        <v>0</v>
      </c>
      <c r="I262" s="119">
        <v>1000</v>
      </c>
      <c r="J262" s="119">
        <v>0</v>
      </c>
      <c r="K262" s="296"/>
      <c r="L262" s="119">
        <v>12</v>
      </c>
      <c r="M262" s="119">
        <v>0</v>
      </c>
      <c r="N262" s="296"/>
      <c r="O262" s="119">
        <v>12</v>
      </c>
      <c r="P262" s="119">
        <v>0</v>
      </c>
      <c r="Q262" s="296"/>
      <c r="R262" s="119">
        <v>12</v>
      </c>
      <c r="S262" s="119">
        <v>0</v>
      </c>
      <c r="T262" s="296"/>
      <c r="U262" s="119">
        <v>6</v>
      </c>
      <c r="V262" s="119">
        <v>0</v>
      </c>
      <c r="W262" s="119">
        <f>SUM(S262,P262,M262,J262,V262)</f>
        <v>0</v>
      </c>
      <c r="X262" s="119">
        <f>(H262*I262)+(L262*I262)+(O262*I262)+(I262*R262)+(U262*I262)</f>
        <v>42000</v>
      </c>
      <c r="Y262" s="360">
        <f>SUM(W262:X262)</f>
        <v>42000</v>
      </c>
      <c r="AA262" s="366">
        <v>0.5</v>
      </c>
      <c r="AB262" s="366">
        <v>0.5</v>
      </c>
    </row>
    <row r="263" spans="1:31">
      <c r="A263" s="109"/>
      <c r="B263" s="109"/>
      <c r="C263" s="109"/>
      <c r="D263" s="109"/>
      <c r="E263" s="109" t="s">
        <v>430</v>
      </c>
      <c r="F263" s="300"/>
      <c r="G263" s="123"/>
      <c r="H263" s="124"/>
      <c r="I263" s="125"/>
      <c r="J263" s="125">
        <f>SUM(J260:J262)</f>
        <v>0</v>
      </c>
      <c r="K263" s="303"/>
      <c r="L263" s="125"/>
      <c r="M263" s="125">
        <f>SUM(M260:M262)</f>
        <v>0</v>
      </c>
      <c r="N263" s="303"/>
      <c r="O263" s="125"/>
      <c r="P263" s="125">
        <f>SUM(P260:P262)</f>
        <v>0</v>
      </c>
      <c r="Q263" s="303"/>
      <c r="R263" s="125"/>
      <c r="S263" s="125">
        <f>SUM(S260:S262)</f>
        <v>0</v>
      </c>
      <c r="T263" s="303"/>
      <c r="U263" s="125"/>
      <c r="V263" s="125">
        <f>SUM(V260:V262)</f>
        <v>0</v>
      </c>
      <c r="W263" s="125">
        <f>SUM(W260:W262)</f>
        <v>0</v>
      </c>
      <c r="X263" s="125">
        <f>SUM(X260:X262)</f>
        <v>154200</v>
      </c>
      <c r="Y263" s="125">
        <f>SUM(Y260:Y262)</f>
        <v>154200</v>
      </c>
    </row>
    <row r="264" spans="1:31">
      <c r="A264" s="120"/>
      <c r="B264" s="120"/>
      <c r="C264" s="120"/>
      <c r="D264" s="120"/>
      <c r="E264" s="120"/>
      <c r="F264" s="293"/>
      <c r="G264" s="126"/>
      <c r="H264" s="119"/>
      <c r="I264" s="119"/>
      <c r="J264" s="119"/>
      <c r="K264" s="293"/>
      <c r="L264" s="119"/>
      <c r="M264" s="119"/>
      <c r="N264" s="293"/>
      <c r="O264" s="119"/>
      <c r="P264" s="119"/>
      <c r="Q264" s="293"/>
      <c r="R264" s="119"/>
      <c r="S264" s="119"/>
      <c r="T264" s="293"/>
      <c r="U264" s="119"/>
      <c r="V264" s="119"/>
      <c r="W264" s="119"/>
      <c r="X264" s="119"/>
      <c r="Y264" s="136"/>
    </row>
    <row r="265" spans="1:31" ht="12.9" thickBot="1">
      <c r="A265" s="143"/>
      <c r="B265" s="143"/>
      <c r="C265" s="143"/>
      <c r="D265" s="143"/>
      <c r="E265" s="143" t="s">
        <v>180</v>
      </c>
      <c r="F265" s="294"/>
      <c r="G265" s="143"/>
      <c r="H265" s="162"/>
      <c r="I265" s="162"/>
      <c r="J265" s="157">
        <f>SUM(J257+J248+J252+J238+J232+J225+J263)</f>
        <v>448988.92099999997</v>
      </c>
      <c r="K265" s="294"/>
      <c r="L265" s="157"/>
      <c r="M265" s="157">
        <f>SUM(M257+M248+M252+M238+M232+M225+M263)</f>
        <v>1226785.7150227076</v>
      </c>
      <c r="N265" s="294"/>
      <c r="O265" s="157"/>
      <c r="P265" s="157">
        <f>SUM(P257+P248+P252+P238+P232+P225+P263)</f>
        <v>1174652.7925936156</v>
      </c>
      <c r="Q265" s="294"/>
      <c r="R265" s="157"/>
      <c r="S265" s="157">
        <f>SUM(S257+S248+S252+S238+S232+S225+S263)</f>
        <v>840537.00015684008</v>
      </c>
      <c r="T265" s="294"/>
      <c r="U265" s="157"/>
      <c r="V265" s="157">
        <f>SUM(V257+V248+V252+V238+V232+V225+V263)</f>
        <v>708410.77217120258</v>
      </c>
      <c r="W265" s="157">
        <f>SUM(W257+W248+W252+W238+W232+W225+W263)</f>
        <v>4399375.2009443659</v>
      </c>
      <c r="X265" s="157">
        <f>SUM(X257+X248+X252+X238+X232+X225+X263)</f>
        <v>154200</v>
      </c>
      <c r="Y265" s="157">
        <f>SUM(Y257+Y248+Y252+Y238+Y232+Y225+Y263)</f>
        <v>4553575.2009443659</v>
      </c>
      <c r="AA265" s="146">
        <f>SUMPRODUCT(W211:W224,AA211:AA224)+SUMPRODUCT(W228:W231,AA228:AA231)+SUMPRODUCT(W235:W237,AA235:AA237)+SUMPRODUCT(W241:W247,AA241:AA247)+SUMPRODUCT(W251,AA251)+SUMPRODUCT(W256,AA256)+SUMPRODUCT(W260:W262,AA260:AA262)</f>
        <v>2312823.9612017451</v>
      </c>
      <c r="AB265" s="146">
        <f>SUMPRODUCT(W211:W224,AB211:AB224)+SUMPRODUCT(W228:W231,AB228:AB231)+SUMPRODUCT(W235:W237,AB235:AB237)+SUMPRODUCT(W241:W247,AB241:AB247)+SUMPRODUCT(W251,AB251)+SUMPRODUCT(W256,AB256)+SUMPRODUCT(W260:W262,AB260:AB262)</f>
        <v>2086551.2397426213</v>
      </c>
      <c r="AD265" s="146">
        <f>SUMPRODUCT(Y260:Y262,AA260:AA262)</f>
        <v>51000</v>
      </c>
      <c r="AE265" s="146">
        <f>SUMPRODUCT(Y260:Y262,AB260:AB262)</f>
        <v>103200</v>
      </c>
    </row>
    <row r="266" spans="1:31">
      <c r="E266" s="245"/>
      <c r="F266" s="291"/>
      <c r="G266" s="245"/>
      <c r="H266" s="154"/>
      <c r="I266" s="154"/>
      <c r="J266" s="154"/>
      <c r="K266" s="291"/>
      <c r="L266" s="154"/>
      <c r="M266" s="154"/>
      <c r="N266" s="291"/>
      <c r="O266" s="154"/>
      <c r="P266" s="154"/>
      <c r="Q266" s="291"/>
      <c r="R266" s="154"/>
      <c r="S266" s="154"/>
      <c r="T266" s="291"/>
      <c r="U266" s="154"/>
      <c r="V266" s="154"/>
      <c r="W266" s="154"/>
      <c r="X266" s="154"/>
      <c r="Y266" s="154"/>
    </row>
    <row r="267" spans="1:31">
      <c r="A267" s="266"/>
      <c r="B267" s="266"/>
      <c r="C267" s="266"/>
      <c r="D267" s="266"/>
      <c r="E267" s="266" t="str">
        <f>'USDA Budget Summary'!A31</f>
        <v>Activity 4: Post-Harvest Aggregation &amp; Processing</v>
      </c>
      <c r="F267" s="298"/>
      <c r="G267" s="106"/>
      <c r="H267" s="106"/>
      <c r="I267" s="107"/>
      <c r="J267" s="267"/>
      <c r="K267" s="298"/>
      <c r="L267" s="267"/>
      <c r="M267" s="267"/>
      <c r="N267" s="298"/>
      <c r="O267" s="267"/>
      <c r="P267" s="267"/>
      <c r="Q267" s="298"/>
      <c r="R267" s="267"/>
      <c r="S267" s="267"/>
      <c r="T267" s="298"/>
      <c r="U267" s="267"/>
      <c r="V267" s="267"/>
      <c r="W267" s="267"/>
      <c r="X267" s="268"/>
      <c r="Y267" s="267"/>
    </row>
    <row r="268" spans="1:31">
      <c r="A268" s="269"/>
      <c r="B268" s="269"/>
      <c r="C268" s="269"/>
      <c r="D268" s="269"/>
      <c r="E268" s="269" t="s">
        <v>349</v>
      </c>
      <c r="F268" s="299"/>
      <c r="G268" s="270"/>
      <c r="H268" s="271"/>
      <c r="I268" s="271"/>
      <c r="J268" s="271"/>
      <c r="K268" s="299"/>
      <c r="L268" s="271"/>
      <c r="M268" s="271"/>
      <c r="N268" s="299"/>
      <c r="O268" s="271"/>
      <c r="P268" s="271"/>
      <c r="Q268" s="299"/>
      <c r="R268" s="271"/>
      <c r="S268" s="271"/>
      <c r="T268" s="299"/>
      <c r="U268" s="271"/>
      <c r="V268" s="271"/>
      <c r="W268" s="271"/>
      <c r="X268" s="271"/>
      <c r="Y268" s="271"/>
    </row>
    <row r="269" spans="1:31">
      <c r="A269" s="109"/>
      <c r="B269" s="109"/>
      <c r="C269" s="109"/>
      <c r="D269" s="109"/>
      <c r="E269" s="109" t="s">
        <v>431</v>
      </c>
      <c r="F269" s="300"/>
      <c r="G269" s="123"/>
      <c r="H269" s="124"/>
      <c r="I269" s="124"/>
      <c r="J269" s="124"/>
      <c r="K269" s="300"/>
      <c r="L269" s="124"/>
      <c r="M269" s="124"/>
      <c r="N269" s="300"/>
      <c r="O269" s="124"/>
      <c r="P269" s="124"/>
      <c r="Q269" s="300"/>
      <c r="R269" s="124"/>
      <c r="S269" s="124"/>
      <c r="T269" s="300"/>
      <c r="U269" s="124"/>
      <c r="V269" s="124"/>
      <c r="W269" s="124"/>
      <c r="X269" s="124"/>
      <c r="Y269" s="124"/>
    </row>
    <row r="270" spans="1:31">
      <c r="A270" s="58" t="s">
        <v>432</v>
      </c>
      <c r="B270" s="58">
        <v>50000</v>
      </c>
      <c r="C270" s="58" t="s">
        <v>219</v>
      </c>
      <c r="D270" s="58">
        <v>0</v>
      </c>
      <c r="E270" s="58" t="str">
        <f t="shared" ref="E270:E283" si="195">E13</f>
        <v xml:space="preserve">Key Personnel: Chief of Party </v>
      </c>
      <c r="F270" s="287">
        <f>'LOE Breakdown by Year'!H11</f>
        <v>0.1</v>
      </c>
      <c r="G270" s="127" t="s">
        <v>221</v>
      </c>
      <c r="H270" s="119">
        <f t="shared" ref="H270:I283" si="196">H13</f>
        <v>12</v>
      </c>
      <c r="I270" s="119">
        <f t="shared" si="196"/>
        <v>12500</v>
      </c>
      <c r="J270" s="119">
        <f>H270*I270*F270</f>
        <v>15000</v>
      </c>
      <c r="K270" s="287">
        <f>'LOE Breakdown by Year'!H35</f>
        <v>0.1</v>
      </c>
      <c r="L270" s="119">
        <f t="shared" ref="L270:L283" si="197">L13</f>
        <v>12</v>
      </c>
      <c r="M270" s="119">
        <f t="shared" ref="M270" si="198">L270*I270*$F$8*$K270</f>
        <v>15600</v>
      </c>
      <c r="N270" s="287">
        <f>'LOE Breakdown by Year'!H59</f>
        <v>0.1</v>
      </c>
      <c r="O270" s="119">
        <f t="shared" ref="O270:O283" si="199">O13</f>
        <v>12</v>
      </c>
      <c r="P270" s="119">
        <f t="shared" ref="P270:P281" si="200">O270*I270*$N270*$F$8*$F$8</f>
        <v>16224</v>
      </c>
      <c r="Q270" s="287">
        <f>'LOE Breakdown by Year'!H83</f>
        <v>0.1</v>
      </c>
      <c r="R270" s="119">
        <f t="shared" ref="R270:R283" si="201">R13</f>
        <v>12</v>
      </c>
      <c r="S270" s="119">
        <f t="shared" ref="S270" si="202">R270*I270*$Q270*$F$8*$F$8*$F$8</f>
        <v>16872.96</v>
      </c>
      <c r="T270" s="287">
        <f>'LOE Breakdown by Year'!H107</f>
        <v>0.1</v>
      </c>
      <c r="U270" s="119">
        <f t="shared" ref="U270:U283" si="203">U13</f>
        <v>12</v>
      </c>
      <c r="V270" s="119">
        <f t="shared" ref="V270" si="204">U270*I270*$T270*$F$8*$F$8*$F$8*$F$8</f>
        <v>17547.878400000001</v>
      </c>
      <c r="W270" s="119">
        <f t="shared" ref="W270" si="205">SUM(S270,P270,M270,J270,V270)</f>
        <v>81244.838400000008</v>
      </c>
      <c r="X270" s="119">
        <v>0</v>
      </c>
      <c r="Y270" s="119">
        <f t="shared" ref="Y270" si="206">SUM(W270:X270)</f>
        <v>81244.838400000008</v>
      </c>
      <c r="AA270" s="366">
        <v>0.5</v>
      </c>
      <c r="AB270" s="366">
        <v>0.5</v>
      </c>
    </row>
    <row r="271" spans="1:31">
      <c r="A271" s="58" t="s">
        <v>432</v>
      </c>
      <c r="B271" s="58">
        <v>70000</v>
      </c>
      <c r="C271" s="58" t="s">
        <v>222</v>
      </c>
      <c r="D271" s="58">
        <v>0</v>
      </c>
      <c r="E271" s="58" t="str">
        <f t="shared" si="195"/>
        <v>Key Personnel: Technical Director</v>
      </c>
      <c r="F271" s="287">
        <f>'LOE Breakdown by Year'!H12</f>
        <v>0.2</v>
      </c>
      <c r="G271" s="127" t="s">
        <v>221</v>
      </c>
      <c r="H271" s="119">
        <f t="shared" si="196"/>
        <v>8</v>
      </c>
      <c r="I271" s="119">
        <f t="shared" si="196"/>
        <v>5833.333333333333</v>
      </c>
      <c r="J271" s="119">
        <f t="shared" ref="J271:J281" si="207">H271*I271*F271</f>
        <v>9333.3333333333339</v>
      </c>
      <c r="K271" s="287">
        <f>'LOE Breakdown by Year'!H36</f>
        <v>0.2</v>
      </c>
      <c r="L271" s="119">
        <f t="shared" si="197"/>
        <v>12</v>
      </c>
      <c r="M271" s="119">
        <f t="shared" ref="M271:M281" si="208">L271*I271*$F$8*$K271</f>
        <v>14560</v>
      </c>
      <c r="N271" s="287">
        <f>'LOE Breakdown by Year'!H60</f>
        <v>0.25</v>
      </c>
      <c r="O271" s="119">
        <f t="shared" si="199"/>
        <v>12</v>
      </c>
      <c r="P271" s="119">
        <f t="shared" si="200"/>
        <v>18928</v>
      </c>
      <c r="Q271" s="287">
        <f>'LOE Breakdown by Year'!H84</f>
        <v>0.25</v>
      </c>
      <c r="R271" s="119">
        <f t="shared" si="201"/>
        <v>12</v>
      </c>
      <c r="S271" s="119">
        <f t="shared" ref="S271:S281" si="209">R271*I271*$Q271*$F$8*$F$8*$F$8</f>
        <v>19685.12</v>
      </c>
      <c r="T271" s="287">
        <f>'LOE Breakdown by Year'!H108</f>
        <v>0.3</v>
      </c>
      <c r="U271" s="119">
        <f t="shared" si="203"/>
        <v>12</v>
      </c>
      <c r="V271" s="119">
        <f t="shared" ref="V271:V281" si="210">U271*I271*$T271*$F$8*$F$8*$F$8*$F$8</f>
        <v>24567.029760000005</v>
      </c>
      <c r="W271" s="119">
        <f t="shared" ref="W271:W281" si="211">SUM(S271,P271,M271,J271,V271)</f>
        <v>87073.483093333343</v>
      </c>
      <c r="X271" s="119">
        <v>0</v>
      </c>
      <c r="Y271" s="119">
        <f t="shared" ref="Y271:Y281" si="212">SUM(W271:X271)</f>
        <v>87073.483093333343</v>
      </c>
      <c r="AA271" s="366">
        <v>0.5</v>
      </c>
      <c r="AB271" s="366">
        <v>0.5</v>
      </c>
    </row>
    <row r="272" spans="1:31">
      <c r="A272" s="58" t="s">
        <v>432</v>
      </c>
      <c r="B272" s="58">
        <v>70000</v>
      </c>
      <c r="C272" s="58" t="s">
        <v>222</v>
      </c>
      <c r="D272" s="58">
        <v>0</v>
      </c>
      <c r="E272" s="58" t="str">
        <f t="shared" si="195"/>
        <v xml:space="preserve">F&amp;A Director </v>
      </c>
      <c r="F272" s="287">
        <f>'LOE Breakdown by Year'!H13</f>
        <v>0</v>
      </c>
      <c r="G272" s="127" t="s">
        <v>221</v>
      </c>
      <c r="H272" s="119">
        <f t="shared" si="196"/>
        <v>8</v>
      </c>
      <c r="I272" s="119">
        <f t="shared" si="196"/>
        <v>3833.3333333333335</v>
      </c>
      <c r="J272" s="119">
        <f t="shared" si="207"/>
        <v>0</v>
      </c>
      <c r="K272" s="287">
        <f>'LOE Breakdown by Year'!H37</f>
        <v>0.05</v>
      </c>
      <c r="L272" s="119">
        <f t="shared" si="197"/>
        <v>12</v>
      </c>
      <c r="M272" s="119">
        <f t="shared" si="208"/>
        <v>2392</v>
      </c>
      <c r="N272" s="287">
        <f>'LOE Breakdown by Year'!H61</f>
        <v>0.05</v>
      </c>
      <c r="O272" s="119">
        <f t="shared" si="199"/>
        <v>12</v>
      </c>
      <c r="P272" s="119">
        <f t="shared" si="200"/>
        <v>2487.6800000000003</v>
      </c>
      <c r="Q272" s="287">
        <f>'LOE Breakdown by Year'!H85</f>
        <v>0.05</v>
      </c>
      <c r="R272" s="119">
        <f t="shared" si="201"/>
        <v>12</v>
      </c>
      <c r="S272" s="119">
        <f t="shared" si="209"/>
        <v>2587.1872000000003</v>
      </c>
      <c r="T272" s="287">
        <f>'LOE Breakdown by Year'!H109</f>
        <v>0</v>
      </c>
      <c r="U272" s="119">
        <f t="shared" si="203"/>
        <v>12</v>
      </c>
      <c r="V272" s="119">
        <f t="shared" si="210"/>
        <v>0</v>
      </c>
      <c r="W272" s="119">
        <f t="shared" si="211"/>
        <v>7466.8672000000006</v>
      </c>
      <c r="X272" s="119">
        <v>0</v>
      </c>
      <c r="Y272" s="119">
        <f t="shared" si="212"/>
        <v>7466.8672000000006</v>
      </c>
      <c r="AA272" s="366">
        <v>0.5</v>
      </c>
      <c r="AB272" s="366">
        <v>0.5</v>
      </c>
    </row>
    <row r="273" spans="1:28">
      <c r="A273" s="58" t="s">
        <v>432</v>
      </c>
      <c r="B273" s="58">
        <v>70000</v>
      </c>
      <c r="C273" s="58" t="s">
        <v>222</v>
      </c>
      <c r="D273" s="58">
        <v>0</v>
      </c>
      <c r="E273" s="58" t="str">
        <f t="shared" si="195"/>
        <v xml:space="preserve">M&amp;E Director </v>
      </c>
      <c r="F273" s="287">
        <f>'LOE Breakdown by Year'!H14</f>
        <v>0.15</v>
      </c>
      <c r="G273" s="127" t="s">
        <v>221</v>
      </c>
      <c r="H273" s="119">
        <f t="shared" si="196"/>
        <v>8</v>
      </c>
      <c r="I273" s="119">
        <f t="shared" si="196"/>
        <v>3833.3333333333335</v>
      </c>
      <c r="J273" s="119">
        <f t="shared" si="207"/>
        <v>4600</v>
      </c>
      <c r="K273" s="287">
        <f>'LOE Breakdown by Year'!H38</f>
        <v>0.2</v>
      </c>
      <c r="L273" s="119">
        <f t="shared" si="197"/>
        <v>12</v>
      </c>
      <c r="M273" s="119">
        <f t="shared" si="208"/>
        <v>9568</v>
      </c>
      <c r="N273" s="287">
        <f>'LOE Breakdown by Year'!H62</f>
        <v>0.2</v>
      </c>
      <c r="O273" s="119">
        <f t="shared" si="199"/>
        <v>12</v>
      </c>
      <c r="P273" s="119">
        <f t="shared" si="200"/>
        <v>9950.7200000000012</v>
      </c>
      <c r="Q273" s="287">
        <f>'LOE Breakdown by Year'!H86</f>
        <v>0.2</v>
      </c>
      <c r="R273" s="119">
        <f t="shared" si="201"/>
        <v>12</v>
      </c>
      <c r="S273" s="119">
        <f t="shared" si="209"/>
        <v>10348.748800000001</v>
      </c>
      <c r="T273" s="287">
        <f>'LOE Breakdown by Year'!H110</f>
        <v>0.2</v>
      </c>
      <c r="U273" s="119">
        <f t="shared" si="203"/>
        <v>12</v>
      </c>
      <c r="V273" s="119">
        <f t="shared" si="210"/>
        <v>10762.698752000002</v>
      </c>
      <c r="W273" s="119">
        <f t="shared" si="211"/>
        <v>45230.167552000006</v>
      </c>
      <c r="X273" s="119">
        <v>0</v>
      </c>
      <c r="Y273" s="119">
        <f t="shared" si="212"/>
        <v>45230.167552000006</v>
      </c>
      <c r="AA273" s="366">
        <v>0.5</v>
      </c>
      <c r="AB273" s="366">
        <v>0.5</v>
      </c>
    </row>
    <row r="274" spans="1:28">
      <c r="A274" s="58" t="s">
        <v>432</v>
      </c>
      <c r="B274" s="58">
        <v>70000</v>
      </c>
      <c r="C274" s="58" t="s">
        <v>222</v>
      </c>
      <c r="D274" s="58">
        <v>0</v>
      </c>
      <c r="E274" s="58" t="str">
        <f t="shared" si="195"/>
        <v>M&amp;E Mid-level Specialist</v>
      </c>
      <c r="F274" s="287">
        <f>'LOE Breakdown by Year'!H15</f>
        <v>0.15</v>
      </c>
      <c r="G274" s="127" t="s">
        <v>221</v>
      </c>
      <c r="H274" s="119">
        <f t="shared" si="196"/>
        <v>7</v>
      </c>
      <c r="I274" s="119">
        <f t="shared" si="196"/>
        <v>2666.6666666666665</v>
      </c>
      <c r="J274" s="119">
        <f t="shared" si="207"/>
        <v>2799.9999999999995</v>
      </c>
      <c r="K274" s="287">
        <f>'LOE Breakdown by Year'!H39</f>
        <v>0.2</v>
      </c>
      <c r="L274" s="119">
        <f t="shared" si="197"/>
        <v>12</v>
      </c>
      <c r="M274" s="119">
        <f t="shared" si="208"/>
        <v>6656</v>
      </c>
      <c r="N274" s="287">
        <f>'LOE Breakdown by Year'!H63</f>
        <v>0.2</v>
      </c>
      <c r="O274" s="119">
        <f t="shared" si="199"/>
        <v>12</v>
      </c>
      <c r="P274" s="119">
        <f t="shared" si="200"/>
        <v>6922.24</v>
      </c>
      <c r="Q274" s="287">
        <f>'LOE Breakdown by Year'!H87</f>
        <v>0.2</v>
      </c>
      <c r="R274" s="119">
        <f t="shared" si="201"/>
        <v>12</v>
      </c>
      <c r="S274" s="119">
        <f t="shared" si="209"/>
        <v>7199.1296000000002</v>
      </c>
      <c r="T274" s="287">
        <f>'LOE Breakdown by Year'!H111</f>
        <v>0.25</v>
      </c>
      <c r="U274" s="119">
        <f t="shared" si="203"/>
        <v>9</v>
      </c>
      <c r="V274" s="119">
        <f t="shared" si="210"/>
        <v>7019.1513600000008</v>
      </c>
      <c r="W274" s="119">
        <f t="shared" si="211"/>
        <v>30596.520959999998</v>
      </c>
      <c r="X274" s="119">
        <v>0</v>
      </c>
      <c r="Y274" s="119">
        <f t="shared" si="212"/>
        <v>30596.520959999998</v>
      </c>
      <c r="AA274" s="366">
        <v>0.5</v>
      </c>
      <c r="AB274" s="366">
        <v>0.5</v>
      </c>
    </row>
    <row r="275" spans="1:28">
      <c r="A275" s="58" t="s">
        <v>432</v>
      </c>
      <c r="B275" s="58">
        <v>70000</v>
      </c>
      <c r="C275" s="58" t="s">
        <v>222</v>
      </c>
      <c r="D275" s="58">
        <v>0</v>
      </c>
      <c r="E275" s="58" t="str">
        <f t="shared" si="195"/>
        <v>M&amp;E Specialist</v>
      </c>
      <c r="F275" s="287">
        <f>'LOE Breakdown by Year'!H16</f>
        <v>0.15</v>
      </c>
      <c r="G275" s="127" t="s">
        <v>221</v>
      </c>
      <c r="H275" s="119">
        <f t="shared" si="196"/>
        <v>3</v>
      </c>
      <c r="I275" s="119">
        <f t="shared" si="196"/>
        <v>2166.6666666666665</v>
      </c>
      <c r="J275" s="119">
        <f t="shared" si="207"/>
        <v>975</v>
      </c>
      <c r="K275" s="287">
        <f>'LOE Breakdown by Year'!H40</f>
        <v>0.2</v>
      </c>
      <c r="L275" s="119">
        <f t="shared" si="197"/>
        <v>12</v>
      </c>
      <c r="M275" s="119">
        <f t="shared" si="208"/>
        <v>5408</v>
      </c>
      <c r="N275" s="287">
        <f>'LOE Breakdown by Year'!H64</f>
        <v>0.2</v>
      </c>
      <c r="O275" s="119">
        <f t="shared" si="199"/>
        <v>12</v>
      </c>
      <c r="P275" s="119">
        <f t="shared" si="200"/>
        <v>5624.3200000000006</v>
      </c>
      <c r="Q275" s="287">
        <f>'LOE Breakdown by Year'!H88</f>
        <v>0.2</v>
      </c>
      <c r="R275" s="119">
        <f t="shared" si="201"/>
        <v>12</v>
      </c>
      <c r="S275" s="119">
        <f t="shared" si="209"/>
        <v>5849.2928000000011</v>
      </c>
      <c r="T275" s="287">
        <f>'LOE Breakdown by Year'!H112</f>
        <v>0.25</v>
      </c>
      <c r="U275" s="119">
        <f t="shared" si="203"/>
        <v>9</v>
      </c>
      <c r="V275" s="119">
        <f t="shared" si="210"/>
        <v>5703.060480000001</v>
      </c>
      <c r="W275" s="119">
        <f t="shared" si="211"/>
        <v>23559.673280000003</v>
      </c>
      <c r="X275" s="119">
        <v>0</v>
      </c>
      <c r="Y275" s="119">
        <f t="shared" si="212"/>
        <v>23559.673280000003</v>
      </c>
      <c r="AA275" s="366">
        <v>0.5</v>
      </c>
      <c r="AB275" s="366">
        <v>0.5</v>
      </c>
    </row>
    <row r="276" spans="1:28">
      <c r="A276" s="58" t="s">
        <v>432</v>
      </c>
      <c r="B276" s="58">
        <v>70000</v>
      </c>
      <c r="C276" s="58" t="s">
        <v>222</v>
      </c>
      <c r="D276" s="58">
        <v>0</v>
      </c>
      <c r="E276" s="58" t="str">
        <f t="shared" si="195"/>
        <v>Partnerships and Investment Director</v>
      </c>
      <c r="F276" s="287">
        <f>'LOE Breakdown by Year'!H17</f>
        <v>0.4</v>
      </c>
      <c r="G276" s="127" t="s">
        <v>221</v>
      </c>
      <c r="H276" s="119">
        <f t="shared" si="196"/>
        <v>8</v>
      </c>
      <c r="I276" s="119">
        <f t="shared" si="196"/>
        <v>3833.3333333333335</v>
      </c>
      <c r="J276" s="119">
        <f t="shared" si="207"/>
        <v>12266.666666666668</v>
      </c>
      <c r="K276" s="287">
        <f>'LOE Breakdown by Year'!H41</f>
        <v>0.3</v>
      </c>
      <c r="L276" s="119">
        <f t="shared" si="197"/>
        <v>12</v>
      </c>
      <c r="M276" s="119">
        <f t="shared" si="208"/>
        <v>14352</v>
      </c>
      <c r="N276" s="287">
        <f>'LOE Breakdown by Year'!H65</f>
        <v>0.3</v>
      </c>
      <c r="O276" s="119">
        <f t="shared" si="199"/>
        <v>12</v>
      </c>
      <c r="P276" s="119">
        <f t="shared" si="200"/>
        <v>14926.08</v>
      </c>
      <c r="Q276" s="287">
        <f>'LOE Breakdown by Year'!H89</f>
        <v>0.1</v>
      </c>
      <c r="R276" s="119">
        <f t="shared" si="201"/>
        <v>12</v>
      </c>
      <c r="S276" s="119">
        <f t="shared" si="209"/>
        <v>5174.3744000000006</v>
      </c>
      <c r="T276" s="287">
        <f>'LOE Breakdown by Year'!H113</f>
        <v>0.15</v>
      </c>
      <c r="U276" s="119">
        <f t="shared" si="203"/>
        <v>9</v>
      </c>
      <c r="V276" s="119">
        <f t="shared" si="210"/>
        <v>6054.0180479999999</v>
      </c>
      <c r="W276" s="119">
        <f t="shared" si="211"/>
        <v>52773.139114666672</v>
      </c>
      <c r="X276" s="119">
        <v>0</v>
      </c>
      <c r="Y276" s="119">
        <f t="shared" si="212"/>
        <v>52773.139114666672</v>
      </c>
      <c r="AA276" s="366">
        <v>0.5</v>
      </c>
      <c r="AB276" s="366">
        <v>0.5</v>
      </c>
    </row>
    <row r="277" spans="1:28">
      <c r="A277" s="58" t="s">
        <v>432</v>
      </c>
      <c r="B277" s="58">
        <v>70000</v>
      </c>
      <c r="C277" s="58" t="s">
        <v>222</v>
      </c>
      <c r="D277" s="58">
        <v>0</v>
      </c>
      <c r="E277" s="58" t="str">
        <f t="shared" si="195"/>
        <v>Extension Agents (15)</v>
      </c>
      <c r="F277" s="287">
        <f>'LOE Breakdown by Year'!H18</f>
        <v>0.2</v>
      </c>
      <c r="G277" s="127" t="s">
        <v>221</v>
      </c>
      <c r="H277" s="119">
        <f t="shared" si="196"/>
        <v>3</v>
      </c>
      <c r="I277" s="119">
        <f t="shared" si="196"/>
        <v>26250</v>
      </c>
      <c r="J277" s="119">
        <f t="shared" si="207"/>
        <v>15750</v>
      </c>
      <c r="K277" s="287">
        <f>'LOE Breakdown by Year'!H42</f>
        <v>0.2</v>
      </c>
      <c r="L277" s="119">
        <f t="shared" si="197"/>
        <v>12</v>
      </c>
      <c r="M277" s="119">
        <f t="shared" si="208"/>
        <v>65520</v>
      </c>
      <c r="N277" s="287">
        <f>'LOE Breakdown by Year'!H66</f>
        <v>0.2</v>
      </c>
      <c r="O277" s="119">
        <f t="shared" si="199"/>
        <v>12</v>
      </c>
      <c r="P277" s="119">
        <f t="shared" si="200"/>
        <v>68140.800000000003</v>
      </c>
      <c r="Q277" s="287">
        <f>'LOE Breakdown by Year'!H90</f>
        <v>0.2</v>
      </c>
      <c r="R277" s="119">
        <f t="shared" si="201"/>
        <v>12</v>
      </c>
      <c r="S277" s="119">
        <f t="shared" si="209"/>
        <v>70866.432000000001</v>
      </c>
      <c r="T277" s="287">
        <f>'LOE Breakdown by Year'!H114</f>
        <v>0.2</v>
      </c>
      <c r="U277" s="119">
        <f t="shared" si="203"/>
        <v>9</v>
      </c>
      <c r="V277" s="119">
        <f t="shared" si="210"/>
        <v>55275.816960000004</v>
      </c>
      <c r="W277" s="119">
        <f t="shared" si="211"/>
        <v>275553.04896000004</v>
      </c>
      <c r="X277" s="119">
        <v>0</v>
      </c>
      <c r="Y277" s="119">
        <f t="shared" si="212"/>
        <v>275553.04896000004</v>
      </c>
      <c r="AA277" s="366">
        <v>0.5</v>
      </c>
      <c r="AB277" s="366">
        <v>0.5</v>
      </c>
    </row>
    <row r="278" spans="1:28">
      <c r="A278" s="58" t="s">
        <v>432</v>
      </c>
      <c r="B278" s="58">
        <v>70000</v>
      </c>
      <c r="C278" s="58" t="s">
        <v>222</v>
      </c>
      <c r="D278" s="58">
        <v>0</v>
      </c>
      <c r="E278" s="58" t="str">
        <f t="shared" si="195"/>
        <v>Activity Lead Agribusiness Senior Specialist (Cacao)</v>
      </c>
      <c r="F278" s="287">
        <f>'LOE Breakdown by Year'!H19</f>
        <v>0.2</v>
      </c>
      <c r="G278" s="127" t="s">
        <v>221</v>
      </c>
      <c r="H278" s="119">
        <f t="shared" si="196"/>
        <v>3</v>
      </c>
      <c r="I278" s="119">
        <f t="shared" si="196"/>
        <v>2833.3333333333335</v>
      </c>
      <c r="J278" s="119">
        <f t="shared" si="207"/>
        <v>1700</v>
      </c>
      <c r="K278" s="287">
        <f>'LOE Breakdown by Year'!H43</f>
        <v>0.25</v>
      </c>
      <c r="L278" s="119">
        <f t="shared" si="197"/>
        <v>12</v>
      </c>
      <c r="M278" s="119">
        <f t="shared" si="208"/>
        <v>8840</v>
      </c>
      <c r="N278" s="287">
        <f>'LOE Breakdown by Year'!H67</f>
        <v>0.25</v>
      </c>
      <c r="O278" s="119">
        <f t="shared" si="199"/>
        <v>12</v>
      </c>
      <c r="P278" s="119">
        <f t="shared" si="200"/>
        <v>9193.6</v>
      </c>
      <c r="Q278" s="287">
        <f>'LOE Breakdown by Year'!H91</f>
        <v>0.25</v>
      </c>
      <c r="R278" s="119">
        <f t="shared" si="201"/>
        <v>12</v>
      </c>
      <c r="S278" s="119">
        <f t="shared" si="209"/>
        <v>9561.344000000001</v>
      </c>
      <c r="T278" s="287">
        <f>'LOE Breakdown by Year'!H115</f>
        <v>0.3</v>
      </c>
      <c r="U278" s="119">
        <f t="shared" si="203"/>
        <v>9</v>
      </c>
      <c r="V278" s="119">
        <f t="shared" si="210"/>
        <v>8949.4179839999997</v>
      </c>
      <c r="W278" s="119">
        <f t="shared" si="211"/>
        <v>38244.361984000003</v>
      </c>
      <c r="X278" s="119">
        <v>0</v>
      </c>
      <c r="Y278" s="119">
        <f t="shared" si="212"/>
        <v>38244.361984000003</v>
      </c>
      <c r="AA278" s="366">
        <v>1</v>
      </c>
      <c r="AB278" s="366">
        <v>0</v>
      </c>
    </row>
    <row r="279" spans="1:28">
      <c r="A279" s="58" t="s">
        <v>432</v>
      </c>
      <c r="B279" s="58">
        <v>70000</v>
      </c>
      <c r="C279" s="58" t="s">
        <v>222</v>
      </c>
      <c r="D279" s="58">
        <v>0</v>
      </c>
      <c r="E279" s="58" t="str">
        <f t="shared" si="195"/>
        <v>Activity Lead Agribusiness Senior Specialist (Complementary Crop)</v>
      </c>
      <c r="F279" s="287">
        <f>'LOE Breakdown by Year'!H20</f>
        <v>0.2</v>
      </c>
      <c r="G279" s="127" t="s">
        <v>221</v>
      </c>
      <c r="H279" s="119">
        <f t="shared" si="196"/>
        <v>3</v>
      </c>
      <c r="I279" s="119">
        <f t="shared" si="196"/>
        <v>2833.3333333333335</v>
      </c>
      <c r="J279" s="119">
        <f t="shared" si="207"/>
        <v>1700</v>
      </c>
      <c r="K279" s="287">
        <f>'LOE Breakdown by Year'!H44</f>
        <v>0.25</v>
      </c>
      <c r="L279" s="119">
        <f t="shared" si="197"/>
        <v>12</v>
      </c>
      <c r="M279" s="119">
        <f t="shared" si="208"/>
        <v>8840</v>
      </c>
      <c r="N279" s="287">
        <f>'LOE Breakdown by Year'!H68</f>
        <v>0.25</v>
      </c>
      <c r="O279" s="119">
        <f t="shared" si="199"/>
        <v>12</v>
      </c>
      <c r="P279" s="119">
        <f t="shared" si="200"/>
        <v>9193.6</v>
      </c>
      <c r="Q279" s="287">
        <f>'LOE Breakdown by Year'!H92</f>
        <v>0.25</v>
      </c>
      <c r="R279" s="119">
        <f t="shared" si="201"/>
        <v>12</v>
      </c>
      <c r="S279" s="119">
        <f t="shared" si="209"/>
        <v>9561.344000000001</v>
      </c>
      <c r="T279" s="287">
        <f>'LOE Breakdown by Year'!H116</f>
        <v>0.3</v>
      </c>
      <c r="U279" s="119">
        <f t="shared" si="203"/>
        <v>9</v>
      </c>
      <c r="V279" s="119">
        <f t="shared" si="210"/>
        <v>8949.4179839999997</v>
      </c>
      <c r="W279" s="119">
        <f t="shared" si="211"/>
        <v>38244.361984000003</v>
      </c>
      <c r="X279" s="119">
        <v>0</v>
      </c>
      <c r="Y279" s="119">
        <f t="shared" si="212"/>
        <v>38244.361984000003</v>
      </c>
      <c r="AA279" s="366">
        <v>0</v>
      </c>
      <c r="AB279" s="366">
        <v>1</v>
      </c>
    </row>
    <row r="280" spans="1:28">
      <c r="A280" s="58" t="s">
        <v>432</v>
      </c>
      <c r="B280" s="58">
        <v>70000</v>
      </c>
      <c r="C280" s="58" t="s">
        <v>222</v>
      </c>
      <c r="D280" s="58">
        <v>0</v>
      </c>
      <c r="E280" s="58" t="str">
        <f t="shared" si="195"/>
        <v xml:space="preserve">Food Safety Mid-Specialist </v>
      </c>
      <c r="F280" s="287">
        <f>'LOE Breakdown by Year'!H21</f>
        <v>0.45</v>
      </c>
      <c r="G280" s="127" t="s">
        <v>221</v>
      </c>
      <c r="H280" s="119">
        <f t="shared" si="196"/>
        <v>3</v>
      </c>
      <c r="I280" s="119">
        <f t="shared" si="196"/>
        <v>2666.6666666666665</v>
      </c>
      <c r="J280" s="119">
        <f t="shared" si="207"/>
        <v>3600</v>
      </c>
      <c r="K280" s="287">
        <f>'LOE Breakdown by Year'!H45</f>
        <v>0.45</v>
      </c>
      <c r="L280" s="119">
        <f t="shared" si="197"/>
        <v>12</v>
      </c>
      <c r="M280" s="119">
        <f t="shared" si="208"/>
        <v>14976</v>
      </c>
      <c r="N280" s="287">
        <f>'LOE Breakdown by Year'!H69</f>
        <v>0.4</v>
      </c>
      <c r="O280" s="119">
        <f t="shared" si="199"/>
        <v>12</v>
      </c>
      <c r="P280" s="119">
        <f t="shared" si="200"/>
        <v>13844.48</v>
      </c>
      <c r="Q280" s="287">
        <f>'LOE Breakdown by Year'!H93</f>
        <v>0.35</v>
      </c>
      <c r="R280" s="119">
        <f t="shared" si="201"/>
        <v>12</v>
      </c>
      <c r="S280" s="119">
        <f t="shared" si="209"/>
        <v>12598.4768</v>
      </c>
      <c r="T280" s="287">
        <f>'LOE Breakdown by Year'!H117</f>
        <v>0.55000000000000004</v>
      </c>
      <c r="U280" s="119">
        <f t="shared" si="203"/>
        <v>9</v>
      </c>
      <c r="V280" s="119">
        <f t="shared" si="210"/>
        <v>15442.132992000004</v>
      </c>
      <c r="W280" s="119">
        <f t="shared" si="211"/>
        <v>60461.089792000006</v>
      </c>
      <c r="X280" s="119">
        <v>0</v>
      </c>
      <c r="Y280" s="119">
        <f t="shared" si="212"/>
        <v>60461.089792000006</v>
      </c>
      <c r="AA280" s="366">
        <v>0.5</v>
      </c>
      <c r="AB280" s="366">
        <v>0.5</v>
      </c>
    </row>
    <row r="281" spans="1:28" hidden="1">
      <c r="A281" s="58"/>
      <c r="B281" s="58"/>
      <c r="C281" s="58"/>
      <c r="D281" s="58"/>
      <c r="E281" s="58" t="str">
        <f t="shared" si="195"/>
        <v>Compliance Director</v>
      </c>
      <c r="F281" s="287">
        <f>'LOE Breakdown by Year'!H22</f>
        <v>0</v>
      </c>
      <c r="G281" s="127" t="s">
        <v>221</v>
      </c>
      <c r="H281" s="119">
        <f t="shared" si="196"/>
        <v>8</v>
      </c>
      <c r="I281" s="119">
        <f t="shared" si="196"/>
        <v>6833.333333333333</v>
      </c>
      <c r="J281" s="119">
        <f t="shared" si="207"/>
        <v>0</v>
      </c>
      <c r="K281" s="287">
        <f>'LOE Breakdown by Year'!H46</f>
        <v>0</v>
      </c>
      <c r="L281" s="119">
        <f t="shared" si="197"/>
        <v>12</v>
      </c>
      <c r="M281" s="119">
        <f t="shared" si="208"/>
        <v>0</v>
      </c>
      <c r="N281" s="287">
        <f>'LOE Breakdown by Year'!H70</f>
        <v>0</v>
      </c>
      <c r="O281" s="119">
        <f t="shared" si="199"/>
        <v>12</v>
      </c>
      <c r="P281" s="119">
        <f t="shared" si="200"/>
        <v>0</v>
      </c>
      <c r="Q281" s="287">
        <f>'LOE Breakdown by Year'!H94</f>
        <v>0</v>
      </c>
      <c r="R281" s="119">
        <f t="shared" si="201"/>
        <v>12</v>
      </c>
      <c r="S281" s="119">
        <f t="shared" si="209"/>
        <v>0</v>
      </c>
      <c r="T281" s="287">
        <f>'LOE Breakdown by Year'!H118</f>
        <v>0</v>
      </c>
      <c r="U281" s="119">
        <f t="shared" si="203"/>
        <v>12</v>
      </c>
      <c r="V281" s="119">
        <f t="shared" si="210"/>
        <v>0</v>
      </c>
      <c r="W281" s="119">
        <f t="shared" si="211"/>
        <v>0</v>
      </c>
      <c r="X281" s="119">
        <v>0</v>
      </c>
      <c r="Y281" s="119">
        <f t="shared" si="212"/>
        <v>0</v>
      </c>
      <c r="AA281" s="366">
        <v>0.5</v>
      </c>
      <c r="AB281" s="366">
        <v>0.5</v>
      </c>
    </row>
    <row r="282" spans="1:28" hidden="1">
      <c r="A282" s="58"/>
      <c r="B282" s="58"/>
      <c r="C282" s="58"/>
      <c r="D282" s="58"/>
      <c r="E282" s="58" t="str">
        <f t="shared" si="195"/>
        <v xml:space="preserve">Accountant </v>
      </c>
      <c r="F282" s="287">
        <f>'LOE Breakdown by Year'!H23</f>
        <v>0</v>
      </c>
      <c r="G282" s="127" t="s">
        <v>221</v>
      </c>
      <c r="H282" s="119">
        <f t="shared" si="196"/>
        <v>3</v>
      </c>
      <c r="I282" s="119">
        <f t="shared" si="196"/>
        <v>1750</v>
      </c>
      <c r="J282" s="119">
        <f t="shared" ref="J282:J283" si="213">H282*I282*F282</f>
        <v>0</v>
      </c>
      <c r="K282" s="287">
        <f>'LOE Breakdown by Year'!H47</f>
        <v>0</v>
      </c>
      <c r="L282" s="119">
        <f t="shared" si="197"/>
        <v>12</v>
      </c>
      <c r="M282" s="119">
        <f t="shared" ref="M282:M283" si="214">L282*I282*$F$8*$K282</f>
        <v>0</v>
      </c>
      <c r="N282" s="287">
        <f>'LOE Breakdown by Year'!H71</f>
        <v>0</v>
      </c>
      <c r="O282" s="119">
        <f t="shared" si="199"/>
        <v>12</v>
      </c>
      <c r="P282" s="119">
        <f t="shared" ref="P282:P283" si="215">O282*I282*$N282*$F$8*$F$8</f>
        <v>0</v>
      </c>
      <c r="Q282" s="287">
        <f>'LOE Breakdown by Year'!H95</f>
        <v>0</v>
      </c>
      <c r="R282" s="119">
        <f t="shared" si="201"/>
        <v>12</v>
      </c>
      <c r="S282" s="119">
        <f t="shared" ref="S282:S283" si="216">R282*I282*$Q282*$F$8*$F$8*$F$8</f>
        <v>0</v>
      </c>
      <c r="T282" s="287">
        <f>'LOE Breakdown by Year'!H119</f>
        <v>0</v>
      </c>
      <c r="U282" s="119">
        <f t="shared" si="203"/>
        <v>9</v>
      </c>
      <c r="V282" s="119">
        <f t="shared" ref="V282:V283" si="217">U282*I282*$T282*$F$8*$F$8*$F$8*$F$8</f>
        <v>0</v>
      </c>
      <c r="W282" s="119">
        <f t="shared" ref="W282:W283" si="218">SUM(S282,P282,M282,J282,V282)</f>
        <v>0</v>
      </c>
      <c r="X282" s="119">
        <v>0</v>
      </c>
      <c r="Y282" s="119">
        <f t="shared" ref="Y282:Y283" si="219">SUM(W282:X282)</f>
        <v>0</v>
      </c>
      <c r="AA282" s="366">
        <v>0.5</v>
      </c>
      <c r="AB282" s="366">
        <v>0.5</v>
      </c>
    </row>
    <row r="283" spans="1:28" hidden="1">
      <c r="A283" s="58"/>
      <c r="B283" s="58"/>
      <c r="C283" s="58"/>
      <c r="D283" s="58"/>
      <c r="E283" s="58" t="str">
        <f t="shared" si="195"/>
        <v xml:space="preserve">Administrative Assistant </v>
      </c>
      <c r="F283" s="287">
        <f>'LOE Breakdown by Year'!H24</f>
        <v>0</v>
      </c>
      <c r="G283" s="127" t="s">
        <v>221</v>
      </c>
      <c r="H283" s="119">
        <f t="shared" si="196"/>
        <v>3</v>
      </c>
      <c r="I283" s="119">
        <f t="shared" si="196"/>
        <v>1250</v>
      </c>
      <c r="J283" s="119">
        <f t="shared" si="213"/>
        <v>0</v>
      </c>
      <c r="K283" s="287">
        <f>'LOE Breakdown by Year'!H48</f>
        <v>0</v>
      </c>
      <c r="L283" s="119">
        <f t="shared" si="197"/>
        <v>12</v>
      </c>
      <c r="M283" s="119">
        <f t="shared" si="214"/>
        <v>0</v>
      </c>
      <c r="N283" s="287">
        <f>'LOE Breakdown by Year'!H72</f>
        <v>0</v>
      </c>
      <c r="O283" s="119">
        <f t="shared" si="199"/>
        <v>12</v>
      </c>
      <c r="P283" s="119">
        <f t="shared" si="215"/>
        <v>0</v>
      </c>
      <c r="Q283" s="287">
        <f>'LOE Breakdown by Year'!H96</f>
        <v>0</v>
      </c>
      <c r="R283" s="119">
        <f t="shared" si="201"/>
        <v>12</v>
      </c>
      <c r="S283" s="119">
        <f t="shared" si="216"/>
        <v>0</v>
      </c>
      <c r="T283" s="287">
        <f>'LOE Breakdown by Year'!H120</f>
        <v>0</v>
      </c>
      <c r="U283" s="119">
        <f t="shared" si="203"/>
        <v>9</v>
      </c>
      <c r="V283" s="119">
        <f t="shared" si="217"/>
        <v>0</v>
      </c>
      <c r="W283" s="119">
        <f t="shared" si="218"/>
        <v>0</v>
      </c>
      <c r="X283" s="119">
        <v>0</v>
      </c>
      <c r="Y283" s="119">
        <f t="shared" si="219"/>
        <v>0</v>
      </c>
      <c r="AA283" s="366">
        <v>0.5</v>
      </c>
      <c r="AB283" s="366">
        <v>0.5</v>
      </c>
    </row>
    <row r="284" spans="1:28">
      <c r="A284" s="109"/>
      <c r="B284" s="109"/>
      <c r="C284" s="109"/>
      <c r="D284" s="109"/>
      <c r="E284" s="109" t="s">
        <v>433</v>
      </c>
      <c r="F284" s="300"/>
      <c r="G284" s="123"/>
      <c r="H284" s="124"/>
      <c r="I284" s="124"/>
      <c r="J284" s="125">
        <f>SUM(J270:J283)</f>
        <v>67725</v>
      </c>
      <c r="K284" s="300"/>
      <c r="L284" s="125"/>
      <c r="M284" s="125">
        <f>SUM(M270:M283)</f>
        <v>166712</v>
      </c>
      <c r="N284" s="300"/>
      <c r="O284" s="125"/>
      <c r="P284" s="125">
        <f>SUM(P270:P283)</f>
        <v>175435.52000000002</v>
      </c>
      <c r="Q284" s="300"/>
      <c r="R284" s="125"/>
      <c r="S284" s="125">
        <f>SUM(S270:S283)</f>
        <v>170304.40960000004</v>
      </c>
      <c r="T284" s="300"/>
      <c r="U284" s="125"/>
      <c r="V284" s="125">
        <f>SUM(V270:V283)</f>
        <v>160270.62272000001</v>
      </c>
      <c r="W284" s="125">
        <f>SUM(W270:W283)</f>
        <v>740447.55232000002</v>
      </c>
      <c r="X284" s="125">
        <f>SUM(X270:X283)</f>
        <v>0</v>
      </c>
      <c r="Y284" s="125">
        <f>SUM(Y270:Y283)</f>
        <v>740447.55232000002</v>
      </c>
      <c r="AA284" s="366"/>
      <c r="AB284" s="366"/>
    </row>
    <row r="285" spans="1:28">
      <c r="A285" s="272"/>
      <c r="B285" s="272"/>
      <c r="C285" s="272"/>
      <c r="D285" s="272"/>
      <c r="E285" s="272"/>
      <c r="F285" s="301"/>
      <c r="G285" s="245"/>
      <c r="H285" s="154"/>
      <c r="I285" s="154"/>
      <c r="J285" s="154"/>
      <c r="K285" s="301"/>
      <c r="L285" s="154"/>
      <c r="M285" s="154"/>
      <c r="N285" s="301"/>
      <c r="O285" s="154"/>
      <c r="P285" s="154"/>
      <c r="Q285" s="301"/>
      <c r="R285" s="154"/>
      <c r="S285" s="154"/>
      <c r="T285" s="301"/>
      <c r="U285" s="154"/>
      <c r="V285" s="154"/>
      <c r="W285" s="154"/>
      <c r="X285" s="154"/>
      <c r="Y285" s="154"/>
      <c r="AA285" s="366"/>
      <c r="AB285" s="366"/>
    </row>
    <row r="286" spans="1:28">
      <c r="A286" s="109"/>
      <c r="B286" s="109"/>
      <c r="C286" s="109"/>
      <c r="D286" s="109"/>
      <c r="E286" s="109" t="s">
        <v>434</v>
      </c>
      <c r="F286" s="300"/>
      <c r="G286" s="123"/>
      <c r="H286" s="124"/>
      <c r="I286" s="124"/>
      <c r="J286" s="125"/>
      <c r="K286" s="300"/>
      <c r="L286" s="125"/>
      <c r="M286" s="125"/>
      <c r="N286" s="300"/>
      <c r="O286" s="125"/>
      <c r="P286" s="125"/>
      <c r="Q286" s="300"/>
      <c r="R286" s="125"/>
      <c r="S286" s="125"/>
      <c r="T286" s="300"/>
      <c r="U286" s="125"/>
      <c r="V286" s="125"/>
      <c r="W286" s="125"/>
      <c r="X286" s="125"/>
      <c r="Y286" s="125"/>
      <c r="AA286" s="366"/>
      <c r="AB286" s="366"/>
    </row>
    <row r="287" spans="1:28">
      <c r="A287" s="58" t="s">
        <v>435</v>
      </c>
      <c r="B287" s="58">
        <v>70015</v>
      </c>
      <c r="C287" s="58" t="s">
        <v>222</v>
      </c>
      <c r="D287" s="58">
        <v>0</v>
      </c>
      <c r="E287" s="58" t="str">
        <f>E35</f>
        <v>Fringe Benefits CCN - Colombia (above $2,600 monthly)</v>
      </c>
      <c r="F287" s="288"/>
      <c r="G287" s="246" t="s">
        <v>238</v>
      </c>
      <c r="H287" s="119"/>
      <c r="I287" s="438">
        <f>I35</f>
        <v>0.53864000000000001</v>
      </c>
      <c r="J287" s="119">
        <f>(J276+J271+J272+J273+J281+J274+J278+J279+J280)*$I$287</f>
        <v>19391.04</v>
      </c>
      <c r="K287" s="288"/>
      <c r="L287" s="119"/>
      <c r="M287" s="119">
        <f>(M276+M271+M272+M273+M281+M274+M278+M279+M280)*$I$287</f>
        <v>43190.309760000004</v>
      </c>
      <c r="N287" s="288"/>
      <c r="O287" s="119"/>
      <c r="P287" s="119">
        <f>(P276+P271+P272+P273+P281+P274+P278+P279+P280)*$I$287</f>
        <v>46024.848895999996</v>
      </c>
      <c r="Q287" s="288"/>
      <c r="R287" s="119"/>
      <c r="S287" s="119">
        <f>(S276+S271+S272+S273+S281+S274+S278+S279+S280)*$I$287</f>
        <v>41322.158006272002</v>
      </c>
      <c r="T287" s="288"/>
      <c r="U287" s="119"/>
      <c r="V287" s="119">
        <f>(V276+V271+V272+V273+V281+V274+V278+V279+V280)*$I$287</f>
        <v>44030.516456243211</v>
      </c>
      <c r="W287" s="119">
        <f t="shared" ref="W287:W290" si="220">SUM(S287,P287,M287,J287,V287)</f>
        <v>193958.87311851521</v>
      </c>
      <c r="X287" s="154">
        <v>0</v>
      </c>
      <c r="Y287" s="119">
        <f>SUM(W287:X287)</f>
        <v>193958.87311851521</v>
      </c>
      <c r="AA287" s="366">
        <v>0.5</v>
      </c>
      <c r="AB287" s="366">
        <v>0.5</v>
      </c>
    </row>
    <row r="288" spans="1:28">
      <c r="A288" s="58" t="s">
        <v>435</v>
      </c>
      <c r="B288" s="58">
        <v>70015</v>
      </c>
      <c r="C288" s="58" t="s">
        <v>222</v>
      </c>
      <c r="D288" s="58">
        <v>0</v>
      </c>
      <c r="E288" s="58" t="str">
        <f>E36</f>
        <v>Fringe Benefits CCN - Colombia (below $2,600 monthly)</v>
      </c>
      <c r="F288" s="288"/>
      <c r="G288" s="246" t="s">
        <v>238</v>
      </c>
      <c r="H288" s="119"/>
      <c r="I288" s="438">
        <f>I36</f>
        <v>0.40364</v>
      </c>
      <c r="J288" s="119">
        <f>(J283+J282+J277+J275)*$I$288</f>
        <v>6750.8789999999999</v>
      </c>
      <c r="K288" s="288"/>
      <c r="L288" s="119"/>
      <c r="M288" s="119">
        <f>(M283+M282+M277+M275)*$I$288</f>
        <v>28629.377919999999</v>
      </c>
      <c r="N288" s="288"/>
      <c r="O288" s="119"/>
      <c r="P288" s="119">
        <f>(P283+P282+P277+P275)*$I$288</f>
        <v>29774.553036800004</v>
      </c>
      <c r="Q288" s="288"/>
      <c r="R288" s="119"/>
      <c r="S288" s="119">
        <f>(S283+S282+S277+S275)*$I$288</f>
        <v>30965.535158272</v>
      </c>
      <c r="T288" s="288"/>
      <c r="U288" s="119"/>
      <c r="V288" s="119">
        <f>(V283+V282+V277+V275)*$I$288</f>
        <v>24613.514089881603</v>
      </c>
      <c r="W288" s="119">
        <f t="shared" si="220"/>
        <v>120733.85920495361</v>
      </c>
      <c r="X288" s="154">
        <v>0</v>
      </c>
      <c r="Y288" s="119">
        <f>SUM(W288:X288)</f>
        <v>120733.85920495361</v>
      </c>
      <c r="AA288" s="366">
        <v>0.5</v>
      </c>
      <c r="AB288" s="366">
        <v>0.5</v>
      </c>
    </row>
    <row r="289" spans="1:28">
      <c r="A289" s="510" t="s">
        <v>926</v>
      </c>
      <c r="B289" s="58">
        <v>50202</v>
      </c>
      <c r="C289" s="58" t="s">
        <v>219</v>
      </c>
      <c r="D289" s="58">
        <v>0</v>
      </c>
      <c r="E289" s="58" t="str">
        <f>E38</f>
        <v>Post (Hardship) Differential for Chief of Party</v>
      </c>
      <c r="F289" s="293"/>
      <c r="G289" s="246" t="s">
        <v>238</v>
      </c>
      <c r="I289" s="129">
        <f>I38</f>
        <v>0.1</v>
      </c>
      <c r="J289" s="248">
        <f>J270*$I$289</f>
        <v>1500</v>
      </c>
      <c r="K289" s="293"/>
      <c r="L289" s="248"/>
      <c r="M289" s="248">
        <f>M270*$I$289</f>
        <v>1560</v>
      </c>
      <c r="N289" s="293"/>
      <c r="O289" s="248"/>
      <c r="P289" s="248">
        <f>P270*$I$289</f>
        <v>1622.4</v>
      </c>
      <c r="Q289" s="293"/>
      <c r="R289" s="248"/>
      <c r="S289" s="248">
        <f>S270*$I$289</f>
        <v>1687.296</v>
      </c>
      <c r="T289" s="293"/>
      <c r="U289" s="248"/>
      <c r="V289" s="248">
        <f>V270*$I$289</f>
        <v>1754.7878400000002</v>
      </c>
      <c r="W289" s="119">
        <f t="shared" si="220"/>
        <v>8124.4838399999999</v>
      </c>
      <c r="X289" s="119" t="s">
        <v>243</v>
      </c>
      <c r="Y289" s="119">
        <f>SUM(W289:X289)</f>
        <v>8124.4838399999999</v>
      </c>
      <c r="AA289" s="366">
        <v>0.5</v>
      </c>
      <c r="AB289" s="366">
        <v>0.5</v>
      </c>
    </row>
    <row r="290" spans="1:28">
      <c r="A290" s="58" t="s">
        <v>435</v>
      </c>
      <c r="B290" s="58">
        <v>50900</v>
      </c>
      <c r="C290" s="58" t="s">
        <v>219</v>
      </c>
      <c r="D290" s="58">
        <v>0</v>
      </c>
      <c r="E290" s="58" t="str">
        <f>E39</f>
        <v>Fringe Benefits Package for Chief of Party</v>
      </c>
      <c r="F290" s="293"/>
      <c r="G290" s="246" t="s">
        <v>238</v>
      </c>
      <c r="I290" s="150">
        <f>I39</f>
        <v>0.56810000000000005</v>
      </c>
      <c r="J290" s="248">
        <f>J270*$I$290</f>
        <v>8521.5</v>
      </c>
      <c r="K290" s="293"/>
      <c r="L290" s="248"/>
      <c r="M290" s="248">
        <f>M270*$I$290</f>
        <v>8862.36</v>
      </c>
      <c r="N290" s="293"/>
      <c r="O290" s="248"/>
      <c r="P290" s="248">
        <f>P270*$I$290</f>
        <v>9216.8544000000002</v>
      </c>
      <c r="Q290" s="293"/>
      <c r="R290" s="248"/>
      <c r="S290" s="248">
        <f>S270*$I$290</f>
        <v>9585.5285760000006</v>
      </c>
      <c r="T290" s="293"/>
      <c r="U290" s="248"/>
      <c r="V290" s="248">
        <f>V270*$I$290</f>
        <v>9968.9497190400016</v>
      </c>
      <c r="W290" s="119">
        <f t="shared" si="220"/>
        <v>46155.192695040001</v>
      </c>
      <c r="X290" s="119" t="s">
        <v>243</v>
      </c>
      <c r="Y290" s="119">
        <f>SUM(W290:X290)</f>
        <v>46155.192695040001</v>
      </c>
      <c r="AA290" s="366">
        <v>0.5</v>
      </c>
      <c r="AB290" s="366">
        <v>0.5</v>
      </c>
    </row>
    <row r="291" spans="1:28">
      <c r="A291" s="109"/>
      <c r="B291" s="109"/>
      <c r="C291" s="109"/>
      <c r="D291" s="109"/>
      <c r="E291" s="109" t="s">
        <v>436</v>
      </c>
      <c r="F291" s="300"/>
      <c r="G291" s="123"/>
      <c r="H291" s="124"/>
      <c r="I291" s="124"/>
      <c r="J291" s="125">
        <f>SUM(J287:J290)</f>
        <v>36163.419000000002</v>
      </c>
      <c r="K291" s="300"/>
      <c r="L291" s="125"/>
      <c r="M291" s="125">
        <f>SUM(M287:M290)</f>
        <v>82242.047680000003</v>
      </c>
      <c r="N291" s="300"/>
      <c r="O291" s="125"/>
      <c r="P291" s="125">
        <f>SUM(P287:P290)</f>
        <v>86638.65633279999</v>
      </c>
      <c r="Q291" s="300"/>
      <c r="R291" s="125"/>
      <c r="S291" s="125">
        <f>SUM(S287:S290)</f>
        <v>83560.517740544004</v>
      </c>
      <c r="T291" s="300"/>
      <c r="U291" s="125"/>
      <c r="V291" s="125">
        <f>SUM(V287:V290)</f>
        <v>80367.768105164825</v>
      </c>
      <c r="W291" s="125">
        <f>SUM(W287:W290)</f>
        <v>368972.40885850886</v>
      </c>
      <c r="X291" s="125">
        <f>SUM(X287:X290)</f>
        <v>0</v>
      </c>
      <c r="Y291" s="125">
        <f>SUM(Y287:Y290)</f>
        <v>368972.40885850886</v>
      </c>
      <c r="AA291" s="366"/>
      <c r="AB291" s="366"/>
    </row>
    <row r="292" spans="1:28">
      <c r="A292" s="272"/>
      <c r="B292" s="272"/>
      <c r="C292" s="272"/>
      <c r="D292" s="272"/>
      <c r="E292" s="272"/>
      <c r="F292" s="301"/>
      <c r="G292" s="245"/>
      <c r="H292" s="154"/>
      <c r="I292" s="154"/>
      <c r="J292" s="154"/>
      <c r="K292" s="301"/>
      <c r="L292" s="154"/>
      <c r="M292" s="154"/>
      <c r="N292" s="301"/>
      <c r="O292" s="154"/>
      <c r="P292" s="154"/>
      <c r="Q292" s="301"/>
      <c r="R292" s="154"/>
      <c r="S292" s="154"/>
      <c r="T292" s="301"/>
      <c r="U292" s="154"/>
      <c r="V292" s="154"/>
      <c r="W292" s="154"/>
      <c r="X292" s="154"/>
      <c r="Y292" s="154"/>
      <c r="AA292" s="355"/>
      <c r="AB292" s="355"/>
    </row>
    <row r="293" spans="1:28">
      <c r="A293" s="109"/>
      <c r="B293" s="109"/>
      <c r="C293" s="109"/>
      <c r="D293" s="109"/>
      <c r="E293" s="109" t="s">
        <v>437</v>
      </c>
      <c r="F293" s="300"/>
      <c r="G293" s="123"/>
      <c r="H293" s="124"/>
      <c r="I293" s="124"/>
      <c r="J293" s="124"/>
      <c r="K293" s="300"/>
      <c r="L293" s="124"/>
      <c r="M293" s="124"/>
      <c r="N293" s="300"/>
      <c r="O293" s="124"/>
      <c r="P293" s="124"/>
      <c r="Q293" s="300"/>
      <c r="R293" s="124"/>
      <c r="S293" s="124"/>
      <c r="T293" s="300"/>
      <c r="U293" s="124"/>
      <c r="V293" s="124"/>
      <c r="W293" s="124"/>
      <c r="X293" s="124"/>
      <c r="Y293" s="124"/>
      <c r="AA293" s="366"/>
      <c r="AB293" s="366"/>
    </row>
    <row r="294" spans="1:28">
      <c r="A294" s="58" t="s">
        <v>438</v>
      </c>
      <c r="B294" s="58">
        <v>86000</v>
      </c>
      <c r="C294" s="58" t="s">
        <v>222</v>
      </c>
      <c r="D294" s="58">
        <v>0</v>
      </c>
      <c r="E294" s="58" t="s">
        <v>396</v>
      </c>
      <c r="F294" s="293"/>
      <c r="G294" s="58" t="s">
        <v>221</v>
      </c>
      <c r="H294" s="119">
        <v>3</v>
      </c>
      <c r="I294" s="119">
        <f>50*15</f>
        <v>750</v>
      </c>
      <c r="J294" s="119">
        <f>H294*I294</f>
        <v>2250</v>
      </c>
      <c r="K294" s="293"/>
      <c r="L294" s="119">
        <v>12</v>
      </c>
      <c r="M294" s="119">
        <f t="shared" ref="M294" si="221">L294*I294*$F$7</f>
        <v>9360</v>
      </c>
      <c r="N294" s="293"/>
      <c r="O294" s="119">
        <v>12</v>
      </c>
      <c r="P294" s="119">
        <f t="shared" ref="P294" si="222">O294*I294*$F$7*$F$7</f>
        <v>9734.4</v>
      </c>
      <c r="Q294" s="293"/>
      <c r="R294" s="119">
        <v>12</v>
      </c>
      <c r="S294" s="119">
        <f t="shared" ref="S294" si="223">R294*I294*$F$7*$F$7*$F$7</f>
        <v>10123.776</v>
      </c>
      <c r="T294" s="293"/>
      <c r="U294" s="119">
        <v>9</v>
      </c>
      <c r="V294" s="119">
        <f t="shared" ref="V294" si="224">U294*I294*$F$7*$F$7*$F$7*$F$7</f>
        <v>7896.5452800000003</v>
      </c>
      <c r="W294" s="119">
        <f t="shared" ref="W294" si="225">SUM(S294,P294,M294,J294,V294)</f>
        <v>39364.721279999998</v>
      </c>
      <c r="X294" s="119" t="s">
        <v>243</v>
      </c>
      <c r="Y294" s="119">
        <f>SUM(W294:X294)</f>
        <v>39364.721279999998</v>
      </c>
      <c r="AA294" s="366">
        <v>0.5</v>
      </c>
      <c r="AB294" s="366">
        <v>0.5</v>
      </c>
    </row>
    <row r="295" spans="1:28">
      <c r="A295" s="58" t="s">
        <v>438</v>
      </c>
      <c r="B295" s="58">
        <v>86000</v>
      </c>
      <c r="C295" s="58" t="s">
        <v>222</v>
      </c>
      <c r="D295" s="58">
        <v>0</v>
      </c>
      <c r="E295" s="58" t="s">
        <v>375</v>
      </c>
      <c r="G295" s="58" t="s">
        <v>255</v>
      </c>
      <c r="H295" s="119">
        <v>1</v>
      </c>
      <c r="I295" s="119">
        <v>100</v>
      </c>
      <c r="J295" s="119">
        <f>H295*I295</f>
        <v>100</v>
      </c>
      <c r="K295" s="296"/>
      <c r="L295" s="119">
        <v>1</v>
      </c>
      <c r="M295" s="119">
        <f>I295*L295*$F$7</f>
        <v>104</v>
      </c>
      <c r="N295" s="296"/>
      <c r="O295" s="119">
        <v>1</v>
      </c>
      <c r="P295" s="119">
        <f>I295*O295*$F$7*$F$7</f>
        <v>108.16</v>
      </c>
      <c r="Q295" s="296"/>
      <c r="R295" s="119">
        <v>1</v>
      </c>
      <c r="S295" s="119">
        <f>I295*R295*$F$7*$F$7*$F$7</f>
        <v>112.4864</v>
      </c>
      <c r="T295" s="296"/>
      <c r="U295" s="119">
        <v>1</v>
      </c>
      <c r="V295" s="119">
        <f>I295*U295*$F$7*$F$7*$F$7*$F$7</f>
        <v>116.98585600000001</v>
      </c>
      <c r="W295" s="119">
        <f t="shared" ref="W295" si="226">SUM(S295,P295,M295,J295,V295)</f>
        <v>541.63225599999998</v>
      </c>
      <c r="X295" s="119" t="s">
        <v>243</v>
      </c>
      <c r="Y295" s="119">
        <f>SUM(W295:X295)</f>
        <v>541.63225599999998</v>
      </c>
      <c r="AA295" s="366">
        <v>0.5</v>
      </c>
      <c r="AB295" s="366">
        <v>0.5</v>
      </c>
    </row>
    <row r="296" spans="1:28" ht="50.4">
      <c r="A296" s="58" t="s">
        <v>438</v>
      </c>
      <c r="B296" s="120" t="s">
        <v>257</v>
      </c>
      <c r="C296" s="58" t="s">
        <v>222</v>
      </c>
      <c r="D296" s="58">
        <v>0</v>
      </c>
      <c r="E296" s="58" t="s">
        <v>376</v>
      </c>
      <c r="G296" s="58" t="s">
        <v>259</v>
      </c>
      <c r="H296" s="119">
        <f>7*H295</f>
        <v>7</v>
      </c>
      <c r="I296" s="119">
        <v>80</v>
      </c>
      <c r="J296" s="119">
        <f>H296*I296</f>
        <v>560</v>
      </c>
      <c r="K296" s="296"/>
      <c r="L296" s="119">
        <f>7*L295</f>
        <v>7</v>
      </c>
      <c r="M296" s="119">
        <f>I296*L296*$F$7</f>
        <v>582.4</v>
      </c>
      <c r="N296" s="296"/>
      <c r="O296" s="119">
        <f>7*O295</f>
        <v>7</v>
      </c>
      <c r="P296" s="119">
        <f>I296*O296*$F$7*$F$7</f>
        <v>605.69600000000003</v>
      </c>
      <c r="Q296" s="296"/>
      <c r="R296" s="119">
        <f>7*R295</f>
        <v>7</v>
      </c>
      <c r="S296" s="119">
        <f>I296*R296*$F$7*$F$7*$F$7</f>
        <v>629.92384000000004</v>
      </c>
      <c r="T296" s="296"/>
      <c r="U296" s="119">
        <f>7*U295</f>
        <v>7</v>
      </c>
      <c r="V296" s="119">
        <f>I296*U296*$F$7*$F$7*$F$7*$F$7</f>
        <v>655.12079360000007</v>
      </c>
      <c r="W296" s="119">
        <f t="shared" ref="W296" si="227">SUM(S296,P296,M296,J296,V296)</f>
        <v>3033.1406336</v>
      </c>
      <c r="X296" s="119" t="s">
        <v>243</v>
      </c>
      <c r="Y296" s="119">
        <f>SUM(W296:X296)</f>
        <v>3033.1406336</v>
      </c>
      <c r="AA296" s="366">
        <v>0.5</v>
      </c>
      <c r="AB296" s="366">
        <v>0.5</v>
      </c>
    </row>
    <row r="297" spans="1:28">
      <c r="A297" s="109"/>
      <c r="B297" s="109"/>
      <c r="C297" s="109"/>
      <c r="D297" s="109"/>
      <c r="E297" s="109" t="s">
        <v>439</v>
      </c>
      <c r="F297" s="300"/>
      <c r="G297" s="123"/>
      <c r="H297" s="124"/>
      <c r="I297" s="124"/>
      <c r="J297" s="125">
        <f>SUM(J294:J296)</f>
        <v>2910</v>
      </c>
      <c r="K297" s="300"/>
      <c r="L297" s="124"/>
      <c r="M297" s="125">
        <f>SUM(M294:M296)</f>
        <v>10046.4</v>
      </c>
      <c r="N297" s="300"/>
      <c r="O297" s="124"/>
      <c r="P297" s="125">
        <f>SUM(P294:P296)</f>
        <v>10448.255999999999</v>
      </c>
      <c r="Q297" s="300"/>
      <c r="R297" s="124"/>
      <c r="S297" s="125">
        <f>SUM(S294:S296)</f>
        <v>10866.186239999999</v>
      </c>
      <c r="T297" s="300"/>
      <c r="U297" s="124"/>
      <c r="V297" s="125">
        <f>SUM(V294:V296)</f>
        <v>8668.6519296000006</v>
      </c>
      <c r="W297" s="125">
        <f>SUM(W294:W296)</f>
        <v>42939.494169599995</v>
      </c>
      <c r="X297" s="125">
        <f>SUM(X294:X296)</f>
        <v>0</v>
      </c>
      <c r="Y297" s="125">
        <f>SUM(Y294:Y296)</f>
        <v>42939.494169599995</v>
      </c>
      <c r="AA297" s="366"/>
      <c r="AB297" s="366"/>
    </row>
    <row r="298" spans="1:28">
      <c r="A298" s="272"/>
      <c r="B298" s="272"/>
      <c r="C298" s="272"/>
      <c r="D298" s="272"/>
      <c r="E298" s="272"/>
      <c r="F298" s="301"/>
      <c r="G298" s="245"/>
      <c r="H298" s="154"/>
      <c r="I298" s="154"/>
      <c r="J298" s="154"/>
      <c r="K298" s="301"/>
      <c r="L298" s="154"/>
      <c r="M298" s="154"/>
      <c r="N298" s="301"/>
      <c r="O298" s="154"/>
      <c r="P298" s="154"/>
      <c r="Q298" s="301"/>
      <c r="R298" s="154"/>
      <c r="S298" s="154"/>
      <c r="T298" s="301"/>
      <c r="U298" s="154"/>
      <c r="V298" s="154"/>
      <c r="W298" s="154"/>
      <c r="X298" s="154"/>
      <c r="Y298" s="154"/>
    </row>
    <row r="299" spans="1:28">
      <c r="A299" s="109"/>
      <c r="B299" s="109"/>
      <c r="C299" s="109"/>
      <c r="D299" s="109"/>
      <c r="E299" s="109" t="s">
        <v>440</v>
      </c>
      <c r="F299" s="300"/>
      <c r="G299" s="123"/>
      <c r="H299" s="124"/>
      <c r="I299" s="124"/>
      <c r="J299" s="124"/>
      <c r="K299" s="300"/>
      <c r="L299" s="124"/>
      <c r="M299" s="124"/>
      <c r="N299" s="300"/>
      <c r="O299" s="124"/>
      <c r="P299" s="124"/>
      <c r="Q299" s="300"/>
      <c r="R299" s="124"/>
      <c r="S299" s="124"/>
      <c r="T299" s="300"/>
      <c r="U299" s="124"/>
      <c r="V299" s="124"/>
      <c r="W299" s="124"/>
      <c r="X299" s="124"/>
      <c r="Y299" s="124"/>
    </row>
    <row r="300" spans="1:28">
      <c r="A300" s="120" t="s">
        <v>441</v>
      </c>
      <c r="B300" s="120">
        <v>89000</v>
      </c>
      <c r="C300" s="58" t="s">
        <v>222</v>
      </c>
      <c r="D300" s="58" t="s">
        <v>442</v>
      </c>
      <c r="E300" s="120" t="s">
        <v>443</v>
      </c>
      <c r="F300" s="293"/>
      <c r="G300" s="126" t="s">
        <v>294</v>
      </c>
      <c r="H300" s="119">
        <v>1</v>
      </c>
      <c r="I300" s="119"/>
      <c r="J300" s="119">
        <f>'Agrosavia Sub Budget'!G45</f>
        <v>62708.331250000003</v>
      </c>
      <c r="K300" s="293"/>
      <c r="L300" s="119">
        <v>1</v>
      </c>
      <c r="M300" s="119">
        <f>'Agrosavia Sub Budget'!I45</f>
        <v>174486.223</v>
      </c>
      <c r="N300" s="293"/>
      <c r="O300" s="119">
        <v>1</v>
      </c>
      <c r="P300" s="119">
        <f>'Agrosavia Sub Budget'!K45</f>
        <v>83275.369189999998</v>
      </c>
      <c r="Q300" s="293"/>
      <c r="R300" s="119">
        <v>1</v>
      </c>
      <c r="S300" s="119">
        <f>'Agrosavia Sub Budget'!M45</f>
        <v>13870.28371095</v>
      </c>
      <c r="T300" s="293"/>
      <c r="U300" s="119">
        <v>1</v>
      </c>
      <c r="V300" s="119">
        <f>'Agrosavia Sub Budget'!O45</f>
        <v>0</v>
      </c>
      <c r="W300" s="119">
        <f t="shared" ref="W300:W301" si="228">SUM(S300,P300,M300,J300,V300)</f>
        <v>334340.20715094998</v>
      </c>
      <c r="X300" s="119">
        <v>0</v>
      </c>
      <c r="Y300" s="136">
        <f>SUM(W300:X300)</f>
        <v>334340.20715094998</v>
      </c>
      <c r="AA300" s="366">
        <v>0.5</v>
      </c>
      <c r="AB300" s="366">
        <v>0.5</v>
      </c>
    </row>
    <row r="301" spans="1:28" ht="50.4">
      <c r="A301" s="58" t="s">
        <v>444</v>
      </c>
      <c r="B301" s="120" t="s">
        <v>403</v>
      </c>
      <c r="C301" s="58" t="s">
        <v>222</v>
      </c>
      <c r="D301" s="58" t="s">
        <v>17</v>
      </c>
      <c r="E301" s="58" t="s">
        <v>445</v>
      </c>
      <c r="G301" s="126" t="s">
        <v>405</v>
      </c>
      <c r="H301" s="119">
        <v>0</v>
      </c>
      <c r="I301" s="119">
        <v>0</v>
      </c>
      <c r="J301" s="119">
        <v>0</v>
      </c>
      <c r="K301" s="296"/>
      <c r="L301" s="119">
        <v>1</v>
      </c>
      <c r="M301" s="119">
        <v>23000</v>
      </c>
      <c r="N301" s="296"/>
      <c r="O301" s="119">
        <v>1</v>
      </c>
      <c r="P301" s="119">
        <v>23000</v>
      </c>
      <c r="Q301" s="296"/>
      <c r="R301" s="119">
        <v>1</v>
      </c>
      <c r="S301" s="119">
        <v>23000</v>
      </c>
      <c r="T301" s="296"/>
      <c r="U301" s="119">
        <v>1</v>
      </c>
      <c r="V301" s="119">
        <v>23000</v>
      </c>
      <c r="W301" s="119">
        <f t="shared" si="228"/>
        <v>92000</v>
      </c>
      <c r="X301" s="119">
        <v>0</v>
      </c>
      <c r="Y301" s="360">
        <f t="shared" ref="Y301" si="229">SUM(W301:X301)</f>
        <v>92000</v>
      </c>
      <c r="AA301" s="366">
        <v>0.5</v>
      </c>
      <c r="AB301" s="366">
        <v>0.5</v>
      </c>
    </row>
    <row r="302" spans="1:28">
      <c r="A302" s="109"/>
      <c r="B302" s="109"/>
      <c r="C302" s="109"/>
      <c r="D302" s="109"/>
      <c r="E302" s="109" t="s">
        <v>446</v>
      </c>
      <c r="F302" s="300"/>
      <c r="G302" s="123"/>
      <c r="H302" s="124"/>
      <c r="I302" s="124"/>
      <c r="J302" s="125">
        <f>SUM(J300:J301)</f>
        <v>62708.331250000003</v>
      </c>
      <c r="K302" s="300"/>
      <c r="L302" s="125"/>
      <c r="M302" s="125">
        <f>SUM(M300:M301)</f>
        <v>197486.223</v>
      </c>
      <c r="N302" s="300"/>
      <c r="O302" s="125"/>
      <c r="P302" s="125">
        <f>SUM(P300:P301)</f>
        <v>106275.36919</v>
      </c>
      <c r="Q302" s="300"/>
      <c r="R302" s="125"/>
      <c r="S302" s="125">
        <f>SUM(S300:S301)</f>
        <v>36870.283710949996</v>
      </c>
      <c r="T302" s="300"/>
      <c r="U302" s="125"/>
      <c r="V302" s="125">
        <f>SUM(V300:V301)</f>
        <v>23000</v>
      </c>
      <c r="W302" s="125">
        <f>SUM(W300:W301)</f>
        <v>426340.20715094998</v>
      </c>
      <c r="X302" s="125">
        <f>SUM(X300:X301)</f>
        <v>0</v>
      </c>
      <c r="Y302" s="125">
        <f>SUM(Y300:Y301)</f>
        <v>426340.20715094998</v>
      </c>
    </row>
    <row r="303" spans="1:28">
      <c r="A303" s="272"/>
      <c r="B303" s="272"/>
      <c r="C303" s="272"/>
      <c r="D303" s="272"/>
      <c r="E303" s="272"/>
      <c r="F303" s="301"/>
      <c r="G303" s="245"/>
      <c r="H303" s="154"/>
      <c r="I303" s="154"/>
      <c r="J303" s="154"/>
      <c r="K303" s="301"/>
      <c r="L303" s="154"/>
      <c r="M303" s="154"/>
      <c r="N303" s="301"/>
      <c r="O303" s="154"/>
      <c r="P303" s="154"/>
      <c r="Q303" s="301"/>
      <c r="R303" s="154"/>
      <c r="S303" s="154"/>
      <c r="T303" s="301"/>
      <c r="U303" s="154"/>
      <c r="V303" s="154"/>
      <c r="W303" s="154"/>
      <c r="X303" s="154"/>
      <c r="Y303" s="154"/>
      <c r="AA303" s="366"/>
      <c r="AB303" s="366"/>
    </row>
    <row r="304" spans="1:28">
      <c r="A304" s="109"/>
      <c r="B304" s="109"/>
      <c r="C304" s="109"/>
      <c r="D304" s="109"/>
      <c r="E304" s="109" t="s">
        <v>447</v>
      </c>
      <c r="F304" s="300"/>
      <c r="G304" s="123"/>
      <c r="H304" s="124"/>
      <c r="I304" s="124"/>
      <c r="J304" s="124"/>
      <c r="K304" s="300"/>
      <c r="L304" s="124"/>
      <c r="M304" s="124"/>
      <c r="N304" s="300"/>
      <c r="O304" s="124"/>
      <c r="P304" s="124"/>
      <c r="Q304" s="300"/>
      <c r="R304" s="124"/>
      <c r="S304" s="124"/>
      <c r="T304" s="300"/>
      <c r="U304" s="124"/>
      <c r="V304" s="124"/>
      <c r="W304" s="124"/>
      <c r="X304" s="124"/>
      <c r="Y304" s="124"/>
    </row>
    <row r="305" spans="1:28">
      <c r="A305" s="258"/>
      <c r="B305" s="258"/>
      <c r="C305" s="258"/>
      <c r="D305" s="258"/>
      <c r="E305" s="258" t="s">
        <v>420</v>
      </c>
      <c r="F305" s="295"/>
      <c r="G305" s="260"/>
      <c r="H305" s="261"/>
      <c r="I305" s="261"/>
      <c r="J305" s="261"/>
      <c r="K305" s="295"/>
      <c r="L305" s="261"/>
      <c r="M305" s="261"/>
      <c r="N305" s="295"/>
      <c r="O305" s="261"/>
      <c r="P305" s="261"/>
      <c r="Q305" s="295"/>
      <c r="R305" s="261"/>
      <c r="S305" s="261"/>
      <c r="T305" s="295"/>
      <c r="U305" s="261"/>
      <c r="V305" s="261"/>
      <c r="W305" s="244"/>
      <c r="X305" s="244"/>
      <c r="Y305" s="261"/>
    </row>
    <row r="306" spans="1:28">
      <c r="A306" s="58" t="s">
        <v>448</v>
      </c>
      <c r="B306" s="58">
        <v>89000</v>
      </c>
      <c r="C306" s="58" t="s">
        <v>222</v>
      </c>
      <c r="D306" s="58">
        <v>0</v>
      </c>
      <c r="E306" s="58" t="s">
        <v>449</v>
      </c>
      <c r="F306" s="293"/>
      <c r="G306" s="58" t="s">
        <v>281</v>
      </c>
      <c r="H306" s="119">
        <v>0</v>
      </c>
      <c r="I306" s="119">
        <v>130000</v>
      </c>
      <c r="J306" s="119">
        <f>H306*I306</f>
        <v>0</v>
      </c>
      <c r="K306" s="293"/>
      <c r="L306" s="119">
        <v>0</v>
      </c>
      <c r="M306" s="119">
        <f>I306*L306</f>
        <v>0</v>
      </c>
      <c r="N306" s="293"/>
      <c r="O306" s="119">
        <v>1</v>
      </c>
      <c r="P306" s="119">
        <f>I306*O306</f>
        <v>130000</v>
      </c>
      <c r="Q306" s="293"/>
      <c r="R306" s="119">
        <v>0</v>
      </c>
      <c r="S306" s="119">
        <f>I306*R306</f>
        <v>0</v>
      </c>
      <c r="T306" s="293"/>
      <c r="U306" s="119">
        <v>0</v>
      </c>
      <c r="V306" s="119">
        <f>I306*U306</f>
        <v>0</v>
      </c>
      <c r="W306" s="119">
        <f t="shared" ref="W306" si="230">SUM(S306,P306,M306,J306,V306)</f>
        <v>130000</v>
      </c>
      <c r="X306" s="119">
        <v>0</v>
      </c>
      <c r="Y306" s="119">
        <f>SUM(W306:X306)</f>
        <v>130000</v>
      </c>
      <c r="AA306" s="366">
        <v>0.5</v>
      </c>
      <c r="AB306" s="366">
        <v>0.5</v>
      </c>
    </row>
    <row r="307" spans="1:28">
      <c r="A307" s="109"/>
      <c r="B307" s="109"/>
      <c r="C307" s="109"/>
      <c r="D307" s="109"/>
      <c r="E307" s="109" t="s">
        <v>450</v>
      </c>
      <c r="F307" s="300"/>
      <c r="G307" s="123"/>
      <c r="H307" s="124"/>
      <c r="I307" s="124"/>
      <c r="J307" s="125">
        <f>SUM(J305:J306)</f>
        <v>0</v>
      </c>
      <c r="K307" s="300"/>
      <c r="L307" s="125"/>
      <c r="M307" s="125">
        <f>SUM(M305:M306)</f>
        <v>0</v>
      </c>
      <c r="N307" s="300"/>
      <c r="O307" s="125"/>
      <c r="P307" s="125">
        <f>SUM(P305:P306)</f>
        <v>130000</v>
      </c>
      <c r="Q307" s="300"/>
      <c r="R307" s="125"/>
      <c r="S307" s="125">
        <f>SUM(S305:S306)</f>
        <v>0</v>
      </c>
      <c r="T307" s="300"/>
      <c r="U307" s="125"/>
      <c r="V307" s="125">
        <f>SUM(V305:V306)</f>
        <v>0</v>
      </c>
      <c r="W307" s="125">
        <f>SUM(W305:W306)</f>
        <v>130000</v>
      </c>
      <c r="X307" s="125">
        <f>SUM(X305:X306)</f>
        <v>0</v>
      </c>
      <c r="Y307" s="125">
        <f>SUM(Y305:Y306)</f>
        <v>130000</v>
      </c>
    </row>
    <row r="308" spans="1:28">
      <c r="A308" s="272"/>
      <c r="B308" s="272"/>
      <c r="C308" s="272"/>
      <c r="D308" s="272"/>
      <c r="E308" s="272"/>
      <c r="F308" s="301"/>
      <c r="G308" s="245"/>
      <c r="H308" s="154"/>
      <c r="I308" s="154"/>
      <c r="J308" s="154"/>
      <c r="K308" s="301"/>
      <c r="L308" s="154"/>
      <c r="M308" s="154"/>
      <c r="N308" s="301"/>
      <c r="O308" s="154"/>
      <c r="P308" s="154"/>
      <c r="Q308" s="301"/>
      <c r="R308" s="154"/>
      <c r="S308" s="154"/>
      <c r="T308" s="301"/>
      <c r="U308" s="154"/>
      <c r="V308" s="154"/>
      <c r="W308" s="154"/>
      <c r="X308" s="154"/>
      <c r="Y308" s="154"/>
      <c r="AA308" s="366"/>
      <c r="AB308" s="366"/>
    </row>
    <row r="309" spans="1:28">
      <c r="A309" s="109"/>
      <c r="B309" s="109"/>
      <c r="C309" s="109"/>
      <c r="D309" s="109"/>
      <c r="E309" s="109" t="s">
        <v>451</v>
      </c>
      <c r="F309" s="300"/>
      <c r="G309" s="123"/>
      <c r="H309" s="124"/>
      <c r="I309" s="124"/>
      <c r="J309" s="124"/>
      <c r="K309" s="300"/>
      <c r="L309" s="124"/>
      <c r="M309" s="124"/>
      <c r="N309" s="300"/>
      <c r="O309" s="124"/>
      <c r="P309" s="124"/>
      <c r="Q309" s="300"/>
      <c r="R309" s="124"/>
      <c r="S309" s="124"/>
      <c r="T309" s="300"/>
      <c r="U309" s="124"/>
      <c r="V309" s="124"/>
      <c r="W309" s="124"/>
      <c r="X309" s="124"/>
      <c r="Y309" s="124"/>
    </row>
    <row r="310" spans="1:28">
      <c r="A310" s="120" t="s">
        <v>452</v>
      </c>
      <c r="B310" s="120">
        <v>96000</v>
      </c>
      <c r="C310" s="120" t="s">
        <v>219</v>
      </c>
      <c r="D310" s="120">
        <v>0</v>
      </c>
      <c r="E310" s="120" t="s">
        <v>453</v>
      </c>
      <c r="G310" s="126" t="s">
        <v>454</v>
      </c>
      <c r="H310" s="119">
        <v>0</v>
      </c>
      <c r="I310" s="119">
        <v>1500</v>
      </c>
      <c r="J310" s="119">
        <v>0</v>
      </c>
      <c r="K310" s="296"/>
      <c r="L310" s="119">
        <v>2</v>
      </c>
      <c r="M310" s="119">
        <v>0</v>
      </c>
      <c r="N310" s="296"/>
      <c r="O310" s="119">
        <v>2</v>
      </c>
      <c r="P310" s="119">
        <v>0</v>
      </c>
      <c r="Q310" s="296"/>
      <c r="R310" s="119">
        <v>2</v>
      </c>
      <c r="S310" s="119">
        <v>0</v>
      </c>
      <c r="T310" s="296"/>
      <c r="U310" s="119">
        <v>1</v>
      </c>
      <c r="V310" s="119">
        <v>0</v>
      </c>
      <c r="W310" s="119">
        <f>SUM(S310,P310,M310,J310,V310)</f>
        <v>0</v>
      </c>
      <c r="X310" s="119">
        <f>(H310*I310)+(L310*I310)+(O310*I310)+(I310*R310)+(U310*I310)</f>
        <v>10500</v>
      </c>
      <c r="Y310" s="360">
        <f>SUM(W310:X310)</f>
        <v>10500</v>
      </c>
      <c r="AA310" s="366">
        <v>0.5</v>
      </c>
      <c r="AB310" s="366">
        <v>0.5</v>
      </c>
    </row>
    <row r="311" spans="1:28">
      <c r="A311" s="109"/>
      <c r="B311" s="109"/>
      <c r="C311" s="109"/>
      <c r="D311" s="109"/>
      <c r="E311" s="109" t="s">
        <v>455</v>
      </c>
      <c r="F311" s="300"/>
      <c r="G311" s="123"/>
      <c r="H311" s="124"/>
      <c r="I311" s="125"/>
      <c r="J311" s="125">
        <f>SUM(J310:J310)</f>
        <v>0</v>
      </c>
      <c r="K311" s="303"/>
      <c r="L311" s="125"/>
      <c r="M311" s="125">
        <f>SUM(M310:M310)</f>
        <v>0</v>
      </c>
      <c r="N311" s="303"/>
      <c r="O311" s="125"/>
      <c r="P311" s="125">
        <f>SUM(P310:P310)</f>
        <v>0</v>
      </c>
      <c r="Q311" s="303"/>
      <c r="R311" s="125"/>
      <c r="S311" s="125">
        <f>SUM(S310:S310)</f>
        <v>0</v>
      </c>
      <c r="T311" s="303"/>
      <c r="U311" s="125"/>
      <c r="V311" s="125">
        <f>SUM(V310:V310)</f>
        <v>0</v>
      </c>
      <c r="W311" s="125">
        <f>SUM(W310:W310)</f>
        <v>0</v>
      </c>
      <c r="X311" s="125">
        <f>SUM(X310:X310)</f>
        <v>10500</v>
      </c>
      <c r="Y311" s="125">
        <f>SUM(Y310:Y310)</f>
        <v>10500</v>
      </c>
    </row>
    <row r="312" spans="1:28">
      <c r="A312" s="272"/>
      <c r="B312" s="272"/>
      <c r="C312" s="272"/>
      <c r="D312" s="272"/>
      <c r="E312" s="272"/>
      <c r="F312" s="301"/>
      <c r="G312" s="245"/>
      <c r="H312" s="154"/>
      <c r="I312" s="154"/>
      <c r="J312" s="154"/>
      <c r="K312" s="301"/>
      <c r="L312" s="154"/>
      <c r="M312" s="154"/>
      <c r="N312" s="301"/>
      <c r="O312" s="154"/>
      <c r="P312" s="154"/>
      <c r="Q312" s="301"/>
      <c r="R312" s="154"/>
      <c r="S312" s="154"/>
      <c r="T312" s="301"/>
      <c r="U312" s="154"/>
      <c r="V312" s="154"/>
      <c r="W312" s="154"/>
      <c r="X312" s="154"/>
      <c r="Y312" s="154"/>
      <c r="AA312" s="366"/>
      <c r="AB312" s="366"/>
    </row>
    <row r="313" spans="1:28" ht="12.9" thickBot="1">
      <c r="A313" s="143"/>
      <c r="B313" s="143"/>
      <c r="C313" s="143"/>
      <c r="D313" s="143"/>
      <c r="E313" s="143" t="s">
        <v>181</v>
      </c>
      <c r="F313" s="294"/>
      <c r="G313" s="143"/>
      <c r="H313" s="162"/>
      <c r="I313" s="162"/>
      <c r="J313" s="157">
        <f>+J302+J311+J297+J291+J284+J307</f>
        <v>169506.75025000001</v>
      </c>
      <c r="K313" s="294"/>
      <c r="L313" s="157"/>
      <c r="M313" s="157">
        <f>+M302+M311+M297+M291+M284+M307</f>
        <v>456486.67067999998</v>
      </c>
      <c r="N313" s="294"/>
      <c r="O313" s="157"/>
      <c r="P313" s="157">
        <f>+P302+P311+P297+P291+P284+P307</f>
        <v>508797.8015228</v>
      </c>
      <c r="Q313" s="294"/>
      <c r="R313" s="157"/>
      <c r="S313" s="157">
        <f>+S302+S311+S297+S291+S284+S307</f>
        <v>301601.39729149407</v>
      </c>
      <c r="T313" s="294"/>
      <c r="U313" s="157"/>
      <c r="V313" s="157">
        <f>+V302+V311+V297+V291+V284+V307</f>
        <v>272307.04275476484</v>
      </c>
      <c r="W313" s="157">
        <f>+W302+W311+W297+W291+W284+W307</f>
        <v>1708699.662499059</v>
      </c>
      <c r="X313" s="157">
        <f>+X302+X311+X297+X291+X284+X307</f>
        <v>10500</v>
      </c>
      <c r="Y313" s="157">
        <f>+Y302+Y311+Y297+Y291+Y284+Y307</f>
        <v>1719199.662499059</v>
      </c>
      <c r="AA313" s="146">
        <f>SUMPRODUCT(W270:W283,AA270:AA283)+SUMPRODUCT(W287:W290,AA287:AA290)+SUMPRODUCT(W294:W296,AA294:AA296)+SUMPRODUCT(W300:W301,AA300:AA301)+SUMPRODUCT(W306,AA306)+SUMPRODUCT(W310,AA310)</f>
        <v>854349.8312495295</v>
      </c>
      <c r="AB313" s="146">
        <f>SUMPRODUCT(W270:W283,AB270:AB283)+SUMPRODUCT(W287:W290,AB287:AB290)+SUMPRODUCT(W294:W296,AB294:AB296)+SUMPRODUCT(W300:W301,AB300:AB301)+SUMPRODUCT(W306,AB306)+SUMPRODUCT(W310,AB310)</f>
        <v>854349.8312495295</v>
      </c>
    </row>
    <row r="314" spans="1:28">
      <c r="A314" s="245"/>
      <c r="B314" s="245"/>
      <c r="C314" s="245"/>
      <c r="D314" s="245"/>
      <c r="E314" s="245"/>
      <c r="F314" s="291"/>
      <c r="G314" s="245"/>
      <c r="H314" s="154"/>
      <c r="I314" s="154"/>
      <c r="J314" s="154"/>
      <c r="K314" s="291"/>
      <c r="L314" s="154"/>
      <c r="M314" s="154"/>
      <c r="N314" s="291"/>
      <c r="O314" s="154"/>
      <c r="P314" s="154"/>
      <c r="Q314" s="291"/>
      <c r="R314" s="154"/>
      <c r="S314" s="154"/>
      <c r="T314" s="291"/>
      <c r="U314" s="154"/>
      <c r="V314" s="154"/>
      <c r="W314" s="154"/>
      <c r="X314" s="154"/>
      <c r="Y314" s="154"/>
      <c r="AA314" s="366"/>
      <c r="AB314" s="366"/>
    </row>
    <row r="315" spans="1:28">
      <c r="A315" s="266"/>
      <c r="B315" s="266"/>
      <c r="C315" s="266"/>
      <c r="D315" s="266"/>
      <c r="E315" s="266" t="str">
        <f>'USDA Budget Summary'!A32</f>
        <v>Activity 5: Ensure Financial Service/ Capital Access for Actors in the Value Chains</v>
      </c>
      <c r="F315" s="298"/>
      <c r="G315" s="106"/>
      <c r="H315" s="106"/>
      <c r="I315" s="107"/>
      <c r="J315" s="267"/>
      <c r="K315" s="298"/>
      <c r="L315" s="267"/>
      <c r="M315" s="267"/>
      <c r="N315" s="298"/>
      <c r="O315" s="267"/>
      <c r="P315" s="267"/>
      <c r="Q315" s="298"/>
      <c r="R315" s="267"/>
      <c r="S315" s="267"/>
      <c r="T315" s="298"/>
      <c r="U315" s="267"/>
      <c r="V315" s="267"/>
      <c r="W315" s="267"/>
      <c r="X315" s="268"/>
      <c r="Y315" s="267"/>
      <c r="AA315" s="366"/>
      <c r="AB315" s="366"/>
    </row>
    <row r="316" spans="1:28">
      <c r="A316" s="269"/>
      <c r="B316" s="269"/>
      <c r="C316" s="269"/>
      <c r="D316" s="269"/>
      <c r="E316" s="269" t="s">
        <v>349</v>
      </c>
      <c r="F316" s="299"/>
      <c r="G316" s="270"/>
      <c r="H316" s="271"/>
      <c r="I316" s="271"/>
      <c r="J316" s="271"/>
      <c r="K316" s="299"/>
      <c r="L316" s="271"/>
      <c r="M316" s="271"/>
      <c r="N316" s="299"/>
      <c r="O316" s="271"/>
      <c r="P316" s="271"/>
      <c r="Q316" s="299"/>
      <c r="R316" s="271"/>
      <c r="S316" s="271"/>
      <c r="T316" s="299"/>
      <c r="U316" s="271"/>
      <c r="V316" s="271"/>
      <c r="W316" s="271"/>
      <c r="X316" s="271"/>
      <c r="Y316" s="271"/>
      <c r="AA316" s="366"/>
      <c r="AB316" s="366"/>
    </row>
    <row r="317" spans="1:28">
      <c r="A317" s="109"/>
      <c r="B317" s="109"/>
      <c r="C317" s="109"/>
      <c r="D317" s="109"/>
      <c r="E317" s="109" t="s">
        <v>456</v>
      </c>
      <c r="F317" s="300"/>
      <c r="G317" s="123"/>
      <c r="H317" s="124"/>
      <c r="I317" s="124"/>
      <c r="J317" s="124"/>
      <c r="K317" s="300"/>
      <c r="L317" s="124"/>
      <c r="M317" s="124"/>
      <c r="N317" s="300"/>
      <c r="O317" s="124"/>
      <c r="P317" s="124"/>
      <c r="Q317" s="300"/>
      <c r="R317" s="124"/>
      <c r="S317" s="124"/>
      <c r="T317" s="300"/>
      <c r="U317" s="124"/>
      <c r="V317" s="124"/>
      <c r="W317" s="124"/>
      <c r="X317" s="124"/>
      <c r="Y317" s="124"/>
    </row>
    <row r="318" spans="1:28">
      <c r="A318" s="58" t="s">
        <v>457</v>
      </c>
      <c r="B318" s="58">
        <v>50000</v>
      </c>
      <c r="C318" s="58" t="s">
        <v>219</v>
      </c>
      <c r="D318" s="58">
        <v>0</v>
      </c>
      <c r="E318" s="58" t="str">
        <f t="shared" ref="E318:E331" si="231">E13</f>
        <v xml:space="preserve">Key Personnel: Chief of Party </v>
      </c>
      <c r="F318" s="287">
        <f>'LOE Breakdown by Year'!I11</f>
        <v>0.15</v>
      </c>
      <c r="G318" s="127" t="s">
        <v>221</v>
      </c>
      <c r="H318" s="119">
        <f t="shared" ref="H318:I331" si="232">H13</f>
        <v>12</v>
      </c>
      <c r="I318" s="119">
        <f t="shared" si="232"/>
        <v>12500</v>
      </c>
      <c r="J318" s="119">
        <f>H318*I318*F318</f>
        <v>22500</v>
      </c>
      <c r="K318" s="287">
        <f>'LOE Breakdown by Year'!I35</f>
        <v>0.2</v>
      </c>
      <c r="L318" s="119">
        <f t="shared" ref="L318:L331" si="233">L13</f>
        <v>12</v>
      </c>
      <c r="M318" s="119">
        <f t="shared" ref="M318" si="234">L318*I318*$F$8*$K318</f>
        <v>31200</v>
      </c>
      <c r="N318" s="287">
        <f>'LOE Breakdown by Year'!I59</f>
        <v>0.2</v>
      </c>
      <c r="O318" s="119">
        <f t="shared" ref="O318:O331" si="235">O13</f>
        <v>12</v>
      </c>
      <c r="P318" s="119">
        <f t="shared" ref="P318:P329" si="236">O318*I318*$N318*$F$8*$F$8</f>
        <v>32448</v>
      </c>
      <c r="Q318" s="287">
        <f>'LOE Breakdown by Year'!I83</f>
        <v>0.15</v>
      </c>
      <c r="R318" s="119">
        <f t="shared" ref="R318:R331" si="237">R13</f>
        <v>12</v>
      </c>
      <c r="S318" s="119">
        <f t="shared" ref="S318" si="238">R318*I318*$Q318*$F$8*$F$8*$F$8</f>
        <v>25309.440000000002</v>
      </c>
      <c r="T318" s="287">
        <f>'LOE Breakdown by Year'!I107</f>
        <v>0.15</v>
      </c>
      <c r="U318" s="119">
        <f t="shared" ref="U318:U331" si="239">U13</f>
        <v>12</v>
      </c>
      <c r="V318" s="119">
        <f t="shared" ref="V318" si="240">U318*I318*$T318*$F$8*$F$8*$F$8*$F$8</f>
        <v>26321.817600000002</v>
      </c>
      <c r="W318" s="119">
        <f t="shared" ref="W318" si="241">SUM(S318,P318,M318,J318,V318)</f>
        <v>137779.25760000001</v>
      </c>
      <c r="X318" s="119">
        <v>0</v>
      </c>
      <c r="Y318" s="119">
        <f t="shared" ref="Y318" si="242">SUM(W318:X318)</f>
        <v>137779.25760000001</v>
      </c>
      <c r="AA318" s="366">
        <v>0.5</v>
      </c>
      <c r="AB318" s="366">
        <v>0.5</v>
      </c>
    </row>
    <row r="319" spans="1:28" hidden="1">
      <c r="A319" s="58"/>
      <c r="B319" s="58"/>
      <c r="C319" s="58"/>
      <c r="D319" s="58"/>
      <c r="E319" s="58" t="str">
        <f t="shared" si="231"/>
        <v>Key Personnel: Technical Director</v>
      </c>
      <c r="F319" s="287">
        <f>'LOE Breakdown by Year'!I12</f>
        <v>0</v>
      </c>
      <c r="G319" s="127" t="s">
        <v>221</v>
      </c>
      <c r="H319" s="119">
        <f t="shared" si="232"/>
        <v>8</v>
      </c>
      <c r="I319" s="119">
        <f t="shared" si="232"/>
        <v>5833.333333333333</v>
      </c>
      <c r="J319" s="119">
        <f t="shared" ref="J319:J329" si="243">H319*I319*F319</f>
        <v>0</v>
      </c>
      <c r="K319" s="287">
        <f>'LOE Breakdown by Year'!I36</f>
        <v>0</v>
      </c>
      <c r="L319" s="119">
        <f t="shared" si="233"/>
        <v>12</v>
      </c>
      <c r="M319" s="119">
        <f t="shared" ref="M319:M329" si="244">L319*I319*$F$8*$K319</f>
        <v>0</v>
      </c>
      <c r="N319" s="287">
        <f>'LOE Breakdown by Year'!I60</f>
        <v>0</v>
      </c>
      <c r="O319" s="119">
        <f t="shared" si="235"/>
        <v>12</v>
      </c>
      <c r="P319" s="119">
        <f t="shared" si="236"/>
        <v>0</v>
      </c>
      <c r="Q319" s="287">
        <f>'LOE Breakdown by Year'!I84</f>
        <v>0</v>
      </c>
      <c r="R319" s="119">
        <f t="shared" si="237"/>
        <v>12</v>
      </c>
      <c r="S319" s="119">
        <f t="shared" ref="S319:S329" si="245">R319*I319*$Q319*$F$8*$F$8*$F$8</f>
        <v>0</v>
      </c>
      <c r="T319" s="287">
        <f>'LOE Breakdown by Year'!I108</f>
        <v>0</v>
      </c>
      <c r="U319" s="119">
        <f t="shared" si="239"/>
        <v>12</v>
      </c>
      <c r="V319" s="119">
        <f t="shared" ref="V319:V329" si="246">U319*I319*$T319*$F$8*$F$8*$F$8*$F$8</f>
        <v>0</v>
      </c>
      <c r="W319" s="119">
        <f t="shared" ref="W319:W329" si="247">SUM(S319,P319,M319,J319,V319)</f>
        <v>0</v>
      </c>
      <c r="X319" s="119">
        <v>0</v>
      </c>
      <c r="Y319" s="119">
        <f t="shared" ref="Y319:Y329" si="248">SUM(W319:X319)</f>
        <v>0</v>
      </c>
      <c r="AA319" s="366">
        <v>0.5</v>
      </c>
      <c r="AB319" s="366">
        <v>0.5</v>
      </c>
    </row>
    <row r="320" spans="1:28" hidden="1">
      <c r="A320" s="58"/>
      <c r="B320" s="58"/>
      <c r="C320" s="58"/>
      <c r="D320" s="58"/>
      <c r="E320" s="58" t="str">
        <f t="shared" si="231"/>
        <v xml:space="preserve">F&amp;A Director </v>
      </c>
      <c r="F320" s="287">
        <f>'LOE Breakdown by Year'!I13</f>
        <v>0</v>
      </c>
      <c r="G320" s="127" t="s">
        <v>221</v>
      </c>
      <c r="H320" s="119">
        <f t="shared" si="232"/>
        <v>8</v>
      </c>
      <c r="I320" s="119">
        <f t="shared" si="232"/>
        <v>3833.3333333333335</v>
      </c>
      <c r="J320" s="119">
        <f t="shared" si="243"/>
        <v>0</v>
      </c>
      <c r="K320" s="287">
        <f>'LOE Breakdown by Year'!I37</f>
        <v>0</v>
      </c>
      <c r="L320" s="119">
        <f t="shared" si="233"/>
        <v>12</v>
      </c>
      <c r="M320" s="119">
        <f t="shared" si="244"/>
        <v>0</v>
      </c>
      <c r="N320" s="287">
        <f>'LOE Breakdown by Year'!I61</f>
        <v>0</v>
      </c>
      <c r="O320" s="119">
        <f t="shared" si="235"/>
        <v>12</v>
      </c>
      <c r="P320" s="119">
        <f t="shared" si="236"/>
        <v>0</v>
      </c>
      <c r="Q320" s="287">
        <f>'LOE Breakdown by Year'!I85</f>
        <v>0</v>
      </c>
      <c r="R320" s="119">
        <f t="shared" si="237"/>
        <v>12</v>
      </c>
      <c r="S320" s="119">
        <f t="shared" si="245"/>
        <v>0</v>
      </c>
      <c r="T320" s="287">
        <f>'LOE Breakdown by Year'!I109</f>
        <v>0</v>
      </c>
      <c r="U320" s="119">
        <f t="shared" si="239"/>
        <v>12</v>
      </c>
      <c r="V320" s="119">
        <f t="shared" si="246"/>
        <v>0</v>
      </c>
      <c r="W320" s="119">
        <f t="shared" si="247"/>
        <v>0</v>
      </c>
      <c r="X320" s="119">
        <v>0</v>
      </c>
      <c r="Y320" s="119">
        <f t="shared" si="248"/>
        <v>0</v>
      </c>
      <c r="AA320" s="366">
        <v>0.5</v>
      </c>
      <c r="AB320" s="366">
        <v>0.5</v>
      </c>
    </row>
    <row r="321" spans="1:28" hidden="1">
      <c r="A321" s="58"/>
      <c r="B321" s="58"/>
      <c r="C321" s="58"/>
      <c r="D321" s="58"/>
      <c r="E321" s="58" t="str">
        <f t="shared" si="231"/>
        <v xml:space="preserve">M&amp;E Director </v>
      </c>
      <c r="F321" s="287">
        <f>'LOE Breakdown by Year'!I14</f>
        <v>0</v>
      </c>
      <c r="G321" s="127" t="s">
        <v>221</v>
      </c>
      <c r="H321" s="119">
        <f t="shared" si="232"/>
        <v>8</v>
      </c>
      <c r="I321" s="119">
        <f t="shared" si="232"/>
        <v>3833.3333333333335</v>
      </c>
      <c r="J321" s="119">
        <f t="shared" si="243"/>
        <v>0</v>
      </c>
      <c r="K321" s="287">
        <f>'LOE Breakdown by Year'!I38</f>
        <v>0</v>
      </c>
      <c r="L321" s="119">
        <f t="shared" si="233"/>
        <v>12</v>
      </c>
      <c r="M321" s="119">
        <f t="shared" si="244"/>
        <v>0</v>
      </c>
      <c r="N321" s="287">
        <f>'LOE Breakdown by Year'!I62</f>
        <v>0</v>
      </c>
      <c r="O321" s="119">
        <f t="shared" si="235"/>
        <v>12</v>
      </c>
      <c r="P321" s="119">
        <f t="shared" si="236"/>
        <v>0</v>
      </c>
      <c r="Q321" s="287">
        <f>'LOE Breakdown by Year'!I86</f>
        <v>0</v>
      </c>
      <c r="R321" s="119">
        <f t="shared" si="237"/>
        <v>12</v>
      </c>
      <c r="S321" s="119">
        <f t="shared" si="245"/>
        <v>0</v>
      </c>
      <c r="T321" s="287">
        <f>'LOE Breakdown by Year'!I110</f>
        <v>0</v>
      </c>
      <c r="U321" s="119">
        <f t="shared" si="239"/>
        <v>12</v>
      </c>
      <c r="V321" s="119">
        <f t="shared" si="246"/>
        <v>0</v>
      </c>
      <c r="W321" s="119">
        <f t="shared" si="247"/>
        <v>0</v>
      </c>
      <c r="X321" s="119">
        <v>0</v>
      </c>
      <c r="Y321" s="119">
        <f t="shared" si="248"/>
        <v>0</v>
      </c>
      <c r="AA321" s="366">
        <v>0.5</v>
      </c>
      <c r="AB321" s="366">
        <v>0.5</v>
      </c>
    </row>
    <row r="322" spans="1:28" hidden="1">
      <c r="A322" s="58"/>
      <c r="B322" s="58"/>
      <c r="C322" s="58"/>
      <c r="D322" s="58"/>
      <c r="E322" s="58" t="str">
        <f t="shared" si="231"/>
        <v>M&amp;E Mid-level Specialist</v>
      </c>
      <c r="F322" s="287">
        <f>'LOE Breakdown by Year'!I15</f>
        <v>0</v>
      </c>
      <c r="G322" s="127" t="s">
        <v>221</v>
      </c>
      <c r="H322" s="119">
        <f t="shared" si="232"/>
        <v>7</v>
      </c>
      <c r="I322" s="119">
        <f t="shared" si="232"/>
        <v>2666.6666666666665</v>
      </c>
      <c r="J322" s="119">
        <f t="shared" si="243"/>
        <v>0</v>
      </c>
      <c r="K322" s="287">
        <f>'LOE Breakdown by Year'!I39</f>
        <v>0</v>
      </c>
      <c r="L322" s="119">
        <f t="shared" si="233"/>
        <v>12</v>
      </c>
      <c r="M322" s="119">
        <f t="shared" si="244"/>
        <v>0</v>
      </c>
      <c r="N322" s="287">
        <f>'LOE Breakdown by Year'!I63</f>
        <v>0</v>
      </c>
      <c r="O322" s="119">
        <f t="shared" si="235"/>
        <v>12</v>
      </c>
      <c r="P322" s="119">
        <f t="shared" si="236"/>
        <v>0</v>
      </c>
      <c r="Q322" s="287">
        <f>'LOE Breakdown by Year'!I87</f>
        <v>0</v>
      </c>
      <c r="R322" s="119">
        <f t="shared" si="237"/>
        <v>12</v>
      </c>
      <c r="S322" s="119">
        <f t="shared" si="245"/>
        <v>0</v>
      </c>
      <c r="T322" s="287">
        <f>'LOE Breakdown by Year'!I111</f>
        <v>0</v>
      </c>
      <c r="U322" s="119">
        <f t="shared" si="239"/>
        <v>9</v>
      </c>
      <c r="V322" s="119">
        <f t="shared" si="246"/>
        <v>0</v>
      </c>
      <c r="W322" s="119">
        <f t="shared" si="247"/>
        <v>0</v>
      </c>
      <c r="X322" s="119">
        <v>0</v>
      </c>
      <c r="Y322" s="119">
        <f t="shared" si="248"/>
        <v>0</v>
      </c>
      <c r="AA322" s="366">
        <v>0.5</v>
      </c>
      <c r="AB322" s="366">
        <v>0.5</v>
      </c>
    </row>
    <row r="323" spans="1:28" hidden="1">
      <c r="A323" s="58"/>
      <c r="B323" s="58"/>
      <c r="C323" s="58"/>
      <c r="D323" s="58"/>
      <c r="E323" s="58" t="str">
        <f t="shared" si="231"/>
        <v>M&amp;E Specialist</v>
      </c>
      <c r="F323" s="287">
        <f>'LOE Breakdown by Year'!I16</f>
        <v>0</v>
      </c>
      <c r="G323" s="127" t="s">
        <v>221</v>
      </c>
      <c r="H323" s="119">
        <f t="shared" si="232"/>
        <v>3</v>
      </c>
      <c r="I323" s="119">
        <f t="shared" si="232"/>
        <v>2166.6666666666665</v>
      </c>
      <c r="J323" s="119">
        <f t="shared" si="243"/>
        <v>0</v>
      </c>
      <c r="K323" s="287">
        <f>'LOE Breakdown by Year'!I40</f>
        <v>0</v>
      </c>
      <c r="L323" s="119">
        <f t="shared" si="233"/>
        <v>12</v>
      </c>
      <c r="M323" s="119">
        <f t="shared" si="244"/>
        <v>0</v>
      </c>
      <c r="N323" s="287">
        <f>'LOE Breakdown by Year'!I64</f>
        <v>0</v>
      </c>
      <c r="O323" s="119">
        <f t="shared" si="235"/>
        <v>12</v>
      </c>
      <c r="P323" s="119">
        <f t="shared" si="236"/>
        <v>0</v>
      </c>
      <c r="Q323" s="287">
        <f>'LOE Breakdown by Year'!I88</f>
        <v>0</v>
      </c>
      <c r="R323" s="119">
        <f t="shared" si="237"/>
        <v>12</v>
      </c>
      <c r="S323" s="119">
        <f t="shared" si="245"/>
        <v>0</v>
      </c>
      <c r="T323" s="287">
        <f>'LOE Breakdown by Year'!I112</f>
        <v>0</v>
      </c>
      <c r="U323" s="119">
        <f t="shared" si="239"/>
        <v>9</v>
      </c>
      <c r="V323" s="119">
        <f t="shared" si="246"/>
        <v>0</v>
      </c>
      <c r="W323" s="119">
        <f t="shared" si="247"/>
        <v>0</v>
      </c>
      <c r="X323" s="119">
        <v>0</v>
      </c>
      <c r="Y323" s="119">
        <f t="shared" si="248"/>
        <v>0</v>
      </c>
      <c r="AA323" s="366">
        <v>0.5</v>
      </c>
      <c r="AB323" s="366">
        <v>0.5</v>
      </c>
    </row>
    <row r="324" spans="1:28">
      <c r="A324" s="58" t="s">
        <v>457</v>
      </c>
      <c r="B324" s="58">
        <v>70000</v>
      </c>
      <c r="C324" s="58" t="s">
        <v>222</v>
      </c>
      <c r="D324" s="58">
        <v>0</v>
      </c>
      <c r="E324" s="58" t="str">
        <f t="shared" si="231"/>
        <v>Partnerships and Investment Director</v>
      </c>
      <c r="F324" s="287">
        <f>'LOE Breakdown by Year'!I17</f>
        <v>0.55000000000000004</v>
      </c>
      <c r="G324" s="127" t="s">
        <v>221</v>
      </c>
      <c r="H324" s="119">
        <f t="shared" si="232"/>
        <v>8</v>
      </c>
      <c r="I324" s="119">
        <f t="shared" si="232"/>
        <v>3833.3333333333335</v>
      </c>
      <c r="J324" s="119">
        <f t="shared" si="243"/>
        <v>16866.666666666668</v>
      </c>
      <c r="K324" s="287">
        <f>'LOE Breakdown by Year'!I41</f>
        <v>0.4</v>
      </c>
      <c r="L324" s="119">
        <f t="shared" si="233"/>
        <v>12</v>
      </c>
      <c r="M324" s="119">
        <f t="shared" si="244"/>
        <v>19136</v>
      </c>
      <c r="N324" s="287">
        <f>'LOE Breakdown by Year'!I65</f>
        <v>0.4</v>
      </c>
      <c r="O324" s="119">
        <f t="shared" si="235"/>
        <v>12</v>
      </c>
      <c r="P324" s="119">
        <f t="shared" si="236"/>
        <v>19901.440000000002</v>
      </c>
      <c r="Q324" s="287">
        <f>'LOE Breakdown by Year'!I89</f>
        <v>0.25</v>
      </c>
      <c r="R324" s="119">
        <f t="shared" si="237"/>
        <v>12</v>
      </c>
      <c r="S324" s="119">
        <f t="shared" si="245"/>
        <v>12935.936</v>
      </c>
      <c r="T324" s="287">
        <f>'LOE Breakdown by Year'!I113</f>
        <v>0.3</v>
      </c>
      <c r="U324" s="119">
        <f t="shared" si="239"/>
        <v>9</v>
      </c>
      <c r="V324" s="119">
        <f t="shared" si="246"/>
        <v>12108.036096</v>
      </c>
      <c r="W324" s="119">
        <f t="shared" si="247"/>
        <v>80948.078762666672</v>
      </c>
      <c r="X324" s="119">
        <v>0</v>
      </c>
      <c r="Y324" s="119">
        <f t="shared" si="248"/>
        <v>80948.078762666672</v>
      </c>
      <c r="AA324" s="366">
        <v>0.5</v>
      </c>
      <c r="AB324" s="366">
        <v>0.5</v>
      </c>
    </row>
    <row r="325" spans="1:28" hidden="1">
      <c r="A325" s="58"/>
      <c r="B325" s="58"/>
      <c r="C325" s="58"/>
      <c r="D325" s="58"/>
      <c r="E325" s="58" t="str">
        <f t="shared" si="231"/>
        <v>Extension Agents (15)</v>
      </c>
      <c r="F325" s="287">
        <f>'LOE Breakdown by Year'!I18</f>
        <v>0</v>
      </c>
      <c r="G325" s="127" t="s">
        <v>221</v>
      </c>
      <c r="H325" s="119">
        <f t="shared" si="232"/>
        <v>3</v>
      </c>
      <c r="I325" s="119">
        <f t="shared" si="232"/>
        <v>26250</v>
      </c>
      <c r="J325" s="119">
        <f t="shared" si="243"/>
        <v>0</v>
      </c>
      <c r="K325" s="287">
        <f>'LOE Breakdown by Year'!I42</f>
        <v>0</v>
      </c>
      <c r="L325" s="119">
        <f t="shared" si="233"/>
        <v>12</v>
      </c>
      <c r="M325" s="119">
        <f t="shared" si="244"/>
        <v>0</v>
      </c>
      <c r="N325" s="287">
        <f>'LOE Breakdown by Year'!I66</f>
        <v>0</v>
      </c>
      <c r="O325" s="119">
        <f t="shared" si="235"/>
        <v>12</v>
      </c>
      <c r="P325" s="119">
        <f t="shared" si="236"/>
        <v>0</v>
      </c>
      <c r="Q325" s="287">
        <f>'LOE Breakdown by Year'!I90</f>
        <v>0</v>
      </c>
      <c r="R325" s="119">
        <f t="shared" si="237"/>
        <v>12</v>
      </c>
      <c r="S325" s="119">
        <f t="shared" si="245"/>
        <v>0</v>
      </c>
      <c r="T325" s="287">
        <f>'LOE Breakdown by Year'!I114</f>
        <v>0</v>
      </c>
      <c r="U325" s="119">
        <f t="shared" si="239"/>
        <v>9</v>
      </c>
      <c r="V325" s="119">
        <f t="shared" si="246"/>
        <v>0</v>
      </c>
      <c r="W325" s="119">
        <f t="shared" si="247"/>
        <v>0</v>
      </c>
      <c r="X325" s="119">
        <v>0</v>
      </c>
      <c r="Y325" s="119">
        <f t="shared" si="248"/>
        <v>0</v>
      </c>
      <c r="AA325" s="366">
        <v>0.5</v>
      </c>
      <c r="AB325" s="366">
        <v>0.5</v>
      </c>
    </row>
    <row r="326" spans="1:28" hidden="1">
      <c r="A326" s="58"/>
      <c r="B326" s="58"/>
      <c r="C326" s="58"/>
      <c r="D326" s="58"/>
      <c r="E326" s="58" t="str">
        <f t="shared" si="231"/>
        <v>Activity Lead Agribusiness Senior Specialist (Cacao)</v>
      </c>
      <c r="F326" s="287">
        <f>'LOE Breakdown by Year'!I19</f>
        <v>0</v>
      </c>
      <c r="G326" s="127" t="s">
        <v>221</v>
      </c>
      <c r="H326" s="119">
        <f t="shared" si="232"/>
        <v>3</v>
      </c>
      <c r="I326" s="119">
        <f t="shared" si="232"/>
        <v>2833.3333333333335</v>
      </c>
      <c r="J326" s="119">
        <f t="shared" si="243"/>
        <v>0</v>
      </c>
      <c r="K326" s="287">
        <f>'LOE Breakdown by Year'!I43</f>
        <v>0</v>
      </c>
      <c r="L326" s="119">
        <f t="shared" si="233"/>
        <v>12</v>
      </c>
      <c r="M326" s="119">
        <f t="shared" si="244"/>
        <v>0</v>
      </c>
      <c r="N326" s="287">
        <f>'LOE Breakdown by Year'!I67</f>
        <v>0</v>
      </c>
      <c r="O326" s="119">
        <f t="shared" si="235"/>
        <v>12</v>
      </c>
      <c r="P326" s="119">
        <f t="shared" si="236"/>
        <v>0</v>
      </c>
      <c r="Q326" s="287">
        <f>'LOE Breakdown by Year'!I91</f>
        <v>0</v>
      </c>
      <c r="R326" s="119">
        <f t="shared" si="237"/>
        <v>12</v>
      </c>
      <c r="S326" s="119">
        <f t="shared" si="245"/>
        <v>0</v>
      </c>
      <c r="T326" s="287">
        <f>'LOE Breakdown by Year'!I115</f>
        <v>0</v>
      </c>
      <c r="U326" s="119">
        <f t="shared" si="239"/>
        <v>9</v>
      </c>
      <c r="V326" s="119">
        <f t="shared" si="246"/>
        <v>0</v>
      </c>
      <c r="W326" s="119">
        <f t="shared" si="247"/>
        <v>0</v>
      </c>
      <c r="X326" s="119">
        <v>0</v>
      </c>
      <c r="Y326" s="119">
        <f t="shared" si="248"/>
        <v>0</v>
      </c>
      <c r="AA326" s="366">
        <v>1</v>
      </c>
      <c r="AB326" s="366">
        <v>0</v>
      </c>
    </row>
    <row r="327" spans="1:28" hidden="1">
      <c r="A327" s="58"/>
      <c r="B327" s="58"/>
      <c r="C327" s="58"/>
      <c r="D327" s="58"/>
      <c r="E327" s="58" t="str">
        <f t="shared" si="231"/>
        <v>Activity Lead Agribusiness Senior Specialist (Complementary Crop)</v>
      </c>
      <c r="F327" s="287">
        <f>'LOE Breakdown by Year'!I20</f>
        <v>0</v>
      </c>
      <c r="G327" s="127" t="s">
        <v>221</v>
      </c>
      <c r="H327" s="119">
        <f t="shared" si="232"/>
        <v>3</v>
      </c>
      <c r="I327" s="119">
        <f t="shared" si="232"/>
        <v>2833.3333333333335</v>
      </c>
      <c r="J327" s="119">
        <f t="shared" si="243"/>
        <v>0</v>
      </c>
      <c r="K327" s="287">
        <f>'LOE Breakdown by Year'!I44</f>
        <v>0</v>
      </c>
      <c r="L327" s="119">
        <f t="shared" si="233"/>
        <v>12</v>
      </c>
      <c r="M327" s="119">
        <f t="shared" si="244"/>
        <v>0</v>
      </c>
      <c r="N327" s="287">
        <f>'LOE Breakdown by Year'!I68</f>
        <v>0</v>
      </c>
      <c r="O327" s="119">
        <f t="shared" si="235"/>
        <v>12</v>
      </c>
      <c r="P327" s="119">
        <f t="shared" si="236"/>
        <v>0</v>
      </c>
      <c r="Q327" s="287">
        <f>'LOE Breakdown by Year'!I92</f>
        <v>0</v>
      </c>
      <c r="R327" s="119">
        <f t="shared" si="237"/>
        <v>12</v>
      </c>
      <c r="S327" s="119">
        <f t="shared" si="245"/>
        <v>0</v>
      </c>
      <c r="T327" s="287">
        <f>'LOE Breakdown by Year'!I116</f>
        <v>0</v>
      </c>
      <c r="U327" s="119">
        <f t="shared" si="239"/>
        <v>9</v>
      </c>
      <c r="V327" s="119">
        <f t="shared" si="246"/>
        <v>0</v>
      </c>
      <c r="W327" s="119">
        <f t="shared" si="247"/>
        <v>0</v>
      </c>
      <c r="X327" s="119">
        <v>0</v>
      </c>
      <c r="Y327" s="119">
        <f t="shared" si="248"/>
        <v>0</v>
      </c>
      <c r="AA327" s="366">
        <v>0</v>
      </c>
      <c r="AB327" s="366">
        <v>1</v>
      </c>
    </row>
    <row r="328" spans="1:28" hidden="1">
      <c r="A328" s="58"/>
      <c r="B328" s="58"/>
      <c r="C328" s="58"/>
      <c r="D328" s="58"/>
      <c r="E328" s="58" t="str">
        <f t="shared" si="231"/>
        <v xml:space="preserve">Food Safety Mid-Specialist </v>
      </c>
      <c r="F328" s="287">
        <f>'LOE Breakdown by Year'!I21</f>
        <v>0</v>
      </c>
      <c r="G328" s="127" t="s">
        <v>221</v>
      </c>
      <c r="H328" s="119">
        <f t="shared" si="232"/>
        <v>3</v>
      </c>
      <c r="I328" s="119">
        <f t="shared" si="232"/>
        <v>2666.6666666666665</v>
      </c>
      <c r="J328" s="119">
        <f t="shared" si="243"/>
        <v>0</v>
      </c>
      <c r="K328" s="287">
        <f>'LOE Breakdown by Year'!I45</f>
        <v>0</v>
      </c>
      <c r="L328" s="119">
        <f t="shared" si="233"/>
        <v>12</v>
      </c>
      <c r="M328" s="119">
        <f t="shared" si="244"/>
        <v>0</v>
      </c>
      <c r="N328" s="287">
        <f>'LOE Breakdown by Year'!I69</f>
        <v>0</v>
      </c>
      <c r="O328" s="119">
        <f t="shared" si="235"/>
        <v>12</v>
      </c>
      <c r="P328" s="119">
        <f t="shared" si="236"/>
        <v>0</v>
      </c>
      <c r="Q328" s="287">
        <f>'LOE Breakdown by Year'!I93</f>
        <v>0</v>
      </c>
      <c r="R328" s="119">
        <f t="shared" si="237"/>
        <v>12</v>
      </c>
      <c r="S328" s="119">
        <f t="shared" si="245"/>
        <v>0</v>
      </c>
      <c r="T328" s="287">
        <f>'LOE Breakdown by Year'!I117</f>
        <v>0</v>
      </c>
      <c r="U328" s="119">
        <f t="shared" si="239"/>
        <v>9</v>
      </c>
      <c r="V328" s="119">
        <f t="shared" si="246"/>
        <v>0</v>
      </c>
      <c r="W328" s="119">
        <f t="shared" si="247"/>
        <v>0</v>
      </c>
      <c r="X328" s="119">
        <v>0</v>
      </c>
      <c r="Y328" s="119">
        <f t="shared" si="248"/>
        <v>0</v>
      </c>
      <c r="AA328" s="366">
        <v>0.5</v>
      </c>
      <c r="AB328" s="366">
        <v>0.5</v>
      </c>
    </row>
    <row r="329" spans="1:28" hidden="1">
      <c r="A329" s="58"/>
      <c r="B329" s="58"/>
      <c r="C329" s="58"/>
      <c r="D329" s="58"/>
      <c r="E329" s="58" t="str">
        <f t="shared" si="231"/>
        <v>Compliance Director</v>
      </c>
      <c r="F329" s="287">
        <f>'LOE Breakdown by Year'!I22</f>
        <v>0</v>
      </c>
      <c r="G329" s="127" t="s">
        <v>221</v>
      </c>
      <c r="H329" s="119">
        <f t="shared" si="232"/>
        <v>8</v>
      </c>
      <c r="I329" s="119">
        <f t="shared" si="232"/>
        <v>6833.333333333333</v>
      </c>
      <c r="J329" s="119">
        <f t="shared" si="243"/>
        <v>0</v>
      </c>
      <c r="K329" s="287">
        <f>'LOE Breakdown by Year'!I46</f>
        <v>0</v>
      </c>
      <c r="L329" s="119">
        <f t="shared" si="233"/>
        <v>12</v>
      </c>
      <c r="M329" s="119">
        <f t="shared" si="244"/>
        <v>0</v>
      </c>
      <c r="N329" s="287">
        <f>'LOE Breakdown by Year'!I70</f>
        <v>0</v>
      </c>
      <c r="O329" s="119">
        <f t="shared" si="235"/>
        <v>12</v>
      </c>
      <c r="P329" s="119">
        <f t="shared" si="236"/>
        <v>0</v>
      </c>
      <c r="Q329" s="287">
        <f>'LOE Breakdown by Year'!I94</f>
        <v>0</v>
      </c>
      <c r="R329" s="119">
        <f t="shared" si="237"/>
        <v>12</v>
      </c>
      <c r="S329" s="119">
        <f t="shared" si="245"/>
        <v>0</v>
      </c>
      <c r="T329" s="287">
        <f>'LOE Breakdown by Year'!I118</f>
        <v>0</v>
      </c>
      <c r="U329" s="119">
        <f t="shared" si="239"/>
        <v>12</v>
      </c>
      <c r="V329" s="119">
        <f t="shared" si="246"/>
        <v>0</v>
      </c>
      <c r="W329" s="119">
        <f t="shared" si="247"/>
        <v>0</v>
      </c>
      <c r="X329" s="119">
        <v>0</v>
      </c>
      <c r="Y329" s="119">
        <f t="shared" si="248"/>
        <v>0</v>
      </c>
      <c r="AA329" s="366">
        <v>0.5</v>
      </c>
      <c r="AB329" s="366">
        <v>0.5</v>
      </c>
    </row>
    <row r="330" spans="1:28" hidden="1">
      <c r="A330" s="58"/>
      <c r="B330" s="58"/>
      <c r="C330" s="58"/>
      <c r="D330" s="58"/>
      <c r="E330" s="58" t="str">
        <f t="shared" si="231"/>
        <v xml:space="preserve">Accountant </v>
      </c>
      <c r="F330" s="287">
        <f>'LOE Breakdown by Year'!I23</f>
        <v>0</v>
      </c>
      <c r="G330" s="127" t="s">
        <v>221</v>
      </c>
      <c r="H330" s="119">
        <f t="shared" si="232"/>
        <v>3</v>
      </c>
      <c r="I330" s="119">
        <f t="shared" si="232"/>
        <v>1750</v>
      </c>
      <c r="J330" s="119">
        <f t="shared" ref="J330:J331" si="249">H330*I330*F330</f>
        <v>0</v>
      </c>
      <c r="K330" s="287">
        <f>'LOE Breakdown by Year'!I47</f>
        <v>0</v>
      </c>
      <c r="L330" s="119">
        <f t="shared" si="233"/>
        <v>12</v>
      </c>
      <c r="M330" s="119">
        <f t="shared" ref="M330:M331" si="250">L330*I330*$F$8*$K330</f>
        <v>0</v>
      </c>
      <c r="N330" s="287">
        <f>'LOE Breakdown by Year'!I71</f>
        <v>0</v>
      </c>
      <c r="O330" s="119">
        <f t="shared" si="235"/>
        <v>12</v>
      </c>
      <c r="P330" s="119">
        <f t="shared" ref="P330:P331" si="251">O330*I330*$N330*$F$8*$F$8</f>
        <v>0</v>
      </c>
      <c r="Q330" s="287">
        <f>'LOE Breakdown by Year'!I95</f>
        <v>0</v>
      </c>
      <c r="R330" s="119">
        <f t="shared" si="237"/>
        <v>12</v>
      </c>
      <c r="S330" s="119">
        <f t="shared" ref="S330:S331" si="252">R330*I330*$Q330*$F$8*$F$8*$F$8</f>
        <v>0</v>
      </c>
      <c r="T330" s="287">
        <f>'LOE Breakdown by Year'!I119</f>
        <v>0</v>
      </c>
      <c r="U330" s="119">
        <f t="shared" si="239"/>
        <v>9</v>
      </c>
      <c r="V330" s="119">
        <f t="shared" ref="V330:V331" si="253">U330*I330*$T330*$F$8*$F$8*$F$8*$F$8</f>
        <v>0</v>
      </c>
      <c r="W330" s="119">
        <f t="shared" ref="W330:W331" si="254">SUM(S330,P330,M330,J330,V330)</f>
        <v>0</v>
      </c>
      <c r="X330" s="119">
        <v>0</v>
      </c>
      <c r="Y330" s="119">
        <f t="shared" ref="Y330:Y331" si="255">SUM(W330:X330)</f>
        <v>0</v>
      </c>
      <c r="AA330" s="366">
        <v>0.5</v>
      </c>
      <c r="AB330" s="366">
        <v>0.5</v>
      </c>
    </row>
    <row r="331" spans="1:28" hidden="1">
      <c r="A331" s="58"/>
      <c r="B331" s="58"/>
      <c r="C331" s="58"/>
      <c r="D331" s="58"/>
      <c r="E331" s="58" t="str">
        <f t="shared" si="231"/>
        <v xml:space="preserve">Administrative Assistant </v>
      </c>
      <c r="F331" s="287">
        <f>'LOE Breakdown by Year'!I24</f>
        <v>0</v>
      </c>
      <c r="G331" s="127" t="s">
        <v>221</v>
      </c>
      <c r="H331" s="119">
        <f t="shared" si="232"/>
        <v>3</v>
      </c>
      <c r="I331" s="119">
        <f t="shared" si="232"/>
        <v>1250</v>
      </c>
      <c r="J331" s="119">
        <f t="shared" si="249"/>
        <v>0</v>
      </c>
      <c r="K331" s="287">
        <f>'LOE Breakdown by Year'!I48</f>
        <v>0</v>
      </c>
      <c r="L331" s="119">
        <f t="shared" si="233"/>
        <v>12</v>
      </c>
      <c r="M331" s="119">
        <f t="shared" si="250"/>
        <v>0</v>
      </c>
      <c r="N331" s="287">
        <f>'LOE Breakdown by Year'!I72</f>
        <v>0</v>
      </c>
      <c r="O331" s="119">
        <f t="shared" si="235"/>
        <v>12</v>
      </c>
      <c r="P331" s="119">
        <f t="shared" si="251"/>
        <v>0</v>
      </c>
      <c r="Q331" s="287">
        <f>'LOE Breakdown by Year'!I96</f>
        <v>0</v>
      </c>
      <c r="R331" s="119">
        <f t="shared" si="237"/>
        <v>12</v>
      </c>
      <c r="S331" s="119">
        <f t="shared" si="252"/>
        <v>0</v>
      </c>
      <c r="T331" s="287">
        <f>'LOE Breakdown by Year'!I120</f>
        <v>0</v>
      </c>
      <c r="U331" s="119">
        <f t="shared" si="239"/>
        <v>9</v>
      </c>
      <c r="V331" s="119">
        <f t="shared" si="253"/>
        <v>0</v>
      </c>
      <c r="W331" s="119">
        <f t="shared" si="254"/>
        <v>0</v>
      </c>
      <c r="X331" s="119">
        <v>0</v>
      </c>
      <c r="Y331" s="119">
        <f t="shared" si="255"/>
        <v>0</v>
      </c>
      <c r="AA331" s="366">
        <v>0.5</v>
      </c>
      <c r="AB331" s="366">
        <v>0.5</v>
      </c>
    </row>
    <row r="332" spans="1:28">
      <c r="A332" s="109"/>
      <c r="B332" s="109"/>
      <c r="C332" s="109"/>
      <c r="D332" s="109"/>
      <c r="E332" s="109" t="s">
        <v>458</v>
      </c>
      <c r="F332" s="300"/>
      <c r="G332" s="123"/>
      <c r="H332" s="124"/>
      <c r="I332" s="124"/>
      <c r="J332" s="125">
        <f>SUM(J318:J331)</f>
        <v>39366.666666666672</v>
      </c>
      <c r="K332" s="300"/>
      <c r="L332" s="125"/>
      <c r="M332" s="125">
        <f>SUM(M318:M331)</f>
        <v>50336</v>
      </c>
      <c r="N332" s="300"/>
      <c r="O332" s="125"/>
      <c r="P332" s="125">
        <f>SUM(P318:P331)</f>
        <v>52349.440000000002</v>
      </c>
      <c r="Q332" s="300"/>
      <c r="R332" s="125"/>
      <c r="S332" s="125">
        <f>SUM(S318:S331)</f>
        <v>38245.376000000004</v>
      </c>
      <c r="T332" s="300"/>
      <c r="U332" s="125"/>
      <c r="V332" s="125">
        <f>SUM(V318:V331)</f>
        <v>38429.853696000006</v>
      </c>
      <c r="W332" s="125">
        <f>SUM(W318:W331)</f>
        <v>218727.33636266668</v>
      </c>
      <c r="X332" s="125">
        <f>SUM(X318:X331)</f>
        <v>0</v>
      </c>
      <c r="Y332" s="125">
        <f>SUM(Y318:Y331)</f>
        <v>218727.33636266668</v>
      </c>
      <c r="AA332" s="366"/>
      <c r="AB332" s="366"/>
    </row>
    <row r="333" spans="1:28">
      <c r="A333" s="272"/>
      <c r="B333" s="272"/>
      <c r="C333" s="272"/>
      <c r="D333" s="272"/>
      <c r="E333" s="272"/>
      <c r="F333" s="301"/>
      <c r="G333" s="245"/>
      <c r="H333" s="154"/>
      <c r="I333" s="154"/>
      <c r="J333" s="154"/>
      <c r="K333" s="301"/>
      <c r="L333" s="154"/>
      <c r="M333" s="154"/>
      <c r="N333" s="301"/>
      <c r="O333" s="154"/>
      <c r="P333" s="154"/>
      <c r="Q333" s="301"/>
      <c r="R333" s="154"/>
      <c r="S333" s="154"/>
      <c r="T333" s="301"/>
      <c r="U333" s="154"/>
      <c r="V333" s="154"/>
      <c r="W333" s="154"/>
      <c r="X333" s="154"/>
      <c r="Y333" s="154"/>
      <c r="AA333" s="366"/>
      <c r="AB333" s="366"/>
    </row>
    <row r="334" spans="1:28">
      <c r="A334" s="109"/>
      <c r="B334" s="109"/>
      <c r="C334" s="109"/>
      <c r="D334" s="109"/>
      <c r="E334" s="109" t="s">
        <v>459</v>
      </c>
      <c r="F334" s="300"/>
      <c r="G334" s="123"/>
      <c r="H334" s="124"/>
      <c r="I334" s="124"/>
      <c r="J334" s="125"/>
      <c r="K334" s="300"/>
      <c r="L334" s="125"/>
      <c r="M334" s="125"/>
      <c r="N334" s="300"/>
      <c r="O334" s="125"/>
      <c r="P334" s="125"/>
      <c r="Q334" s="300"/>
      <c r="R334" s="125"/>
      <c r="S334" s="125"/>
      <c r="T334" s="300"/>
      <c r="U334" s="125"/>
      <c r="V334" s="125"/>
      <c r="W334" s="125"/>
      <c r="X334" s="125"/>
      <c r="Y334" s="125"/>
      <c r="AA334" s="366"/>
      <c r="AB334" s="366"/>
    </row>
    <row r="335" spans="1:28">
      <c r="A335" s="58" t="s">
        <v>460</v>
      </c>
      <c r="B335" s="58">
        <v>70015</v>
      </c>
      <c r="C335" s="58" t="s">
        <v>222</v>
      </c>
      <c r="D335" s="58">
        <v>0</v>
      </c>
      <c r="E335" s="58" t="str">
        <f>E35</f>
        <v>Fringe Benefits CCN - Colombia (above $2,600 monthly)</v>
      </c>
      <c r="F335" s="288"/>
      <c r="G335" s="246" t="s">
        <v>238</v>
      </c>
      <c r="H335" s="119"/>
      <c r="I335" s="438">
        <f>I35</f>
        <v>0.53864000000000001</v>
      </c>
      <c r="J335" s="119">
        <f>(J324+J319+J320+J321+J329+J322+J326+J327+J328)*$I$335</f>
        <v>9085.0613333333349</v>
      </c>
      <c r="K335" s="288"/>
      <c r="L335" s="119"/>
      <c r="M335" s="119">
        <f>(M324+M319+M320+M321+M329+M322+M326+M327+M328)*$I$335</f>
        <v>10307.41504</v>
      </c>
      <c r="N335" s="288"/>
      <c r="O335" s="119"/>
      <c r="P335" s="119">
        <f>(P324+P319+P320+P321+P329+P322+P326+P327+P328)*$I$335</f>
        <v>10719.711641600001</v>
      </c>
      <c r="Q335" s="288"/>
      <c r="R335" s="119"/>
      <c r="S335" s="119">
        <f>(S324+S319+S320+S321+S329+S322+S326+S327+S328)*$I$335</f>
        <v>6967.8125670399995</v>
      </c>
      <c r="T335" s="288"/>
      <c r="U335" s="119"/>
      <c r="V335" s="119">
        <f>(V324+V319+V320+V321+V329+V322+V326+V327+V328)*$I$335</f>
        <v>6521.8725627494396</v>
      </c>
      <c r="W335" s="119">
        <f t="shared" ref="W335:W338" si="256">SUM(S335,P335,M335,J335,V335)</f>
        <v>43601.873144722776</v>
      </c>
      <c r="X335" s="154">
        <v>0</v>
      </c>
      <c r="Y335" s="119">
        <f>SUM(W335:X335)</f>
        <v>43601.873144722776</v>
      </c>
      <c r="AA335" s="366">
        <v>0.5</v>
      </c>
      <c r="AB335" s="366">
        <v>0.5</v>
      </c>
    </row>
    <row r="336" spans="1:28">
      <c r="A336" s="58" t="s">
        <v>460</v>
      </c>
      <c r="B336" s="58">
        <v>70015</v>
      </c>
      <c r="C336" s="58" t="s">
        <v>222</v>
      </c>
      <c r="D336" s="58">
        <v>0</v>
      </c>
      <c r="E336" s="58" t="str">
        <f>E36</f>
        <v>Fringe Benefits CCN - Colombia (below $2,600 monthly)</v>
      </c>
      <c r="F336" s="288"/>
      <c r="G336" s="246" t="s">
        <v>238</v>
      </c>
      <c r="H336" s="119"/>
      <c r="I336" s="438">
        <f>I36</f>
        <v>0.40364</v>
      </c>
      <c r="J336" s="119">
        <f>(J331+J330+J325+J323)*$I$336</f>
        <v>0</v>
      </c>
      <c r="K336" s="288"/>
      <c r="L336" s="119"/>
      <c r="M336" s="119">
        <f>(M331+M330+M325+M323)*$I$336</f>
        <v>0</v>
      </c>
      <c r="N336" s="288"/>
      <c r="O336" s="119"/>
      <c r="P336" s="119">
        <f>(P331+P330+P325+P323)*$I$336</f>
        <v>0</v>
      </c>
      <c r="Q336" s="288"/>
      <c r="R336" s="119"/>
      <c r="S336" s="119">
        <f>(S331+S330+S325+S323)*$I$336</f>
        <v>0</v>
      </c>
      <c r="T336" s="288"/>
      <c r="U336" s="119"/>
      <c r="V336" s="119">
        <f>(V331+V330+V325+V323)*$I$336</f>
        <v>0</v>
      </c>
      <c r="W336" s="119">
        <f t="shared" si="256"/>
        <v>0</v>
      </c>
      <c r="X336" s="154">
        <v>0</v>
      </c>
      <c r="Y336" s="119">
        <f>SUM(W336:X336)</f>
        <v>0</v>
      </c>
      <c r="AA336" s="366">
        <v>0.5</v>
      </c>
      <c r="AB336" s="366">
        <v>0.5</v>
      </c>
    </row>
    <row r="337" spans="1:28">
      <c r="A337" s="510" t="s">
        <v>927</v>
      </c>
      <c r="B337" s="58">
        <v>50202</v>
      </c>
      <c r="C337" s="58" t="s">
        <v>219</v>
      </c>
      <c r="D337" s="58">
        <v>0</v>
      </c>
      <c r="E337" s="58" t="str">
        <f>E38</f>
        <v>Post (Hardship) Differential for Chief of Party</v>
      </c>
      <c r="F337" s="293"/>
      <c r="G337" s="246" t="s">
        <v>238</v>
      </c>
      <c r="I337" s="129">
        <f>I38</f>
        <v>0.1</v>
      </c>
      <c r="J337" s="248">
        <f>J318*$I$337</f>
        <v>2250</v>
      </c>
      <c r="K337" s="293"/>
      <c r="L337" s="248"/>
      <c r="M337" s="248">
        <f>M318*$I$337</f>
        <v>3120</v>
      </c>
      <c r="N337" s="293"/>
      <c r="O337" s="248"/>
      <c r="P337" s="248">
        <f>P318*$I$337</f>
        <v>3244.8</v>
      </c>
      <c r="Q337" s="293"/>
      <c r="R337" s="248"/>
      <c r="S337" s="248">
        <f>S318*$I$337</f>
        <v>2530.9440000000004</v>
      </c>
      <c r="T337" s="293"/>
      <c r="U337" s="248"/>
      <c r="V337" s="248">
        <f>V318*$I$337</f>
        <v>2632.1817600000004</v>
      </c>
      <c r="W337" s="119">
        <f t="shared" si="256"/>
        <v>13777.925760000002</v>
      </c>
      <c r="X337" s="119" t="s">
        <v>243</v>
      </c>
      <c r="Y337" s="119">
        <f>SUM(W337:X337)</f>
        <v>13777.925760000002</v>
      </c>
      <c r="AA337" s="366">
        <v>0.5</v>
      </c>
      <c r="AB337" s="366">
        <v>0.5</v>
      </c>
    </row>
    <row r="338" spans="1:28">
      <c r="A338" s="58" t="s">
        <v>460</v>
      </c>
      <c r="B338" s="58">
        <v>50900</v>
      </c>
      <c r="C338" s="58" t="s">
        <v>219</v>
      </c>
      <c r="D338" s="58">
        <v>0</v>
      </c>
      <c r="E338" s="58" t="str">
        <f>E39</f>
        <v>Fringe Benefits Package for Chief of Party</v>
      </c>
      <c r="F338" s="293"/>
      <c r="G338" s="246" t="s">
        <v>238</v>
      </c>
      <c r="I338" s="150">
        <f>I39</f>
        <v>0.56810000000000005</v>
      </c>
      <c r="J338" s="248">
        <f>J318*$I$338</f>
        <v>12782.250000000002</v>
      </c>
      <c r="K338" s="293"/>
      <c r="L338" s="248"/>
      <c r="M338" s="248">
        <f>M318*$I$338</f>
        <v>17724.72</v>
      </c>
      <c r="N338" s="293"/>
      <c r="O338" s="248"/>
      <c r="P338" s="248">
        <f>P318*$I$338</f>
        <v>18433.7088</v>
      </c>
      <c r="Q338" s="293"/>
      <c r="R338" s="248"/>
      <c r="S338" s="248">
        <f>S318*$I$338</f>
        <v>14378.292864000003</v>
      </c>
      <c r="T338" s="293"/>
      <c r="U338" s="248"/>
      <c r="V338" s="248">
        <f>V318*$I$338</f>
        <v>14953.424578560003</v>
      </c>
      <c r="W338" s="119">
        <f t="shared" si="256"/>
        <v>78272.396242560004</v>
      </c>
      <c r="X338" s="119" t="s">
        <v>243</v>
      </c>
      <c r="Y338" s="119">
        <f>SUM(W338:X338)</f>
        <v>78272.396242560004</v>
      </c>
      <c r="AA338" s="366">
        <v>0.5</v>
      </c>
      <c r="AB338" s="366">
        <v>0.5</v>
      </c>
    </row>
    <row r="339" spans="1:28">
      <c r="A339" s="109"/>
      <c r="B339" s="109"/>
      <c r="C339" s="109"/>
      <c r="D339" s="109"/>
      <c r="E339" s="109" t="s">
        <v>461</v>
      </c>
      <c r="F339" s="300"/>
      <c r="G339" s="123"/>
      <c r="H339" s="124"/>
      <c r="I339" s="124"/>
      <c r="J339" s="125">
        <f>SUM(J335:J338)</f>
        <v>24117.311333333339</v>
      </c>
      <c r="K339" s="300"/>
      <c r="L339" s="125"/>
      <c r="M339" s="125">
        <f>SUM(M335:M338)</f>
        <v>31152.135040000001</v>
      </c>
      <c r="N339" s="300"/>
      <c r="O339" s="125"/>
      <c r="P339" s="125">
        <f>SUM(P335:P338)</f>
        <v>32398.220441600002</v>
      </c>
      <c r="Q339" s="300"/>
      <c r="R339" s="125"/>
      <c r="S339" s="125">
        <f>SUM(S335:S338)</f>
        <v>23877.049431040003</v>
      </c>
      <c r="T339" s="300"/>
      <c r="U339" s="125"/>
      <c r="V339" s="125">
        <f>SUM(V335:V338)</f>
        <v>24107.478901309441</v>
      </c>
      <c r="W339" s="125">
        <f>SUM(W335:W338)</f>
        <v>135652.19514728279</v>
      </c>
      <c r="X339" s="125">
        <f>SUM(X335:X338)</f>
        <v>0</v>
      </c>
      <c r="Y339" s="125">
        <f>SUM(Y335:Y338)</f>
        <v>135652.19514728279</v>
      </c>
      <c r="AA339" s="366"/>
      <c r="AB339" s="366"/>
    </row>
    <row r="340" spans="1:28">
      <c r="A340" s="272"/>
      <c r="B340" s="272"/>
      <c r="C340" s="272"/>
      <c r="D340" s="272"/>
      <c r="E340" s="272"/>
      <c r="F340" s="301"/>
      <c r="G340" s="245"/>
      <c r="H340" s="154"/>
      <c r="I340" s="154"/>
      <c r="J340" s="154"/>
      <c r="K340" s="301"/>
      <c r="L340" s="154"/>
      <c r="M340" s="154"/>
      <c r="N340" s="301"/>
      <c r="O340" s="154"/>
      <c r="P340" s="154"/>
      <c r="Q340" s="301"/>
      <c r="R340" s="154"/>
      <c r="S340" s="154"/>
      <c r="T340" s="301"/>
      <c r="U340" s="154"/>
      <c r="V340" s="154"/>
      <c r="W340" s="154"/>
      <c r="X340" s="154"/>
      <c r="Y340" s="154"/>
      <c r="AA340" s="355"/>
      <c r="AB340" s="355"/>
    </row>
    <row r="341" spans="1:28">
      <c r="A341" s="109"/>
      <c r="B341" s="109"/>
      <c r="C341" s="109"/>
      <c r="D341" s="109"/>
      <c r="E341" s="109" t="s">
        <v>462</v>
      </c>
      <c r="F341" s="300"/>
      <c r="G341" s="123"/>
      <c r="H341" s="124"/>
      <c r="I341" s="124"/>
      <c r="J341" s="124"/>
      <c r="K341" s="300"/>
      <c r="L341" s="124"/>
      <c r="M341" s="124"/>
      <c r="N341" s="300"/>
      <c r="O341" s="124"/>
      <c r="P341" s="124"/>
      <c r="Q341" s="300"/>
      <c r="R341" s="124"/>
      <c r="S341" s="124"/>
      <c r="T341" s="300"/>
      <c r="U341" s="124"/>
      <c r="V341" s="124"/>
      <c r="W341" s="124"/>
      <c r="X341" s="124"/>
      <c r="Y341" s="124"/>
      <c r="AA341" s="366"/>
      <c r="AB341" s="366"/>
    </row>
    <row r="342" spans="1:28">
      <c r="A342" s="58" t="s">
        <v>463</v>
      </c>
      <c r="B342" s="58">
        <v>86000</v>
      </c>
      <c r="C342" s="58" t="s">
        <v>222</v>
      </c>
      <c r="D342" s="58">
        <v>0</v>
      </c>
      <c r="E342" s="58" t="s">
        <v>464</v>
      </c>
      <c r="G342" s="58" t="s">
        <v>255</v>
      </c>
      <c r="H342" s="119">
        <v>0</v>
      </c>
      <c r="I342" s="119">
        <v>100</v>
      </c>
      <c r="J342" s="119">
        <f>H342*I342</f>
        <v>0</v>
      </c>
      <c r="K342" s="296"/>
      <c r="L342" s="119">
        <v>5</v>
      </c>
      <c r="M342" s="119">
        <f>I342*L342*$F$7</f>
        <v>520</v>
      </c>
      <c r="N342" s="296"/>
      <c r="O342" s="119">
        <v>5</v>
      </c>
      <c r="P342" s="119">
        <f>I342*O342*$F$7*$F$7</f>
        <v>540.80000000000007</v>
      </c>
      <c r="Q342" s="296"/>
      <c r="R342" s="119">
        <v>0</v>
      </c>
      <c r="S342" s="119">
        <f>I342*R342*$F$7*$F$7*$F$7</f>
        <v>0</v>
      </c>
      <c r="T342" s="296"/>
      <c r="U342" s="119">
        <v>0</v>
      </c>
      <c r="V342" s="119">
        <f>I342*U342*$F$7*$F$7*$F$7*$F$7</f>
        <v>0</v>
      </c>
      <c r="W342" s="119">
        <f t="shared" ref="W342:W343" si="257">SUM(S342,P342,M342,J342,V342)</f>
        <v>1060.8000000000002</v>
      </c>
      <c r="X342" s="119" t="s">
        <v>243</v>
      </c>
      <c r="Y342" s="119">
        <f>SUM(W342:X342)</f>
        <v>1060.8000000000002</v>
      </c>
      <c r="AA342" s="366">
        <v>0.5</v>
      </c>
      <c r="AB342" s="366">
        <v>0.5</v>
      </c>
    </row>
    <row r="343" spans="1:28" ht="50.4">
      <c r="A343" s="58" t="s">
        <v>463</v>
      </c>
      <c r="B343" s="120" t="s">
        <v>257</v>
      </c>
      <c r="C343" s="58" t="s">
        <v>222</v>
      </c>
      <c r="D343" s="58">
        <v>0</v>
      </c>
      <c r="E343" s="58" t="s">
        <v>465</v>
      </c>
      <c r="G343" s="58" t="s">
        <v>259</v>
      </c>
      <c r="H343" s="119">
        <f>3*H342</f>
        <v>0</v>
      </c>
      <c r="I343" s="119">
        <v>100</v>
      </c>
      <c r="J343" s="119">
        <f>H343*I343</f>
        <v>0</v>
      </c>
      <c r="K343" s="296"/>
      <c r="L343" s="119">
        <f>3*L342</f>
        <v>15</v>
      </c>
      <c r="M343" s="119">
        <f>I343*L343*$F$7</f>
        <v>1560</v>
      </c>
      <c r="N343" s="296"/>
      <c r="O343" s="119">
        <f>3*O342</f>
        <v>15</v>
      </c>
      <c r="P343" s="119">
        <f>I343*O343*$F$7*$F$7</f>
        <v>1622.4</v>
      </c>
      <c r="Q343" s="296"/>
      <c r="R343" s="119">
        <f>3*R342</f>
        <v>0</v>
      </c>
      <c r="S343" s="119">
        <f>I343*R343*$F$7*$F$7*$F$7</f>
        <v>0</v>
      </c>
      <c r="T343" s="296"/>
      <c r="U343" s="119">
        <f>3*U342</f>
        <v>0</v>
      </c>
      <c r="V343" s="119">
        <f>I343*U343*$F$7*$F$7*$F$7*$F$7</f>
        <v>0</v>
      </c>
      <c r="W343" s="119">
        <f t="shared" si="257"/>
        <v>3182.4</v>
      </c>
      <c r="X343" s="119" t="s">
        <v>243</v>
      </c>
      <c r="Y343" s="119">
        <f>SUM(W343:X343)</f>
        <v>3182.4</v>
      </c>
      <c r="AA343" s="366">
        <v>0.5</v>
      </c>
      <c r="AB343" s="366">
        <v>0.5</v>
      </c>
    </row>
    <row r="344" spans="1:28">
      <c r="A344" s="109"/>
      <c r="B344" s="109"/>
      <c r="C344" s="109"/>
      <c r="D344" s="109"/>
      <c r="E344" s="109" t="s">
        <v>466</v>
      </c>
      <c r="F344" s="300"/>
      <c r="G344" s="123"/>
      <c r="H344" s="124"/>
      <c r="I344" s="124"/>
      <c r="J344" s="125">
        <f>SUM(J342:J343)</f>
        <v>0</v>
      </c>
      <c r="K344" s="300"/>
      <c r="L344" s="124"/>
      <c r="M344" s="125">
        <f>SUM(M342:M343)</f>
        <v>2080</v>
      </c>
      <c r="N344" s="300"/>
      <c r="O344" s="124"/>
      <c r="P344" s="125">
        <f>SUM(P342:P343)</f>
        <v>2163.2000000000003</v>
      </c>
      <c r="Q344" s="300"/>
      <c r="R344" s="124"/>
      <c r="S344" s="125">
        <f>SUM(S342:S343)</f>
        <v>0</v>
      </c>
      <c r="T344" s="300"/>
      <c r="U344" s="124"/>
      <c r="V344" s="125">
        <f>SUM(V342:V343)</f>
        <v>0</v>
      </c>
      <c r="W344" s="125">
        <f>SUM(W342:W343)</f>
        <v>4243.2000000000007</v>
      </c>
      <c r="X344" s="125">
        <f>SUM(X342:X343)</f>
        <v>0</v>
      </c>
      <c r="Y344" s="125">
        <f>SUM(Y342:Y343)</f>
        <v>4243.2000000000007</v>
      </c>
      <c r="AA344" s="366"/>
      <c r="AB344" s="366"/>
    </row>
    <row r="345" spans="1:28">
      <c r="A345" s="272"/>
      <c r="B345" s="272"/>
      <c r="C345" s="272"/>
      <c r="D345" s="272"/>
      <c r="E345" s="272"/>
      <c r="F345" s="301"/>
      <c r="G345" s="245"/>
      <c r="H345" s="154"/>
      <c r="I345" s="154"/>
      <c r="J345" s="154"/>
      <c r="K345" s="301"/>
      <c r="L345" s="154"/>
      <c r="M345" s="154"/>
      <c r="N345" s="301"/>
      <c r="O345" s="154"/>
      <c r="P345" s="154"/>
      <c r="Q345" s="301"/>
      <c r="R345" s="154"/>
      <c r="S345" s="154"/>
      <c r="T345" s="301"/>
      <c r="U345" s="154"/>
      <c r="V345" s="154"/>
      <c r="W345" s="154"/>
      <c r="X345" s="154"/>
      <c r="Y345" s="154"/>
    </row>
    <row r="346" spans="1:28">
      <c r="A346" s="109"/>
      <c r="B346" s="109"/>
      <c r="C346" s="109"/>
      <c r="D346" s="109"/>
      <c r="E346" s="109" t="s">
        <v>467</v>
      </c>
      <c r="F346" s="300"/>
      <c r="G346" s="123"/>
      <c r="H346" s="124"/>
      <c r="I346" s="124"/>
      <c r="J346" s="124"/>
      <c r="K346" s="300"/>
      <c r="L346" s="124"/>
      <c r="M346" s="124"/>
      <c r="N346" s="300"/>
      <c r="O346" s="124"/>
      <c r="P346" s="124"/>
      <c r="Q346" s="300"/>
      <c r="R346" s="124"/>
      <c r="S346" s="124"/>
      <c r="T346" s="300"/>
      <c r="U346" s="124"/>
      <c r="V346" s="124"/>
      <c r="W346" s="124"/>
      <c r="X346" s="124"/>
      <c r="Y346" s="124"/>
    </row>
    <row r="347" spans="1:28">
      <c r="A347" s="58" t="s">
        <v>468</v>
      </c>
      <c r="B347" s="58">
        <v>81000</v>
      </c>
      <c r="C347" s="58" t="s">
        <v>222</v>
      </c>
      <c r="D347" s="58">
        <v>0</v>
      </c>
      <c r="E347" s="58" t="s">
        <v>469</v>
      </c>
      <c r="G347" s="126" t="s">
        <v>405</v>
      </c>
      <c r="H347" s="119">
        <v>0</v>
      </c>
      <c r="I347" s="119">
        <v>0</v>
      </c>
      <c r="J347" s="119">
        <v>0</v>
      </c>
      <c r="K347" s="296"/>
      <c r="L347" s="119">
        <v>1</v>
      </c>
      <c r="M347" s="119">
        <v>43000</v>
      </c>
      <c r="N347" s="296"/>
      <c r="O347" s="119">
        <v>1</v>
      </c>
      <c r="P347" s="119">
        <v>43000</v>
      </c>
      <c r="Q347" s="296"/>
      <c r="R347" s="119">
        <v>1</v>
      </c>
      <c r="S347" s="119">
        <v>43000</v>
      </c>
      <c r="T347" s="296"/>
      <c r="U347" s="119">
        <v>0</v>
      </c>
      <c r="V347" s="119">
        <v>0</v>
      </c>
      <c r="W347" s="119">
        <f t="shared" ref="W347" si="258">SUM(S347,P347,M347,J347,V347)</f>
        <v>129000</v>
      </c>
      <c r="X347" s="119">
        <v>0</v>
      </c>
      <c r="Y347" s="360">
        <f t="shared" ref="Y347" si="259">SUM(W347:X347)</f>
        <v>129000</v>
      </c>
      <c r="AA347" s="366">
        <v>0.5</v>
      </c>
      <c r="AB347" s="366">
        <v>0.5</v>
      </c>
    </row>
    <row r="348" spans="1:28">
      <c r="A348" s="109"/>
      <c r="B348" s="109"/>
      <c r="C348" s="109"/>
      <c r="D348" s="109"/>
      <c r="E348" s="109" t="s">
        <v>470</v>
      </c>
      <c r="F348" s="300"/>
      <c r="G348" s="123"/>
      <c r="H348" s="124"/>
      <c r="I348" s="124"/>
      <c r="J348" s="125">
        <f>SUM(J347:J347)</f>
        <v>0</v>
      </c>
      <c r="K348" s="300"/>
      <c r="L348" s="125"/>
      <c r="M348" s="125">
        <f>SUM(M347:M347)</f>
        <v>43000</v>
      </c>
      <c r="N348" s="300"/>
      <c r="O348" s="125"/>
      <c r="P348" s="125">
        <f>SUM(P347:P347)</f>
        <v>43000</v>
      </c>
      <c r="Q348" s="300"/>
      <c r="R348" s="125"/>
      <c r="S348" s="125">
        <f>SUM(S347:S347)</f>
        <v>43000</v>
      </c>
      <c r="T348" s="300"/>
      <c r="U348" s="125"/>
      <c r="V348" s="125">
        <f>SUM(V347:V347)</f>
        <v>0</v>
      </c>
      <c r="W348" s="125">
        <f>SUM(W347:W347)</f>
        <v>129000</v>
      </c>
      <c r="X348" s="125">
        <f>SUM(X347:X347)</f>
        <v>0</v>
      </c>
      <c r="Y348" s="125">
        <f>SUM(Y347:Y347)</f>
        <v>129000</v>
      </c>
    </row>
    <row r="349" spans="1:28">
      <c r="A349" s="272"/>
      <c r="B349" s="272"/>
      <c r="C349" s="272"/>
      <c r="D349" s="272"/>
      <c r="E349" s="272"/>
      <c r="F349" s="301"/>
      <c r="G349" s="245"/>
      <c r="H349" s="154"/>
      <c r="I349" s="154"/>
      <c r="J349" s="154"/>
      <c r="K349" s="301"/>
      <c r="L349" s="154"/>
      <c r="M349" s="154"/>
      <c r="N349" s="301"/>
      <c r="O349" s="154"/>
      <c r="P349" s="154"/>
      <c r="Q349" s="301"/>
      <c r="R349" s="154"/>
      <c r="S349" s="154"/>
      <c r="T349" s="301"/>
      <c r="U349" s="154"/>
      <c r="V349" s="154"/>
      <c r="W349" s="154"/>
      <c r="X349" s="154"/>
      <c r="Y349" s="154"/>
    </row>
    <row r="350" spans="1:28">
      <c r="A350" s="109"/>
      <c r="B350" s="109"/>
      <c r="C350" s="109"/>
      <c r="D350" s="109"/>
      <c r="E350" s="109" t="s">
        <v>471</v>
      </c>
      <c r="F350" s="300"/>
      <c r="G350" s="123"/>
      <c r="H350" s="124"/>
      <c r="I350" s="124"/>
      <c r="J350" s="124"/>
      <c r="K350" s="300"/>
      <c r="L350" s="124"/>
      <c r="M350" s="124"/>
      <c r="N350" s="300"/>
      <c r="O350" s="124"/>
      <c r="P350" s="124"/>
      <c r="Q350" s="300"/>
      <c r="R350" s="124"/>
      <c r="S350" s="124"/>
      <c r="T350" s="300"/>
      <c r="U350" s="124"/>
      <c r="V350" s="124"/>
      <c r="W350" s="124"/>
      <c r="X350" s="124"/>
      <c r="Y350" s="124"/>
    </row>
    <row r="351" spans="1:28">
      <c r="A351" s="58" t="s">
        <v>472</v>
      </c>
      <c r="B351" s="58">
        <v>90450</v>
      </c>
      <c r="C351" s="58" t="s">
        <v>222</v>
      </c>
      <c r="D351" s="58">
        <v>0</v>
      </c>
      <c r="E351" s="58" t="s">
        <v>473</v>
      </c>
      <c r="F351" s="293"/>
      <c r="G351" s="58" t="s">
        <v>281</v>
      </c>
      <c r="H351" s="119">
        <v>0</v>
      </c>
      <c r="I351" s="119">
        <v>500</v>
      </c>
      <c r="J351" s="119">
        <f>H351*I351</f>
        <v>0</v>
      </c>
      <c r="K351" s="293"/>
      <c r="L351" s="119">
        <v>1</v>
      </c>
      <c r="M351" s="119">
        <f>I351*L351</f>
        <v>500</v>
      </c>
      <c r="N351" s="293"/>
      <c r="O351" s="119">
        <v>1</v>
      </c>
      <c r="P351" s="119">
        <f>I351*O351</f>
        <v>500</v>
      </c>
      <c r="Q351" s="293"/>
      <c r="R351" s="119">
        <v>0</v>
      </c>
      <c r="S351" s="119">
        <f>I351*R351</f>
        <v>0</v>
      </c>
      <c r="T351" s="293"/>
      <c r="U351" s="119">
        <v>0</v>
      </c>
      <c r="V351" s="119">
        <f>I351*U351</f>
        <v>0</v>
      </c>
      <c r="W351" s="119">
        <f t="shared" ref="W351" si="260">SUM(S351,P351,M351,J351,V351)</f>
        <v>1000</v>
      </c>
      <c r="X351" s="119">
        <v>0</v>
      </c>
      <c r="Y351" s="119">
        <f>SUM(W351:X351)</f>
        <v>1000</v>
      </c>
      <c r="AA351" s="366">
        <v>0.5</v>
      </c>
      <c r="AB351" s="366">
        <v>0.5</v>
      </c>
    </row>
    <row r="352" spans="1:28">
      <c r="A352" s="109"/>
      <c r="B352" s="109"/>
      <c r="C352" s="109"/>
      <c r="D352" s="109"/>
      <c r="E352" s="109" t="s">
        <v>474</v>
      </c>
      <c r="F352" s="300"/>
      <c r="G352" s="123"/>
      <c r="H352" s="124"/>
      <c r="I352" s="125"/>
      <c r="J352" s="125">
        <f>SUM(J351:J351)</f>
        <v>0</v>
      </c>
      <c r="K352" s="300"/>
      <c r="L352" s="125"/>
      <c r="M352" s="125">
        <f>SUM(M351:M351)</f>
        <v>500</v>
      </c>
      <c r="N352" s="300"/>
      <c r="O352" s="125"/>
      <c r="P352" s="125">
        <f>SUM(P351:P351)</f>
        <v>500</v>
      </c>
      <c r="Q352" s="300"/>
      <c r="R352" s="125"/>
      <c r="S352" s="125">
        <f>SUM(S351:S351)</f>
        <v>0</v>
      </c>
      <c r="T352" s="300"/>
      <c r="U352" s="125"/>
      <c r="V352" s="125">
        <f>SUM(V351:V351)</f>
        <v>0</v>
      </c>
      <c r="W352" s="125">
        <f>SUM(W351:W351)</f>
        <v>1000</v>
      </c>
      <c r="X352" s="125">
        <f>SUM(X351:X351)</f>
        <v>0</v>
      </c>
      <c r="Y352" s="125">
        <f>SUM(Y351:Y351)</f>
        <v>1000</v>
      </c>
      <c r="AA352" s="366">
        <v>0.5</v>
      </c>
      <c r="AB352" s="366">
        <v>0.5</v>
      </c>
    </row>
    <row r="353" spans="1:28">
      <c r="A353" s="120"/>
      <c r="B353" s="120"/>
      <c r="C353" s="120"/>
      <c r="D353" s="120"/>
      <c r="E353" s="120"/>
      <c r="F353" s="293"/>
      <c r="G353" s="126"/>
      <c r="H353" s="119"/>
      <c r="I353" s="119"/>
      <c r="J353" s="119"/>
      <c r="K353" s="293"/>
      <c r="L353" s="119"/>
      <c r="M353" s="119"/>
      <c r="N353" s="293"/>
      <c r="O353" s="119"/>
      <c r="P353" s="119"/>
      <c r="Q353" s="293"/>
      <c r="R353" s="119"/>
      <c r="S353" s="119"/>
      <c r="T353" s="293"/>
      <c r="U353" s="119"/>
      <c r="V353" s="119"/>
      <c r="W353" s="119"/>
      <c r="X353" s="119"/>
      <c r="Y353" s="136"/>
    </row>
    <row r="354" spans="1:28">
      <c r="A354" s="109"/>
      <c r="B354" s="109"/>
      <c r="C354" s="109"/>
      <c r="D354" s="109"/>
      <c r="E354" s="109" t="s">
        <v>475</v>
      </c>
      <c r="F354" s="300"/>
      <c r="G354" s="123"/>
      <c r="H354" s="124"/>
      <c r="I354" s="124"/>
      <c r="J354" s="124"/>
      <c r="K354" s="300"/>
      <c r="L354" s="124"/>
      <c r="M354" s="124"/>
      <c r="N354" s="300"/>
      <c r="O354" s="124"/>
      <c r="P354" s="124"/>
      <c r="Q354" s="300"/>
      <c r="R354" s="124"/>
      <c r="S354" s="124"/>
      <c r="T354" s="300"/>
      <c r="U354" s="124"/>
      <c r="V354" s="124"/>
      <c r="W354" s="124"/>
      <c r="X354" s="124"/>
      <c r="Y354" s="124"/>
    </row>
    <row r="355" spans="1:28">
      <c r="A355" s="258"/>
      <c r="B355" s="258"/>
      <c r="C355" s="258"/>
      <c r="D355" s="258"/>
      <c r="E355" s="258" t="s">
        <v>420</v>
      </c>
      <c r="F355" s="295"/>
      <c r="G355" s="260"/>
      <c r="H355" s="261"/>
      <c r="I355" s="261"/>
      <c r="J355" s="261"/>
      <c r="K355" s="295"/>
      <c r="L355" s="261"/>
      <c r="M355" s="261"/>
      <c r="N355" s="295"/>
      <c r="O355" s="261"/>
      <c r="P355" s="261"/>
      <c r="Q355" s="295"/>
      <c r="R355" s="261"/>
      <c r="S355" s="261"/>
      <c r="T355" s="295"/>
      <c r="U355" s="261"/>
      <c r="V355" s="261"/>
      <c r="W355" s="244"/>
      <c r="X355" s="244"/>
      <c r="Y355" s="261"/>
      <c r="AA355" s="366"/>
      <c r="AB355" s="366"/>
    </row>
    <row r="356" spans="1:28">
      <c r="A356" s="58" t="s">
        <v>476</v>
      </c>
      <c r="B356" s="58">
        <v>89000</v>
      </c>
      <c r="C356" s="58" t="s">
        <v>222</v>
      </c>
      <c r="D356" s="58">
        <v>0</v>
      </c>
      <c r="E356" s="58" t="s">
        <v>477</v>
      </c>
      <c r="F356" s="293"/>
      <c r="G356" s="58" t="s">
        <v>423</v>
      </c>
      <c r="H356" s="119">
        <v>0</v>
      </c>
      <c r="I356" s="119">
        <v>13000</v>
      </c>
      <c r="J356" s="119">
        <f>H356*I356</f>
        <v>0</v>
      </c>
      <c r="K356" s="293"/>
      <c r="L356" s="119">
        <v>5</v>
      </c>
      <c r="M356" s="119">
        <f>I356*L356</f>
        <v>65000</v>
      </c>
      <c r="N356" s="293"/>
      <c r="O356" s="119">
        <v>5</v>
      </c>
      <c r="P356" s="119">
        <f>I356*O356</f>
        <v>65000</v>
      </c>
      <c r="Q356" s="293"/>
      <c r="R356" s="119">
        <v>0</v>
      </c>
      <c r="S356" s="119">
        <f>I356*R356</f>
        <v>0</v>
      </c>
      <c r="T356" s="293"/>
      <c r="U356" s="119">
        <v>0</v>
      </c>
      <c r="V356" s="119">
        <f>I356*U356</f>
        <v>0</v>
      </c>
      <c r="W356" s="119">
        <f t="shared" ref="W356" si="261">SUM(S356,P356,M356,J356,V356)</f>
        <v>130000</v>
      </c>
      <c r="X356" s="119">
        <v>0</v>
      </c>
      <c r="Y356" s="119">
        <f>SUM(W356:X356)</f>
        <v>130000</v>
      </c>
      <c r="AA356" s="366">
        <v>0.5</v>
      </c>
      <c r="AB356" s="366">
        <v>0.5</v>
      </c>
    </row>
    <row r="357" spans="1:28">
      <c r="A357" s="109"/>
      <c r="B357" s="109"/>
      <c r="C357" s="109"/>
      <c r="D357" s="109"/>
      <c r="E357" s="109" t="s">
        <v>478</v>
      </c>
      <c r="F357" s="300"/>
      <c r="G357" s="123"/>
      <c r="H357" s="125"/>
      <c r="I357" s="125"/>
      <c r="J357" s="125">
        <f>SUM(J356)</f>
        <v>0</v>
      </c>
      <c r="K357" s="300"/>
      <c r="L357" s="125"/>
      <c r="M357" s="125">
        <f>SUM(M356)</f>
        <v>65000</v>
      </c>
      <c r="N357" s="300"/>
      <c r="O357" s="125"/>
      <c r="P357" s="125">
        <f>SUM(P356)</f>
        <v>65000</v>
      </c>
      <c r="Q357" s="300"/>
      <c r="R357" s="125"/>
      <c r="S357" s="125">
        <f>SUM(S356)</f>
        <v>0</v>
      </c>
      <c r="T357" s="300"/>
      <c r="U357" s="125"/>
      <c r="V357" s="125">
        <f>SUM(V356)</f>
        <v>0</v>
      </c>
      <c r="W357" s="125">
        <f>SUM(W356)</f>
        <v>130000</v>
      </c>
      <c r="X357" s="125">
        <f>SUM(X356)</f>
        <v>0</v>
      </c>
      <c r="Y357" s="125">
        <f>SUM(Y356)</f>
        <v>130000</v>
      </c>
    </row>
    <row r="358" spans="1:28">
      <c r="A358" s="120"/>
      <c r="B358" s="120"/>
      <c r="C358" s="120"/>
      <c r="D358" s="120"/>
      <c r="E358" s="120"/>
      <c r="F358" s="293"/>
      <c r="G358" s="126"/>
      <c r="H358" s="119"/>
      <c r="I358" s="119"/>
      <c r="J358" s="119"/>
      <c r="K358" s="293"/>
      <c r="L358" s="119"/>
      <c r="M358" s="119"/>
      <c r="N358" s="293"/>
      <c r="O358" s="119"/>
      <c r="P358" s="119"/>
      <c r="Q358" s="293"/>
      <c r="R358" s="119"/>
      <c r="S358" s="119"/>
      <c r="T358" s="293"/>
      <c r="U358" s="119"/>
      <c r="V358" s="119"/>
      <c r="W358" s="119"/>
      <c r="X358" s="119"/>
      <c r="Y358" s="136"/>
      <c r="AA358" s="366"/>
      <c r="AB358" s="366"/>
    </row>
    <row r="359" spans="1:28">
      <c r="A359" s="109"/>
      <c r="B359" s="109"/>
      <c r="C359" s="109"/>
      <c r="D359" s="109"/>
      <c r="E359" s="109" t="s">
        <v>479</v>
      </c>
      <c r="F359" s="300"/>
      <c r="G359" s="123"/>
      <c r="H359" s="124"/>
      <c r="I359" s="124"/>
      <c r="J359" s="124"/>
      <c r="K359" s="300"/>
      <c r="L359" s="124"/>
      <c r="M359" s="124"/>
      <c r="N359" s="300"/>
      <c r="O359" s="124"/>
      <c r="P359" s="124"/>
      <c r="Q359" s="300"/>
      <c r="R359" s="124"/>
      <c r="S359" s="124"/>
      <c r="T359" s="300"/>
      <c r="U359" s="124"/>
      <c r="V359" s="124"/>
      <c r="W359" s="124"/>
      <c r="X359" s="124"/>
      <c r="Y359" s="124"/>
    </row>
    <row r="360" spans="1:28">
      <c r="A360" s="120" t="s">
        <v>480</v>
      </c>
      <c r="B360" s="120">
        <v>96000</v>
      </c>
      <c r="C360" s="120" t="s">
        <v>219</v>
      </c>
      <c r="D360" s="120">
        <v>0</v>
      </c>
      <c r="E360" s="120" t="s">
        <v>481</v>
      </c>
      <c r="G360" s="126" t="s">
        <v>364</v>
      </c>
      <c r="H360" s="119">
        <f>52*4</f>
        <v>208</v>
      </c>
      <c r="I360" s="119">
        <f>((4300*12)/2080)</f>
        <v>24.807692307692307</v>
      </c>
      <c r="J360" s="119">
        <v>0</v>
      </c>
      <c r="K360" s="296"/>
      <c r="L360" s="119">
        <f>52*4</f>
        <v>208</v>
      </c>
      <c r="M360" s="119">
        <v>0</v>
      </c>
      <c r="N360" s="296"/>
      <c r="O360" s="119">
        <f>52*4</f>
        <v>208</v>
      </c>
      <c r="P360" s="119">
        <v>0</v>
      </c>
      <c r="Q360" s="296"/>
      <c r="R360" s="119">
        <f>52*4</f>
        <v>208</v>
      </c>
      <c r="S360" s="119">
        <v>0</v>
      </c>
      <c r="T360" s="296"/>
      <c r="U360" s="119">
        <f>52*4</f>
        <v>208</v>
      </c>
      <c r="V360" s="119">
        <v>0</v>
      </c>
      <c r="W360" s="119">
        <f>SUM(S360,P360,M360,J360,V360)</f>
        <v>0</v>
      </c>
      <c r="X360" s="119">
        <f>(H360*I360)+(L360*I360)+(O360*I360)+(I360*R360)+(U360*I360)</f>
        <v>25800</v>
      </c>
      <c r="Y360" s="360">
        <f>SUM(W360:X360)</f>
        <v>25800</v>
      </c>
      <c r="AA360" s="366">
        <v>0.5</v>
      </c>
      <c r="AB360" s="366">
        <v>0.5</v>
      </c>
    </row>
    <row r="361" spans="1:28">
      <c r="A361" s="120" t="s">
        <v>480</v>
      </c>
      <c r="B361" s="120">
        <v>96000</v>
      </c>
      <c r="C361" s="120" t="s">
        <v>219</v>
      </c>
      <c r="D361" s="120">
        <v>0</v>
      </c>
      <c r="E361" s="120" t="s">
        <v>482</v>
      </c>
      <c r="F361" s="293"/>
      <c r="G361" s="126" t="s">
        <v>364</v>
      </c>
      <c r="H361" s="119">
        <v>0</v>
      </c>
      <c r="I361" s="119">
        <f>((4300*12)/2080)</f>
        <v>24.807692307692307</v>
      </c>
      <c r="J361" s="119">
        <v>0</v>
      </c>
      <c r="K361" s="296"/>
      <c r="L361" s="119">
        <f>80*5</f>
        <v>400</v>
      </c>
      <c r="M361" s="119">
        <v>0</v>
      </c>
      <c r="N361" s="296"/>
      <c r="O361" s="119">
        <f>80*5</f>
        <v>400</v>
      </c>
      <c r="P361" s="119">
        <v>0</v>
      </c>
      <c r="Q361" s="296"/>
      <c r="R361" s="119">
        <v>0</v>
      </c>
      <c r="S361" s="119">
        <v>0</v>
      </c>
      <c r="T361" s="296"/>
      <c r="U361" s="119">
        <v>0</v>
      </c>
      <c r="V361" s="119">
        <v>0</v>
      </c>
      <c r="W361" s="119">
        <f>SUM(S361,P361,M361,J361,V361)</f>
        <v>0</v>
      </c>
      <c r="X361" s="119">
        <f>(H361*I361)+(L361*I361)+(O361*I361)+(I361*R361)+(U361*I361)</f>
        <v>19846.153846153844</v>
      </c>
      <c r="Y361" s="360">
        <f>SUM(W361:X361)</f>
        <v>19846.153846153844</v>
      </c>
      <c r="AA361" s="366">
        <v>0.5</v>
      </c>
      <c r="AB361" s="366">
        <v>0.5</v>
      </c>
    </row>
    <row r="362" spans="1:28">
      <c r="A362" s="120" t="s">
        <v>480</v>
      </c>
      <c r="B362" s="120">
        <v>96000</v>
      </c>
      <c r="C362" s="120" t="s">
        <v>219</v>
      </c>
      <c r="D362" s="120">
        <v>0</v>
      </c>
      <c r="E362" s="58" t="s">
        <v>483</v>
      </c>
      <c r="F362" s="293"/>
      <c r="G362" s="126" t="s">
        <v>364</v>
      </c>
      <c r="H362" s="119">
        <v>0</v>
      </c>
      <c r="I362" s="119">
        <f>((4300*12)/2080)</f>
        <v>24.807692307692307</v>
      </c>
      <c r="J362" s="119">
        <v>0</v>
      </c>
      <c r="K362" s="296"/>
      <c r="L362" s="119">
        <f>40*5</f>
        <v>200</v>
      </c>
      <c r="M362" s="119">
        <v>0</v>
      </c>
      <c r="N362" s="296"/>
      <c r="O362" s="119">
        <f>40*5</f>
        <v>200</v>
      </c>
      <c r="P362" s="119">
        <v>0</v>
      </c>
      <c r="Q362" s="296"/>
      <c r="R362" s="119">
        <v>0</v>
      </c>
      <c r="S362" s="119">
        <v>0</v>
      </c>
      <c r="T362" s="296"/>
      <c r="U362" s="119">
        <v>0</v>
      </c>
      <c r="V362" s="119">
        <v>0</v>
      </c>
      <c r="W362" s="119">
        <f>SUM(S362,P362,M362,J362,V362)</f>
        <v>0</v>
      </c>
      <c r="X362" s="119">
        <f>(H362*I362)+(L362*I362)+(O362*I362)+(I362*R362)+(U362*I362)</f>
        <v>9923.076923076922</v>
      </c>
      <c r="Y362" s="360">
        <f>SUM(W362:X362)</f>
        <v>9923.076923076922</v>
      </c>
      <c r="AA362" s="366">
        <v>0.5</v>
      </c>
      <c r="AB362" s="366">
        <v>0.5</v>
      </c>
    </row>
    <row r="363" spans="1:28">
      <c r="A363" s="120" t="s">
        <v>480</v>
      </c>
      <c r="B363" s="120">
        <v>96000</v>
      </c>
      <c r="C363" s="120" t="s">
        <v>219</v>
      </c>
      <c r="D363" s="120">
        <v>0</v>
      </c>
      <c r="E363" s="58" t="s">
        <v>484</v>
      </c>
      <c r="F363" s="293"/>
      <c r="G363" s="126" t="s">
        <v>423</v>
      </c>
      <c r="H363" s="119">
        <v>0</v>
      </c>
      <c r="I363" s="119">
        <v>13000</v>
      </c>
      <c r="J363" s="119">
        <v>0</v>
      </c>
      <c r="K363" s="296"/>
      <c r="L363" s="119">
        <v>15</v>
      </c>
      <c r="M363" s="119">
        <v>0</v>
      </c>
      <c r="N363" s="296"/>
      <c r="O363" s="119">
        <v>15</v>
      </c>
      <c r="P363" s="119">
        <v>0</v>
      </c>
      <c r="Q363" s="296"/>
      <c r="R363" s="119">
        <v>15</v>
      </c>
      <c r="S363" s="119">
        <v>0</v>
      </c>
      <c r="T363" s="296"/>
      <c r="U363" s="119">
        <v>0</v>
      </c>
      <c r="V363" s="119">
        <v>0</v>
      </c>
      <c r="W363" s="119">
        <f>SUM(S363,P363,M363,J363,V363)</f>
        <v>0</v>
      </c>
      <c r="X363" s="119">
        <f>(H363*I363)+(L363*I363)+(O363*I363)+(I363*R363)+(U363*I363)</f>
        <v>585000</v>
      </c>
      <c r="Y363" s="360">
        <f>SUM(W363:X363)</f>
        <v>585000</v>
      </c>
      <c r="AA363" s="366">
        <v>0.5</v>
      </c>
      <c r="AB363" s="366">
        <v>0.5</v>
      </c>
    </row>
    <row r="364" spans="1:28">
      <c r="A364" s="120" t="s">
        <v>480</v>
      </c>
      <c r="B364" s="120">
        <v>96000</v>
      </c>
      <c r="C364" s="120" t="s">
        <v>219</v>
      </c>
      <c r="D364" s="120">
        <v>0</v>
      </c>
      <c r="E364" s="120" t="s">
        <v>485</v>
      </c>
      <c r="G364" s="126" t="s">
        <v>364</v>
      </c>
      <c r="H364" s="119">
        <v>0</v>
      </c>
      <c r="I364" s="119">
        <f>((4300*12)/2080)</f>
        <v>24.807692307692307</v>
      </c>
      <c r="J364" s="119">
        <v>0</v>
      </c>
      <c r="K364" s="296"/>
      <c r="L364" s="119">
        <f>(2*5*8)</f>
        <v>80</v>
      </c>
      <c r="M364" s="119">
        <v>0</v>
      </c>
      <c r="N364" s="296"/>
      <c r="O364" s="119">
        <f>(2*5*8)</f>
        <v>80</v>
      </c>
      <c r="P364" s="119">
        <v>0</v>
      </c>
      <c r="Q364" s="296"/>
      <c r="R364" s="119">
        <v>0</v>
      </c>
      <c r="S364" s="119">
        <v>0</v>
      </c>
      <c r="T364" s="296"/>
      <c r="U364" s="119">
        <v>0</v>
      </c>
      <c r="V364" s="119">
        <v>0</v>
      </c>
      <c r="W364" s="119">
        <f>SUM(S364,P364,M364,J364,V364)</f>
        <v>0</v>
      </c>
      <c r="X364" s="119">
        <f>(H364*I364)+(L364*I364)+(O364*I364)+(I364*R364)+(U364*I364)</f>
        <v>3969.2307692307691</v>
      </c>
      <c r="Y364" s="360">
        <f>SUM(W364:X364)</f>
        <v>3969.2307692307691</v>
      </c>
      <c r="AA364" s="366">
        <v>0.5</v>
      </c>
      <c r="AB364" s="366">
        <v>0.5</v>
      </c>
    </row>
    <row r="365" spans="1:28">
      <c r="A365" s="109"/>
      <c r="B365" s="109"/>
      <c r="C365" s="109"/>
      <c r="D365" s="109"/>
      <c r="E365" s="109" t="s">
        <v>486</v>
      </c>
      <c r="F365" s="300"/>
      <c r="G365" s="123"/>
      <c r="H365" s="124"/>
      <c r="I365" s="125"/>
      <c r="J365" s="125">
        <f>SUM(J360:J364)</f>
        <v>0</v>
      </c>
      <c r="K365" s="303"/>
      <c r="L365" s="125"/>
      <c r="M365" s="125">
        <f>SUM(M360:M364)</f>
        <v>0</v>
      </c>
      <c r="N365" s="303"/>
      <c r="O365" s="125"/>
      <c r="P365" s="125">
        <f>SUM(P360:P364)</f>
        <v>0</v>
      </c>
      <c r="Q365" s="303"/>
      <c r="R365" s="125"/>
      <c r="S365" s="125">
        <f>SUM(S360:S364)</f>
        <v>0</v>
      </c>
      <c r="T365" s="303"/>
      <c r="U365" s="125"/>
      <c r="V365" s="125">
        <f>SUM(V360:V364)</f>
        <v>0</v>
      </c>
      <c r="W365" s="125">
        <f>SUM(W360:W364)</f>
        <v>0</v>
      </c>
      <c r="X365" s="125">
        <f>SUM(X360:X364)</f>
        <v>644538.4615384615</v>
      </c>
      <c r="Y365" s="125">
        <f>SUM(Y360:Y364)</f>
        <v>644538.4615384615</v>
      </c>
    </row>
    <row r="366" spans="1:28">
      <c r="A366" s="120"/>
      <c r="B366" s="120"/>
      <c r="C366" s="120"/>
      <c r="D366" s="120"/>
      <c r="E366" s="120"/>
      <c r="F366" s="293"/>
      <c r="G366" s="126"/>
      <c r="H366" s="119"/>
      <c r="I366" s="119"/>
      <c r="J366" s="119"/>
      <c r="K366" s="293"/>
      <c r="L366" s="119"/>
      <c r="M366" s="119"/>
      <c r="N366" s="293"/>
      <c r="O366" s="119"/>
      <c r="P366" s="119"/>
      <c r="Q366" s="293"/>
      <c r="R366" s="119"/>
      <c r="S366" s="119"/>
      <c r="T366" s="293"/>
      <c r="U366" s="119"/>
      <c r="V366" s="119"/>
      <c r="W366" s="119"/>
      <c r="X366" s="119"/>
      <c r="Y366" s="136"/>
      <c r="AA366" s="366"/>
      <c r="AB366" s="366"/>
    </row>
    <row r="367" spans="1:28" ht="12.9" thickBot="1">
      <c r="A367" s="143"/>
      <c r="B367" s="143"/>
      <c r="C367" s="143"/>
      <c r="D367" s="143"/>
      <c r="E367" s="143" t="s">
        <v>182</v>
      </c>
      <c r="F367" s="294"/>
      <c r="G367" s="143"/>
      <c r="H367" s="162"/>
      <c r="I367" s="162"/>
      <c r="J367" s="157">
        <f>SUM(J365+J352+J357+J344+J339+J332+J348)</f>
        <v>63483.97800000001</v>
      </c>
      <c r="K367" s="294"/>
      <c r="L367" s="157"/>
      <c r="M367" s="157">
        <f>SUM(M365+M352+M357+M344+M339+M332+M348)</f>
        <v>192068.13503999999</v>
      </c>
      <c r="N367" s="294"/>
      <c r="O367" s="157"/>
      <c r="P367" s="157">
        <f>SUM(P365+P352+P357+P344+P339+P332+P348)</f>
        <v>195410.8604416</v>
      </c>
      <c r="Q367" s="294"/>
      <c r="R367" s="157"/>
      <c r="S367" s="157">
        <f>SUM(S365+S352+S357+S344+S339+S332+S348)</f>
        <v>105122.42543104</v>
      </c>
      <c r="T367" s="294"/>
      <c r="U367" s="157"/>
      <c r="V367" s="157">
        <f>SUM(V365+V352+V357+V344+V339+V332+V348)</f>
        <v>62537.332597309447</v>
      </c>
      <c r="W367" s="157">
        <f>SUM(W365+W352+W357+W344+W339+W332+W348)</f>
        <v>618622.73150994955</v>
      </c>
      <c r="X367" s="157">
        <f>SUM(X365+X352+X357+X344+X339+X332+X348)</f>
        <v>644538.4615384615</v>
      </c>
      <c r="Y367" s="157">
        <f>SUM(Y365+Y352+Y357+Y344+Y339+Y332+Y348)</f>
        <v>1263161.193048411</v>
      </c>
      <c r="AA367" s="146">
        <f>SUMPRODUCT(W318:W331,AA318:AA331)+SUMPRODUCT(W335:W338,AA335:AA338)+SUMPRODUCT(W342:W343,AA342:AA343)+SUMPRODUCT(W351,AA351)+SUMPRODUCT(W356,AA356)+SUMPRODUCT(W347,AA347)</f>
        <v>309311.36575497477</v>
      </c>
      <c r="AB367" s="146">
        <f>SUMPRODUCT(W318:W331,AB318:AB331)+SUMPRODUCT(W335:W338,AB335:AB338)+SUMPRODUCT(W342:W343,AB342:AB343)+SUMPRODUCT(W351,AB351)+SUMPRODUCT(W356,AB356)+SUMPRODUCT(W347,AB347)</f>
        <v>309311.36575497477</v>
      </c>
    </row>
    <row r="368" spans="1:28">
      <c r="A368" s="245"/>
      <c r="B368" s="245"/>
      <c r="C368" s="245"/>
      <c r="D368" s="245"/>
      <c r="E368" s="245"/>
      <c r="F368" s="291"/>
      <c r="G368" s="245"/>
      <c r="H368" s="154"/>
      <c r="I368" s="154"/>
      <c r="J368" s="154"/>
      <c r="K368" s="291"/>
      <c r="L368" s="154"/>
      <c r="M368" s="154"/>
      <c r="N368" s="291"/>
      <c r="O368" s="154"/>
      <c r="P368" s="154"/>
      <c r="Q368" s="291"/>
      <c r="R368" s="154"/>
      <c r="S368" s="154"/>
      <c r="T368" s="291"/>
      <c r="U368" s="154"/>
      <c r="V368" s="154"/>
      <c r="W368" s="154"/>
      <c r="X368" s="154"/>
      <c r="Y368" s="154"/>
    </row>
    <row r="369" spans="1:28">
      <c r="A369" s="266"/>
      <c r="B369" s="266"/>
      <c r="C369" s="266"/>
      <c r="D369" s="266"/>
      <c r="E369" s="266" t="str">
        <f>'USDA Budget Summary'!A33</f>
        <v>Activity 6: Innovation and Job Creation Through Youth Engagement</v>
      </c>
      <c r="F369" s="298"/>
      <c r="G369" s="106"/>
      <c r="H369" s="106"/>
      <c r="I369" s="107"/>
      <c r="J369" s="267"/>
      <c r="K369" s="298"/>
      <c r="L369" s="267"/>
      <c r="M369" s="267"/>
      <c r="N369" s="298"/>
      <c r="O369" s="267"/>
      <c r="P369" s="267"/>
      <c r="Q369" s="298"/>
      <c r="R369" s="267"/>
      <c r="S369" s="267"/>
      <c r="T369" s="298"/>
      <c r="U369" s="267"/>
      <c r="V369" s="267"/>
      <c r="W369" s="267"/>
      <c r="X369" s="268"/>
      <c r="Y369" s="267"/>
    </row>
    <row r="370" spans="1:28">
      <c r="A370" s="269"/>
      <c r="B370" s="269"/>
      <c r="C370" s="269"/>
      <c r="D370" s="269"/>
      <c r="E370" s="269" t="s">
        <v>349</v>
      </c>
      <c r="F370" s="299"/>
      <c r="G370" s="270"/>
      <c r="H370" s="271"/>
      <c r="I370" s="271"/>
      <c r="J370" s="271"/>
      <c r="K370" s="299"/>
      <c r="L370" s="271"/>
      <c r="M370" s="271"/>
      <c r="N370" s="299"/>
      <c r="O370" s="271"/>
      <c r="P370" s="271"/>
      <c r="Q370" s="299"/>
      <c r="R370" s="271"/>
      <c r="S370" s="271"/>
      <c r="T370" s="299"/>
      <c r="U370" s="271"/>
      <c r="V370" s="271"/>
      <c r="W370" s="271"/>
      <c r="X370" s="271"/>
      <c r="Y370" s="271"/>
    </row>
    <row r="371" spans="1:28">
      <c r="A371" s="109"/>
      <c r="B371" s="109"/>
      <c r="C371" s="109"/>
      <c r="D371" s="109"/>
      <c r="E371" s="109" t="s">
        <v>487</v>
      </c>
      <c r="F371" s="300"/>
      <c r="G371" s="123"/>
      <c r="H371" s="124"/>
      <c r="I371" s="124"/>
      <c r="J371" s="124"/>
      <c r="K371" s="300"/>
      <c r="L371" s="124"/>
      <c r="M371" s="124"/>
      <c r="N371" s="300"/>
      <c r="O371" s="124"/>
      <c r="P371" s="124"/>
      <c r="Q371" s="300"/>
      <c r="R371" s="124"/>
      <c r="S371" s="124"/>
      <c r="T371" s="300"/>
      <c r="U371" s="124"/>
      <c r="V371" s="124"/>
      <c r="W371" s="124"/>
      <c r="X371" s="124"/>
      <c r="Y371" s="124"/>
    </row>
    <row r="372" spans="1:28">
      <c r="A372" s="58" t="s">
        <v>488</v>
      </c>
      <c r="B372" s="58">
        <v>50000</v>
      </c>
      <c r="C372" s="58" t="s">
        <v>219</v>
      </c>
      <c r="D372" s="58">
        <v>0</v>
      </c>
      <c r="E372" s="58" t="str">
        <f t="shared" ref="E372:E385" si="262">E13</f>
        <v xml:space="preserve">Key Personnel: Chief of Party </v>
      </c>
      <c r="F372" s="288">
        <f>'LOE Breakdown by Year'!J11</f>
        <v>0</v>
      </c>
      <c r="G372" s="127" t="s">
        <v>221</v>
      </c>
      <c r="H372" s="119">
        <f t="shared" ref="H372:I385" si="263">H13</f>
        <v>12</v>
      </c>
      <c r="I372" s="119">
        <f t="shared" si="263"/>
        <v>12500</v>
      </c>
      <c r="J372" s="119">
        <f>H372*I372*F372</f>
        <v>0</v>
      </c>
      <c r="K372" s="287">
        <f>'LOE Breakdown by Year'!J35</f>
        <v>0.1</v>
      </c>
      <c r="L372" s="119">
        <f t="shared" ref="L372:L385" si="264">L13</f>
        <v>12</v>
      </c>
      <c r="M372" s="119">
        <f>L372*I372*$F$8*$K372</f>
        <v>15600</v>
      </c>
      <c r="N372" s="287">
        <f>'LOE Breakdown by Year'!J59</f>
        <v>0.1</v>
      </c>
      <c r="O372" s="119">
        <f t="shared" ref="O372:O385" si="265">O13</f>
        <v>12</v>
      </c>
      <c r="P372" s="119">
        <f t="shared" ref="P372:P383" si="266">O372*I372*$N372*$F$8*$F$8</f>
        <v>16224</v>
      </c>
      <c r="Q372" s="287">
        <f>'LOE Breakdown by Year'!J83</f>
        <v>0.05</v>
      </c>
      <c r="R372" s="119">
        <f t="shared" ref="R372:R385" si="267">R13</f>
        <v>12</v>
      </c>
      <c r="S372" s="119">
        <f t="shared" ref="S372" si="268">R372*I372*$Q372*$F$8*$F$8*$F$8</f>
        <v>8436.48</v>
      </c>
      <c r="T372" s="287">
        <f>'LOE Breakdown by Year'!J107</f>
        <v>0.1</v>
      </c>
      <c r="U372" s="119">
        <f t="shared" ref="U372:U385" si="269">U13</f>
        <v>12</v>
      </c>
      <c r="V372" s="119">
        <f t="shared" ref="V372" si="270">U372*I372*$T372*$F$8*$F$8*$F$8*$F$8</f>
        <v>17547.878400000001</v>
      </c>
      <c r="W372" s="119">
        <f t="shared" ref="W372" si="271">SUM(S372,P372,M372,J372,V372)</f>
        <v>57808.358399999997</v>
      </c>
      <c r="X372" s="119">
        <v>0</v>
      </c>
      <c r="Y372" s="119">
        <f t="shared" ref="Y372" si="272">SUM(W372:X372)</f>
        <v>57808.358399999997</v>
      </c>
      <c r="AA372" s="366">
        <v>0.5</v>
      </c>
      <c r="AB372" s="366">
        <v>0.5</v>
      </c>
    </row>
    <row r="373" spans="1:28">
      <c r="A373" s="58" t="s">
        <v>488</v>
      </c>
      <c r="B373" s="58">
        <v>70000</v>
      </c>
      <c r="C373" s="58" t="s">
        <v>222</v>
      </c>
      <c r="D373" s="58">
        <v>0</v>
      </c>
      <c r="E373" s="58" t="str">
        <f t="shared" si="262"/>
        <v>Key Personnel: Technical Director</v>
      </c>
      <c r="F373" s="288">
        <f>'LOE Breakdown by Year'!J12</f>
        <v>0</v>
      </c>
      <c r="G373" s="127" t="s">
        <v>221</v>
      </c>
      <c r="H373" s="119">
        <f t="shared" si="263"/>
        <v>8</v>
      </c>
      <c r="I373" s="119">
        <f t="shared" si="263"/>
        <v>5833.333333333333</v>
      </c>
      <c r="J373" s="119">
        <f t="shared" ref="J373:J383" si="273">H373*I373*F373</f>
        <v>0</v>
      </c>
      <c r="K373" s="287">
        <f>'LOE Breakdown by Year'!J36</f>
        <v>0.15</v>
      </c>
      <c r="L373" s="119">
        <f t="shared" si="264"/>
        <v>12</v>
      </c>
      <c r="M373" s="119">
        <f t="shared" ref="M373:M383" si="274">L373*I373*$F$8*$K373</f>
        <v>10920</v>
      </c>
      <c r="N373" s="287">
        <f>'LOE Breakdown by Year'!J60</f>
        <v>0.2</v>
      </c>
      <c r="O373" s="119">
        <f t="shared" si="265"/>
        <v>12</v>
      </c>
      <c r="P373" s="119">
        <f t="shared" si="266"/>
        <v>15142.4</v>
      </c>
      <c r="Q373" s="287">
        <f>'LOE Breakdown by Year'!J84</f>
        <v>0.2</v>
      </c>
      <c r="R373" s="119">
        <f t="shared" si="267"/>
        <v>12</v>
      </c>
      <c r="S373" s="119">
        <f t="shared" ref="S373:S383" si="275">R373*I373*$Q373*$F$8*$F$8*$F$8</f>
        <v>15748.096</v>
      </c>
      <c r="T373" s="287">
        <f>'LOE Breakdown by Year'!J108</f>
        <v>0</v>
      </c>
      <c r="U373" s="119">
        <f t="shared" si="269"/>
        <v>12</v>
      </c>
      <c r="V373" s="119">
        <f t="shared" ref="V373:V383" si="276">U373*I373*$T373*$F$8*$F$8*$F$8*$F$8</f>
        <v>0</v>
      </c>
      <c r="W373" s="119">
        <f t="shared" ref="W373:W383" si="277">SUM(S373,P373,M373,J373,V373)</f>
        <v>41810.495999999999</v>
      </c>
      <c r="X373" s="119">
        <v>0</v>
      </c>
      <c r="Y373" s="119">
        <f t="shared" ref="Y373:Y383" si="278">SUM(W373:X373)</f>
        <v>41810.495999999999</v>
      </c>
      <c r="AA373" s="366">
        <v>0.5</v>
      </c>
      <c r="AB373" s="366">
        <v>0.5</v>
      </c>
    </row>
    <row r="374" spans="1:28">
      <c r="A374" s="58" t="s">
        <v>488</v>
      </c>
      <c r="B374" s="58">
        <v>70000</v>
      </c>
      <c r="C374" s="58" t="s">
        <v>222</v>
      </c>
      <c r="D374" s="58">
        <v>0</v>
      </c>
      <c r="E374" s="58" t="str">
        <f t="shared" si="262"/>
        <v xml:space="preserve">F&amp;A Director </v>
      </c>
      <c r="F374" s="288">
        <f>'LOE Breakdown by Year'!J13</f>
        <v>0</v>
      </c>
      <c r="G374" s="127" t="s">
        <v>221</v>
      </c>
      <c r="H374" s="119">
        <f t="shared" si="263"/>
        <v>8</v>
      </c>
      <c r="I374" s="119">
        <f t="shared" si="263"/>
        <v>3833.3333333333335</v>
      </c>
      <c r="J374" s="119">
        <f t="shared" si="273"/>
        <v>0</v>
      </c>
      <c r="K374" s="287">
        <f>'LOE Breakdown by Year'!J37</f>
        <v>0</v>
      </c>
      <c r="L374" s="119">
        <f t="shared" si="264"/>
        <v>12</v>
      </c>
      <c r="M374" s="119">
        <f t="shared" si="274"/>
        <v>0</v>
      </c>
      <c r="N374" s="287">
        <f>'LOE Breakdown by Year'!J61</f>
        <v>0</v>
      </c>
      <c r="O374" s="119">
        <f t="shared" si="265"/>
        <v>12</v>
      </c>
      <c r="P374" s="119">
        <f t="shared" si="266"/>
        <v>0</v>
      </c>
      <c r="Q374" s="287">
        <f>'LOE Breakdown by Year'!J85</f>
        <v>0.25</v>
      </c>
      <c r="R374" s="119">
        <f t="shared" si="267"/>
        <v>12</v>
      </c>
      <c r="S374" s="119">
        <f t="shared" si="275"/>
        <v>12935.936</v>
      </c>
      <c r="T374" s="287">
        <f>'LOE Breakdown by Year'!J109</f>
        <v>0</v>
      </c>
      <c r="U374" s="119">
        <f t="shared" si="269"/>
        <v>12</v>
      </c>
      <c r="V374" s="119">
        <f t="shared" si="276"/>
        <v>0</v>
      </c>
      <c r="W374" s="119">
        <f t="shared" si="277"/>
        <v>12935.936</v>
      </c>
      <c r="X374" s="119">
        <v>0</v>
      </c>
      <c r="Y374" s="119">
        <f t="shared" si="278"/>
        <v>12935.936</v>
      </c>
      <c r="AA374" s="366">
        <v>0.5</v>
      </c>
      <c r="AB374" s="366">
        <v>0.5</v>
      </c>
    </row>
    <row r="375" spans="1:28">
      <c r="A375" s="58" t="s">
        <v>488</v>
      </c>
      <c r="B375" s="58">
        <v>70000</v>
      </c>
      <c r="C375" s="58" t="s">
        <v>222</v>
      </c>
      <c r="D375" s="58">
        <v>0</v>
      </c>
      <c r="E375" s="58" t="str">
        <f t="shared" si="262"/>
        <v xml:space="preserve">M&amp;E Director </v>
      </c>
      <c r="F375" s="288">
        <f>'LOE Breakdown by Year'!J14</f>
        <v>0</v>
      </c>
      <c r="G375" s="127" t="s">
        <v>221</v>
      </c>
      <c r="H375" s="119">
        <f t="shared" si="263"/>
        <v>8</v>
      </c>
      <c r="I375" s="119">
        <f t="shared" si="263"/>
        <v>3833.3333333333335</v>
      </c>
      <c r="J375" s="119">
        <f t="shared" si="273"/>
        <v>0</v>
      </c>
      <c r="K375" s="287">
        <f>'LOE Breakdown by Year'!J38</f>
        <v>0.15</v>
      </c>
      <c r="L375" s="119">
        <f t="shared" si="264"/>
        <v>12</v>
      </c>
      <c r="M375" s="119">
        <f t="shared" si="274"/>
        <v>7176</v>
      </c>
      <c r="N375" s="287">
        <f>'LOE Breakdown by Year'!J62</f>
        <v>0.15</v>
      </c>
      <c r="O375" s="119">
        <f t="shared" si="265"/>
        <v>12</v>
      </c>
      <c r="P375" s="119">
        <f t="shared" si="266"/>
        <v>7463.04</v>
      </c>
      <c r="Q375" s="287">
        <f>'LOE Breakdown by Year'!J86</f>
        <v>0.15</v>
      </c>
      <c r="R375" s="119">
        <f t="shared" si="267"/>
        <v>12</v>
      </c>
      <c r="S375" s="119">
        <f t="shared" si="275"/>
        <v>7761.5616</v>
      </c>
      <c r="T375" s="287">
        <f>'LOE Breakdown by Year'!J110</f>
        <v>0</v>
      </c>
      <c r="U375" s="119">
        <f t="shared" si="269"/>
        <v>12</v>
      </c>
      <c r="V375" s="119">
        <f t="shared" si="276"/>
        <v>0</v>
      </c>
      <c r="W375" s="119">
        <f t="shared" si="277"/>
        <v>22400.601600000002</v>
      </c>
      <c r="X375" s="119">
        <v>0</v>
      </c>
      <c r="Y375" s="119">
        <f t="shared" si="278"/>
        <v>22400.601600000002</v>
      </c>
      <c r="AA375" s="366">
        <v>0.5</v>
      </c>
      <c r="AB375" s="366">
        <v>0.5</v>
      </c>
    </row>
    <row r="376" spans="1:28">
      <c r="A376" s="58" t="s">
        <v>488</v>
      </c>
      <c r="B376" s="58">
        <v>70000</v>
      </c>
      <c r="C376" s="58" t="s">
        <v>222</v>
      </c>
      <c r="D376" s="58">
        <v>0</v>
      </c>
      <c r="E376" s="58" t="str">
        <f t="shared" si="262"/>
        <v>M&amp;E Mid-level Specialist</v>
      </c>
      <c r="F376" s="288">
        <f>'LOE Breakdown by Year'!J15</f>
        <v>0</v>
      </c>
      <c r="G376" s="127" t="s">
        <v>221</v>
      </c>
      <c r="H376" s="119">
        <f t="shared" si="263"/>
        <v>7</v>
      </c>
      <c r="I376" s="119">
        <f t="shared" si="263"/>
        <v>2666.6666666666665</v>
      </c>
      <c r="J376" s="119">
        <f t="shared" si="273"/>
        <v>0</v>
      </c>
      <c r="K376" s="287">
        <f>'LOE Breakdown by Year'!J39</f>
        <v>0.15</v>
      </c>
      <c r="L376" s="119">
        <f t="shared" si="264"/>
        <v>12</v>
      </c>
      <c r="M376" s="119">
        <f t="shared" si="274"/>
        <v>4992</v>
      </c>
      <c r="N376" s="287">
        <f>'LOE Breakdown by Year'!J63</f>
        <v>0.15</v>
      </c>
      <c r="O376" s="119">
        <f t="shared" si="265"/>
        <v>12</v>
      </c>
      <c r="P376" s="119">
        <f t="shared" si="266"/>
        <v>5191.68</v>
      </c>
      <c r="Q376" s="287">
        <f>'LOE Breakdown by Year'!J87</f>
        <v>0.2</v>
      </c>
      <c r="R376" s="119">
        <f t="shared" si="267"/>
        <v>12</v>
      </c>
      <c r="S376" s="119">
        <f t="shared" si="275"/>
        <v>7199.1296000000002</v>
      </c>
      <c r="T376" s="287">
        <f>'LOE Breakdown by Year'!J111</f>
        <v>0</v>
      </c>
      <c r="U376" s="119">
        <f t="shared" si="269"/>
        <v>9</v>
      </c>
      <c r="V376" s="119">
        <f t="shared" si="276"/>
        <v>0</v>
      </c>
      <c r="W376" s="119">
        <f t="shared" si="277"/>
        <v>17382.809600000001</v>
      </c>
      <c r="X376" s="119">
        <v>0</v>
      </c>
      <c r="Y376" s="119">
        <f t="shared" si="278"/>
        <v>17382.809600000001</v>
      </c>
      <c r="AA376" s="366">
        <v>0.5</v>
      </c>
      <c r="AB376" s="366">
        <v>0.5</v>
      </c>
    </row>
    <row r="377" spans="1:28">
      <c r="A377" s="58" t="s">
        <v>488</v>
      </c>
      <c r="B377" s="58">
        <v>70000</v>
      </c>
      <c r="C377" s="58" t="s">
        <v>222</v>
      </c>
      <c r="D377" s="58">
        <v>0</v>
      </c>
      <c r="E377" s="58" t="str">
        <f t="shared" si="262"/>
        <v>M&amp;E Specialist</v>
      </c>
      <c r="F377" s="288">
        <f>'LOE Breakdown by Year'!J16</f>
        <v>0</v>
      </c>
      <c r="G377" s="127" t="s">
        <v>221</v>
      </c>
      <c r="H377" s="119">
        <f t="shared" si="263"/>
        <v>3</v>
      </c>
      <c r="I377" s="119">
        <f t="shared" si="263"/>
        <v>2166.6666666666665</v>
      </c>
      <c r="J377" s="119">
        <f t="shared" si="273"/>
        <v>0</v>
      </c>
      <c r="K377" s="287">
        <f>'LOE Breakdown by Year'!J40</f>
        <v>0.15</v>
      </c>
      <c r="L377" s="119">
        <f t="shared" si="264"/>
        <v>12</v>
      </c>
      <c r="M377" s="119">
        <f t="shared" si="274"/>
        <v>4056</v>
      </c>
      <c r="N377" s="287">
        <f>'LOE Breakdown by Year'!J64</f>
        <v>0.15</v>
      </c>
      <c r="O377" s="119">
        <f t="shared" si="265"/>
        <v>12</v>
      </c>
      <c r="P377" s="119">
        <f t="shared" si="266"/>
        <v>4218.24</v>
      </c>
      <c r="Q377" s="287">
        <f>'LOE Breakdown by Year'!J88</f>
        <v>0.2</v>
      </c>
      <c r="R377" s="119">
        <f t="shared" si="267"/>
        <v>12</v>
      </c>
      <c r="S377" s="119">
        <f t="shared" si="275"/>
        <v>5849.2928000000011</v>
      </c>
      <c r="T377" s="287">
        <f>'LOE Breakdown by Year'!J112</f>
        <v>0</v>
      </c>
      <c r="U377" s="119">
        <f t="shared" si="269"/>
        <v>9</v>
      </c>
      <c r="V377" s="119">
        <f t="shared" si="276"/>
        <v>0</v>
      </c>
      <c r="W377" s="119">
        <f t="shared" si="277"/>
        <v>14123.532800000001</v>
      </c>
      <c r="X377" s="119">
        <v>0</v>
      </c>
      <c r="Y377" s="119">
        <f t="shared" si="278"/>
        <v>14123.532800000001</v>
      </c>
      <c r="AA377" s="366">
        <v>0.5</v>
      </c>
      <c r="AB377" s="366">
        <v>0.5</v>
      </c>
    </row>
    <row r="378" spans="1:28">
      <c r="A378" s="58" t="s">
        <v>488</v>
      </c>
      <c r="B378" s="58">
        <v>70000</v>
      </c>
      <c r="C378" s="58" t="s">
        <v>222</v>
      </c>
      <c r="D378" s="58">
        <v>0</v>
      </c>
      <c r="E378" s="58" t="str">
        <f t="shared" si="262"/>
        <v>Partnerships and Investment Director</v>
      </c>
      <c r="F378" s="288">
        <f>'LOE Breakdown by Year'!J17</f>
        <v>0</v>
      </c>
      <c r="G378" s="127" t="s">
        <v>221</v>
      </c>
      <c r="H378" s="119">
        <f t="shared" si="263"/>
        <v>8</v>
      </c>
      <c r="I378" s="119">
        <f t="shared" si="263"/>
        <v>3833.3333333333335</v>
      </c>
      <c r="J378" s="119">
        <f t="shared" si="273"/>
        <v>0</v>
      </c>
      <c r="K378" s="287">
        <f>'LOE Breakdown by Year'!J41</f>
        <v>0.1</v>
      </c>
      <c r="L378" s="119">
        <f t="shared" si="264"/>
        <v>12</v>
      </c>
      <c r="M378" s="119">
        <f t="shared" si="274"/>
        <v>4784</v>
      </c>
      <c r="N378" s="287">
        <f>'LOE Breakdown by Year'!J65</f>
        <v>0.1</v>
      </c>
      <c r="O378" s="119">
        <f t="shared" si="265"/>
        <v>12</v>
      </c>
      <c r="P378" s="119">
        <f t="shared" si="266"/>
        <v>4975.3600000000006</v>
      </c>
      <c r="Q378" s="287">
        <f>'LOE Breakdown by Year'!J89</f>
        <v>0.1</v>
      </c>
      <c r="R378" s="119">
        <f t="shared" si="267"/>
        <v>12</v>
      </c>
      <c r="S378" s="119">
        <f t="shared" si="275"/>
        <v>5174.3744000000006</v>
      </c>
      <c r="T378" s="287">
        <f>'LOE Breakdown by Year'!J113</f>
        <v>0</v>
      </c>
      <c r="U378" s="119">
        <f t="shared" si="269"/>
        <v>9</v>
      </c>
      <c r="V378" s="119">
        <f t="shared" si="276"/>
        <v>0</v>
      </c>
      <c r="W378" s="119">
        <f t="shared" si="277"/>
        <v>14933.734400000001</v>
      </c>
      <c r="X378" s="119">
        <v>0</v>
      </c>
      <c r="Y378" s="119">
        <f t="shared" si="278"/>
        <v>14933.734400000001</v>
      </c>
      <c r="AA378" s="366">
        <v>0.5</v>
      </c>
      <c r="AB378" s="366">
        <v>0.5</v>
      </c>
    </row>
    <row r="379" spans="1:28" hidden="1">
      <c r="A379" s="58"/>
      <c r="B379" s="58">
        <v>70000</v>
      </c>
      <c r="C379" s="58" t="s">
        <v>222</v>
      </c>
      <c r="D379" s="58"/>
      <c r="E379" s="58" t="str">
        <f t="shared" si="262"/>
        <v>Extension Agents (15)</v>
      </c>
      <c r="F379" s="288">
        <f>'LOE Breakdown by Year'!J18</f>
        <v>0</v>
      </c>
      <c r="G379" s="127" t="s">
        <v>221</v>
      </c>
      <c r="H379" s="119">
        <f t="shared" si="263"/>
        <v>3</v>
      </c>
      <c r="I379" s="119">
        <f t="shared" si="263"/>
        <v>26250</v>
      </c>
      <c r="J379" s="119">
        <f t="shared" si="273"/>
        <v>0</v>
      </c>
      <c r="K379" s="287">
        <f>'LOE Breakdown by Year'!J42</f>
        <v>0</v>
      </c>
      <c r="L379" s="119">
        <f t="shared" si="264"/>
        <v>12</v>
      </c>
      <c r="M379" s="119">
        <f t="shared" si="274"/>
        <v>0</v>
      </c>
      <c r="N379" s="287">
        <f>'LOE Breakdown by Year'!J66</f>
        <v>0</v>
      </c>
      <c r="O379" s="119">
        <f t="shared" si="265"/>
        <v>12</v>
      </c>
      <c r="P379" s="119">
        <f t="shared" si="266"/>
        <v>0</v>
      </c>
      <c r="Q379" s="287">
        <f>'LOE Breakdown by Year'!J90</f>
        <v>0</v>
      </c>
      <c r="R379" s="119">
        <f t="shared" si="267"/>
        <v>12</v>
      </c>
      <c r="S379" s="119">
        <f t="shared" si="275"/>
        <v>0</v>
      </c>
      <c r="T379" s="287">
        <f>'LOE Breakdown by Year'!J114</f>
        <v>0</v>
      </c>
      <c r="U379" s="119">
        <f t="shared" si="269"/>
        <v>9</v>
      </c>
      <c r="V379" s="119">
        <f t="shared" si="276"/>
        <v>0</v>
      </c>
      <c r="W379" s="119">
        <f t="shared" si="277"/>
        <v>0</v>
      </c>
      <c r="X379" s="119">
        <v>0</v>
      </c>
      <c r="Y379" s="119">
        <f t="shared" si="278"/>
        <v>0</v>
      </c>
      <c r="AA379" s="366">
        <v>0.5</v>
      </c>
      <c r="AB379" s="366">
        <v>0.5</v>
      </c>
    </row>
    <row r="380" spans="1:28">
      <c r="A380" s="58" t="s">
        <v>488</v>
      </c>
      <c r="B380" s="58">
        <v>70000</v>
      </c>
      <c r="C380" s="58" t="s">
        <v>222</v>
      </c>
      <c r="D380" s="58">
        <v>0</v>
      </c>
      <c r="E380" s="58" t="str">
        <f t="shared" si="262"/>
        <v>Activity Lead Agribusiness Senior Specialist (Cacao)</v>
      </c>
      <c r="F380" s="288">
        <f>'LOE Breakdown by Year'!J19</f>
        <v>0</v>
      </c>
      <c r="G380" s="127" t="s">
        <v>221</v>
      </c>
      <c r="H380" s="119">
        <f t="shared" si="263"/>
        <v>3</v>
      </c>
      <c r="I380" s="119">
        <f t="shared" si="263"/>
        <v>2833.3333333333335</v>
      </c>
      <c r="J380" s="119">
        <f t="shared" si="273"/>
        <v>0</v>
      </c>
      <c r="K380" s="287">
        <f>'LOE Breakdown by Year'!J43</f>
        <v>0.15</v>
      </c>
      <c r="L380" s="119">
        <f t="shared" si="264"/>
        <v>12</v>
      </c>
      <c r="M380" s="119">
        <f t="shared" si="274"/>
        <v>5304</v>
      </c>
      <c r="N380" s="287">
        <f>'LOE Breakdown by Year'!J67</f>
        <v>0.2</v>
      </c>
      <c r="O380" s="119">
        <f t="shared" si="265"/>
        <v>12</v>
      </c>
      <c r="P380" s="119">
        <f t="shared" si="266"/>
        <v>7354.88</v>
      </c>
      <c r="Q380" s="287">
        <f>'LOE Breakdown by Year'!J91</f>
        <v>0.2</v>
      </c>
      <c r="R380" s="119">
        <f t="shared" si="267"/>
        <v>12</v>
      </c>
      <c r="S380" s="119">
        <f t="shared" si="275"/>
        <v>7649.0752000000002</v>
      </c>
      <c r="T380" s="287">
        <f>'LOE Breakdown by Year'!J115</f>
        <v>0</v>
      </c>
      <c r="U380" s="119">
        <f t="shared" si="269"/>
        <v>9</v>
      </c>
      <c r="V380" s="119">
        <f t="shared" si="276"/>
        <v>0</v>
      </c>
      <c r="W380" s="119">
        <f t="shared" si="277"/>
        <v>20307.9552</v>
      </c>
      <c r="X380" s="119">
        <v>0</v>
      </c>
      <c r="Y380" s="119">
        <f t="shared" si="278"/>
        <v>20307.9552</v>
      </c>
      <c r="AA380" s="366">
        <v>1</v>
      </c>
      <c r="AB380" s="366">
        <v>0</v>
      </c>
    </row>
    <row r="381" spans="1:28">
      <c r="A381" s="58" t="s">
        <v>488</v>
      </c>
      <c r="B381" s="58">
        <v>70000</v>
      </c>
      <c r="C381" s="58" t="s">
        <v>222</v>
      </c>
      <c r="D381" s="58">
        <v>0</v>
      </c>
      <c r="E381" s="58" t="str">
        <f t="shared" si="262"/>
        <v>Activity Lead Agribusiness Senior Specialist (Complementary Crop)</v>
      </c>
      <c r="F381" s="288">
        <f>'LOE Breakdown by Year'!J20</f>
        <v>0</v>
      </c>
      <c r="G381" s="127" t="s">
        <v>221</v>
      </c>
      <c r="H381" s="119">
        <f t="shared" si="263"/>
        <v>3</v>
      </c>
      <c r="I381" s="119">
        <f t="shared" si="263"/>
        <v>2833.3333333333335</v>
      </c>
      <c r="J381" s="119">
        <f t="shared" si="273"/>
        <v>0</v>
      </c>
      <c r="K381" s="287">
        <f>'LOE Breakdown by Year'!J44</f>
        <v>0.15</v>
      </c>
      <c r="L381" s="119">
        <f t="shared" si="264"/>
        <v>12</v>
      </c>
      <c r="M381" s="119">
        <f t="shared" si="274"/>
        <v>5304</v>
      </c>
      <c r="N381" s="287">
        <f>'LOE Breakdown by Year'!J68</f>
        <v>0.2</v>
      </c>
      <c r="O381" s="119">
        <f t="shared" si="265"/>
        <v>12</v>
      </c>
      <c r="P381" s="119">
        <f t="shared" si="266"/>
        <v>7354.88</v>
      </c>
      <c r="Q381" s="287">
        <f>'LOE Breakdown by Year'!J92</f>
        <v>0.2</v>
      </c>
      <c r="R381" s="119">
        <f t="shared" si="267"/>
        <v>12</v>
      </c>
      <c r="S381" s="119">
        <f t="shared" si="275"/>
        <v>7649.0752000000002</v>
      </c>
      <c r="T381" s="287">
        <f>'LOE Breakdown by Year'!J116</f>
        <v>0</v>
      </c>
      <c r="U381" s="119">
        <f t="shared" si="269"/>
        <v>9</v>
      </c>
      <c r="V381" s="119">
        <f t="shared" si="276"/>
        <v>0</v>
      </c>
      <c r="W381" s="119">
        <f t="shared" si="277"/>
        <v>20307.9552</v>
      </c>
      <c r="X381" s="119">
        <v>0</v>
      </c>
      <c r="Y381" s="119">
        <f t="shared" si="278"/>
        <v>20307.9552</v>
      </c>
      <c r="AA381" s="366">
        <v>0</v>
      </c>
      <c r="AB381" s="366">
        <v>1</v>
      </c>
    </row>
    <row r="382" spans="1:28">
      <c r="A382" s="58" t="s">
        <v>488</v>
      </c>
      <c r="B382" s="58">
        <v>70000</v>
      </c>
      <c r="C382" s="58" t="s">
        <v>222</v>
      </c>
      <c r="D382" s="58">
        <v>0</v>
      </c>
      <c r="E382" s="58" t="str">
        <f t="shared" si="262"/>
        <v xml:space="preserve">Food Safety Mid-Specialist </v>
      </c>
      <c r="F382" s="288">
        <f>'LOE Breakdown by Year'!J21</f>
        <v>0</v>
      </c>
      <c r="G382" s="127" t="s">
        <v>221</v>
      </c>
      <c r="H382" s="119">
        <f t="shared" si="263"/>
        <v>3</v>
      </c>
      <c r="I382" s="119">
        <f t="shared" si="263"/>
        <v>2666.6666666666665</v>
      </c>
      <c r="J382" s="119">
        <f t="shared" si="273"/>
        <v>0</v>
      </c>
      <c r="K382" s="287">
        <f>'LOE Breakdown by Year'!J45</f>
        <v>0.1</v>
      </c>
      <c r="L382" s="119">
        <f t="shared" si="264"/>
        <v>12</v>
      </c>
      <c r="M382" s="119">
        <f t="shared" si="274"/>
        <v>3328</v>
      </c>
      <c r="N382" s="287">
        <f>'LOE Breakdown by Year'!J69</f>
        <v>0.2</v>
      </c>
      <c r="O382" s="119">
        <f t="shared" si="265"/>
        <v>12</v>
      </c>
      <c r="P382" s="119">
        <f t="shared" si="266"/>
        <v>6922.24</v>
      </c>
      <c r="Q382" s="287">
        <f>'LOE Breakdown by Year'!J93</f>
        <v>0.2</v>
      </c>
      <c r="R382" s="119">
        <f t="shared" si="267"/>
        <v>12</v>
      </c>
      <c r="S382" s="119">
        <f t="shared" si="275"/>
        <v>7199.1296000000002</v>
      </c>
      <c r="T382" s="287">
        <f>'LOE Breakdown by Year'!J117</f>
        <v>0</v>
      </c>
      <c r="U382" s="119">
        <f t="shared" si="269"/>
        <v>9</v>
      </c>
      <c r="V382" s="119">
        <f t="shared" si="276"/>
        <v>0</v>
      </c>
      <c r="W382" s="119">
        <f t="shared" si="277"/>
        <v>17449.369599999998</v>
      </c>
      <c r="X382" s="119">
        <v>0</v>
      </c>
      <c r="Y382" s="119">
        <f t="shared" si="278"/>
        <v>17449.369599999998</v>
      </c>
      <c r="AA382" s="366">
        <v>0.5</v>
      </c>
      <c r="AB382" s="366">
        <v>0.5</v>
      </c>
    </row>
    <row r="383" spans="1:28" hidden="1">
      <c r="A383" s="58"/>
      <c r="B383" s="58">
        <v>70000</v>
      </c>
      <c r="C383" s="58" t="s">
        <v>222</v>
      </c>
      <c r="D383" s="58"/>
      <c r="E383" s="58" t="str">
        <f t="shared" si="262"/>
        <v>Compliance Director</v>
      </c>
      <c r="F383" s="288">
        <f>'LOE Breakdown by Year'!J22</f>
        <v>0</v>
      </c>
      <c r="G383" s="127" t="s">
        <v>221</v>
      </c>
      <c r="H383" s="119">
        <f t="shared" si="263"/>
        <v>8</v>
      </c>
      <c r="I383" s="119">
        <f t="shared" si="263"/>
        <v>6833.333333333333</v>
      </c>
      <c r="J383" s="119">
        <f t="shared" si="273"/>
        <v>0</v>
      </c>
      <c r="K383" s="287">
        <f>'LOE Breakdown by Year'!J46</f>
        <v>0</v>
      </c>
      <c r="L383" s="119">
        <f t="shared" si="264"/>
        <v>12</v>
      </c>
      <c r="M383" s="119">
        <f t="shared" si="274"/>
        <v>0</v>
      </c>
      <c r="N383" s="287">
        <f>'LOE Breakdown by Year'!J70</f>
        <v>0</v>
      </c>
      <c r="O383" s="119">
        <f t="shared" si="265"/>
        <v>12</v>
      </c>
      <c r="P383" s="119">
        <f t="shared" si="266"/>
        <v>0</v>
      </c>
      <c r="Q383" s="287">
        <f>'LOE Breakdown by Year'!J94</f>
        <v>0</v>
      </c>
      <c r="R383" s="119">
        <f t="shared" si="267"/>
        <v>12</v>
      </c>
      <c r="S383" s="119">
        <f t="shared" si="275"/>
        <v>0</v>
      </c>
      <c r="T383" s="287">
        <f>'LOE Breakdown by Year'!J118</f>
        <v>0</v>
      </c>
      <c r="U383" s="119">
        <f t="shared" si="269"/>
        <v>12</v>
      </c>
      <c r="V383" s="119">
        <f t="shared" si="276"/>
        <v>0</v>
      </c>
      <c r="W383" s="119">
        <f t="shared" si="277"/>
        <v>0</v>
      </c>
      <c r="X383" s="119">
        <v>0</v>
      </c>
      <c r="Y383" s="119">
        <f t="shared" si="278"/>
        <v>0</v>
      </c>
      <c r="AA383" s="366">
        <v>0.5</v>
      </c>
      <c r="AB383" s="366">
        <v>0.5</v>
      </c>
    </row>
    <row r="384" spans="1:28" hidden="1">
      <c r="A384" s="58"/>
      <c r="B384" s="58">
        <v>70000</v>
      </c>
      <c r="C384" s="58" t="s">
        <v>222</v>
      </c>
      <c r="D384" s="58"/>
      <c r="E384" s="58" t="str">
        <f t="shared" si="262"/>
        <v xml:space="preserve">Accountant </v>
      </c>
      <c r="F384" s="288">
        <f>'LOE Breakdown by Year'!J23</f>
        <v>0</v>
      </c>
      <c r="G384" s="127" t="s">
        <v>221</v>
      </c>
      <c r="H384" s="119">
        <f t="shared" si="263"/>
        <v>3</v>
      </c>
      <c r="I384" s="119">
        <f t="shared" si="263"/>
        <v>1750</v>
      </c>
      <c r="J384" s="119">
        <f t="shared" ref="J384:J385" si="279">H384*I384*F384</f>
        <v>0</v>
      </c>
      <c r="K384" s="287">
        <f>'LOE Breakdown by Year'!J47</f>
        <v>0</v>
      </c>
      <c r="L384" s="119">
        <f t="shared" si="264"/>
        <v>12</v>
      </c>
      <c r="M384" s="119">
        <f t="shared" ref="M384:M385" si="280">L384*I384*$F$8*$K384</f>
        <v>0</v>
      </c>
      <c r="N384" s="287">
        <f>'LOE Breakdown by Year'!J71</f>
        <v>0</v>
      </c>
      <c r="O384" s="119">
        <f t="shared" si="265"/>
        <v>12</v>
      </c>
      <c r="P384" s="119">
        <f t="shared" ref="P384:P385" si="281">O384*I384*$N384*$F$8*$F$8</f>
        <v>0</v>
      </c>
      <c r="Q384" s="287">
        <f>'LOE Breakdown by Year'!J95</f>
        <v>0</v>
      </c>
      <c r="R384" s="119">
        <f t="shared" si="267"/>
        <v>12</v>
      </c>
      <c r="S384" s="119">
        <f t="shared" ref="S384:S385" si="282">R384*I384*$Q384*$F$8*$F$8*$F$8</f>
        <v>0</v>
      </c>
      <c r="T384" s="287">
        <f>'LOE Breakdown by Year'!J119</f>
        <v>0</v>
      </c>
      <c r="U384" s="119">
        <f t="shared" si="269"/>
        <v>9</v>
      </c>
      <c r="V384" s="119">
        <f t="shared" ref="V384:V385" si="283">U384*I384*$T384*$F$8*$F$8*$F$8*$F$8</f>
        <v>0</v>
      </c>
      <c r="W384" s="119">
        <f t="shared" ref="W384:W385" si="284">SUM(S384,P384,M384,J384,V384)</f>
        <v>0</v>
      </c>
      <c r="X384" s="119">
        <v>0</v>
      </c>
      <c r="Y384" s="119">
        <f t="shared" ref="Y384:Y385" si="285">SUM(W384:X384)</f>
        <v>0</v>
      </c>
      <c r="AA384" s="366">
        <v>0.5</v>
      </c>
      <c r="AB384" s="366">
        <v>0.5</v>
      </c>
    </row>
    <row r="385" spans="1:28" hidden="1">
      <c r="A385" s="58"/>
      <c r="B385" s="58">
        <v>70000</v>
      </c>
      <c r="C385" s="58" t="s">
        <v>222</v>
      </c>
      <c r="D385" s="58"/>
      <c r="E385" s="58" t="str">
        <f t="shared" si="262"/>
        <v xml:space="preserve">Administrative Assistant </v>
      </c>
      <c r="F385" s="288">
        <f>'LOE Breakdown by Year'!J24</f>
        <v>0</v>
      </c>
      <c r="G385" s="127" t="s">
        <v>221</v>
      </c>
      <c r="H385" s="119">
        <f t="shared" si="263"/>
        <v>3</v>
      </c>
      <c r="I385" s="119">
        <f t="shared" si="263"/>
        <v>1250</v>
      </c>
      <c r="J385" s="119">
        <f t="shared" si="279"/>
        <v>0</v>
      </c>
      <c r="K385" s="287">
        <f>'LOE Breakdown by Year'!J48</f>
        <v>0</v>
      </c>
      <c r="L385" s="119">
        <f t="shared" si="264"/>
        <v>12</v>
      </c>
      <c r="M385" s="119">
        <f t="shared" si="280"/>
        <v>0</v>
      </c>
      <c r="N385" s="287">
        <f>'LOE Breakdown by Year'!J72</f>
        <v>0</v>
      </c>
      <c r="O385" s="119">
        <f t="shared" si="265"/>
        <v>12</v>
      </c>
      <c r="P385" s="119">
        <f t="shared" si="281"/>
        <v>0</v>
      </c>
      <c r="Q385" s="287">
        <f>'LOE Breakdown by Year'!J96</f>
        <v>0</v>
      </c>
      <c r="R385" s="119">
        <f t="shared" si="267"/>
        <v>12</v>
      </c>
      <c r="S385" s="119">
        <f t="shared" si="282"/>
        <v>0</v>
      </c>
      <c r="T385" s="287">
        <f>'LOE Breakdown by Year'!J120</f>
        <v>0</v>
      </c>
      <c r="U385" s="119">
        <f t="shared" si="269"/>
        <v>9</v>
      </c>
      <c r="V385" s="119">
        <f t="shared" si="283"/>
        <v>0</v>
      </c>
      <c r="W385" s="119">
        <f t="shared" si="284"/>
        <v>0</v>
      </c>
      <c r="X385" s="119">
        <v>0</v>
      </c>
      <c r="Y385" s="119">
        <f t="shared" si="285"/>
        <v>0</v>
      </c>
      <c r="AA385" s="366">
        <v>0.5</v>
      </c>
      <c r="AB385" s="366">
        <v>0.5</v>
      </c>
    </row>
    <row r="386" spans="1:28">
      <c r="A386" s="109"/>
      <c r="B386" s="109"/>
      <c r="C386" s="109"/>
      <c r="D386" s="109"/>
      <c r="E386" s="109" t="s">
        <v>489</v>
      </c>
      <c r="F386" s="300"/>
      <c r="G386" s="123"/>
      <c r="H386" s="124"/>
      <c r="I386" s="124"/>
      <c r="J386" s="125">
        <f>SUM(J372:J385)</f>
        <v>0</v>
      </c>
      <c r="K386" s="300"/>
      <c r="L386" s="125"/>
      <c r="M386" s="125">
        <f>SUM(M372:M385)</f>
        <v>61464</v>
      </c>
      <c r="N386" s="300"/>
      <c r="O386" s="125"/>
      <c r="P386" s="125">
        <f>SUM(P372:P385)</f>
        <v>74846.720000000001</v>
      </c>
      <c r="Q386" s="300"/>
      <c r="R386" s="125"/>
      <c r="S386" s="125">
        <f>SUM(S372:S385)</f>
        <v>85602.150400000013</v>
      </c>
      <c r="T386" s="300"/>
      <c r="U386" s="125"/>
      <c r="V386" s="125">
        <f>SUM(V372:V385)</f>
        <v>17547.878400000001</v>
      </c>
      <c r="W386" s="125">
        <f>SUM(W372:W385)</f>
        <v>239460.74880000003</v>
      </c>
      <c r="X386" s="125">
        <f>SUM(X372:X385)</f>
        <v>0</v>
      </c>
      <c r="Y386" s="125">
        <f>SUM(Y372:Y385)</f>
        <v>239460.74880000003</v>
      </c>
      <c r="AA386" s="366"/>
      <c r="AB386" s="366"/>
    </row>
    <row r="387" spans="1:28">
      <c r="A387" s="272"/>
      <c r="B387" s="272"/>
      <c r="C387" s="272"/>
      <c r="D387" s="272"/>
      <c r="E387" s="272"/>
      <c r="F387" s="301"/>
      <c r="G387" s="245"/>
      <c r="H387" s="154"/>
      <c r="I387" s="154"/>
      <c r="J387" s="154"/>
      <c r="K387" s="301"/>
      <c r="L387" s="154"/>
      <c r="M387" s="154"/>
      <c r="N387" s="301"/>
      <c r="O387" s="154"/>
      <c r="P387" s="154"/>
      <c r="Q387" s="301"/>
      <c r="R387" s="154"/>
      <c r="S387" s="154"/>
      <c r="T387" s="301"/>
      <c r="U387" s="154"/>
      <c r="V387" s="154"/>
      <c r="W387" s="154"/>
      <c r="X387" s="154"/>
      <c r="Y387" s="154"/>
      <c r="AA387" s="366"/>
      <c r="AB387" s="366"/>
    </row>
    <row r="388" spans="1:28">
      <c r="A388" s="109"/>
      <c r="B388" s="109"/>
      <c r="C388" s="109"/>
      <c r="D388" s="109"/>
      <c r="E388" s="109" t="s">
        <v>490</v>
      </c>
      <c r="F388" s="300"/>
      <c r="G388" s="123"/>
      <c r="H388" s="124"/>
      <c r="I388" s="124"/>
      <c r="J388" s="125"/>
      <c r="K388" s="300"/>
      <c r="L388" s="125"/>
      <c r="M388" s="125"/>
      <c r="N388" s="300"/>
      <c r="O388" s="125"/>
      <c r="P388" s="125"/>
      <c r="Q388" s="300"/>
      <c r="R388" s="125"/>
      <c r="S388" s="125"/>
      <c r="T388" s="300"/>
      <c r="U388" s="125"/>
      <c r="V388" s="125"/>
      <c r="W388" s="125"/>
      <c r="X388" s="125"/>
      <c r="Y388" s="125"/>
      <c r="AA388" s="366"/>
      <c r="AB388" s="366"/>
    </row>
    <row r="389" spans="1:28">
      <c r="A389" s="58" t="s">
        <v>491</v>
      </c>
      <c r="B389" s="58">
        <v>70015</v>
      </c>
      <c r="C389" s="58" t="s">
        <v>222</v>
      </c>
      <c r="D389" s="58">
        <v>0</v>
      </c>
      <c r="E389" s="58" t="str">
        <f>E35</f>
        <v>Fringe Benefits CCN - Colombia (above $2,600 monthly)</v>
      </c>
      <c r="F389" s="288"/>
      <c r="G389" s="246" t="s">
        <v>238</v>
      </c>
      <c r="H389" s="119"/>
      <c r="I389" s="438">
        <f>I35</f>
        <v>0.53864000000000001</v>
      </c>
      <c r="J389" s="119">
        <f>(J378+J373+J374+J375+J383+J382+J381+J380+J376)*$I$389</f>
        <v>0</v>
      </c>
      <c r="K389" s="288"/>
      <c r="L389" s="119"/>
      <c r="M389" s="119">
        <f>(M378+M373+M374+M375+M383+M382+M381+M380+M376)*$I$389</f>
        <v>22519.46112</v>
      </c>
      <c r="N389" s="288"/>
      <c r="O389" s="119"/>
      <c r="P389" s="119">
        <f>(P378+P373+P374+P375+P383+P382+P381+P380+P376)*$I$389</f>
        <v>29304.429107199998</v>
      </c>
      <c r="Q389" s="288"/>
      <c r="R389" s="119"/>
      <c r="S389" s="119">
        <f>(S378+S373+S374+S375+S383+S382+S381+S380+S376)*$I$389</f>
        <v>38413.853630464007</v>
      </c>
      <c r="T389" s="288"/>
      <c r="U389" s="119"/>
      <c r="V389" s="119">
        <f>(V378+V373+V374+V375+V383+V382+V381+V380+V376)*$I$389</f>
        <v>0</v>
      </c>
      <c r="W389" s="119">
        <f t="shared" ref="W389:W392" si="286">SUM(S389,P389,M389,J389,V389)</f>
        <v>90237.743857663998</v>
      </c>
      <c r="X389" s="154">
        <v>0</v>
      </c>
      <c r="Y389" s="119">
        <f>SUM(W389:X389)</f>
        <v>90237.743857663998</v>
      </c>
      <c r="AA389" s="366">
        <v>0.5</v>
      </c>
      <c r="AB389" s="366">
        <v>0.5</v>
      </c>
    </row>
    <row r="390" spans="1:28">
      <c r="A390" s="58" t="s">
        <v>491</v>
      </c>
      <c r="B390" s="58">
        <v>70015</v>
      </c>
      <c r="C390" s="58" t="s">
        <v>222</v>
      </c>
      <c r="D390" s="58">
        <v>0</v>
      </c>
      <c r="E390" s="58" t="str">
        <f>E36</f>
        <v>Fringe Benefits CCN - Colombia (below $2,600 monthly)</v>
      </c>
      <c r="F390" s="288"/>
      <c r="G390" s="246" t="s">
        <v>238</v>
      </c>
      <c r="H390" s="119"/>
      <c r="I390" s="438">
        <f>I36</f>
        <v>0.40364</v>
      </c>
      <c r="J390" s="119">
        <f>(J384+J385+J379+J377)*$I$390</f>
        <v>0</v>
      </c>
      <c r="K390" s="288"/>
      <c r="L390" s="119"/>
      <c r="M390" s="119">
        <f>(M384+M385+M379+M377)*$I$390</f>
        <v>1637.1638399999999</v>
      </c>
      <c r="N390" s="288"/>
      <c r="O390" s="119"/>
      <c r="P390" s="119">
        <f>(P384+P385+P379+P377)*$I$390</f>
        <v>1702.6503935999999</v>
      </c>
      <c r="Q390" s="288"/>
      <c r="R390" s="119"/>
      <c r="S390" s="119">
        <f>(S384+S385+S379+S377)*$I$390</f>
        <v>2361.0085457920004</v>
      </c>
      <c r="T390" s="288"/>
      <c r="U390" s="119"/>
      <c r="V390" s="119">
        <f>(V384+V385+V379+V377)*$I$390</f>
        <v>0</v>
      </c>
      <c r="W390" s="119">
        <f t="shared" si="286"/>
        <v>5700.8227793920005</v>
      </c>
      <c r="X390" s="154">
        <v>0</v>
      </c>
      <c r="Y390" s="119">
        <f>SUM(W390:X390)</f>
        <v>5700.8227793920005</v>
      </c>
      <c r="AA390" s="366">
        <v>0.5</v>
      </c>
      <c r="AB390" s="366">
        <v>0.5</v>
      </c>
    </row>
    <row r="391" spans="1:28">
      <c r="A391" s="510" t="s">
        <v>928</v>
      </c>
      <c r="B391" s="58">
        <v>50202</v>
      </c>
      <c r="C391" s="58" t="s">
        <v>219</v>
      </c>
      <c r="D391" s="58">
        <v>0</v>
      </c>
      <c r="E391" s="58" t="str">
        <f>E38</f>
        <v>Post (Hardship) Differential for Chief of Party</v>
      </c>
      <c r="F391" s="293"/>
      <c r="G391" s="246" t="s">
        <v>238</v>
      </c>
      <c r="I391" s="129">
        <f>I38</f>
        <v>0.1</v>
      </c>
      <c r="J391" s="248">
        <f>J372*$I$391</f>
        <v>0</v>
      </c>
      <c r="K391" s="293"/>
      <c r="L391" s="248"/>
      <c r="M391" s="248">
        <f>M372*$I$391</f>
        <v>1560</v>
      </c>
      <c r="N391" s="293"/>
      <c r="O391" s="248"/>
      <c r="P391" s="248">
        <f>P372*$I$391</f>
        <v>1622.4</v>
      </c>
      <c r="Q391" s="293"/>
      <c r="R391" s="248"/>
      <c r="S391" s="248">
        <f>S372*$I$391</f>
        <v>843.64800000000002</v>
      </c>
      <c r="T391" s="293"/>
      <c r="U391" s="248"/>
      <c r="V391" s="248">
        <f>V372*$I$391</f>
        <v>1754.7878400000002</v>
      </c>
      <c r="W391" s="119">
        <f t="shared" si="286"/>
        <v>5780.8358400000006</v>
      </c>
      <c r="X391" s="119" t="s">
        <v>243</v>
      </c>
      <c r="Y391" s="119">
        <f>SUM(W391:X391)</f>
        <v>5780.8358400000006</v>
      </c>
      <c r="AA391" s="366">
        <v>0.5</v>
      </c>
      <c r="AB391" s="366">
        <v>0.5</v>
      </c>
    </row>
    <row r="392" spans="1:28">
      <c r="A392" s="58" t="s">
        <v>491</v>
      </c>
      <c r="B392" s="58">
        <v>50900</v>
      </c>
      <c r="C392" s="58" t="s">
        <v>219</v>
      </c>
      <c r="D392" s="58">
        <v>0</v>
      </c>
      <c r="E392" s="58" t="str">
        <f>E39</f>
        <v>Fringe Benefits Package for Chief of Party</v>
      </c>
      <c r="F392" s="293"/>
      <c r="G392" s="246" t="s">
        <v>238</v>
      </c>
      <c r="I392" s="150">
        <f>I39</f>
        <v>0.56810000000000005</v>
      </c>
      <c r="J392" s="248">
        <f>J372*$I$392</f>
        <v>0</v>
      </c>
      <c r="K392" s="293"/>
      <c r="L392" s="248"/>
      <c r="M392" s="248">
        <f>M372*$I$392</f>
        <v>8862.36</v>
      </c>
      <c r="N392" s="293"/>
      <c r="O392" s="248"/>
      <c r="P392" s="248">
        <f>P372*$I$392</f>
        <v>9216.8544000000002</v>
      </c>
      <c r="Q392" s="293"/>
      <c r="R392" s="248"/>
      <c r="S392" s="248">
        <f>S372*$I$392</f>
        <v>4792.7642880000003</v>
      </c>
      <c r="T392" s="293"/>
      <c r="U392" s="248"/>
      <c r="V392" s="248">
        <f>V372*$I$392</f>
        <v>9968.9497190400016</v>
      </c>
      <c r="W392" s="119">
        <f t="shared" si="286"/>
        <v>32840.928407040003</v>
      </c>
      <c r="X392" s="119" t="s">
        <v>243</v>
      </c>
      <c r="Y392" s="119">
        <f>SUM(W392:X392)</f>
        <v>32840.928407040003</v>
      </c>
      <c r="AA392" s="366">
        <v>0.5</v>
      </c>
      <c r="AB392" s="366">
        <v>0.5</v>
      </c>
    </row>
    <row r="393" spans="1:28">
      <c r="A393" s="109"/>
      <c r="B393" s="109"/>
      <c r="C393" s="109"/>
      <c r="D393" s="109"/>
      <c r="E393" s="109" t="s">
        <v>492</v>
      </c>
      <c r="F393" s="300"/>
      <c r="G393" s="123"/>
      <c r="H393" s="124"/>
      <c r="I393" s="124"/>
      <c r="J393" s="125">
        <f>SUM(J389:J392)</f>
        <v>0</v>
      </c>
      <c r="K393" s="300"/>
      <c r="L393" s="125"/>
      <c r="M393" s="125">
        <f>SUM(M389:M392)</f>
        <v>34578.984960000002</v>
      </c>
      <c r="N393" s="300"/>
      <c r="O393" s="125"/>
      <c r="P393" s="125">
        <f>SUM(P389:P392)</f>
        <v>41846.333900800004</v>
      </c>
      <c r="Q393" s="300"/>
      <c r="R393" s="125"/>
      <c r="S393" s="125">
        <f>SUM(S389:S392)</f>
        <v>46411.274464256006</v>
      </c>
      <c r="T393" s="300"/>
      <c r="U393" s="125"/>
      <c r="V393" s="125">
        <f>SUM(V389:V392)</f>
        <v>11723.737559040002</v>
      </c>
      <c r="W393" s="125">
        <f>SUM(W389:W392)</f>
        <v>134560.33088409598</v>
      </c>
      <c r="X393" s="125">
        <f>SUM(X389:X392)</f>
        <v>0</v>
      </c>
      <c r="Y393" s="125">
        <f>SUM(Y389:Y392)</f>
        <v>134560.33088409598</v>
      </c>
      <c r="AA393" s="366"/>
      <c r="AB393" s="366"/>
    </row>
    <row r="394" spans="1:28">
      <c r="A394" s="272"/>
      <c r="B394" s="272"/>
      <c r="C394" s="272"/>
      <c r="D394" s="272"/>
      <c r="E394" s="272"/>
      <c r="F394" s="301"/>
      <c r="G394" s="245"/>
      <c r="H394" s="154"/>
      <c r="I394" s="154"/>
      <c r="J394" s="154"/>
      <c r="K394" s="301"/>
      <c r="L394" s="154"/>
      <c r="M394" s="154"/>
      <c r="N394" s="301"/>
      <c r="O394" s="154"/>
      <c r="P394" s="154"/>
      <c r="Q394" s="301"/>
      <c r="R394" s="154"/>
      <c r="S394" s="154"/>
      <c r="T394" s="301"/>
      <c r="U394" s="154"/>
      <c r="V394" s="154"/>
      <c r="W394" s="154"/>
      <c r="X394" s="154"/>
      <c r="Y394" s="154"/>
      <c r="AA394" s="355"/>
      <c r="AB394" s="355"/>
    </row>
    <row r="395" spans="1:28">
      <c r="A395" s="109"/>
      <c r="B395" s="109"/>
      <c r="C395" s="109"/>
      <c r="D395" s="109"/>
      <c r="E395" s="109" t="s">
        <v>493</v>
      </c>
      <c r="F395" s="300"/>
      <c r="G395" s="123"/>
      <c r="H395" s="124"/>
      <c r="I395" s="124"/>
      <c r="J395" s="124"/>
      <c r="K395" s="300"/>
      <c r="L395" s="124"/>
      <c r="M395" s="124"/>
      <c r="N395" s="300"/>
      <c r="O395" s="124"/>
      <c r="P395" s="124"/>
      <c r="Q395" s="300"/>
      <c r="R395" s="124"/>
      <c r="S395" s="124"/>
      <c r="T395" s="300"/>
      <c r="U395" s="124"/>
      <c r="V395" s="124"/>
      <c r="W395" s="124"/>
      <c r="X395" s="124"/>
      <c r="Y395" s="124"/>
      <c r="AA395" s="366"/>
      <c r="AB395" s="366"/>
    </row>
    <row r="396" spans="1:28">
      <c r="A396" s="258"/>
      <c r="B396" s="258"/>
      <c r="C396" s="258"/>
      <c r="D396" s="258"/>
      <c r="E396" s="258" t="s">
        <v>494</v>
      </c>
      <c r="F396" s="295"/>
      <c r="G396" s="260"/>
      <c r="H396" s="261"/>
      <c r="I396" s="261"/>
      <c r="J396" s="261"/>
      <c r="K396" s="295"/>
      <c r="L396" s="261"/>
      <c r="M396" s="261"/>
      <c r="N396" s="295"/>
      <c r="O396" s="261"/>
      <c r="P396" s="261"/>
      <c r="Q396" s="295"/>
      <c r="R396" s="261"/>
      <c r="S396" s="261"/>
      <c r="T396" s="295"/>
      <c r="U396" s="261"/>
      <c r="V396" s="261"/>
      <c r="W396" s="244"/>
      <c r="X396" s="244"/>
      <c r="Y396" s="261"/>
    </row>
    <row r="397" spans="1:28">
      <c r="A397" s="58" t="s">
        <v>495</v>
      </c>
      <c r="B397" s="58">
        <v>86000</v>
      </c>
      <c r="C397" s="58" t="s">
        <v>222</v>
      </c>
      <c r="D397" s="58">
        <v>0</v>
      </c>
      <c r="E397" s="58" t="s">
        <v>496</v>
      </c>
      <c r="G397" s="58" t="s">
        <v>255</v>
      </c>
      <c r="H397" s="119">
        <v>0</v>
      </c>
      <c r="I397" s="119">
        <v>100</v>
      </c>
      <c r="J397" s="119">
        <f>H397*I397</f>
        <v>0</v>
      </c>
      <c r="K397" s="296"/>
      <c r="L397" s="119">
        <v>0</v>
      </c>
      <c r="M397" s="119">
        <f>I397*L397*$F$7</f>
        <v>0</v>
      </c>
      <c r="N397" s="296"/>
      <c r="O397" s="119">
        <v>20</v>
      </c>
      <c r="P397" s="119">
        <f>I397*O397*$F$7*$F$7</f>
        <v>2163.2000000000003</v>
      </c>
      <c r="Q397" s="296"/>
      <c r="R397" s="119">
        <v>0</v>
      </c>
      <c r="S397" s="119">
        <f>I397*R397*$F$7*$F$7*$F$7</f>
        <v>0</v>
      </c>
      <c r="T397" s="296"/>
      <c r="U397" s="119">
        <v>20</v>
      </c>
      <c r="V397" s="119">
        <f>I397*U397*$F$7*$F$7*$F$7*$F$7</f>
        <v>2339.7171200000007</v>
      </c>
      <c r="W397" s="119">
        <f t="shared" ref="W397:W398" si="287">SUM(S397,P397,M397,J397,V397)</f>
        <v>4502.917120000001</v>
      </c>
      <c r="X397" s="119" t="s">
        <v>243</v>
      </c>
      <c r="Y397" s="119">
        <f>SUM(W397:X397)</f>
        <v>4502.917120000001</v>
      </c>
      <c r="AA397" s="366">
        <v>0.5</v>
      </c>
      <c r="AB397" s="366">
        <v>0.5</v>
      </c>
    </row>
    <row r="398" spans="1:28" ht="50.4">
      <c r="A398" s="58" t="s">
        <v>495</v>
      </c>
      <c r="B398" s="120" t="s">
        <v>257</v>
      </c>
      <c r="C398" s="58" t="s">
        <v>222</v>
      </c>
      <c r="D398" s="58">
        <v>0</v>
      </c>
      <c r="E398" s="58" t="s">
        <v>497</v>
      </c>
      <c r="G398" s="58" t="s">
        <v>259</v>
      </c>
      <c r="H398" s="119">
        <f>3*H397</f>
        <v>0</v>
      </c>
      <c r="I398" s="119">
        <v>100</v>
      </c>
      <c r="J398" s="119">
        <f>H398*I398</f>
        <v>0</v>
      </c>
      <c r="K398" s="296"/>
      <c r="L398" s="119">
        <f>7*L397</f>
        <v>0</v>
      </c>
      <c r="M398" s="119">
        <f>I398*L398*$F$7</f>
        <v>0</v>
      </c>
      <c r="N398" s="296"/>
      <c r="O398" s="119">
        <f>4*O397</f>
        <v>80</v>
      </c>
      <c r="P398" s="119">
        <f>I398*O398*$F$7*$F$7</f>
        <v>8652.8000000000011</v>
      </c>
      <c r="Q398" s="296"/>
      <c r="R398" s="119">
        <f>7*R397</f>
        <v>0</v>
      </c>
      <c r="S398" s="119">
        <f>I398*R398*$F$7*$F$7*$F$7</f>
        <v>0</v>
      </c>
      <c r="T398" s="296"/>
      <c r="U398" s="119">
        <f>4*U397</f>
        <v>80</v>
      </c>
      <c r="V398" s="119">
        <f>I398*U398*$F$7*$F$7*$F$7*$F$7</f>
        <v>9358.8684800000028</v>
      </c>
      <c r="W398" s="119">
        <f t="shared" si="287"/>
        <v>18011.668480000004</v>
      </c>
      <c r="X398" s="119" t="s">
        <v>243</v>
      </c>
      <c r="Y398" s="119">
        <f>SUM(W398:X398)</f>
        <v>18011.668480000004</v>
      </c>
      <c r="AA398" s="366">
        <v>0.5</v>
      </c>
      <c r="AB398" s="366">
        <v>0.5</v>
      </c>
    </row>
    <row r="399" spans="1:28">
      <c r="A399" s="258"/>
      <c r="B399" s="258"/>
      <c r="C399" s="258"/>
      <c r="D399" s="258"/>
      <c r="E399" s="258" t="s">
        <v>498</v>
      </c>
      <c r="F399" s="295"/>
      <c r="G399" s="260"/>
      <c r="H399" s="261"/>
      <c r="I399" s="261"/>
      <c r="J399" s="261"/>
      <c r="K399" s="295"/>
      <c r="L399" s="261"/>
      <c r="M399" s="261"/>
      <c r="N399" s="295"/>
      <c r="O399" s="261"/>
      <c r="P399" s="261"/>
      <c r="Q399" s="295"/>
      <c r="R399" s="261"/>
      <c r="S399" s="261"/>
      <c r="T399" s="295"/>
      <c r="U399" s="261"/>
      <c r="V399" s="261"/>
      <c r="W399" s="244"/>
      <c r="X399" s="244"/>
      <c r="Y399" s="261"/>
    </row>
    <row r="400" spans="1:28">
      <c r="A400" s="58" t="s">
        <v>499</v>
      </c>
      <c r="B400" s="58">
        <v>86000</v>
      </c>
      <c r="C400" s="58" t="s">
        <v>222</v>
      </c>
      <c r="D400" s="58">
        <v>0</v>
      </c>
      <c r="E400" s="58" t="s">
        <v>500</v>
      </c>
      <c r="G400" s="58" t="s">
        <v>255</v>
      </c>
      <c r="H400" s="119">
        <v>0</v>
      </c>
      <c r="I400" s="119">
        <v>100</v>
      </c>
      <c r="J400" s="119">
        <f>H400*I400</f>
        <v>0</v>
      </c>
      <c r="K400" s="296"/>
      <c r="L400" s="119">
        <v>5</v>
      </c>
      <c r="M400" s="119">
        <f>I400*L400*$F$7</f>
        <v>520</v>
      </c>
      <c r="N400" s="296"/>
      <c r="O400" s="119">
        <v>5</v>
      </c>
      <c r="P400" s="119">
        <f>I400*O400*$F$7*$F$7</f>
        <v>540.80000000000007</v>
      </c>
      <c r="Q400" s="296"/>
      <c r="R400" s="119">
        <v>0</v>
      </c>
      <c r="S400" s="119">
        <f>I400*R400*$F$7*$F$7*$F$7</f>
        <v>0</v>
      </c>
      <c r="T400" s="296"/>
      <c r="U400" s="119">
        <v>0</v>
      </c>
      <c r="V400" s="119">
        <f>I400*U400*$F$7*$F$7*$F$7*$F$7</f>
        <v>0</v>
      </c>
      <c r="W400" s="119">
        <f>SUM(S400,P400,M400,J400,V400)</f>
        <v>1060.8000000000002</v>
      </c>
      <c r="X400" s="119" t="s">
        <v>243</v>
      </c>
      <c r="Y400" s="119">
        <f>SUM(W400:X400)</f>
        <v>1060.8000000000002</v>
      </c>
      <c r="AA400" s="366">
        <v>0.5</v>
      </c>
      <c r="AB400" s="366">
        <v>0.5</v>
      </c>
    </row>
    <row r="401" spans="1:28" ht="50.4">
      <c r="A401" s="58" t="s">
        <v>499</v>
      </c>
      <c r="B401" s="120" t="s">
        <v>257</v>
      </c>
      <c r="C401" s="58" t="s">
        <v>222</v>
      </c>
      <c r="D401" s="58">
        <v>0</v>
      </c>
      <c r="E401" s="58" t="s">
        <v>501</v>
      </c>
      <c r="G401" s="58" t="s">
        <v>259</v>
      </c>
      <c r="H401" s="119">
        <f>3*H400</f>
        <v>0</v>
      </c>
      <c r="I401" s="119">
        <v>100</v>
      </c>
      <c r="J401" s="119">
        <f>H401*I401</f>
        <v>0</v>
      </c>
      <c r="K401" s="296"/>
      <c r="L401" s="119">
        <f>7*L400</f>
        <v>35</v>
      </c>
      <c r="M401" s="119">
        <f>I401*L401*$F$7</f>
        <v>3640</v>
      </c>
      <c r="N401" s="296"/>
      <c r="O401" s="119">
        <f>7*O400</f>
        <v>35</v>
      </c>
      <c r="P401" s="119">
        <f>I401*O401*$F$7*$F$7</f>
        <v>3785.6</v>
      </c>
      <c r="Q401" s="296"/>
      <c r="R401" s="119">
        <f>3*R400</f>
        <v>0</v>
      </c>
      <c r="S401" s="119">
        <f>I401*R401*$F$7*$F$7*$F$7</f>
        <v>0</v>
      </c>
      <c r="T401" s="296"/>
      <c r="U401" s="119">
        <f>3*U400</f>
        <v>0</v>
      </c>
      <c r="V401" s="119">
        <f>I401*U401*$F$7*$F$7*$F$7*$F$7</f>
        <v>0</v>
      </c>
      <c r="W401" s="119">
        <f t="shared" ref="W401" si="288">SUM(S401,P401,M401,J401,V401)</f>
        <v>7425.6</v>
      </c>
      <c r="X401" s="119" t="s">
        <v>243</v>
      </c>
      <c r="Y401" s="119">
        <f>SUM(W401:X401)</f>
        <v>7425.6</v>
      </c>
      <c r="AA401" s="366">
        <v>0.5</v>
      </c>
      <c r="AB401" s="366">
        <v>0.5</v>
      </c>
    </row>
    <row r="402" spans="1:28">
      <c r="A402" s="258"/>
      <c r="B402" s="258"/>
      <c r="C402" s="258"/>
      <c r="D402" s="258"/>
      <c r="E402" s="258" t="s">
        <v>502</v>
      </c>
      <c r="F402" s="295"/>
      <c r="G402" s="260"/>
      <c r="H402" s="261"/>
      <c r="I402" s="261"/>
      <c r="J402" s="261"/>
      <c r="K402" s="295"/>
      <c r="L402" s="261"/>
      <c r="M402" s="261"/>
      <c r="N402" s="295"/>
      <c r="O402" s="261"/>
      <c r="P402" s="261"/>
      <c r="Q402" s="295"/>
      <c r="R402" s="261"/>
      <c r="S402" s="261"/>
      <c r="T402" s="295"/>
      <c r="U402" s="261"/>
      <c r="V402" s="261"/>
      <c r="W402" s="244"/>
      <c r="X402" s="244"/>
      <c r="Y402" s="261"/>
    </row>
    <row r="403" spans="1:28">
      <c r="A403" s="58" t="s">
        <v>503</v>
      </c>
      <c r="B403" s="120">
        <v>86040</v>
      </c>
      <c r="C403" s="58" t="s">
        <v>222</v>
      </c>
      <c r="D403" s="58">
        <v>0</v>
      </c>
      <c r="E403" s="58" t="s">
        <v>504</v>
      </c>
      <c r="G403" s="58" t="s">
        <v>255</v>
      </c>
      <c r="H403" s="119">
        <v>0</v>
      </c>
      <c r="I403" s="119">
        <v>1200</v>
      </c>
      <c r="J403" s="119">
        <f>H403*I403</f>
        <v>0</v>
      </c>
      <c r="K403" s="296"/>
      <c r="L403" s="119">
        <f>2*10</f>
        <v>20</v>
      </c>
      <c r="M403" s="119">
        <f t="shared" ref="M403:M406" si="289">I403*L403*$F$6</f>
        <v>24720</v>
      </c>
      <c r="N403" s="296"/>
      <c r="O403" s="119">
        <f>2*10</f>
        <v>20</v>
      </c>
      <c r="P403" s="119">
        <f t="shared" ref="P403:P406" si="290">I403*O403*$F$6*$F$6</f>
        <v>25461.600000000002</v>
      </c>
      <c r="Q403" s="296"/>
      <c r="R403" s="119">
        <v>0</v>
      </c>
      <c r="S403" s="119">
        <f t="shared" ref="S403:S406" si="291">I403*R403*$F$6*$F$6*$F$6</f>
        <v>0</v>
      </c>
      <c r="T403" s="296"/>
      <c r="U403" s="119">
        <v>0</v>
      </c>
      <c r="V403" s="119">
        <f t="shared" ref="V403:V404" si="292">U403*I403*$F$6*$F$6*$F$6*$F$6</f>
        <v>0</v>
      </c>
      <c r="W403" s="119">
        <f t="shared" ref="W403:W406" si="293">SUM(S403,P403,M403,J403,V403)</f>
        <v>50181.600000000006</v>
      </c>
      <c r="X403" s="119" t="s">
        <v>243</v>
      </c>
      <c r="Y403" s="119">
        <f>SUM(W403:X403)</f>
        <v>50181.600000000006</v>
      </c>
      <c r="AA403" s="366">
        <v>0.5</v>
      </c>
      <c r="AB403" s="366">
        <v>0.5</v>
      </c>
    </row>
    <row r="404" spans="1:28" ht="50.4">
      <c r="A404" s="58" t="s">
        <v>503</v>
      </c>
      <c r="B404" s="120" t="s">
        <v>257</v>
      </c>
      <c r="C404" s="58" t="s">
        <v>222</v>
      </c>
      <c r="D404" s="58">
        <v>0</v>
      </c>
      <c r="E404" s="58" t="s">
        <v>505</v>
      </c>
      <c r="G404" s="58" t="s">
        <v>259</v>
      </c>
      <c r="H404" s="119">
        <v>0</v>
      </c>
      <c r="I404" s="119">
        <v>100</v>
      </c>
      <c r="J404" s="119">
        <f>H404*I404</f>
        <v>0</v>
      </c>
      <c r="K404" s="296"/>
      <c r="L404" s="119">
        <f>L403*14</f>
        <v>280</v>
      </c>
      <c r="M404" s="119">
        <f t="shared" si="289"/>
        <v>28840</v>
      </c>
      <c r="N404" s="296"/>
      <c r="O404" s="119">
        <f>O403*14</f>
        <v>280</v>
      </c>
      <c r="P404" s="119">
        <f t="shared" si="290"/>
        <v>29705.200000000001</v>
      </c>
      <c r="Q404" s="296"/>
      <c r="R404" s="119">
        <f>R403*14</f>
        <v>0</v>
      </c>
      <c r="S404" s="119">
        <f t="shared" si="291"/>
        <v>0</v>
      </c>
      <c r="T404" s="296"/>
      <c r="U404" s="119">
        <v>0</v>
      </c>
      <c r="V404" s="119">
        <f t="shared" si="292"/>
        <v>0</v>
      </c>
      <c r="W404" s="119">
        <f t="shared" si="293"/>
        <v>58545.2</v>
      </c>
      <c r="X404" s="119" t="s">
        <v>243</v>
      </c>
      <c r="Y404" s="119">
        <f>SUM(W404:X404)</f>
        <v>58545.2</v>
      </c>
      <c r="AA404" s="366">
        <v>0.5</v>
      </c>
      <c r="AB404" s="366">
        <v>0.5</v>
      </c>
    </row>
    <row r="405" spans="1:28">
      <c r="A405" s="58" t="s">
        <v>503</v>
      </c>
      <c r="B405" s="120">
        <v>86000</v>
      </c>
      <c r="C405" s="58" t="s">
        <v>222</v>
      </c>
      <c r="D405" s="58">
        <v>0</v>
      </c>
      <c r="E405" s="58" t="s">
        <v>506</v>
      </c>
      <c r="G405" s="58" t="s">
        <v>259</v>
      </c>
      <c r="H405" s="119">
        <v>0</v>
      </c>
      <c r="I405" s="119">
        <v>25</v>
      </c>
      <c r="J405" s="119">
        <f>H405*I405</f>
        <v>0</v>
      </c>
      <c r="K405" s="296"/>
      <c r="L405" s="119">
        <f>L403*14</f>
        <v>280</v>
      </c>
      <c r="M405" s="119">
        <f t="shared" ref="M405" si="294">I405*L405*$F$6</f>
        <v>7210</v>
      </c>
      <c r="N405" s="296"/>
      <c r="O405" s="119">
        <f>O403*14</f>
        <v>280</v>
      </c>
      <c r="P405" s="119">
        <f t="shared" ref="P405" si="295">I405*O405*$F$6*$F$6</f>
        <v>7426.3</v>
      </c>
      <c r="Q405" s="296"/>
      <c r="R405" s="119">
        <f>R403*14</f>
        <v>0</v>
      </c>
      <c r="S405" s="119">
        <f t="shared" ref="S405" si="296">I405*R405*$F$6*$F$6*$F$6</f>
        <v>0</v>
      </c>
      <c r="T405" s="296"/>
      <c r="U405" s="119">
        <v>0</v>
      </c>
      <c r="V405" s="119">
        <f t="shared" ref="V405" si="297">U405*I405*$F$6*$F$6*$F$6*$F$6</f>
        <v>0</v>
      </c>
      <c r="W405" s="119">
        <f t="shared" si="293"/>
        <v>14636.3</v>
      </c>
      <c r="X405" s="119" t="s">
        <v>243</v>
      </c>
      <c r="Y405" s="119">
        <f>SUM(W405:X405)</f>
        <v>14636.3</v>
      </c>
      <c r="AA405" s="366">
        <v>0.5</v>
      </c>
      <c r="AB405" s="366">
        <v>0.5</v>
      </c>
    </row>
    <row r="406" spans="1:28" ht="25.2">
      <c r="A406" s="58" t="s">
        <v>503</v>
      </c>
      <c r="B406" s="120">
        <v>86050</v>
      </c>
      <c r="C406" s="58" t="s">
        <v>222</v>
      </c>
      <c r="D406" s="58">
        <v>0</v>
      </c>
      <c r="E406" s="58" t="s">
        <v>507</v>
      </c>
      <c r="G406" s="58" t="s">
        <v>255</v>
      </c>
      <c r="H406" s="119">
        <f>H403</f>
        <v>0</v>
      </c>
      <c r="I406" s="119">
        <v>25</v>
      </c>
      <c r="J406" s="119">
        <f>H406*I406</f>
        <v>0</v>
      </c>
      <c r="K406" s="296"/>
      <c r="L406" s="119">
        <f>L403</f>
        <v>20</v>
      </c>
      <c r="M406" s="119">
        <f t="shared" si="289"/>
        <v>515</v>
      </c>
      <c r="N406" s="296"/>
      <c r="O406" s="119">
        <f>O403</f>
        <v>20</v>
      </c>
      <c r="P406" s="119">
        <f t="shared" si="290"/>
        <v>530.45000000000005</v>
      </c>
      <c r="Q406" s="296"/>
      <c r="R406" s="119">
        <f>R403</f>
        <v>0</v>
      </c>
      <c r="S406" s="119">
        <f t="shared" si="291"/>
        <v>0</v>
      </c>
      <c r="T406" s="296"/>
      <c r="U406" s="119">
        <f>U403</f>
        <v>0</v>
      </c>
      <c r="V406" s="119">
        <f>U406*I406*$F$6*$F$6*$F$6*$F$6</f>
        <v>0</v>
      </c>
      <c r="W406" s="119">
        <f t="shared" si="293"/>
        <v>1045.45</v>
      </c>
      <c r="X406" s="119" t="s">
        <v>243</v>
      </c>
      <c r="Y406" s="119">
        <f>SUM(W406:X406)</f>
        <v>1045.45</v>
      </c>
      <c r="AA406" s="366">
        <v>0.5</v>
      </c>
      <c r="AB406" s="366">
        <v>0.5</v>
      </c>
    </row>
    <row r="407" spans="1:28">
      <c r="A407" s="258"/>
      <c r="B407" s="258"/>
      <c r="C407" s="258"/>
      <c r="D407" s="258"/>
      <c r="E407" s="258" t="s">
        <v>508</v>
      </c>
      <c r="F407" s="295"/>
      <c r="G407" s="260"/>
      <c r="H407" s="261"/>
      <c r="I407" s="261"/>
      <c r="J407" s="261"/>
      <c r="K407" s="295"/>
      <c r="L407" s="261"/>
      <c r="M407" s="261"/>
      <c r="N407" s="295"/>
      <c r="O407" s="261"/>
      <c r="P407" s="261"/>
      <c r="Q407" s="295"/>
      <c r="R407" s="261"/>
      <c r="S407" s="261"/>
      <c r="T407" s="295"/>
      <c r="U407" s="261"/>
      <c r="V407" s="261"/>
      <c r="W407" s="244"/>
      <c r="X407" s="244"/>
      <c r="Y407" s="261"/>
      <c r="AA407" s="366"/>
      <c r="AB407" s="366"/>
    </row>
    <row r="408" spans="1:28">
      <c r="A408" s="58" t="s">
        <v>509</v>
      </c>
      <c r="B408" s="58">
        <v>81015</v>
      </c>
      <c r="C408" s="58" t="s">
        <v>222</v>
      </c>
      <c r="D408" s="58">
        <v>0</v>
      </c>
      <c r="E408" s="58" t="s">
        <v>510</v>
      </c>
      <c r="G408" s="58" t="s">
        <v>255</v>
      </c>
      <c r="H408" s="119">
        <v>0</v>
      </c>
      <c r="I408" s="119">
        <v>10000</v>
      </c>
      <c r="J408" s="119">
        <f>H408*I408</f>
        <v>0</v>
      </c>
      <c r="K408" s="296"/>
      <c r="L408" s="119">
        <v>3</v>
      </c>
      <c r="M408" s="119">
        <f>I408*L408*$F$6</f>
        <v>30900</v>
      </c>
      <c r="N408" s="296"/>
      <c r="O408" s="119">
        <v>3</v>
      </c>
      <c r="P408" s="119">
        <f>I408*O408*$F$6*$F$6</f>
        <v>31827</v>
      </c>
      <c r="Q408" s="296"/>
      <c r="R408" s="119">
        <v>3</v>
      </c>
      <c r="S408" s="119">
        <f>I408*R408*$F$6*$F$6*$F$6</f>
        <v>32781.81</v>
      </c>
      <c r="T408" s="296"/>
      <c r="U408" s="119">
        <v>0</v>
      </c>
      <c r="V408" s="119">
        <f>U408*I408*$F$6*$F$6*$F$6*$F$6</f>
        <v>0</v>
      </c>
      <c r="W408" s="119">
        <f>SUM(S408,P408,M408,J408,V408)</f>
        <v>95508.81</v>
      </c>
      <c r="X408" s="119" t="s">
        <v>243</v>
      </c>
      <c r="Y408" s="119">
        <f>SUM(W408:X408)</f>
        <v>95508.81</v>
      </c>
      <c r="AA408" s="366">
        <v>0.5</v>
      </c>
      <c r="AB408" s="366">
        <v>0.5</v>
      </c>
    </row>
    <row r="409" spans="1:28">
      <c r="A409" s="109"/>
      <c r="B409" s="109"/>
      <c r="C409" s="109"/>
      <c r="D409" s="109"/>
      <c r="E409" s="109" t="s">
        <v>511</v>
      </c>
      <c r="F409" s="300"/>
      <c r="G409" s="123"/>
      <c r="H409" s="124"/>
      <c r="I409" s="124"/>
      <c r="J409" s="125">
        <f>SUM(J397:J408)</f>
        <v>0</v>
      </c>
      <c r="K409" s="300"/>
      <c r="L409" s="124"/>
      <c r="M409" s="125">
        <f>SUM(M397:M408)</f>
        <v>96345</v>
      </c>
      <c r="N409" s="300"/>
      <c r="O409" s="124"/>
      <c r="P409" s="125">
        <f>SUM(P397:P408)</f>
        <v>110092.95</v>
      </c>
      <c r="Q409" s="300"/>
      <c r="R409" s="124"/>
      <c r="S409" s="125">
        <f>SUM(S397:S408)</f>
        <v>32781.81</v>
      </c>
      <c r="T409" s="300"/>
      <c r="U409" s="124"/>
      <c r="V409" s="125">
        <f>SUM(V397:V408)</f>
        <v>11698.585600000004</v>
      </c>
      <c r="W409" s="125">
        <f>SUM(W397:W408)</f>
        <v>250918.3456</v>
      </c>
      <c r="X409" s="125">
        <f>SUM(X397:X408)</f>
        <v>0</v>
      </c>
      <c r="Y409" s="125">
        <f>SUM(Y397:Y408)</f>
        <v>250918.3456</v>
      </c>
      <c r="AA409" s="366"/>
      <c r="AB409" s="366"/>
    </row>
    <row r="410" spans="1:28">
      <c r="A410" s="272"/>
      <c r="B410" s="272"/>
      <c r="C410" s="272"/>
      <c r="D410" s="272"/>
      <c r="E410" s="272"/>
      <c r="F410" s="301"/>
      <c r="G410" s="245"/>
      <c r="H410" s="154"/>
      <c r="I410" s="154"/>
      <c r="J410" s="154"/>
      <c r="K410" s="301"/>
      <c r="L410" s="154"/>
      <c r="M410" s="154"/>
      <c r="N410" s="301"/>
      <c r="O410" s="154"/>
      <c r="P410" s="154"/>
      <c r="Q410" s="301"/>
      <c r="R410" s="154"/>
      <c r="S410" s="154"/>
      <c r="T410" s="301"/>
      <c r="U410" s="154"/>
      <c r="V410" s="154"/>
      <c r="W410" s="154"/>
      <c r="X410" s="154"/>
      <c r="Y410" s="154"/>
      <c r="AA410" s="366"/>
      <c r="AB410" s="366"/>
    </row>
    <row r="411" spans="1:28">
      <c r="A411" s="109"/>
      <c r="B411" s="109"/>
      <c r="C411" s="109"/>
      <c r="D411" s="109"/>
      <c r="E411" s="109" t="s">
        <v>512</v>
      </c>
      <c r="F411" s="300"/>
      <c r="G411" s="123"/>
      <c r="H411" s="124"/>
      <c r="I411" s="124"/>
      <c r="J411" s="124"/>
      <c r="K411" s="300"/>
      <c r="L411" s="124"/>
      <c r="M411" s="124"/>
      <c r="N411" s="300"/>
      <c r="O411" s="124"/>
      <c r="P411" s="124"/>
      <c r="Q411" s="300"/>
      <c r="R411" s="124"/>
      <c r="S411" s="124"/>
      <c r="T411" s="300"/>
      <c r="U411" s="124"/>
      <c r="V411" s="124"/>
      <c r="W411" s="124"/>
      <c r="X411" s="124"/>
      <c r="Y411" s="124"/>
      <c r="AA411" s="366"/>
      <c r="AB411" s="366"/>
    </row>
    <row r="412" spans="1:28">
      <c r="A412" s="58" t="s">
        <v>513</v>
      </c>
      <c r="B412" s="58">
        <v>81000</v>
      </c>
      <c r="C412" s="58" t="s">
        <v>222</v>
      </c>
      <c r="D412" s="58">
        <v>0</v>
      </c>
      <c r="E412" s="58" t="s">
        <v>514</v>
      </c>
      <c r="F412" s="293"/>
      <c r="G412" s="126" t="s">
        <v>221</v>
      </c>
      <c r="H412" s="119">
        <v>0</v>
      </c>
      <c r="I412" s="119">
        <v>3750</v>
      </c>
      <c r="J412" s="119">
        <f>H412*I412</f>
        <v>0</v>
      </c>
      <c r="K412" s="293"/>
      <c r="L412" s="119">
        <v>2</v>
      </c>
      <c r="M412" s="248">
        <f>L412*I412</f>
        <v>7500</v>
      </c>
      <c r="N412" s="293"/>
      <c r="O412" s="119">
        <v>2</v>
      </c>
      <c r="P412" s="119">
        <f>O412*I412</f>
        <v>7500</v>
      </c>
      <c r="Q412" s="293"/>
      <c r="R412" s="119">
        <v>0</v>
      </c>
      <c r="S412" s="119">
        <f>R412*I412</f>
        <v>0</v>
      </c>
      <c r="T412" s="293"/>
      <c r="U412" s="119">
        <v>0</v>
      </c>
      <c r="V412" s="119">
        <f>U412*I412</f>
        <v>0</v>
      </c>
      <c r="W412" s="119">
        <f t="shared" ref="W412:W413" si="298">SUM(S412,P412,M412,J412,V412)</f>
        <v>15000</v>
      </c>
      <c r="X412" s="119">
        <v>0</v>
      </c>
      <c r="Y412" s="119">
        <f>W412+X412</f>
        <v>15000</v>
      </c>
      <c r="AA412" s="366">
        <v>0.5</v>
      </c>
      <c r="AB412" s="366">
        <v>0.5</v>
      </c>
    </row>
    <row r="413" spans="1:28">
      <c r="A413" s="58" t="s">
        <v>515</v>
      </c>
      <c r="B413" s="58">
        <v>81000</v>
      </c>
      <c r="C413" s="58" t="s">
        <v>222</v>
      </c>
      <c r="D413" s="58">
        <v>0</v>
      </c>
      <c r="E413" s="58" t="s">
        <v>516</v>
      </c>
      <c r="G413" s="126" t="s">
        <v>405</v>
      </c>
      <c r="H413" s="119">
        <v>0</v>
      </c>
      <c r="I413" s="119">
        <v>0</v>
      </c>
      <c r="J413" s="119">
        <v>0</v>
      </c>
      <c r="K413" s="296"/>
      <c r="L413" s="119">
        <v>1</v>
      </c>
      <c r="M413" s="119">
        <v>50000</v>
      </c>
      <c r="N413" s="296"/>
      <c r="O413" s="119">
        <v>1</v>
      </c>
      <c r="P413" s="119">
        <v>50000</v>
      </c>
      <c r="Q413" s="296"/>
      <c r="R413" s="119">
        <v>1</v>
      </c>
      <c r="S413" s="119">
        <v>50000</v>
      </c>
      <c r="T413" s="296"/>
      <c r="U413" s="119">
        <v>1</v>
      </c>
      <c r="V413" s="119">
        <v>50000</v>
      </c>
      <c r="W413" s="119">
        <f t="shared" si="298"/>
        <v>200000</v>
      </c>
      <c r="X413" s="119">
        <v>0</v>
      </c>
      <c r="Y413" s="360">
        <f t="shared" ref="Y413" si="299">SUM(W413:X413)</f>
        <v>200000</v>
      </c>
      <c r="AA413" s="366">
        <v>0.5</v>
      </c>
      <c r="AB413" s="366">
        <v>0.5</v>
      </c>
    </row>
    <row r="414" spans="1:28">
      <c r="A414" s="109"/>
      <c r="B414" s="109"/>
      <c r="C414" s="109"/>
      <c r="D414" s="109"/>
      <c r="E414" s="109" t="s">
        <v>517</v>
      </c>
      <c r="F414" s="300"/>
      <c r="G414" s="123"/>
      <c r="H414" s="124"/>
      <c r="I414" s="124"/>
      <c r="J414" s="125">
        <f>SUM(J412:J413)</f>
        <v>0</v>
      </c>
      <c r="K414" s="300"/>
      <c r="L414" s="125"/>
      <c r="M414" s="125">
        <f>SUM(M412:M413)</f>
        <v>57500</v>
      </c>
      <c r="N414" s="300"/>
      <c r="O414" s="125"/>
      <c r="P414" s="125">
        <f>SUM(P412:P413)</f>
        <v>57500</v>
      </c>
      <c r="Q414" s="300"/>
      <c r="R414" s="125"/>
      <c r="S414" s="125">
        <f>SUM(S412:S413)</f>
        <v>50000</v>
      </c>
      <c r="T414" s="300"/>
      <c r="U414" s="125"/>
      <c r="V414" s="125">
        <f>SUM(V412:V413)</f>
        <v>50000</v>
      </c>
      <c r="W414" s="125">
        <f>SUM(W412:W413)</f>
        <v>215000</v>
      </c>
      <c r="X414" s="125">
        <f>SUM(X412:X413)</f>
        <v>0</v>
      </c>
      <c r="Y414" s="125">
        <f>SUM(Y412:Y413)</f>
        <v>215000</v>
      </c>
      <c r="AA414" s="366"/>
      <c r="AB414" s="366"/>
    </row>
    <row r="415" spans="1:28">
      <c r="A415" s="120"/>
      <c r="B415" s="120"/>
      <c r="C415" s="120"/>
      <c r="D415" s="120"/>
      <c r="E415" s="120"/>
      <c r="F415" s="293"/>
      <c r="G415" s="126"/>
      <c r="H415" s="119"/>
      <c r="I415" s="119"/>
      <c r="J415" s="119"/>
      <c r="K415" s="293"/>
      <c r="L415" s="119"/>
      <c r="M415" s="119"/>
      <c r="N415" s="293"/>
      <c r="O415" s="119"/>
      <c r="P415" s="119"/>
      <c r="Q415" s="293"/>
      <c r="R415" s="119"/>
      <c r="S415" s="119"/>
      <c r="T415" s="293"/>
      <c r="U415" s="119"/>
      <c r="V415" s="119"/>
      <c r="W415" s="119"/>
      <c r="X415" s="119"/>
      <c r="Y415" s="136"/>
    </row>
    <row r="416" spans="1:28">
      <c r="A416" s="109"/>
      <c r="B416" s="109"/>
      <c r="C416" s="109"/>
      <c r="D416" s="109"/>
      <c r="E416" s="109" t="s">
        <v>518</v>
      </c>
      <c r="F416" s="300"/>
      <c r="G416" s="123"/>
      <c r="H416" s="124"/>
      <c r="I416" s="124"/>
      <c r="J416" s="124"/>
      <c r="K416" s="300"/>
      <c r="L416" s="124"/>
      <c r="M416" s="124"/>
      <c r="N416" s="300"/>
      <c r="O416" s="124"/>
      <c r="P416" s="124"/>
      <c r="Q416" s="300"/>
      <c r="R416" s="124"/>
      <c r="S416" s="124"/>
      <c r="T416" s="300"/>
      <c r="U416" s="124"/>
      <c r="V416" s="124"/>
      <c r="W416" s="124"/>
      <c r="X416" s="124"/>
      <c r="Y416" s="124"/>
    </row>
    <row r="417" spans="1:28">
      <c r="A417" s="58" t="s">
        <v>519</v>
      </c>
      <c r="B417" s="58">
        <v>87000</v>
      </c>
      <c r="C417" s="58" t="s">
        <v>222</v>
      </c>
      <c r="D417" s="58">
        <v>0</v>
      </c>
      <c r="E417" s="58" t="s">
        <v>520</v>
      </c>
      <c r="F417" s="293"/>
      <c r="G417" s="58" t="s">
        <v>259</v>
      </c>
      <c r="H417" s="119">
        <v>0</v>
      </c>
      <c r="I417" s="119">
        <v>400</v>
      </c>
      <c r="J417" s="119">
        <f>H417*I417</f>
        <v>0</v>
      </c>
      <c r="K417" s="293"/>
      <c r="L417" s="119">
        <v>2</v>
      </c>
      <c r="M417" s="119">
        <f>I417*L417</f>
        <v>800</v>
      </c>
      <c r="N417" s="293"/>
      <c r="O417" s="119">
        <v>2</v>
      </c>
      <c r="P417" s="119">
        <f>I417*O417</f>
        <v>800</v>
      </c>
      <c r="Q417" s="293"/>
      <c r="R417" s="119">
        <v>0</v>
      </c>
      <c r="S417" s="119">
        <f>I417*R417</f>
        <v>0</v>
      </c>
      <c r="T417" s="293"/>
      <c r="U417" s="119">
        <v>0</v>
      </c>
      <c r="V417" s="119">
        <f>I417*U417</f>
        <v>0</v>
      </c>
      <c r="W417" s="119">
        <f t="shared" ref="W417:W419" si="300">SUM(S417,P417,M417,J417,V417)</f>
        <v>1600</v>
      </c>
      <c r="X417" s="119">
        <v>0</v>
      </c>
      <c r="Y417" s="119">
        <f>SUM(W417:X417)</f>
        <v>1600</v>
      </c>
      <c r="AA417" s="366">
        <v>0.5</v>
      </c>
      <c r="AB417" s="366">
        <v>0.5</v>
      </c>
    </row>
    <row r="418" spans="1:28">
      <c r="A418" s="58" t="s">
        <v>519</v>
      </c>
      <c r="B418" s="58">
        <v>87000</v>
      </c>
      <c r="C418" s="58" t="s">
        <v>222</v>
      </c>
      <c r="D418" s="58">
        <v>0</v>
      </c>
      <c r="E418" s="58" t="s">
        <v>521</v>
      </c>
      <c r="F418" s="293"/>
      <c r="G418" s="58" t="s">
        <v>259</v>
      </c>
      <c r="H418" s="119">
        <v>0</v>
      </c>
      <c r="I418" s="119">
        <v>400</v>
      </c>
      <c r="J418" s="119">
        <f>H418*I418</f>
        <v>0</v>
      </c>
      <c r="K418" s="293"/>
      <c r="L418" s="119">
        <f>2*2</f>
        <v>4</v>
      </c>
      <c r="M418" s="119">
        <f>I418*L418</f>
        <v>1600</v>
      </c>
      <c r="N418" s="293"/>
      <c r="O418" s="119">
        <f>2*2</f>
        <v>4</v>
      </c>
      <c r="P418" s="119">
        <f>I418*O418</f>
        <v>1600</v>
      </c>
      <c r="Q418" s="293"/>
      <c r="R418" s="119">
        <v>0</v>
      </c>
      <c r="S418" s="119">
        <f>I418*R418</f>
        <v>0</v>
      </c>
      <c r="T418" s="293"/>
      <c r="U418" s="119">
        <v>0</v>
      </c>
      <c r="V418" s="119">
        <f>I418*U418</f>
        <v>0</v>
      </c>
      <c r="W418" s="119">
        <f t="shared" si="300"/>
        <v>3200</v>
      </c>
      <c r="X418" s="119">
        <v>0</v>
      </c>
      <c r="Y418" s="119">
        <f>SUM(W418:X418)</f>
        <v>3200</v>
      </c>
      <c r="AA418" s="366">
        <v>0.5</v>
      </c>
      <c r="AB418" s="366">
        <v>0.5</v>
      </c>
    </row>
    <row r="419" spans="1:28">
      <c r="A419" s="58" t="s">
        <v>522</v>
      </c>
      <c r="B419" s="58">
        <v>90450</v>
      </c>
      <c r="C419" s="58" t="s">
        <v>222</v>
      </c>
      <c r="D419" s="58">
        <v>0</v>
      </c>
      <c r="E419" s="58" t="s">
        <v>523</v>
      </c>
      <c r="F419" s="293"/>
      <c r="G419" s="58" t="s">
        <v>281</v>
      </c>
      <c r="H419" s="119">
        <v>0</v>
      </c>
      <c r="I419" s="119">
        <v>500</v>
      </c>
      <c r="J419" s="119">
        <f>H419*I419</f>
        <v>0</v>
      </c>
      <c r="K419" s="293"/>
      <c r="L419" s="119">
        <v>2</v>
      </c>
      <c r="M419" s="119">
        <f>I419*L419</f>
        <v>1000</v>
      </c>
      <c r="N419" s="293"/>
      <c r="O419" s="119">
        <v>2</v>
      </c>
      <c r="P419" s="119">
        <f>I419*O419</f>
        <v>1000</v>
      </c>
      <c r="Q419" s="293"/>
      <c r="R419" s="119">
        <v>0</v>
      </c>
      <c r="S419" s="119">
        <f>I419*R419</f>
        <v>0</v>
      </c>
      <c r="T419" s="293"/>
      <c r="U419" s="119">
        <v>0</v>
      </c>
      <c r="V419" s="119">
        <f>I419*U419</f>
        <v>0</v>
      </c>
      <c r="W419" s="119">
        <f t="shared" si="300"/>
        <v>2000</v>
      </c>
      <c r="X419" s="119">
        <v>0</v>
      </c>
      <c r="Y419" s="119">
        <f>SUM(W419:X419)</f>
        <v>2000</v>
      </c>
      <c r="AA419" s="366">
        <v>0.5</v>
      </c>
      <c r="AB419" s="366">
        <v>0.5</v>
      </c>
    </row>
    <row r="420" spans="1:28">
      <c r="A420" s="109"/>
      <c r="B420" s="109"/>
      <c r="C420" s="109"/>
      <c r="D420" s="109"/>
      <c r="E420" s="109" t="s">
        <v>524</v>
      </c>
      <c r="F420" s="300"/>
      <c r="G420" s="123"/>
      <c r="H420" s="124"/>
      <c r="I420" s="124"/>
      <c r="J420" s="125">
        <f>SUM(J417:J419)</f>
        <v>0</v>
      </c>
      <c r="K420" s="303"/>
      <c r="L420" s="125"/>
      <c r="M420" s="125">
        <f>SUM(M417:M419)</f>
        <v>3400</v>
      </c>
      <c r="N420" s="303"/>
      <c r="O420" s="125"/>
      <c r="P420" s="125">
        <f>SUM(P417:P419)</f>
        <v>3400</v>
      </c>
      <c r="Q420" s="303"/>
      <c r="R420" s="125"/>
      <c r="S420" s="125">
        <f>SUM(S417:S419)</f>
        <v>0</v>
      </c>
      <c r="T420" s="303"/>
      <c r="U420" s="125"/>
      <c r="V420" s="125">
        <f>SUM(V417:V419)</f>
        <v>0</v>
      </c>
      <c r="W420" s="125">
        <f>SUM(W417:W419)</f>
        <v>6800</v>
      </c>
      <c r="X420" s="125">
        <f>SUM(X417:X419)</f>
        <v>0</v>
      </c>
      <c r="Y420" s="125">
        <f>SUM(Y417:Y419)</f>
        <v>6800</v>
      </c>
      <c r="Z420" s="142"/>
    </row>
    <row r="421" spans="1:28">
      <c r="A421" s="120"/>
      <c r="B421" s="120"/>
      <c r="C421" s="120"/>
      <c r="D421" s="120"/>
      <c r="E421" s="120"/>
      <c r="F421" s="293"/>
      <c r="G421" s="126"/>
      <c r="H421" s="119"/>
      <c r="I421" s="119"/>
      <c r="J421" s="119"/>
      <c r="K421" s="293"/>
      <c r="L421" s="119"/>
      <c r="M421" s="119"/>
      <c r="N421" s="293"/>
      <c r="O421" s="119"/>
      <c r="P421" s="119"/>
      <c r="Q421" s="293"/>
      <c r="R421" s="119"/>
      <c r="S421" s="119"/>
      <c r="T421" s="293"/>
      <c r="U421" s="119"/>
      <c r="V421" s="119"/>
      <c r="W421" s="119"/>
      <c r="X421" s="119"/>
      <c r="Y421" s="136"/>
    </row>
    <row r="422" spans="1:28">
      <c r="A422" s="109"/>
      <c r="B422" s="109"/>
      <c r="C422" s="109"/>
      <c r="D422" s="109"/>
      <c r="E422" s="109" t="s">
        <v>525</v>
      </c>
      <c r="F422" s="300"/>
      <c r="G422" s="123"/>
      <c r="H422" s="124"/>
      <c r="I422" s="124"/>
      <c r="J422" s="124"/>
      <c r="K422" s="300"/>
      <c r="L422" s="124"/>
      <c r="M422" s="124"/>
      <c r="N422" s="300"/>
      <c r="O422" s="124"/>
      <c r="P422" s="124"/>
      <c r="Q422" s="300"/>
      <c r="R422" s="124"/>
      <c r="S422" s="124"/>
      <c r="T422" s="300"/>
      <c r="U422" s="124"/>
      <c r="V422" s="124"/>
      <c r="W422" s="124"/>
      <c r="X422" s="124"/>
      <c r="Y422" s="124"/>
    </row>
    <row r="423" spans="1:28">
      <c r="A423" s="258"/>
      <c r="B423" s="258"/>
      <c r="C423" s="258"/>
      <c r="D423" s="258"/>
      <c r="E423" s="258" t="s">
        <v>420</v>
      </c>
      <c r="F423" s="295"/>
      <c r="G423" s="260"/>
      <c r="H423" s="261"/>
      <c r="I423" s="261"/>
      <c r="J423" s="261"/>
      <c r="K423" s="295"/>
      <c r="L423" s="261"/>
      <c r="M423" s="261"/>
      <c r="N423" s="295"/>
      <c r="O423" s="261"/>
      <c r="P423" s="261"/>
      <c r="Q423" s="295"/>
      <c r="R423" s="261"/>
      <c r="S423" s="261"/>
      <c r="T423" s="295"/>
      <c r="U423" s="261"/>
      <c r="V423" s="261"/>
      <c r="W423" s="244"/>
      <c r="X423" s="244"/>
      <c r="Y423" s="261"/>
    </row>
    <row r="424" spans="1:28">
      <c r="A424" s="58" t="s">
        <v>526</v>
      </c>
      <c r="B424" s="58">
        <v>89000</v>
      </c>
      <c r="C424" s="58" t="s">
        <v>222</v>
      </c>
      <c r="D424" s="58">
        <v>0</v>
      </c>
      <c r="E424" s="58" t="s">
        <v>527</v>
      </c>
      <c r="F424" s="293"/>
      <c r="G424" s="58" t="s">
        <v>423</v>
      </c>
      <c r="H424" s="119">
        <v>0</v>
      </c>
      <c r="I424" s="119">
        <v>10000</v>
      </c>
      <c r="J424" s="119">
        <f>H424*I424</f>
        <v>0</v>
      </c>
      <c r="K424" s="293"/>
      <c r="L424" s="119">
        <v>5</v>
      </c>
      <c r="M424" s="119">
        <f>I424*L424</f>
        <v>50000</v>
      </c>
      <c r="N424" s="293"/>
      <c r="O424" s="119">
        <v>5</v>
      </c>
      <c r="P424" s="119">
        <f>I424*O424</f>
        <v>50000</v>
      </c>
      <c r="Q424" s="293"/>
      <c r="R424" s="119">
        <v>0</v>
      </c>
      <c r="S424" s="119">
        <f>I424*R424</f>
        <v>0</v>
      </c>
      <c r="T424" s="293"/>
      <c r="U424" s="119">
        <v>0</v>
      </c>
      <c r="V424" s="119">
        <f>I424*U424</f>
        <v>0</v>
      </c>
      <c r="W424" s="119">
        <f t="shared" ref="W424:W425" si="301">SUM(S424,P424,M424,J424,V424)</f>
        <v>100000</v>
      </c>
      <c r="X424" s="119">
        <v>0</v>
      </c>
      <c r="Y424" s="119">
        <f>SUM(W424:X424)</f>
        <v>100000</v>
      </c>
      <c r="AA424" s="366">
        <v>0.5</v>
      </c>
      <c r="AB424" s="366">
        <v>0.5</v>
      </c>
    </row>
    <row r="425" spans="1:28">
      <c r="A425" s="58" t="s">
        <v>528</v>
      </c>
      <c r="B425" s="58">
        <v>89000</v>
      </c>
      <c r="C425" s="58" t="s">
        <v>222</v>
      </c>
      <c r="D425" s="58">
        <v>0</v>
      </c>
      <c r="E425" s="58" t="s">
        <v>529</v>
      </c>
      <c r="F425" s="293"/>
      <c r="G425" s="58" t="s">
        <v>423</v>
      </c>
      <c r="H425" s="119">
        <v>0</v>
      </c>
      <c r="I425" s="119">
        <v>10000</v>
      </c>
      <c r="J425" s="119">
        <f>H425*I425</f>
        <v>0</v>
      </c>
      <c r="K425" s="293"/>
      <c r="L425" s="119">
        <v>10</v>
      </c>
      <c r="M425" s="119">
        <f>I425*L425</f>
        <v>100000</v>
      </c>
      <c r="N425" s="293"/>
      <c r="O425" s="119">
        <v>10</v>
      </c>
      <c r="P425" s="119">
        <f>I425*O425</f>
        <v>100000</v>
      </c>
      <c r="Q425" s="293"/>
      <c r="R425" s="119">
        <v>0</v>
      </c>
      <c r="S425" s="119">
        <f>I425*R425</f>
        <v>0</v>
      </c>
      <c r="T425" s="293"/>
      <c r="U425" s="119">
        <v>0</v>
      </c>
      <c r="V425" s="119">
        <f>I425*U425</f>
        <v>0</v>
      </c>
      <c r="W425" s="119">
        <f t="shared" si="301"/>
        <v>200000</v>
      </c>
      <c r="X425" s="119">
        <v>0</v>
      </c>
      <c r="Y425" s="119">
        <f>SUM(W425:X425)</f>
        <v>200000</v>
      </c>
      <c r="AA425" s="366">
        <v>0.5</v>
      </c>
      <c r="AB425" s="366">
        <v>0.5</v>
      </c>
    </row>
    <row r="426" spans="1:28">
      <c r="A426" s="109"/>
      <c r="B426" s="109"/>
      <c r="C426" s="109"/>
      <c r="D426" s="109"/>
      <c r="E426" s="109" t="s">
        <v>530</v>
      </c>
      <c r="F426" s="300"/>
      <c r="G426" s="123"/>
      <c r="H426" s="124"/>
      <c r="I426" s="124"/>
      <c r="J426" s="125">
        <f>SUM(J424:J425)</f>
        <v>0</v>
      </c>
      <c r="K426" s="300"/>
      <c r="L426" s="125"/>
      <c r="M426" s="125">
        <f>SUM(M424:M425)</f>
        <v>150000</v>
      </c>
      <c r="N426" s="300"/>
      <c r="O426" s="125"/>
      <c r="P426" s="125">
        <f>SUM(P424:P425)</f>
        <v>150000</v>
      </c>
      <c r="Q426" s="300"/>
      <c r="R426" s="125"/>
      <c r="S426" s="125">
        <f>SUM(S424:S425)</f>
        <v>0</v>
      </c>
      <c r="T426" s="300"/>
      <c r="U426" s="125"/>
      <c r="V426" s="125">
        <f>SUM(V424:V425)</f>
        <v>0</v>
      </c>
      <c r="W426" s="125">
        <f>SUM(W424:W425)</f>
        <v>300000</v>
      </c>
      <c r="X426" s="125">
        <f>SUM(X424:X425)</f>
        <v>0</v>
      </c>
      <c r="Y426" s="125">
        <f>SUM(Y424:Y425)</f>
        <v>300000</v>
      </c>
    </row>
    <row r="427" spans="1:28">
      <c r="A427" s="120"/>
      <c r="B427" s="120"/>
      <c r="C427" s="120"/>
      <c r="D427" s="120"/>
      <c r="E427" s="120"/>
      <c r="F427" s="293"/>
      <c r="G427" s="126"/>
      <c r="H427" s="119"/>
      <c r="I427" s="119"/>
      <c r="J427" s="119"/>
      <c r="K427" s="293"/>
      <c r="L427" s="119"/>
      <c r="M427" s="119"/>
      <c r="N427" s="293"/>
      <c r="O427" s="119"/>
      <c r="P427" s="119"/>
      <c r="Q427" s="293"/>
      <c r="R427" s="119"/>
      <c r="S427" s="119"/>
      <c r="T427" s="293"/>
      <c r="U427" s="119"/>
      <c r="V427" s="119"/>
      <c r="W427" s="119"/>
      <c r="X427" s="119"/>
      <c r="Y427" s="136"/>
    </row>
    <row r="428" spans="1:28">
      <c r="A428" s="109"/>
      <c r="B428" s="109"/>
      <c r="C428" s="109"/>
      <c r="D428" s="109"/>
      <c r="E428" s="109" t="s">
        <v>531</v>
      </c>
      <c r="F428" s="300"/>
      <c r="G428" s="123"/>
      <c r="H428" s="124"/>
      <c r="I428" s="124"/>
      <c r="J428" s="124"/>
      <c r="K428" s="300"/>
      <c r="L428" s="124"/>
      <c r="M428" s="124"/>
      <c r="N428" s="300"/>
      <c r="O428" s="124"/>
      <c r="P428" s="124"/>
      <c r="Q428" s="300"/>
      <c r="R428" s="124"/>
      <c r="S428" s="124"/>
      <c r="T428" s="300"/>
      <c r="U428" s="124"/>
      <c r="V428" s="124"/>
      <c r="W428" s="124"/>
      <c r="X428" s="124"/>
      <c r="Y428" s="124"/>
    </row>
    <row r="429" spans="1:28">
      <c r="A429" s="120" t="s">
        <v>532</v>
      </c>
      <c r="B429" s="120">
        <v>96000</v>
      </c>
      <c r="C429" s="120" t="s">
        <v>219</v>
      </c>
      <c r="D429" s="120">
        <v>0</v>
      </c>
      <c r="E429" s="58" t="s">
        <v>533</v>
      </c>
      <c r="F429" s="293"/>
      <c r="G429" s="126" t="s">
        <v>364</v>
      </c>
      <c r="H429" s="119">
        <v>0</v>
      </c>
      <c r="I429" s="119">
        <f>((4300*12)/2080)</f>
        <v>24.807692307692307</v>
      </c>
      <c r="J429" s="119">
        <v>0</v>
      </c>
      <c r="K429" s="293"/>
      <c r="L429" s="119">
        <f>15*80</f>
        <v>1200</v>
      </c>
      <c r="M429" s="119">
        <v>0</v>
      </c>
      <c r="N429" s="293"/>
      <c r="O429" s="119">
        <f>15*80</f>
        <v>1200</v>
      </c>
      <c r="P429" s="119">
        <v>0</v>
      </c>
      <c r="Q429" s="293"/>
      <c r="R429" s="119">
        <v>0</v>
      </c>
      <c r="S429" s="119">
        <v>0</v>
      </c>
      <c r="T429" s="293"/>
      <c r="U429" s="119">
        <v>0</v>
      </c>
      <c r="V429" s="119">
        <v>0</v>
      </c>
      <c r="W429" s="119">
        <f t="shared" ref="W429" si="302">SUM(S429,P429,M429,J429,V429)</f>
        <v>0</v>
      </c>
      <c r="X429" s="119">
        <f>(H429*I429)+(L429*I429)+(O429*I429)+(I429*R429)+(U429*I429)</f>
        <v>59538.461538461539</v>
      </c>
      <c r="Y429" s="119">
        <f>W429+X429</f>
        <v>59538.461538461539</v>
      </c>
      <c r="AA429" s="366">
        <v>0.5</v>
      </c>
      <c r="AB429" s="366">
        <v>0.5</v>
      </c>
    </row>
    <row r="430" spans="1:28" ht="25.2">
      <c r="A430" s="120" t="s">
        <v>532</v>
      </c>
      <c r="B430" s="120">
        <v>96000</v>
      </c>
      <c r="C430" s="120" t="s">
        <v>219</v>
      </c>
      <c r="D430" s="120">
        <v>0</v>
      </c>
      <c r="E430" s="58" t="s">
        <v>534</v>
      </c>
      <c r="F430" s="293"/>
      <c r="G430" s="126" t="s">
        <v>423</v>
      </c>
      <c r="H430" s="119">
        <v>0</v>
      </c>
      <c r="I430" s="119">
        <v>10000</v>
      </c>
      <c r="J430" s="119">
        <v>0</v>
      </c>
      <c r="K430" s="296"/>
      <c r="L430" s="119">
        <v>20</v>
      </c>
      <c r="M430" s="119">
        <v>0</v>
      </c>
      <c r="N430" s="296"/>
      <c r="O430" s="119">
        <v>20</v>
      </c>
      <c r="P430" s="119">
        <v>0</v>
      </c>
      <c r="Q430" s="296"/>
      <c r="R430" s="119">
        <v>20</v>
      </c>
      <c r="S430" s="119">
        <v>0</v>
      </c>
      <c r="T430" s="296"/>
      <c r="U430" s="119">
        <v>0</v>
      </c>
      <c r="V430" s="119">
        <v>0</v>
      </c>
      <c r="W430" s="119">
        <f>SUM(S430,P430,M430,J430,V430)</f>
        <v>0</v>
      </c>
      <c r="X430" s="119">
        <f>(H430*I430)+(L430*I430)+(O430*I430)+(I430*R430)+(U430*I430)</f>
        <v>600000</v>
      </c>
      <c r="Y430" s="360">
        <f>SUM(W430:X430)</f>
        <v>600000</v>
      </c>
      <c r="AA430" s="366">
        <v>0.5</v>
      </c>
      <c r="AB430" s="366">
        <v>0.5</v>
      </c>
    </row>
    <row r="431" spans="1:28">
      <c r="A431" s="109"/>
      <c r="B431" s="109"/>
      <c r="C431" s="109"/>
      <c r="D431" s="109"/>
      <c r="E431" s="109" t="s">
        <v>535</v>
      </c>
      <c r="F431" s="300"/>
      <c r="G431" s="123"/>
      <c r="H431" s="124"/>
      <c r="I431" s="124"/>
      <c r="J431" s="125">
        <f>SUM(J429:J430)</f>
        <v>0</v>
      </c>
      <c r="K431" s="300"/>
      <c r="L431" s="125"/>
      <c r="M431" s="125">
        <f>SUM(M429:M430)</f>
        <v>0</v>
      </c>
      <c r="N431" s="300"/>
      <c r="O431" s="125"/>
      <c r="P431" s="125">
        <f>SUM(P429:P430)</f>
        <v>0</v>
      </c>
      <c r="Q431" s="300"/>
      <c r="R431" s="125"/>
      <c r="S431" s="125">
        <f>SUM(S429:S430)</f>
        <v>0</v>
      </c>
      <c r="T431" s="300"/>
      <c r="U431" s="125"/>
      <c r="V431" s="125">
        <f>SUM(V429:V430)</f>
        <v>0</v>
      </c>
      <c r="W431" s="125">
        <f>SUM(W429:W430)</f>
        <v>0</v>
      </c>
      <c r="X431" s="125">
        <f>SUM(X429:X430)</f>
        <v>659538.4615384615</v>
      </c>
      <c r="Y431" s="125">
        <f>SUM(Y429:Y430)</f>
        <v>659538.4615384615</v>
      </c>
    </row>
    <row r="432" spans="1:28">
      <c r="A432" s="120"/>
      <c r="B432" s="120"/>
      <c r="C432" s="120"/>
      <c r="D432" s="120"/>
      <c r="E432" s="120"/>
      <c r="F432" s="293"/>
      <c r="G432" s="126"/>
      <c r="H432" s="119"/>
      <c r="I432" s="119"/>
      <c r="J432" s="119"/>
      <c r="K432" s="293"/>
      <c r="L432" s="119"/>
      <c r="M432" s="119"/>
      <c r="N432" s="293"/>
      <c r="O432" s="119"/>
      <c r="P432" s="119"/>
      <c r="Q432" s="293"/>
      <c r="R432" s="119"/>
      <c r="S432" s="119"/>
      <c r="T432" s="293"/>
      <c r="U432" s="119"/>
      <c r="V432" s="119"/>
      <c r="W432" s="119"/>
      <c r="X432" s="119"/>
      <c r="Y432" s="136"/>
      <c r="AA432" s="366"/>
      <c r="AB432" s="366"/>
    </row>
    <row r="433" spans="1:28" ht="12.9" thickBot="1">
      <c r="A433" s="143"/>
      <c r="B433" s="143"/>
      <c r="C433" s="143"/>
      <c r="D433" s="143"/>
      <c r="E433" s="143" t="s">
        <v>183</v>
      </c>
      <c r="F433" s="294"/>
      <c r="G433" s="143"/>
      <c r="H433" s="162"/>
      <c r="I433" s="162"/>
      <c r="J433" s="157">
        <f>SUM(J420+J414++J426+J409+J393+J386+J431)</f>
        <v>0</v>
      </c>
      <c r="K433" s="294"/>
      <c r="L433" s="157"/>
      <c r="M433" s="157">
        <f>SUM(M420+M414++M426+M409+M393+M386+M431)</f>
        <v>403287.98496000003</v>
      </c>
      <c r="N433" s="294"/>
      <c r="O433" s="157"/>
      <c r="P433" s="157">
        <f>SUM(P420+P414++P426+P409+P393+P386+P431)</f>
        <v>437686.00390080002</v>
      </c>
      <c r="Q433" s="294"/>
      <c r="R433" s="157"/>
      <c r="S433" s="157">
        <f>SUM(S420+S414++S426+S409+S393+S386+S431)</f>
        <v>214795.23486425602</v>
      </c>
      <c r="T433" s="294"/>
      <c r="U433" s="157"/>
      <c r="V433" s="157">
        <f>SUM(V420+V414++V426+V409+V393+V386+V431)</f>
        <v>90970.201559040011</v>
      </c>
      <c r="W433" s="157">
        <f>SUM(W420+W414++W426+W409+W393+W386+W431)</f>
        <v>1146739.425284096</v>
      </c>
      <c r="X433" s="157">
        <f>SUM(X420+X414++X426+X409+X393+X386+X431)</f>
        <v>659538.4615384615</v>
      </c>
      <c r="Y433" s="157">
        <f>SUM(Y420+Y414++Y426+Y409+Y393+Y386+Y431)</f>
        <v>1806277.8868225575</v>
      </c>
      <c r="AA433" s="146">
        <f>SUMPRODUCT(W372:W385,AA372:AA385)+SUMPRODUCT(W400:W401,AA400:AA401)+SUMPRODUCT(W389:W392,AA389:AA392)+SUMPRODUCT(W397:W398,AA397:AA398)+SUMPRODUCT(W403:W406,AA403:AA406)+SUMPRODUCT(W408,AA408)+SUMPRODUCT(W412:W413,AA412:AA413)+SUMPRODUCT(W417:W419,AA417:AA419)+SUMPRODUCT(W424:W425,AA424:AA425)+SUMPRODUCT(W429:W430,AA429:AA430)</f>
        <v>573369.71264204802</v>
      </c>
      <c r="AB433" s="146">
        <f>SUMPRODUCT(W372:W385,AB372:AB385)+SUMPRODUCT(W400:W401,AB400:AB401)+SUMPRODUCT(W389:W392,AB389:AB392)+SUMPRODUCT(W397:W398,AB397:AB398)+SUMPRODUCT(W403:W406,AB403:AB406)+SUMPRODUCT(W408,AB408)+SUMPRODUCT(W412:W413,AB412:AB413)+SUMPRODUCT(W417:W419,AB417:AB419)+SUMPRODUCT(W424:W425,AB424:AB425)+SUMPRODUCT(W429:W430,AB429:AB430)</f>
        <v>573369.71264204802</v>
      </c>
    </row>
    <row r="434" spans="1:28">
      <c r="E434" s="245"/>
      <c r="F434" s="291"/>
      <c r="G434" s="245"/>
      <c r="H434" s="154"/>
      <c r="I434" s="154"/>
      <c r="J434" s="154"/>
      <c r="K434" s="291"/>
      <c r="L434" s="154"/>
      <c r="M434" s="154"/>
      <c r="N434" s="291"/>
      <c r="O434" s="154"/>
      <c r="P434" s="154"/>
      <c r="Q434" s="291"/>
      <c r="R434" s="154"/>
      <c r="S434" s="154"/>
      <c r="T434" s="291"/>
      <c r="U434" s="154"/>
      <c r="V434" s="154"/>
      <c r="W434" s="154"/>
      <c r="X434" s="154"/>
      <c r="Y434" s="154"/>
    </row>
    <row r="435" spans="1:28">
      <c r="A435" s="266"/>
      <c r="B435" s="266"/>
      <c r="C435" s="266"/>
      <c r="D435" s="266"/>
      <c r="E435" s="266" t="str">
        <f>'USDA Budget Summary'!A34</f>
        <v>Activity 7: Establishment of Regional Community of Practice</v>
      </c>
      <c r="F435" s="298"/>
      <c r="G435" s="106"/>
      <c r="H435" s="106"/>
      <c r="I435" s="107"/>
      <c r="J435" s="267"/>
      <c r="K435" s="298"/>
      <c r="L435" s="267"/>
      <c r="M435" s="267"/>
      <c r="N435" s="298"/>
      <c r="O435" s="267"/>
      <c r="P435" s="267"/>
      <c r="Q435" s="298"/>
      <c r="R435" s="267"/>
      <c r="S435" s="267"/>
      <c r="T435" s="298"/>
      <c r="U435" s="267"/>
      <c r="V435" s="267"/>
      <c r="W435" s="267"/>
      <c r="X435" s="268"/>
      <c r="Y435" s="267"/>
    </row>
    <row r="436" spans="1:28">
      <c r="A436" s="269"/>
      <c r="B436" s="269"/>
      <c r="C436" s="269"/>
      <c r="D436" s="269"/>
      <c r="E436" s="269" t="s">
        <v>349</v>
      </c>
      <c r="F436" s="299"/>
      <c r="G436" s="270"/>
      <c r="H436" s="271"/>
      <c r="I436" s="271"/>
      <c r="J436" s="271"/>
      <c r="K436" s="299"/>
      <c r="L436" s="271"/>
      <c r="M436" s="271"/>
      <c r="N436" s="299"/>
      <c r="O436" s="271"/>
      <c r="P436" s="271"/>
      <c r="Q436" s="299"/>
      <c r="R436" s="271"/>
      <c r="S436" s="271"/>
      <c r="T436" s="299"/>
      <c r="U436" s="271"/>
      <c r="V436" s="271"/>
      <c r="W436" s="271"/>
      <c r="X436" s="271"/>
      <c r="Y436" s="271"/>
    </row>
    <row r="437" spans="1:28">
      <c r="A437" s="109"/>
      <c r="B437" s="109"/>
      <c r="C437" s="109"/>
      <c r="D437" s="109"/>
      <c r="E437" s="109" t="s">
        <v>536</v>
      </c>
      <c r="F437" s="300"/>
      <c r="G437" s="123"/>
      <c r="H437" s="124"/>
      <c r="I437" s="124"/>
      <c r="J437" s="124"/>
      <c r="K437" s="300"/>
      <c r="L437" s="124"/>
      <c r="M437" s="124"/>
      <c r="N437" s="300"/>
      <c r="O437" s="124"/>
      <c r="P437" s="124"/>
      <c r="Q437" s="300"/>
      <c r="R437" s="124"/>
      <c r="S437" s="124"/>
      <c r="T437" s="300"/>
      <c r="U437" s="124"/>
      <c r="V437" s="124"/>
      <c r="W437" s="124"/>
      <c r="X437" s="124"/>
      <c r="Y437" s="124"/>
    </row>
    <row r="438" spans="1:28">
      <c r="A438" s="58" t="s">
        <v>537</v>
      </c>
      <c r="B438" s="58">
        <v>50000</v>
      </c>
      <c r="C438" s="58" t="s">
        <v>219</v>
      </c>
      <c r="D438" s="58">
        <v>0</v>
      </c>
      <c r="E438" s="58" t="str">
        <f t="shared" ref="E438:E451" si="303">E13</f>
        <v xml:space="preserve">Key Personnel: Chief of Party </v>
      </c>
      <c r="F438" s="287">
        <f>'LOE Breakdown by Year'!K11</f>
        <v>0.1</v>
      </c>
      <c r="G438" s="127" t="s">
        <v>221</v>
      </c>
      <c r="H438" s="119">
        <f t="shared" ref="H438:I451" si="304">H13</f>
        <v>12</v>
      </c>
      <c r="I438" s="119">
        <f t="shared" si="304"/>
        <v>12500</v>
      </c>
      <c r="J438" s="119">
        <f>H438*I438*F438</f>
        <v>15000</v>
      </c>
      <c r="K438" s="287">
        <f>'LOE Breakdown by Year'!K35</f>
        <v>0.1</v>
      </c>
      <c r="L438" s="119">
        <f t="shared" ref="L438:L451" si="305">L13</f>
        <v>12</v>
      </c>
      <c r="M438" s="119">
        <f t="shared" ref="M438" si="306">L438*I438*$F$8*$K438</f>
        <v>15600</v>
      </c>
      <c r="N438" s="287">
        <f>'LOE Breakdown by Year'!K59</f>
        <v>0.15</v>
      </c>
      <c r="O438" s="119">
        <f t="shared" ref="O438:O451" si="307">O13</f>
        <v>12</v>
      </c>
      <c r="P438" s="119">
        <f t="shared" ref="P438:P449" si="308">O438*I438*$N438*$F$8*$F$8</f>
        <v>24336</v>
      </c>
      <c r="Q438" s="287">
        <f>'LOE Breakdown by Year'!K83</f>
        <v>0.1</v>
      </c>
      <c r="R438" s="119">
        <f t="shared" ref="R438:R451" si="309">R13</f>
        <v>12</v>
      </c>
      <c r="S438" s="119">
        <f t="shared" ref="S438" si="310">R438*I438*$Q438*$F$8*$F$8*$F$8</f>
        <v>16872.96</v>
      </c>
      <c r="T438" s="287">
        <f>'LOE Breakdown by Year'!K107</f>
        <v>0.15</v>
      </c>
      <c r="U438" s="119">
        <f t="shared" ref="U438:U451" si="311">U13</f>
        <v>12</v>
      </c>
      <c r="V438" s="119">
        <f t="shared" ref="V438" si="312">U438*I438*$T438*$F$8*$F$8*$F$8*$F$8</f>
        <v>26321.817600000002</v>
      </c>
      <c r="W438" s="119">
        <f t="shared" ref="W438" si="313">SUM(S438,P438,M438,J438,V438)</f>
        <v>98130.777600000001</v>
      </c>
      <c r="X438" s="119">
        <v>0</v>
      </c>
      <c r="Y438" s="119">
        <f t="shared" ref="Y438" si="314">SUM(W438:X438)</f>
        <v>98130.777600000001</v>
      </c>
      <c r="AA438" s="366">
        <v>0.5</v>
      </c>
      <c r="AB438" s="366">
        <v>0.5</v>
      </c>
    </row>
    <row r="439" spans="1:28" hidden="1">
      <c r="A439" s="58"/>
      <c r="B439" s="58"/>
      <c r="C439" s="58"/>
      <c r="D439" s="58"/>
      <c r="E439" s="58" t="str">
        <f t="shared" si="303"/>
        <v>Key Personnel: Technical Director</v>
      </c>
      <c r="F439" s="287">
        <f>'LOE Breakdown by Year'!K12</f>
        <v>0</v>
      </c>
      <c r="G439" s="127" t="s">
        <v>221</v>
      </c>
      <c r="H439" s="119">
        <f t="shared" si="304"/>
        <v>8</v>
      </c>
      <c r="I439" s="119">
        <f t="shared" si="304"/>
        <v>5833.333333333333</v>
      </c>
      <c r="J439" s="119">
        <f t="shared" ref="J439:J449" si="315">H439*I439*F439</f>
        <v>0</v>
      </c>
      <c r="K439" s="287">
        <f>'LOE Breakdown by Year'!K36</f>
        <v>0</v>
      </c>
      <c r="L439" s="119">
        <f t="shared" si="305"/>
        <v>12</v>
      </c>
      <c r="M439" s="119">
        <f t="shared" ref="M439:M449" si="316">L439*I439*$F$8*$K439</f>
        <v>0</v>
      </c>
      <c r="N439" s="287">
        <f>'LOE Breakdown by Year'!K60</f>
        <v>0</v>
      </c>
      <c r="O439" s="119">
        <f t="shared" si="307"/>
        <v>12</v>
      </c>
      <c r="P439" s="119">
        <f t="shared" si="308"/>
        <v>0</v>
      </c>
      <c r="Q439" s="287">
        <f>'LOE Breakdown by Year'!K84</f>
        <v>0</v>
      </c>
      <c r="R439" s="119">
        <f t="shared" si="309"/>
        <v>12</v>
      </c>
      <c r="S439" s="119">
        <f t="shared" ref="S439:S449" si="317">R439*I439*$Q439*$F$8*$F$8*$F$8</f>
        <v>0</v>
      </c>
      <c r="T439" s="287">
        <f>'LOE Breakdown by Year'!K108</f>
        <v>0</v>
      </c>
      <c r="U439" s="119">
        <f t="shared" si="311"/>
        <v>12</v>
      </c>
      <c r="V439" s="119">
        <f t="shared" ref="V439:V449" si="318">U439*I439*$T439*$F$8*$F$8*$F$8*$F$8</f>
        <v>0</v>
      </c>
      <c r="W439" s="119">
        <f t="shared" ref="W439:W449" si="319">SUM(S439,P439,M439,J439,V439)</f>
        <v>0</v>
      </c>
      <c r="X439" s="119">
        <v>0</v>
      </c>
      <c r="Y439" s="119">
        <f t="shared" ref="Y439:Y449" si="320">SUM(W439:X439)</f>
        <v>0</v>
      </c>
      <c r="AA439" s="366">
        <v>0.5</v>
      </c>
      <c r="AB439" s="366">
        <v>0.5</v>
      </c>
    </row>
    <row r="440" spans="1:28" hidden="1">
      <c r="A440" s="58"/>
      <c r="B440" s="58"/>
      <c r="C440" s="58"/>
      <c r="D440" s="58"/>
      <c r="E440" s="58" t="str">
        <f t="shared" si="303"/>
        <v xml:space="preserve">F&amp;A Director </v>
      </c>
      <c r="F440" s="287">
        <f>'LOE Breakdown by Year'!K13</f>
        <v>0</v>
      </c>
      <c r="G440" s="127" t="s">
        <v>221</v>
      </c>
      <c r="H440" s="119">
        <f t="shared" si="304"/>
        <v>8</v>
      </c>
      <c r="I440" s="119">
        <f t="shared" si="304"/>
        <v>3833.3333333333335</v>
      </c>
      <c r="J440" s="119">
        <f t="shared" si="315"/>
        <v>0</v>
      </c>
      <c r="K440" s="287">
        <f>'LOE Breakdown by Year'!K37</f>
        <v>0</v>
      </c>
      <c r="L440" s="119">
        <f t="shared" si="305"/>
        <v>12</v>
      </c>
      <c r="M440" s="119">
        <f t="shared" si="316"/>
        <v>0</v>
      </c>
      <c r="N440" s="287">
        <f>'LOE Breakdown by Year'!K61</f>
        <v>0</v>
      </c>
      <c r="O440" s="119">
        <f t="shared" si="307"/>
        <v>12</v>
      </c>
      <c r="P440" s="119">
        <f t="shared" si="308"/>
        <v>0</v>
      </c>
      <c r="Q440" s="287">
        <f>'LOE Breakdown by Year'!K85</f>
        <v>0</v>
      </c>
      <c r="R440" s="119">
        <f t="shared" si="309"/>
        <v>12</v>
      </c>
      <c r="S440" s="119">
        <f t="shared" si="317"/>
        <v>0</v>
      </c>
      <c r="T440" s="287">
        <f>'LOE Breakdown by Year'!K109</f>
        <v>0</v>
      </c>
      <c r="U440" s="119">
        <f t="shared" si="311"/>
        <v>12</v>
      </c>
      <c r="V440" s="119">
        <f t="shared" si="318"/>
        <v>0</v>
      </c>
      <c r="W440" s="119">
        <f t="shared" si="319"/>
        <v>0</v>
      </c>
      <c r="X440" s="119">
        <v>0</v>
      </c>
      <c r="Y440" s="119">
        <f t="shared" si="320"/>
        <v>0</v>
      </c>
      <c r="AA440" s="366">
        <v>0.5</v>
      </c>
      <c r="AB440" s="366">
        <v>0.5</v>
      </c>
    </row>
    <row r="441" spans="1:28" hidden="1">
      <c r="A441" s="58"/>
      <c r="B441" s="58"/>
      <c r="C441" s="58"/>
      <c r="D441" s="58"/>
      <c r="E441" s="58" t="str">
        <f t="shared" si="303"/>
        <v xml:space="preserve">M&amp;E Director </v>
      </c>
      <c r="F441" s="287">
        <f>'LOE Breakdown by Year'!K14</f>
        <v>0</v>
      </c>
      <c r="G441" s="127" t="s">
        <v>221</v>
      </c>
      <c r="H441" s="119">
        <f t="shared" si="304"/>
        <v>8</v>
      </c>
      <c r="I441" s="119">
        <f t="shared" si="304"/>
        <v>3833.3333333333335</v>
      </c>
      <c r="J441" s="119">
        <f t="shared" si="315"/>
        <v>0</v>
      </c>
      <c r="K441" s="287">
        <f>'LOE Breakdown by Year'!K38</f>
        <v>0</v>
      </c>
      <c r="L441" s="119">
        <f t="shared" si="305"/>
        <v>12</v>
      </c>
      <c r="M441" s="119">
        <f t="shared" si="316"/>
        <v>0</v>
      </c>
      <c r="N441" s="287">
        <f>'LOE Breakdown by Year'!K62</f>
        <v>0</v>
      </c>
      <c r="O441" s="119">
        <f t="shared" si="307"/>
        <v>12</v>
      </c>
      <c r="P441" s="119">
        <f t="shared" si="308"/>
        <v>0</v>
      </c>
      <c r="Q441" s="287">
        <f>'LOE Breakdown by Year'!K86</f>
        <v>0</v>
      </c>
      <c r="R441" s="119">
        <f t="shared" si="309"/>
        <v>12</v>
      </c>
      <c r="S441" s="119">
        <f t="shared" si="317"/>
        <v>0</v>
      </c>
      <c r="T441" s="287">
        <f>'LOE Breakdown by Year'!K110</f>
        <v>0</v>
      </c>
      <c r="U441" s="119">
        <f t="shared" si="311"/>
        <v>12</v>
      </c>
      <c r="V441" s="119">
        <f t="shared" si="318"/>
        <v>0</v>
      </c>
      <c r="W441" s="119">
        <f t="shared" si="319"/>
        <v>0</v>
      </c>
      <c r="X441" s="119">
        <v>0</v>
      </c>
      <c r="Y441" s="119">
        <f t="shared" si="320"/>
        <v>0</v>
      </c>
      <c r="AA441" s="366">
        <v>0.5</v>
      </c>
      <c r="AB441" s="366">
        <v>0.5</v>
      </c>
    </row>
    <row r="442" spans="1:28" hidden="1">
      <c r="A442" s="58"/>
      <c r="B442" s="58"/>
      <c r="C442" s="58"/>
      <c r="D442" s="58"/>
      <c r="E442" s="58" t="str">
        <f t="shared" si="303"/>
        <v>M&amp;E Mid-level Specialist</v>
      </c>
      <c r="F442" s="287">
        <f>'LOE Breakdown by Year'!K15</f>
        <v>0</v>
      </c>
      <c r="G442" s="127" t="s">
        <v>221</v>
      </c>
      <c r="H442" s="119">
        <f t="shared" si="304"/>
        <v>7</v>
      </c>
      <c r="I442" s="119">
        <f t="shared" si="304"/>
        <v>2666.6666666666665</v>
      </c>
      <c r="J442" s="119">
        <f t="shared" si="315"/>
        <v>0</v>
      </c>
      <c r="K442" s="287">
        <f>'LOE Breakdown by Year'!K39</f>
        <v>0</v>
      </c>
      <c r="L442" s="119">
        <f t="shared" si="305"/>
        <v>12</v>
      </c>
      <c r="M442" s="119">
        <f t="shared" si="316"/>
        <v>0</v>
      </c>
      <c r="N442" s="287">
        <f>'LOE Breakdown by Year'!K63</f>
        <v>0</v>
      </c>
      <c r="O442" s="119">
        <f t="shared" si="307"/>
        <v>12</v>
      </c>
      <c r="P442" s="119">
        <f t="shared" si="308"/>
        <v>0</v>
      </c>
      <c r="Q442" s="287">
        <f>'LOE Breakdown by Year'!K87</f>
        <v>0</v>
      </c>
      <c r="R442" s="119">
        <f t="shared" si="309"/>
        <v>12</v>
      </c>
      <c r="S442" s="119">
        <f t="shared" si="317"/>
        <v>0</v>
      </c>
      <c r="T442" s="287">
        <f>'LOE Breakdown by Year'!K111</f>
        <v>0</v>
      </c>
      <c r="U442" s="119">
        <f t="shared" si="311"/>
        <v>9</v>
      </c>
      <c r="V442" s="119">
        <f t="shared" si="318"/>
        <v>0</v>
      </c>
      <c r="W442" s="119">
        <f t="shared" si="319"/>
        <v>0</v>
      </c>
      <c r="X442" s="119">
        <v>0</v>
      </c>
      <c r="Y442" s="119">
        <f t="shared" si="320"/>
        <v>0</v>
      </c>
      <c r="AA442" s="366">
        <v>0.5</v>
      </c>
      <c r="AB442" s="366">
        <v>0.5</v>
      </c>
    </row>
    <row r="443" spans="1:28" hidden="1">
      <c r="A443" s="58"/>
      <c r="B443" s="58"/>
      <c r="C443" s="58"/>
      <c r="D443" s="58"/>
      <c r="E443" s="58" t="str">
        <f t="shared" si="303"/>
        <v>M&amp;E Specialist</v>
      </c>
      <c r="F443" s="287">
        <f>'LOE Breakdown by Year'!K16</f>
        <v>0</v>
      </c>
      <c r="G443" s="127" t="s">
        <v>221</v>
      </c>
      <c r="H443" s="119">
        <f t="shared" si="304"/>
        <v>3</v>
      </c>
      <c r="I443" s="119">
        <f t="shared" si="304"/>
        <v>2166.6666666666665</v>
      </c>
      <c r="J443" s="119">
        <f t="shared" si="315"/>
        <v>0</v>
      </c>
      <c r="K443" s="287">
        <f>'LOE Breakdown by Year'!K40</f>
        <v>0</v>
      </c>
      <c r="L443" s="119">
        <f t="shared" si="305"/>
        <v>12</v>
      </c>
      <c r="M443" s="119">
        <f t="shared" si="316"/>
        <v>0</v>
      </c>
      <c r="N443" s="287">
        <f>'LOE Breakdown by Year'!K64</f>
        <v>0</v>
      </c>
      <c r="O443" s="119">
        <f t="shared" si="307"/>
        <v>12</v>
      </c>
      <c r="P443" s="119">
        <f t="shared" si="308"/>
        <v>0</v>
      </c>
      <c r="Q443" s="287">
        <f>'LOE Breakdown by Year'!K88</f>
        <v>0</v>
      </c>
      <c r="R443" s="119">
        <f t="shared" si="309"/>
        <v>12</v>
      </c>
      <c r="S443" s="119">
        <f t="shared" si="317"/>
        <v>0</v>
      </c>
      <c r="T443" s="287">
        <f>'LOE Breakdown by Year'!K112</f>
        <v>0</v>
      </c>
      <c r="U443" s="119">
        <f t="shared" si="311"/>
        <v>9</v>
      </c>
      <c r="V443" s="119">
        <f t="shared" si="318"/>
        <v>0</v>
      </c>
      <c r="W443" s="119">
        <f t="shared" si="319"/>
        <v>0</v>
      </c>
      <c r="X443" s="119">
        <v>0</v>
      </c>
      <c r="Y443" s="119">
        <f t="shared" si="320"/>
        <v>0</v>
      </c>
      <c r="AA443" s="366">
        <v>0.5</v>
      </c>
      <c r="AB443" s="366">
        <v>0.5</v>
      </c>
    </row>
    <row r="444" spans="1:28" hidden="1">
      <c r="A444" s="58"/>
      <c r="B444" s="58"/>
      <c r="C444" s="58"/>
      <c r="D444" s="58"/>
      <c r="E444" s="58" t="str">
        <f t="shared" si="303"/>
        <v>Partnerships and Investment Director</v>
      </c>
      <c r="F444" s="287">
        <f>'LOE Breakdown by Year'!K17</f>
        <v>0</v>
      </c>
      <c r="G444" s="127" t="s">
        <v>221</v>
      </c>
      <c r="H444" s="119">
        <f t="shared" si="304"/>
        <v>8</v>
      </c>
      <c r="I444" s="119">
        <f t="shared" si="304"/>
        <v>3833.3333333333335</v>
      </c>
      <c r="J444" s="119">
        <f t="shared" si="315"/>
        <v>0</v>
      </c>
      <c r="K444" s="287">
        <f>'LOE Breakdown by Year'!K41</f>
        <v>0</v>
      </c>
      <c r="L444" s="119">
        <f t="shared" si="305"/>
        <v>12</v>
      </c>
      <c r="M444" s="119">
        <f t="shared" si="316"/>
        <v>0</v>
      </c>
      <c r="N444" s="287">
        <f>'LOE Breakdown by Year'!K65</f>
        <v>0</v>
      </c>
      <c r="O444" s="119">
        <f t="shared" si="307"/>
        <v>12</v>
      </c>
      <c r="P444" s="119">
        <f t="shared" si="308"/>
        <v>0</v>
      </c>
      <c r="Q444" s="287">
        <f>'LOE Breakdown by Year'!K89</f>
        <v>0</v>
      </c>
      <c r="R444" s="119">
        <f t="shared" si="309"/>
        <v>12</v>
      </c>
      <c r="S444" s="119">
        <f t="shared" si="317"/>
        <v>0</v>
      </c>
      <c r="T444" s="287">
        <f>'LOE Breakdown by Year'!K113</f>
        <v>0</v>
      </c>
      <c r="U444" s="119">
        <f t="shared" si="311"/>
        <v>9</v>
      </c>
      <c r="V444" s="119">
        <f t="shared" si="318"/>
        <v>0</v>
      </c>
      <c r="W444" s="119">
        <f t="shared" si="319"/>
        <v>0</v>
      </c>
      <c r="X444" s="119">
        <v>0</v>
      </c>
      <c r="Y444" s="119">
        <f t="shared" si="320"/>
        <v>0</v>
      </c>
      <c r="AA444" s="366">
        <v>0.5</v>
      </c>
      <c r="AB444" s="366">
        <v>0.5</v>
      </c>
    </row>
    <row r="445" spans="1:28" hidden="1">
      <c r="A445" s="58"/>
      <c r="B445" s="58"/>
      <c r="C445" s="58"/>
      <c r="D445" s="58"/>
      <c r="E445" s="58" t="str">
        <f t="shared" si="303"/>
        <v>Extension Agents (15)</v>
      </c>
      <c r="F445" s="287">
        <f>'LOE Breakdown by Year'!K18</f>
        <v>0</v>
      </c>
      <c r="G445" s="127" t="s">
        <v>221</v>
      </c>
      <c r="H445" s="119">
        <f t="shared" si="304"/>
        <v>3</v>
      </c>
      <c r="I445" s="119">
        <f t="shared" si="304"/>
        <v>26250</v>
      </c>
      <c r="J445" s="119">
        <f t="shared" si="315"/>
        <v>0</v>
      </c>
      <c r="K445" s="287">
        <f>'LOE Breakdown by Year'!K42</f>
        <v>0</v>
      </c>
      <c r="L445" s="119">
        <f t="shared" si="305"/>
        <v>12</v>
      </c>
      <c r="M445" s="119">
        <f t="shared" si="316"/>
        <v>0</v>
      </c>
      <c r="N445" s="287">
        <f>'LOE Breakdown by Year'!K66</f>
        <v>0</v>
      </c>
      <c r="O445" s="119">
        <f t="shared" si="307"/>
        <v>12</v>
      </c>
      <c r="P445" s="119">
        <f t="shared" si="308"/>
        <v>0</v>
      </c>
      <c r="Q445" s="287">
        <f>'LOE Breakdown by Year'!K90</f>
        <v>0</v>
      </c>
      <c r="R445" s="119">
        <f t="shared" si="309"/>
        <v>12</v>
      </c>
      <c r="S445" s="119">
        <f t="shared" si="317"/>
        <v>0</v>
      </c>
      <c r="T445" s="287">
        <f>'LOE Breakdown by Year'!K114</f>
        <v>0</v>
      </c>
      <c r="U445" s="119">
        <f t="shared" si="311"/>
        <v>9</v>
      </c>
      <c r="V445" s="119">
        <f t="shared" si="318"/>
        <v>0</v>
      </c>
      <c r="W445" s="119">
        <f t="shared" si="319"/>
        <v>0</v>
      </c>
      <c r="X445" s="119">
        <v>0</v>
      </c>
      <c r="Y445" s="119">
        <f t="shared" si="320"/>
        <v>0</v>
      </c>
      <c r="AA445" s="366">
        <v>0.5</v>
      </c>
      <c r="AB445" s="366">
        <v>0.5</v>
      </c>
    </row>
    <row r="446" spans="1:28" hidden="1">
      <c r="A446" s="58"/>
      <c r="B446" s="58"/>
      <c r="C446" s="58"/>
      <c r="D446" s="58"/>
      <c r="E446" s="58" t="str">
        <f t="shared" si="303"/>
        <v>Activity Lead Agribusiness Senior Specialist (Cacao)</v>
      </c>
      <c r="F446" s="287">
        <f>'LOE Breakdown by Year'!K19</f>
        <v>0</v>
      </c>
      <c r="G446" s="127" t="s">
        <v>221</v>
      </c>
      <c r="H446" s="119">
        <f t="shared" si="304"/>
        <v>3</v>
      </c>
      <c r="I446" s="119">
        <f t="shared" si="304"/>
        <v>2833.3333333333335</v>
      </c>
      <c r="J446" s="119">
        <f t="shared" si="315"/>
        <v>0</v>
      </c>
      <c r="K446" s="287">
        <f>'LOE Breakdown by Year'!K43</f>
        <v>0</v>
      </c>
      <c r="L446" s="119">
        <f t="shared" si="305"/>
        <v>12</v>
      </c>
      <c r="M446" s="119">
        <f t="shared" si="316"/>
        <v>0</v>
      </c>
      <c r="N446" s="287">
        <f>'LOE Breakdown by Year'!K67</f>
        <v>0</v>
      </c>
      <c r="O446" s="119">
        <f t="shared" si="307"/>
        <v>12</v>
      </c>
      <c r="P446" s="119">
        <f t="shared" si="308"/>
        <v>0</v>
      </c>
      <c r="Q446" s="287">
        <f>'LOE Breakdown by Year'!K91</f>
        <v>0</v>
      </c>
      <c r="R446" s="119">
        <f t="shared" si="309"/>
        <v>12</v>
      </c>
      <c r="S446" s="119">
        <f t="shared" si="317"/>
        <v>0</v>
      </c>
      <c r="T446" s="287">
        <f>'LOE Breakdown by Year'!K115</f>
        <v>0</v>
      </c>
      <c r="U446" s="119">
        <f t="shared" si="311"/>
        <v>9</v>
      </c>
      <c r="V446" s="119">
        <f t="shared" si="318"/>
        <v>0</v>
      </c>
      <c r="W446" s="119">
        <f t="shared" si="319"/>
        <v>0</v>
      </c>
      <c r="X446" s="119">
        <v>0</v>
      </c>
      <c r="Y446" s="119">
        <f t="shared" si="320"/>
        <v>0</v>
      </c>
      <c r="AA446" s="366">
        <v>1</v>
      </c>
      <c r="AB446" s="366">
        <v>0</v>
      </c>
    </row>
    <row r="447" spans="1:28" hidden="1">
      <c r="A447" s="58"/>
      <c r="B447" s="58"/>
      <c r="C447" s="58"/>
      <c r="D447" s="58"/>
      <c r="E447" s="58" t="str">
        <f t="shared" si="303"/>
        <v>Activity Lead Agribusiness Senior Specialist (Complementary Crop)</v>
      </c>
      <c r="F447" s="287">
        <f>'LOE Breakdown by Year'!K20</f>
        <v>0</v>
      </c>
      <c r="G447" s="127" t="s">
        <v>221</v>
      </c>
      <c r="H447" s="119">
        <f t="shared" si="304"/>
        <v>3</v>
      </c>
      <c r="I447" s="119">
        <f t="shared" si="304"/>
        <v>2833.3333333333335</v>
      </c>
      <c r="J447" s="119">
        <f t="shared" si="315"/>
        <v>0</v>
      </c>
      <c r="K447" s="287">
        <f>'LOE Breakdown by Year'!K44</f>
        <v>0</v>
      </c>
      <c r="L447" s="119">
        <f t="shared" si="305"/>
        <v>12</v>
      </c>
      <c r="M447" s="119">
        <f t="shared" si="316"/>
        <v>0</v>
      </c>
      <c r="N447" s="287">
        <f>'LOE Breakdown by Year'!K68</f>
        <v>0</v>
      </c>
      <c r="O447" s="119">
        <f t="shared" si="307"/>
        <v>12</v>
      </c>
      <c r="P447" s="119">
        <f t="shared" si="308"/>
        <v>0</v>
      </c>
      <c r="Q447" s="287">
        <f>'LOE Breakdown by Year'!K92</f>
        <v>0</v>
      </c>
      <c r="R447" s="119">
        <f t="shared" si="309"/>
        <v>12</v>
      </c>
      <c r="S447" s="119">
        <f t="shared" si="317"/>
        <v>0</v>
      </c>
      <c r="T447" s="287">
        <f>'LOE Breakdown by Year'!K116</f>
        <v>0</v>
      </c>
      <c r="U447" s="119">
        <f t="shared" si="311"/>
        <v>9</v>
      </c>
      <c r="V447" s="119">
        <f t="shared" si="318"/>
        <v>0</v>
      </c>
      <c r="W447" s="119">
        <f t="shared" si="319"/>
        <v>0</v>
      </c>
      <c r="X447" s="119">
        <v>0</v>
      </c>
      <c r="Y447" s="119">
        <f t="shared" si="320"/>
        <v>0</v>
      </c>
      <c r="AA447" s="366">
        <v>0</v>
      </c>
      <c r="AB447" s="366">
        <v>1</v>
      </c>
    </row>
    <row r="448" spans="1:28" hidden="1">
      <c r="A448" s="58"/>
      <c r="B448" s="58"/>
      <c r="C448" s="58"/>
      <c r="D448" s="58"/>
      <c r="E448" s="58" t="str">
        <f t="shared" si="303"/>
        <v xml:space="preserve">Food Safety Mid-Specialist </v>
      </c>
      <c r="F448" s="287">
        <f>'LOE Breakdown by Year'!K21</f>
        <v>0</v>
      </c>
      <c r="G448" s="127" t="s">
        <v>221</v>
      </c>
      <c r="H448" s="119">
        <f t="shared" si="304"/>
        <v>3</v>
      </c>
      <c r="I448" s="119">
        <f t="shared" si="304"/>
        <v>2666.6666666666665</v>
      </c>
      <c r="J448" s="119">
        <f t="shared" si="315"/>
        <v>0</v>
      </c>
      <c r="K448" s="287">
        <f>'LOE Breakdown by Year'!K45</f>
        <v>0</v>
      </c>
      <c r="L448" s="119">
        <f t="shared" si="305"/>
        <v>12</v>
      </c>
      <c r="M448" s="119">
        <f t="shared" si="316"/>
        <v>0</v>
      </c>
      <c r="N448" s="287">
        <f>'LOE Breakdown by Year'!K69</f>
        <v>0</v>
      </c>
      <c r="O448" s="119">
        <f t="shared" si="307"/>
        <v>12</v>
      </c>
      <c r="P448" s="119">
        <f t="shared" si="308"/>
        <v>0</v>
      </c>
      <c r="Q448" s="287">
        <f>'LOE Breakdown by Year'!K93</f>
        <v>0</v>
      </c>
      <c r="R448" s="119">
        <f t="shared" si="309"/>
        <v>12</v>
      </c>
      <c r="S448" s="119">
        <f t="shared" si="317"/>
        <v>0</v>
      </c>
      <c r="T448" s="287">
        <f>'LOE Breakdown by Year'!K117</f>
        <v>0</v>
      </c>
      <c r="U448" s="119">
        <f t="shared" si="311"/>
        <v>9</v>
      </c>
      <c r="V448" s="119">
        <f t="shared" si="318"/>
        <v>0</v>
      </c>
      <c r="W448" s="119">
        <f t="shared" si="319"/>
        <v>0</v>
      </c>
      <c r="X448" s="119">
        <v>0</v>
      </c>
      <c r="Y448" s="119">
        <f t="shared" si="320"/>
        <v>0</v>
      </c>
      <c r="AA448" s="366">
        <v>0</v>
      </c>
      <c r="AB448" s="366">
        <v>1</v>
      </c>
    </row>
    <row r="449" spans="1:28" hidden="1">
      <c r="A449" s="58"/>
      <c r="B449" s="58"/>
      <c r="C449" s="58"/>
      <c r="D449" s="58"/>
      <c r="E449" s="58" t="str">
        <f t="shared" si="303"/>
        <v>Compliance Director</v>
      </c>
      <c r="F449" s="287">
        <f>'LOE Breakdown by Year'!K22</f>
        <v>0</v>
      </c>
      <c r="G449" s="127" t="s">
        <v>221</v>
      </c>
      <c r="H449" s="119">
        <f t="shared" si="304"/>
        <v>8</v>
      </c>
      <c r="I449" s="119">
        <f t="shared" si="304"/>
        <v>6833.333333333333</v>
      </c>
      <c r="J449" s="119">
        <f t="shared" si="315"/>
        <v>0</v>
      </c>
      <c r="K449" s="287">
        <f>'LOE Breakdown by Year'!K46</f>
        <v>0</v>
      </c>
      <c r="L449" s="119">
        <f t="shared" si="305"/>
        <v>12</v>
      </c>
      <c r="M449" s="119">
        <f t="shared" si="316"/>
        <v>0</v>
      </c>
      <c r="N449" s="287">
        <f>'LOE Breakdown by Year'!K70</f>
        <v>0</v>
      </c>
      <c r="O449" s="119">
        <f t="shared" si="307"/>
        <v>12</v>
      </c>
      <c r="P449" s="119">
        <f t="shared" si="308"/>
        <v>0</v>
      </c>
      <c r="Q449" s="287">
        <f>'LOE Breakdown by Year'!K94</f>
        <v>0</v>
      </c>
      <c r="R449" s="119">
        <f t="shared" si="309"/>
        <v>12</v>
      </c>
      <c r="S449" s="119">
        <f t="shared" si="317"/>
        <v>0</v>
      </c>
      <c r="T449" s="287">
        <f>'LOE Breakdown by Year'!K118</f>
        <v>0</v>
      </c>
      <c r="U449" s="119">
        <f t="shared" si="311"/>
        <v>12</v>
      </c>
      <c r="V449" s="119">
        <f t="shared" si="318"/>
        <v>0</v>
      </c>
      <c r="W449" s="119">
        <f t="shared" si="319"/>
        <v>0</v>
      </c>
      <c r="X449" s="119">
        <v>0</v>
      </c>
      <c r="Y449" s="119">
        <f t="shared" si="320"/>
        <v>0</v>
      </c>
      <c r="AA449" s="366">
        <v>0.5</v>
      </c>
      <c r="AB449" s="366">
        <v>0.5</v>
      </c>
    </row>
    <row r="450" spans="1:28" hidden="1">
      <c r="A450" s="58"/>
      <c r="B450" s="58"/>
      <c r="C450" s="58"/>
      <c r="D450" s="58"/>
      <c r="E450" s="58" t="str">
        <f t="shared" si="303"/>
        <v xml:space="preserve">Accountant </v>
      </c>
      <c r="F450" s="287">
        <f>'LOE Breakdown by Year'!K23</f>
        <v>0</v>
      </c>
      <c r="G450" s="127" t="s">
        <v>221</v>
      </c>
      <c r="H450" s="119">
        <f t="shared" si="304"/>
        <v>3</v>
      </c>
      <c r="I450" s="119">
        <f t="shared" si="304"/>
        <v>1750</v>
      </c>
      <c r="J450" s="119">
        <f t="shared" ref="J450:J451" si="321">H450*I450*F450</f>
        <v>0</v>
      </c>
      <c r="K450" s="287">
        <f>'LOE Breakdown by Year'!K47</f>
        <v>0</v>
      </c>
      <c r="L450" s="119">
        <f t="shared" si="305"/>
        <v>12</v>
      </c>
      <c r="M450" s="119">
        <f t="shared" ref="M450:M451" si="322">L450*I450*$F$8*$K450</f>
        <v>0</v>
      </c>
      <c r="N450" s="287">
        <f>'LOE Breakdown by Year'!K71</f>
        <v>0</v>
      </c>
      <c r="O450" s="119">
        <f t="shared" si="307"/>
        <v>12</v>
      </c>
      <c r="P450" s="119">
        <f t="shared" ref="P450:P451" si="323">O450*I450*$N450*$F$8*$F$8</f>
        <v>0</v>
      </c>
      <c r="Q450" s="287">
        <f>'LOE Breakdown by Year'!K95</f>
        <v>0</v>
      </c>
      <c r="R450" s="119">
        <f t="shared" si="309"/>
        <v>12</v>
      </c>
      <c r="S450" s="119">
        <f t="shared" ref="S450:S451" si="324">R450*I450*$Q450*$F$8*$F$8*$F$8</f>
        <v>0</v>
      </c>
      <c r="T450" s="287">
        <f>'LOE Breakdown by Year'!K119</f>
        <v>0</v>
      </c>
      <c r="U450" s="119">
        <f t="shared" si="311"/>
        <v>9</v>
      </c>
      <c r="V450" s="119">
        <f t="shared" ref="V450:V451" si="325">U450*I450*$T450*$F$8*$F$8*$F$8*$F$8</f>
        <v>0</v>
      </c>
      <c r="W450" s="119">
        <f t="shared" ref="W450:W451" si="326">SUM(S450,P450,M450,J450,V450)</f>
        <v>0</v>
      </c>
      <c r="X450" s="119">
        <v>0</v>
      </c>
      <c r="Y450" s="119">
        <f t="shared" ref="Y450:Y451" si="327">SUM(W450:X450)</f>
        <v>0</v>
      </c>
      <c r="AA450" s="366">
        <v>0.5</v>
      </c>
      <c r="AB450" s="366">
        <v>0.5</v>
      </c>
    </row>
    <row r="451" spans="1:28">
      <c r="A451" s="58" t="s">
        <v>537</v>
      </c>
      <c r="B451" s="58">
        <v>70000</v>
      </c>
      <c r="C451" s="58" t="s">
        <v>222</v>
      </c>
      <c r="D451" s="58">
        <v>0</v>
      </c>
      <c r="E451" s="58" t="str">
        <f t="shared" si="303"/>
        <v xml:space="preserve">Administrative Assistant </v>
      </c>
      <c r="F451" s="287">
        <f>'LOE Breakdown by Year'!K24</f>
        <v>0.5</v>
      </c>
      <c r="G451" s="127" t="s">
        <v>221</v>
      </c>
      <c r="H451" s="119">
        <f t="shared" si="304"/>
        <v>3</v>
      </c>
      <c r="I451" s="119">
        <f t="shared" si="304"/>
        <v>1250</v>
      </c>
      <c r="J451" s="119">
        <f t="shared" si="321"/>
        <v>1875</v>
      </c>
      <c r="K451" s="287">
        <f>'LOE Breakdown by Year'!K48</f>
        <v>0.5</v>
      </c>
      <c r="L451" s="119">
        <f t="shared" si="305"/>
        <v>12</v>
      </c>
      <c r="M451" s="119">
        <f t="shared" si="322"/>
        <v>7800</v>
      </c>
      <c r="N451" s="287">
        <f>'LOE Breakdown by Year'!K72</f>
        <v>0.5</v>
      </c>
      <c r="O451" s="119">
        <f t="shared" si="307"/>
        <v>12</v>
      </c>
      <c r="P451" s="119">
        <f t="shared" si="323"/>
        <v>8112</v>
      </c>
      <c r="Q451" s="287">
        <f>'LOE Breakdown by Year'!K96</f>
        <v>0.5</v>
      </c>
      <c r="R451" s="119">
        <f t="shared" si="309"/>
        <v>12</v>
      </c>
      <c r="S451" s="119">
        <f t="shared" si="324"/>
        <v>8436.48</v>
      </c>
      <c r="T451" s="287">
        <f>'LOE Breakdown by Year'!K120</f>
        <v>0.5</v>
      </c>
      <c r="U451" s="119">
        <f t="shared" si="311"/>
        <v>9</v>
      </c>
      <c r="V451" s="119">
        <f t="shared" si="325"/>
        <v>6580.4544000000005</v>
      </c>
      <c r="W451" s="119">
        <f t="shared" si="326"/>
        <v>32803.934399999998</v>
      </c>
      <c r="X451" s="119">
        <v>0</v>
      </c>
      <c r="Y451" s="119">
        <f t="shared" si="327"/>
        <v>32803.934399999998</v>
      </c>
      <c r="AA451" s="366">
        <v>0.5</v>
      </c>
      <c r="AB451" s="366">
        <v>0.5</v>
      </c>
    </row>
    <row r="452" spans="1:28">
      <c r="A452" s="109"/>
      <c r="B452" s="109"/>
      <c r="C452" s="109"/>
      <c r="D452" s="109"/>
      <c r="E452" s="109" t="s">
        <v>538</v>
      </c>
      <c r="F452" s="300"/>
      <c r="G452" s="123"/>
      <c r="H452" s="124"/>
      <c r="I452" s="124"/>
      <c r="J452" s="125">
        <f>SUM(J438:J451)</f>
        <v>16875</v>
      </c>
      <c r="K452" s="300"/>
      <c r="L452" s="125"/>
      <c r="M452" s="125">
        <f>SUM(M438:M451)</f>
        <v>23400</v>
      </c>
      <c r="N452" s="300"/>
      <c r="O452" s="125"/>
      <c r="P452" s="125">
        <f>SUM(P438:P451)</f>
        <v>32448</v>
      </c>
      <c r="Q452" s="300"/>
      <c r="R452" s="125"/>
      <c r="S452" s="125">
        <f>SUM(S438:S451)</f>
        <v>25309.439999999999</v>
      </c>
      <c r="T452" s="300"/>
      <c r="U452" s="125"/>
      <c r="V452" s="125">
        <f>SUM(V438:V451)</f>
        <v>32902.272000000004</v>
      </c>
      <c r="W452" s="125">
        <f>SUM(W438:W451)</f>
        <v>130934.712</v>
      </c>
      <c r="X452" s="125">
        <f>SUM(X438:X451)</f>
        <v>0</v>
      </c>
      <c r="Y452" s="125">
        <f>SUM(Y438:Y451)</f>
        <v>130934.712</v>
      </c>
      <c r="AA452" s="366"/>
      <c r="AB452" s="366"/>
    </row>
    <row r="453" spans="1:28">
      <c r="A453" s="272"/>
      <c r="B453" s="272"/>
      <c r="C453" s="272"/>
      <c r="D453" s="272"/>
      <c r="E453" s="272"/>
      <c r="F453" s="301"/>
      <c r="G453" s="245"/>
      <c r="H453" s="154"/>
      <c r="I453" s="154"/>
      <c r="J453" s="154"/>
      <c r="K453" s="301"/>
      <c r="L453" s="154"/>
      <c r="M453" s="154"/>
      <c r="N453" s="301"/>
      <c r="O453" s="154"/>
      <c r="P453" s="154"/>
      <c r="Q453" s="301"/>
      <c r="R453" s="154"/>
      <c r="S453" s="154"/>
      <c r="T453" s="301"/>
      <c r="U453" s="154"/>
      <c r="V453" s="154"/>
      <c r="W453" s="154"/>
      <c r="X453" s="154"/>
      <c r="Y453" s="154"/>
      <c r="AA453" s="366"/>
      <c r="AB453" s="366"/>
    </row>
    <row r="454" spans="1:28">
      <c r="A454" s="109"/>
      <c r="B454" s="109"/>
      <c r="C454" s="109"/>
      <c r="D454" s="109"/>
      <c r="E454" s="109" t="s">
        <v>539</v>
      </c>
      <c r="F454" s="300"/>
      <c r="G454" s="123"/>
      <c r="H454" s="124"/>
      <c r="I454" s="124"/>
      <c r="J454" s="125"/>
      <c r="K454" s="300"/>
      <c r="L454" s="125"/>
      <c r="M454" s="125"/>
      <c r="N454" s="300"/>
      <c r="O454" s="125"/>
      <c r="P454" s="125"/>
      <c r="Q454" s="300"/>
      <c r="R454" s="125"/>
      <c r="S454" s="125"/>
      <c r="T454" s="300"/>
      <c r="U454" s="125"/>
      <c r="V454" s="125"/>
      <c r="W454" s="125"/>
      <c r="X454" s="125"/>
      <c r="Y454" s="125"/>
      <c r="AA454" s="366"/>
      <c r="AB454" s="366"/>
    </row>
    <row r="455" spans="1:28">
      <c r="A455" s="58" t="s">
        <v>540</v>
      </c>
      <c r="B455" s="58">
        <v>70015</v>
      </c>
      <c r="C455" s="58" t="s">
        <v>222</v>
      </c>
      <c r="D455" s="58">
        <v>0</v>
      </c>
      <c r="E455" s="58" t="str">
        <f>E35</f>
        <v>Fringe Benefits CCN - Colombia (above $2,600 monthly)</v>
      </c>
      <c r="F455" s="288"/>
      <c r="G455" s="246" t="s">
        <v>238</v>
      </c>
      <c r="H455" s="119"/>
      <c r="I455" s="438">
        <f>I35</f>
        <v>0.53864000000000001</v>
      </c>
      <c r="J455" s="119">
        <f>(J444+J439+J440+J441+J449+J448+J447+J446+J442)*$I$455</f>
        <v>0</v>
      </c>
      <c r="K455" s="288"/>
      <c r="L455" s="119"/>
      <c r="M455" s="119">
        <f>(M444+M439+M440+M441+M449+M448+M447+M446+M442)*$I$455</f>
        <v>0</v>
      </c>
      <c r="N455" s="288"/>
      <c r="O455" s="119"/>
      <c r="P455" s="119">
        <f>(P444+P439+P440+P441+P449+P448+P447+P446+P442)*$I$455</f>
        <v>0</v>
      </c>
      <c r="Q455" s="288"/>
      <c r="R455" s="119"/>
      <c r="S455" s="119">
        <f>(S444+S439+S440+S441+S449+S448+S447+S446+S442)*$I$455</f>
        <v>0</v>
      </c>
      <c r="T455" s="288"/>
      <c r="U455" s="119"/>
      <c r="V455" s="119">
        <f>(V444+V439+V440+V441+V449+V448+V447+V446+V442)*$I$455</f>
        <v>0</v>
      </c>
      <c r="W455" s="119">
        <f t="shared" ref="W455:W458" si="328">SUM(S455,P455,M455,J455,V455)</f>
        <v>0</v>
      </c>
      <c r="X455" s="154">
        <v>0</v>
      </c>
      <c r="Y455" s="119">
        <f>SUM(W455:X455)</f>
        <v>0</v>
      </c>
      <c r="AA455" s="366">
        <v>0.5</v>
      </c>
      <c r="AB455" s="366">
        <v>0.5</v>
      </c>
    </row>
    <row r="456" spans="1:28">
      <c r="A456" s="58" t="s">
        <v>540</v>
      </c>
      <c r="B456" s="58">
        <v>70015</v>
      </c>
      <c r="C456" s="58" t="s">
        <v>222</v>
      </c>
      <c r="D456" s="58">
        <v>0</v>
      </c>
      <c r="E456" s="58" t="str">
        <f>E36</f>
        <v>Fringe Benefits CCN - Colombia (below $2,600 monthly)</v>
      </c>
      <c r="F456" s="288"/>
      <c r="G456" s="246" t="s">
        <v>238</v>
      </c>
      <c r="H456" s="119"/>
      <c r="I456" s="438">
        <f>I36</f>
        <v>0.40364</v>
      </c>
      <c r="J456" s="119">
        <f>(J451+J450+J445+J443)*$I$456</f>
        <v>756.82500000000005</v>
      </c>
      <c r="K456" s="288"/>
      <c r="L456" s="119"/>
      <c r="M456" s="119">
        <f>(M451+M450+M445+M443)*$I$456</f>
        <v>3148.3919999999998</v>
      </c>
      <c r="N456" s="288"/>
      <c r="O456" s="119"/>
      <c r="P456" s="119">
        <f>(P451+P450+P445+P443)*$I$456</f>
        <v>3274.3276799999999</v>
      </c>
      <c r="Q456" s="288"/>
      <c r="R456" s="119"/>
      <c r="S456" s="119">
        <f>(S451+S450+S445+S443)*$I$456</f>
        <v>3405.3007871999998</v>
      </c>
      <c r="T456" s="288"/>
      <c r="U456" s="119"/>
      <c r="V456" s="119">
        <f>(V451+V450+V445+V443)*$I$456</f>
        <v>2656.1346140160003</v>
      </c>
      <c r="W456" s="119">
        <f t="shared" si="328"/>
        <v>13240.980081216001</v>
      </c>
      <c r="X456" s="154">
        <v>0</v>
      </c>
      <c r="Y456" s="119">
        <f>SUM(W456:X456)</f>
        <v>13240.980081216001</v>
      </c>
      <c r="AA456" s="366">
        <v>0.5</v>
      </c>
      <c r="AB456" s="366">
        <v>0.5</v>
      </c>
    </row>
    <row r="457" spans="1:28">
      <c r="A457" s="510" t="s">
        <v>929</v>
      </c>
      <c r="B457" s="58">
        <v>50202</v>
      </c>
      <c r="C457" s="58" t="s">
        <v>219</v>
      </c>
      <c r="D457" s="58">
        <v>0</v>
      </c>
      <c r="E457" s="58" t="str">
        <f>E38</f>
        <v>Post (Hardship) Differential for Chief of Party</v>
      </c>
      <c r="F457" s="293"/>
      <c r="G457" s="246" t="s">
        <v>238</v>
      </c>
      <c r="I457" s="129">
        <f>I38</f>
        <v>0.1</v>
      </c>
      <c r="J457" s="248">
        <f>J438*$I$457</f>
        <v>1500</v>
      </c>
      <c r="K457" s="293"/>
      <c r="L457" s="248"/>
      <c r="M457" s="248">
        <f>M438*$I$457</f>
        <v>1560</v>
      </c>
      <c r="N457" s="293"/>
      <c r="O457" s="248"/>
      <c r="P457" s="248">
        <f>P438*$I$457</f>
        <v>2433.6</v>
      </c>
      <c r="Q457" s="293"/>
      <c r="R457" s="248"/>
      <c r="S457" s="248">
        <f>S438*$I$457</f>
        <v>1687.296</v>
      </c>
      <c r="T457" s="293"/>
      <c r="U457" s="248"/>
      <c r="V457" s="248">
        <f>V438*$I$457</f>
        <v>2632.1817600000004</v>
      </c>
      <c r="W457" s="119">
        <f t="shared" si="328"/>
        <v>9813.0777600000001</v>
      </c>
      <c r="X457" s="119">
        <v>0</v>
      </c>
      <c r="Y457" s="119">
        <f>SUM(W457:X457)</f>
        <v>9813.0777600000001</v>
      </c>
      <c r="AA457" s="366">
        <v>0.5</v>
      </c>
      <c r="AB457" s="366">
        <v>0.5</v>
      </c>
    </row>
    <row r="458" spans="1:28">
      <c r="A458" s="58" t="s">
        <v>540</v>
      </c>
      <c r="B458" s="58">
        <v>50900</v>
      </c>
      <c r="C458" s="58" t="s">
        <v>219</v>
      </c>
      <c r="D458" s="58">
        <v>0</v>
      </c>
      <c r="E458" s="58" t="str">
        <f>E39</f>
        <v>Fringe Benefits Package for Chief of Party</v>
      </c>
      <c r="F458" s="293"/>
      <c r="G458" s="246" t="s">
        <v>238</v>
      </c>
      <c r="I458" s="150">
        <f>I39</f>
        <v>0.56810000000000005</v>
      </c>
      <c r="J458" s="248">
        <f>J438*$I$458</f>
        <v>8521.5</v>
      </c>
      <c r="K458" s="293"/>
      <c r="L458" s="248"/>
      <c r="M458" s="248">
        <f>M438*$I$458</f>
        <v>8862.36</v>
      </c>
      <c r="N458" s="293"/>
      <c r="O458" s="248"/>
      <c r="P458" s="248">
        <f>P438*$I$458</f>
        <v>13825.281600000002</v>
      </c>
      <c r="Q458" s="293"/>
      <c r="R458" s="248"/>
      <c r="S458" s="248">
        <f>S438*$I$458</f>
        <v>9585.5285760000006</v>
      </c>
      <c r="T458" s="293"/>
      <c r="U458" s="248"/>
      <c r="V458" s="248">
        <f>V438*$I$458</f>
        <v>14953.424578560003</v>
      </c>
      <c r="W458" s="119">
        <f t="shared" si="328"/>
        <v>55748.094754560007</v>
      </c>
      <c r="X458" s="119">
        <v>0</v>
      </c>
      <c r="Y458" s="119">
        <f>SUM(W458:X458)</f>
        <v>55748.094754560007</v>
      </c>
      <c r="AA458" s="366">
        <v>0.5</v>
      </c>
      <c r="AB458" s="366">
        <v>0.5</v>
      </c>
    </row>
    <row r="459" spans="1:28">
      <c r="A459" s="109"/>
      <c r="B459" s="109"/>
      <c r="C459" s="109"/>
      <c r="D459" s="109"/>
      <c r="E459" s="109" t="s">
        <v>541</v>
      </c>
      <c r="F459" s="300"/>
      <c r="G459" s="123"/>
      <c r="H459" s="124"/>
      <c r="I459" s="124"/>
      <c r="J459" s="125">
        <f>SUM(J455:J458)</f>
        <v>10778.325000000001</v>
      </c>
      <c r="K459" s="300"/>
      <c r="L459" s="125"/>
      <c r="M459" s="125">
        <f>SUM(M455:M458)</f>
        <v>13570.752</v>
      </c>
      <c r="N459" s="300"/>
      <c r="O459" s="125"/>
      <c r="P459" s="125">
        <f>SUM(P455:P458)</f>
        <v>19533.209280000003</v>
      </c>
      <c r="Q459" s="300"/>
      <c r="R459" s="125"/>
      <c r="S459" s="125">
        <f>SUM(S455:S458)</f>
        <v>14678.125363200001</v>
      </c>
      <c r="T459" s="300"/>
      <c r="U459" s="125"/>
      <c r="V459" s="125">
        <f>SUM(V455:V458)</f>
        <v>20241.740952576005</v>
      </c>
      <c r="W459" s="125">
        <f>SUM(W455:W458)</f>
        <v>78802.152595776017</v>
      </c>
      <c r="X459" s="125">
        <f>SUM(X455:X458)</f>
        <v>0</v>
      </c>
      <c r="Y459" s="125">
        <f>SUM(Y455:Y458)</f>
        <v>78802.152595776017</v>
      </c>
      <c r="AA459" s="366"/>
      <c r="AB459" s="366"/>
    </row>
    <row r="460" spans="1:28">
      <c r="A460" s="272"/>
      <c r="B460" s="272"/>
      <c r="C460" s="272"/>
      <c r="D460" s="272"/>
      <c r="E460" s="272"/>
      <c r="F460" s="301"/>
      <c r="G460" s="245"/>
      <c r="H460" s="154"/>
      <c r="I460" s="154"/>
      <c r="J460" s="154"/>
      <c r="K460" s="301"/>
      <c r="L460" s="154"/>
      <c r="M460" s="154"/>
      <c r="N460" s="301"/>
      <c r="O460" s="154"/>
      <c r="P460" s="154"/>
      <c r="Q460" s="301"/>
      <c r="R460" s="154"/>
      <c r="S460" s="154"/>
      <c r="T460" s="301"/>
      <c r="U460" s="154"/>
      <c r="V460" s="154"/>
      <c r="W460" s="154"/>
      <c r="X460" s="154"/>
      <c r="Y460" s="154"/>
      <c r="AA460" s="355"/>
      <c r="AB460" s="355"/>
    </row>
    <row r="461" spans="1:28">
      <c r="A461" s="109"/>
      <c r="B461" s="109"/>
      <c r="C461" s="109"/>
      <c r="D461" s="109"/>
      <c r="E461" s="109" t="s">
        <v>542</v>
      </c>
      <c r="F461" s="300"/>
      <c r="G461" s="123"/>
      <c r="H461" s="124"/>
      <c r="I461" s="124"/>
      <c r="J461" s="124"/>
      <c r="K461" s="300"/>
      <c r="L461" s="124"/>
      <c r="M461" s="124"/>
      <c r="N461" s="300"/>
      <c r="O461" s="124"/>
      <c r="P461" s="124"/>
      <c r="Q461" s="300"/>
      <c r="R461" s="124"/>
      <c r="S461" s="124"/>
      <c r="T461" s="300"/>
      <c r="U461" s="124"/>
      <c r="V461" s="124"/>
      <c r="W461" s="124"/>
      <c r="X461" s="124"/>
      <c r="Y461" s="124"/>
      <c r="AA461" s="366"/>
      <c r="AB461" s="366"/>
    </row>
    <row r="462" spans="1:28">
      <c r="A462" s="58" t="s">
        <v>543</v>
      </c>
      <c r="B462" s="58">
        <v>86000</v>
      </c>
      <c r="C462" s="58" t="s">
        <v>222</v>
      </c>
      <c r="D462" s="58">
        <v>0</v>
      </c>
      <c r="E462" s="58" t="s">
        <v>544</v>
      </c>
      <c r="G462" s="58" t="s">
        <v>255</v>
      </c>
      <c r="H462" s="119">
        <v>25</v>
      </c>
      <c r="I462" s="119">
        <v>25</v>
      </c>
      <c r="J462" s="119">
        <f>H462*I462</f>
        <v>625</v>
      </c>
      <c r="K462" s="296"/>
      <c r="L462" s="119">
        <v>25</v>
      </c>
      <c r="M462" s="119">
        <f>I462*L462*$F$7</f>
        <v>650</v>
      </c>
      <c r="N462" s="296"/>
      <c r="O462" s="119">
        <v>25</v>
      </c>
      <c r="P462" s="119">
        <f>I462*O462*$F$7*$F$7</f>
        <v>676</v>
      </c>
      <c r="Q462" s="296"/>
      <c r="R462" s="119">
        <v>25</v>
      </c>
      <c r="S462" s="119">
        <f>I462*R462*$F$7*$F$7*$F$7</f>
        <v>703.04000000000008</v>
      </c>
      <c r="T462" s="296"/>
      <c r="U462" s="119">
        <v>25</v>
      </c>
      <c r="V462" s="119">
        <f>I462*U462*$F$7*$F$7*$F$7*$F$7</f>
        <v>731.16160000000013</v>
      </c>
      <c r="W462" s="119">
        <f t="shared" ref="W462" si="329">SUM(S462,P462,M462,J462,V462)</f>
        <v>3385.2016000000003</v>
      </c>
      <c r="X462" s="119">
        <v>0</v>
      </c>
      <c r="Y462" s="119">
        <f>SUM(W462:X462)</f>
        <v>3385.2016000000003</v>
      </c>
      <c r="AA462" s="366">
        <v>0.5</v>
      </c>
      <c r="AB462" s="366">
        <v>0.5</v>
      </c>
    </row>
    <row r="463" spans="1:28">
      <c r="A463" s="109"/>
      <c r="B463" s="109"/>
      <c r="C463" s="109"/>
      <c r="D463" s="109"/>
      <c r="E463" s="109" t="s">
        <v>545</v>
      </c>
      <c r="F463" s="300"/>
      <c r="G463" s="123"/>
      <c r="H463" s="124"/>
      <c r="I463" s="124"/>
      <c r="J463" s="125">
        <f>SUM(J462:J462)</f>
        <v>625</v>
      </c>
      <c r="K463" s="300"/>
      <c r="L463" s="125"/>
      <c r="M463" s="125">
        <f>SUM(M462:M462)</f>
        <v>650</v>
      </c>
      <c r="N463" s="300"/>
      <c r="O463" s="125"/>
      <c r="P463" s="125">
        <f>SUM(P462:P462)</f>
        <v>676</v>
      </c>
      <c r="Q463" s="300"/>
      <c r="R463" s="125"/>
      <c r="S463" s="125">
        <f>SUM(S462:S462)</f>
        <v>703.04000000000008</v>
      </c>
      <c r="T463" s="300"/>
      <c r="U463" s="125"/>
      <c r="V463" s="125">
        <f>SUM(V462:V462)</f>
        <v>731.16160000000013</v>
      </c>
      <c r="W463" s="125">
        <f>SUM(W462:W462)</f>
        <v>3385.2016000000003</v>
      </c>
      <c r="X463" s="125">
        <f>SUM(X462:X462)</f>
        <v>0</v>
      </c>
      <c r="Y463" s="125">
        <f>SUM(Y462:Y462)</f>
        <v>3385.2016000000003</v>
      </c>
    </row>
    <row r="464" spans="1:28">
      <c r="D464" s="530"/>
      <c r="E464" s="530"/>
      <c r="F464" s="316"/>
      <c r="G464" s="245"/>
      <c r="H464" s="115"/>
      <c r="I464" s="115"/>
      <c r="J464" s="115"/>
      <c r="K464" s="316"/>
      <c r="L464" s="115"/>
      <c r="M464" s="115"/>
      <c r="N464" s="316"/>
      <c r="O464" s="115"/>
      <c r="P464" s="115"/>
      <c r="Q464" s="316"/>
      <c r="R464" s="115"/>
      <c r="S464" s="115"/>
      <c r="T464" s="316"/>
      <c r="U464" s="115"/>
      <c r="V464" s="115"/>
      <c r="W464" s="115"/>
      <c r="X464" s="115"/>
      <c r="Y464" s="115"/>
      <c r="AA464" s="366"/>
      <c r="AB464" s="366"/>
    </row>
    <row r="465" spans="1:28">
      <c r="A465" s="109"/>
      <c r="B465" s="109"/>
      <c r="C465" s="109"/>
      <c r="D465" s="109"/>
      <c r="E465" s="109" t="s">
        <v>546</v>
      </c>
      <c r="F465" s="386"/>
      <c r="G465" s="387"/>
      <c r="H465" s="388"/>
      <c r="I465" s="388"/>
      <c r="J465" s="388"/>
      <c r="K465" s="386"/>
      <c r="L465" s="388"/>
      <c r="M465" s="388"/>
      <c r="N465" s="386"/>
      <c r="O465" s="388"/>
      <c r="P465" s="388"/>
      <c r="Q465" s="386"/>
      <c r="R465" s="388"/>
      <c r="S465" s="388"/>
      <c r="T465" s="386"/>
      <c r="U465" s="388"/>
      <c r="V465" s="388"/>
      <c r="W465" s="388"/>
      <c r="X465" s="388"/>
      <c r="Y465" s="388"/>
      <c r="AA465" s="366"/>
      <c r="AB465" s="366"/>
    </row>
    <row r="466" spans="1:28">
      <c r="A466" s="58" t="s">
        <v>547</v>
      </c>
      <c r="B466" s="58">
        <v>89400</v>
      </c>
      <c r="C466" s="58" t="s">
        <v>222</v>
      </c>
      <c r="D466" s="58">
        <v>0</v>
      </c>
      <c r="E466" s="58" t="s">
        <v>548</v>
      </c>
      <c r="F466" s="389"/>
      <c r="G466" s="58" t="s">
        <v>249</v>
      </c>
      <c r="H466" s="156">
        <v>1</v>
      </c>
      <c r="I466" s="117">
        <v>60000</v>
      </c>
      <c r="J466" s="117">
        <f>I466*H466</f>
        <v>60000</v>
      </c>
      <c r="K466" s="389"/>
      <c r="L466" s="156">
        <v>1</v>
      </c>
      <c r="M466" s="117">
        <f>L466*I466</f>
        <v>60000</v>
      </c>
      <c r="N466" s="389"/>
      <c r="O466" s="156">
        <v>1</v>
      </c>
      <c r="P466" s="117">
        <f>O466*I466</f>
        <v>60000</v>
      </c>
      <c r="Q466" s="389"/>
      <c r="R466" s="156">
        <v>1</v>
      </c>
      <c r="S466" s="117">
        <f>R466*I466</f>
        <v>60000</v>
      </c>
      <c r="T466" s="389"/>
      <c r="U466" s="156">
        <v>1</v>
      </c>
      <c r="V466" s="117">
        <f>U466*I466</f>
        <v>60000</v>
      </c>
      <c r="W466" s="119">
        <f t="shared" ref="W466" si="330">SUM(S466,P466,M466,J466,V466)</f>
        <v>300000</v>
      </c>
      <c r="X466" s="119">
        <v>0</v>
      </c>
      <c r="Y466" s="119">
        <f t="shared" ref="Y466" si="331">SUM(W466:X466)</f>
        <v>300000</v>
      </c>
      <c r="AA466" s="366">
        <v>0.5</v>
      </c>
      <c r="AB466" s="366">
        <v>0.5</v>
      </c>
    </row>
    <row r="467" spans="1:28">
      <c r="A467" s="109"/>
      <c r="B467" s="109"/>
      <c r="C467" s="109"/>
      <c r="D467" s="109"/>
      <c r="E467" s="109" t="s">
        <v>549</v>
      </c>
      <c r="F467" s="386"/>
      <c r="G467" s="387"/>
      <c r="H467" s="388"/>
      <c r="I467" s="390"/>
      <c r="J467" s="391">
        <f>SUM(J466)</f>
        <v>60000</v>
      </c>
      <c r="K467" s="392"/>
      <c r="L467" s="390"/>
      <c r="M467" s="391">
        <f>SUM(M466)</f>
        <v>60000</v>
      </c>
      <c r="N467" s="392"/>
      <c r="O467" s="390"/>
      <c r="P467" s="391">
        <f>SUM(P466)</f>
        <v>60000</v>
      </c>
      <c r="Q467" s="392"/>
      <c r="R467" s="390"/>
      <c r="S467" s="391">
        <f>SUM(S466)</f>
        <v>60000</v>
      </c>
      <c r="T467" s="392"/>
      <c r="U467" s="390"/>
      <c r="V467" s="391">
        <f>SUM(V466)</f>
        <v>60000</v>
      </c>
      <c r="W467" s="391">
        <f>SUM(W466)</f>
        <v>300000</v>
      </c>
      <c r="X467" s="125">
        <f>SUM(X466)</f>
        <v>0</v>
      </c>
      <c r="Y467" s="391">
        <f>SUM(Y466)</f>
        <v>300000</v>
      </c>
      <c r="Z467" s="142"/>
    </row>
    <row r="468" spans="1:28">
      <c r="A468" s="272"/>
      <c r="B468" s="272"/>
      <c r="C468" s="272"/>
      <c r="D468" s="272"/>
      <c r="E468" s="272"/>
      <c r="F468" s="301"/>
      <c r="G468" s="245"/>
      <c r="H468" s="154"/>
      <c r="I468" s="154"/>
      <c r="J468" s="154"/>
      <c r="K468" s="301"/>
      <c r="L468" s="154"/>
      <c r="M468" s="154"/>
      <c r="N468" s="301"/>
      <c r="O468" s="154"/>
      <c r="P468" s="154"/>
      <c r="Q468" s="301"/>
      <c r="R468" s="154"/>
      <c r="S468" s="154"/>
      <c r="T468" s="301"/>
      <c r="U468" s="154"/>
      <c r="V468" s="154"/>
      <c r="W468" s="154"/>
      <c r="X468" s="154"/>
      <c r="Y468" s="154"/>
    </row>
    <row r="469" spans="1:28">
      <c r="A469" s="109"/>
      <c r="B469" s="109"/>
      <c r="C469" s="109"/>
      <c r="D469" s="109"/>
      <c r="E469" s="109" t="s">
        <v>550</v>
      </c>
      <c r="F469" s="300"/>
      <c r="G469" s="123"/>
      <c r="H469" s="124"/>
      <c r="I469" s="124"/>
      <c r="J469" s="124"/>
      <c r="K469" s="300"/>
      <c r="L469" s="124"/>
      <c r="M469" s="124"/>
      <c r="N469" s="300"/>
      <c r="O469" s="124"/>
      <c r="P469" s="124"/>
      <c r="Q469" s="300"/>
      <c r="R469" s="124"/>
      <c r="S469" s="124"/>
      <c r="T469" s="300"/>
      <c r="U469" s="124"/>
      <c r="V469" s="124"/>
      <c r="W469" s="124"/>
      <c r="X469" s="124"/>
      <c r="Y469" s="124"/>
    </row>
    <row r="470" spans="1:28">
      <c r="A470" s="58" t="s">
        <v>551</v>
      </c>
      <c r="B470" s="58">
        <v>87000</v>
      </c>
      <c r="C470" s="58" t="s">
        <v>222</v>
      </c>
      <c r="D470" s="58">
        <v>0</v>
      </c>
      <c r="E470" s="58" t="s">
        <v>552</v>
      </c>
      <c r="F470" s="293"/>
      <c r="G470" s="58" t="s">
        <v>281</v>
      </c>
      <c r="H470" s="119">
        <v>0</v>
      </c>
      <c r="I470" s="119">
        <v>100000</v>
      </c>
      <c r="J470" s="119">
        <f>H470*I470</f>
        <v>0</v>
      </c>
      <c r="K470" s="293"/>
      <c r="L470" s="119">
        <v>0</v>
      </c>
      <c r="M470" s="119">
        <f>I470*L470</f>
        <v>0</v>
      </c>
      <c r="N470" s="293"/>
      <c r="O470" s="119">
        <v>1</v>
      </c>
      <c r="P470" s="119">
        <f>I470*O470</f>
        <v>100000</v>
      </c>
      <c r="Q470" s="293"/>
      <c r="R470" s="119">
        <v>0</v>
      </c>
      <c r="S470" s="119">
        <f>I470*R470</f>
        <v>0</v>
      </c>
      <c r="T470" s="293"/>
      <c r="U470" s="119">
        <v>1</v>
      </c>
      <c r="V470" s="119">
        <f>I470*U470</f>
        <v>100000</v>
      </c>
      <c r="W470" s="119">
        <f t="shared" ref="W470" si="332">SUM(S470,P470,M470,J470,V470)</f>
        <v>200000</v>
      </c>
      <c r="X470" s="119">
        <v>0</v>
      </c>
      <c r="Y470" s="119">
        <f>SUM(W470:X470)</f>
        <v>200000</v>
      </c>
      <c r="AA470" s="366">
        <v>0.5</v>
      </c>
      <c r="AB470" s="366">
        <v>0.5</v>
      </c>
    </row>
    <row r="471" spans="1:28">
      <c r="A471" s="258"/>
      <c r="B471" s="258"/>
      <c r="C471" s="258"/>
      <c r="D471" s="258"/>
      <c r="E471" s="258" t="s">
        <v>420</v>
      </c>
      <c r="F471" s="295"/>
      <c r="G471" s="260"/>
      <c r="H471" s="261"/>
      <c r="I471" s="261"/>
      <c r="J471" s="261"/>
      <c r="K471" s="295"/>
      <c r="L471" s="261"/>
      <c r="M471" s="261"/>
      <c r="N471" s="295"/>
      <c r="O471" s="261"/>
      <c r="P471" s="261"/>
      <c r="Q471" s="295"/>
      <c r="R471" s="261"/>
      <c r="S471" s="261"/>
      <c r="T471" s="295"/>
      <c r="U471" s="261"/>
      <c r="V471" s="261"/>
      <c r="W471" s="244"/>
      <c r="X471" s="244"/>
      <c r="Y471" s="261"/>
    </row>
    <row r="472" spans="1:28">
      <c r="A472" s="58" t="s">
        <v>553</v>
      </c>
      <c r="B472" s="58">
        <v>89000</v>
      </c>
      <c r="C472" s="58" t="s">
        <v>222</v>
      </c>
      <c r="D472" s="58">
        <v>0</v>
      </c>
      <c r="E472" s="58" t="s">
        <v>554</v>
      </c>
      <c r="F472" s="293"/>
      <c r="G472" s="58" t="s">
        <v>423</v>
      </c>
      <c r="H472" s="119">
        <v>0</v>
      </c>
      <c r="I472" s="119">
        <v>10000</v>
      </c>
      <c r="J472" s="119">
        <f>H472*I472</f>
        <v>0</v>
      </c>
      <c r="K472" s="293"/>
      <c r="L472" s="119">
        <v>2</v>
      </c>
      <c r="M472" s="119">
        <f>I472*L472</f>
        <v>20000</v>
      </c>
      <c r="N472" s="293"/>
      <c r="O472" s="119">
        <v>4</v>
      </c>
      <c r="P472" s="119">
        <f>I472*O472</f>
        <v>40000</v>
      </c>
      <c r="Q472" s="293"/>
      <c r="R472" s="119">
        <v>4</v>
      </c>
      <c r="S472" s="119">
        <f>I472*R472</f>
        <v>40000</v>
      </c>
      <c r="T472" s="293"/>
      <c r="U472" s="119">
        <v>0</v>
      </c>
      <c r="V472" s="119">
        <f>I472*U472</f>
        <v>0</v>
      </c>
      <c r="W472" s="119">
        <f t="shared" ref="W472" si="333">SUM(S472,P472,M472,J472,V472)</f>
        <v>100000</v>
      </c>
      <c r="X472" s="119">
        <v>0</v>
      </c>
      <c r="Y472" s="119">
        <f>SUM(W472:X472)</f>
        <v>100000</v>
      </c>
      <c r="AA472" s="366">
        <v>0.5</v>
      </c>
      <c r="AB472" s="366">
        <v>0.5</v>
      </c>
    </row>
    <row r="473" spans="1:28">
      <c r="A473" s="109"/>
      <c r="B473" s="109"/>
      <c r="C473" s="109"/>
      <c r="D473" s="109"/>
      <c r="E473" s="109" t="s">
        <v>555</v>
      </c>
      <c r="F473" s="300"/>
      <c r="G473" s="123"/>
      <c r="H473" s="124"/>
      <c r="I473" s="125"/>
      <c r="J473" s="125">
        <f>SUM(J470:J472)</f>
        <v>0</v>
      </c>
      <c r="K473" s="303"/>
      <c r="L473" s="125"/>
      <c r="M473" s="125">
        <f>SUM(M470:M472)</f>
        <v>20000</v>
      </c>
      <c r="N473" s="303"/>
      <c r="O473" s="125"/>
      <c r="P473" s="125">
        <f>SUM(P470:P472)</f>
        <v>140000</v>
      </c>
      <c r="Q473" s="303"/>
      <c r="R473" s="125"/>
      <c r="S473" s="125">
        <f>SUM(S470:S472)</f>
        <v>40000</v>
      </c>
      <c r="T473" s="303"/>
      <c r="U473" s="125"/>
      <c r="V473" s="125">
        <f>SUM(V470:V472)</f>
        <v>100000</v>
      </c>
      <c r="W473" s="125">
        <f>SUM(W470:W472)</f>
        <v>300000</v>
      </c>
      <c r="X473" s="125">
        <f>SUM(X470:X472)</f>
        <v>0</v>
      </c>
      <c r="Y473" s="125">
        <f>SUM(Y470:Y472)</f>
        <v>300000</v>
      </c>
      <c r="AA473" s="366"/>
      <c r="AB473" s="366"/>
    </row>
    <row r="474" spans="1:28">
      <c r="A474" s="120"/>
      <c r="B474" s="120"/>
      <c r="C474" s="120"/>
      <c r="D474" s="120"/>
      <c r="E474" s="120"/>
      <c r="F474" s="293"/>
      <c r="G474" s="126"/>
      <c r="H474" s="119"/>
      <c r="I474" s="119"/>
      <c r="J474" s="119"/>
      <c r="K474" s="293"/>
      <c r="L474" s="119"/>
      <c r="M474" s="119"/>
      <c r="N474" s="293"/>
      <c r="O474" s="119"/>
      <c r="P474" s="119"/>
      <c r="Q474" s="293"/>
      <c r="R474" s="119"/>
      <c r="S474" s="119"/>
      <c r="T474" s="293"/>
      <c r="U474" s="119"/>
      <c r="V474" s="119"/>
      <c r="W474" s="119"/>
      <c r="X474" s="119"/>
      <c r="Y474" s="136"/>
    </row>
    <row r="475" spans="1:28">
      <c r="A475" s="109"/>
      <c r="B475" s="109"/>
      <c r="C475" s="109"/>
      <c r="D475" s="109"/>
      <c r="E475" s="109" t="s">
        <v>556</v>
      </c>
      <c r="F475" s="300"/>
      <c r="G475" s="123"/>
      <c r="H475" s="124"/>
      <c r="I475" s="124"/>
      <c r="J475" s="124"/>
      <c r="K475" s="300"/>
      <c r="L475" s="124"/>
      <c r="M475" s="124"/>
      <c r="N475" s="300"/>
      <c r="O475" s="124"/>
      <c r="P475" s="124"/>
      <c r="Q475" s="300"/>
      <c r="R475" s="124"/>
      <c r="S475" s="124"/>
      <c r="T475" s="300"/>
      <c r="U475" s="124"/>
      <c r="V475" s="124"/>
      <c r="W475" s="124"/>
      <c r="X475" s="124"/>
      <c r="Y475" s="124"/>
    </row>
    <row r="476" spans="1:28">
      <c r="A476" s="120" t="s">
        <v>557</v>
      </c>
      <c r="B476" s="120">
        <v>9035</v>
      </c>
      <c r="C476" s="120" t="s">
        <v>219</v>
      </c>
      <c r="D476" s="120">
        <v>0</v>
      </c>
      <c r="E476" s="58" t="s">
        <v>558</v>
      </c>
      <c r="F476" s="293"/>
      <c r="G476" s="126" t="s">
        <v>559</v>
      </c>
      <c r="H476" s="119">
        <v>0</v>
      </c>
      <c r="I476" s="119">
        <v>750</v>
      </c>
      <c r="J476" s="119">
        <v>0</v>
      </c>
      <c r="K476" s="296"/>
      <c r="L476" s="119">
        <v>0</v>
      </c>
      <c r="M476" s="119">
        <v>0</v>
      </c>
      <c r="N476" s="296"/>
      <c r="O476" s="119">
        <v>4</v>
      </c>
      <c r="P476" s="119">
        <v>0</v>
      </c>
      <c r="Q476" s="296"/>
      <c r="R476" s="119">
        <v>0</v>
      </c>
      <c r="S476" s="119">
        <v>0</v>
      </c>
      <c r="T476" s="296"/>
      <c r="U476" s="119">
        <v>4</v>
      </c>
      <c r="V476" s="119">
        <v>0</v>
      </c>
      <c r="W476" s="119">
        <f>SUM(S476,P476,M476,J476,V476)</f>
        <v>0</v>
      </c>
      <c r="X476" s="119">
        <f>(H476*I476)+(L476*I476)+(O476*I476)+(I476*R476)+(U476*I476)</f>
        <v>6000</v>
      </c>
      <c r="Y476" s="360">
        <f>SUM(W476:X476)</f>
        <v>6000</v>
      </c>
      <c r="AA476" s="366">
        <v>0.5</v>
      </c>
      <c r="AB476" s="366">
        <v>0.5</v>
      </c>
    </row>
    <row r="477" spans="1:28">
      <c r="A477" s="109"/>
      <c r="B477" s="109"/>
      <c r="C477" s="109"/>
      <c r="D477" s="109"/>
      <c r="E477" s="109" t="s">
        <v>560</v>
      </c>
      <c r="F477" s="300"/>
      <c r="G477" s="123"/>
      <c r="H477" s="124"/>
      <c r="I477" s="124"/>
      <c r="J477" s="125">
        <f>SUM(J476:J476)</f>
        <v>0</v>
      </c>
      <c r="K477" s="300"/>
      <c r="L477" s="125"/>
      <c r="M477" s="125">
        <f>SUM(M476:M476)</f>
        <v>0</v>
      </c>
      <c r="N477" s="300"/>
      <c r="O477" s="125"/>
      <c r="P477" s="125">
        <f>SUM(P476:P476)</f>
        <v>0</v>
      </c>
      <c r="Q477" s="300"/>
      <c r="R477" s="125"/>
      <c r="S477" s="125">
        <f>SUM(S476:S476)</f>
        <v>0</v>
      </c>
      <c r="T477" s="300"/>
      <c r="U477" s="125"/>
      <c r="V477" s="125">
        <f>SUM(V476:V476)</f>
        <v>0</v>
      </c>
      <c r="W477" s="125">
        <f>SUM(W476:W476)</f>
        <v>0</v>
      </c>
      <c r="X477" s="125">
        <f>SUM(X476:X476)</f>
        <v>6000</v>
      </c>
      <c r="Y477" s="125">
        <f>SUM(Y476:Y476)</f>
        <v>6000</v>
      </c>
    </row>
    <row r="478" spans="1:28">
      <c r="A478" s="120"/>
      <c r="B478" s="120"/>
      <c r="C478" s="120"/>
      <c r="D478" s="120"/>
      <c r="E478" s="120"/>
      <c r="F478" s="293"/>
      <c r="G478" s="126"/>
      <c r="H478" s="119"/>
      <c r="I478" s="119"/>
      <c r="J478" s="119"/>
      <c r="K478" s="293"/>
      <c r="L478" s="119"/>
      <c r="M478" s="119"/>
      <c r="N478" s="293"/>
      <c r="O478" s="119"/>
      <c r="P478" s="119"/>
      <c r="Q478" s="293"/>
      <c r="R478" s="119"/>
      <c r="S478" s="119"/>
      <c r="T478" s="293"/>
      <c r="U478" s="119"/>
      <c r="V478" s="119"/>
      <c r="W478" s="119"/>
      <c r="X478" s="119"/>
      <c r="Y478" s="136"/>
    </row>
    <row r="479" spans="1:28" ht="12.9" thickBot="1">
      <c r="A479" s="143"/>
      <c r="B479" s="143"/>
      <c r="C479" s="143"/>
      <c r="D479" s="143"/>
      <c r="E479" s="143" t="s">
        <v>184</v>
      </c>
      <c r="F479" s="294"/>
      <c r="G479" s="143"/>
      <c r="H479" s="162"/>
      <c r="I479" s="162"/>
      <c r="J479" s="157">
        <f>J473+J477+J463+J459+J452+J467</f>
        <v>88278.324999999997</v>
      </c>
      <c r="K479" s="294"/>
      <c r="L479" s="157"/>
      <c r="M479" s="157">
        <f>M473+M477+M463+M459+M452+M467</f>
        <v>117620.75200000001</v>
      </c>
      <c r="N479" s="294"/>
      <c r="O479" s="157"/>
      <c r="P479" s="157">
        <f>P473+P477+P463+P459+P452+P467</f>
        <v>252657.20928000001</v>
      </c>
      <c r="Q479" s="294"/>
      <c r="R479" s="157"/>
      <c r="S479" s="157">
        <f>S473+S477+S463+S459+S452+S467</f>
        <v>140690.60536320001</v>
      </c>
      <c r="T479" s="294"/>
      <c r="U479" s="157"/>
      <c r="V479" s="157">
        <f>V473+V477+V463+V459+V452+V467</f>
        <v>213875.17455257601</v>
      </c>
      <c r="W479" s="157">
        <f>W473+W477+W463+W459+W452+W467</f>
        <v>813122.06619577599</v>
      </c>
      <c r="X479" s="157">
        <f>X473+X477+X463+X459+X452+X467</f>
        <v>6000</v>
      </c>
      <c r="Y479" s="157">
        <f>Y473+Y477+Y463+Y459+Y452+Y467</f>
        <v>819122.06619577599</v>
      </c>
      <c r="AA479" s="146">
        <f>SUMPRODUCT(W438:W451,AA438:AA451)+SUMPRODUCT(W455:W458,AA455:AA458)+SUMPRODUCT(W462,AA462)+SUMPRODUCT(W466,AA466)+SUMPRODUCT(W472,AA472)+SUMPRODUCT(W470,AA470)</f>
        <v>406561.03309788799</v>
      </c>
      <c r="AB479" s="146">
        <f>SUMPRODUCT(W438:W451,AB438:AB451)+SUMPRODUCT(W455:W458,AB455:AB458)+SUMPRODUCT(W462,AB462)+SUMPRODUCT(W466,AB466)+SUMPRODUCT(W472,AB472)+SUMPRODUCT(W470,AB470)</f>
        <v>406561.03309788799</v>
      </c>
    </row>
    <row r="480" spans="1:28">
      <c r="A480" s="245"/>
      <c r="B480" s="245"/>
      <c r="C480" s="245"/>
      <c r="D480" s="245"/>
      <c r="E480" s="245"/>
      <c r="F480" s="291"/>
      <c r="G480" s="245"/>
      <c r="H480" s="154"/>
      <c r="I480" s="154"/>
      <c r="J480" s="154"/>
      <c r="K480" s="291"/>
      <c r="L480" s="154"/>
      <c r="M480" s="154"/>
      <c r="N480" s="291"/>
      <c r="O480" s="154"/>
      <c r="P480" s="154"/>
      <c r="Q480" s="291"/>
      <c r="R480" s="154"/>
      <c r="S480" s="154"/>
      <c r="T480" s="291"/>
      <c r="U480" s="154"/>
      <c r="V480" s="154"/>
      <c r="W480" s="154"/>
      <c r="X480" s="154"/>
      <c r="Y480" s="154"/>
    </row>
    <row r="481" spans="1:28">
      <c r="A481" s="266"/>
      <c r="B481" s="266"/>
      <c r="C481" s="266"/>
      <c r="D481" s="266"/>
      <c r="E481" s="266" t="str">
        <f>'USDA Budget Summary'!A35</f>
        <v>Activity 8: Financial Services: Endowment Establishment, Fundraising and Management</v>
      </c>
      <c r="F481" s="298"/>
      <c r="G481" s="106"/>
      <c r="H481" s="106"/>
      <c r="I481" s="107"/>
      <c r="J481" s="267"/>
      <c r="K481" s="298"/>
      <c r="L481" s="267"/>
      <c r="M481" s="267"/>
      <c r="N481" s="298"/>
      <c r="O481" s="267"/>
      <c r="P481" s="267"/>
      <c r="Q481" s="298"/>
      <c r="R481" s="267"/>
      <c r="S481" s="267"/>
      <c r="T481" s="298"/>
      <c r="U481" s="267"/>
      <c r="V481" s="267"/>
      <c r="W481" s="267"/>
      <c r="X481" s="268"/>
      <c r="Y481" s="267"/>
    </row>
    <row r="482" spans="1:28">
      <c r="A482" s="269"/>
      <c r="B482" s="269"/>
      <c r="C482" s="269"/>
      <c r="D482" s="269"/>
      <c r="E482" s="269" t="s">
        <v>349</v>
      </c>
      <c r="F482" s="299"/>
      <c r="G482" s="270"/>
      <c r="H482" s="271"/>
      <c r="I482" s="271"/>
      <c r="J482" s="271"/>
      <c r="K482" s="299"/>
      <c r="L482" s="271"/>
      <c r="M482" s="271"/>
      <c r="N482" s="299"/>
      <c r="O482" s="271"/>
      <c r="P482" s="271"/>
      <c r="Q482" s="299"/>
      <c r="R482" s="271"/>
      <c r="S482" s="271"/>
      <c r="T482" s="299"/>
      <c r="U482" s="271"/>
      <c r="V482" s="271"/>
      <c r="W482" s="271"/>
      <c r="X482" s="271"/>
      <c r="Y482" s="271"/>
      <c r="AA482" s="366"/>
      <c r="AB482" s="366"/>
    </row>
    <row r="483" spans="1:28">
      <c r="A483" s="109"/>
      <c r="B483" s="109"/>
      <c r="C483" s="109"/>
      <c r="D483" s="109"/>
      <c r="E483" s="109" t="s">
        <v>561</v>
      </c>
      <c r="F483" s="300"/>
      <c r="G483" s="123"/>
      <c r="H483" s="124"/>
      <c r="I483" s="124"/>
      <c r="J483" s="124"/>
      <c r="K483" s="300"/>
      <c r="L483" s="124"/>
      <c r="M483" s="124"/>
      <c r="N483" s="300"/>
      <c r="O483" s="124"/>
      <c r="P483" s="124"/>
      <c r="Q483" s="300"/>
      <c r="R483" s="124"/>
      <c r="S483" s="124"/>
      <c r="T483" s="300"/>
      <c r="U483" s="124"/>
      <c r="V483" s="124"/>
      <c r="W483" s="124"/>
      <c r="X483" s="124"/>
      <c r="Y483" s="124"/>
      <c r="AA483" s="366"/>
      <c r="AB483" s="366"/>
    </row>
    <row r="484" spans="1:28">
      <c r="A484" s="58" t="s">
        <v>562</v>
      </c>
      <c r="B484" s="58">
        <v>50000</v>
      </c>
      <c r="C484" s="58" t="s">
        <v>219</v>
      </c>
      <c r="D484" s="58">
        <v>0</v>
      </c>
      <c r="E484" s="58" t="str">
        <f t="shared" ref="E484:E497" si="334">E13</f>
        <v xml:space="preserve">Key Personnel: Chief of Party </v>
      </c>
      <c r="F484" s="287">
        <f>'LOE Breakdown by Year'!L11</f>
        <v>0</v>
      </c>
      <c r="G484" s="127" t="s">
        <v>221</v>
      </c>
      <c r="H484" s="119">
        <f t="shared" ref="H484:I497" si="335">H13</f>
        <v>12</v>
      </c>
      <c r="I484" s="119">
        <f t="shared" si="335"/>
        <v>12500</v>
      </c>
      <c r="J484" s="119">
        <f>H484*I484*F484</f>
        <v>0</v>
      </c>
      <c r="K484" s="287">
        <f>'LOE Breakdown by Year'!L35</f>
        <v>0.1</v>
      </c>
      <c r="L484" s="119">
        <f t="shared" ref="L484:L497" si="336">L13</f>
        <v>12</v>
      </c>
      <c r="M484" s="119">
        <f>L484*I484*$F$8*$K484</f>
        <v>15600</v>
      </c>
      <c r="N484" s="287">
        <f>'LOE Breakdown by Year'!L59</f>
        <v>0.1</v>
      </c>
      <c r="O484" s="119">
        <f t="shared" ref="O484:O497" si="337">O13</f>
        <v>12</v>
      </c>
      <c r="P484" s="119">
        <f t="shared" ref="P484" si="338">O484*I484*$N484*$F$8*$F$8</f>
        <v>16224</v>
      </c>
      <c r="Q484" s="287">
        <f>'LOE Breakdown by Year'!L83</f>
        <v>0.25</v>
      </c>
      <c r="R484" s="119">
        <f t="shared" ref="R484:R497" si="339">R13</f>
        <v>12</v>
      </c>
      <c r="S484" s="119">
        <f t="shared" ref="S484" si="340">R484*I484*$Q484*$F$8*$F$8*$F$8</f>
        <v>42182.400000000001</v>
      </c>
      <c r="T484" s="287">
        <f>'LOE Breakdown by Year'!L107</f>
        <v>0.25</v>
      </c>
      <c r="U484" s="119">
        <f t="shared" ref="U484:U497" si="341">U13</f>
        <v>12</v>
      </c>
      <c r="V484" s="119">
        <f t="shared" ref="V484" si="342">U484*I484*$T484*$F$8*$F$8*$F$8*$F$8</f>
        <v>43869.696000000004</v>
      </c>
      <c r="W484" s="119">
        <f t="shared" ref="W484" si="343">SUM(S484,P484,M484,J484,V484)</f>
        <v>117876.09599999999</v>
      </c>
      <c r="X484" s="119">
        <v>0</v>
      </c>
      <c r="Y484" s="119">
        <f t="shared" ref="Y484" si="344">SUM(W484:X484)</f>
        <v>117876.09599999999</v>
      </c>
      <c r="AA484" s="366">
        <v>0.5</v>
      </c>
      <c r="AB484" s="366">
        <v>0.5</v>
      </c>
    </row>
    <row r="485" spans="1:28">
      <c r="A485" s="58" t="s">
        <v>562</v>
      </c>
      <c r="B485" s="58">
        <v>70000</v>
      </c>
      <c r="C485" s="58" t="s">
        <v>222</v>
      </c>
      <c r="D485" s="58">
        <v>0</v>
      </c>
      <c r="E485" s="58" t="str">
        <f t="shared" si="334"/>
        <v>Key Personnel: Technical Director</v>
      </c>
      <c r="F485" s="287">
        <f>'LOE Breakdown by Year'!L12</f>
        <v>0</v>
      </c>
      <c r="G485" s="127" t="s">
        <v>221</v>
      </c>
      <c r="H485" s="119">
        <f t="shared" si="335"/>
        <v>8</v>
      </c>
      <c r="I485" s="119">
        <f t="shared" si="335"/>
        <v>5833.333333333333</v>
      </c>
      <c r="J485" s="119">
        <f t="shared" ref="J485:J497" si="345">H485*I485*F485</f>
        <v>0</v>
      </c>
      <c r="K485" s="287">
        <f>'LOE Breakdown by Year'!L36</f>
        <v>0</v>
      </c>
      <c r="L485" s="119">
        <f t="shared" si="336"/>
        <v>12</v>
      </c>
      <c r="M485" s="119">
        <f t="shared" ref="M485:M497" si="346">L485*I485*$F$8*$K485</f>
        <v>0</v>
      </c>
      <c r="N485" s="287">
        <f>'LOE Breakdown by Year'!L60</f>
        <v>0</v>
      </c>
      <c r="O485" s="119">
        <f t="shared" si="337"/>
        <v>12</v>
      </c>
      <c r="P485" s="119">
        <f t="shared" ref="P485:P497" si="347">O485*I485*$N485*$F$8*$F$8</f>
        <v>0</v>
      </c>
      <c r="Q485" s="287">
        <f>'LOE Breakdown by Year'!L84</f>
        <v>0</v>
      </c>
      <c r="R485" s="119">
        <f t="shared" si="339"/>
        <v>12</v>
      </c>
      <c r="S485" s="119">
        <f t="shared" ref="S485:S497" si="348">R485*I485*$Q485*$F$8*$F$8*$F$8</f>
        <v>0</v>
      </c>
      <c r="T485" s="287">
        <f>'LOE Breakdown by Year'!L108</f>
        <v>0.05</v>
      </c>
      <c r="U485" s="119">
        <f t="shared" si="341"/>
        <v>12</v>
      </c>
      <c r="V485" s="119">
        <f t="shared" ref="V485:V497" si="349">U485*I485*$T485*$F$8*$F$8*$F$8*$F$8</f>
        <v>4094.5049600000002</v>
      </c>
      <c r="W485" s="119">
        <f t="shared" ref="W485:W497" si="350">SUM(S485,P485,M485,J485,V485)</f>
        <v>4094.5049600000002</v>
      </c>
      <c r="X485" s="119">
        <v>0</v>
      </c>
      <c r="Y485" s="119">
        <f t="shared" ref="Y485:Y497" si="351">SUM(W485:X485)</f>
        <v>4094.5049600000002</v>
      </c>
      <c r="AA485" s="366">
        <v>0.5</v>
      </c>
      <c r="AB485" s="366">
        <v>0.5</v>
      </c>
    </row>
    <row r="486" spans="1:28">
      <c r="A486" s="58" t="s">
        <v>562</v>
      </c>
      <c r="B486" s="58">
        <v>70000</v>
      </c>
      <c r="C486" s="58" t="s">
        <v>222</v>
      </c>
      <c r="D486" s="58">
        <v>0</v>
      </c>
      <c r="E486" s="58" t="str">
        <f t="shared" si="334"/>
        <v xml:space="preserve">F&amp;A Director </v>
      </c>
      <c r="F486" s="287">
        <f>'LOE Breakdown by Year'!L13</f>
        <v>0</v>
      </c>
      <c r="G486" s="127" t="s">
        <v>221</v>
      </c>
      <c r="H486" s="119">
        <f t="shared" si="335"/>
        <v>8</v>
      </c>
      <c r="I486" s="119">
        <f t="shared" si="335"/>
        <v>3833.3333333333335</v>
      </c>
      <c r="J486" s="119">
        <f t="shared" si="345"/>
        <v>0</v>
      </c>
      <c r="K486" s="287">
        <f>'LOE Breakdown by Year'!L37</f>
        <v>0</v>
      </c>
      <c r="L486" s="119">
        <f t="shared" si="336"/>
        <v>12</v>
      </c>
      <c r="M486" s="119">
        <f t="shared" si="346"/>
        <v>0</v>
      </c>
      <c r="N486" s="287">
        <f>'LOE Breakdown by Year'!L61</f>
        <v>0</v>
      </c>
      <c r="O486" s="119">
        <f t="shared" si="337"/>
        <v>12</v>
      </c>
      <c r="P486" s="119">
        <f t="shared" si="347"/>
        <v>0</v>
      </c>
      <c r="Q486" s="287">
        <f>'LOE Breakdown by Year'!L85</f>
        <v>0.2</v>
      </c>
      <c r="R486" s="119">
        <f t="shared" si="339"/>
        <v>12</v>
      </c>
      <c r="S486" s="119">
        <f t="shared" si="348"/>
        <v>10348.748800000001</v>
      </c>
      <c r="T486" s="287">
        <f>'LOE Breakdown by Year'!L109</f>
        <v>0.25</v>
      </c>
      <c r="U486" s="119">
        <f t="shared" si="341"/>
        <v>12</v>
      </c>
      <c r="V486" s="119">
        <f t="shared" si="349"/>
        <v>13453.373439999999</v>
      </c>
      <c r="W486" s="119">
        <f t="shared" si="350"/>
        <v>23802.122240000001</v>
      </c>
      <c r="X486" s="119">
        <v>0</v>
      </c>
      <c r="Y486" s="119">
        <f t="shared" si="351"/>
        <v>23802.122240000001</v>
      </c>
      <c r="AA486" s="366">
        <v>0.5</v>
      </c>
      <c r="AB486" s="366">
        <v>0.5</v>
      </c>
    </row>
    <row r="487" spans="1:28">
      <c r="A487" s="58" t="s">
        <v>562</v>
      </c>
      <c r="B487" s="58">
        <v>70000</v>
      </c>
      <c r="C487" s="58" t="s">
        <v>222</v>
      </c>
      <c r="D487" s="58">
        <v>0</v>
      </c>
      <c r="E487" s="58" t="str">
        <f t="shared" si="334"/>
        <v xml:space="preserve">M&amp;E Director </v>
      </c>
      <c r="F487" s="287">
        <f>'LOE Breakdown by Year'!L14</f>
        <v>0</v>
      </c>
      <c r="G487" s="127" t="s">
        <v>221</v>
      </c>
      <c r="H487" s="119">
        <f t="shared" si="335"/>
        <v>8</v>
      </c>
      <c r="I487" s="119">
        <f t="shared" si="335"/>
        <v>3833.3333333333335</v>
      </c>
      <c r="J487" s="119">
        <f t="shared" si="345"/>
        <v>0</v>
      </c>
      <c r="K487" s="287">
        <f>'LOE Breakdown by Year'!L38</f>
        <v>0</v>
      </c>
      <c r="L487" s="119">
        <f t="shared" si="336"/>
        <v>12</v>
      </c>
      <c r="M487" s="119">
        <f t="shared" si="346"/>
        <v>0</v>
      </c>
      <c r="N487" s="287">
        <f>'LOE Breakdown by Year'!L62</f>
        <v>0</v>
      </c>
      <c r="O487" s="119">
        <f t="shared" si="337"/>
        <v>12</v>
      </c>
      <c r="P487" s="119">
        <f t="shared" si="347"/>
        <v>0</v>
      </c>
      <c r="Q487" s="287">
        <f>'LOE Breakdown by Year'!L86</f>
        <v>0.05</v>
      </c>
      <c r="R487" s="119">
        <f t="shared" si="339"/>
        <v>12</v>
      </c>
      <c r="S487" s="119">
        <f t="shared" si="348"/>
        <v>2587.1872000000003</v>
      </c>
      <c r="T487" s="287">
        <f>'LOE Breakdown by Year'!L110</f>
        <v>0.15</v>
      </c>
      <c r="U487" s="119">
        <f t="shared" si="341"/>
        <v>12</v>
      </c>
      <c r="V487" s="119">
        <f t="shared" si="349"/>
        <v>8072.0240640000002</v>
      </c>
      <c r="W487" s="119">
        <f t="shared" si="350"/>
        <v>10659.211264000001</v>
      </c>
      <c r="X487" s="119">
        <v>0</v>
      </c>
      <c r="Y487" s="119">
        <f t="shared" si="351"/>
        <v>10659.211264000001</v>
      </c>
      <c r="AA487" s="366">
        <v>0.5</v>
      </c>
      <c r="AB487" s="366">
        <v>0.5</v>
      </c>
    </row>
    <row r="488" spans="1:28" hidden="1">
      <c r="A488" s="58"/>
      <c r="B488" s="58">
        <v>70000</v>
      </c>
      <c r="C488" s="58" t="s">
        <v>222</v>
      </c>
      <c r="D488" s="58"/>
      <c r="E488" s="58" t="str">
        <f t="shared" si="334"/>
        <v>M&amp;E Mid-level Specialist</v>
      </c>
      <c r="F488" s="287">
        <f>'LOE Breakdown by Year'!L15</f>
        <v>0</v>
      </c>
      <c r="G488" s="127" t="s">
        <v>221</v>
      </c>
      <c r="H488" s="119">
        <f t="shared" si="335"/>
        <v>7</v>
      </c>
      <c r="I488" s="119">
        <f t="shared" si="335"/>
        <v>2666.6666666666665</v>
      </c>
      <c r="J488" s="119">
        <f t="shared" si="345"/>
        <v>0</v>
      </c>
      <c r="K488" s="287">
        <f>'LOE Breakdown by Year'!L39</f>
        <v>0</v>
      </c>
      <c r="L488" s="119">
        <f t="shared" si="336"/>
        <v>12</v>
      </c>
      <c r="M488" s="119">
        <f t="shared" si="346"/>
        <v>0</v>
      </c>
      <c r="N488" s="287">
        <f>'LOE Breakdown by Year'!L63</f>
        <v>0</v>
      </c>
      <c r="O488" s="119">
        <f t="shared" si="337"/>
        <v>12</v>
      </c>
      <c r="P488" s="119">
        <f t="shared" si="347"/>
        <v>0</v>
      </c>
      <c r="Q488" s="287">
        <f>'LOE Breakdown by Year'!L87</f>
        <v>0</v>
      </c>
      <c r="R488" s="119">
        <f t="shared" si="339"/>
        <v>12</v>
      </c>
      <c r="S488" s="119">
        <f t="shared" si="348"/>
        <v>0</v>
      </c>
      <c r="T488" s="287">
        <f>'LOE Breakdown by Year'!L111</f>
        <v>0</v>
      </c>
      <c r="U488" s="119">
        <f t="shared" si="341"/>
        <v>9</v>
      </c>
      <c r="V488" s="119">
        <f t="shared" si="349"/>
        <v>0</v>
      </c>
      <c r="W488" s="119">
        <f t="shared" si="350"/>
        <v>0</v>
      </c>
      <c r="X488" s="119">
        <v>0</v>
      </c>
      <c r="Y488" s="119">
        <f t="shared" si="351"/>
        <v>0</v>
      </c>
      <c r="AA488" s="366">
        <v>0.5</v>
      </c>
      <c r="AB488" s="366">
        <v>0.5</v>
      </c>
    </row>
    <row r="489" spans="1:28" hidden="1">
      <c r="A489" s="58"/>
      <c r="B489" s="58">
        <v>70000</v>
      </c>
      <c r="C489" s="58" t="s">
        <v>222</v>
      </c>
      <c r="D489" s="58"/>
      <c r="E489" s="58" t="str">
        <f t="shared" si="334"/>
        <v>M&amp;E Specialist</v>
      </c>
      <c r="F489" s="287">
        <f>'LOE Breakdown by Year'!L16</f>
        <v>0</v>
      </c>
      <c r="G489" s="127" t="s">
        <v>221</v>
      </c>
      <c r="H489" s="119">
        <f t="shared" si="335"/>
        <v>3</v>
      </c>
      <c r="I489" s="119">
        <f t="shared" si="335"/>
        <v>2166.6666666666665</v>
      </c>
      <c r="J489" s="119">
        <f t="shared" si="345"/>
        <v>0</v>
      </c>
      <c r="K489" s="287">
        <f>'LOE Breakdown by Year'!L40</f>
        <v>0</v>
      </c>
      <c r="L489" s="119">
        <f t="shared" si="336"/>
        <v>12</v>
      </c>
      <c r="M489" s="119">
        <f t="shared" si="346"/>
        <v>0</v>
      </c>
      <c r="N489" s="287">
        <f>'LOE Breakdown by Year'!L64</f>
        <v>0</v>
      </c>
      <c r="O489" s="119">
        <f t="shared" si="337"/>
        <v>12</v>
      </c>
      <c r="P489" s="119">
        <f t="shared" si="347"/>
        <v>0</v>
      </c>
      <c r="Q489" s="287">
        <f>'LOE Breakdown by Year'!L88</f>
        <v>0</v>
      </c>
      <c r="R489" s="119">
        <f t="shared" si="339"/>
        <v>12</v>
      </c>
      <c r="S489" s="119">
        <f t="shared" si="348"/>
        <v>0</v>
      </c>
      <c r="T489" s="287">
        <f>'LOE Breakdown by Year'!L112</f>
        <v>0</v>
      </c>
      <c r="U489" s="119">
        <f t="shared" si="341"/>
        <v>9</v>
      </c>
      <c r="V489" s="119">
        <f t="shared" si="349"/>
        <v>0</v>
      </c>
      <c r="W489" s="119">
        <f t="shared" si="350"/>
        <v>0</v>
      </c>
      <c r="X489" s="119">
        <v>0</v>
      </c>
      <c r="Y489" s="119">
        <f t="shared" si="351"/>
        <v>0</v>
      </c>
      <c r="AA489" s="366">
        <v>0.5</v>
      </c>
      <c r="AB489" s="366">
        <v>0.5</v>
      </c>
    </row>
    <row r="490" spans="1:28">
      <c r="A490" s="58" t="s">
        <v>562</v>
      </c>
      <c r="B490" s="58">
        <v>70000</v>
      </c>
      <c r="C490" s="58" t="s">
        <v>222</v>
      </c>
      <c r="D490" s="58">
        <v>0</v>
      </c>
      <c r="E490" s="58" t="str">
        <f t="shared" si="334"/>
        <v>Partnerships and Investment Director</v>
      </c>
      <c r="F490" s="287">
        <f>'LOE Breakdown by Year'!L17</f>
        <v>0</v>
      </c>
      <c r="G490" s="127" t="s">
        <v>221</v>
      </c>
      <c r="H490" s="119">
        <f t="shared" si="335"/>
        <v>8</v>
      </c>
      <c r="I490" s="119">
        <f t="shared" si="335"/>
        <v>3833.3333333333335</v>
      </c>
      <c r="J490" s="119">
        <f t="shared" si="345"/>
        <v>0</v>
      </c>
      <c r="K490" s="287">
        <f>'LOE Breakdown by Year'!L41</f>
        <v>0.1</v>
      </c>
      <c r="L490" s="119">
        <f t="shared" si="336"/>
        <v>12</v>
      </c>
      <c r="M490" s="119">
        <f t="shared" si="346"/>
        <v>4784</v>
      </c>
      <c r="N490" s="287">
        <f>'LOE Breakdown by Year'!L65</f>
        <v>0.1</v>
      </c>
      <c r="O490" s="119">
        <f t="shared" si="337"/>
        <v>12</v>
      </c>
      <c r="P490" s="119">
        <f t="shared" si="347"/>
        <v>4975.3600000000006</v>
      </c>
      <c r="Q490" s="287">
        <f>'LOE Breakdown by Year'!L89</f>
        <v>0.45</v>
      </c>
      <c r="R490" s="119">
        <f t="shared" si="339"/>
        <v>12</v>
      </c>
      <c r="S490" s="119">
        <f t="shared" si="348"/>
        <v>23284.684799999999</v>
      </c>
      <c r="T490" s="287">
        <f>'LOE Breakdown by Year'!L113</f>
        <v>0.45</v>
      </c>
      <c r="U490" s="119">
        <f t="shared" si="341"/>
        <v>9</v>
      </c>
      <c r="V490" s="119">
        <f t="shared" si="349"/>
        <v>18162.054144000002</v>
      </c>
      <c r="W490" s="119">
        <f t="shared" si="350"/>
        <v>51206.098944000005</v>
      </c>
      <c r="X490" s="119">
        <v>0</v>
      </c>
      <c r="Y490" s="119">
        <f t="shared" si="351"/>
        <v>51206.098944000005</v>
      </c>
      <c r="AA490" s="366">
        <v>0.5</v>
      </c>
      <c r="AB490" s="366">
        <v>0.5</v>
      </c>
    </row>
    <row r="491" spans="1:28" hidden="1">
      <c r="A491" s="58"/>
      <c r="B491" s="58"/>
      <c r="C491" s="58"/>
      <c r="D491" s="58"/>
      <c r="E491" s="58" t="str">
        <f t="shared" si="334"/>
        <v>Extension Agents (15)</v>
      </c>
      <c r="F491" s="287">
        <f>'LOE Breakdown by Year'!L18</f>
        <v>0</v>
      </c>
      <c r="G491" s="127" t="s">
        <v>221</v>
      </c>
      <c r="H491" s="119">
        <f t="shared" si="335"/>
        <v>3</v>
      </c>
      <c r="I491" s="119">
        <f t="shared" si="335"/>
        <v>26250</v>
      </c>
      <c r="J491" s="119">
        <f t="shared" si="345"/>
        <v>0</v>
      </c>
      <c r="K491" s="287">
        <f>'LOE Breakdown by Year'!L42</f>
        <v>0</v>
      </c>
      <c r="L491" s="119">
        <f t="shared" si="336"/>
        <v>12</v>
      </c>
      <c r="M491" s="119">
        <f t="shared" si="346"/>
        <v>0</v>
      </c>
      <c r="N491" s="287">
        <f>'LOE Breakdown by Year'!L66</f>
        <v>0</v>
      </c>
      <c r="O491" s="119">
        <f t="shared" si="337"/>
        <v>12</v>
      </c>
      <c r="P491" s="119">
        <f t="shared" si="347"/>
        <v>0</v>
      </c>
      <c r="Q491" s="287">
        <f>'LOE Breakdown by Year'!L90</f>
        <v>0</v>
      </c>
      <c r="R491" s="119">
        <f t="shared" si="339"/>
        <v>12</v>
      </c>
      <c r="S491" s="119">
        <f t="shared" si="348"/>
        <v>0</v>
      </c>
      <c r="T491" s="287">
        <f>'LOE Breakdown by Year'!L114</f>
        <v>0</v>
      </c>
      <c r="U491" s="119">
        <f t="shared" si="341"/>
        <v>9</v>
      </c>
      <c r="V491" s="119">
        <f t="shared" si="349"/>
        <v>0</v>
      </c>
      <c r="W491" s="119">
        <f t="shared" si="350"/>
        <v>0</v>
      </c>
      <c r="X491" s="119">
        <v>0</v>
      </c>
      <c r="Y491" s="119">
        <f t="shared" si="351"/>
        <v>0</v>
      </c>
      <c r="AA491" s="366">
        <v>0.5</v>
      </c>
      <c r="AB491" s="366">
        <v>0.5</v>
      </c>
    </row>
    <row r="492" spans="1:28" hidden="1">
      <c r="A492" s="58"/>
      <c r="B492" s="58"/>
      <c r="C492" s="58"/>
      <c r="D492" s="58"/>
      <c r="E492" s="58" t="str">
        <f t="shared" si="334"/>
        <v>Activity Lead Agribusiness Senior Specialist (Cacao)</v>
      </c>
      <c r="F492" s="287">
        <f>'LOE Breakdown by Year'!L19</f>
        <v>0</v>
      </c>
      <c r="G492" s="127" t="s">
        <v>221</v>
      </c>
      <c r="H492" s="119">
        <f t="shared" si="335"/>
        <v>3</v>
      </c>
      <c r="I492" s="119">
        <f t="shared" si="335"/>
        <v>2833.3333333333335</v>
      </c>
      <c r="J492" s="119">
        <f t="shared" si="345"/>
        <v>0</v>
      </c>
      <c r="K492" s="287">
        <f>'LOE Breakdown by Year'!L43</f>
        <v>0</v>
      </c>
      <c r="L492" s="119">
        <f t="shared" si="336"/>
        <v>12</v>
      </c>
      <c r="M492" s="119">
        <f t="shared" si="346"/>
        <v>0</v>
      </c>
      <c r="N492" s="287">
        <f>'LOE Breakdown by Year'!L67</f>
        <v>0</v>
      </c>
      <c r="O492" s="119">
        <f t="shared" si="337"/>
        <v>12</v>
      </c>
      <c r="P492" s="119">
        <f t="shared" si="347"/>
        <v>0</v>
      </c>
      <c r="Q492" s="287">
        <f>'LOE Breakdown by Year'!L91</f>
        <v>0</v>
      </c>
      <c r="R492" s="119">
        <f t="shared" si="339"/>
        <v>12</v>
      </c>
      <c r="S492" s="119">
        <f t="shared" si="348"/>
        <v>0</v>
      </c>
      <c r="T492" s="287">
        <f>'LOE Breakdown by Year'!L115</f>
        <v>0</v>
      </c>
      <c r="U492" s="119">
        <f t="shared" si="341"/>
        <v>9</v>
      </c>
      <c r="V492" s="119">
        <f t="shared" si="349"/>
        <v>0</v>
      </c>
      <c r="W492" s="119">
        <f t="shared" si="350"/>
        <v>0</v>
      </c>
      <c r="X492" s="119">
        <v>0</v>
      </c>
      <c r="Y492" s="119">
        <f t="shared" si="351"/>
        <v>0</v>
      </c>
      <c r="AA492" s="366">
        <v>1</v>
      </c>
      <c r="AB492" s="366">
        <v>0</v>
      </c>
    </row>
    <row r="493" spans="1:28" hidden="1">
      <c r="A493" s="58"/>
      <c r="B493" s="58"/>
      <c r="C493" s="58"/>
      <c r="D493" s="58"/>
      <c r="E493" s="58" t="str">
        <f t="shared" si="334"/>
        <v>Activity Lead Agribusiness Senior Specialist (Complementary Crop)</v>
      </c>
      <c r="F493" s="287">
        <f>'LOE Breakdown by Year'!L20</f>
        <v>0</v>
      </c>
      <c r="G493" s="127" t="s">
        <v>221</v>
      </c>
      <c r="H493" s="119">
        <f t="shared" si="335"/>
        <v>3</v>
      </c>
      <c r="I493" s="119">
        <f t="shared" si="335"/>
        <v>2833.3333333333335</v>
      </c>
      <c r="J493" s="119">
        <f t="shared" si="345"/>
        <v>0</v>
      </c>
      <c r="K493" s="287">
        <f>'LOE Breakdown by Year'!L44</f>
        <v>0</v>
      </c>
      <c r="L493" s="119">
        <f t="shared" si="336"/>
        <v>12</v>
      </c>
      <c r="M493" s="119">
        <f t="shared" si="346"/>
        <v>0</v>
      </c>
      <c r="N493" s="287">
        <f>'LOE Breakdown by Year'!L68</f>
        <v>0</v>
      </c>
      <c r="O493" s="119">
        <f t="shared" si="337"/>
        <v>12</v>
      </c>
      <c r="P493" s="119">
        <f t="shared" si="347"/>
        <v>0</v>
      </c>
      <c r="Q493" s="287">
        <f>'LOE Breakdown by Year'!L92</f>
        <v>0</v>
      </c>
      <c r="R493" s="119">
        <f t="shared" si="339"/>
        <v>12</v>
      </c>
      <c r="S493" s="119">
        <f t="shared" si="348"/>
        <v>0</v>
      </c>
      <c r="T493" s="287">
        <f>'LOE Breakdown by Year'!L116</f>
        <v>0</v>
      </c>
      <c r="U493" s="119">
        <f t="shared" si="341"/>
        <v>9</v>
      </c>
      <c r="V493" s="119">
        <f t="shared" si="349"/>
        <v>0</v>
      </c>
      <c r="W493" s="119">
        <f t="shared" si="350"/>
        <v>0</v>
      </c>
      <c r="X493" s="119">
        <v>0</v>
      </c>
      <c r="Y493" s="119">
        <f t="shared" si="351"/>
        <v>0</v>
      </c>
      <c r="AA493" s="366">
        <v>0.5</v>
      </c>
      <c r="AB493" s="366">
        <v>0.5</v>
      </c>
    </row>
    <row r="494" spans="1:28" hidden="1">
      <c r="A494" s="58"/>
      <c r="B494" s="58"/>
      <c r="C494" s="58"/>
      <c r="D494" s="58"/>
      <c r="E494" s="58" t="str">
        <f t="shared" si="334"/>
        <v xml:space="preserve">Food Safety Mid-Specialist </v>
      </c>
      <c r="F494" s="287">
        <f>'LOE Breakdown by Year'!L21</f>
        <v>0</v>
      </c>
      <c r="G494" s="127" t="s">
        <v>221</v>
      </c>
      <c r="H494" s="119">
        <f t="shared" si="335"/>
        <v>3</v>
      </c>
      <c r="I494" s="119">
        <f t="shared" si="335"/>
        <v>2666.6666666666665</v>
      </c>
      <c r="J494" s="119">
        <f t="shared" si="345"/>
        <v>0</v>
      </c>
      <c r="K494" s="287">
        <f>'LOE Breakdown by Year'!L45</f>
        <v>0</v>
      </c>
      <c r="L494" s="119">
        <f t="shared" si="336"/>
        <v>12</v>
      </c>
      <c r="M494" s="119">
        <f t="shared" si="346"/>
        <v>0</v>
      </c>
      <c r="N494" s="287">
        <f>'LOE Breakdown by Year'!L69</f>
        <v>0</v>
      </c>
      <c r="O494" s="119">
        <f t="shared" si="337"/>
        <v>12</v>
      </c>
      <c r="P494" s="119">
        <f t="shared" si="347"/>
        <v>0</v>
      </c>
      <c r="Q494" s="287">
        <f>'LOE Breakdown by Year'!L93</f>
        <v>0</v>
      </c>
      <c r="R494" s="119">
        <f t="shared" si="339"/>
        <v>12</v>
      </c>
      <c r="S494" s="119">
        <f t="shared" si="348"/>
        <v>0</v>
      </c>
      <c r="T494" s="287">
        <f>'LOE Breakdown by Year'!L117</f>
        <v>0</v>
      </c>
      <c r="U494" s="119">
        <f t="shared" si="341"/>
        <v>9</v>
      </c>
      <c r="V494" s="119">
        <f t="shared" si="349"/>
        <v>0</v>
      </c>
      <c r="W494" s="119">
        <f t="shared" si="350"/>
        <v>0</v>
      </c>
      <c r="X494" s="119">
        <v>0</v>
      </c>
      <c r="Y494" s="119">
        <f t="shared" si="351"/>
        <v>0</v>
      </c>
      <c r="AA494" s="366">
        <v>0</v>
      </c>
      <c r="AB494" s="366">
        <v>1</v>
      </c>
    </row>
    <row r="495" spans="1:28" hidden="1">
      <c r="A495" s="58"/>
      <c r="B495" s="58"/>
      <c r="C495" s="58"/>
      <c r="D495" s="58"/>
      <c r="E495" s="58" t="str">
        <f t="shared" si="334"/>
        <v>Compliance Director</v>
      </c>
      <c r="F495" s="287">
        <f>'LOE Breakdown by Year'!L22</f>
        <v>0</v>
      </c>
      <c r="G495" s="127" t="s">
        <v>221</v>
      </c>
      <c r="H495" s="119">
        <f t="shared" si="335"/>
        <v>8</v>
      </c>
      <c r="I495" s="119">
        <f t="shared" si="335"/>
        <v>6833.333333333333</v>
      </c>
      <c r="J495" s="119">
        <f t="shared" si="345"/>
        <v>0</v>
      </c>
      <c r="K495" s="287">
        <f>'LOE Breakdown by Year'!L46</f>
        <v>0</v>
      </c>
      <c r="L495" s="119">
        <f t="shared" si="336"/>
        <v>12</v>
      </c>
      <c r="M495" s="119">
        <f t="shared" si="346"/>
        <v>0</v>
      </c>
      <c r="N495" s="287">
        <f>'LOE Breakdown by Year'!L70</f>
        <v>0</v>
      </c>
      <c r="O495" s="119">
        <f t="shared" si="337"/>
        <v>12</v>
      </c>
      <c r="P495" s="119">
        <f t="shared" si="347"/>
        <v>0</v>
      </c>
      <c r="Q495" s="287">
        <f>'LOE Breakdown by Year'!L94</f>
        <v>0</v>
      </c>
      <c r="R495" s="119">
        <f t="shared" si="339"/>
        <v>12</v>
      </c>
      <c r="S495" s="119">
        <f t="shared" si="348"/>
        <v>0</v>
      </c>
      <c r="T495" s="287">
        <f>'LOE Breakdown by Year'!L118</f>
        <v>0</v>
      </c>
      <c r="U495" s="119">
        <f t="shared" si="341"/>
        <v>12</v>
      </c>
      <c r="V495" s="119">
        <f t="shared" si="349"/>
        <v>0</v>
      </c>
      <c r="W495" s="119">
        <f t="shared" si="350"/>
        <v>0</v>
      </c>
      <c r="X495" s="119">
        <v>0</v>
      </c>
      <c r="Y495" s="119">
        <f t="shared" si="351"/>
        <v>0</v>
      </c>
      <c r="AA495" s="366">
        <v>0.5</v>
      </c>
      <c r="AB495" s="366">
        <v>0.5</v>
      </c>
    </row>
    <row r="496" spans="1:28" hidden="1">
      <c r="A496" s="58"/>
      <c r="B496" s="58"/>
      <c r="C496" s="58"/>
      <c r="D496" s="58"/>
      <c r="E496" s="58" t="str">
        <f t="shared" si="334"/>
        <v xml:space="preserve">Accountant </v>
      </c>
      <c r="F496" s="287">
        <f>'LOE Breakdown by Year'!L23</f>
        <v>0</v>
      </c>
      <c r="G496" s="127" t="s">
        <v>221</v>
      </c>
      <c r="H496" s="119">
        <f t="shared" si="335"/>
        <v>3</v>
      </c>
      <c r="I496" s="119">
        <f t="shared" si="335"/>
        <v>1750</v>
      </c>
      <c r="J496" s="119">
        <f t="shared" si="345"/>
        <v>0</v>
      </c>
      <c r="K496" s="287">
        <f>'LOE Breakdown by Year'!L47</f>
        <v>0</v>
      </c>
      <c r="L496" s="119">
        <f t="shared" si="336"/>
        <v>12</v>
      </c>
      <c r="M496" s="119">
        <f t="shared" si="346"/>
        <v>0</v>
      </c>
      <c r="N496" s="287">
        <f>'LOE Breakdown by Year'!L71</f>
        <v>0</v>
      </c>
      <c r="O496" s="119">
        <f t="shared" si="337"/>
        <v>12</v>
      </c>
      <c r="P496" s="119">
        <f t="shared" si="347"/>
        <v>0</v>
      </c>
      <c r="Q496" s="287">
        <f>'LOE Breakdown by Year'!L95</f>
        <v>0</v>
      </c>
      <c r="R496" s="119">
        <f t="shared" si="339"/>
        <v>12</v>
      </c>
      <c r="S496" s="119">
        <f t="shared" si="348"/>
        <v>0</v>
      </c>
      <c r="T496" s="287">
        <f>'LOE Breakdown by Year'!L119</f>
        <v>0</v>
      </c>
      <c r="U496" s="119">
        <f t="shared" si="341"/>
        <v>9</v>
      </c>
      <c r="V496" s="119">
        <f t="shared" si="349"/>
        <v>0</v>
      </c>
      <c r="W496" s="119">
        <f t="shared" si="350"/>
        <v>0</v>
      </c>
      <c r="X496" s="119">
        <v>0</v>
      </c>
      <c r="Y496" s="119">
        <f t="shared" si="351"/>
        <v>0</v>
      </c>
      <c r="AA496" s="366">
        <v>0.5</v>
      </c>
      <c r="AB496" s="366">
        <v>0.5</v>
      </c>
    </row>
    <row r="497" spans="1:28" hidden="1">
      <c r="A497" s="58"/>
      <c r="B497" s="58"/>
      <c r="C497" s="58"/>
      <c r="D497" s="58"/>
      <c r="E497" s="58" t="str">
        <f t="shared" si="334"/>
        <v xml:space="preserve">Administrative Assistant </v>
      </c>
      <c r="F497" s="287">
        <f>'LOE Breakdown by Year'!L24</f>
        <v>0</v>
      </c>
      <c r="G497" s="127" t="s">
        <v>221</v>
      </c>
      <c r="H497" s="119">
        <f t="shared" si="335"/>
        <v>3</v>
      </c>
      <c r="I497" s="119">
        <f t="shared" si="335"/>
        <v>1250</v>
      </c>
      <c r="J497" s="119">
        <f t="shared" si="345"/>
        <v>0</v>
      </c>
      <c r="K497" s="287">
        <f>'LOE Breakdown by Year'!L48</f>
        <v>0</v>
      </c>
      <c r="L497" s="119">
        <f t="shared" si="336"/>
        <v>12</v>
      </c>
      <c r="M497" s="119">
        <f t="shared" si="346"/>
        <v>0</v>
      </c>
      <c r="N497" s="287">
        <f>'LOE Breakdown by Year'!L72</f>
        <v>0</v>
      </c>
      <c r="O497" s="119">
        <f t="shared" si="337"/>
        <v>12</v>
      </c>
      <c r="P497" s="119">
        <f t="shared" si="347"/>
        <v>0</v>
      </c>
      <c r="Q497" s="287">
        <f>'LOE Breakdown by Year'!L96</f>
        <v>0</v>
      </c>
      <c r="R497" s="119">
        <f t="shared" si="339"/>
        <v>12</v>
      </c>
      <c r="S497" s="119">
        <f t="shared" si="348"/>
        <v>0</v>
      </c>
      <c r="T497" s="287">
        <f>'LOE Breakdown by Year'!L120</f>
        <v>0</v>
      </c>
      <c r="U497" s="119">
        <f t="shared" si="341"/>
        <v>9</v>
      </c>
      <c r="V497" s="119">
        <f t="shared" si="349"/>
        <v>0</v>
      </c>
      <c r="W497" s="119">
        <f t="shared" si="350"/>
        <v>0</v>
      </c>
      <c r="X497" s="119">
        <v>0</v>
      </c>
      <c r="Y497" s="119">
        <f t="shared" si="351"/>
        <v>0</v>
      </c>
      <c r="AA497" s="366">
        <v>0.5</v>
      </c>
      <c r="AB497" s="366">
        <v>0.5</v>
      </c>
    </row>
    <row r="498" spans="1:28">
      <c r="A498" s="109"/>
      <c r="B498" s="109"/>
      <c r="C498" s="109"/>
      <c r="D498" s="109"/>
      <c r="E498" s="109" t="s">
        <v>563</v>
      </c>
      <c r="F498" s="300"/>
      <c r="G498" s="123"/>
      <c r="H498" s="124"/>
      <c r="I498" s="124"/>
      <c r="J498" s="125">
        <f>SUM(J484:J497)</f>
        <v>0</v>
      </c>
      <c r="K498" s="300"/>
      <c r="L498" s="125"/>
      <c r="M498" s="125">
        <f>SUM(M484:M497)</f>
        <v>20384</v>
      </c>
      <c r="N498" s="300"/>
      <c r="O498" s="125"/>
      <c r="P498" s="125">
        <f>SUM(P484:P497)</f>
        <v>21199.360000000001</v>
      </c>
      <c r="Q498" s="300"/>
      <c r="R498" s="125"/>
      <c r="S498" s="125">
        <f>SUM(S484:S497)</f>
        <v>78403.020799999998</v>
      </c>
      <c r="T498" s="300"/>
      <c r="U498" s="125"/>
      <c r="V498" s="125">
        <f>SUM(V484:V497)</f>
        <v>87651.652608000004</v>
      </c>
      <c r="W498" s="125">
        <f>SUM(W484:W497)</f>
        <v>207638.03340800002</v>
      </c>
      <c r="X498" s="125">
        <f>SUM(X484:X497)</f>
        <v>0</v>
      </c>
      <c r="Y498" s="125">
        <f>SUM(Y484:Y497)</f>
        <v>207638.03340800002</v>
      </c>
      <c r="AA498" s="366"/>
      <c r="AB498" s="366"/>
    </row>
    <row r="499" spans="1:28">
      <c r="A499" s="272"/>
      <c r="B499" s="272"/>
      <c r="C499" s="272"/>
      <c r="D499" s="272"/>
      <c r="E499" s="272"/>
      <c r="F499" s="301"/>
      <c r="G499" s="245"/>
      <c r="H499" s="154"/>
      <c r="I499" s="154"/>
      <c r="J499" s="154"/>
      <c r="K499" s="301"/>
      <c r="L499" s="154"/>
      <c r="M499" s="154"/>
      <c r="N499" s="301"/>
      <c r="O499" s="154"/>
      <c r="P499" s="154"/>
      <c r="Q499" s="301"/>
      <c r="R499" s="154"/>
      <c r="S499" s="154"/>
      <c r="T499" s="301"/>
      <c r="U499" s="154"/>
      <c r="V499" s="154"/>
      <c r="W499" s="154"/>
      <c r="X499" s="154"/>
      <c r="Y499" s="154"/>
      <c r="AA499" s="366"/>
      <c r="AB499" s="366"/>
    </row>
    <row r="500" spans="1:28">
      <c r="A500" s="109"/>
      <c r="B500" s="109"/>
      <c r="C500" s="109"/>
      <c r="D500" s="109"/>
      <c r="E500" s="109" t="s">
        <v>564</v>
      </c>
      <c r="F500" s="300"/>
      <c r="G500" s="123"/>
      <c r="H500" s="124"/>
      <c r="I500" s="124"/>
      <c r="J500" s="125"/>
      <c r="K500" s="300"/>
      <c r="L500" s="125"/>
      <c r="M500" s="125"/>
      <c r="N500" s="300"/>
      <c r="O500" s="125"/>
      <c r="P500" s="125"/>
      <c r="Q500" s="300"/>
      <c r="R500" s="125"/>
      <c r="S500" s="125"/>
      <c r="T500" s="300"/>
      <c r="U500" s="125"/>
      <c r="V500" s="125"/>
      <c r="W500" s="125"/>
      <c r="X500" s="125"/>
      <c r="Y500" s="125"/>
      <c r="AA500" s="366"/>
      <c r="AB500" s="366"/>
    </row>
    <row r="501" spans="1:28">
      <c r="A501" s="58" t="s">
        <v>565</v>
      </c>
      <c r="B501" s="58">
        <v>70015</v>
      </c>
      <c r="C501" s="58" t="s">
        <v>222</v>
      </c>
      <c r="D501" s="58">
        <v>0</v>
      </c>
      <c r="E501" s="58" t="str">
        <f>E35</f>
        <v>Fringe Benefits CCN - Colombia (above $2,600 monthly)</v>
      </c>
      <c r="F501" s="288"/>
      <c r="G501" s="246" t="s">
        <v>238</v>
      </c>
      <c r="H501" s="119"/>
      <c r="I501" s="438">
        <f>I35</f>
        <v>0.53864000000000001</v>
      </c>
      <c r="J501" s="119">
        <f>(J490+J485+J486+J487+J495+J494+J493+J492+J488)*$I$501</f>
        <v>0</v>
      </c>
      <c r="K501" s="288"/>
      <c r="L501" s="119"/>
      <c r="M501" s="119">
        <f>(M490+M485+M486+M487+M495+M494+M493+M492+M488)*$I$501</f>
        <v>2576.85376</v>
      </c>
      <c r="N501" s="288"/>
      <c r="O501" s="119"/>
      <c r="P501" s="119">
        <f>(P490+P485+P486+P487+P495+P494+P493+P492+P488)*$I$501</f>
        <v>2679.9279104000002</v>
      </c>
      <c r="Q501" s="288"/>
      <c r="R501" s="119"/>
      <c r="S501" s="119">
        <f>(S490+S485+S486+S487+S495+S494+S493+S492+S488)*$I$501</f>
        <v>19509.875187712001</v>
      </c>
      <c r="T501" s="288"/>
      <c r="U501" s="119"/>
      <c r="V501" s="119">
        <f>(V490+V485+V486+V487+V495+V494+V493+V492+V488)*$I$501</f>
        <v>23582.713107333118</v>
      </c>
      <c r="W501" s="119">
        <f t="shared" ref="W501:W504" si="352">SUM(S501,P501,M501,J501,V501)</f>
        <v>48349.369965445119</v>
      </c>
      <c r="X501" s="154">
        <v>0</v>
      </c>
      <c r="Y501" s="119">
        <f>SUM(W501:X501)</f>
        <v>48349.369965445119</v>
      </c>
      <c r="AA501" s="366">
        <v>0.5</v>
      </c>
      <c r="AB501" s="366">
        <v>0.5</v>
      </c>
    </row>
    <row r="502" spans="1:28">
      <c r="A502" s="58" t="s">
        <v>565</v>
      </c>
      <c r="B502" s="58">
        <v>70015</v>
      </c>
      <c r="C502" s="58" t="s">
        <v>222</v>
      </c>
      <c r="D502" s="58">
        <v>0</v>
      </c>
      <c r="E502" s="58" t="str">
        <f>E36</f>
        <v>Fringe Benefits CCN - Colombia (below $2,600 monthly)</v>
      </c>
      <c r="F502" s="288"/>
      <c r="G502" s="246" t="s">
        <v>238</v>
      </c>
      <c r="H502" s="119"/>
      <c r="I502" s="438">
        <f>I36</f>
        <v>0.40364</v>
      </c>
      <c r="J502" s="119">
        <f>(J496+J497+J491+J489)*$I$502</f>
        <v>0</v>
      </c>
      <c r="K502" s="288"/>
      <c r="L502" s="119"/>
      <c r="M502" s="119">
        <f>(M496+M497+M491+M489)*$I$502</f>
        <v>0</v>
      </c>
      <c r="N502" s="288"/>
      <c r="O502" s="119"/>
      <c r="P502" s="119">
        <f>(P496+P497+P491+P489)*$I$502</f>
        <v>0</v>
      </c>
      <c r="Q502" s="288"/>
      <c r="R502" s="119"/>
      <c r="S502" s="119">
        <f>(S496+S497+S491+S489)*$I$502</f>
        <v>0</v>
      </c>
      <c r="T502" s="288"/>
      <c r="U502" s="119"/>
      <c r="V502" s="119">
        <f>(V496+V497+V491+V489)*$I$502</f>
        <v>0</v>
      </c>
      <c r="W502" s="119">
        <f t="shared" si="352"/>
        <v>0</v>
      </c>
      <c r="X502" s="154">
        <v>0</v>
      </c>
      <c r="Y502" s="119">
        <f>SUM(W502:X502)</f>
        <v>0</v>
      </c>
      <c r="AA502" s="366">
        <v>0.5</v>
      </c>
      <c r="AB502" s="366">
        <v>0.5</v>
      </c>
    </row>
    <row r="503" spans="1:28">
      <c r="A503" s="510" t="s">
        <v>930</v>
      </c>
      <c r="B503" s="58">
        <v>50202</v>
      </c>
      <c r="C503" s="58" t="s">
        <v>219</v>
      </c>
      <c r="D503" s="58">
        <v>0</v>
      </c>
      <c r="E503" s="58" t="str">
        <f>E38</f>
        <v>Post (Hardship) Differential for Chief of Party</v>
      </c>
      <c r="F503" s="293"/>
      <c r="G503" s="246" t="s">
        <v>238</v>
      </c>
      <c r="I503" s="129">
        <f>I38</f>
        <v>0.1</v>
      </c>
      <c r="J503" s="248">
        <f>J484*$I$503</f>
        <v>0</v>
      </c>
      <c r="K503" s="293"/>
      <c r="L503" s="248"/>
      <c r="M503" s="248">
        <f>M484*$I$503</f>
        <v>1560</v>
      </c>
      <c r="N503" s="293"/>
      <c r="O503" s="248"/>
      <c r="P503" s="248">
        <f>P484*$I$503</f>
        <v>1622.4</v>
      </c>
      <c r="Q503" s="293"/>
      <c r="R503" s="248"/>
      <c r="S503" s="248">
        <f>S484*$I$503</f>
        <v>4218.2400000000007</v>
      </c>
      <c r="T503" s="293"/>
      <c r="U503" s="248"/>
      <c r="V503" s="248">
        <f>V484*$I$503</f>
        <v>4386.9696000000004</v>
      </c>
      <c r="W503" s="119">
        <f t="shared" si="352"/>
        <v>11787.609600000002</v>
      </c>
      <c r="X503" s="119" t="s">
        <v>243</v>
      </c>
      <c r="Y503" s="119">
        <f>SUM(W503:X503)</f>
        <v>11787.609600000002</v>
      </c>
      <c r="AA503" s="366">
        <v>0.5</v>
      </c>
      <c r="AB503" s="366">
        <v>0.5</v>
      </c>
    </row>
    <row r="504" spans="1:28">
      <c r="A504" s="58" t="s">
        <v>565</v>
      </c>
      <c r="B504" s="58">
        <v>50900</v>
      </c>
      <c r="C504" s="58" t="s">
        <v>219</v>
      </c>
      <c r="D504" s="58">
        <v>0</v>
      </c>
      <c r="E504" s="58" t="str">
        <f>E39</f>
        <v>Fringe Benefits Package for Chief of Party</v>
      </c>
      <c r="F504" s="293"/>
      <c r="G504" s="246" t="s">
        <v>238</v>
      </c>
      <c r="I504" s="150">
        <f>I39</f>
        <v>0.56810000000000005</v>
      </c>
      <c r="J504" s="248">
        <f>J484*$I$504</f>
        <v>0</v>
      </c>
      <c r="K504" s="293"/>
      <c r="L504" s="248"/>
      <c r="M504" s="248">
        <f>M484*$I$504</f>
        <v>8862.36</v>
      </c>
      <c r="N504" s="293"/>
      <c r="O504" s="248"/>
      <c r="P504" s="248">
        <f>P484*$I$504</f>
        <v>9216.8544000000002</v>
      </c>
      <c r="Q504" s="293"/>
      <c r="R504" s="248"/>
      <c r="S504" s="248">
        <f>S484*$I$504</f>
        <v>23963.821440000003</v>
      </c>
      <c r="T504" s="293"/>
      <c r="U504" s="248"/>
      <c r="V504" s="248">
        <f>V484*$I$504</f>
        <v>24922.374297600003</v>
      </c>
      <c r="W504" s="119">
        <f t="shared" si="352"/>
        <v>66965.410137600004</v>
      </c>
      <c r="X504" s="119" t="s">
        <v>243</v>
      </c>
      <c r="Y504" s="119">
        <f>SUM(W504:X504)</f>
        <v>66965.410137600004</v>
      </c>
      <c r="AA504" s="366">
        <v>0.5</v>
      </c>
      <c r="AB504" s="366">
        <v>0.5</v>
      </c>
    </row>
    <row r="505" spans="1:28">
      <c r="A505" s="109"/>
      <c r="B505" s="109"/>
      <c r="C505" s="109"/>
      <c r="D505" s="109"/>
      <c r="E505" s="109" t="s">
        <v>566</v>
      </c>
      <c r="F505" s="300"/>
      <c r="G505" s="123"/>
      <c r="H505" s="124"/>
      <c r="I505" s="124"/>
      <c r="J505" s="125">
        <f>SUM(J501:J504)</f>
        <v>0</v>
      </c>
      <c r="K505" s="300"/>
      <c r="L505" s="125"/>
      <c r="M505" s="125">
        <f>SUM(M501:M504)</f>
        <v>12999.213760000001</v>
      </c>
      <c r="N505" s="300"/>
      <c r="O505" s="125"/>
      <c r="P505" s="125">
        <f>SUM(P501:P504)</f>
        <v>13519.1823104</v>
      </c>
      <c r="Q505" s="300"/>
      <c r="R505" s="125"/>
      <c r="S505" s="125">
        <f>SUM(S501:S504)</f>
        <v>47691.936627712006</v>
      </c>
      <c r="T505" s="300"/>
      <c r="U505" s="125"/>
      <c r="V505" s="125">
        <f>SUM(V501:V504)</f>
        <v>52892.057004933122</v>
      </c>
      <c r="W505" s="125">
        <f>SUM(W501:W504)</f>
        <v>127102.38970304513</v>
      </c>
      <c r="X505" s="125">
        <f>SUM(X501:X504)</f>
        <v>0</v>
      </c>
      <c r="Y505" s="125">
        <f>SUM(Y501:Y504)</f>
        <v>127102.38970304513</v>
      </c>
      <c r="AA505" s="366"/>
      <c r="AB505" s="366"/>
    </row>
    <row r="506" spans="1:28">
      <c r="A506" s="272"/>
      <c r="B506" s="272"/>
      <c r="C506" s="272"/>
      <c r="D506" s="272"/>
      <c r="E506" s="272"/>
      <c r="F506" s="301"/>
      <c r="G506" s="245"/>
      <c r="H506" s="154"/>
      <c r="I506" s="154"/>
      <c r="J506" s="154"/>
      <c r="K506" s="301"/>
      <c r="L506" s="154"/>
      <c r="M506" s="154"/>
      <c r="N506" s="301"/>
      <c r="O506" s="154"/>
      <c r="P506" s="154"/>
      <c r="Q506" s="301"/>
      <c r="R506" s="154"/>
      <c r="S506" s="154"/>
      <c r="T506" s="301"/>
      <c r="U506" s="154"/>
      <c r="V506" s="154"/>
      <c r="W506" s="154"/>
      <c r="X506" s="154"/>
      <c r="Y506" s="154"/>
      <c r="AA506" s="355"/>
      <c r="AB506" s="355"/>
    </row>
    <row r="507" spans="1:28">
      <c r="A507" s="109"/>
      <c r="B507" s="109"/>
      <c r="C507" s="109"/>
      <c r="D507" s="109"/>
      <c r="E507" s="109" t="s">
        <v>567</v>
      </c>
      <c r="F507" s="300"/>
      <c r="G507" s="123"/>
      <c r="H507" s="124"/>
      <c r="I507" s="124"/>
      <c r="J507" s="124"/>
      <c r="K507" s="300"/>
      <c r="L507" s="124"/>
      <c r="M507" s="124"/>
      <c r="N507" s="300"/>
      <c r="O507" s="124"/>
      <c r="P507" s="124"/>
      <c r="Q507" s="300"/>
      <c r="R507" s="124"/>
      <c r="S507" s="124"/>
      <c r="T507" s="300"/>
      <c r="U507" s="124"/>
      <c r="V507" s="124"/>
      <c r="W507" s="124"/>
      <c r="X507" s="124"/>
      <c r="Y507" s="124"/>
      <c r="AA507" s="366"/>
      <c r="AB507" s="366"/>
    </row>
    <row r="508" spans="1:28">
      <c r="A508" s="58" t="s">
        <v>568</v>
      </c>
      <c r="B508" s="58">
        <v>86000</v>
      </c>
      <c r="C508" s="58" t="s">
        <v>222</v>
      </c>
      <c r="D508" s="58">
        <v>0</v>
      </c>
      <c r="E508" s="58" t="s">
        <v>544</v>
      </c>
      <c r="G508" s="58" t="s">
        <v>255</v>
      </c>
      <c r="H508" s="119">
        <v>15</v>
      </c>
      <c r="I508" s="119">
        <v>25</v>
      </c>
      <c r="J508" s="119">
        <f>H508*I508</f>
        <v>375</v>
      </c>
      <c r="K508" s="296"/>
      <c r="L508" s="119">
        <v>15</v>
      </c>
      <c r="M508" s="119">
        <f>I508*L508*$F$7</f>
        <v>390</v>
      </c>
      <c r="N508" s="296"/>
      <c r="O508" s="119">
        <v>15</v>
      </c>
      <c r="P508" s="119">
        <f>I508*O508*$F$7*$F$7</f>
        <v>405.6</v>
      </c>
      <c r="Q508" s="296"/>
      <c r="R508" s="119">
        <v>15</v>
      </c>
      <c r="S508" s="119">
        <f>I508*R508*$F$7*$F$7*$F$7</f>
        <v>421.82400000000001</v>
      </c>
      <c r="T508" s="296"/>
      <c r="U508" s="119">
        <v>10</v>
      </c>
      <c r="V508" s="119">
        <f>I508*U508*$F$7*$F$7*$F$7*$F$7</f>
        <v>292.46464000000009</v>
      </c>
      <c r="W508" s="119">
        <f t="shared" ref="W508" si="353">SUM(S508,P508,M508,J508,V508)</f>
        <v>1884.8886400000001</v>
      </c>
      <c r="X508" s="119">
        <v>0</v>
      </c>
      <c r="Y508" s="119">
        <f>SUM(W508:X508)</f>
        <v>1884.8886400000001</v>
      </c>
      <c r="AA508" s="366">
        <v>0.5</v>
      </c>
      <c r="AB508" s="366">
        <v>0.5</v>
      </c>
    </row>
    <row r="509" spans="1:28">
      <c r="A509" s="109"/>
      <c r="B509" s="109"/>
      <c r="C509" s="109"/>
      <c r="D509" s="109"/>
      <c r="E509" s="109" t="s">
        <v>569</v>
      </c>
      <c r="F509" s="300"/>
      <c r="G509" s="123"/>
      <c r="H509" s="125"/>
      <c r="I509" s="125"/>
      <c r="J509" s="125">
        <f>J508</f>
        <v>375</v>
      </c>
      <c r="K509" s="300"/>
      <c r="L509" s="125"/>
      <c r="M509" s="125">
        <f>M508</f>
        <v>390</v>
      </c>
      <c r="N509" s="300"/>
      <c r="O509" s="125"/>
      <c r="P509" s="125">
        <f>P508</f>
        <v>405.6</v>
      </c>
      <c r="Q509" s="300"/>
      <c r="R509" s="125"/>
      <c r="S509" s="125">
        <f>S508</f>
        <v>421.82400000000001</v>
      </c>
      <c r="T509" s="300"/>
      <c r="U509" s="125"/>
      <c r="V509" s="125">
        <f>V508</f>
        <v>292.46464000000009</v>
      </c>
      <c r="W509" s="125">
        <f>W508</f>
        <v>1884.8886400000001</v>
      </c>
      <c r="X509" s="125">
        <f>X508</f>
        <v>0</v>
      </c>
      <c r="Y509" s="125">
        <f>Y508</f>
        <v>1884.8886400000001</v>
      </c>
      <c r="Z509" s="142"/>
      <c r="AA509" s="366"/>
      <c r="AB509" s="366"/>
    </row>
    <row r="510" spans="1:28">
      <c r="A510" s="272"/>
      <c r="B510" s="272"/>
      <c r="C510" s="272"/>
      <c r="D510" s="272"/>
      <c r="E510" s="272"/>
      <c r="F510" s="301"/>
      <c r="G510" s="245"/>
      <c r="H510" s="154"/>
      <c r="I510" s="154"/>
      <c r="J510" s="154"/>
      <c r="K510" s="301"/>
      <c r="L510" s="154"/>
      <c r="M510" s="154"/>
      <c r="N510" s="301"/>
      <c r="O510" s="154"/>
      <c r="P510" s="154"/>
      <c r="Q510" s="301"/>
      <c r="R510" s="154"/>
      <c r="S510" s="154"/>
      <c r="T510" s="301"/>
      <c r="U510" s="154"/>
      <c r="V510" s="154"/>
      <c r="W510" s="154"/>
      <c r="X510" s="154"/>
      <c r="Y510" s="154"/>
      <c r="AA510" s="366"/>
      <c r="AB510" s="366"/>
    </row>
    <row r="511" spans="1:28">
      <c r="A511" s="109"/>
      <c r="B511" s="109"/>
      <c r="C511" s="109"/>
      <c r="D511" s="109"/>
      <c r="E511" s="109" t="s">
        <v>570</v>
      </c>
      <c r="F511" s="300"/>
      <c r="G511" s="123"/>
      <c r="H511" s="124"/>
      <c r="I511" s="124"/>
      <c r="J511" s="124"/>
      <c r="K511" s="300"/>
      <c r="L511" s="124"/>
      <c r="M511" s="124"/>
      <c r="N511" s="300"/>
      <c r="O511" s="124"/>
      <c r="P511" s="124"/>
      <c r="Q511" s="300"/>
      <c r="R511" s="124"/>
      <c r="S511" s="124"/>
      <c r="T511" s="300"/>
      <c r="U511" s="124"/>
      <c r="V511" s="124"/>
      <c r="W511" s="124"/>
      <c r="X511" s="124"/>
      <c r="Y511" s="124"/>
    </row>
    <row r="512" spans="1:28">
      <c r="A512" s="58" t="s">
        <v>571</v>
      </c>
      <c r="B512" s="58">
        <v>81000</v>
      </c>
      <c r="C512" s="58" t="s">
        <v>222</v>
      </c>
      <c r="D512" s="58">
        <v>0</v>
      </c>
      <c r="E512" s="58" t="s">
        <v>572</v>
      </c>
      <c r="F512" s="293"/>
      <c r="G512" s="126" t="s">
        <v>221</v>
      </c>
      <c r="H512" s="119">
        <v>1</v>
      </c>
      <c r="I512" s="119">
        <v>2150</v>
      </c>
      <c r="J512" s="119">
        <f>H512*I512</f>
        <v>2150</v>
      </c>
      <c r="K512" s="293"/>
      <c r="L512" s="119">
        <v>1</v>
      </c>
      <c r="M512" s="248">
        <f>L512*I512</f>
        <v>2150</v>
      </c>
      <c r="N512" s="293"/>
      <c r="O512" s="119">
        <v>1</v>
      </c>
      <c r="P512" s="119">
        <f>O512*I512</f>
        <v>2150</v>
      </c>
      <c r="Q512" s="293"/>
      <c r="R512" s="119">
        <v>1</v>
      </c>
      <c r="S512" s="119">
        <f>R512*I512</f>
        <v>2150</v>
      </c>
      <c r="T512" s="293"/>
      <c r="U512" s="119">
        <v>0</v>
      </c>
      <c r="V512" s="119">
        <f>U512*I512</f>
        <v>0</v>
      </c>
      <c r="W512" s="119">
        <f t="shared" ref="W512:W513" si="354">SUM(S512,P512,M512,J512,V512)</f>
        <v>8600</v>
      </c>
      <c r="X512" s="119">
        <v>0</v>
      </c>
      <c r="Y512" s="119">
        <f>W512+X512</f>
        <v>8600</v>
      </c>
      <c r="AA512" s="366">
        <v>0.5</v>
      </c>
      <c r="AB512" s="366">
        <v>0.5</v>
      </c>
    </row>
    <row r="513" spans="1:28">
      <c r="A513" s="58" t="s">
        <v>573</v>
      </c>
      <c r="B513" s="58">
        <v>81010</v>
      </c>
      <c r="C513" s="58" t="s">
        <v>222</v>
      </c>
      <c r="D513" s="58">
        <v>0</v>
      </c>
      <c r="E513" s="58" t="s">
        <v>574</v>
      </c>
      <c r="F513" s="293"/>
      <c r="G513" s="126" t="s">
        <v>221</v>
      </c>
      <c r="H513" s="119">
        <v>2</v>
      </c>
      <c r="I513" s="119">
        <v>4300</v>
      </c>
      <c r="J513" s="119">
        <f>H513*I513</f>
        <v>8600</v>
      </c>
      <c r="K513" s="293"/>
      <c r="L513" s="119">
        <v>2</v>
      </c>
      <c r="M513" s="248">
        <f>L513*I513</f>
        <v>8600</v>
      </c>
      <c r="N513" s="293"/>
      <c r="O513" s="119">
        <v>2</v>
      </c>
      <c r="P513" s="119">
        <f>O513*I513</f>
        <v>8600</v>
      </c>
      <c r="Q513" s="293"/>
      <c r="R513" s="119">
        <v>2</v>
      </c>
      <c r="S513" s="119">
        <f>R513*I513</f>
        <v>8600</v>
      </c>
      <c r="T513" s="293"/>
      <c r="U513" s="119">
        <v>0</v>
      </c>
      <c r="V513" s="119">
        <f>U513*I513</f>
        <v>0</v>
      </c>
      <c r="W513" s="119">
        <f t="shared" si="354"/>
        <v>34400</v>
      </c>
      <c r="X513" s="119">
        <v>0</v>
      </c>
      <c r="Y513" s="119">
        <f>W513+X513</f>
        <v>34400</v>
      </c>
      <c r="AA513" s="366">
        <v>0.5</v>
      </c>
      <c r="AB513" s="366">
        <v>0.5</v>
      </c>
    </row>
    <row r="514" spans="1:28">
      <c r="A514" s="109"/>
      <c r="B514" s="109"/>
      <c r="C514" s="109"/>
      <c r="D514" s="109"/>
      <c r="E514" s="109" t="s">
        <v>575</v>
      </c>
      <c r="F514" s="303"/>
      <c r="G514" s="131"/>
      <c r="H514" s="125"/>
      <c r="I514" s="125"/>
      <c r="J514" s="125">
        <f>SUM(J512:J513)</f>
        <v>10750</v>
      </c>
      <c r="K514" s="303"/>
      <c r="L514" s="125"/>
      <c r="M514" s="125">
        <f>SUM(M512:M513)</f>
        <v>10750</v>
      </c>
      <c r="N514" s="303"/>
      <c r="O514" s="125"/>
      <c r="P514" s="125">
        <f>SUM(P512:P513)</f>
        <v>10750</v>
      </c>
      <c r="Q514" s="303"/>
      <c r="R514" s="125"/>
      <c r="S514" s="125">
        <f>SUM(S512:S513)</f>
        <v>10750</v>
      </c>
      <c r="T514" s="303"/>
      <c r="U514" s="125"/>
      <c r="V514" s="125">
        <f>SUM(V512:V513)</f>
        <v>0</v>
      </c>
      <c r="W514" s="125">
        <f>SUM(W512:W513)</f>
        <v>43000</v>
      </c>
      <c r="X514" s="125">
        <f>SUM(X512:X513)</f>
        <v>0</v>
      </c>
      <c r="Y514" s="125">
        <f>SUM(Y512:Y513)</f>
        <v>43000</v>
      </c>
    </row>
    <row r="515" spans="1:28">
      <c r="A515" s="272"/>
      <c r="B515" s="272"/>
      <c r="C515" s="272"/>
      <c r="D515" s="272"/>
      <c r="E515" s="272"/>
      <c r="F515" s="301"/>
      <c r="G515" s="245"/>
      <c r="H515" s="154"/>
      <c r="I515" s="154"/>
      <c r="J515" s="154"/>
      <c r="K515" s="301"/>
      <c r="L515" s="154"/>
      <c r="M515" s="154"/>
      <c r="N515" s="301"/>
      <c r="O515" s="154"/>
      <c r="P515" s="154"/>
      <c r="Q515" s="301"/>
      <c r="R515" s="154"/>
      <c r="S515" s="154"/>
      <c r="T515" s="301"/>
      <c r="U515" s="154"/>
      <c r="V515" s="154"/>
      <c r="W515" s="154"/>
      <c r="X515" s="154"/>
      <c r="Y515" s="154"/>
    </row>
    <row r="516" spans="1:28">
      <c r="A516" s="109"/>
      <c r="B516" s="109"/>
      <c r="C516" s="109"/>
      <c r="D516" s="109"/>
      <c r="E516" s="109" t="s">
        <v>576</v>
      </c>
      <c r="F516" s="300"/>
      <c r="G516" s="123"/>
      <c r="H516" s="124"/>
      <c r="I516" s="124"/>
      <c r="J516" s="124"/>
      <c r="K516" s="300"/>
      <c r="L516" s="124"/>
      <c r="M516" s="124"/>
      <c r="N516" s="300"/>
      <c r="O516" s="124"/>
      <c r="P516" s="124"/>
      <c r="Q516" s="300"/>
      <c r="R516" s="124"/>
      <c r="S516" s="124"/>
      <c r="T516" s="300"/>
      <c r="U516" s="124"/>
      <c r="V516" s="124"/>
      <c r="W516" s="124"/>
      <c r="X516" s="124"/>
      <c r="Y516" s="124"/>
    </row>
    <row r="517" spans="1:28">
      <c r="A517" s="120" t="s">
        <v>577</v>
      </c>
      <c r="B517" s="58">
        <v>89000</v>
      </c>
      <c r="C517" s="58" t="s">
        <v>222</v>
      </c>
      <c r="D517" s="58">
        <v>0</v>
      </c>
      <c r="E517" s="120" t="s">
        <v>578</v>
      </c>
      <c r="F517" s="293"/>
      <c r="G517" s="126" t="s">
        <v>281</v>
      </c>
      <c r="H517" s="119">
        <v>0</v>
      </c>
      <c r="I517" s="119">
        <v>3000000</v>
      </c>
      <c r="J517" s="119">
        <f>I517*H517</f>
        <v>0</v>
      </c>
      <c r="K517" s="293"/>
      <c r="L517" s="119">
        <v>1</v>
      </c>
      <c r="M517" s="119">
        <f>L517*I517</f>
        <v>3000000</v>
      </c>
      <c r="N517" s="293"/>
      <c r="O517" s="119"/>
      <c r="P517" s="119">
        <v>0</v>
      </c>
      <c r="Q517" s="293"/>
      <c r="R517" s="119">
        <v>0</v>
      </c>
      <c r="S517" s="119">
        <f>R517*I517</f>
        <v>0</v>
      </c>
      <c r="T517" s="293"/>
      <c r="U517" s="119"/>
      <c r="V517" s="119">
        <v>0</v>
      </c>
      <c r="W517" s="119">
        <f t="shared" ref="W517" si="355">SUM(S517,P517,M517,J517,V517)</f>
        <v>3000000</v>
      </c>
      <c r="X517" s="119">
        <v>0</v>
      </c>
      <c r="Y517" s="136">
        <f>SUM(W517:X517)</f>
        <v>3000000</v>
      </c>
      <c r="AA517" s="366">
        <v>0.5</v>
      </c>
      <c r="AB517" s="366">
        <v>0.5</v>
      </c>
    </row>
    <row r="518" spans="1:28">
      <c r="A518" s="109"/>
      <c r="B518" s="109"/>
      <c r="C518" s="109"/>
      <c r="D518" s="109"/>
      <c r="E518" s="109" t="s">
        <v>579</v>
      </c>
      <c r="F518" s="303"/>
      <c r="G518" s="131"/>
      <c r="H518" s="125"/>
      <c r="I518" s="125"/>
      <c r="J518" s="125">
        <f>SUM(J515:J517)</f>
        <v>0</v>
      </c>
      <c r="K518" s="303"/>
      <c r="L518" s="125"/>
      <c r="M518" s="125">
        <f>SUM(M515:M517)</f>
        <v>3000000</v>
      </c>
      <c r="N518" s="303"/>
      <c r="O518" s="125"/>
      <c r="P518" s="125">
        <f>SUM(P515:P517)</f>
        <v>0</v>
      </c>
      <c r="Q518" s="303"/>
      <c r="R518" s="125"/>
      <c r="S518" s="125">
        <f>SUM(S515:S517)</f>
        <v>0</v>
      </c>
      <c r="T518" s="303"/>
      <c r="U518" s="125"/>
      <c r="V518" s="125">
        <f>SUM(V515:V517)</f>
        <v>0</v>
      </c>
      <c r="W518" s="125">
        <f>SUM(W515:W517)</f>
        <v>3000000</v>
      </c>
      <c r="X518" s="125">
        <f>SUM(X515:X517)</f>
        <v>0</v>
      </c>
      <c r="Y518" s="125">
        <f>SUM(Y515:Y517)</f>
        <v>3000000</v>
      </c>
    </row>
    <row r="519" spans="1:28">
      <c r="A519" s="272"/>
      <c r="B519" s="272"/>
      <c r="C519" s="272"/>
      <c r="D519" s="272"/>
      <c r="E519" s="272"/>
      <c r="F519" s="301"/>
      <c r="G519" s="245"/>
      <c r="H519" s="154"/>
      <c r="I519" s="154"/>
      <c r="J519" s="154"/>
      <c r="K519" s="301"/>
      <c r="L519" s="154"/>
      <c r="M519" s="154"/>
      <c r="N519" s="301"/>
      <c r="O519" s="154"/>
      <c r="P519" s="154"/>
      <c r="Q519" s="301"/>
      <c r="R519" s="154"/>
      <c r="S519" s="154"/>
      <c r="T519" s="301"/>
      <c r="U519" s="154"/>
      <c r="V519" s="154"/>
      <c r="W519" s="154"/>
      <c r="X519" s="154"/>
      <c r="Y519" s="154"/>
    </row>
    <row r="520" spans="1:28">
      <c r="A520" s="109"/>
      <c r="B520" s="109"/>
      <c r="C520" s="109"/>
      <c r="D520" s="109"/>
      <c r="E520" s="109" t="s">
        <v>580</v>
      </c>
      <c r="F520" s="300"/>
      <c r="G520" s="123"/>
      <c r="H520" s="124"/>
      <c r="I520" s="124"/>
      <c r="J520" s="124"/>
      <c r="K520" s="300"/>
      <c r="L520" s="124"/>
      <c r="M520" s="124"/>
      <c r="N520" s="300"/>
      <c r="O520" s="124"/>
      <c r="P520" s="124"/>
      <c r="Q520" s="300"/>
      <c r="R520" s="124"/>
      <c r="S520" s="124"/>
      <c r="T520" s="300"/>
      <c r="U520" s="124"/>
      <c r="V520" s="124"/>
      <c r="W520" s="124"/>
      <c r="X520" s="124"/>
      <c r="Y520" s="124"/>
    </row>
    <row r="521" spans="1:28">
      <c r="A521" s="120" t="s">
        <v>581</v>
      </c>
      <c r="B521" s="120">
        <v>96000</v>
      </c>
      <c r="C521" s="120" t="s">
        <v>219</v>
      </c>
      <c r="D521" s="120">
        <v>0</v>
      </c>
      <c r="E521" s="58" t="s">
        <v>582</v>
      </c>
      <c r="F521" s="293"/>
      <c r="G521" s="126" t="s">
        <v>364</v>
      </c>
      <c r="H521" s="119">
        <v>9</v>
      </c>
      <c r="I521" s="119">
        <v>350.1</v>
      </c>
      <c r="J521" s="119">
        <v>0</v>
      </c>
      <c r="K521" s="293"/>
      <c r="L521" s="119">
        <v>8</v>
      </c>
      <c r="M521" s="119">
        <v>0</v>
      </c>
      <c r="N521" s="293"/>
      <c r="O521" s="119">
        <v>8</v>
      </c>
      <c r="P521" s="119">
        <v>0</v>
      </c>
      <c r="Q521" s="293"/>
      <c r="R521" s="119">
        <v>8</v>
      </c>
      <c r="S521" s="119">
        <v>0</v>
      </c>
      <c r="T521" s="293"/>
      <c r="U521" s="119">
        <v>0</v>
      </c>
      <c r="V521" s="119">
        <v>0</v>
      </c>
      <c r="W521" s="119">
        <f t="shared" ref="W521" si="356">SUM(S521,P521,M521,J521,V521)</f>
        <v>0</v>
      </c>
      <c r="X521" s="119">
        <f>(H521*I521)+(L521*I521)+(O521*I521)+(I521*R521)+(U521*I521)</f>
        <v>11553.3</v>
      </c>
      <c r="Y521" s="119">
        <f>W521+X521</f>
        <v>11553.3</v>
      </c>
      <c r="AA521" s="366">
        <v>0.5</v>
      </c>
      <c r="AB521" s="366">
        <v>0.5</v>
      </c>
    </row>
    <row r="522" spans="1:28">
      <c r="A522" s="120" t="s">
        <v>581</v>
      </c>
      <c r="B522" s="120">
        <v>96000</v>
      </c>
      <c r="C522" s="120" t="s">
        <v>219</v>
      </c>
      <c r="D522" s="120">
        <v>0</v>
      </c>
      <c r="E522" s="58" t="s">
        <v>583</v>
      </c>
      <c r="F522" s="293"/>
      <c r="G522" s="126" t="s">
        <v>364</v>
      </c>
      <c r="H522" s="119">
        <v>0</v>
      </c>
      <c r="I522" s="119">
        <f>((8000*12)/2080)</f>
        <v>46.153846153846153</v>
      </c>
      <c r="J522" s="119">
        <v>0</v>
      </c>
      <c r="K522" s="296"/>
      <c r="L522" s="119">
        <v>0</v>
      </c>
      <c r="M522" s="119">
        <v>0</v>
      </c>
      <c r="N522" s="296"/>
      <c r="O522" s="119">
        <f>6*40</f>
        <v>240</v>
      </c>
      <c r="P522" s="119">
        <v>0</v>
      </c>
      <c r="Q522" s="296"/>
      <c r="R522" s="119">
        <f>6*40</f>
        <v>240</v>
      </c>
      <c r="S522" s="119">
        <v>0</v>
      </c>
      <c r="T522" s="296"/>
      <c r="U522" s="119">
        <f>6*40</f>
        <v>240</v>
      </c>
      <c r="V522" s="119">
        <v>0</v>
      </c>
      <c r="W522" s="119">
        <f>SUM(S522,P522,M522,J522,V522)</f>
        <v>0</v>
      </c>
      <c r="X522" s="119">
        <f>(H522*I522)+(L522*I522)+(O522*I522)+(I522*R522)+(U522*I522)</f>
        <v>33230.769230769227</v>
      </c>
      <c r="Y522" s="360">
        <f>SUM(W522:X522)</f>
        <v>33230.769230769227</v>
      </c>
      <c r="AA522" s="366">
        <v>0.5</v>
      </c>
      <c r="AB522" s="366">
        <v>0.5</v>
      </c>
    </row>
    <row r="523" spans="1:28">
      <c r="A523" s="120" t="s">
        <v>581</v>
      </c>
      <c r="B523" s="120">
        <v>96000</v>
      </c>
      <c r="C523" s="120" t="s">
        <v>219</v>
      </c>
      <c r="D523" s="120">
        <v>0</v>
      </c>
      <c r="E523" s="120" t="s">
        <v>578</v>
      </c>
      <c r="F523" s="293"/>
      <c r="G523" s="126" t="s">
        <v>281</v>
      </c>
      <c r="H523" s="119">
        <v>0</v>
      </c>
      <c r="I523" s="119">
        <v>250000</v>
      </c>
      <c r="J523" s="119">
        <f>I523*H523</f>
        <v>0</v>
      </c>
      <c r="K523" s="293"/>
      <c r="L523" s="119">
        <v>1</v>
      </c>
      <c r="M523" s="119">
        <v>0</v>
      </c>
      <c r="N523" s="293"/>
      <c r="O523" s="119"/>
      <c r="P523" s="119">
        <v>0</v>
      </c>
      <c r="Q523" s="293"/>
      <c r="R523" s="119">
        <v>0</v>
      </c>
      <c r="S523" s="119">
        <f>R523*I523</f>
        <v>0</v>
      </c>
      <c r="T523" s="293"/>
      <c r="U523" s="119"/>
      <c r="V523" s="119">
        <v>0</v>
      </c>
      <c r="W523" s="119">
        <f t="shared" ref="W523" si="357">SUM(S523,P523,M523,J523,V523)</f>
        <v>0</v>
      </c>
      <c r="X523" s="119">
        <f>(H523*I523)+(L523*I523)+(O523*I523)+(I523*R523)+(U523*I523)</f>
        <v>250000</v>
      </c>
      <c r="Y523" s="136">
        <f>SUM(W523:X523)</f>
        <v>250000</v>
      </c>
      <c r="AA523" s="366">
        <v>0.5</v>
      </c>
      <c r="AB523" s="366">
        <v>0.5</v>
      </c>
    </row>
    <row r="524" spans="1:28">
      <c r="A524" s="109"/>
      <c r="B524" s="109"/>
      <c r="C524" s="109"/>
      <c r="D524" s="109"/>
      <c r="E524" s="109" t="s">
        <v>584</v>
      </c>
      <c r="F524" s="300"/>
      <c r="G524" s="123"/>
      <c r="H524" s="124"/>
      <c r="I524" s="124"/>
      <c r="J524" s="125">
        <f>SUM(J521:J523)</f>
        <v>0</v>
      </c>
      <c r="K524" s="300"/>
      <c r="L524" s="125"/>
      <c r="M524" s="125">
        <f>SUM(M521:M523)</f>
        <v>0</v>
      </c>
      <c r="N524" s="300"/>
      <c r="O524" s="125"/>
      <c r="P524" s="125">
        <f>SUM(P521:P523)</f>
        <v>0</v>
      </c>
      <c r="Q524" s="300"/>
      <c r="R524" s="125"/>
      <c r="S524" s="125">
        <f>SUM(S521:S523)</f>
        <v>0</v>
      </c>
      <c r="T524" s="300"/>
      <c r="U524" s="125"/>
      <c r="V524" s="125">
        <f>SUM(V521:V523)</f>
        <v>0</v>
      </c>
      <c r="W524" s="125">
        <f>SUM(W521:W523)</f>
        <v>0</v>
      </c>
      <c r="X524" s="125">
        <f>SUM(X521:X523)</f>
        <v>294784.06923076924</v>
      </c>
      <c r="Y524" s="125">
        <f>SUM(Y521:Y523)</f>
        <v>294784.06923076924</v>
      </c>
    </row>
    <row r="525" spans="1:28">
      <c r="A525" s="272"/>
      <c r="B525" s="272"/>
      <c r="C525" s="272"/>
      <c r="D525" s="272"/>
      <c r="E525" s="272"/>
      <c r="F525" s="301"/>
      <c r="G525" s="245"/>
      <c r="H525" s="154"/>
      <c r="I525" s="154"/>
      <c r="J525" s="154"/>
      <c r="K525" s="301"/>
      <c r="L525" s="154"/>
      <c r="M525" s="154"/>
      <c r="N525" s="301"/>
      <c r="O525" s="154"/>
      <c r="P525" s="154"/>
      <c r="Q525" s="301"/>
      <c r="R525" s="154"/>
      <c r="S525" s="154"/>
      <c r="T525" s="301"/>
      <c r="U525" s="154"/>
      <c r="V525" s="154"/>
      <c r="W525" s="154"/>
      <c r="X525" s="154"/>
      <c r="Y525" s="154"/>
    </row>
    <row r="526" spans="1:28" ht="12.9" thickBot="1">
      <c r="A526" s="143"/>
      <c r="B526" s="143"/>
      <c r="C526" s="143"/>
      <c r="D526" s="143"/>
      <c r="E526" s="143" t="s">
        <v>185</v>
      </c>
      <c r="F526" s="294"/>
      <c r="G526" s="143"/>
      <c r="H526" s="162"/>
      <c r="I526" s="162"/>
      <c r="J526" s="157">
        <f>SUM(J524+J518+J514+J509+J505+J498)</f>
        <v>11125</v>
      </c>
      <c r="K526" s="294"/>
      <c r="L526" s="157"/>
      <c r="M526" s="157">
        <f>SUM(M524+M518+M514+M509+M505+M498)</f>
        <v>3044523.2137600002</v>
      </c>
      <c r="N526" s="294"/>
      <c r="O526" s="157"/>
      <c r="P526" s="157">
        <f>SUM(P524+P518+P514+P509+P505+P498)</f>
        <v>45874.142310399999</v>
      </c>
      <c r="Q526" s="294"/>
      <c r="R526" s="157"/>
      <c r="S526" s="157">
        <f>SUM(S524+S518+S514+S509+S505+S498)</f>
        <v>137266.78142771201</v>
      </c>
      <c r="T526" s="294"/>
      <c r="U526" s="157"/>
      <c r="V526" s="157">
        <f>SUM(V524+V518+V514+V509+V505+V498)</f>
        <v>140836.17425293312</v>
      </c>
      <c r="W526" s="157">
        <f>SUM(W524+W518+W514+W509+W505+W498)</f>
        <v>3379625.3117510453</v>
      </c>
      <c r="X526" s="157">
        <f>SUM(X524+X518+X514+X509+X505+X498)</f>
        <v>294784.06923076924</v>
      </c>
      <c r="Y526" s="157">
        <f>SUM(Y524+Y518+Y514+Y509+Y505+Y498)</f>
        <v>3674409.3809818146</v>
      </c>
      <c r="AA526" s="146">
        <f>SUMPRODUCT(W484:W497,AA484:AA497)+SUMPRODUCT(W501:W504,AA501:AA504)+SUMPRODUCT(W508,AA508)+SUMPRODUCT(W512:W513,AA512:AA513)+SUMPRODUCT(W517,AA517)</f>
        <v>1689812.6558755226</v>
      </c>
      <c r="AB526" s="146">
        <f>SUMPRODUCT(W484:W497,AB484:AB497)+SUMPRODUCT(W501:W504,AB501:AB504)+SUMPRODUCT(W508,AB508)+SUMPRODUCT(W512:W513,AB512:AB513)+SUMPRODUCT(W517,AB517)</f>
        <v>1689812.6558755226</v>
      </c>
    </row>
    <row r="527" spans="1:28">
      <c r="A527" s="245"/>
      <c r="B527" s="245"/>
      <c r="C527" s="245"/>
      <c r="D527" s="245"/>
      <c r="E527" s="245"/>
      <c r="F527" s="291"/>
      <c r="G527" s="245"/>
      <c r="H527" s="154"/>
      <c r="I527" s="154"/>
      <c r="J527" s="154"/>
      <c r="K527" s="291"/>
      <c r="L527" s="154"/>
      <c r="M527" s="154"/>
      <c r="N527" s="291"/>
      <c r="O527" s="154"/>
      <c r="P527" s="154"/>
      <c r="Q527" s="291"/>
      <c r="R527" s="154"/>
      <c r="S527" s="154"/>
      <c r="T527" s="291"/>
      <c r="U527" s="154"/>
      <c r="V527" s="154"/>
      <c r="W527" s="154"/>
      <c r="X527" s="154"/>
      <c r="Y527" s="154"/>
    </row>
    <row r="528" spans="1:28">
      <c r="A528" s="266"/>
      <c r="B528" s="266"/>
      <c r="C528" s="266"/>
      <c r="D528" s="266"/>
      <c r="E528" s="266" t="s">
        <v>585</v>
      </c>
      <c r="F528" s="298"/>
      <c r="G528" s="106"/>
      <c r="H528" s="106"/>
      <c r="I528" s="107"/>
      <c r="J528" s="267"/>
      <c r="K528" s="298"/>
      <c r="L528" s="267"/>
      <c r="M528" s="267"/>
      <c r="N528" s="298"/>
      <c r="O528" s="267"/>
      <c r="P528" s="267"/>
      <c r="Q528" s="298"/>
      <c r="R528" s="267"/>
      <c r="S528" s="267"/>
      <c r="T528" s="298"/>
      <c r="U528" s="267"/>
      <c r="V528" s="267"/>
      <c r="W528" s="267"/>
      <c r="X528" s="268"/>
      <c r="Y528" s="267"/>
    </row>
    <row r="529" spans="1:28">
      <c r="A529" s="269"/>
      <c r="B529" s="269"/>
      <c r="C529" s="269"/>
      <c r="D529" s="269"/>
      <c r="E529" s="269" t="s">
        <v>349</v>
      </c>
      <c r="F529" s="299"/>
      <c r="G529" s="270"/>
      <c r="H529" s="271"/>
      <c r="I529" s="271"/>
      <c r="J529" s="271"/>
      <c r="K529" s="299"/>
      <c r="L529" s="271"/>
      <c r="M529" s="271"/>
      <c r="N529" s="299"/>
      <c r="O529" s="271"/>
      <c r="P529" s="271"/>
      <c r="Q529" s="299"/>
      <c r="R529" s="271"/>
      <c r="S529" s="271"/>
      <c r="T529" s="299"/>
      <c r="U529" s="271"/>
      <c r="V529" s="271"/>
      <c r="W529" s="271"/>
      <c r="X529" s="271"/>
      <c r="Y529" s="271"/>
    </row>
    <row r="530" spans="1:28">
      <c r="A530" s="120"/>
      <c r="B530" s="120"/>
      <c r="C530" s="120"/>
      <c r="D530" s="120"/>
      <c r="E530" s="120" t="s">
        <v>586</v>
      </c>
      <c r="F530" s="293"/>
      <c r="G530" s="126"/>
      <c r="H530" s="119">
        <v>0</v>
      </c>
      <c r="I530" s="119">
        <v>0</v>
      </c>
      <c r="J530" s="119">
        <f>I530*H530</f>
        <v>0</v>
      </c>
      <c r="K530" s="293"/>
      <c r="L530" s="119"/>
      <c r="M530" s="119">
        <v>0</v>
      </c>
      <c r="N530" s="293"/>
      <c r="O530" s="119"/>
      <c r="P530" s="119">
        <v>0</v>
      </c>
      <c r="Q530" s="293"/>
      <c r="R530" s="119"/>
      <c r="S530" s="119">
        <v>0</v>
      </c>
      <c r="T530" s="293"/>
      <c r="U530" s="119"/>
      <c r="V530" s="119">
        <v>0</v>
      </c>
      <c r="W530" s="119">
        <f>V530+J530+M530+P530+S530</f>
        <v>0</v>
      </c>
      <c r="X530" s="119">
        <v>0</v>
      </c>
      <c r="Y530" s="136">
        <f>SUM(W530:X530)</f>
        <v>0</v>
      </c>
    </row>
    <row r="531" spans="1:28">
      <c r="A531" s="58"/>
      <c r="B531" s="58"/>
      <c r="C531" s="58"/>
      <c r="D531" s="58"/>
      <c r="F531" s="293"/>
      <c r="G531" s="127"/>
      <c r="H531" s="119"/>
      <c r="I531" s="119"/>
      <c r="J531" s="119"/>
      <c r="K531" s="293"/>
      <c r="L531" s="119"/>
      <c r="M531" s="119"/>
      <c r="N531" s="293"/>
      <c r="O531" s="119"/>
      <c r="P531" s="119"/>
      <c r="Q531" s="293"/>
      <c r="R531" s="119"/>
      <c r="S531" s="119"/>
      <c r="T531" s="293"/>
      <c r="U531" s="119"/>
      <c r="V531" s="119"/>
      <c r="W531" s="119"/>
      <c r="X531" s="119"/>
      <c r="Y531" s="119"/>
    </row>
    <row r="532" spans="1:28" ht="12.9" thickBot="1">
      <c r="A532" s="143"/>
      <c r="B532" s="143"/>
      <c r="C532" s="143"/>
      <c r="D532" s="143"/>
      <c r="E532" s="143" t="s">
        <v>587</v>
      </c>
      <c r="F532" s="294"/>
      <c r="G532" s="143"/>
      <c r="H532" s="162"/>
      <c r="I532" s="162"/>
      <c r="J532" s="157">
        <f>SUM(J530:J530)</f>
        <v>0</v>
      </c>
      <c r="K532" s="294"/>
      <c r="L532" s="157"/>
      <c r="M532" s="157">
        <f>SUM(M530:M530)</f>
        <v>0</v>
      </c>
      <c r="N532" s="294"/>
      <c r="O532" s="157"/>
      <c r="P532" s="157">
        <f>SUM(P530:P530)</f>
        <v>0</v>
      </c>
      <c r="Q532" s="294"/>
      <c r="R532" s="157"/>
      <c r="S532" s="157">
        <f>SUM(S530:S530)</f>
        <v>0</v>
      </c>
      <c r="T532" s="294"/>
      <c r="U532" s="157"/>
      <c r="V532" s="157">
        <f>SUM(V530:V530)</f>
        <v>0</v>
      </c>
      <c r="W532" s="146">
        <f>V532+J532+M532+P532+S532</f>
        <v>0</v>
      </c>
      <c r="X532" s="157">
        <f>SUM(X530:X530)</f>
        <v>0</v>
      </c>
      <c r="Y532" s="157">
        <f>SUM(W532:X532)</f>
        <v>0</v>
      </c>
    </row>
    <row r="533" spans="1:28">
      <c r="A533" s="149"/>
      <c r="B533" s="149"/>
      <c r="C533" s="149"/>
      <c r="D533" s="149"/>
      <c r="E533" s="149"/>
      <c r="F533" s="304"/>
      <c r="I533" s="117"/>
      <c r="J533" s="117"/>
      <c r="K533" s="304"/>
      <c r="L533" s="117"/>
      <c r="M533" s="117"/>
      <c r="N533" s="304"/>
      <c r="O533" s="117"/>
      <c r="P533" s="117"/>
      <c r="Q533" s="304"/>
      <c r="R533" s="117"/>
      <c r="S533" s="117"/>
      <c r="T533" s="304"/>
      <c r="U533" s="117"/>
      <c r="V533" s="117"/>
      <c r="W533" s="117"/>
      <c r="X533" s="119"/>
      <c r="Y533" s="117"/>
      <c r="Z533" s="95"/>
    </row>
    <row r="534" spans="1:28" ht="12.9" thickBot="1">
      <c r="A534" s="274"/>
      <c r="B534" s="274"/>
      <c r="C534" s="274"/>
      <c r="D534" s="274"/>
      <c r="E534" s="274" t="s">
        <v>123</v>
      </c>
      <c r="F534" s="305"/>
      <c r="G534" s="274"/>
      <c r="H534" s="274"/>
      <c r="I534" s="275"/>
      <c r="J534" s="276">
        <f>J532+J526+J479+J433+J367+J313+J265+J206+J163+J113+J102+J89+J84+J44+J32+J61+J125</f>
        <v>3217782.0955257071</v>
      </c>
      <c r="K534" s="305"/>
      <c r="L534" s="276"/>
      <c r="M534" s="276">
        <f>M532+M526+M479+M433+M367+M313+M265+M206+M163+M113+M102+M89+M84+M44+M32+M61+M125</f>
        <v>6739859.7216660753</v>
      </c>
      <c r="N534" s="305"/>
      <c r="O534" s="276"/>
      <c r="P534" s="276">
        <f>P532+P526+P479+P433+P367+P313+P265+P206+P163+P113+P102+P89+P84+P44+P32+P61+P125</f>
        <v>3765730.3456204147</v>
      </c>
      <c r="Q534" s="305"/>
      <c r="R534" s="276"/>
      <c r="S534" s="276">
        <f>S532+S526+S479+S433+S367+S313+S265+S206+S163+S113+S102+S89+S84+S44+S32+S61+S125</f>
        <v>2703474.1188508938</v>
      </c>
      <c r="T534" s="305"/>
      <c r="U534" s="276"/>
      <c r="V534" s="276">
        <f>V532+V526+V479+V433+V367+V313+V265+V206+V163+V113+V102+V89+V84+V44+V32+V61+V125</f>
        <v>2510637.4468207555</v>
      </c>
      <c r="W534" s="276">
        <f>SUM(J534:V534)</f>
        <v>18937483.728483848</v>
      </c>
      <c r="X534" s="276">
        <f>X532+X526+X479+X433+X367+X313+X265+X206+X163+X113+X102+X89+X84+X44+X32+X61</f>
        <v>1977928.0692307693</v>
      </c>
      <c r="Y534" s="276">
        <f>X534+W534</f>
        <v>20915411.797714617</v>
      </c>
      <c r="AA534" s="146">
        <f>AA526+AA479+AA433+AA367+AA313+AA265+AA206+AA163+AA113+AA61+AA102+AA89+AA84+AA44+AA32+AA125</f>
        <v>9581878.2249714863</v>
      </c>
      <c r="AB534" s="146">
        <f>AB526+AB479+AB433+AB367+AB313+AB265+AB206+AB163+AB113+AB61+AB102+AB89+AB84+AB44+AB32+AB125</f>
        <v>9355605.503512362</v>
      </c>
    </row>
    <row r="535" spans="1:28" ht="12.9" thickBot="1">
      <c r="A535" s="147"/>
      <c r="B535" s="147"/>
      <c r="C535" s="147"/>
      <c r="D535" s="147"/>
      <c r="E535" s="147"/>
      <c r="F535" s="306"/>
      <c r="I535" s="117"/>
      <c r="J535" s="151"/>
      <c r="K535" s="306"/>
      <c r="L535" s="151"/>
      <c r="M535" s="151"/>
      <c r="N535" s="306"/>
      <c r="O535" s="151"/>
      <c r="P535" s="151"/>
      <c r="Q535" s="306"/>
      <c r="R535" s="151"/>
      <c r="S535" s="151"/>
      <c r="T535" s="306"/>
      <c r="U535" s="151"/>
      <c r="V535" s="151"/>
      <c r="W535" s="151"/>
      <c r="X535" s="151"/>
      <c r="Y535" s="151"/>
      <c r="AA535" s="393">
        <f>AA534/(SUM(AA534:AB534))</f>
        <v>0.50597420239941349</v>
      </c>
      <c r="AB535" s="393">
        <f>1-AA535</f>
        <v>0.49402579760058651</v>
      </c>
    </row>
    <row r="536" spans="1:28">
      <c r="A536" s="58" t="s">
        <v>588</v>
      </c>
      <c r="B536" s="58">
        <v>94050</v>
      </c>
      <c r="C536" s="58" t="s">
        <v>219</v>
      </c>
      <c r="D536" s="58">
        <v>0</v>
      </c>
      <c r="E536" s="147" t="s">
        <v>589</v>
      </c>
      <c r="F536" s="306"/>
      <c r="G536" s="149"/>
      <c r="H536" s="149"/>
      <c r="I536" s="155">
        <v>0.28689999999999999</v>
      </c>
      <c r="J536" s="151">
        <f>(J534)*$I$536</f>
        <v>923181.68320632528</v>
      </c>
      <c r="K536" s="306"/>
      <c r="L536" s="151"/>
      <c r="M536" s="151">
        <f>(M534-M517)*$I$536</f>
        <v>1072965.7541459969</v>
      </c>
      <c r="N536" s="306"/>
      <c r="O536" s="151"/>
      <c r="P536" s="151">
        <f>P534*$I$536</f>
        <v>1080388.036158497</v>
      </c>
      <c r="Q536" s="306"/>
      <c r="R536" s="151"/>
      <c r="S536" s="151">
        <f>S534*$I$536</f>
        <v>775626.72469832143</v>
      </c>
      <c r="T536" s="306"/>
      <c r="U536" s="151"/>
      <c r="V536" s="151">
        <f>(V534)*$I$536</f>
        <v>720301.88349287468</v>
      </c>
      <c r="W536" s="151">
        <f>SUM(V536+S536,P536,M536,J536)</f>
        <v>4572464.0817020154</v>
      </c>
      <c r="X536" s="151">
        <v>0</v>
      </c>
      <c r="Y536" s="151">
        <f>SUM(W536:X536)</f>
        <v>4572464.0817020154</v>
      </c>
      <c r="Z536" s="311" t="s">
        <v>188</v>
      </c>
      <c r="AA536" s="475">
        <f>AA535*Y536</f>
        <v>2313548.8667391436</v>
      </c>
      <c r="AB536" s="475">
        <f>AB535*Y536</f>
        <v>2258915.2149628717</v>
      </c>
    </row>
    <row r="537" spans="1:28" ht="12.9" thickBot="1">
      <c r="A537" s="277"/>
      <c r="B537" s="277"/>
      <c r="C537" s="277"/>
      <c r="D537" s="277"/>
      <c r="E537" s="277"/>
      <c r="F537" s="307"/>
      <c r="G537" s="278"/>
      <c r="H537" s="82"/>
      <c r="I537" s="116"/>
      <c r="J537" s="279"/>
      <c r="K537" s="307"/>
      <c r="L537" s="279"/>
      <c r="M537" s="279"/>
      <c r="N537" s="307"/>
      <c r="O537" s="279"/>
      <c r="P537" s="279"/>
      <c r="Q537" s="307"/>
      <c r="R537" s="279"/>
      <c r="S537" s="279"/>
      <c r="T537" s="307"/>
      <c r="U537" s="279"/>
      <c r="V537" s="279"/>
      <c r="W537" s="279"/>
      <c r="X537" s="279"/>
      <c r="Y537" s="279"/>
      <c r="AA537" s="393">
        <f>AA536/(SUM(AA536:AB536))</f>
        <v>0.50597420239941349</v>
      </c>
      <c r="AB537" s="393">
        <f>1-AA537</f>
        <v>0.49402579760058651</v>
      </c>
    </row>
    <row r="538" spans="1:28" ht="12.9" thickBot="1">
      <c r="A538" s="280"/>
      <c r="B538" s="280"/>
      <c r="C538" s="280"/>
      <c r="D538" s="280"/>
      <c r="E538" s="280" t="s">
        <v>590</v>
      </c>
      <c r="F538" s="308"/>
      <c r="G538" s="280"/>
      <c r="H538" s="280"/>
      <c r="I538" s="281"/>
      <c r="J538" s="282">
        <f>J534+J536</f>
        <v>4140963.7787320325</v>
      </c>
      <c r="K538" s="308"/>
      <c r="L538" s="282"/>
      <c r="M538" s="282">
        <f>M534+M536</f>
        <v>7812825.4758120719</v>
      </c>
      <c r="N538" s="308"/>
      <c r="O538" s="282"/>
      <c r="P538" s="282">
        <f>P534+P536</f>
        <v>4846118.3817789117</v>
      </c>
      <c r="Q538" s="308"/>
      <c r="R538" s="282"/>
      <c r="S538" s="282">
        <f>S534+S536</f>
        <v>3479100.8435492152</v>
      </c>
      <c r="T538" s="308"/>
      <c r="U538" s="282"/>
      <c r="V538" s="282">
        <f>V534+V536</f>
        <v>3230939.3303136304</v>
      </c>
      <c r="W538" s="282">
        <f>V538+J538+M538+P538+S538</f>
        <v>23509947.810185861</v>
      </c>
      <c r="X538" s="282">
        <f>X534+X536</f>
        <v>1977928.0692307693</v>
      </c>
      <c r="Y538" s="282">
        <f>SUM(W538:X538)</f>
        <v>25487875.87941663</v>
      </c>
      <c r="AA538" s="394">
        <f>(AA536+AA534)/W538</f>
        <v>0.5059742023994136</v>
      </c>
      <c r="AB538" s="394">
        <f>(AB536+AB534)/W538</f>
        <v>0.49402579760058657</v>
      </c>
    </row>
    <row r="539" spans="1:28" ht="12.9" thickTop="1">
      <c r="K539" s="296"/>
      <c r="N539" s="296"/>
      <c r="Q539" s="296"/>
      <c r="T539" s="296"/>
    </row>
    <row r="540" spans="1:28">
      <c r="K540" s="296"/>
      <c r="N540" s="296"/>
      <c r="Q540" s="296"/>
      <c r="T540" s="296"/>
    </row>
    <row r="541" spans="1:28">
      <c r="K541" s="296"/>
      <c r="N541" s="296"/>
      <c r="Q541" s="296"/>
      <c r="T541" s="296"/>
    </row>
    <row r="542" spans="1:28">
      <c r="K542" s="296"/>
      <c r="N542" s="296"/>
      <c r="Q542" s="296"/>
      <c r="T542" s="296"/>
    </row>
    <row r="543" spans="1:28">
      <c r="E543" s="283"/>
      <c r="F543" s="309"/>
      <c r="K543" s="309"/>
      <c r="N543" s="309"/>
      <c r="Q543" s="309"/>
      <c r="T543" s="309"/>
    </row>
    <row r="544" spans="1:28">
      <c r="E544" s="283"/>
      <c r="F544" s="310"/>
      <c r="K544" s="310"/>
      <c r="N544" s="310"/>
      <c r="Q544" s="310"/>
      <c r="T544" s="310"/>
    </row>
    <row r="545" spans="11:20">
      <c r="K545" s="296"/>
      <c r="N545" s="296"/>
      <c r="Q545" s="296"/>
      <c r="T545" s="296"/>
    </row>
  </sheetData>
  <mergeCells count="7">
    <mergeCell ref="D464:E464"/>
    <mergeCell ref="N6:Q6"/>
    <mergeCell ref="E1:Y1"/>
    <mergeCell ref="E3:Y3"/>
    <mergeCell ref="E4:Y4"/>
    <mergeCell ref="E5:F5"/>
    <mergeCell ref="E2:Y2"/>
  </mergeCells>
  <phoneticPr fontId="7" type="noConversion"/>
  <pageMargins left="0.7" right="0.7" top="0.75" bottom="0.75" header="0.3" footer="0.3"/>
  <pageSetup scale="12" orientation="landscape" r:id="rId1"/>
  <headerFooter alignWithMargins="0"/>
  <rowBreaks count="1" manualBreakCount="1">
    <brk id="126" min="4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5B40-A2B6-40C9-8EFC-9F0DA80E8EE1}">
  <dimension ref="A1:AJ67"/>
  <sheetViews>
    <sheetView zoomScaleNormal="100" workbookViewId="0">
      <pane ySplit="1" topLeftCell="A2" activePane="bottomLeft" state="frozen"/>
      <selection pane="bottomLeft" activeCell="K16" sqref="K16"/>
    </sheetView>
  </sheetViews>
  <sheetFormatPr defaultColWidth="8.83203125" defaultRowHeight="14.4"/>
  <cols>
    <col min="1" max="1" width="8" style="397" customWidth="1"/>
    <col min="2" max="2" width="50.83203125" style="397" bestFit="1" customWidth="1"/>
    <col min="3" max="3" width="8.83203125" style="397" customWidth="1"/>
    <col min="4" max="10" width="8.83203125" style="397"/>
    <col min="11" max="11" width="10" style="397" customWidth="1"/>
    <col min="12" max="12" width="65.71875" style="397" hidden="1" customWidth="1"/>
    <col min="13" max="13" width="3.1640625" style="397" customWidth="1"/>
    <col min="14" max="14" width="8.83203125" style="397"/>
    <col min="15" max="15" width="0.71875" style="397" customWidth="1"/>
    <col min="16" max="17" width="8.83203125" style="397"/>
    <col min="18" max="18" width="12.44140625" style="397" customWidth="1"/>
    <col min="19" max="23" width="10.1640625" style="397" customWidth="1"/>
    <col min="24" max="24" width="9.27734375" style="397" customWidth="1"/>
    <col min="25" max="33" width="5.83203125" style="397" customWidth="1"/>
    <col min="34" max="34" width="8.83203125" style="397"/>
    <col min="35" max="35" width="10.27734375" style="397" customWidth="1"/>
    <col min="36" max="36" width="11" style="397" customWidth="1"/>
    <col min="37" max="16384" width="8.83203125" style="397"/>
  </cols>
  <sheetData>
    <row r="1" spans="1:17" ht="140.25" customHeight="1" thickBot="1">
      <c r="A1" s="400"/>
      <c r="B1" s="471"/>
      <c r="C1" s="472" t="s">
        <v>45</v>
      </c>
      <c r="D1" s="435" t="s">
        <v>591</v>
      </c>
      <c r="E1" s="435" t="s">
        <v>592</v>
      </c>
      <c r="F1" s="435" t="s">
        <v>593</v>
      </c>
      <c r="G1" s="435" t="s">
        <v>594</v>
      </c>
      <c r="H1" s="435" t="s">
        <v>595</v>
      </c>
      <c r="I1" s="435" t="s">
        <v>596</v>
      </c>
      <c r="J1" s="435" t="s">
        <v>597</v>
      </c>
      <c r="K1" s="435" t="s">
        <v>598</v>
      </c>
      <c r="L1" s="436"/>
      <c r="M1" s="434"/>
      <c r="N1" s="437"/>
    </row>
    <row r="2" spans="1:17" ht="16" customHeight="1">
      <c r="A2" s="547" t="s">
        <v>599</v>
      </c>
      <c r="B2" s="398" t="s">
        <v>600</v>
      </c>
      <c r="C2" s="463" t="s">
        <v>601</v>
      </c>
      <c r="D2" s="463" t="s">
        <v>601</v>
      </c>
      <c r="E2" s="463" t="s">
        <v>601</v>
      </c>
      <c r="F2" s="463" t="s">
        <v>601</v>
      </c>
      <c r="G2" s="463" t="s">
        <v>601</v>
      </c>
      <c r="H2" s="463" t="s">
        <v>601</v>
      </c>
      <c r="I2" s="463" t="s">
        <v>601</v>
      </c>
      <c r="J2" s="463" t="s">
        <v>601</v>
      </c>
      <c r="K2" s="464" t="s">
        <v>601</v>
      </c>
      <c r="L2" s="399" t="s">
        <v>602</v>
      </c>
      <c r="M2" s="400"/>
      <c r="N2" s="401"/>
      <c r="O2" s="400"/>
      <c r="P2" s="401"/>
      <c r="Q2" s="401"/>
    </row>
    <row r="3" spans="1:17" ht="17.25" customHeight="1">
      <c r="A3" s="548"/>
      <c r="B3" s="402" t="s">
        <v>15</v>
      </c>
      <c r="C3" s="403"/>
      <c r="D3" s="403" t="s">
        <v>601</v>
      </c>
      <c r="E3" s="403"/>
      <c r="F3" s="403" t="s">
        <v>601</v>
      </c>
      <c r="G3" s="403"/>
      <c r="H3" s="403"/>
      <c r="I3" s="403"/>
      <c r="J3" s="495" t="s">
        <v>603</v>
      </c>
      <c r="K3" s="404"/>
      <c r="L3" s="405" t="s">
        <v>604</v>
      </c>
      <c r="M3" s="400"/>
      <c r="N3" s="401"/>
      <c r="O3" s="400"/>
      <c r="P3" s="401"/>
      <c r="Q3" s="401"/>
    </row>
    <row r="4" spans="1:17" ht="15.6">
      <c r="A4" s="548"/>
      <c r="B4" s="402" t="s">
        <v>19</v>
      </c>
      <c r="C4" s="403"/>
      <c r="D4" s="403"/>
      <c r="E4" s="403"/>
      <c r="F4" s="403"/>
      <c r="G4" s="403" t="s">
        <v>601</v>
      </c>
      <c r="H4" s="403"/>
      <c r="I4" s="403"/>
      <c r="J4" s="495" t="s">
        <v>603</v>
      </c>
      <c r="K4" s="404"/>
      <c r="L4" s="405" t="s">
        <v>604</v>
      </c>
      <c r="M4" s="400"/>
      <c r="N4" s="401"/>
      <c r="O4" s="400"/>
      <c r="P4" s="401"/>
      <c r="Q4" s="401"/>
    </row>
    <row r="5" spans="1:17" ht="15.9" thickBot="1">
      <c r="A5" s="548"/>
      <c r="B5" s="402" t="s">
        <v>605</v>
      </c>
      <c r="C5" s="403"/>
      <c r="D5" s="403"/>
      <c r="E5" s="403" t="s">
        <v>601</v>
      </c>
      <c r="F5" s="403"/>
      <c r="G5" s="403"/>
      <c r="H5" s="403"/>
      <c r="I5" s="403"/>
      <c r="J5" s="495" t="s">
        <v>603</v>
      </c>
      <c r="K5" s="404"/>
      <c r="L5" s="405"/>
      <c r="M5" s="400"/>
      <c r="N5" s="401"/>
      <c r="O5" s="400"/>
      <c r="P5" s="401"/>
      <c r="Q5" s="401"/>
    </row>
    <row r="6" spans="1:17" ht="17.25" customHeight="1">
      <c r="A6" s="548"/>
      <c r="B6" s="402" t="s">
        <v>606</v>
      </c>
      <c r="C6" s="495"/>
      <c r="D6" s="495" t="s">
        <v>603</v>
      </c>
      <c r="E6" s="495" t="s">
        <v>603</v>
      </c>
      <c r="F6" s="495" t="s">
        <v>603</v>
      </c>
      <c r="G6" s="495"/>
      <c r="H6" s="495" t="s">
        <v>603</v>
      </c>
      <c r="I6" s="495" t="s">
        <v>603</v>
      </c>
      <c r="J6" s="495" t="s">
        <v>603</v>
      </c>
      <c r="K6" s="407"/>
      <c r="L6" s="399" t="s">
        <v>607</v>
      </c>
      <c r="M6" s="400"/>
      <c r="N6" s="400"/>
      <c r="O6" s="400"/>
      <c r="P6" s="400"/>
      <c r="Q6" s="400"/>
    </row>
    <row r="7" spans="1:17" ht="17.25" customHeight="1">
      <c r="A7" s="548"/>
      <c r="B7" s="402" t="s">
        <v>608</v>
      </c>
      <c r="C7" s="495"/>
      <c r="D7" s="495" t="s">
        <v>603</v>
      </c>
      <c r="E7" s="495" t="s">
        <v>603</v>
      </c>
      <c r="F7" s="495" t="s">
        <v>603</v>
      </c>
      <c r="G7" s="495"/>
      <c r="H7" s="495" t="s">
        <v>603</v>
      </c>
      <c r="I7" s="495" t="s">
        <v>603</v>
      </c>
      <c r="J7" s="495" t="s">
        <v>603</v>
      </c>
      <c r="K7" s="407"/>
      <c r="L7" s="405"/>
      <c r="M7" s="400"/>
      <c r="N7" s="400"/>
      <c r="O7" s="400"/>
      <c r="P7" s="400"/>
      <c r="Q7" s="400"/>
    </row>
    <row r="8" spans="1:17" ht="17.25" customHeight="1">
      <c r="A8" s="548"/>
      <c r="B8" s="402" t="s">
        <v>609</v>
      </c>
      <c r="C8" s="495"/>
      <c r="D8" s="495"/>
      <c r="E8" s="495" t="s">
        <v>603</v>
      </c>
      <c r="F8" s="495"/>
      <c r="G8" s="495"/>
      <c r="H8" s="495" t="s">
        <v>603</v>
      </c>
      <c r="I8" s="495" t="s">
        <v>603</v>
      </c>
      <c r="J8" s="495" t="s">
        <v>603</v>
      </c>
      <c r="K8" s="407"/>
      <c r="L8" s="405"/>
      <c r="M8" s="400"/>
      <c r="N8" s="400"/>
      <c r="O8" s="400"/>
      <c r="P8" s="400"/>
      <c r="Q8" s="400"/>
    </row>
    <row r="9" spans="1:17" ht="17.25" customHeight="1" thickBot="1">
      <c r="A9" s="548"/>
      <c r="B9" s="402" t="s">
        <v>610</v>
      </c>
      <c r="C9" s="495"/>
      <c r="D9" s="495"/>
      <c r="E9" s="495"/>
      <c r="F9" s="495"/>
      <c r="G9" s="495"/>
      <c r="H9" s="495" t="s">
        <v>603</v>
      </c>
      <c r="I9" s="495" t="s">
        <v>603</v>
      </c>
      <c r="J9" s="495" t="s">
        <v>603</v>
      </c>
      <c r="K9" s="407" t="s">
        <v>603</v>
      </c>
      <c r="L9" s="410"/>
      <c r="M9" s="400"/>
      <c r="N9" s="400"/>
      <c r="O9" s="400"/>
      <c r="P9" s="400"/>
      <c r="Q9" s="400"/>
    </row>
    <row r="10" spans="1:17" ht="17.25" customHeight="1">
      <c r="A10" s="548"/>
      <c r="B10" s="402" t="s">
        <v>611</v>
      </c>
      <c r="C10" s="495"/>
      <c r="D10" s="495" t="s">
        <v>603</v>
      </c>
      <c r="E10" s="495"/>
      <c r="F10" s="495" t="s">
        <v>603</v>
      </c>
      <c r="G10" s="495"/>
      <c r="H10" s="495"/>
      <c r="I10" s="495" t="s">
        <v>603</v>
      </c>
      <c r="J10" s="495" t="s">
        <v>603</v>
      </c>
      <c r="K10" s="407" t="s">
        <v>603</v>
      </c>
      <c r="L10" s="399" t="s">
        <v>612</v>
      </c>
      <c r="M10" s="400"/>
      <c r="N10" s="400"/>
      <c r="O10" s="400"/>
      <c r="P10" s="400"/>
      <c r="Q10" s="400"/>
    </row>
    <row r="11" spans="1:17" ht="17.25" customHeight="1">
      <c r="A11" s="548"/>
      <c r="B11" s="402" t="s">
        <v>613</v>
      </c>
      <c r="C11" s="495"/>
      <c r="D11" s="495" t="s">
        <v>603</v>
      </c>
      <c r="E11" s="495"/>
      <c r="F11" s="495" t="s">
        <v>603</v>
      </c>
      <c r="G11" s="495" t="s">
        <v>603</v>
      </c>
      <c r="H11" s="495"/>
      <c r="I11" s="495" t="s">
        <v>603</v>
      </c>
      <c r="J11" s="495" t="s">
        <v>603</v>
      </c>
      <c r="K11" s="407" t="s">
        <v>603</v>
      </c>
      <c r="L11" s="405" t="s">
        <v>612</v>
      </c>
      <c r="M11" s="400"/>
      <c r="N11" s="400"/>
      <c r="O11" s="400"/>
      <c r="P11" s="400"/>
      <c r="Q11" s="400"/>
    </row>
    <row r="12" spans="1:17" ht="17.25" customHeight="1">
      <c r="A12" s="548"/>
      <c r="B12" s="402" t="s">
        <v>614</v>
      </c>
      <c r="C12" s="495"/>
      <c r="D12" s="495" t="s">
        <v>603</v>
      </c>
      <c r="E12" s="495"/>
      <c r="F12" s="495" t="s">
        <v>603</v>
      </c>
      <c r="G12" s="495" t="s">
        <v>603</v>
      </c>
      <c r="H12" s="495"/>
      <c r="I12" s="495" t="s">
        <v>603</v>
      </c>
      <c r="J12" s="495" t="s">
        <v>603</v>
      </c>
      <c r="K12" s="407" t="s">
        <v>603</v>
      </c>
      <c r="L12" s="405"/>
      <c r="M12" s="400"/>
      <c r="N12" s="400"/>
      <c r="O12" s="400"/>
      <c r="P12" s="400"/>
      <c r="Q12" s="400"/>
    </row>
    <row r="13" spans="1:17" ht="17.25" customHeight="1">
      <c r="A13" s="548"/>
      <c r="B13" s="402" t="s">
        <v>615</v>
      </c>
      <c r="C13" s="495"/>
      <c r="D13" s="495" t="s">
        <v>603</v>
      </c>
      <c r="E13" s="495"/>
      <c r="F13" s="495" t="s">
        <v>603</v>
      </c>
      <c r="G13" s="495" t="s">
        <v>603</v>
      </c>
      <c r="H13" s="495"/>
      <c r="I13" s="495" t="s">
        <v>603</v>
      </c>
      <c r="J13" s="495" t="s">
        <v>603</v>
      </c>
      <c r="K13" s="407" t="s">
        <v>603</v>
      </c>
      <c r="L13" s="405"/>
      <c r="M13" s="400"/>
      <c r="N13" s="400"/>
      <c r="O13" s="400"/>
      <c r="P13" s="400"/>
      <c r="Q13" s="400"/>
    </row>
    <row r="14" spans="1:17" ht="17.25" customHeight="1">
      <c r="A14" s="548"/>
      <c r="B14" s="402" t="s">
        <v>616</v>
      </c>
      <c r="C14" s="495"/>
      <c r="D14" s="495" t="s">
        <v>603</v>
      </c>
      <c r="E14" s="495"/>
      <c r="F14" s="495"/>
      <c r="G14" s="495" t="s">
        <v>603</v>
      </c>
      <c r="H14" s="495"/>
      <c r="I14" s="495" t="s">
        <v>603</v>
      </c>
      <c r="J14" s="495" t="s">
        <v>603</v>
      </c>
      <c r="K14" s="407"/>
      <c r="L14" s="405" t="s">
        <v>617</v>
      </c>
      <c r="M14" s="400"/>
      <c r="N14" s="400"/>
      <c r="O14" s="400"/>
      <c r="P14" s="400"/>
      <c r="Q14" s="400"/>
    </row>
    <row r="15" spans="1:17" ht="17.25" customHeight="1">
      <c r="A15" s="548"/>
      <c r="B15" s="402" t="s">
        <v>618</v>
      </c>
      <c r="C15" s="495"/>
      <c r="D15" s="495"/>
      <c r="E15" s="495"/>
      <c r="F15" s="403" t="s">
        <v>601</v>
      </c>
      <c r="G15" s="495"/>
      <c r="H15" s="495"/>
      <c r="I15" s="495"/>
      <c r="J15" s="495" t="s">
        <v>603</v>
      </c>
      <c r="K15" s="407"/>
      <c r="L15" s="405"/>
      <c r="M15" s="400"/>
      <c r="N15" s="400"/>
      <c r="O15" s="400"/>
      <c r="P15" s="400"/>
      <c r="Q15" s="400"/>
    </row>
    <row r="16" spans="1:17" ht="17.25" customHeight="1">
      <c r="A16" s="548"/>
      <c r="B16" s="402" t="s">
        <v>619</v>
      </c>
      <c r="C16" s="495"/>
      <c r="D16" s="495" t="s">
        <v>603</v>
      </c>
      <c r="E16" s="403"/>
      <c r="F16" s="403" t="s">
        <v>601</v>
      </c>
      <c r="G16" s="495"/>
      <c r="H16" s="495"/>
      <c r="I16" s="495"/>
      <c r="J16" s="495" t="s">
        <v>603</v>
      </c>
      <c r="K16" s="407"/>
      <c r="L16" s="405"/>
      <c r="M16" s="400"/>
      <c r="N16" s="400"/>
      <c r="O16" s="400"/>
      <c r="P16" s="400"/>
      <c r="Q16" s="400"/>
    </row>
    <row r="17" spans="1:17" ht="17.25" customHeight="1">
      <c r="A17" s="548"/>
      <c r="B17" s="402" t="s">
        <v>620</v>
      </c>
      <c r="C17" s="495"/>
      <c r="D17" s="495"/>
      <c r="E17" s="403"/>
      <c r="F17" s="403" t="s">
        <v>601</v>
      </c>
      <c r="G17" s="495"/>
      <c r="H17" s="495"/>
      <c r="I17" s="495"/>
      <c r="J17" s="495" t="s">
        <v>603</v>
      </c>
      <c r="K17" s="407"/>
      <c r="L17" s="405"/>
      <c r="M17" s="400"/>
      <c r="N17" s="400"/>
      <c r="O17" s="400"/>
      <c r="P17" s="400"/>
      <c r="Q17" s="400"/>
    </row>
    <row r="18" spans="1:17" ht="17.25" customHeight="1">
      <c r="A18" s="548"/>
      <c r="B18" s="402" t="s">
        <v>621</v>
      </c>
      <c r="C18" s="495"/>
      <c r="D18" s="495"/>
      <c r="E18" s="403"/>
      <c r="F18" s="403" t="s">
        <v>601</v>
      </c>
      <c r="G18" s="495"/>
      <c r="H18" s="495"/>
      <c r="I18" s="495"/>
      <c r="J18" s="495"/>
      <c r="K18" s="407"/>
      <c r="L18" s="405"/>
      <c r="M18" s="400"/>
      <c r="N18" s="400"/>
      <c r="O18" s="400"/>
      <c r="P18" s="400"/>
      <c r="Q18" s="400"/>
    </row>
    <row r="19" spans="1:17" ht="17.25" customHeight="1">
      <c r="A19" s="548"/>
      <c r="B19" s="402" t="s">
        <v>622</v>
      </c>
      <c r="C19" s="495"/>
      <c r="D19" s="495"/>
      <c r="E19" s="403"/>
      <c r="F19" s="403"/>
      <c r="G19" s="403" t="s">
        <v>601</v>
      </c>
      <c r="H19" s="495"/>
      <c r="I19" s="495"/>
      <c r="J19" s="495" t="s">
        <v>603</v>
      </c>
      <c r="K19" s="407"/>
      <c r="L19" s="405"/>
      <c r="M19" s="400"/>
      <c r="N19" s="400"/>
      <c r="O19" s="400"/>
      <c r="P19" s="400"/>
      <c r="Q19" s="400"/>
    </row>
    <row r="20" spans="1:17" ht="17.25" customHeight="1">
      <c r="A20" s="548"/>
      <c r="B20" s="402" t="s">
        <v>623</v>
      </c>
      <c r="C20" s="495"/>
      <c r="D20" s="495"/>
      <c r="E20" s="403"/>
      <c r="F20" s="403"/>
      <c r="G20" s="403"/>
      <c r="H20" s="403" t="s">
        <v>601</v>
      </c>
      <c r="I20" s="495"/>
      <c r="J20" s="495" t="s">
        <v>603</v>
      </c>
      <c r="K20" s="407"/>
      <c r="L20" s="405"/>
      <c r="M20" s="400"/>
      <c r="N20" s="400"/>
      <c r="O20" s="400"/>
      <c r="P20" s="400"/>
      <c r="Q20" s="400"/>
    </row>
    <row r="21" spans="1:17" ht="16" customHeight="1">
      <c r="A21" s="548"/>
      <c r="B21" s="402" t="s">
        <v>624</v>
      </c>
      <c r="C21" s="495"/>
      <c r="D21" s="495"/>
      <c r="E21" s="495"/>
      <c r="F21" s="495"/>
      <c r="G21" s="495"/>
      <c r="H21" s="495"/>
      <c r="I21" s="495" t="s">
        <v>603</v>
      </c>
      <c r="J21" s="495" t="s">
        <v>603</v>
      </c>
      <c r="K21" s="407" t="s">
        <v>603</v>
      </c>
      <c r="L21" s="405" t="s">
        <v>625</v>
      </c>
      <c r="M21" s="400"/>
      <c r="N21" s="400"/>
      <c r="O21" s="400"/>
      <c r="P21" s="400"/>
      <c r="Q21" s="400"/>
    </row>
    <row r="22" spans="1:17" ht="18" customHeight="1">
      <c r="A22" s="548"/>
      <c r="B22" s="411" t="s">
        <v>626</v>
      </c>
      <c r="C22" s="495"/>
      <c r="D22" s="495" t="s">
        <v>603</v>
      </c>
      <c r="E22" s="495" t="s">
        <v>603</v>
      </c>
      <c r="F22" s="495" t="s">
        <v>603</v>
      </c>
      <c r="G22" s="495" t="s">
        <v>603</v>
      </c>
      <c r="H22" s="495"/>
      <c r="I22" s="495"/>
      <c r="J22" s="495" t="s">
        <v>603</v>
      </c>
      <c r="K22" s="407"/>
      <c r="L22" s="405" t="s">
        <v>627</v>
      </c>
      <c r="M22" s="400"/>
      <c r="N22" s="400"/>
      <c r="O22" s="400"/>
      <c r="P22" s="400"/>
      <c r="Q22" s="400"/>
    </row>
    <row r="23" spans="1:17" ht="16" customHeight="1">
      <c r="A23" s="548"/>
      <c r="B23" s="402" t="s">
        <v>628</v>
      </c>
      <c r="C23" s="495"/>
      <c r="D23" s="495"/>
      <c r="E23" s="495"/>
      <c r="F23" s="495"/>
      <c r="G23" s="495" t="s">
        <v>603</v>
      </c>
      <c r="H23" s="495" t="s">
        <v>603</v>
      </c>
      <c r="I23" s="495"/>
      <c r="J23" s="495" t="s">
        <v>603</v>
      </c>
      <c r="K23" s="407" t="s">
        <v>603</v>
      </c>
      <c r="L23" s="405" t="s">
        <v>629</v>
      </c>
      <c r="M23" s="400"/>
      <c r="N23" s="400"/>
      <c r="O23" s="400"/>
      <c r="P23" s="400"/>
      <c r="Q23" s="400"/>
    </row>
    <row r="24" spans="1:17" ht="16" customHeight="1" thickBot="1">
      <c r="A24" s="549"/>
      <c r="B24" s="408" t="s">
        <v>630</v>
      </c>
      <c r="C24" s="500"/>
      <c r="D24" s="500"/>
      <c r="E24" s="500"/>
      <c r="F24" s="500"/>
      <c r="G24" s="500"/>
      <c r="H24" s="496" t="s">
        <v>603</v>
      </c>
      <c r="I24" s="500"/>
      <c r="J24" s="496" t="s">
        <v>603</v>
      </c>
      <c r="K24" s="409" t="s">
        <v>603</v>
      </c>
      <c r="L24" s="410" t="s">
        <v>631</v>
      </c>
      <c r="M24" s="400"/>
      <c r="N24" s="400"/>
      <c r="O24" s="400"/>
      <c r="P24" s="400"/>
      <c r="Q24" s="400"/>
    </row>
    <row r="25" spans="1:17" ht="16" customHeight="1" thickBot="1">
      <c r="A25" s="466" t="s">
        <v>632</v>
      </c>
      <c r="B25" s="467" t="s">
        <v>633</v>
      </c>
      <c r="C25" s="468"/>
      <c r="D25" s="468"/>
      <c r="E25" s="468"/>
      <c r="F25" s="470" t="s">
        <v>601</v>
      </c>
      <c r="G25" s="470" t="s">
        <v>601</v>
      </c>
      <c r="H25" s="470" t="s">
        <v>601</v>
      </c>
      <c r="I25" s="470" t="s">
        <v>601</v>
      </c>
      <c r="J25" s="470" t="s">
        <v>601</v>
      </c>
      <c r="K25" s="469"/>
      <c r="L25" s="413"/>
      <c r="M25" s="400"/>
      <c r="N25" s="400"/>
      <c r="O25" s="400"/>
      <c r="P25" s="400"/>
      <c r="Q25" s="400"/>
    </row>
    <row r="26" spans="1:17" ht="18" customHeight="1" thickBot="1">
      <c r="A26" s="543" t="s">
        <v>634</v>
      </c>
      <c r="B26" s="460" t="s">
        <v>635</v>
      </c>
      <c r="C26" s="465"/>
      <c r="D26" s="465"/>
      <c r="E26" s="465"/>
      <c r="F26" s="465"/>
      <c r="G26" s="465"/>
      <c r="H26" s="465"/>
      <c r="I26" s="465"/>
      <c r="J26" s="461" t="s">
        <v>603</v>
      </c>
      <c r="K26" s="462" t="s">
        <v>603</v>
      </c>
      <c r="L26" s="399" t="s">
        <v>636</v>
      </c>
      <c r="M26" s="400"/>
      <c r="N26" s="400"/>
      <c r="O26" s="400"/>
      <c r="P26" s="400"/>
      <c r="Q26" s="400"/>
    </row>
    <row r="27" spans="1:17" ht="17.25" customHeight="1" thickBot="1">
      <c r="A27" s="543"/>
      <c r="B27" s="550" t="s">
        <v>637</v>
      </c>
      <c r="C27" s="545"/>
      <c r="D27" s="545"/>
      <c r="E27" s="539" t="s">
        <v>603</v>
      </c>
      <c r="F27" s="539"/>
      <c r="G27" s="539" t="s">
        <v>603</v>
      </c>
      <c r="H27" s="545"/>
      <c r="I27" s="545"/>
      <c r="J27" s="539" t="s">
        <v>603</v>
      </c>
      <c r="K27" s="541"/>
      <c r="L27" s="399" t="s">
        <v>638</v>
      </c>
      <c r="M27" s="400"/>
      <c r="N27" s="400"/>
      <c r="O27" s="400"/>
      <c r="P27" s="400"/>
      <c r="Q27" s="400"/>
    </row>
    <row r="28" spans="1:17" ht="14.7" hidden="1" thickBot="1">
      <c r="A28" s="543"/>
      <c r="B28" s="550"/>
      <c r="C28" s="545"/>
      <c r="D28" s="545"/>
      <c r="E28" s="539"/>
      <c r="F28" s="539"/>
      <c r="G28" s="539"/>
      <c r="H28" s="545"/>
      <c r="I28" s="545"/>
      <c r="J28" s="539"/>
      <c r="K28" s="541"/>
      <c r="L28" s="405" t="s">
        <v>639</v>
      </c>
      <c r="M28" s="400"/>
      <c r="N28" s="400"/>
      <c r="O28" s="400"/>
      <c r="P28" s="400"/>
      <c r="Q28" s="400"/>
    </row>
    <row r="29" spans="1:17" ht="16" hidden="1" customHeight="1" thickBot="1">
      <c r="A29" s="544"/>
      <c r="B29" s="551"/>
      <c r="C29" s="546"/>
      <c r="D29" s="546"/>
      <c r="E29" s="540"/>
      <c r="F29" s="540"/>
      <c r="G29" s="540"/>
      <c r="H29" s="546"/>
      <c r="I29" s="546"/>
      <c r="J29" s="540"/>
      <c r="K29" s="542"/>
      <c r="L29" s="410" t="s">
        <v>639</v>
      </c>
      <c r="M29" s="400"/>
      <c r="N29" s="400"/>
      <c r="O29" s="400"/>
      <c r="P29" s="400"/>
      <c r="Q29" s="400"/>
    </row>
    <row r="30" spans="1:17">
      <c r="A30" s="533" t="s">
        <v>640</v>
      </c>
      <c r="B30" s="398" t="s">
        <v>641</v>
      </c>
      <c r="C30" s="412"/>
      <c r="D30" s="412"/>
      <c r="E30" s="412"/>
      <c r="F30" s="412"/>
      <c r="G30" s="412"/>
      <c r="H30" s="412"/>
      <c r="I30" s="412"/>
      <c r="J30" s="406" t="s">
        <v>603</v>
      </c>
      <c r="K30" s="414"/>
      <c r="L30" s="399" t="s">
        <v>642</v>
      </c>
      <c r="M30" s="400"/>
      <c r="N30" s="400"/>
      <c r="O30" s="400"/>
      <c r="P30" s="400"/>
      <c r="Q30" s="400"/>
    </row>
    <row r="31" spans="1:17">
      <c r="A31" s="534"/>
      <c r="B31" s="415" t="s">
        <v>643</v>
      </c>
      <c r="C31" s="499"/>
      <c r="D31" s="499"/>
      <c r="E31" s="499"/>
      <c r="F31" s="499"/>
      <c r="G31" s="499"/>
      <c r="H31" s="499"/>
      <c r="I31" s="499"/>
      <c r="J31" s="495" t="s">
        <v>603</v>
      </c>
      <c r="K31" s="497"/>
      <c r="L31" s="405" t="s">
        <v>644</v>
      </c>
      <c r="M31" s="400"/>
      <c r="N31" s="400"/>
      <c r="O31" s="400"/>
      <c r="P31" s="400"/>
      <c r="Q31" s="400"/>
    </row>
    <row r="32" spans="1:17">
      <c r="A32" s="534"/>
      <c r="B32" s="402" t="s">
        <v>645</v>
      </c>
      <c r="C32" s="499"/>
      <c r="D32" s="499"/>
      <c r="E32" s="499"/>
      <c r="F32" s="499"/>
      <c r="G32" s="499"/>
      <c r="H32" s="499"/>
      <c r="I32" s="499"/>
      <c r="J32" s="495" t="s">
        <v>603</v>
      </c>
      <c r="K32" s="497"/>
      <c r="L32" s="405" t="s">
        <v>642</v>
      </c>
      <c r="M32" s="400"/>
      <c r="N32" s="400"/>
      <c r="O32" s="400"/>
      <c r="P32" s="400"/>
      <c r="Q32" s="400"/>
    </row>
    <row r="33" spans="1:36">
      <c r="A33" s="534"/>
      <c r="B33" s="402" t="s">
        <v>646</v>
      </c>
      <c r="C33" s="499"/>
      <c r="D33" s="499"/>
      <c r="E33" s="499"/>
      <c r="F33" s="499"/>
      <c r="G33" s="499"/>
      <c r="H33" s="499"/>
      <c r="I33" s="499"/>
      <c r="J33" s="495" t="s">
        <v>603</v>
      </c>
      <c r="K33" s="497"/>
      <c r="L33" s="405" t="s">
        <v>647</v>
      </c>
      <c r="M33" s="400"/>
      <c r="N33" s="400"/>
      <c r="O33" s="400"/>
      <c r="P33" s="400"/>
      <c r="Q33" s="400"/>
    </row>
    <row r="34" spans="1:36" ht="14.7" thickBot="1">
      <c r="A34" s="535"/>
      <c r="B34" s="408" t="s">
        <v>648</v>
      </c>
      <c r="C34" s="500"/>
      <c r="D34" s="500"/>
      <c r="E34" s="500"/>
      <c r="F34" s="500"/>
      <c r="G34" s="500"/>
      <c r="H34" s="500"/>
      <c r="I34" s="500"/>
      <c r="J34" s="496" t="s">
        <v>603</v>
      </c>
      <c r="K34" s="498"/>
      <c r="L34" s="410" t="s">
        <v>649</v>
      </c>
      <c r="M34" s="400"/>
      <c r="N34" s="400"/>
      <c r="O34" s="400"/>
      <c r="P34" s="400"/>
      <c r="Q34" s="400"/>
    </row>
    <row r="35" spans="1:36" ht="7" customHeight="1">
      <c r="A35" s="400"/>
      <c r="B35" s="401"/>
      <c r="C35" s="401"/>
      <c r="D35" s="400"/>
      <c r="E35" s="400"/>
      <c r="F35" s="400"/>
      <c r="G35" s="400"/>
      <c r="H35" s="400"/>
      <c r="I35" s="400"/>
      <c r="J35" s="400"/>
      <c r="K35" s="400"/>
      <c r="M35" s="400"/>
      <c r="N35" s="400"/>
      <c r="O35" s="400"/>
      <c r="P35" s="400"/>
      <c r="Q35" s="400"/>
    </row>
    <row r="36" spans="1:36" ht="15.6">
      <c r="A36" s="416" t="s">
        <v>650</v>
      </c>
      <c r="B36" s="400" t="s">
        <v>651</v>
      </c>
      <c r="C36" s="400"/>
      <c r="D36" s="400"/>
      <c r="E36" s="400"/>
      <c r="F36" s="400"/>
      <c r="G36" s="400"/>
      <c r="H36" s="400"/>
      <c r="I36" s="400"/>
      <c r="J36" s="400"/>
      <c r="K36" s="400"/>
      <c r="M36" s="400"/>
      <c r="N36" s="400"/>
      <c r="O36" s="400"/>
      <c r="P36" s="400"/>
      <c r="Q36" s="400"/>
    </row>
    <row r="37" spans="1:36">
      <c r="A37" s="417" t="s">
        <v>603</v>
      </c>
      <c r="B37" s="400" t="s">
        <v>652</v>
      </c>
      <c r="C37" s="400"/>
      <c r="D37" s="400"/>
      <c r="E37" s="400"/>
      <c r="F37" s="400"/>
      <c r="G37" s="400"/>
      <c r="H37" s="400"/>
      <c r="I37" s="400"/>
      <c r="J37" s="400"/>
      <c r="K37" s="400"/>
      <c r="M37" s="400"/>
      <c r="N37" s="400"/>
      <c r="O37" s="400"/>
      <c r="P37" s="400"/>
      <c r="Q37" s="400"/>
      <c r="R37" s="400"/>
    </row>
    <row r="38" spans="1:36">
      <c r="A38" s="400"/>
      <c r="B38" s="400"/>
      <c r="C38" s="400"/>
      <c r="D38" s="400"/>
      <c r="E38" s="400"/>
      <c r="F38" s="400"/>
      <c r="G38" s="400"/>
      <c r="H38" s="400"/>
      <c r="I38" s="400"/>
      <c r="J38" s="400"/>
      <c r="K38" s="400"/>
      <c r="M38" s="400"/>
      <c r="N38" s="400"/>
      <c r="O38" s="400"/>
      <c r="P38" s="400"/>
      <c r="Q38" s="400"/>
      <c r="R38" s="400"/>
    </row>
    <row r="40" spans="1:36" ht="18.75" customHeight="1"/>
    <row r="43" spans="1:36" ht="35.25" customHeight="1"/>
    <row r="44" spans="1:36" ht="35.25" customHeight="1"/>
    <row r="45" spans="1:36" ht="35.25" customHeight="1">
      <c r="AI45" s="474"/>
      <c r="AJ45" s="473"/>
    </row>
    <row r="46" spans="1:36" ht="35.25" customHeight="1"/>
    <row r="47" spans="1:36" ht="35.25" customHeight="1"/>
    <row r="48" spans="1:36" ht="35.25" customHeight="1"/>
    <row r="49" spans="17:25" ht="35.25" customHeight="1"/>
    <row r="51" spans="17:25" ht="14.7" thickBot="1">
      <c r="Q51" s="400"/>
      <c r="R51" s="400"/>
      <c r="S51" s="400"/>
      <c r="T51" s="400"/>
      <c r="U51" s="400"/>
      <c r="V51" s="400"/>
      <c r="W51" s="400"/>
      <c r="X51" s="400"/>
      <c r="Y51" s="400"/>
    </row>
    <row r="52" spans="17:25" ht="18.600000000000001" thickBot="1">
      <c r="Q52" s="400"/>
      <c r="R52" s="400"/>
      <c r="S52" s="536" t="s">
        <v>653</v>
      </c>
      <c r="T52" s="537"/>
      <c r="U52" s="537"/>
      <c r="V52" s="537"/>
      <c r="W52" s="538"/>
      <c r="X52" s="400"/>
      <c r="Y52" s="400"/>
    </row>
    <row r="53" spans="17:25" ht="37.9" customHeight="1" thickBot="1">
      <c r="Q53" s="400"/>
      <c r="R53" s="400"/>
      <c r="S53" s="420" t="s">
        <v>600</v>
      </c>
      <c r="T53" s="421" t="s">
        <v>15</v>
      </c>
      <c r="U53" s="422" t="s">
        <v>6</v>
      </c>
      <c r="V53" s="421" t="s">
        <v>606</v>
      </c>
      <c r="W53" s="423" t="s">
        <v>654</v>
      </c>
      <c r="X53" s="423" t="s">
        <v>655</v>
      </c>
      <c r="Y53" s="400"/>
    </row>
    <row r="54" spans="17:25" ht="35.25" customHeight="1" thickBot="1">
      <c r="Q54" s="400"/>
      <c r="R54" s="424" t="s">
        <v>656</v>
      </c>
      <c r="S54" s="425" t="s">
        <v>657</v>
      </c>
      <c r="T54" s="426" t="s">
        <v>658</v>
      </c>
      <c r="U54" s="425" t="s">
        <v>657</v>
      </c>
      <c r="V54" s="428" t="s">
        <v>659</v>
      </c>
      <c r="W54" s="428" t="s">
        <v>659</v>
      </c>
      <c r="X54" s="428" t="s">
        <v>659</v>
      </c>
      <c r="Y54" s="400"/>
    </row>
    <row r="55" spans="17:25" ht="35.25" customHeight="1" thickBot="1">
      <c r="Q55" s="400"/>
      <c r="R55" s="424" t="s">
        <v>660</v>
      </c>
      <c r="S55" s="425" t="s">
        <v>657</v>
      </c>
      <c r="T55" s="426" t="s">
        <v>658</v>
      </c>
      <c r="U55" s="428" t="s">
        <v>659</v>
      </c>
      <c r="V55" s="428" t="s">
        <v>659</v>
      </c>
      <c r="W55" s="428" t="s">
        <v>659</v>
      </c>
      <c r="X55" s="428" t="s">
        <v>659</v>
      </c>
      <c r="Y55" s="400"/>
    </row>
    <row r="56" spans="17:25" ht="35.25" customHeight="1" thickBot="1">
      <c r="Q56" s="400"/>
      <c r="R56" s="424" t="s">
        <v>661</v>
      </c>
      <c r="S56" s="427" t="s">
        <v>662</v>
      </c>
      <c r="T56" s="426" t="s">
        <v>658</v>
      </c>
      <c r="U56" s="428" t="s">
        <v>659</v>
      </c>
      <c r="V56" s="428" t="s">
        <v>659</v>
      </c>
      <c r="W56" s="428" t="s">
        <v>659</v>
      </c>
      <c r="X56" s="428" t="s">
        <v>659</v>
      </c>
      <c r="Y56" s="400"/>
    </row>
    <row r="57" spans="17:25" ht="35.25" customHeight="1" thickBot="1">
      <c r="Q57" s="400"/>
      <c r="R57" s="424" t="s">
        <v>663</v>
      </c>
      <c r="S57" s="427" t="s">
        <v>662</v>
      </c>
      <c r="T57" s="426" t="s">
        <v>658</v>
      </c>
      <c r="U57" s="428" t="s">
        <v>659</v>
      </c>
      <c r="V57" s="428" t="s">
        <v>659</v>
      </c>
      <c r="W57" s="428" t="s">
        <v>659</v>
      </c>
      <c r="X57" s="428" t="s">
        <v>659</v>
      </c>
      <c r="Y57" s="400"/>
    </row>
    <row r="58" spans="17:25" ht="35.25" customHeight="1" thickBot="1">
      <c r="Q58" s="400"/>
      <c r="R58" s="424" t="s">
        <v>664</v>
      </c>
      <c r="S58" s="428" t="s">
        <v>659</v>
      </c>
      <c r="T58" s="426" t="s">
        <v>658</v>
      </c>
      <c r="U58" s="428" t="s">
        <v>659</v>
      </c>
      <c r="V58" s="428" t="s">
        <v>659</v>
      </c>
      <c r="W58" s="428" t="s">
        <v>659</v>
      </c>
      <c r="X58" s="428" t="s">
        <v>659</v>
      </c>
      <c r="Y58" s="400"/>
    </row>
    <row r="59" spans="17:25" ht="35.25" customHeight="1" thickBot="1">
      <c r="Q59" s="400"/>
      <c r="R59" s="424" t="s">
        <v>665</v>
      </c>
      <c r="S59" s="428" t="s">
        <v>659</v>
      </c>
      <c r="T59" s="426" t="s">
        <v>658</v>
      </c>
      <c r="U59" s="428" t="s">
        <v>659</v>
      </c>
      <c r="V59" s="428" t="s">
        <v>659</v>
      </c>
      <c r="W59" s="428" t="s">
        <v>659</v>
      </c>
      <c r="X59" s="428" t="s">
        <v>659</v>
      </c>
      <c r="Y59" s="400"/>
    </row>
    <row r="60" spans="17:25" ht="35.25" customHeight="1" thickBot="1">
      <c r="Q60" s="400"/>
      <c r="R60" s="424" t="s">
        <v>666</v>
      </c>
      <c r="S60" s="425" t="s">
        <v>657</v>
      </c>
      <c r="T60" s="426" t="s">
        <v>658</v>
      </c>
      <c r="U60" s="428" t="s">
        <v>659</v>
      </c>
      <c r="V60" s="428" t="s">
        <v>659</v>
      </c>
      <c r="W60" s="428" t="s">
        <v>659</v>
      </c>
      <c r="X60" s="428" t="s">
        <v>659</v>
      </c>
      <c r="Y60" s="400"/>
    </row>
    <row r="61" spans="17:25" ht="35.25" customHeight="1" thickBot="1">
      <c r="Q61" s="400"/>
      <c r="R61" s="419" t="s">
        <v>667</v>
      </c>
      <c r="S61" s="425" t="s">
        <v>657</v>
      </c>
      <c r="T61" s="426" t="s">
        <v>658</v>
      </c>
      <c r="U61" s="428" t="s">
        <v>659</v>
      </c>
      <c r="V61" s="428" t="s">
        <v>659</v>
      </c>
      <c r="W61" s="428" t="s">
        <v>659</v>
      </c>
      <c r="X61" s="428" t="s">
        <v>659</v>
      </c>
      <c r="Y61" s="400"/>
    </row>
    <row r="62" spans="17:25" ht="14.7" thickBot="1">
      <c r="Q62" s="400"/>
      <c r="R62" s="400"/>
      <c r="S62" s="400"/>
      <c r="T62" s="400"/>
      <c r="U62" s="400"/>
      <c r="V62" s="400"/>
      <c r="W62" s="400"/>
      <c r="X62" s="400"/>
      <c r="Y62" s="400"/>
    </row>
    <row r="63" spans="17:25">
      <c r="Q63" s="400"/>
      <c r="R63" s="429" t="s">
        <v>668</v>
      </c>
      <c r="S63" s="430" t="s">
        <v>658</v>
      </c>
      <c r="T63" s="400" t="s">
        <v>669</v>
      </c>
      <c r="U63" s="400"/>
      <c r="V63" s="400"/>
      <c r="W63" s="400"/>
      <c r="X63" s="400"/>
      <c r="Y63" s="400"/>
    </row>
    <row r="64" spans="17:25">
      <c r="Q64" s="400"/>
      <c r="R64" s="418" t="s">
        <v>670</v>
      </c>
      <c r="S64" s="431" t="s">
        <v>657</v>
      </c>
      <c r="T64" s="400" t="s">
        <v>671</v>
      </c>
      <c r="U64" s="400"/>
      <c r="V64" s="400"/>
      <c r="W64" s="400"/>
      <c r="X64" s="400"/>
      <c r="Y64" s="400"/>
    </row>
    <row r="65" spans="17:25">
      <c r="Q65" s="400"/>
      <c r="R65" s="418" t="s">
        <v>672</v>
      </c>
      <c r="S65" s="432" t="s">
        <v>662</v>
      </c>
      <c r="T65" s="400" t="s">
        <v>673</v>
      </c>
      <c r="U65" s="400"/>
      <c r="V65" s="400"/>
      <c r="W65" s="400"/>
      <c r="X65" s="400"/>
      <c r="Y65" s="400"/>
    </row>
    <row r="66" spans="17:25">
      <c r="Q66" s="400"/>
      <c r="R66" s="418" t="s">
        <v>674</v>
      </c>
      <c r="S66" s="433" t="s">
        <v>659</v>
      </c>
      <c r="T66" s="400" t="s">
        <v>675</v>
      </c>
      <c r="U66" s="400"/>
      <c r="V66" s="400"/>
      <c r="W66" s="400"/>
      <c r="X66" s="400"/>
      <c r="Y66" s="400"/>
    </row>
    <row r="67" spans="17:25">
      <c r="Q67" s="400"/>
      <c r="R67" s="400"/>
      <c r="S67" s="400"/>
      <c r="T67" s="400"/>
      <c r="U67" s="400"/>
      <c r="V67" s="400"/>
      <c r="W67" s="400"/>
      <c r="X67" s="400"/>
      <c r="Y67" s="400"/>
    </row>
  </sheetData>
  <mergeCells count="14">
    <mergeCell ref="A2:A24"/>
    <mergeCell ref="E27:E29"/>
    <mergeCell ref="F27:F29"/>
    <mergeCell ref="G27:G29"/>
    <mergeCell ref="H27:H29"/>
    <mergeCell ref="B27:B29"/>
    <mergeCell ref="C27:C29"/>
    <mergeCell ref="D27:D29"/>
    <mergeCell ref="A30:A34"/>
    <mergeCell ref="S52:W52"/>
    <mergeCell ref="J27:J29"/>
    <mergeCell ref="K27:K29"/>
    <mergeCell ref="A26:A29"/>
    <mergeCell ref="I27:I2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023C-3AE7-4E9C-A381-4C4F2117FE7B}">
  <dimension ref="B1:R48"/>
  <sheetViews>
    <sheetView topLeftCell="B1" zoomScale="82" zoomScaleNormal="100" workbookViewId="0">
      <selection activeCell="B1" sqref="B1:R1"/>
    </sheetView>
  </sheetViews>
  <sheetFormatPr defaultColWidth="8.71875" defaultRowHeight="12.6" outlineLevelRow="1"/>
  <cols>
    <col min="1" max="1" width="2.44140625" style="56" customWidth="1"/>
    <col min="2" max="2" width="52.44140625" style="57" customWidth="1"/>
    <col min="3" max="3" width="15.1640625" style="58" bestFit="1" customWidth="1"/>
    <col min="4" max="4" width="10.44140625" style="58" bestFit="1" customWidth="1"/>
    <col min="5" max="5" width="18.1640625" style="59" bestFit="1" customWidth="1"/>
    <col min="6" max="6" width="15.1640625" style="58" bestFit="1" customWidth="1"/>
    <col min="7" max="7" width="10.44140625" style="57" bestFit="1" customWidth="1"/>
    <col min="8" max="8" width="18.44140625" style="60" bestFit="1" customWidth="1"/>
    <col min="9" max="9" width="15.1640625" style="58" bestFit="1" customWidth="1"/>
    <col min="10" max="10" width="10.44140625" style="57" bestFit="1" customWidth="1"/>
    <col min="11" max="11" width="18.1640625" style="57" bestFit="1" customWidth="1"/>
    <col min="12" max="12" width="15.1640625" style="58" bestFit="1" customWidth="1"/>
    <col min="13" max="13" width="10.44140625" style="57" bestFit="1" customWidth="1"/>
    <col min="14" max="14" width="18.1640625" style="57" bestFit="1" customWidth="1"/>
    <col min="15" max="15" width="15.1640625" style="58" bestFit="1" customWidth="1"/>
    <col min="16" max="16" width="10.44140625" style="61" bestFit="1" customWidth="1"/>
    <col min="17" max="17" width="18.1640625" style="57" bestFit="1" customWidth="1"/>
    <col min="18" max="18" width="16.44140625" style="57" bestFit="1" customWidth="1"/>
    <col min="19" max="16384" width="8.71875" style="56"/>
  </cols>
  <sheetData>
    <row r="1" spans="2:18" ht="13.5" customHeight="1">
      <c r="B1" s="552" t="s">
        <v>133</v>
      </c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</row>
    <row r="2" spans="2:18" ht="13.5" customHeight="1">
      <c r="B2" s="552" t="s">
        <v>134</v>
      </c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</row>
    <row r="3" spans="2:18">
      <c r="B3" s="552" t="s">
        <v>135</v>
      </c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  <c r="R3" s="552"/>
    </row>
    <row r="4" spans="2:18">
      <c r="B4" s="552" t="s">
        <v>136</v>
      </c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552"/>
    </row>
    <row r="5" spans="2:18">
      <c r="B5" s="552" t="s">
        <v>676</v>
      </c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</row>
    <row r="6" spans="2:18">
      <c r="B6" s="52"/>
      <c r="C6" s="53"/>
      <c r="D6" s="53"/>
      <c r="E6" s="53"/>
      <c r="F6" s="53"/>
      <c r="G6" s="53"/>
      <c r="H6" s="54"/>
      <c r="I6" s="53"/>
      <c r="J6" s="52"/>
      <c r="K6" s="52"/>
      <c r="L6" s="53"/>
      <c r="M6" s="52"/>
      <c r="N6" s="52"/>
      <c r="O6" s="53"/>
      <c r="P6" s="52"/>
      <c r="Q6" s="52"/>
      <c r="R6" s="52"/>
    </row>
    <row r="7" spans="2:18" ht="24.6">
      <c r="B7" s="55"/>
      <c r="C7" s="62" t="s">
        <v>677</v>
      </c>
      <c r="D7" s="62" t="s">
        <v>678</v>
      </c>
      <c r="E7" s="62" t="s">
        <v>679</v>
      </c>
      <c r="F7" s="62" t="s">
        <v>680</v>
      </c>
      <c r="G7" s="62" t="s">
        <v>681</v>
      </c>
      <c r="H7" s="63" t="s">
        <v>682</v>
      </c>
      <c r="I7" s="62" t="s">
        <v>683</v>
      </c>
      <c r="J7" s="62" t="s">
        <v>684</v>
      </c>
      <c r="K7" s="62" t="s">
        <v>685</v>
      </c>
      <c r="L7" s="62" t="s">
        <v>686</v>
      </c>
      <c r="M7" s="62" t="s">
        <v>687</v>
      </c>
      <c r="N7" s="62" t="s">
        <v>688</v>
      </c>
      <c r="O7" s="62" t="s">
        <v>689</v>
      </c>
      <c r="P7" s="62" t="s">
        <v>690</v>
      </c>
      <c r="Q7" s="62" t="s">
        <v>691</v>
      </c>
      <c r="R7" s="62" t="s">
        <v>692</v>
      </c>
    </row>
    <row r="8" spans="2:18" s="67" customFormat="1" ht="12.3">
      <c r="B8" s="64"/>
      <c r="C8" s="65" t="s">
        <v>693</v>
      </c>
      <c r="D8" s="65" t="s">
        <v>693</v>
      </c>
      <c r="E8" s="65" t="s">
        <v>693</v>
      </c>
      <c r="F8" s="65" t="s">
        <v>693</v>
      </c>
      <c r="G8" s="65" t="s">
        <v>694</v>
      </c>
      <c r="H8" s="66" t="s">
        <v>694</v>
      </c>
      <c r="I8" s="65" t="s">
        <v>693</v>
      </c>
      <c r="J8" s="65" t="s">
        <v>694</v>
      </c>
      <c r="K8" s="65" t="s">
        <v>694</v>
      </c>
      <c r="L8" s="65" t="s">
        <v>693</v>
      </c>
      <c r="M8" s="65" t="s">
        <v>694</v>
      </c>
      <c r="N8" s="65" t="s">
        <v>694</v>
      </c>
      <c r="O8" s="65" t="s">
        <v>693</v>
      </c>
      <c r="P8" s="65" t="s">
        <v>694</v>
      </c>
      <c r="Q8" s="65" t="s">
        <v>694</v>
      </c>
      <c r="R8" s="65" t="s">
        <v>694</v>
      </c>
    </row>
    <row r="9" spans="2:18" s="58" customFormat="1">
      <c r="B9" s="68" t="s">
        <v>695</v>
      </c>
      <c r="C9" s="68"/>
      <c r="D9" s="68"/>
      <c r="E9" s="68"/>
      <c r="F9" s="68"/>
      <c r="G9" s="68"/>
      <c r="H9" s="69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2:18" s="58" customFormat="1" outlineLevel="1">
      <c r="B10" s="70" t="s">
        <v>696</v>
      </c>
      <c r="C10" s="70"/>
      <c r="D10" s="70"/>
      <c r="E10" s="70"/>
      <c r="F10" s="70"/>
      <c r="G10" s="70"/>
      <c r="H10" s="71"/>
      <c r="I10" s="70"/>
      <c r="J10" s="70"/>
      <c r="K10" s="70"/>
      <c r="L10" s="70"/>
      <c r="M10" s="70"/>
      <c r="N10" s="70"/>
      <c r="O10" s="70"/>
      <c r="P10" s="70"/>
      <c r="Q10" s="70"/>
      <c r="R10" s="70"/>
    </row>
    <row r="11" spans="2:18" s="58" customFormat="1" outlineLevel="1">
      <c r="B11" s="72" t="str">
        <f>'Program Budget'!E13</f>
        <v xml:space="preserve">Key Personnel: Chief of Party </v>
      </c>
      <c r="C11" s="236">
        <f>'Program Budget'!H13</f>
        <v>12</v>
      </c>
      <c r="D11" s="73">
        <f>'Program Budget'!F13+'Program Budget'!F130+'Program Budget'!F168+'Program Budget'!F211+'Program Budget'!F270+'Program Budget'!F318+'Program Budget'!F372+'Program Budget'!F438+'Program Budget'!F484</f>
        <v>1</v>
      </c>
      <c r="E11" s="74">
        <f>'Program Budget'!J13+'Program Budget'!J130+'Program Budget'!J168+'Program Budget'!J211+'Program Budget'!J270+'Program Budget'!J318+'Program Budget'!J372+'Program Budget'!J438+'Program Budget'!J484</f>
        <v>150000</v>
      </c>
      <c r="F11" s="236">
        <f>'Program Budget'!L13</f>
        <v>12</v>
      </c>
      <c r="G11" s="73">
        <f>'Program Budget'!K13+'Program Budget'!K130+'Program Budget'!K168+'Program Budget'!K211+'Program Budget'!K270+'Program Budget'!K318+'Program Budget'!K372+'Program Budget'!K438+'Program Budget'!K484</f>
        <v>0.99999999999999989</v>
      </c>
      <c r="H11" s="74">
        <f>'Program Budget'!M13+'Program Budget'!M130+'Program Budget'!M168+'Program Budget'!M211+'Program Budget'!M270+'Program Budget'!M318+'Program Budget'!M372+'Program Budget'!M438+'Program Budget'!M484</f>
        <v>156000</v>
      </c>
      <c r="I11" s="236">
        <f>'Program Budget'!O13</f>
        <v>12</v>
      </c>
      <c r="J11" s="73">
        <f>'Program Budget'!N13+'Program Budget'!N130+'Program Budget'!N168+'Program Budget'!N211+'Program Budget'!N270+'Program Budget'!N318+'Program Budget'!N372+'Program Budget'!N438+'Program Budget'!N484</f>
        <v>0.99999999999999989</v>
      </c>
      <c r="K11" s="74">
        <f>'Program Budget'!P13+'Program Budget'!P130+'Program Budget'!P168+'Program Budget'!P211+'Program Budget'!P270+'Program Budget'!P318+'Program Budget'!P372+'Program Budget'!P438+'Program Budget'!P484</f>
        <v>162240</v>
      </c>
      <c r="L11" s="236">
        <f>'Program Budget'!R13</f>
        <v>12</v>
      </c>
      <c r="M11" s="73">
        <f>'Program Budget'!Q13+'Program Budget'!Q130+'Program Budget'!Q168+'Program Budget'!Q211+'Program Budget'!Q270+'Program Budget'!Q318+'Program Budget'!Q372+'Program Budget'!Q438+'Program Budget'!Q484</f>
        <v>1</v>
      </c>
      <c r="N11" s="74">
        <f>'Program Budget'!S13+'Program Budget'!S130+'Program Budget'!S168+'Program Budget'!S211+'Program Budget'!S270+'Program Budget'!S318+'Program Budget'!S372+'Program Budget'!S438+'Program Budget'!S484</f>
        <v>168729.60000000001</v>
      </c>
      <c r="O11" s="236">
        <f>'Program Budget'!U13</f>
        <v>12</v>
      </c>
      <c r="P11" s="73">
        <f>'Program Budget'!T13+'Program Budget'!T130+'Program Budget'!T168+'Program Budget'!T211+'Program Budget'!T270+'Program Budget'!T318+'Program Budget'!T372+'Program Budget'!T438+'Program Budget'!T484</f>
        <v>1</v>
      </c>
      <c r="Q11" s="74">
        <f>'Program Budget'!V13+'Program Budget'!V130+'Program Budget'!V168+'Program Budget'!V211+'Program Budget'!V270+'Program Budget'!V318+'Program Budget'!V372+'Program Budget'!V438+'Program Budget'!V484</f>
        <v>175478.78400000001</v>
      </c>
      <c r="R11" s="439">
        <f>E11+H11+K11+N11+Q11</f>
        <v>812448.38399999996</v>
      </c>
    </row>
    <row r="12" spans="2:18" s="58" customFormat="1" outlineLevel="1">
      <c r="B12" s="72" t="str">
        <f>'Program Budget'!E14</f>
        <v>Key Personnel: Technical Director</v>
      </c>
      <c r="C12" s="236">
        <f>'Program Budget'!H14</f>
        <v>8</v>
      </c>
      <c r="D12" s="73">
        <f>'Program Budget'!F14+'Program Budget'!F131+'Program Budget'!F169+'Program Budget'!F212+'Program Budget'!F271+'Program Budget'!F319+'Program Budget'!F373+'Program Budget'!F439+'Program Budget'!F485</f>
        <v>1</v>
      </c>
      <c r="E12" s="74">
        <f>'Program Budget'!J14+'Program Budget'!J131+'Program Budget'!J169+'Program Budget'!J212+'Program Budget'!J271+'Program Budget'!J319+'Program Budget'!J373+'Program Budget'!J439+'Program Budget'!J485</f>
        <v>46666.666666666672</v>
      </c>
      <c r="F12" s="236">
        <f>'Program Budget'!L14</f>
        <v>12</v>
      </c>
      <c r="G12" s="73">
        <f>'Program Budget'!K14+'Program Budget'!K131+'Program Budget'!K169+'Program Budget'!K212+'Program Budget'!K271+'Program Budget'!K319+'Program Budget'!K373+'Program Budget'!K439+'Program Budget'!K485</f>
        <v>1</v>
      </c>
      <c r="H12" s="74">
        <f>'Program Budget'!M14+'Program Budget'!M131+'Program Budget'!M169+'Program Budget'!M212+'Program Budget'!M271+'Program Budget'!M319+'Program Budget'!M373+'Program Budget'!M439+'Program Budget'!M485</f>
        <v>72800</v>
      </c>
      <c r="I12" s="236">
        <f>'Program Budget'!O14</f>
        <v>12</v>
      </c>
      <c r="J12" s="73">
        <f>'Program Budget'!N14+'Program Budget'!N131+'Program Budget'!N169+'Program Budget'!N212+'Program Budget'!N271+'Program Budget'!N319+'Program Budget'!N373+'Program Budget'!N439+'Program Budget'!N485</f>
        <v>1</v>
      </c>
      <c r="K12" s="74">
        <f>'Program Budget'!P14+'Program Budget'!P131+'Program Budget'!P169+'Program Budget'!P212+'Program Budget'!P271+'Program Budget'!P319+'Program Budget'!P373+'Program Budget'!P439+'Program Budget'!P485</f>
        <v>75712</v>
      </c>
      <c r="L12" s="236">
        <f>'Program Budget'!R14</f>
        <v>12</v>
      </c>
      <c r="M12" s="73">
        <f>'Program Budget'!Q14+'Program Budget'!Q131+'Program Budget'!Q169+'Program Budget'!Q212+'Program Budget'!Q271+'Program Budget'!Q319+'Program Budget'!Q373+'Program Budget'!Q439+'Program Budget'!Q485</f>
        <v>1</v>
      </c>
      <c r="N12" s="74">
        <f>'Program Budget'!S14+'Program Budget'!S131+'Program Budget'!S169+'Program Budget'!S212+'Program Budget'!S271+'Program Budget'!S319+'Program Budget'!S373+'Program Budget'!S439+'Program Budget'!S485</f>
        <v>78740.479999999996</v>
      </c>
      <c r="O12" s="236">
        <f>'Program Budget'!U14</f>
        <v>12</v>
      </c>
      <c r="P12" s="73">
        <f>'Program Budget'!T14+'Program Budget'!T131+'Program Budget'!T169+'Program Budget'!T212+'Program Budget'!T271+'Program Budget'!T319+'Program Budget'!T373+'Program Budget'!T439+'Program Budget'!T485</f>
        <v>1</v>
      </c>
      <c r="Q12" s="74">
        <f>'Program Budget'!V14+'Program Budget'!V131+'Program Budget'!V169+'Program Budget'!V212+'Program Budget'!V271+'Program Budget'!V319+'Program Budget'!V373+'Program Budget'!V439+'Program Budget'!V485</f>
        <v>81890.099200000011</v>
      </c>
      <c r="R12" s="439">
        <f t="shared" ref="R12:R25" si="0">E12+H12+K12+N12+Q12</f>
        <v>355809.24586666666</v>
      </c>
    </row>
    <row r="13" spans="2:18" s="58" customFormat="1" outlineLevel="1">
      <c r="B13" s="72" t="str">
        <f>'Program Budget'!E15</f>
        <v xml:space="preserve">F&amp;A Director </v>
      </c>
      <c r="C13" s="236">
        <f>'Program Budget'!H15</f>
        <v>8</v>
      </c>
      <c r="D13" s="73">
        <f>'Program Budget'!F15+'Program Budget'!F132+'Program Budget'!F170+'Program Budget'!F213+'Program Budget'!F272+'Program Budget'!F320+'Program Budget'!F374+'Program Budget'!F440+'Program Budget'!F486</f>
        <v>1</v>
      </c>
      <c r="E13" s="74">
        <f>'Program Budget'!J15+'Program Budget'!J132+'Program Budget'!J170+'Program Budget'!J213+'Program Budget'!J272+'Program Budget'!J320+'Program Budget'!J374+'Program Budget'!J440+'Program Budget'!J486</f>
        <v>30666.666666666668</v>
      </c>
      <c r="F13" s="236">
        <f>'Program Budget'!L15</f>
        <v>12</v>
      </c>
      <c r="G13" s="73">
        <f>'Program Budget'!K15+'Program Budget'!K132+'Program Budget'!K170+'Program Budget'!K213+'Program Budget'!K272+'Program Budget'!K320+'Program Budget'!K374+'Program Budget'!K440+'Program Budget'!K486</f>
        <v>1</v>
      </c>
      <c r="H13" s="74">
        <f>'Program Budget'!M15+'Program Budget'!M132+'Program Budget'!M170+'Program Budget'!M213+'Program Budget'!M272+'Program Budget'!M320+'Program Budget'!M374+'Program Budget'!M440+'Program Budget'!M486</f>
        <v>47840</v>
      </c>
      <c r="I13" s="236">
        <f>'Program Budget'!O15</f>
        <v>12</v>
      </c>
      <c r="J13" s="73">
        <f>'Program Budget'!N15+'Program Budget'!N132+'Program Budget'!N170+'Program Budget'!N213+'Program Budget'!N272+'Program Budget'!N320+'Program Budget'!N374+'Program Budget'!N440+'Program Budget'!N486</f>
        <v>1</v>
      </c>
      <c r="K13" s="74">
        <f>'Program Budget'!P15+'Program Budget'!P132+'Program Budget'!P170+'Program Budget'!P213+'Program Budget'!P272+'Program Budget'!P320+'Program Budget'!P374+'Program Budget'!P440+'Program Budget'!P486</f>
        <v>49753.599999999999</v>
      </c>
      <c r="L13" s="236">
        <f>'Program Budget'!R15</f>
        <v>12</v>
      </c>
      <c r="M13" s="73">
        <f>'Program Budget'!Q15+'Program Budget'!Q132+'Program Budget'!Q170+'Program Budget'!Q213+'Program Budget'!Q272+'Program Budget'!Q320+'Program Budget'!Q374+'Program Budget'!Q440+'Program Budget'!Q486</f>
        <v>1</v>
      </c>
      <c r="N13" s="74">
        <f>'Program Budget'!S15+'Program Budget'!S132+'Program Budget'!S170+'Program Budget'!S213+'Program Budget'!S272+'Program Budget'!S320+'Program Budget'!S374+'Program Budget'!S440+'Program Budget'!S486</f>
        <v>51743.743999999999</v>
      </c>
      <c r="O13" s="236">
        <f>'Program Budget'!U15</f>
        <v>12</v>
      </c>
      <c r="P13" s="73">
        <f>'Program Budget'!T15+'Program Budget'!T132+'Program Budget'!T170+'Program Budget'!T213+'Program Budget'!T272+'Program Budget'!T320+'Program Budget'!T374+'Program Budget'!T440+'Program Budget'!T486</f>
        <v>1</v>
      </c>
      <c r="Q13" s="74">
        <f>'Program Budget'!V15+'Program Budget'!V132+'Program Budget'!V170+'Program Budget'!V213+'Program Budget'!V272+'Program Budget'!V320+'Program Budget'!V374+'Program Budget'!V440+'Program Budget'!V486</f>
        <v>53813.493760000012</v>
      </c>
      <c r="R13" s="439">
        <f t="shared" si="0"/>
        <v>233817.50442666668</v>
      </c>
    </row>
    <row r="14" spans="2:18" s="58" customFormat="1" outlineLevel="1">
      <c r="B14" s="72" t="str">
        <f>'Program Budget'!E16</f>
        <v xml:space="preserve">M&amp;E Director </v>
      </c>
      <c r="C14" s="236">
        <f>'Program Budget'!H16</f>
        <v>8</v>
      </c>
      <c r="D14" s="73">
        <f>'Program Budget'!F16+'Program Budget'!F133+'Program Budget'!F171+'Program Budget'!F214+'Program Budget'!F273+'Program Budget'!F321+'Program Budget'!F375+'Program Budget'!F441+'Program Budget'!F487</f>
        <v>1</v>
      </c>
      <c r="E14" s="74">
        <f>'Program Budget'!J16+'Program Budget'!J133+'Program Budget'!J171+'Program Budget'!J214+'Program Budget'!J273+'Program Budget'!J321+'Program Budget'!J375+'Program Budget'!J441+'Program Budget'!J487</f>
        <v>30666.666666666668</v>
      </c>
      <c r="F14" s="236">
        <f>'Program Budget'!L16</f>
        <v>12</v>
      </c>
      <c r="G14" s="73">
        <f>'Program Budget'!K16+'Program Budget'!K133+'Program Budget'!K171+'Program Budget'!K214+'Program Budget'!K273+'Program Budget'!K321+'Program Budget'!K375+'Program Budget'!K441+'Program Budget'!K487</f>
        <v>1</v>
      </c>
      <c r="H14" s="74">
        <f>'Program Budget'!M16+'Program Budget'!M133+'Program Budget'!M171+'Program Budget'!M214+'Program Budget'!M273+'Program Budget'!M321+'Program Budget'!M375+'Program Budget'!M441+'Program Budget'!M487</f>
        <v>47840</v>
      </c>
      <c r="I14" s="236">
        <f>'Program Budget'!O16</f>
        <v>12</v>
      </c>
      <c r="J14" s="73">
        <f>'Program Budget'!N16+'Program Budget'!N133+'Program Budget'!N171+'Program Budget'!N214+'Program Budget'!N273+'Program Budget'!N321+'Program Budget'!N375+'Program Budget'!N441+'Program Budget'!N487</f>
        <v>1</v>
      </c>
      <c r="K14" s="74">
        <f>'Program Budget'!P16+'Program Budget'!P133+'Program Budget'!P171+'Program Budget'!P214+'Program Budget'!P273+'Program Budget'!P321+'Program Budget'!P375+'Program Budget'!P441+'Program Budget'!P487</f>
        <v>49753.600000000006</v>
      </c>
      <c r="L14" s="236">
        <f>'Program Budget'!R16</f>
        <v>12</v>
      </c>
      <c r="M14" s="73">
        <f>'Program Budget'!Q16+'Program Budget'!Q133+'Program Budget'!Q171+'Program Budget'!Q214+'Program Budget'!Q273+'Program Budget'!Q321+'Program Budget'!Q375+'Program Budget'!Q441+'Program Budget'!Q487</f>
        <v>1</v>
      </c>
      <c r="N14" s="74">
        <f>'Program Budget'!S16+'Program Budget'!S133+'Program Budget'!S171+'Program Budget'!S214+'Program Budget'!S273+'Program Budget'!S321+'Program Budget'!S375+'Program Budget'!S441+'Program Budget'!S487</f>
        <v>51743.744000000006</v>
      </c>
      <c r="O14" s="236">
        <f>'Program Budget'!U16</f>
        <v>12</v>
      </c>
      <c r="P14" s="73">
        <f>'Program Budget'!T16+'Program Budget'!T133+'Program Budget'!T171+'Program Budget'!T214+'Program Budget'!T273+'Program Budget'!T321+'Program Budget'!T375+'Program Budget'!T441+'Program Budget'!T487</f>
        <v>1</v>
      </c>
      <c r="Q14" s="74">
        <f>'Program Budget'!V16+'Program Budget'!V133+'Program Budget'!V171+'Program Budget'!V214+'Program Budget'!V273+'Program Budget'!V321+'Program Budget'!V375+'Program Budget'!V441+'Program Budget'!V487</f>
        <v>53813.493760000005</v>
      </c>
      <c r="R14" s="439">
        <f t="shared" si="0"/>
        <v>233817.50442666668</v>
      </c>
    </row>
    <row r="15" spans="2:18" s="58" customFormat="1" outlineLevel="1">
      <c r="B15" s="72" t="str">
        <f>'Program Budget'!E17</f>
        <v>M&amp;E Mid-level Specialist</v>
      </c>
      <c r="C15" s="236">
        <f>'Program Budget'!H17</f>
        <v>7</v>
      </c>
      <c r="D15" s="73">
        <f>'Program Budget'!F17+'Program Budget'!F134+'Program Budget'!F172+'Program Budget'!F215+'Program Budget'!F274+'Program Budget'!F322+'Program Budget'!F376+'Program Budget'!F442+'Program Budget'!F488</f>
        <v>1</v>
      </c>
      <c r="E15" s="74">
        <f>'Program Budget'!J17+'Program Budget'!J134+'Program Budget'!J172+'Program Budget'!J215+'Program Budget'!J274+'Program Budget'!J322+'Program Budget'!J376+'Program Budget'!J442+'Program Budget'!J488</f>
        <v>18666.666666666664</v>
      </c>
      <c r="F15" s="236">
        <f>'Program Budget'!L17</f>
        <v>12</v>
      </c>
      <c r="G15" s="73">
        <f>'Program Budget'!K17+'Program Budget'!K134+'Program Budget'!K172+'Program Budget'!K215+'Program Budget'!K274+'Program Budget'!K322+'Program Budget'!K376+'Program Budget'!K442+'Program Budget'!K488</f>
        <v>1</v>
      </c>
      <c r="H15" s="74">
        <f>'Program Budget'!M17+'Program Budget'!M134+'Program Budget'!M172+'Program Budget'!M215+'Program Budget'!M274+'Program Budget'!M322+'Program Budget'!M376+'Program Budget'!M442+'Program Budget'!M488</f>
        <v>33280</v>
      </c>
      <c r="I15" s="236">
        <f>'Program Budget'!O17</f>
        <v>12</v>
      </c>
      <c r="J15" s="73">
        <f>'Program Budget'!N17+'Program Budget'!N134+'Program Budget'!N172+'Program Budget'!N215+'Program Budget'!N274+'Program Budget'!N322+'Program Budget'!N376+'Program Budget'!N442+'Program Budget'!N488</f>
        <v>1</v>
      </c>
      <c r="K15" s="74">
        <f>'Program Budget'!P17+'Program Budget'!P134+'Program Budget'!P172+'Program Budget'!P215+'Program Budget'!P274+'Program Budget'!P322+'Program Budget'!P376+'Program Budget'!P442+'Program Budget'!P488</f>
        <v>34611.199999999997</v>
      </c>
      <c r="L15" s="236">
        <f>'Program Budget'!R17</f>
        <v>12</v>
      </c>
      <c r="M15" s="73">
        <f>'Program Budget'!Q17+'Program Budget'!Q134+'Program Budget'!Q172+'Program Budget'!Q215+'Program Budget'!Q274+'Program Budget'!Q322+'Program Budget'!Q376+'Program Budget'!Q442+'Program Budget'!Q488</f>
        <v>1</v>
      </c>
      <c r="N15" s="74">
        <f>'Program Budget'!S17+'Program Budget'!S134+'Program Budget'!S172+'Program Budget'!S215+'Program Budget'!S274+'Program Budget'!S322+'Program Budget'!S376+'Program Budget'!S442+'Program Budget'!S488</f>
        <v>35995.648000000001</v>
      </c>
      <c r="O15" s="236">
        <f>'Program Budget'!U17</f>
        <v>9</v>
      </c>
      <c r="P15" s="73">
        <f>'Program Budget'!T17+'Program Budget'!T134+'Program Budget'!T172+'Program Budget'!T215+'Program Budget'!T274+'Program Budget'!T322+'Program Budget'!T376+'Program Budget'!T442+'Program Budget'!T488</f>
        <v>1</v>
      </c>
      <c r="Q15" s="74">
        <f>'Program Budget'!V17+'Program Budget'!V134+'Program Budget'!V172+'Program Budget'!V215+'Program Budget'!V274+'Program Budget'!V322+'Program Budget'!V376+'Program Budget'!V442+'Program Budget'!V488</f>
        <v>28076.605440000003</v>
      </c>
      <c r="R15" s="439">
        <f t="shared" si="0"/>
        <v>150630.12010666667</v>
      </c>
    </row>
    <row r="16" spans="2:18" s="58" customFormat="1" outlineLevel="1">
      <c r="B16" s="72" t="str">
        <f>'Program Budget'!E18</f>
        <v>M&amp;E Specialist</v>
      </c>
      <c r="C16" s="236">
        <f>'Program Budget'!H18</f>
        <v>3</v>
      </c>
      <c r="D16" s="73">
        <f>'Program Budget'!F18+'Program Budget'!F135+'Program Budget'!F173+'Program Budget'!F216+'Program Budget'!F275+'Program Budget'!F323+'Program Budget'!F377+'Program Budget'!F443+'Program Budget'!F489</f>
        <v>1</v>
      </c>
      <c r="E16" s="74">
        <f>'Program Budget'!J18+'Program Budget'!J135+'Program Budget'!J173+'Program Budget'!J216+'Program Budget'!J275+'Program Budget'!J323+'Program Budget'!J377+'Program Budget'!J443+'Program Budget'!J489</f>
        <v>6500</v>
      </c>
      <c r="F16" s="236">
        <f>'Program Budget'!L18</f>
        <v>12</v>
      </c>
      <c r="G16" s="73">
        <f>'Program Budget'!K18+'Program Budget'!K135+'Program Budget'!K173+'Program Budget'!K216+'Program Budget'!K275+'Program Budget'!K323+'Program Budget'!K377+'Program Budget'!K443+'Program Budget'!K489</f>
        <v>1</v>
      </c>
      <c r="H16" s="74">
        <f>'Program Budget'!M18+'Program Budget'!M135+'Program Budget'!M173+'Program Budget'!M216+'Program Budget'!M275+'Program Budget'!M323+'Program Budget'!M377+'Program Budget'!M443+'Program Budget'!M489</f>
        <v>27040</v>
      </c>
      <c r="I16" s="236">
        <f>'Program Budget'!O18</f>
        <v>12</v>
      </c>
      <c r="J16" s="73">
        <f>'Program Budget'!N18+'Program Budget'!N135+'Program Budget'!N173+'Program Budget'!N216+'Program Budget'!N275+'Program Budget'!N323+'Program Budget'!N377+'Program Budget'!N443+'Program Budget'!N489</f>
        <v>1</v>
      </c>
      <c r="K16" s="74">
        <f>'Program Budget'!P18+'Program Budget'!P135+'Program Budget'!P173+'Program Budget'!P216+'Program Budget'!P275+'Program Budget'!P323+'Program Budget'!P377+'Program Budget'!P443+'Program Budget'!P489</f>
        <v>28121.599999999999</v>
      </c>
      <c r="L16" s="236">
        <f>'Program Budget'!R18</f>
        <v>12</v>
      </c>
      <c r="M16" s="73">
        <f>'Program Budget'!Q18+'Program Budget'!Q135+'Program Budget'!Q173+'Program Budget'!Q216+'Program Budget'!Q275+'Program Budget'!Q323+'Program Budget'!Q377+'Program Budget'!Q443+'Program Budget'!Q489</f>
        <v>1</v>
      </c>
      <c r="N16" s="74">
        <f>'Program Budget'!S18+'Program Budget'!S135+'Program Budget'!S173+'Program Budget'!S216+'Program Budget'!S275+'Program Budget'!S323+'Program Budget'!S377+'Program Budget'!S443+'Program Budget'!S489</f>
        <v>29246.464000000007</v>
      </c>
      <c r="O16" s="236">
        <f>'Program Budget'!U18</f>
        <v>9</v>
      </c>
      <c r="P16" s="73">
        <f>'Program Budget'!T18+'Program Budget'!T135+'Program Budget'!T173+'Program Budget'!T216+'Program Budget'!T275+'Program Budget'!T323+'Program Budget'!T377+'Program Budget'!T443+'Program Budget'!T489</f>
        <v>1</v>
      </c>
      <c r="Q16" s="74">
        <f>'Program Budget'!V18+'Program Budget'!V135+'Program Budget'!V173+'Program Budget'!V216+'Program Budget'!V275+'Program Budget'!V323+'Program Budget'!V377+'Program Budget'!V443+'Program Budget'!V489</f>
        <v>22812.241920000004</v>
      </c>
      <c r="R16" s="439">
        <f t="shared" si="0"/>
        <v>113720.30592000001</v>
      </c>
    </row>
    <row r="17" spans="2:18" s="58" customFormat="1" outlineLevel="1">
      <c r="B17" s="72" t="str">
        <f>'Program Budget'!E19</f>
        <v>Partnerships and Investment Director</v>
      </c>
      <c r="C17" s="236">
        <f>'Program Budget'!H19</f>
        <v>8</v>
      </c>
      <c r="D17" s="73">
        <f>'Program Budget'!F19+'Program Budget'!F136+'Program Budget'!F174+'Program Budget'!F217+'Program Budget'!F276+'Program Budget'!F324+'Program Budget'!F378+'Program Budget'!F444+'Program Budget'!F490</f>
        <v>1</v>
      </c>
      <c r="E17" s="74">
        <f>'Program Budget'!J19+'Program Budget'!J136+'Program Budget'!J174+'Program Budget'!J217+'Program Budget'!J276+'Program Budget'!J324+'Program Budget'!J378+'Program Budget'!J444+'Program Budget'!J490</f>
        <v>30666.666666666672</v>
      </c>
      <c r="F17" s="236">
        <f>'Program Budget'!L19</f>
        <v>12</v>
      </c>
      <c r="G17" s="73">
        <f>'Program Budget'!K19+'Program Budget'!K136+'Program Budget'!K174+'Program Budget'!K217+'Program Budget'!K276+'Program Budget'!K324+'Program Budget'!K378+'Program Budget'!K444+'Program Budget'!K490</f>
        <v>1</v>
      </c>
      <c r="H17" s="74">
        <f>'Program Budget'!M19+'Program Budget'!M136+'Program Budget'!M174+'Program Budget'!M217+'Program Budget'!M276+'Program Budget'!M324+'Program Budget'!M378+'Program Budget'!M444+'Program Budget'!M490</f>
        <v>47840</v>
      </c>
      <c r="I17" s="236">
        <f>'Program Budget'!O19</f>
        <v>12</v>
      </c>
      <c r="J17" s="73">
        <f>'Program Budget'!N19+'Program Budget'!N136+'Program Budget'!N174+'Program Budget'!N217+'Program Budget'!N276+'Program Budget'!N324+'Program Budget'!N378+'Program Budget'!N444+'Program Budget'!N490</f>
        <v>1</v>
      </c>
      <c r="K17" s="74">
        <f>'Program Budget'!P19+'Program Budget'!P136+'Program Budget'!P174+'Program Budget'!P217+'Program Budget'!P276+'Program Budget'!P324+'Program Budget'!P378+'Program Budget'!P444+'Program Budget'!P490</f>
        <v>49753.600000000006</v>
      </c>
      <c r="L17" s="236">
        <f>'Program Budget'!R19</f>
        <v>12</v>
      </c>
      <c r="M17" s="73">
        <f>'Program Budget'!Q19+'Program Budget'!Q136+'Program Budget'!Q174+'Program Budget'!Q217+'Program Budget'!Q276+'Program Budget'!Q324+'Program Budget'!Q378+'Program Budget'!Q444+'Program Budget'!Q490</f>
        <v>1</v>
      </c>
      <c r="N17" s="74">
        <f>'Program Budget'!S19+'Program Budget'!S136+'Program Budget'!S174+'Program Budget'!S217+'Program Budget'!S276+'Program Budget'!S324+'Program Budget'!S378+'Program Budget'!S444+'Program Budget'!S490</f>
        <v>51743.744000000006</v>
      </c>
      <c r="O17" s="236">
        <f>'Program Budget'!U19</f>
        <v>9</v>
      </c>
      <c r="P17" s="73">
        <f>'Program Budget'!T19+'Program Budget'!T136+'Program Budget'!T174+'Program Budget'!T217+'Program Budget'!T276+'Program Budget'!T324+'Program Budget'!T378+'Program Budget'!T444+'Program Budget'!T490</f>
        <v>1</v>
      </c>
      <c r="Q17" s="74">
        <f>'Program Budget'!V19+'Program Budget'!V136+'Program Budget'!V174+'Program Budget'!V217+'Program Budget'!V276+'Program Budget'!V324+'Program Budget'!V378+'Program Budget'!V444+'Program Budget'!V490</f>
        <v>40360.120320000002</v>
      </c>
      <c r="R17" s="439">
        <f t="shared" si="0"/>
        <v>220364.13098666666</v>
      </c>
    </row>
    <row r="18" spans="2:18" s="58" customFormat="1" outlineLevel="1">
      <c r="B18" s="72" t="str">
        <f>'Program Budget'!E20</f>
        <v>Extension Agents (15)</v>
      </c>
      <c r="C18" s="236">
        <f>'Program Budget'!H20</f>
        <v>3</v>
      </c>
      <c r="D18" s="73">
        <f>'Program Budget'!F20+'Program Budget'!F137+'Program Budget'!F175+'Program Budget'!F218+'Program Budget'!F277+'Program Budget'!F325+'Program Budget'!F379+'Program Budget'!F445+'Program Budget'!F491</f>
        <v>1</v>
      </c>
      <c r="E18" s="74">
        <f>'Program Budget'!J20+'Program Budget'!J137+'Program Budget'!J175+'Program Budget'!J218+'Program Budget'!J277+'Program Budget'!J325+'Program Budget'!J379+'Program Budget'!J445+'Program Budget'!J491</f>
        <v>78750</v>
      </c>
      <c r="F18" s="236">
        <f>'Program Budget'!L20</f>
        <v>12</v>
      </c>
      <c r="G18" s="73">
        <f>'Program Budget'!K20+'Program Budget'!K137+'Program Budget'!K175+'Program Budget'!K218+'Program Budget'!K277+'Program Budget'!K325+'Program Budget'!K379+'Program Budget'!K445+'Program Budget'!K491</f>
        <v>1</v>
      </c>
      <c r="H18" s="74">
        <f>'Program Budget'!M20+'Program Budget'!M137+'Program Budget'!M175+'Program Budget'!M218+'Program Budget'!M277+'Program Budget'!M325+'Program Budget'!M379+'Program Budget'!M445+'Program Budget'!M491</f>
        <v>327600</v>
      </c>
      <c r="I18" s="236">
        <f>'Program Budget'!O20</f>
        <v>12</v>
      </c>
      <c r="J18" s="73">
        <f>'Program Budget'!N20+'Program Budget'!N137+'Program Budget'!N175+'Program Budget'!N218+'Program Budget'!N277+'Program Budget'!N325+'Program Budget'!N379+'Program Budget'!N445+'Program Budget'!N491</f>
        <v>1</v>
      </c>
      <c r="K18" s="74">
        <f>'Program Budget'!P20+'Program Budget'!P137+'Program Budget'!P175+'Program Budget'!P218+'Program Budget'!P277+'Program Budget'!P325+'Program Budget'!P379+'Program Budget'!P445+'Program Budget'!P491</f>
        <v>340704</v>
      </c>
      <c r="L18" s="236">
        <f>'Program Budget'!R20</f>
        <v>12</v>
      </c>
      <c r="M18" s="73">
        <f>'Program Budget'!Q20+'Program Budget'!Q137+'Program Budget'!Q175+'Program Budget'!Q218+'Program Budget'!Q277+'Program Budget'!Q325+'Program Budget'!Q379+'Program Budget'!Q445+'Program Budget'!Q491</f>
        <v>1</v>
      </c>
      <c r="N18" s="74">
        <f>'Program Budget'!S20+'Program Budget'!S137+'Program Budget'!S175+'Program Budget'!S218+'Program Budget'!S277+'Program Budget'!S325+'Program Budget'!S379+'Program Budget'!S445+'Program Budget'!S491</f>
        <v>354332.16000000003</v>
      </c>
      <c r="O18" s="236">
        <f>'Program Budget'!U20</f>
        <v>9</v>
      </c>
      <c r="P18" s="73">
        <f>'Program Budget'!T20+'Program Budget'!T137+'Program Budget'!T175+'Program Budget'!T218+'Program Budget'!T277+'Program Budget'!T325+'Program Budget'!T379+'Program Budget'!T445+'Program Budget'!T491</f>
        <v>1</v>
      </c>
      <c r="Q18" s="74">
        <f>'Program Budget'!V20+'Program Budget'!V137+'Program Budget'!V175+'Program Budget'!V218+'Program Budget'!V277+'Program Budget'!V325+'Program Budget'!V379+'Program Budget'!V445+'Program Budget'!V491</f>
        <v>276379.08480000001</v>
      </c>
      <c r="R18" s="439">
        <f t="shared" si="0"/>
        <v>1377765.2448000002</v>
      </c>
    </row>
    <row r="19" spans="2:18" s="58" customFormat="1" outlineLevel="1">
      <c r="B19" s="72" t="str">
        <f>'Program Budget'!E21</f>
        <v>Activity Lead Agribusiness Senior Specialist (Cacao)</v>
      </c>
      <c r="C19" s="236">
        <f>'Program Budget'!H21</f>
        <v>3</v>
      </c>
      <c r="D19" s="73">
        <f>'Program Budget'!F21+'Program Budget'!F138+'Program Budget'!F176+'Program Budget'!F219+'Program Budget'!F278+'Program Budget'!F326+'Program Budget'!F380+'Program Budget'!F446+'Program Budget'!F492</f>
        <v>1</v>
      </c>
      <c r="E19" s="74">
        <f>'Program Budget'!J21+'Program Budget'!J138+'Program Budget'!J176+'Program Budget'!J219+'Program Budget'!J278+'Program Budget'!J326+'Program Budget'!J380+'Program Budget'!J446+'Program Budget'!J492</f>
        <v>8500</v>
      </c>
      <c r="F19" s="236">
        <f>'Program Budget'!L21</f>
        <v>12</v>
      </c>
      <c r="G19" s="73">
        <f>'Program Budget'!K21+'Program Budget'!K138+'Program Budget'!K176+'Program Budget'!K219+'Program Budget'!K278+'Program Budget'!K326+'Program Budget'!K380+'Program Budget'!K446+'Program Budget'!K492</f>
        <v>1</v>
      </c>
      <c r="H19" s="74">
        <f>'Program Budget'!M21+'Program Budget'!M138+'Program Budget'!M176+'Program Budget'!M219+'Program Budget'!M278+'Program Budget'!M326+'Program Budget'!M380+'Program Budget'!M446+'Program Budget'!M492</f>
        <v>35360</v>
      </c>
      <c r="I19" s="236">
        <f>'Program Budget'!O21</f>
        <v>12</v>
      </c>
      <c r="J19" s="73">
        <f>'Program Budget'!N21+'Program Budget'!N138+'Program Budget'!N176+'Program Budget'!N219+'Program Budget'!N278+'Program Budget'!N326+'Program Budget'!N380+'Program Budget'!N446+'Program Budget'!N492</f>
        <v>1</v>
      </c>
      <c r="K19" s="74">
        <f>'Program Budget'!P21+'Program Budget'!P138+'Program Budget'!P176+'Program Budget'!P219+'Program Budget'!P278+'Program Budget'!P326+'Program Budget'!P380+'Program Budget'!P446+'Program Budget'!P492</f>
        <v>36774.400000000001</v>
      </c>
      <c r="L19" s="236">
        <f>'Program Budget'!R21</f>
        <v>12</v>
      </c>
      <c r="M19" s="73">
        <f>'Program Budget'!Q21+'Program Budget'!Q138+'Program Budget'!Q176+'Program Budget'!Q219+'Program Budget'!Q278+'Program Budget'!Q326+'Program Budget'!Q380+'Program Budget'!Q446+'Program Budget'!Q492</f>
        <v>1</v>
      </c>
      <c r="N19" s="74">
        <f>'Program Budget'!S21+'Program Budget'!S138+'Program Budget'!S176+'Program Budget'!S219+'Program Budget'!S278+'Program Budget'!S326+'Program Budget'!S380+'Program Budget'!S446+'Program Budget'!S492</f>
        <v>38245.376000000004</v>
      </c>
      <c r="O19" s="236">
        <f>'Program Budget'!U21</f>
        <v>9</v>
      </c>
      <c r="P19" s="73">
        <f>'Program Budget'!T21+'Program Budget'!T138+'Program Budget'!T176+'Program Budget'!T219+'Program Budget'!T278+'Program Budget'!T326+'Program Budget'!T380+'Program Budget'!T446+'Program Budget'!T492</f>
        <v>1</v>
      </c>
      <c r="Q19" s="74">
        <f>'Program Budget'!V21+'Program Budget'!V138+'Program Budget'!V176+'Program Budget'!V219+'Program Budget'!V278+'Program Budget'!V326+'Program Budget'!V380+'Program Budget'!V446+'Program Budget'!V492</f>
        <v>29831.39328</v>
      </c>
      <c r="R19" s="439">
        <f t="shared" si="0"/>
        <v>148711.16928</v>
      </c>
    </row>
    <row r="20" spans="2:18" s="75" customFormat="1" outlineLevel="1">
      <c r="B20" s="72" t="str">
        <f>'Program Budget'!E22</f>
        <v>Activity Lead Agribusiness Senior Specialist (Complementary Crop)</v>
      </c>
      <c r="C20" s="236">
        <f>'Program Budget'!H22</f>
        <v>3</v>
      </c>
      <c r="D20" s="73">
        <f>'Program Budget'!F22+'Program Budget'!F139+'Program Budget'!F177+'Program Budget'!F220+'Program Budget'!F279+'Program Budget'!F327+'Program Budget'!F381+'Program Budget'!F447+'Program Budget'!F493</f>
        <v>1</v>
      </c>
      <c r="E20" s="74">
        <f>'Program Budget'!J22+'Program Budget'!J139+'Program Budget'!J177+'Program Budget'!J220+'Program Budget'!J279+'Program Budget'!J327+'Program Budget'!J381+'Program Budget'!J447+'Program Budget'!J493</f>
        <v>8500</v>
      </c>
      <c r="F20" s="236">
        <f>'Program Budget'!L22</f>
        <v>12</v>
      </c>
      <c r="G20" s="73">
        <f>'Program Budget'!K22+'Program Budget'!K139+'Program Budget'!K177+'Program Budget'!K220+'Program Budget'!K279+'Program Budget'!K327+'Program Budget'!K381+'Program Budget'!K447+'Program Budget'!K493</f>
        <v>1</v>
      </c>
      <c r="H20" s="74">
        <f>'Program Budget'!M22+'Program Budget'!M139+'Program Budget'!M177+'Program Budget'!M220+'Program Budget'!M279+'Program Budget'!M327+'Program Budget'!M381+'Program Budget'!M447+'Program Budget'!M493</f>
        <v>35360</v>
      </c>
      <c r="I20" s="236">
        <f>'Program Budget'!O22</f>
        <v>12</v>
      </c>
      <c r="J20" s="73">
        <f>'Program Budget'!N22+'Program Budget'!N139+'Program Budget'!N177+'Program Budget'!N220+'Program Budget'!N279+'Program Budget'!N327+'Program Budget'!N381+'Program Budget'!N447+'Program Budget'!N493</f>
        <v>1</v>
      </c>
      <c r="K20" s="74">
        <f>'Program Budget'!P22+'Program Budget'!P139+'Program Budget'!P177+'Program Budget'!P220+'Program Budget'!P279+'Program Budget'!P327+'Program Budget'!P381+'Program Budget'!P447+'Program Budget'!P493</f>
        <v>36774.400000000001</v>
      </c>
      <c r="L20" s="236">
        <f>'Program Budget'!R22</f>
        <v>12</v>
      </c>
      <c r="M20" s="73">
        <f>'Program Budget'!Q22+'Program Budget'!Q139+'Program Budget'!Q177+'Program Budget'!Q220+'Program Budget'!Q279+'Program Budget'!Q327+'Program Budget'!Q381+'Program Budget'!Q447+'Program Budget'!Q493</f>
        <v>1</v>
      </c>
      <c r="N20" s="74">
        <f>'Program Budget'!S22+'Program Budget'!S139+'Program Budget'!S177+'Program Budget'!S220+'Program Budget'!S279+'Program Budget'!S327+'Program Budget'!S381+'Program Budget'!S447+'Program Budget'!S493</f>
        <v>38245.376000000004</v>
      </c>
      <c r="O20" s="236">
        <f>'Program Budget'!U22</f>
        <v>9</v>
      </c>
      <c r="P20" s="73">
        <f>'Program Budget'!T22+'Program Budget'!T139+'Program Budget'!T177+'Program Budget'!T220+'Program Budget'!T279+'Program Budget'!T327+'Program Budget'!T381+'Program Budget'!T447+'Program Budget'!T493</f>
        <v>1</v>
      </c>
      <c r="Q20" s="74">
        <f>'Program Budget'!V22+'Program Budget'!V139+'Program Budget'!V177+'Program Budget'!V220+'Program Budget'!V279+'Program Budget'!V327+'Program Budget'!V381+'Program Budget'!V447+'Program Budget'!V493</f>
        <v>29831.39328</v>
      </c>
      <c r="R20" s="439">
        <f t="shared" si="0"/>
        <v>148711.16928</v>
      </c>
    </row>
    <row r="21" spans="2:18" s="75" customFormat="1" outlineLevel="1">
      <c r="B21" s="72" t="str">
        <f>'Program Budget'!E23</f>
        <v xml:space="preserve">Food Safety Mid-Specialist </v>
      </c>
      <c r="C21" s="236">
        <f>'Program Budget'!H23</f>
        <v>3</v>
      </c>
      <c r="D21" s="73">
        <f>'Program Budget'!F23+'Program Budget'!F140+'Program Budget'!F178+'Program Budget'!F221+'Program Budget'!F280+'Program Budget'!F328+'Program Budget'!F382+'Program Budget'!F448+'Program Budget'!F494</f>
        <v>1</v>
      </c>
      <c r="E21" s="74">
        <f>'Program Budget'!J23+'Program Budget'!J140+'Program Budget'!J178+'Program Budget'!J221+'Program Budget'!J280+'Program Budget'!J328+'Program Budget'!J382+'Program Budget'!J448+'Program Budget'!J494</f>
        <v>8000</v>
      </c>
      <c r="F21" s="236">
        <f>'Program Budget'!L23</f>
        <v>12</v>
      </c>
      <c r="G21" s="73">
        <f>'Program Budget'!K23+'Program Budget'!K140+'Program Budget'!K178+'Program Budget'!K221+'Program Budget'!K280+'Program Budget'!K328+'Program Budget'!K382+'Program Budget'!K448+'Program Budget'!K494</f>
        <v>0.99999999999999989</v>
      </c>
      <c r="H21" s="74">
        <f>'Program Budget'!M23+'Program Budget'!M140+'Program Budget'!M178+'Program Budget'!M221+'Program Budget'!M280+'Program Budget'!M328+'Program Budget'!M382+'Program Budget'!M448+'Program Budget'!M494</f>
        <v>33280</v>
      </c>
      <c r="I21" s="236">
        <f>'Program Budget'!O23</f>
        <v>12</v>
      </c>
      <c r="J21" s="73">
        <f>'Program Budget'!N23+'Program Budget'!N140+'Program Budget'!N178+'Program Budget'!N221+'Program Budget'!N280+'Program Budget'!N328+'Program Budget'!N382+'Program Budget'!N448+'Program Budget'!N494</f>
        <v>1</v>
      </c>
      <c r="K21" s="74">
        <f>'Program Budget'!P23+'Program Budget'!P140+'Program Budget'!P178+'Program Budget'!P221+'Program Budget'!P280+'Program Budget'!P328+'Program Budget'!P382+'Program Budget'!P448+'Program Budget'!P494</f>
        <v>34611.199999999997</v>
      </c>
      <c r="L21" s="236">
        <f>'Program Budget'!R23</f>
        <v>12</v>
      </c>
      <c r="M21" s="73">
        <f>'Program Budget'!Q23+'Program Budget'!Q140+'Program Budget'!Q178+'Program Budget'!Q221+'Program Budget'!Q280+'Program Budget'!Q328+'Program Budget'!Q382+'Program Budget'!Q448+'Program Budget'!Q494</f>
        <v>1</v>
      </c>
      <c r="N21" s="74">
        <f>'Program Budget'!S23+'Program Budget'!S140+'Program Budget'!S178+'Program Budget'!S221+'Program Budget'!S280+'Program Budget'!S328+'Program Budget'!S382+'Program Budget'!S448+'Program Budget'!S494</f>
        <v>35995.648000000001</v>
      </c>
      <c r="O21" s="236">
        <f>'Program Budget'!U23</f>
        <v>9</v>
      </c>
      <c r="P21" s="73">
        <f>'Program Budget'!T23+'Program Budget'!T140+'Program Budget'!T178+'Program Budget'!T221+'Program Budget'!T280+'Program Budget'!T328+'Program Budget'!T382+'Program Budget'!T448+'Program Budget'!T494</f>
        <v>1</v>
      </c>
      <c r="Q21" s="74">
        <f>'Program Budget'!V23+'Program Budget'!V140+'Program Budget'!V178+'Program Budget'!V221+'Program Budget'!V280+'Program Budget'!V328+'Program Budget'!V382+'Program Budget'!V448+'Program Budget'!V494</f>
        <v>28076.605440000007</v>
      </c>
      <c r="R21" s="439">
        <f t="shared" si="0"/>
        <v>139963.45344000001</v>
      </c>
    </row>
    <row r="22" spans="2:18" s="58" customFormat="1" outlineLevel="1">
      <c r="B22" s="72" t="str">
        <f>'Program Budget'!E24</f>
        <v>Compliance Director</v>
      </c>
      <c r="C22" s="236">
        <f>'Program Budget'!H24</f>
        <v>8</v>
      </c>
      <c r="D22" s="73">
        <f>'Program Budget'!F24+'Program Budget'!F141+'Program Budget'!F179+'Program Budget'!F222+'Program Budget'!F281+'Program Budget'!F329+'Program Budget'!F383+'Program Budget'!F449+'Program Budget'!F495</f>
        <v>0.33333333333333331</v>
      </c>
      <c r="E22" s="74">
        <f>'Program Budget'!J24+'Program Budget'!J141+'Program Budget'!J179+'Program Budget'!J222+'Program Budget'!J281+'Program Budget'!J329+'Program Budget'!J383+'Program Budget'!J449+'Program Budget'!J495</f>
        <v>18222.222222222219</v>
      </c>
      <c r="F22" s="236">
        <f>'Program Budget'!L24</f>
        <v>12</v>
      </c>
      <c r="G22" s="73">
        <f>'Program Budget'!K24+'Program Budget'!K141+'Program Budget'!K179+'Program Budget'!K222+'Program Budget'!K281+'Program Budget'!K329+'Program Budget'!K383+'Program Budget'!K449+'Program Budget'!K495</f>
        <v>0.33333333333333331</v>
      </c>
      <c r="H22" s="74">
        <f>'Program Budget'!M24+'Program Budget'!M141+'Program Budget'!M179+'Program Budget'!M222+'Program Budget'!M281+'Program Budget'!M329+'Program Budget'!M383+'Program Budget'!M449+'Program Budget'!M495</f>
        <v>28426.666666666664</v>
      </c>
      <c r="I22" s="236">
        <f>'Program Budget'!O24</f>
        <v>12</v>
      </c>
      <c r="J22" s="73">
        <f>'Program Budget'!N24+'Program Budget'!N141+'Program Budget'!N179+'Program Budget'!N222+'Program Budget'!N281+'Program Budget'!N329+'Program Budget'!N383+'Program Budget'!N449+'Program Budget'!N495</f>
        <v>0.33333333333333331</v>
      </c>
      <c r="K22" s="74">
        <f>'Program Budget'!P24+'Program Budget'!P141+'Program Budget'!P179+'Program Budget'!P222+'Program Budget'!P281+'Program Budget'!P329+'Program Budget'!P383+'Program Budget'!P449+'Program Budget'!P495</f>
        <v>29563.733333333337</v>
      </c>
      <c r="L22" s="236">
        <f>'Program Budget'!R24</f>
        <v>12</v>
      </c>
      <c r="M22" s="73">
        <f>'Program Budget'!Q24+'Program Budget'!Q141+'Program Budget'!Q179+'Program Budget'!Q222+'Program Budget'!Q281+'Program Budget'!Q329+'Program Budget'!Q383+'Program Budget'!Q449+'Program Budget'!Q495</f>
        <v>0.33333333333333331</v>
      </c>
      <c r="N22" s="74">
        <f>'Program Budget'!S24+'Program Budget'!S141+'Program Budget'!S179+'Program Budget'!S222+'Program Budget'!S281+'Program Budget'!S329+'Program Budget'!S383+'Program Budget'!S449+'Program Budget'!S495</f>
        <v>30746.282666666673</v>
      </c>
      <c r="O22" s="236">
        <f>'Program Budget'!U24</f>
        <v>12</v>
      </c>
      <c r="P22" s="73">
        <f>'Program Budget'!T24+'Program Budget'!T141+'Program Budget'!T179+'Program Budget'!T222+'Program Budget'!T281+'Program Budget'!T329+'Program Budget'!T383+'Program Budget'!T449+'Program Budget'!T495</f>
        <v>0.33333333333333331</v>
      </c>
      <c r="Q22" s="74">
        <f>'Program Budget'!V24+'Program Budget'!V141+'Program Budget'!V179+'Program Budget'!V222+'Program Budget'!V281+'Program Budget'!V329+'Program Budget'!V383+'Program Budget'!V449+'Program Budget'!V495</f>
        <v>31976.133973333341</v>
      </c>
      <c r="R22" s="439">
        <f t="shared" si="0"/>
        <v>138935.03886222222</v>
      </c>
    </row>
    <row r="23" spans="2:18" s="58" customFormat="1" outlineLevel="1">
      <c r="B23" s="72" t="str">
        <f>'Program Budget'!E25</f>
        <v xml:space="preserve">Accountant </v>
      </c>
      <c r="C23" s="236">
        <f>'Program Budget'!H25</f>
        <v>3</v>
      </c>
      <c r="D23" s="73">
        <f>'Program Budget'!F25+'Program Budget'!F142+'Program Budget'!F180+'Program Budget'!F223+'Program Budget'!F282+'Program Budget'!F330+'Program Budget'!F384+'Program Budget'!F450+'Program Budget'!F496</f>
        <v>1</v>
      </c>
      <c r="E23" s="74">
        <f>'Program Budget'!J25</f>
        <v>5250</v>
      </c>
      <c r="F23" s="236">
        <f>'Program Budget'!L25</f>
        <v>12</v>
      </c>
      <c r="G23" s="73">
        <f>'Program Budget'!K25+'Program Budget'!K142+'Program Budget'!K180+'Program Budget'!K223+'Program Budget'!K282+'Program Budget'!K330+'Program Budget'!K384+'Program Budget'!K450+'Program Budget'!K496</f>
        <v>1</v>
      </c>
      <c r="H23" s="74">
        <f>'Program Budget'!M25</f>
        <v>21840</v>
      </c>
      <c r="I23" s="236">
        <f>'Program Budget'!O25</f>
        <v>12</v>
      </c>
      <c r="J23" s="73">
        <f>'Program Budget'!N25+'Program Budget'!N142+'Program Budget'!N180+'Program Budget'!N223+'Program Budget'!N282+'Program Budget'!N330+'Program Budget'!N384+'Program Budget'!N450+'Program Budget'!N496</f>
        <v>1</v>
      </c>
      <c r="K23" s="74">
        <f>'Program Budget'!P25</f>
        <v>22713.600000000002</v>
      </c>
      <c r="L23" s="236">
        <f>'Program Budget'!R25</f>
        <v>12</v>
      </c>
      <c r="M23" s="73">
        <f>'Program Budget'!Q25+'Program Budget'!Q142+'Program Budget'!Q180+'Program Budget'!Q223+'Program Budget'!Q282+'Program Budget'!Q330+'Program Budget'!Q384+'Program Budget'!Q450+'Program Budget'!Q496</f>
        <v>1</v>
      </c>
      <c r="N23" s="74">
        <f>'Program Budget'!S25</f>
        <v>23622.144000000004</v>
      </c>
      <c r="O23" s="236">
        <f>'Program Budget'!U25</f>
        <v>9</v>
      </c>
      <c r="P23" s="73">
        <f>'Program Budget'!T25+'Program Budget'!T142+'Program Budget'!T180+'Program Budget'!T223+'Program Budget'!T282+'Program Budget'!T330+'Program Budget'!T384+'Program Budget'!T450+'Program Budget'!T496</f>
        <v>1</v>
      </c>
      <c r="Q23" s="74">
        <f>'Program Budget'!V25</f>
        <v>18425.27232</v>
      </c>
      <c r="R23" s="439">
        <f t="shared" si="0"/>
        <v>91851.01632000001</v>
      </c>
    </row>
    <row r="24" spans="2:18" s="58" customFormat="1" outlineLevel="1">
      <c r="B24" s="72" t="str">
        <f>'Program Budget'!E26</f>
        <v xml:space="preserve">Administrative Assistant </v>
      </c>
      <c r="C24" s="236">
        <f>'Program Budget'!H26</f>
        <v>3</v>
      </c>
      <c r="D24" s="73">
        <f>'Program Budget'!F26+'Program Budget'!F143+'Program Budget'!F181+'Program Budget'!F224+'Program Budget'!F283+'Program Budget'!F331+'Program Budget'!F385+'Program Budget'!F451+'Program Budget'!F497</f>
        <v>1</v>
      </c>
      <c r="E24" s="74">
        <f>'Program Budget'!J26</f>
        <v>1875</v>
      </c>
      <c r="F24" s="236">
        <f>'Program Budget'!L26</f>
        <v>12</v>
      </c>
      <c r="G24" s="73">
        <f>'Program Budget'!K26+'Program Budget'!K143+'Program Budget'!K181+'Program Budget'!K224+'Program Budget'!K283+'Program Budget'!K331+'Program Budget'!K385+'Program Budget'!K451+'Program Budget'!K497</f>
        <v>1</v>
      </c>
      <c r="H24" s="74">
        <f>'Program Budget'!M26</f>
        <v>7800</v>
      </c>
      <c r="I24" s="236">
        <f>'Program Budget'!O26</f>
        <v>12</v>
      </c>
      <c r="J24" s="73">
        <f>'Program Budget'!N26+'Program Budget'!N143+'Program Budget'!N181+'Program Budget'!N224+'Program Budget'!N283+'Program Budget'!N331+'Program Budget'!N385+'Program Budget'!N451+'Program Budget'!N497</f>
        <v>1</v>
      </c>
      <c r="K24" s="74">
        <f>'Program Budget'!P26</f>
        <v>8112</v>
      </c>
      <c r="L24" s="236">
        <f>'Program Budget'!R26</f>
        <v>12</v>
      </c>
      <c r="M24" s="73">
        <f>'Program Budget'!Q26+'Program Budget'!Q143+'Program Budget'!Q181+'Program Budget'!Q224+'Program Budget'!Q283+'Program Budget'!Q331+'Program Budget'!Q385+'Program Budget'!Q451+'Program Budget'!Q497</f>
        <v>1</v>
      </c>
      <c r="N24" s="74">
        <f>'Program Budget'!S26</f>
        <v>8436.48</v>
      </c>
      <c r="O24" s="236">
        <f>'Program Budget'!U26</f>
        <v>9</v>
      </c>
      <c r="P24" s="73">
        <f>'Program Budget'!T26+'Program Budget'!T143+'Program Budget'!T181+'Program Budget'!T224+'Program Budget'!T283+'Program Budget'!T331+'Program Budget'!T385+'Program Budget'!T451+'Program Budget'!T497</f>
        <v>1</v>
      </c>
      <c r="Q24" s="74">
        <f>'Program Budget'!V26</f>
        <v>6580.4544000000005</v>
      </c>
      <c r="R24" s="439">
        <f t="shared" si="0"/>
        <v>32803.934399999998</v>
      </c>
    </row>
    <row r="25" spans="2:18" s="58" customFormat="1" outlineLevel="1">
      <c r="B25" s="72" t="str">
        <f>'Program Budget'!E27</f>
        <v>Driver</v>
      </c>
      <c r="C25" s="236">
        <f>'Program Budget'!H27</f>
        <v>3</v>
      </c>
      <c r="D25" s="73">
        <f>'Program Budget'!F27+'Program Budget'!F144+'Program Budget'!F182+'Program Budget'!F225+'Program Budget'!F284+'Program Budget'!F332+'Program Budget'!F386+'Program Budget'!F452+'Program Budget'!F498</f>
        <v>1</v>
      </c>
      <c r="E25" s="74">
        <f>'Program Budget'!J27</f>
        <v>3000</v>
      </c>
      <c r="F25" s="236">
        <f>'Program Budget'!L27</f>
        <v>12</v>
      </c>
      <c r="G25" s="73">
        <f>'Program Budget'!K27+'Program Budget'!K144+'Program Budget'!K182+'Program Budget'!K225+'Program Budget'!K284+'Program Budget'!K332+'Program Budget'!K386+'Program Budget'!K452+'Program Budget'!K498</f>
        <v>1</v>
      </c>
      <c r="H25" s="74">
        <f>'Program Budget'!M27</f>
        <v>12480</v>
      </c>
      <c r="I25" s="236">
        <f>'Program Budget'!O27</f>
        <v>12</v>
      </c>
      <c r="J25" s="73">
        <f>'Program Budget'!N27+'Program Budget'!N144+'Program Budget'!N182+'Program Budget'!N225+'Program Budget'!N284+'Program Budget'!N332+'Program Budget'!N386+'Program Budget'!N452+'Program Budget'!N498</f>
        <v>1</v>
      </c>
      <c r="K25" s="74">
        <f>'Program Budget'!P27</f>
        <v>12979.2</v>
      </c>
      <c r="L25" s="236">
        <f>'Program Budget'!R27</f>
        <v>12</v>
      </c>
      <c r="M25" s="73">
        <f>'Program Budget'!Q27+'Program Budget'!Q144+'Program Budget'!Q182+'Program Budget'!Q225+'Program Budget'!Q284+'Program Budget'!Q332+'Program Budget'!Q386+'Program Budget'!Q452+'Program Budget'!Q498</f>
        <v>1</v>
      </c>
      <c r="N25" s="74">
        <f>'Program Budget'!S27</f>
        <v>13498.368</v>
      </c>
      <c r="O25" s="236">
        <f>'Program Budget'!U27</f>
        <v>9</v>
      </c>
      <c r="P25" s="73">
        <f>'Program Budget'!T27+'Program Budget'!T144+'Program Budget'!T182+'Program Budget'!T225+'Program Budget'!T284+'Program Budget'!T332+'Program Budget'!T386+'Program Budget'!T452+'Program Budget'!T498</f>
        <v>1</v>
      </c>
      <c r="Q25" s="74">
        <f>'Program Budget'!V27</f>
        <v>10528.72704</v>
      </c>
      <c r="R25" s="439">
        <f t="shared" si="0"/>
        <v>52486.295039999997</v>
      </c>
    </row>
    <row r="26" spans="2:18" s="58" customFormat="1" outlineLevel="1">
      <c r="B26" s="70" t="s">
        <v>697</v>
      </c>
      <c r="C26" s="235"/>
      <c r="D26" s="76"/>
      <c r="E26" s="76"/>
      <c r="F26" s="235"/>
      <c r="G26" s="76"/>
      <c r="H26" s="71"/>
      <c r="I26" s="235"/>
      <c r="J26" s="76"/>
      <c r="K26" s="76"/>
      <c r="L26" s="235"/>
      <c r="M26" s="76"/>
      <c r="N26" s="76"/>
      <c r="O26" s="235"/>
      <c r="P26" s="76"/>
      <c r="Q26" s="76"/>
      <c r="R26" s="440"/>
    </row>
    <row r="27" spans="2:18" s="58" customFormat="1" outlineLevel="1">
      <c r="B27" s="72" t="str">
        <f>'Program Budget'!E29</f>
        <v xml:space="preserve">Senior Director </v>
      </c>
      <c r="C27" s="236">
        <f>'Program Budget'!H29</f>
        <v>12</v>
      </c>
      <c r="D27" s="73">
        <f>'Program Budget'!F29</f>
        <v>0.2</v>
      </c>
      <c r="E27" s="74">
        <f>'Program Budget'!J29</f>
        <v>24000</v>
      </c>
      <c r="F27" s="236">
        <f>'Program Budget'!L29</f>
        <v>12</v>
      </c>
      <c r="G27" s="73">
        <v>0.2</v>
      </c>
      <c r="H27" s="74">
        <f>'Program Budget'!M29</f>
        <v>24960</v>
      </c>
      <c r="I27" s="236">
        <f>'Program Budget'!O29</f>
        <v>12</v>
      </c>
      <c r="J27" s="73">
        <v>0.2</v>
      </c>
      <c r="K27" s="74">
        <f>'Program Budget'!P29</f>
        <v>25958.400000000001</v>
      </c>
      <c r="L27" s="236">
        <f>'Program Budget'!R29</f>
        <v>12</v>
      </c>
      <c r="M27" s="73">
        <v>0.2</v>
      </c>
      <c r="N27" s="74">
        <f>'Program Budget'!S29</f>
        <v>26996.736000000001</v>
      </c>
      <c r="O27" s="236">
        <f>'Program Budget'!U29</f>
        <v>12</v>
      </c>
      <c r="P27" s="73">
        <v>0.2</v>
      </c>
      <c r="Q27" s="74">
        <f>'Program Budget'!V29</f>
        <v>28076.605440000003</v>
      </c>
      <c r="R27" s="439">
        <f t="shared" ref="R27" si="1">E27+H27+K27+N27+Q27</f>
        <v>129991.74144</v>
      </c>
    </row>
    <row r="28" spans="2:18" s="58" customFormat="1" outlineLevel="1">
      <c r="B28" s="72" t="str">
        <f>'Program Budget'!E30</f>
        <v xml:space="preserve">HQ Senior Program Officer </v>
      </c>
      <c r="C28" s="236">
        <f>'Program Budget'!H30</f>
        <v>12</v>
      </c>
      <c r="D28" s="73">
        <f>'Program Budget'!F30</f>
        <v>1</v>
      </c>
      <c r="E28" s="74">
        <f>'Program Budget'!J30</f>
        <v>60000</v>
      </c>
      <c r="F28" s="236">
        <f>'Program Budget'!L30</f>
        <v>12</v>
      </c>
      <c r="G28" s="73">
        <f>'Program Budget'!K30</f>
        <v>1</v>
      </c>
      <c r="H28" s="74">
        <f>'Program Budget'!M30</f>
        <v>62400</v>
      </c>
      <c r="I28" s="236">
        <f>'Program Budget'!O30</f>
        <v>12</v>
      </c>
      <c r="J28" s="73">
        <f>'Program Budget'!N30</f>
        <v>1</v>
      </c>
      <c r="K28" s="74">
        <f>'Program Budget'!P30</f>
        <v>64896</v>
      </c>
      <c r="L28" s="236">
        <f>'Program Budget'!R30</f>
        <v>12</v>
      </c>
      <c r="M28" s="73">
        <f>'Program Budget'!Q30</f>
        <v>1</v>
      </c>
      <c r="N28" s="74">
        <f>'Program Budget'!S30</f>
        <v>67491.839999999997</v>
      </c>
      <c r="O28" s="236">
        <f>'Program Budget'!U30</f>
        <v>12</v>
      </c>
      <c r="P28" s="73">
        <f>'Program Budget'!T30</f>
        <v>1</v>
      </c>
      <c r="Q28" s="74">
        <f>'Program Budget'!V30</f>
        <v>70191.513600000006</v>
      </c>
      <c r="R28" s="439">
        <f t="shared" ref="R28" si="2">E28+H28+K28+N28+Q28</f>
        <v>324979.35360000003</v>
      </c>
    </row>
    <row r="29" spans="2:18" s="58" customFormat="1" outlineLevel="1">
      <c r="B29" s="77" t="s">
        <v>160</v>
      </c>
      <c r="C29" s="78"/>
      <c r="D29" s="78"/>
      <c r="E29" s="79">
        <f>SUM(E11:E28)</f>
        <v>529930.55555555562</v>
      </c>
      <c r="F29" s="78"/>
      <c r="G29" s="78"/>
      <c r="H29" s="79">
        <f>SUM(H11:H28)</f>
        <v>1022146.6666666666</v>
      </c>
      <c r="I29" s="78"/>
      <c r="J29" s="78"/>
      <c r="K29" s="79">
        <f>SUM(K11:K28)</f>
        <v>1063032.5333333332</v>
      </c>
      <c r="L29" s="78"/>
      <c r="M29" s="78"/>
      <c r="N29" s="79">
        <f>SUM(N11:N28)</f>
        <v>1105553.8346666668</v>
      </c>
      <c r="O29" s="78"/>
      <c r="P29" s="78"/>
      <c r="Q29" s="79">
        <f>SUM(Q11:Q28)</f>
        <v>986142.02197333332</v>
      </c>
      <c r="R29" s="79">
        <f>SUM(R11:R28)</f>
        <v>4706805.6121955561</v>
      </c>
    </row>
    <row r="31" spans="2:18">
      <c r="F31" s="312"/>
      <c r="H31" s="59"/>
      <c r="I31" s="312"/>
    </row>
    <row r="32" spans="2:18">
      <c r="F32" s="312"/>
      <c r="H32" s="59"/>
      <c r="I32" s="312"/>
    </row>
    <row r="33" spans="6:9">
      <c r="F33" s="312"/>
      <c r="H33" s="59"/>
      <c r="I33" s="312"/>
    </row>
    <row r="34" spans="6:9">
      <c r="F34" s="312"/>
      <c r="H34" s="59"/>
      <c r="I34" s="312"/>
    </row>
    <row r="35" spans="6:9">
      <c r="F35" s="312"/>
      <c r="H35" s="59"/>
      <c r="I35" s="312"/>
    </row>
    <row r="36" spans="6:9">
      <c r="F36" s="312"/>
      <c r="H36" s="59"/>
      <c r="I36" s="312"/>
    </row>
    <row r="37" spans="6:9">
      <c r="F37" s="312"/>
      <c r="H37" s="59"/>
      <c r="I37" s="312"/>
    </row>
    <row r="38" spans="6:9">
      <c r="F38" s="312"/>
      <c r="H38" s="59"/>
      <c r="I38" s="312"/>
    </row>
    <row r="39" spans="6:9">
      <c r="F39" s="312"/>
      <c r="H39" s="59"/>
      <c r="I39" s="312"/>
    </row>
    <row r="40" spans="6:9">
      <c r="F40" s="312"/>
      <c r="H40" s="59"/>
      <c r="I40" s="312"/>
    </row>
    <row r="41" spans="6:9">
      <c r="F41" s="312"/>
      <c r="H41" s="59"/>
      <c r="I41" s="312"/>
    </row>
    <row r="42" spans="6:9">
      <c r="F42" s="312"/>
      <c r="H42" s="59"/>
      <c r="I42" s="312"/>
    </row>
    <row r="43" spans="6:9">
      <c r="F43" s="312"/>
      <c r="H43" s="59"/>
      <c r="I43" s="312"/>
    </row>
    <row r="44" spans="6:9">
      <c r="F44" s="312"/>
      <c r="H44" s="59"/>
      <c r="I44" s="312"/>
    </row>
    <row r="45" spans="6:9">
      <c r="F45" s="312"/>
      <c r="H45" s="59"/>
      <c r="I45" s="312"/>
    </row>
    <row r="46" spans="6:9">
      <c r="F46" s="312"/>
      <c r="H46" s="59"/>
      <c r="I46" s="312"/>
    </row>
    <row r="47" spans="6:9">
      <c r="F47" s="312"/>
      <c r="H47" s="59"/>
      <c r="I47" s="312"/>
    </row>
    <row r="48" spans="6:9">
      <c r="F48" s="312"/>
      <c r="I48" s="312"/>
    </row>
  </sheetData>
  <mergeCells count="5">
    <mergeCell ref="B1:R1"/>
    <mergeCell ref="B2:R2"/>
    <mergeCell ref="B3:R3"/>
    <mergeCell ref="B4:R4"/>
    <mergeCell ref="B5:R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25"/>
  <sheetViews>
    <sheetView topLeftCell="D80" zoomScale="55" zoomScaleNormal="55" workbookViewId="0">
      <selection activeCell="G137" sqref="G137"/>
    </sheetView>
  </sheetViews>
  <sheetFormatPr defaultColWidth="8.71875" defaultRowHeight="12.6" outlineLevelRow="1"/>
  <cols>
    <col min="1" max="1" width="2.44140625" style="56" customWidth="1"/>
    <col min="2" max="2" width="52.1640625" style="57" bestFit="1" customWidth="1"/>
    <col min="3" max="3" width="5.71875" style="57" customWidth="1"/>
    <col min="4" max="4" width="13.71875" style="58" bestFit="1" customWidth="1"/>
    <col min="5" max="5" width="19.44140625" style="59" bestFit="1" customWidth="1"/>
    <col min="6" max="6" width="17.1640625" style="57" bestFit="1" customWidth="1"/>
    <col min="7" max="7" width="18.44140625" style="61" bestFit="1" customWidth="1"/>
    <col min="8" max="8" width="18.71875" style="57" bestFit="1" customWidth="1"/>
    <col min="9" max="9" width="22.71875" style="57" bestFit="1" customWidth="1"/>
    <col min="10" max="10" width="18.71875" style="61" customWidth="1"/>
    <col min="11" max="11" width="18.71875" style="57" bestFit="1" customWidth="1"/>
    <col min="12" max="12" width="18.71875" style="57" customWidth="1"/>
    <col min="13" max="13" width="9.44140625" style="57" bestFit="1" customWidth="1"/>
    <col min="14" max="16384" width="8.71875" style="56"/>
  </cols>
  <sheetData>
    <row r="1" spans="2:13" ht="13.5" customHeight="1">
      <c r="B1" s="552" t="s">
        <v>133</v>
      </c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</row>
    <row r="2" spans="2:13" ht="13.5" customHeight="1">
      <c r="B2" s="552" t="s">
        <v>134</v>
      </c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</row>
    <row r="3" spans="2:13">
      <c r="B3" s="552" t="s">
        <v>135</v>
      </c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</row>
    <row r="4" spans="2:13">
      <c r="B4" s="552" t="s">
        <v>136</v>
      </c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2:13">
      <c r="B5" s="552" t="s">
        <v>676</v>
      </c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</row>
    <row r="6" spans="2:13">
      <c r="B6" s="52"/>
      <c r="C6" s="52"/>
      <c r="D6" s="53"/>
      <c r="E6" s="53"/>
      <c r="F6" s="53"/>
      <c r="G6" s="52"/>
      <c r="H6" s="52"/>
      <c r="I6" s="52"/>
      <c r="J6" s="52"/>
      <c r="K6" s="52"/>
      <c r="L6" s="52"/>
      <c r="M6" s="52"/>
    </row>
    <row r="7" spans="2:13" ht="61.5">
      <c r="B7" s="55"/>
      <c r="C7" s="55"/>
      <c r="D7" s="62" t="s">
        <v>698</v>
      </c>
      <c r="E7" s="62" t="str">
        <f>'USDA Budget Summary'!A28</f>
        <v>Activity 1: Value Chain Development (Value Chain Analysis, Carbon Assessment, and Living Incomes)</v>
      </c>
      <c r="F7" s="62" t="str">
        <f>'USDA Budget Summary'!A29</f>
        <v>Activity 2: Producer Organization Development &amp; Commercialization</v>
      </c>
      <c r="G7" s="62" t="str">
        <f>'USDA Budget Summary'!A30</f>
        <v>Activity 3: Agriculture Extension and Production Support</v>
      </c>
      <c r="H7" s="62" t="str">
        <f>'USDA Budget Summary'!A31</f>
        <v>Activity 4: Post-Harvest Aggregation &amp; Processing</v>
      </c>
      <c r="I7" s="62" t="str">
        <f>'USDA Budget Summary'!A32</f>
        <v>Activity 5: Ensure Financial Service/ Capital Access for Actors in the Value Chains</v>
      </c>
      <c r="J7" s="62" t="str">
        <f>'USDA Budget Summary'!A33</f>
        <v>Activity 6: Innovation and Job Creation Through Youth Engagement</v>
      </c>
      <c r="K7" s="62" t="str">
        <f>'USDA Budget Summary'!A34</f>
        <v>Activity 7: Establishment of Regional Community of Practice</v>
      </c>
      <c r="L7" s="62" t="str">
        <f>'USDA Budget Summary'!A35</f>
        <v>Activity 8: Financial Services: Endowment Establishment, Fundraising and Management</v>
      </c>
      <c r="M7" s="62" t="s">
        <v>699</v>
      </c>
    </row>
    <row r="8" spans="2:13" s="67" customFormat="1" ht="12.3">
      <c r="B8" s="64" t="s">
        <v>700</v>
      </c>
      <c r="C8" s="64"/>
      <c r="D8" s="65" t="s">
        <v>693</v>
      </c>
      <c r="E8" s="65" t="s">
        <v>693</v>
      </c>
      <c r="F8" s="65" t="s">
        <v>694</v>
      </c>
      <c r="G8" s="65" t="s">
        <v>694</v>
      </c>
      <c r="H8" s="65" t="s">
        <v>694</v>
      </c>
      <c r="I8" s="65" t="s">
        <v>694</v>
      </c>
      <c r="J8" s="65" t="s">
        <v>694</v>
      </c>
      <c r="K8" s="65" t="s">
        <v>694</v>
      </c>
      <c r="L8" s="65" t="s">
        <v>694</v>
      </c>
      <c r="M8" s="65" t="s">
        <v>694</v>
      </c>
    </row>
    <row r="9" spans="2:13" s="58" customFormat="1">
      <c r="B9" s="68" t="s">
        <v>695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2:13" s="58" customFormat="1" outlineLevel="1">
      <c r="B10" s="70" t="s">
        <v>696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</row>
    <row r="11" spans="2:13" s="58" customFormat="1" outlineLevel="1">
      <c r="B11" s="72" t="str">
        <f>'Program Budget'!E13</f>
        <v xml:space="preserve">Key Personnel: Chief of Party </v>
      </c>
      <c r="C11" s="72"/>
      <c r="D11" s="73">
        <v>0.15</v>
      </c>
      <c r="E11" s="73">
        <v>0.25</v>
      </c>
      <c r="F11" s="73">
        <v>0.15</v>
      </c>
      <c r="G11" s="73">
        <v>0.1</v>
      </c>
      <c r="H11" s="73">
        <v>0.1</v>
      </c>
      <c r="I11" s="73">
        <v>0.15</v>
      </c>
      <c r="J11" s="80"/>
      <c r="K11" s="73">
        <v>0.1</v>
      </c>
      <c r="L11" s="80"/>
      <c r="M11" s="73">
        <f t="shared" ref="M11:M24" si="0">SUM(D11:L11)</f>
        <v>1</v>
      </c>
    </row>
    <row r="12" spans="2:13" s="58" customFormat="1" outlineLevel="1">
      <c r="B12" s="72" t="str">
        <f>'Program Budget'!E14</f>
        <v>Key Personnel: Technical Director</v>
      </c>
      <c r="C12" s="72"/>
      <c r="D12" s="73">
        <v>0.1</v>
      </c>
      <c r="E12" s="73">
        <v>0.25</v>
      </c>
      <c r="F12" s="73">
        <v>0.25</v>
      </c>
      <c r="G12" s="73">
        <v>0.2</v>
      </c>
      <c r="H12" s="73">
        <v>0.2</v>
      </c>
      <c r="I12" s="80"/>
      <c r="J12" s="80"/>
      <c r="K12" s="80"/>
      <c r="L12" s="80"/>
      <c r="M12" s="73">
        <f t="shared" si="0"/>
        <v>1</v>
      </c>
    </row>
    <row r="13" spans="2:13" s="58" customFormat="1" outlineLevel="1">
      <c r="B13" s="72" t="str">
        <f>'Program Budget'!E15</f>
        <v xml:space="preserve">F&amp;A Director </v>
      </c>
      <c r="C13" s="72"/>
      <c r="D13" s="73">
        <v>1</v>
      </c>
      <c r="E13" s="73"/>
      <c r="F13" s="73"/>
      <c r="G13" s="73"/>
      <c r="H13" s="73"/>
      <c r="I13" s="80"/>
      <c r="J13" s="80"/>
      <c r="K13" s="80"/>
      <c r="L13" s="80"/>
      <c r="M13" s="73">
        <f t="shared" si="0"/>
        <v>1</v>
      </c>
    </row>
    <row r="14" spans="2:13" s="58" customFormat="1" outlineLevel="1">
      <c r="B14" s="72" t="str">
        <f>'Program Budget'!E16</f>
        <v xml:space="preserve">M&amp;E Director </v>
      </c>
      <c r="C14" s="72"/>
      <c r="D14" s="73">
        <v>0.25</v>
      </c>
      <c r="E14" s="73">
        <v>0.25</v>
      </c>
      <c r="F14" s="73">
        <v>0.2</v>
      </c>
      <c r="G14" s="73">
        <v>0.15</v>
      </c>
      <c r="H14" s="73">
        <v>0.15</v>
      </c>
      <c r="I14" s="80"/>
      <c r="J14" s="80"/>
      <c r="K14" s="80"/>
      <c r="L14" s="80"/>
      <c r="M14" s="73">
        <f t="shared" si="0"/>
        <v>1</v>
      </c>
    </row>
    <row r="15" spans="2:13" s="58" customFormat="1" outlineLevel="1">
      <c r="B15" s="72" t="str">
        <f>'Program Budget'!E17</f>
        <v>M&amp;E Mid-level Specialist</v>
      </c>
      <c r="C15" s="72"/>
      <c r="D15" s="73">
        <v>0.25</v>
      </c>
      <c r="E15" s="73">
        <v>0.25</v>
      </c>
      <c r="F15" s="73">
        <v>0.2</v>
      </c>
      <c r="G15" s="73">
        <v>0.15</v>
      </c>
      <c r="H15" s="73">
        <v>0.15</v>
      </c>
      <c r="I15" s="80"/>
      <c r="J15" s="80"/>
      <c r="K15" s="80"/>
      <c r="L15" s="80"/>
      <c r="M15" s="73">
        <f t="shared" si="0"/>
        <v>1</v>
      </c>
    </row>
    <row r="16" spans="2:13" s="58" customFormat="1" outlineLevel="1">
      <c r="B16" s="72" t="str">
        <f>'Program Budget'!E18</f>
        <v>M&amp;E Specialist</v>
      </c>
      <c r="C16" s="72"/>
      <c r="D16" s="73">
        <v>0.25</v>
      </c>
      <c r="E16" s="73">
        <v>0.25</v>
      </c>
      <c r="F16" s="73">
        <v>0.2</v>
      </c>
      <c r="G16" s="73">
        <v>0.15</v>
      </c>
      <c r="H16" s="73">
        <v>0.15</v>
      </c>
      <c r="I16" s="80"/>
      <c r="J16" s="80"/>
      <c r="K16" s="80"/>
      <c r="L16" s="80"/>
      <c r="M16" s="73">
        <f t="shared" si="0"/>
        <v>1</v>
      </c>
    </row>
    <row r="17" spans="2:13" s="58" customFormat="1" outlineLevel="1">
      <c r="B17" s="72" t="str">
        <f>'Program Budget'!E19</f>
        <v>Partnerships and Investment Director</v>
      </c>
      <c r="C17" s="72"/>
      <c r="D17" s="73">
        <v>0.05</v>
      </c>
      <c r="E17" s="73"/>
      <c r="F17" s="73"/>
      <c r="G17" s="73"/>
      <c r="H17" s="73">
        <v>0.4</v>
      </c>
      <c r="I17" s="73">
        <v>0.55000000000000004</v>
      </c>
      <c r="J17" s="80"/>
      <c r="K17" s="80"/>
      <c r="L17" s="80"/>
      <c r="M17" s="73">
        <f t="shared" si="0"/>
        <v>1</v>
      </c>
    </row>
    <row r="18" spans="2:13" s="58" customFormat="1" outlineLevel="1">
      <c r="B18" s="72" t="str">
        <f>'Program Budget'!E20</f>
        <v>Extension Agents (15)</v>
      </c>
      <c r="C18" s="72"/>
      <c r="D18" s="73">
        <v>0</v>
      </c>
      <c r="E18" s="73"/>
      <c r="F18" s="73"/>
      <c r="G18" s="73">
        <v>0.8</v>
      </c>
      <c r="H18" s="73">
        <v>0.2</v>
      </c>
      <c r="I18" s="80"/>
      <c r="J18" s="80"/>
      <c r="K18" s="80"/>
      <c r="L18" s="80"/>
      <c r="M18" s="73">
        <f t="shared" si="0"/>
        <v>1</v>
      </c>
    </row>
    <row r="19" spans="2:13" s="58" customFormat="1" outlineLevel="1">
      <c r="B19" s="72" t="str">
        <f>'Program Budget'!E21</f>
        <v>Activity Lead Agribusiness Senior Specialist (Cacao)</v>
      </c>
      <c r="C19" s="72"/>
      <c r="D19" s="73">
        <v>0.1</v>
      </c>
      <c r="E19" s="73">
        <v>0.3</v>
      </c>
      <c r="F19" s="73">
        <v>0.1</v>
      </c>
      <c r="G19" s="73">
        <v>0.3</v>
      </c>
      <c r="H19" s="73">
        <v>0.2</v>
      </c>
      <c r="I19" s="80"/>
      <c r="J19" s="80"/>
      <c r="K19" s="80"/>
      <c r="L19" s="80"/>
      <c r="M19" s="73">
        <f t="shared" si="0"/>
        <v>1</v>
      </c>
    </row>
    <row r="20" spans="2:13" s="75" customFormat="1" outlineLevel="1">
      <c r="B20" s="72" t="str">
        <f>'Program Budget'!E22</f>
        <v>Activity Lead Agribusiness Senior Specialist (Complementary Crop)</v>
      </c>
      <c r="C20" s="72"/>
      <c r="D20" s="73">
        <v>0.1</v>
      </c>
      <c r="E20" s="73">
        <v>0.3</v>
      </c>
      <c r="F20" s="73">
        <v>0.1</v>
      </c>
      <c r="G20" s="73">
        <v>0.3</v>
      </c>
      <c r="H20" s="73">
        <v>0.2</v>
      </c>
      <c r="I20" s="80"/>
      <c r="J20" s="80"/>
      <c r="K20" s="80"/>
      <c r="L20" s="80"/>
      <c r="M20" s="73">
        <f t="shared" si="0"/>
        <v>1</v>
      </c>
    </row>
    <row r="21" spans="2:13" s="75" customFormat="1" outlineLevel="1">
      <c r="B21" s="72" t="str">
        <f>'Program Budget'!E23</f>
        <v xml:space="preserve">Food Safety Mid-Specialist </v>
      </c>
      <c r="C21" s="72"/>
      <c r="D21" s="73">
        <v>0.1</v>
      </c>
      <c r="E21" s="73">
        <v>0.1</v>
      </c>
      <c r="F21" s="73">
        <v>0.25</v>
      </c>
      <c r="G21" s="73">
        <v>0.1</v>
      </c>
      <c r="H21" s="73">
        <v>0.45</v>
      </c>
      <c r="I21" s="80"/>
      <c r="J21" s="80"/>
      <c r="K21" s="80"/>
      <c r="L21" s="80"/>
      <c r="M21" s="73">
        <f t="shared" si="0"/>
        <v>1</v>
      </c>
    </row>
    <row r="22" spans="2:13" s="58" customFormat="1" outlineLevel="1">
      <c r="B22" s="72" t="str">
        <f>'Program Budget'!E24</f>
        <v>Compliance Director</v>
      </c>
      <c r="C22" s="72"/>
      <c r="D22" s="73">
        <f>1/3</f>
        <v>0.33333333333333331</v>
      </c>
      <c r="E22" s="73"/>
      <c r="F22" s="73"/>
      <c r="G22" s="73"/>
      <c r="H22" s="73"/>
      <c r="I22" s="80"/>
      <c r="J22" s="80"/>
      <c r="K22" s="80"/>
      <c r="L22" s="80"/>
      <c r="M22" s="73">
        <f t="shared" si="0"/>
        <v>0.33333333333333331</v>
      </c>
    </row>
    <row r="23" spans="2:13" s="58" customFormat="1" outlineLevel="1">
      <c r="B23" s="72" t="str">
        <f>'Program Budget'!E25</f>
        <v xml:space="preserve">Accountant </v>
      </c>
      <c r="C23" s="72"/>
      <c r="D23" s="73">
        <v>1</v>
      </c>
      <c r="E23" s="73"/>
      <c r="F23" s="73"/>
      <c r="G23" s="73"/>
      <c r="H23" s="73"/>
      <c r="I23" s="80"/>
      <c r="J23" s="80"/>
      <c r="K23" s="80"/>
      <c r="L23" s="80"/>
      <c r="M23" s="73">
        <f t="shared" si="0"/>
        <v>1</v>
      </c>
    </row>
    <row r="24" spans="2:13" s="58" customFormat="1" outlineLevel="1">
      <c r="B24" s="72" t="str">
        <f>'Program Budget'!E26</f>
        <v xml:space="preserve">Administrative Assistant </v>
      </c>
      <c r="C24" s="72"/>
      <c r="D24" s="73">
        <v>0.5</v>
      </c>
      <c r="E24" s="73"/>
      <c r="F24" s="73"/>
      <c r="G24" s="73"/>
      <c r="H24" s="73"/>
      <c r="I24" s="80"/>
      <c r="J24" s="80"/>
      <c r="K24" s="73">
        <v>0.5</v>
      </c>
      <c r="L24" s="80"/>
      <c r="M24" s="73">
        <f t="shared" si="0"/>
        <v>1</v>
      </c>
    </row>
    <row r="25" spans="2:13" s="58" customFormat="1" outlineLevel="1">
      <c r="B25" s="72" t="str">
        <f>'Program Budget'!E27</f>
        <v>Driver</v>
      </c>
      <c r="C25" s="72"/>
      <c r="D25" s="73">
        <v>1</v>
      </c>
      <c r="E25" s="73"/>
      <c r="F25" s="73"/>
      <c r="G25" s="73"/>
      <c r="H25" s="73"/>
      <c r="I25" s="80"/>
      <c r="J25" s="80"/>
      <c r="K25" s="80"/>
      <c r="L25" s="80"/>
      <c r="M25" s="73">
        <f t="shared" ref="M25" si="1">SUM(D25:L25)</f>
        <v>1</v>
      </c>
    </row>
    <row r="26" spans="2:13" s="58" customFormat="1" outlineLevel="1">
      <c r="B26" s="70" t="s">
        <v>697</v>
      </c>
      <c r="C26" s="70"/>
      <c r="D26" s="76"/>
      <c r="E26" s="76"/>
      <c r="F26" s="76"/>
      <c r="G26" s="76"/>
      <c r="H26" s="76"/>
      <c r="I26" s="76"/>
      <c r="J26" s="76"/>
      <c r="K26" s="76"/>
      <c r="L26" s="76"/>
      <c r="M26" s="76"/>
    </row>
    <row r="27" spans="2:13" s="58" customFormat="1" outlineLevel="1">
      <c r="B27" s="72" t="str">
        <f>'Program Budget'!E29</f>
        <v xml:space="preserve">Senior Director </v>
      </c>
      <c r="C27" s="72"/>
      <c r="D27" s="73">
        <v>0.2</v>
      </c>
      <c r="E27" s="73"/>
      <c r="F27" s="73"/>
      <c r="G27" s="73"/>
      <c r="H27" s="73"/>
      <c r="I27" s="73"/>
      <c r="J27" s="73"/>
      <c r="K27" s="73"/>
      <c r="L27" s="73"/>
      <c r="M27" s="73">
        <f>SUM(D27:L27)</f>
        <v>0.2</v>
      </c>
    </row>
    <row r="28" spans="2:13" s="58" customFormat="1" outlineLevel="1">
      <c r="B28" s="72" t="str">
        <f>'Program Budget'!E30</f>
        <v xml:space="preserve">HQ Senior Program Officer </v>
      </c>
      <c r="C28" s="72"/>
      <c r="D28" s="73">
        <v>1</v>
      </c>
      <c r="E28" s="73"/>
      <c r="F28" s="73"/>
      <c r="G28" s="73"/>
      <c r="H28" s="73"/>
      <c r="I28" s="73"/>
      <c r="J28" s="73"/>
      <c r="K28" s="73"/>
      <c r="L28" s="73"/>
      <c r="M28" s="73">
        <f>SUM(D28:L28)</f>
        <v>1</v>
      </c>
    </row>
    <row r="29" spans="2:13" s="58" customFormat="1" outlineLevel="1">
      <c r="B29" s="77" t="s">
        <v>160</v>
      </c>
      <c r="C29" s="77"/>
      <c r="D29" s="78"/>
      <c r="E29" s="78"/>
      <c r="F29" s="78"/>
      <c r="G29" s="78"/>
      <c r="H29" s="78"/>
      <c r="I29" s="78"/>
      <c r="J29" s="78"/>
      <c r="K29" s="78"/>
      <c r="L29" s="78"/>
      <c r="M29" s="78"/>
    </row>
    <row r="30" spans="2:13">
      <c r="D30" s="61"/>
      <c r="E30" s="57"/>
      <c r="G30" s="57"/>
      <c r="H30" s="61"/>
      <c r="J30" s="57"/>
      <c r="M30" s="61"/>
    </row>
    <row r="31" spans="2:13" ht="61.5">
      <c r="B31" s="55"/>
      <c r="C31" s="55"/>
      <c r="D31" s="62" t="s">
        <v>698</v>
      </c>
      <c r="E31" s="62" t="str">
        <f>'USDA Budget Summary'!A28</f>
        <v>Activity 1: Value Chain Development (Value Chain Analysis, Carbon Assessment, and Living Incomes)</v>
      </c>
      <c r="F31" s="62" t="str">
        <f>'USDA Budget Summary'!A29</f>
        <v>Activity 2: Producer Organization Development &amp; Commercialization</v>
      </c>
      <c r="G31" s="62" t="str">
        <f>'USDA Budget Summary'!A30</f>
        <v>Activity 3: Agriculture Extension and Production Support</v>
      </c>
      <c r="H31" s="62" t="str">
        <f>'USDA Budget Summary'!A31</f>
        <v>Activity 4: Post-Harvest Aggregation &amp; Processing</v>
      </c>
      <c r="I31" s="62" t="str">
        <f>'USDA Budget Summary'!A32</f>
        <v>Activity 5: Ensure Financial Service/ Capital Access for Actors in the Value Chains</v>
      </c>
      <c r="J31" s="62" t="str">
        <f>'USDA Budget Summary'!A33</f>
        <v>Activity 6: Innovation and Job Creation Through Youth Engagement</v>
      </c>
      <c r="K31" s="62" t="str">
        <f>'USDA Budget Summary'!A34</f>
        <v>Activity 7: Establishment of Regional Community of Practice</v>
      </c>
      <c r="L31" s="62" t="str">
        <f>'USDA Budget Summary'!A35</f>
        <v>Activity 8: Financial Services: Endowment Establishment, Fundraising and Management</v>
      </c>
      <c r="M31" s="62" t="s">
        <v>699</v>
      </c>
    </row>
    <row r="32" spans="2:13" s="67" customFormat="1" ht="12.3">
      <c r="B32" s="64" t="s">
        <v>701</v>
      </c>
      <c r="C32" s="64"/>
      <c r="D32" s="65" t="s">
        <v>693</v>
      </c>
      <c r="E32" s="65" t="s">
        <v>693</v>
      </c>
      <c r="F32" s="65" t="s">
        <v>694</v>
      </c>
      <c r="G32" s="65" t="s">
        <v>694</v>
      </c>
      <c r="H32" s="65" t="s">
        <v>694</v>
      </c>
      <c r="I32" s="65" t="s">
        <v>694</v>
      </c>
      <c r="J32" s="65" t="s">
        <v>694</v>
      </c>
      <c r="K32" s="65" t="s">
        <v>694</v>
      </c>
      <c r="L32" s="65" t="s">
        <v>694</v>
      </c>
      <c r="M32" s="65" t="s">
        <v>694</v>
      </c>
    </row>
    <row r="33" spans="2:13" s="58" customFormat="1">
      <c r="B33" s="68" t="s">
        <v>695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</row>
    <row r="34" spans="2:13" s="58" customFormat="1" outlineLevel="1">
      <c r="B34" s="70" t="s">
        <v>696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</row>
    <row r="35" spans="2:13" s="58" customFormat="1" outlineLevel="1">
      <c r="B35" s="72" t="str">
        <f>'Program Budget'!E13</f>
        <v xml:space="preserve">Key Personnel: Chief of Party </v>
      </c>
      <c r="C35" s="72"/>
      <c r="D35" s="73">
        <v>0.1</v>
      </c>
      <c r="E35" s="73">
        <v>0.05</v>
      </c>
      <c r="F35" s="73">
        <v>0.15</v>
      </c>
      <c r="G35" s="73">
        <v>0.1</v>
      </c>
      <c r="H35" s="73">
        <v>0.1</v>
      </c>
      <c r="I35" s="73">
        <v>0.2</v>
      </c>
      <c r="J35" s="73">
        <v>0.1</v>
      </c>
      <c r="K35" s="73">
        <v>0.1</v>
      </c>
      <c r="L35" s="73">
        <v>0.1</v>
      </c>
      <c r="M35" s="73">
        <f t="shared" ref="M35:M48" si="2">SUM(D35:L35)</f>
        <v>0.99999999999999989</v>
      </c>
    </row>
    <row r="36" spans="2:13" s="58" customFormat="1" outlineLevel="1">
      <c r="B36" s="72" t="str">
        <f>'Program Budget'!E14</f>
        <v>Key Personnel: Technical Director</v>
      </c>
      <c r="C36" s="72"/>
      <c r="D36" s="73">
        <v>0.1</v>
      </c>
      <c r="E36" s="73">
        <v>0.1</v>
      </c>
      <c r="F36" s="73">
        <v>0.25</v>
      </c>
      <c r="G36" s="73">
        <v>0.2</v>
      </c>
      <c r="H36" s="73">
        <v>0.2</v>
      </c>
      <c r="I36" s="80"/>
      <c r="J36" s="73">
        <v>0.15</v>
      </c>
      <c r="K36" s="80"/>
      <c r="L36" s="80"/>
      <c r="M36" s="73">
        <f t="shared" si="2"/>
        <v>1</v>
      </c>
    </row>
    <row r="37" spans="2:13" s="58" customFormat="1" outlineLevel="1">
      <c r="B37" s="72" t="str">
        <f>'Program Budget'!E15</f>
        <v xml:space="preserve">F&amp;A Director </v>
      </c>
      <c r="C37" s="72"/>
      <c r="D37" s="73">
        <v>0.95</v>
      </c>
      <c r="E37" s="80"/>
      <c r="F37" s="73"/>
      <c r="G37" s="73"/>
      <c r="H37" s="73">
        <v>0.05</v>
      </c>
      <c r="I37" s="80"/>
      <c r="J37" s="73"/>
      <c r="K37" s="80"/>
      <c r="L37" s="80"/>
      <c r="M37" s="73">
        <f t="shared" si="2"/>
        <v>1</v>
      </c>
    </row>
    <row r="38" spans="2:13" s="58" customFormat="1" outlineLevel="1">
      <c r="B38" s="72" t="str">
        <f>'Program Budget'!E16</f>
        <v xml:space="preserve">M&amp;E Director </v>
      </c>
      <c r="C38" s="72"/>
      <c r="D38" s="73">
        <v>0.25</v>
      </c>
      <c r="E38" s="80"/>
      <c r="F38" s="73">
        <v>0.2</v>
      </c>
      <c r="G38" s="73">
        <v>0.2</v>
      </c>
      <c r="H38" s="73">
        <v>0.2</v>
      </c>
      <c r="I38" s="80"/>
      <c r="J38" s="73">
        <v>0.15</v>
      </c>
      <c r="K38" s="80"/>
      <c r="L38" s="80"/>
      <c r="M38" s="73">
        <f t="shared" si="2"/>
        <v>1</v>
      </c>
    </row>
    <row r="39" spans="2:13" s="58" customFormat="1" outlineLevel="1">
      <c r="B39" s="72" t="str">
        <f>'Program Budget'!E17</f>
        <v>M&amp;E Mid-level Specialist</v>
      </c>
      <c r="C39" s="72"/>
      <c r="D39" s="73">
        <v>0.25</v>
      </c>
      <c r="E39" s="80"/>
      <c r="F39" s="73">
        <v>0.2</v>
      </c>
      <c r="G39" s="73">
        <v>0.2</v>
      </c>
      <c r="H39" s="73">
        <v>0.2</v>
      </c>
      <c r="I39" s="80"/>
      <c r="J39" s="73">
        <v>0.15</v>
      </c>
      <c r="K39" s="80"/>
      <c r="L39" s="80"/>
      <c r="M39" s="73">
        <f t="shared" si="2"/>
        <v>1</v>
      </c>
    </row>
    <row r="40" spans="2:13" s="58" customFormat="1" outlineLevel="1">
      <c r="B40" s="72" t="str">
        <f>'Program Budget'!E18</f>
        <v>M&amp;E Specialist</v>
      </c>
      <c r="C40" s="72"/>
      <c r="D40" s="73">
        <v>0.25</v>
      </c>
      <c r="E40" s="80"/>
      <c r="F40" s="73">
        <v>0.2</v>
      </c>
      <c r="G40" s="73">
        <v>0.2</v>
      </c>
      <c r="H40" s="73">
        <v>0.2</v>
      </c>
      <c r="I40" s="80"/>
      <c r="J40" s="73">
        <v>0.15</v>
      </c>
      <c r="K40" s="80"/>
      <c r="L40" s="80"/>
      <c r="M40" s="73">
        <f t="shared" si="2"/>
        <v>1</v>
      </c>
    </row>
    <row r="41" spans="2:13" s="58" customFormat="1" outlineLevel="1">
      <c r="B41" s="72" t="str">
        <f>'Program Budget'!E19</f>
        <v>Partnerships and Investment Director</v>
      </c>
      <c r="C41" s="72"/>
      <c r="D41" s="73">
        <v>0.1</v>
      </c>
      <c r="E41" s="80"/>
      <c r="F41" s="73"/>
      <c r="G41" s="73"/>
      <c r="H41" s="73">
        <v>0.3</v>
      </c>
      <c r="I41" s="73">
        <v>0.4</v>
      </c>
      <c r="J41" s="73">
        <v>0.1</v>
      </c>
      <c r="K41" s="80"/>
      <c r="L41" s="73">
        <v>0.1</v>
      </c>
      <c r="M41" s="73">
        <f t="shared" si="2"/>
        <v>1</v>
      </c>
    </row>
    <row r="42" spans="2:13" s="58" customFormat="1" outlineLevel="1">
      <c r="B42" s="72" t="str">
        <f>'Program Budget'!E20</f>
        <v>Extension Agents (15)</v>
      </c>
      <c r="C42" s="72"/>
      <c r="D42" s="73">
        <v>0</v>
      </c>
      <c r="E42" s="80"/>
      <c r="F42" s="73"/>
      <c r="G42" s="73">
        <v>0.8</v>
      </c>
      <c r="H42" s="73">
        <v>0.2</v>
      </c>
      <c r="I42" s="80"/>
      <c r="J42" s="73"/>
      <c r="K42" s="80"/>
      <c r="L42" s="80"/>
      <c r="M42" s="73">
        <f t="shared" si="2"/>
        <v>1</v>
      </c>
    </row>
    <row r="43" spans="2:13" s="58" customFormat="1" outlineLevel="1">
      <c r="B43" s="72" t="str">
        <f>'Program Budget'!E21</f>
        <v>Activity Lead Agribusiness Senior Specialist (Cacao)</v>
      </c>
      <c r="C43" s="72"/>
      <c r="D43" s="73">
        <v>0.1</v>
      </c>
      <c r="E43" s="73">
        <v>0.05</v>
      </c>
      <c r="F43" s="73">
        <v>0.1</v>
      </c>
      <c r="G43" s="73">
        <v>0.35</v>
      </c>
      <c r="H43" s="73">
        <v>0.25</v>
      </c>
      <c r="I43" s="80"/>
      <c r="J43" s="73">
        <v>0.15</v>
      </c>
      <c r="K43" s="80"/>
      <c r="L43" s="80"/>
      <c r="M43" s="73">
        <f t="shared" si="2"/>
        <v>1</v>
      </c>
    </row>
    <row r="44" spans="2:13" s="75" customFormat="1" outlineLevel="1">
      <c r="B44" s="72" t="str">
        <f>'Program Budget'!E22</f>
        <v>Activity Lead Agribusiness Senior Specialist (Complementary Crop)</v>
      </c>
      <c r="C44" s="72"/>
      <c r="D44" s="73">
        <v>0.1</v>
      </c>
      <c r="E44" s="73">
        <v>0.05</v>
      </c>
      <c r="F44" s="73">
        <v>0.1</v>
      </c>
      <c r="G44" s="73">
        <v>0.35</v>
      </c>
      <c r="H44" s="73">
        <v>0.25</v>
      </c>
      <c r="I44" s="80"/>
      <c r="J44" s="73">
        <v>0.15</v>
      </c>
      <c r="K44" s="80"/>
      <c r="L44" s="80"/>
      <c r="M44" s="73">
        <f t="shared" si="2"/>
        <v>1</v>
      </c>
    </row>
    <row r="45" spans="2:13" s="75" customFormat="1" outlineLevel="1">
      <c r="B45" s="72" t="str">
        <f>'Program Budget'!E23</f>
        <v xml:space="preserve">Food Safety Mid-Specialist </v>
      </c>
      <c r="C45" s="72"/>
      <c r="D45" s="73">
        <v>0.1</v>
      </c>
      <c r="E45" s="80"/>
      <c r="F45" s="73">
        <v>0.25</v>
      </c>
      <c r="G45" s="73">
        <v>0.1</v>
      </c>
      <c r="H45" s="73">
        <v>0.45</v>
      </c>
      <c r="I45" s="80"/>
      <c r="J45" s="73">
        <v>0.1</v>
      </c>
      <c r="K45" s="80"/>
      <c r="L45" s="80"/>
      <c r="M45" s="73">
        <f t="shared" si="2"/>
        <v>0.99999999999999989</v>
      </c>
    </row>
    <row r="46" spans="2:13" s="58" customFormat="1" outlineLevel="1">
      <c r="B46" s="72" t="str">
        <f>'Program Budget'!E24</f>
        <v>Compliance Director</v>
      </c>
      <c r="C46" s="72"/>
      <c r="D46" s="73">
        <f>1/3</f>
        <v>0.33333333333333331</v>
      </c>
      <c r="E46" s="80"/>
      <c r="F46" s="73"/>
      <c r="G46" s="73"/>
      <c r="H46" s="73"/>
      <c r="I46" s="80"/>
      <c r="J46" s="73"/>
      <c r="K46" s="80"/>
      <c r="L46" s="80"/>
      <c r="M46" s="73">
        <f t="shared" si="2"/>
        <v>0.33333333333333331</v>
      </c>
    </row>
    <row r="47" spans="2:13" s="58" customFormat="1" outlineLevel="1">
      <c r="B47" s="72" t="str">
        <f>'Program Budget'!E25</f>
        <v xml:space="preserve">Accountant </v>
      </c>
      <c r="C47" s="72"/>
      <c r="D47" s="73">
        <v>1</v>
      </c>
      <c r="E47" s="80"/>
      <c r="F47" s="73"/>
      <c r="G47" s="73"/>
      <c r="H47" s="73"/>
      <c r="I47" s="80"/>
      <c r="J47" s="73"/>
      <c r="K47" s="80"/>
      <c r="L47" s="80"/>
      <c r="M47" s="73">
        <f t="shared" si="2"/>
        <v>1</v>
      </c>
    </row>
    <row r="48" spans="2:13" s="58" customFormat="1" outlineLevel="1">
      <c r="B48" s="72" t="str">
        <f>'Program Budget'!E26</f>
        <v xml:space="preserve">Administrative Assistant </v>
      </c>
      <c r="C48" s="72"/>
      <c r="D48" s="73">
        <v>0.5</v>
      </c>
      <c r="E48" s="80"/>
      <c r="F48" s="73"/>
      <c r="G48" s="73"/>
      <c r="H48" s="73"/>
      <c r="I48" s="80"/>
      <c r="J48" s="73"/>
      <c r="K48" s="73">
        <v>0.5</v>
      </c>
      <c r="L48" s="80"/>
      <c r="M48" s="73">
        <f t="shared" si="2"/>
        <v>1</v>
      </c>
    </row>
    <row r="49" spans="2:13" s="58" customFormat="1" outlineLevel="1">
      <c r="B49" s="72" t="str">
        <f>'Program Budget'!E27</f>
        <v>Driver</v>
      </c>
      <c r="C49" s="72"/>
      <c r="D49" s="73">
        <v>1</v>
      </c>
      <c r="E49" s="80"/>
      <c r="F49" s="73"/>
      <c r="G49" s="73"/>
      <c r="H49" s="73"/>
      <c r="I49" s="80"/>
      <c r="J49" s="73"/>
      <c r="K49" s="80"/>
      <c r="L49" s="80"/>
      <c r="M49" s="73">
        <f t="shared" ref="M49" si="3">SUM(D49:L49)</f>
        <v>1</v>
      </c>
    </row>
    <row r="50" spans="2:13" s="58" customFormat="1" outlineLevel="1">
      <c r="B50" s="70" t="s">
        <v>697</v>
      </c>
      <c r="C50" s="70"/>
      <c r="D50" s="76"/>
      <c r="E50" s="76"/>
      <c r="F50" s="76"/>
      <c r="G50" s="76"/>
      <c r="H50" s="76"/>
      <c r="I50" s="76"/>
      <c r="J50" s="76"/>
      <c r="K50" s="76"/>
      <c r="L50" s="76"/>
      <c r="M50" s="76"/>
    </row>
    <row r="51" spans="2:13" s="58" customFormat="1" outlineLevel="1">
      <c r="B51" s="72" t="str">
        <f>'Program Budget'!E29</f>
        <v xml:space="preserve">Senior Director </v>
      </c>
      <c r="C51" s="72"/>
      <c r="D51" s="73">
        <v>0.2</v>
      </c>
      <c r="E51" s="73"/>
      <c r="F51" s="73"/>
      <c r="G51" s="73"/>
      <c r="H51" s="73"/>
      <c r="I51" s="73"/>
      <c r="J51" s="73"/>
      <c r="K51" s="73"/>
      <c r="L51" s="73"/>
      <c r="M51" s="73">
        <f>SUM(D51:L51)</f>
        <v>0.2</v>
      </c>
    </row>
    <row r="52" spans="2:13" s="58" customFormat="1" outlineLevel="1">
      <c r="B52" s="72" t="str">
        <f>'Program Budget'!E30</f>
        <v xml:space="preserve">HQ Senior Program Officer </v>
      </c>
      <c r="C52" s="72"/>
      <c r="D52" s="73">
        <v>1</v>
      </c>
      <c r="E52" s="73"/>
      <c r="F52" s="73"/>
      <c r="G52" s="73"/>
      <c r="H52" s="73"/>
      <c r="I52" s="73"/>
      <c r="J52" s="73"/>
      <c r="K52" s="73"/>
      <c r="L52" s="73"/>
      <c r="M52" s="73">
        <f>SUM(D52:L52)</f>
        <v>1</v>
      </c>
    </row>
    <row r="53" spans="2:13" s="58" customFormat="1" outlineLevel="1">
      <c r="B53" s="77" t="s">
        <v>160</v>
      </c>
      <c r="C53" s="77"/>
      <c r="D53" s="78"/>
      <c r="E53" s="78"/>
      <c r="F53" s="78"/>
      <c r="G53" s="78"/>
      <c r="H53" s="78"/>
      <c r="I53" s="78"/>
      <c r="J53" s="78"/>
      <c r="K53" s="78"/>
      <c r="L53" s="78"/>
      <c r="M53" s="78"/>
    </row>
    <row r="54" spans="2:13">
      <c r="D54" s="61"/>
      <c r="E54" s="57"/>
      <c r="G54" s="57"/>
      <c r="H54" s="61"/>
      <c r="J54" s="57"/>
      <c r="M54" s="61"/>
    </row>
    <row r="55" spans="2:13" ht="61.5">
      <c r="B55" s="55"/>
      <c r="C55" s="55"/>
      <c r="D55" s="62" t="s">
        <v>698</v>
      </c>
      <c r="E55" s="62" t="str">
        <f>'USDA Budget Summary'!A28</f>
        <v>Activity 1: Value Chain Development (Value Chain Analysis, Carbon Assessment, and Living Incomes)</v>
      </c>
      <c r="F55" s="62" t="str">
        <f>'USDA Budget Summary'!A29</f>
        <v>Activity 2: Producer Organization Development &amp; Commercialization</v>
      </c>
      <c r="G55" s="62" t="str">
        <f>'USDA Budget Summary'!A30</f>
        <v>Activity 3: Agriculture Extension and Production Support</v>
      </c>
      <c r="H55" s="62" t="str">
        <f>'USDA Budget Summary'!A31</f>
        <v>Activity 4: Post-Harvest Aggregation &amp; Processing</v>
      </c>
      <c r="I55" s="62" t="str">
        <f>'USDA Budget Summary'!A32</f>
        <v>Activity 5: Ensure Financial Service/ Capital Access for Actors in the Value Chains</v>
      </c>
      <c r="J55" s="62" t="str">
        <f>'USDA Budget Summary'!A33</f>
        <v>Activity 6: Innovation and Job Creation Through Youth Engagement</v>
      </c>
      <c r="K55" s="62" t="str">
        <f>'USDA Budget Summary'!A34</f>
        <v>Activity 7: Establishment of Regional Community of Practice</v>
      </c>
      <c r="L55" s="62" t="str">
        <f>'USDA Budget Summary'!A35</f>
        <v>Activity 8: Financial Services: Endowment Establishment, Fundraising and Management</v>
      </c>
      <c r="M55" s="62" t="s">
        <v>699</v>
      </c>
    </row>
    <row r="56" spans="2:13" s="67" customFormat="1" ht="12.3">
      <c r="B56" s="64" t="s">
        <v>702</v>
      </c>
      <c r="C56" s="64"/>
      <c r="D56" s="65" t="s">
        <v>693</v>
      </c>
      <c r="E56" s="65" t="s">
        <v>693</v>
      </c>
      <c r="F56" s="65" t="s">
        <v>694</v>
      </c>
      <c r="G56" s="65" t="s">
        <v>694</v>
      </c>
      <c r="H56" s="65" t="s">
        <v>694</v>
      </c>
      <c r="I56" s="65" t="s">
        <v>694</v>
      </c>
      <c r="J56" s="65" t="s">
        <v>694</v>
      </c>
      <c r="K56" s="65" t="s">
        <v>694</v>
      </c>
      <c r="L56" s="65" t="s">
        <v>694</v>
      </c>
      <c r="M56" s="65" t="s">
        <v>694</v>
      </c>
    </row>
    <row r="57" spans="2:13" s="58" customFormat="1">
      <c r="B57" s="68" t="s">
        <v>695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spans="2:13" s="58" customFormat="1" outlineLevel="1">
      <c r="B58" s="70" t="s">
        <v>696</v>
      </c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spans="2:13" s="58" customFormat="1" outlineLevel="1">
      <c r="B59" s="72" t="str">
        <f>'Program Budget'!E13</f>
        <v xml:space="preserve">Key Personnel: Chief of Party </v>
      </c>
      <c r="C59" s="72"/>
      <c r="D59" s="73">
        <v>0.1</v>
      </c>
      <c r="E59" s="80"/>
      <c r="F59" s="73">
        <v>0.15</v>
      </c>
      <c r="G59" s="73">
        <v>0.1</v>
      </c>
      <c r="H59" s="73">
        <v>0.1</v>
      </c>
      <c r="I59" s="73">
        <v>0.2</v>
      </c>
      <c r="J59" s="73">
        <v>0.1</v>
      </c>
      <c r="K59" s="73">
        <v>0.15</v>
      </c>
      <c r="L59" s="73">
        <v>0.1</v>
      </c>
      <c r="M59" s="73">
        <f>SUM(D59:L59)</f>
        <v>0.99999999999999989</v>
      </c>
    </row>
    <row r="60" spans="2:13" s="58" customFormat="1" outlineLevel="1">
      <c r="B60" s="72" t="str">
        <f>'Program Budget'!E14</f>
        <v>Key Personnel: Technical Director</v>
      </c>
      <c r="C60" s="72"/>
      <c r="D60" s="73">
        <v>0.1</v>
      </c>
      <c r="E60" s="80"/>
      <c r="F60" s="73">
        <v>0.25</v>
      </c>
      <c r="G60" s="73">
        <v>0.2</v>
      </c>
      <c r="H60" s="73">
        <v>0.25</v>
      </c>
      <c r="I60" s="80"/>
      <c r="J60" s="73">
        <v>0.2</v>
      </c>
      <c r="K60" s="80"/>
      <c r="L60" s="80"/>
      <c r="M60" s="73">
        <f t="shared" ref="M60:M73" si="4">SUM(D60:L60)</f>
        <v>1</v>
      </c>
    </row>
    <row r="61" spans="2:13" s="58" customFormat="1" outlineLevel="1">
      <c r="B61" s="72" t="str">
        <f>'Program Budget'!E15</f>
        <v xml:space="preserve">F&amp;A Director </v>
      </c>
      <c r="C61" s="72"/>
      <c r="D61" s="73">
        <v>0.95</v>
      </c>
      <c r="E61" s="80"/>
      <c r="F61" s="73"/>
      <c r="G61" s="73"/>
      <c r="H61" s="73">
        <v>0.05</v>
      </c>
      <c r="I61" s="80"/>
      <c r="J61" s="73"/>
      <c r="K61" s="80"/>
      <c r="L61" s="80"/>
      <c r="M61" s="73">
        <f t="shared" si="4"/>
        <v>1</v>
      </c>
    </row>
    <row r="62" spans="2:13" s="58" customFormat="1" outlineLevel="1">
      <c r="B62" s="72" t="str">
        <f>'Program Budget'!E16</f>
        <v xml:space="preserve">M&amp;E Director </v>
      </c>
      <c r="C62" s="72"/>
      <c r="D62" s="73">
        <v>0.25</v>
      </c>
      <c r="E62" s="80"/>
      <c r="F62" s="73">
        <v>0.2</v>
      </c>
      <c r="G62" s="73">
        <v>0.2</v>
      </c>
      <c r="H62" s="73">
        <v>0.2</v>
      </c>
      <c r="I62" s="80"/>
      <c r="J62" s="73">
        <v>0.15</v>
      </c>
      <c r="K62" s="80"/>
      <c r="L62" s="80"/>
      <c r="M62" s="73">
        <f t="shared" si="4"/>
        <v>1</v>
      </c>
    </row>
    <row r="63" spans="2:13" s="58" customFormat="1" outlineLevel="1">
      <c r="B63" s="72" t="str">
        <f>'Program Budget'!E17</f>
        <v>M&amp;E Mid-level Specialist</v>
      </c>
      <c r="C63" s="72"/>
      <c r="D63" s="73">
        <v>0.25</v>
      </c>
      <c r="E63" s="80"/>
      <c r="F63" s="73">
        <v>0.2</v>
      </c>
      <c r="G63" s="73">
        <v>0.2</v>
      </c>
      <c r="H63" s="73">
        <v>0.2</v>
      </c>
      <c r="I63" s="80"/>
      <c r="J63" s="73">
        <v>0.15</v>
      </c>
      <c r="K63" s="80"/>
      <c r="L63" s="80"/>
      <c r="M63" s="73">
        <f t="shared" si="4"/>
        <v>1</v>
      </c>
    </row>
    <row r="64" spans="2:13" s="58" customFormat="1" outlineLevel="1">
      <c r="B64" s="72" t="str">
        <f>'Program Budget'!E18</f>
        <v>M&amp;E Specialist</v>
      </c>
      <c r="C64" s="72"/>
      <c r="D64" s="73">
        <v>0.25</v>
      </c>
      <c r="E64" s="80"/>
      <c r="F64" s="73">
        <v>0.2</v>
      </c>
      <c r="G64" s="73">
        <v>0.2</v>
      </c>
      <c r="H64" s="73">
        <v>0.2</v>
      </c>
      <c r="I64" s="80"/>
      <c r="J64" s="73">
        <v>0.15</v>
      </c>
      <c r="K64" s="80"/>
      <c r="L64" s="80"/>
      <c r="M64" s="73">
        <f t="shared" si="4"/>
        <v>1</v>
      </c>
    </row>
    <row r="65" spans="2:13" s="58" customFormat="1" outlineLevel="1">
      <c r="B65" s="72" t="str">
        <f>'Program Budget'!E19</f>
        <v>Partnerships and Investment Director</v>
      </c>
      <c r="C65" s="72"/>
      <c r="D65" s="73">
        <v>0.1</v>
      </c>
      <c r="E65" s="80"/>
      <c r="F65" s="73"/>
      <c r="G65" s="73"/>
      <c r="H65" s="73">
        <v>0.3</v>
      </c>
      <c r="I65" s="73">
        <v>0.4</v>
      </c>
      <c r="J65" s="73">
        <v>0.1</v>
      </c>
      <c r="K65" s="80"/>
      <c r="L65" s="73">
        <v>0.1</v>
      </c>
      <c r="M65" s="73">
        <f t="shared" si="4"/>
        <v>1</v>
      </c>
    </row>
    <row r="66" spans="2:13" s="58" customFormat="1" outlineLevel="1">
      <c r="B66" s="72" t="str">
        <f>'Program Budget'!E20</f>
        <v>Extension Agents (15)</v>
      </c>
      <c r="C66" s="72"/>
      <c r="D66" s="73">
        <v>0</v>
      </c>
      <c r="E66" s="80"/>
      <c r="F66" s="73"/>
      <c r="G66" s="73">
        <v>0.8</v>
      </c>
      <c r="H66" s="73">
        <v>0.2</v>
      </c>
      <c r="I66" s="80"/>
      <c r="J66" s="73"/>
      <c r="K66" s="80"/>
      <c r="L66" s="80"/>
      <c r="M66" s="73">
        <f t="shared" si="4"/>
        <v>1</v>
      </c>
    </row>
    <row r="67" spans="2:13" s="58" customFormat="1" outlineLevel="1">
      <c r="B67" s="72" t="str">
        <f>'Program Budget'!E21</f>
        <v>Activity Lead Agribusiness Senior Specialist (Cacao)</v>
      </c>
      <c r="C67" s="72"/>
      <c r="D67" s="73">
        <v>0.1</v>
      </c>
      <c r="E67" s="80"/>
      <c r="F67" s="73">
        <v>0.1</v>
      </c>
      <c r="G67" s="73">
        <v>0.35</v>
      </c>
      <c r="H67" s="73">
        <v>0.25</v>
      </c>
      <c r="I67" s="80"/>
      <c r="J67" s="73">
        <v>0.2</v>
      </c>
      <c r="K67" s="80"/>
      <c r="L67" s="80"/>
      <c r="M67" s="73">
        <f t="shared" si="4"/>
        <v>1</v>
      </c>
    </row>
    <row r="68" spans="2:13" s="75" customFormat="1" outlineLevel="1">
      <c r="B68" s="72" t="str">
        <f>'Program Budget'!E22</f>
        <v>Activity Lead Agribusiness Senior Specialist (Complementary Crop)</v>
      </c>
      <c r="C68" s="72"/>
      <c r="D68" s="73">
        <v>0.1</v>
      </c>
      <c r="E68" s="80"/>
      <c r="F68" s="73">
        <v>0.1</v>
      </c>
      <c r="G68" s="73">
        <v>0.35</v>
      </c>
      <c r="H68" s="73">
        <v>0.25</v>
      </c>
      <c r="I68" s="80"/>
      <c r="J68" s="73">
        <v>0.2</v>
      </c>
      <c r="K68" s="80"/>
      <c r="L68" s="80"/>
      <c r="M68" s="73">
        <f t="shared" si="4"/>
        <v>1</v>
      </c>
    </row>
    <row r="69" spans="2:13" s="75" customFormat="1" outlineLevel="1">
      <c r="B69" s="72" t="str">
        <f>'Program Budget'!E23</f>
        <v xml:space="preserve">Food Safety Mid-Specialist </v>
      </c>
      <c r="C69" s="72"/>
      <c r="D69" s="73">
        <v>0.1</v>
      </c>
      <c r="E69" s="80"/>
      <c r="F69" s="73">
        <v>0.2</v>
      </c>
      <c r="G69" s="73">
        <v>0.1</v>
      </c>
      <c r="H69" s="73">
        <v>0.4</v>
      </c>
      <c r="I69" s="80"/>
      <c r="J69" s="73">
        <v>0.2</v>
      </c>
      <c r="K69" s="80"/>
      <c r="L69" s="80"/>
      <c r="M69" s="73">
        <f t="shared" si="4"/>
        <v>1</v>
      </c>
    </row>
    <row r="70" spans="2:13" s="58" customFormat="1" outlineLevel="1">
      <c r="B70" s="72" t="str">
        <f>'Program Budget'!E24</f>
        <v>Compliance Director</v>
      </c>
      <c r="C70" s="72"/>
      <c r="D70" s="73">
        <f>1/3</f>
        <v>0.33333333333333331</v>
      </c>
      <c r="E70" s="80"/>
      <c r="F70" s="73"/>
      <c r="G70" s="73"/>
      <c r="H70" s="73"/>
      <c r="I70" s="80"/>
      <c r="J70" s="73"/>
      <c r="K70" s="80"/>
      <c r="L70" s="80"/>
      <c r="M70" s="73">
        <f t="shared" si="4"/>
        <v>0.33333333333333331</v>
      </c>
    </row>
    <row r="71" spans="2:13" s="58" customFormat="1" outlineLevel="1">
      <c r="B71" s="72" t="str">
        <f>'Program Budget'!E25</f>
        <v xml:space="preserve">Accountant </v>
      </c>
      <c r="C71" s="72"/>
      <c r="D71" s="73">
        <v>1</v>
      </c>
      <c r="E71" s="80"/>
      <c r="F71" s="73"/>
      <c r="G71" s="73"/>
      <c r="H71" s="73"/>
      <c r="I71" s="80"/>
      <c r="J71" s="73"/>
      <c r="K71" s="80"/>
      <c r="L71" s="80"/>
      <c r="M71" s="73">
        <f t="shared" si="4"/>
        <v>1</v>
      </c>
    </row>
    <row r="72" spans="2:13" s="58" customFormat="1" outlineLevel="1">
      <c r="B72" s="72" t="str">
        <f>'Program Budget'!E26</f>
        <v xml:space="preserve">Administrative Assistant </v>
      </c>
      <c r="C72" s="72"/>
      <c r="D72" s="73">
        <v>0.5</v>
      </c>
      <c r="E72" s="80"/>
      <c r="F72" s="73"/>
      <c r="G72" s="73"/>
      <c r="H72" s="73"/>
      <c r="I72" s="80"/>
      <c r="J72" s="73"/>
      <c r="K72" s="73">
        <v>0.5</v>
      </c>
      <c r="L72" s="80"/>
      <c r="M72" s="73">
        <f t="shared" si="4"/>
        <v>1</v>
      </c>
    </row>
    <row r="73" spans="2:13" s="58" customFormat="1" outlineLevel="1">
      <c r="B73" s="72" t="str">
        <f>'Program Budget'!E27</f>
        <v>Driver</v>
      </c>
      <c r="C73" s="72"/>
      <c r="D73" s="73">
        <v>1</v>
      </c>
      <c r="E73" s="80"/>
      <c r="F73" s="73"/>
      <c r="G73" s="73"/>
      <c r="H73" s="73"/>
      <c r="I73" s="80"/>
      <c r="J73" s="73"/>
      <c r="K73" s="80"/>
      <c r="L73" s="80"/>
      <c r="M73" s="73">
        <f t="shared" si="4"/>
        <v>1</v>
      </c>
    </row>
    <row r="74" spans="2:13" s="58" customFormat="1" outlineLevel="1">
      <c r="B74" s="70" t="s">
        <v>697</v>
      </c>
      <c r="C74" s="70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spans="2:13" s="58" customFormat="1" outlineLevel="1">
      <c r="B75" s="72" t="str">
        <f>'Program Budget'!E29</f>
        <v xml:space="preserve">Senior Director </v>
      </c>
      <c r="C75" s="72"/>
      <c r="D75" s="73">
        <v>0.2</v>
      </c>
      <c r="E75" s="73"/>
      <c r="F75" s="73"/>
      <c r="G75" s="73"/>
      <c r="H75" s="73"/>
      <c r="I75" s="73"/>
      <c r="J75" s="73"/>
      <c r="K75" s="73"/>
      <c r="L75" s="73"/>
      <c r="M75" s="73">
        <f>SUM(D75:L75)</f>
        <v>0.2</v>
      </c>
    </row>
    <row r="76" spans="2:13" s="58" customFormat="1" outlineLevel="1">
      <c r="B76" s="72" t="str">
        <f>'Program Budget'!E30</f>
        <v xml:space="preserve">HQ Senior Program Officer </v>
      </c>
      <c r="C76" s="72"/>
      <c r="D76" s="73">
        <v>1</v>
      </c>
      <c r="E76" s="73"/>
      <c r="F76" s="73"/>
      <c r="G76" s="73"/>
      <c r="H76" s="73"/>
      <c r="I76" s="73"/>
      <c r="J76" s="73"/>
      <c r="K76" s="73"/>
      <c r="L76" s="73"/>
      <c r="M76" s="73">
        <f>SUM(D76:L76)</f>
        <v>1</v>
      </c>
    </row>
    <row r="77" spans="2:13" s="58" customFormat="1" outlineLevel="1">
      <c r="B77" s="77" t="s">
        <v>160</v>
      </c>
      <c r="C77" s="77"/>
      <c r="D77" s="78"/>
      <c r="E77" s="78"/>
      <c r="F77" s="78"/>
      <c r="G77" s="78"/>
      <c r="H77" s="78"/>
      <c r="I77" s="78"/>
      <c r="J77" s="78"/>
      <c r="K77" s="78"/>
      <c r="L77" s="78"/>
      <c r="M77" s="78"/>
    </row>
    <row r="78" spans="2:13">
      <c r="D78" s="61"/>
      <c r="E78" s="57"/>
      <c r="G78" s="57"/>
      <c r="H78" s="61"/>
      <c r="J78" s="57"/>
      <c r="M78" s="61"/>
    </row>
    <row r="79" spans="2:13" ht="61.5">
      <c r="B79" s="55"/>
      <c r="C79" s="55"/>
      <c r="D79" s="62" t="s">
        <v>698</v>
      </c>
      <c r="E79" s="62" t="str">
        <f>'USDA Budget Summary'!A28</f>
        <v>Activity 1: Value Chain Development (Value Chain Analysis, Carbon Assessment, and Living Incomes)</v>
      </c>
      <c r="F79" s="62" t="str">
        <f>'USDA Budget Summary'!A29</f>
        <v>Activity 2: Producer Organization Development &amp; Commercialization</v>
      </c>
      <c r="G79" s="62" t="str">
        <f>'USDA Budget Summary'!A30</f>
        <v>Activity 3: Agriculture Extension and Production Support</v>
      </c>
      <c r="H79" s="62" t="str">
        <f>'USDA Budget Summary'!A31</f>
        <v>Activity 4: Post-Harvest Aggregation &amp; Processing</v>
      </c>
      <c r="I79" s="62" t="str">
        <f>'USDA Budget Summary'!A32</f>
        <v>Activity 5: Ensure Financial Service/ Capital Access for Actors in the Value Chains</v>
      </c>
      <c r="J79" s="62" t="str">
        <f>'USDA Budget Summary'!A33</f>
        <v>Activity 6: Innovation and Job Creation Through Youth Engagement</v>
      </c>
      <c r="K79" s="62" t="str">
        <f>'USDA Budget Summary'!A34</f>
        <v>Activity 7: Establishment of Regional Community of Practice</v>
      </c>
      <c r="L79" s="62" t="str">
        <f>'USDA Budget Summary'!A35</f>
        <v>Activity 8: Financial Services: Endowment Establishment, Fundraising and Management</v>
      </c>
      <c r="M79" s="62" t="s">
        <v>699</v>
      </c>
    </row>
    <row r="80" spans="2:13" s="67" customFormat="1" ht="12.3">
      <c r="B80" s="64" t="s">
        <v>703</v>
      </c>
      <c r="C80" s="64"/>
      <c r="D80" s="65" t="s">
        <v>693</v>
      </c>
      <c r="E80" s="65" t="s">
        <v>693</v>
      </c>
      <c r="F80" s="65" t="s">
        <v>694</v>
      </c>
      <c r="G80" s="65" t="s">
        <v>694</v>
      </c>
      <c r="H80" s="65" t="s">
        <v>694</v>
      </c>
      <c r="I80" s="65" t="s">
        <v>694</v>
      </c>
      <c r="J80" s="65" t="s">
        <v>694</v>
      </c>
      <c r="K80" s="65" t="s">
        <v>694</v>
      </c>
      <c r="L80" s="65" t="s">
        <v>694</v>
      </c>
      <c r="M80" s="65" t="s">
        <v>694</v>
      </c>
    </row>
    <row r="81" spans="2:13" s="58" customFormat="1">
      <c r="B81" s="68" t="s">
        <v>695</v>
      </c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</row>
    <row r="82" spans="2:13" s="58" customFormat="1" outlineLevel="1">
      <c r="B82" s="70" t="s">
        <v>696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</row>
    <row r="83" spans="2:13" s="58" customFormat="1" outlineLevel="1">
      <c r="B83" s="72" t="str">
        <f>'Program Budget'!E13</f>
        <v xml:space="preserve">Key Personnel: Chief of Party </v>
      </c>
      <c r="C83" s="72"/>
      <c r="D83" s="284">
        <v>0.1</v>
      </c>
      <c r="E83" s="341"/>
      <c r="F83" s="284">
        <v>0.15</v>
      </c>
      <c r="G83" s="284">
        <v>0.1</v>
      </c>
      <c r="H83" s="284">
        <v>0.1</v>
      </c>
      <c r="I83" s="284">
        <v>0.15</v>
      </c>
      <c r="J83" s="284">
        <v>0.05</v>
      </c>
      <c r="K83" s="73">
        <v>0.1</v>
      </c>
      <c r="L83" s="284">
        <v>0.25</v>
      </c>
      <c r="M83" s="73">
        <f t="shared" ref="M83:M96" si="5">SUM(D83:L83)</f>
        <v>1</v>
      </c>
    </row>
    <row r="84" spans="2:13" s="58" customFormat="1" outlineLevel="1">
      <c r="B84" s="72" t="str">
        <f>'Program Budget'!E14</f>
        <v>Key Personnel: Technical Director</v>
      </c>
      <c r="C84" s="72"/>
      <c r="D84" s="73">
        <v>0.1</v>
      </c>
      <c r="E84" s="80"/>
      <c r="F84" s="73">
        <v>0.25</v>
      </c>
      <c r="G84" s="73">
        <v>0.2</v>
      </c>
      <c r="H84" s="73">
        <v>0.25</v>
      </c>
      <c r="I84" s="80"/>
      <c r="J84" s="73">
        <v>0.2</v>
      </c>
      <c r="K84" s="80"/>
      <c r="L84" s="73">
        <v>0</v>
      </c>
      <c r="M84" s="73">
        <f t="shared" si="5"/>
        <v>1</v>
      </c>
    </row>
    <row r="85" spans="2:13" s="58" customFormat="1" outlineLevel="1">
      <c r="B85" s="72" t="str">
        <f>'Program Budget'!E15</f>
        <v xml:space="preserve">F&amp;A Director </v>
      </c>
      <c r="C85" s="72"/>
      <c r="D85" s="73">
        <v>0.5</v>
      </c>
      <c r="E85" s="80"/>
      <c r="F85" s="73"/>
      <c r="G85" s="73"/>
      <c r="H85" s="73">
        <v>0.05</v>
      </c>
      <c r="I85" s="80"/>
      <c r="J85" s="73">
        <v>0.25</v>
      </c>
      <c r="K85" s="80"/>
      <c r="L85" s="73">
        <v>0.2</v>
      </c>
      <c r="M85" s="73">
        <f t="shared" si="5"/>
        <v>1</v>
      </c>
    </row>
    <row r="86" spans="2:13" s="58" customFormat="1" outlineLevel="1">
      <c r="B86" s="72" t="str">
        <f>'Program Budget'!E16</f>
        <v xml:space="preserve">M&amp;E Director </v>
      </c>
      <c r="C86" s="72"/>
      <c r="D86" s="73">
        <v>0.25</v>
      </c>
      <c r="E86" s="80"/>
      <c r="F86" s="73">
        <v>0.2</v>
      </c>
      <c r="G86" s="73">
        <v>0.15</v>
      </c>
      <c r="H86" s="73">
        <v>0.2</v>
      </c>
      <c r="I86" s="80"/>
      <c r="J86" s="73">
        <v>0.15</v>
      </c>
      <c r="K86" s="80"/>
      <c r="L86" s="73">
        <v>0.05</v>
      </c>
      <c r="M86" s="73">
        <f t="shared" si="5"/>
        <v>1</v>
      </c>
    </row>
    <row r="87" spans="2:13" s="58" customFormat="1" outlineLevel="1">
      <c r="B87" s="72" t="str">
        <f>'Program Budget'!E17</f>
        <v>M&amp;E Mid-level Specialist</v>
      </c>
      <c r="C87" s="72"/>
      <c r="D87" s="73">
        <v>0.25</v>
      </c>
      <c r="E87" s="80"/>
      <c r="F87" s="73">
        <v>0.2</v>
      </c>
      <c r="G87" s="73">
        <v>0.15</v>
      </c>
      <c r="H87" s="73">
        <v>0.2</v>
      </c>
      <c r="I87" s="80"/>
      <c r="J87" s="73">
        <v>0.2</v>
      </c>
      <c r="K87" s="80"/>
      <c r="L87" s="73">
        <v>0</v>
      </c>
      <c r="M87" s="73">
        <f t="shared" si="5"/>
        <v>1</v>
      </c>
    </row>
    <row r="88" spans="2:13" s="58" customFormat="1" outlineLevel="1">
      <c r="B88" s="72" t="str">
        <f>'Program Budget'!E18</f>
        <v>M&amp;E Specialist</v>
      </c>
      <c r="C88" s="72"/>
      <c r="D88" s="73">
        <v>0.25</v>
      </c>
      <c r="E88" s="80"/>
      <c r="F88" s="73">
        <v>0.2</v>
      </c>
      <c r="G88" s="73">
        <v>0.15</v>
      </c>
      <c r="H88" s="73">
        <v>0.2</v>
      </c>
      <c r="I88" s="80"/>
      <c r="J88" s="73">
        <v>0.2</v>
      </c>
      <c r="K88" s="80"/>
      <c r="L88" s="73">
        <v>0</v>
      </c>
      <c r="M88" s="73">
        <f t="shared" si="5"/>
        <v>1</v>
      </c>
    </row>
    <row r="89" spans="2:13" s="58" customFormat="1" outlineLevel="1">
      <c r="B89" s="72" t="str">
        <f>'Program Budget'!E19</f>
        <v>Partnerships and Investment Director</v>
      </c>
      <c r="C89" s="72"/>
      <c r="D89" s="73">
        <v>0.1</v>
      </c>
      <c r="E89" s="80"/>
      <c r="F89" s="73"/>
      <c r="G89" s="73"/>
      <c r="H89" s="73">
        <v>0.1</v>
      </c>
      <c r="I89" s="73">
        <v>0.25</v>
      </c>
      <c r="J89" s="73">
        <v>0.1</v>
      </c>
      <c r="K89" s="80"/>
      <c r="L89" s="73">
        <v>0.45</v>
      </c>
      <c r="M89" s="73">
        <f t="shared" si="5"/>
        <v>1</v>
      </c>
    </row>
    <row r="90" spans="2:13" s="58" customFormat="1" outlineLevel="1">
      <c r="B90" s="72" t="str">
        <f>'Program Budget'!E20</f>
        <v>Extension Agents (15)</v>
      </c>
      <c r="C90" s="72"/>
      <c r="D90" s="73">
        <v>0</v>
      </c>
      <c r="E90" s="80"/>
      <c r="F90" s="73"/>
      <c r="G90" s="73">
        <v>0.8</v>
      </c>
      <c r="H90" s="73">
        <v>0.2</v>
      </c>
      <c r="I90" s="80"/>
      <c r="J90" s="73"/>
      <c r="K90" s="80"/>
      <c r="L90" s="441"/>
      <c r="M90" s="73">
        <f t="shared" si="5"/>
        <v>1</v>
      </c>
    </row>
    <row r="91" spans="2:13" s="58" customFormat="1" outlineLevel="1">
      <c r="B91" s="72" t="str">
        <f>'Program Budget'!E21</f>
        <v>Activity Lead Agribusiness Senior Specialist (Cacao)</v>
      </c>
      <c r="C91" s="72"/>
      <c r="D91" s="73">
        <v>0.1</v>
      </c>
      <c r="E91" s="80"/>
      <c r="F91" s="73">
        <v>0.1</v>
      </c>
      <c r="G91" s="73">
        <v>0.35</v>
      </c>
      <c r="H91" s="73">
        <v>0.25</v>
      </c>
      <c r="I91" s="80"/>
      <c r="J91" s="73">
        <v>0.2</v>
      </c>
      <c r="K91" s="80"/>
      <c r="L91" s="441"/>
      <c r="M91" s="73">
        <f t="shared" si="5"/>
        <v>1</v>
      </c>
    </row>
    <row r="92" spans="2:13" s="75" customFormat="1" outlineLevel="1">
      <c r="B92" s="72" t="str">
        <f>'Program Budget'!E22</f>
        <v>Activity Lead Agribusiness Senior Specialist (Complementary Crop)</v>
      </c>
      <c r="C92" s="72"/>
      <c r="D92" s="73">
        <v>0.1</v>
      </c>
      <c r="E92" s="80"/>
      <c r="F92" s="73">
        <v>0.1</v>
      </c>
      <c r="G92" s="73">
        <v>0.35</v>
      </c>
      <c r="H92" s="73">
        <v>0.25</v>
      </c>
      <c r="I92" s="80"/>
      <c r="J92" s="73">
        <v>0.2</v>
      </c>
      <c r="K92" s="80"/>
      <c r="L92" s="441"/>
      <c r="M92" s="73">
        <f t="shared" si="5"/>
        <v>1</v>
      </c>
    </row>
    <row r="93" spans="2:13" s="75" customFormat="1" outlineLevel="1">
      <c r="B93" s="72" t="str">
        <f>'Program Budget'!E23</f>
        <v xml:space="preserve">Food Safety Mid-Specialist </v>
      </c>
      <c r="C93" s="72"/>
      <c r="D93" s="73">
        <v>0.1</v>
      </c>
      <c r="E93" s="80"/>
      <c r="F93" s="73">
        <v>0.25</v>
      </c>
      <c r="G93" s="73">
        <v>0.1</v>
      </c>
      <c r="H93" s="73">
        <v>0.35</v>
      </c>
      <c r="I93" s="80"/>
      <c r="J93" s="73">
        <v>0.2</v>
      </c>
      <c r="K93" s="80"/>
      <c r="L93" s="441"/>
      <c r="M93" s="73">
        <f t="shared" si="5"/>
        <v>1</v>
      </c>
    </row>
    <row r="94" spans="2:13" s="58" customFormat="1" outlineLevel="1">
      <c r="B94" s="72" t="str">
        <f>'Program Budget'!E24</f>
        <v>Compliance Director</v>
      </c>
      <c r="C94" s="72"/>
      <c r="D94" s="73">
        <f>1/3</f>
        <v>0.33333333333333331</v>
      </c>
      <c r="E94" s="80"/>
      <c r="F94" s="73"/>
      <c r="G94" s="73"/>
      <c r="H94" s="73"/>
      <c r="I94" s="80"/>
      <c r="J94" s="73"/>
      <c r="K94" s="80"/>
      <c r="L94" s="441"/>
      <c r="M94" s="73">
        <f t="shared" si="5"/>
        <v>0.33333333333333331</v>
      </c>
    </row>
    <row r="95" spans="2:13" s="58" customFormat="1" outlineLevel="1">
      <c r="B95" s="72" t="str">
        <f>'Program Budget'!E25</f>
        <v xml:space="preserve">Accountant </v>
      </c>
      <c r="C95" s="72"/>
      <c r="D95" s="73">
        <v>1</v>
      </c>
      <c r="E95" s="80"/>
      <c r="F95" s="73"/>
      <c r="G95" s="73"/>
      <c r="H95" s="73"/>
      <c r="I95" s="80"/>
      <c r="J95" s="73"/>
      <c r="K95" s="80"/>
      <c r="L95" s="441"/>
      <c r="M95" s="73">
        <f t="shared" si="5"/>
        <v>1</v>
      </c>
    </row>
    <row r="96" spans="2:13" s="58" customFormat="1" outlineLevel="1">
      <c r="B96" s="72" t="str">
        <f>'Program Budget'!E26</f>
        <v xml:space="preserve">Administrative Assistant </v>
      </c>
      <c r="C96" s="72"/>
      <c r="D96" s="73">
        <v>0.5</v>
      </c>
      <c r="E96" s="80"/>
      <c r="F96" s="73"/>
      <c r="G96" s="73"/>
      <c r="H96" s="73"/>
      <c r="I96" s="80"/>
      <c r="J96" s="73"/>
      <c r="K96" s="73">
        <v>0.5</v>
      </c>
      <c r="L96" s="441"/>
      <c r="M96" s="73">
        <f t="shared" si="5"/>
        <v>1</v>
      </c>
    </row>
    <row r="97" spans="2:13" s="58" customFormat="1" outlineLevel="1">
      <c r="B97" s="72" t="str">
        <f>'Program Budget'!E27</f>
        <v>Driver</v>
      </c>
      <c r="C97" s="72"/>
      <c r="D97" s="73">
        <v>1</v>
      </c>
      <c r="E97" s="80"/>
      <c r="F97" s="73"/>
      <c r="G97" s="73"/>
      <c r="H97" s="73"/>
      <c r="I97" s="80"/>
      <c r="J97" s="73"/>
      <c r="K97" s="80"/>
      <c r="L97" s="441"/>
      <c r="M97" s="73">
        <f t="shared" ref="M97" si="6">SUM(D97:L97)</f>
        <v>1</v>
      </c>
    </row>
    <row r="98" spans="2:13" s="58" customFormat="1" outlineLevel="1">
      <c r="B98" s="70" t="s">
        <v>697</v>
      </c>
      <c r="C98" s="70"/>
      <c r="D98" s="76"/>
      <c r="E98" s="76"/>
      <c r="F98" s="76"/>
      <c r="G98" s="76"/>
      <c r="H98" s="76"/>
      <c r="I98" s="76"/>
      <c r="J98" s="76"/>
      <c r="K98" s="76"/>
      <c r="L98" s="76"/>
      <c r="M98" s="76"/>
    </row>
    <row r="99" spans="2:13" s="58" customFormat="1" outlineLevel="1">
      <c r="B99" s="72" t="str">
        <f>'Program Budget'!E29</f>
        <v xml:space="preserve">Senior Director </v>
      </c>
      <c r="C99" s="72"/>
      <c r="D99" s="73">
        <v>0.2</v>
      </c>
      <c r="E99" s="73"/>
      <c r="F99" s="73"/>
      <c r="G99" s="73"/>
      <c r="H99" s="73"/>
      <c r="I99" s="73"/>
      <c r="J99" s="73"/>
      <c r="K99" s="73"/>
      <c r="L99" s="73"/>
      <c r="M99" s="73">
        <f>SUM(D99:L99)</f>
        <v>0.2</v>
      </c>
    </row>
    <row r="100" spans="2:13" s="58" customFormat="1" outlineLevel="1">
      <c r="B100" s="72" t="str">
        <f>'Program Budget'!E30</f>
        <v xml:space="preserve">HQ Senior Program Officer </v>
      </c>
      <c r="C100" s="72"/>
      <c r="D100" s="73">
        <v>1</v>
      </c>
      <c r="E100" s="73"/>
      <c r="F100" s="73"/>
      <c r="G100" s="73"/>
      <c r="H100" s="73"/>
      <c r="I100" s="73"/>
      <c r="J100" s="73"/>
      <c r="K100" s="73"/>
      <c r="L100" s="73"/>
      <c r="M100" s="73">
        <f>SUM(D100:L100)</f>
        <v>1</v>
      </c>
    </row>
    <row r="101" spans="2:13" s="58" customFormat="1" outlineLevel="1">
      <c r="B101" s="77" t="s">
        <v>160</v>
      </c>
      <c r="C101" s="77"/>
      <c r="D101" s="78"/>
      <c r="E101" s="78"/>
      <c r="F101" s="78"/>
      <c r="G101" s="78"/>
      <c r="H101" s="78"/>
      <c r="I101" s="78"/>
      <c r="J101" s="78"/>
      <c r="K101" s="78"/>
      <c r="L101" s="78"/>
      <c r="M101" s="78"/>
    </row>
    <row r="102" spans="2:13">
      <c r="D102" s="61"/>
      <c r="E102" s="57"/>
      <c r="G102" s="57"/>
      <c r="H102" s="61"/>
      <c r="J102" s="57"/>
      <c r="M102" s="61"/>
    </row>
    <row r="103" spans="2:13" ht="61.5">
      <c r="B103" s="55"/>
      <c r="C103" s="55"/>
      <c r="D103" s="62" t="s">
        <v>698</v>
      </c>
      <c r="E103" s="62" t="str">
        <f>'USDA Budget Summary'!A28</f>
        <v>Activity 1: Value Chain Development (Value Chain Analysis, Carbon Assessment, and Living Incomes)</v>
      </c>
      <c r="F103" s="62" t="str">
        <f>'USDA Budget Summary'!A29</f>
        <v>Activity 2: Producer Organization Development &amp; Commercialization</v>
      </c>
      <c r="G103" s="62" t="str">
        <f>'USDA Budget Summary'!A30</f>
        <v>Activity 3: Agriculture Extension and Production Support</v>
      </c>
      <c r="H103" s="62" t="str">
        <f>'USDA Budget Summary'!A31</f>
        <v>Activity 4: Post-Harvest Aggregation &amp; Processing</v>
      </c>
      <c r="I103" s="62" t="str">
        <f>'USDA Budget Summary'!A32</f>
        <v>Activity 5: Ensure Financial Service/ Capital Access for Actors in the Value Chains</v>
      </c>
      <c r="J103" s="62" t="str">
        <f>'USDA Budget Summary'!A33</f>
        <v>Activity 6: Innovation and Job Creation Through Youth Engagement</v>
      </c>
      <c r="K103" s="62" t="str">
        <f>'USDA Budget Summary'!A34</f>
        <v>Activity 7: Establishment of Regional Community of Practice</v>
      </c>
      <c r="L103" s="62" t="str">
        <f>'USDA Budget Summary'!A35</f>
        <v>Activity 8: Financial Services: Endowment Establishment, Fundraising and Management</v>
      </c>
      <c r="M103" s="62" t="s">
        <v>699</v>
      </c>
    </row>
    <row r="104" spans="2:13" s="67" customFormat="1" ht="12.3">
      <c r="B104" s="64" t="s">
        <v>704</v>
      </c>
      <c r="C104" s="64"/>
      <c r="D104" s="65" t="s">
        <v>693</v>
      </c>
      <c r="E104" s="65" t="s">
        <v>693</v>
      </c>
      <c r="F104" s="65" t="s">
        <v>694</v>
      </c>
      <c r="G104" s="65" t="s">
        <v>694</v>
      </c>
      <c r="H104" s="65" t="s">
        <v>694</v>
      </c>
      <c r="I104" s="65" t="s">
        <v>694</v>
      </c>
      <c r="J104" s="65" t="s">
        <v>694</v>
      </c>
      <c r="K104" s="65" t="s">
        <v>694</v>
      </c>
      <c r="L104" s="65" t="s">
        <v>694</v>
      </c>
      <c r="M104" s="65" t="s">
        <v>694</v>
      </c>
    </row>
    <row r="105" spans="2:13" s="58" customFormat="1">
      <c r="B105" s="68" t="s">
        <v>695</v>
      </c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</row>
    <row r="106" spans="2:13" s="58" customFormat="1" outlineLevel="1">
      <c r="B106" s="70" t="s">
        <v>696</v>
      </c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</row>
    <row r="107" spans="2:13" s="58" customFormat="1" outlineLevel="1">
      <c r="B107" s="72" t="str">
        <f>'Program Budget'!E13</f>
        <v xml:space="preserve">Key Personnel: Chief of Party </v>
      </c>
      <c r="C107" s="72"/>
      <c r="D107" s="284">
        <v>0.1</v>
      </c>
      <c r="E107" s="341"/>
      <c r="F107" s="284">
        <v>0.05</v>
      </c>
      <c r="G107" s="284">
        <v>0.1</v>
      </c>
      <c r="H107" s="284">
        <v>0.1</v>
      </c>
      <c r="I107" s="284">
        <v>0.15</v>
      </c>
      <c r="J107" s="341">
        <v>0.1</v>
      </c>
      <c r="K107" s="73">
        <v>0.15</v>
      </c>
      <c r="L107" s="284">
        <v>0.25</v>
      </c>
      <c r="M107" s="73">
        <f t="shared" ref="M107:M116" si="7">SUM(D107:L107)</f>
        <v>1</v>
      </c>
    </row>
    <row r="108" spans="2:13" s="58" customFormat="1" outlineLevel="1">
      <c r="B108" s="72" t="str">
        <f>'Program Budget'!E14</f>
        <v>Key Personnel: Technical Director</v>
      </c>
      <c r="C108" s="72"/>
      <c r="D108" s="73">
        <v>0.1</v>
      </c>
      <c r="E108" s="80"/>
      <c r="F108" s="73">
        <v>0.25</v>
      </c>
      <c r="G108" s="73">
        <v>0.3</v>
      </c>
      <c r="H108" s="73">
        <v>0.3</v>
      </c>
      <c r="I108" s="80"/>
      <c r="J108" s="80"/>
      <c r="K108" s="80"/>
      <c r="L108" s="73">
        <v>0.05</v>
      </c>
      <c r="M108" s="73">
        <f t="shared" si="7"/>
        <v>1</v>
      </c>
    </row>
    <row r="109" spans="2:13" s="58" customFormat="1" outlineLevel="1">
      <c r="B109" s="72" t="str">
        <f>'Program Budget'!E15</f>
        <v xml:space="preserve">F&amp;A Director </v>
      </c>
      <c r="C109" s="72"/>
      <c r="D109" s="73">
        <v>0.75</v>
      </c>
      <c r="E109" s="80"/>
      <c r="F109" s="73"/>
      <c r="G109" s="73"/>
      <c r="H109" s="73"/>
      <c r="I109" s="80"/>
      <c r="J109" s="80"/>
      <c r="K109" s="80"/>
      <c r="L109" s="73">
        <v>0.25</v>
      </c>
      <c r="M109" s="73">
        <f t="shared" si="7"/>
        <v>1</v>
      </c>
    </row>
    <row r="110" spans="2:13" s="58" customFormat="1" outlineLevel="1">
      <c r="B110" s="72" t="str">
        <f>'Program Budget'!E16</f>
        <v xml:space="preserve">M&amp;E Director </v>
      </c>
      <c r="C110" s="72"/>
      <c r="D110" s="73">
        <v>0.25</v>
      </c>
      <c r="E110" s="80"/>
      <c r="F110" s="73">
        <v>0.2</v>
      </c>
      <c r="G110" s="73">
        <v>0.2</v>
      </c>
      <c r="H110" s="73">
        <v>0.2</v>
      </c>
      <c r="I110" s="80"/>
      <c r="J110" s="80"/>
      <c r="K110" s="80"/>
      <c r="L110" s="73">
        <v>0.15</v>
      </c>
      <c r="M110" s="73">
        <f t="shared" si="7"/>
        <v>1</v>
      </c>
    </row>
    <row r="111" spans="2:13" s="58" customFormat="1" outlineLevel="1">
      <c r="B111" s="72" t="str">
        <f>'Program Budget'!E17</f>
        <v>M&amp;E Mid-level Specialist</v>
      </c>
      <c r="C111" s="72"/>
      <c r="D111" s="73">
        <v>0.25</v>
      </c>
      <c r="E111" s="80"/>
      <c r="F111" s="73">
        <v>0.25</v>
      </c>
      <c r="G111" s="73">
        <v>0.25</v>
      </c>
      <c r="H111" s="73">
        <v>0.25</v>
      </c>
      <c r="I111" s="80"/>
      <c r="J111" s="80"/>
      <c r="K111" s="80"/>
      <c r="L111" s="73">
        <v>0</v>
      </c>
      <c r="M111" s="73">
        <f t="shared" si="7"/>
        <v>1</v>
      </c>
    </row>
    <row r="112" spans="2:13" s="58" customFormat="1" outlineLevel="1">
      <c r="B112" s="72" t="str">
        <f>'Program Budget'!E18</f>
        <v>M&amp;E Specialist</v>
      </c>
      <c r="C112" s="72"/>
      <c r="D112" s="73">
        <v>0.25</v>
      </c>
      <c r="E112" s="80"/>
      <c r="F112" s="73">
        <v>0.25</v>
      </c>
      <c r="G112" s="73">
        <v>0.25</v>
      </c>
      <c r="H112" s="73">
        <v>0.25</v>
      </c>
      <c r="I112" s="80"/>
      <c r="J112" s="80"/>
      <c r="K112" s="80"/>
      <c r="L112" s="73">
        <v>0</v>
      </c>
      <c r="M112" s="73">
        <f t="shared" si="7"/>
        <v>1</v>
      </c>
    </row>
    <row r="113" spans="2:13" s="58" customFormat="1" outlineLevel="1">
      <c r="B113" s="72" t="str">
        <f>'Program Budget'!E19</f>
        <v>Partnerships and Investment Director</v>
      </c>
      <c r="C113" s="72"/>
      <c r="D113" s="73">
        <v>0.1</v>
      </c>
      <c r="E113" s="80"/>
      <c r="F113" s="73"/>
      <c r="G113" s="73"/>
      <c r="H113" s="73">
        <v>0.15</v>
      </c>
      <c r="I113" s="73">
        <v>0.3</v>
      </c>
      <c r="J113" s="80"/>
      <c r="K113" s="80"/>
      <c r="L113" s="73">
        <v>0.45</v>
      </c>
      <c r="M113" s="73">
        <f t="shared" si="7"/>
        <v>1</v>
      </c>
    </row>
    <row r="114" spans="2:13" s="58" customFormat="1" outlineLevel="1">
      <c r="B114" s="72" t="str">
        <f>'Program Budget'!E20</f>
        <v>Extension Agents (15)</v>
      </c>
      <c r="C114" s="72"/>
      <c r="D114" s="73">
        <v>0</v>
      </c>
      <c r="E114" s="80"/>
      <c r="F114" s="73"/>
      <c r="G114" s="73">
        <v>0.8</v>
      </c>
      <c r="H114" s="73">
        <v>0.2</v>
      </c>
      <c r="I114" s="80"/>
      <c r="J114" s="80"/>
      <c r="K114" s="80"/>
      <c r="L114" s="441"/>
      <c r="M114" s="73">
        <f t="shared" si="7"/>
        <v>1</v>
      </c>
    </row>
    <row r="115" spans="2:13" s="58" customFormat="1" outlineLevel="1">
      <c r="B115" s="72" t="str">
        <f>'Program Budget'!E21</f>
        <v>Activity Lead Agribusiness Senior Specialist (Cacao)</v>
      </c>
      <c r="C115" s="72"/>
      <c r="D115" s="73">
        <v>0.1</v>
      </c>
      <c r="E115" s="80"/>
      <c r="F115" s="73">
        <v>0.3</v>
      </c>
      <c r="G115" s="73">
        <v>0.3</v>
      </c>
      <c r="H115" s="73">
        <v>0.3</v>
      </c>
      <c r="I115" s="80"/>
      <c r="J115" s="80"/>
      <c r="K115" s="80"/>
      <c r="L115" s="441"/>
      <c r="M115" s="73">
        <f t="shared" si="7"/>
        <v>1</v>
      </c>
    </row>
    <row r="116" spans="2:13" s="75" customFormat="1" outlineLevel="1">
      <c r="B116" s="72" t="str">
        <f>'Program Budget'!E22</f>
        <v>Activity Lead Agribusiness Senior Specialist (Complementary Crop)</v>
      </c>
      <c r="C116" s="72"/>
      <c r="D116" s="73">
        <v>0.1</v>
      </c>
      <c r="E116" s="80"/>
      <c r="F116" s="73">
        <v>0.3</v>
      </c>
      <c r="G116" s="73">
        <v>0.3</v>
      </c>
      <c r="H116" s="73">
        <v>0.3</v>
      </c>
      <c r="I116" s="80"/>
      <c r="J116" s="80"/>
      <c r="K116" s="80"/>
      <c r="L116" s="441"/>
      <c r="M116" s="73">
        <f t="shared" si="7"/>
        <v>1</v>
      </c>
    </row>
    <row r="117" spans="2:13" s="75" customFormat="1" outlineLevel="1">
      <c r="B117" s="72" t="str">
        <f>'Program Budget'!E23</f>
        <v xml:space="preserve">Food Safety Mid-Specialist </v>
      </c>
      <c r="C117" s="72"/>
      <c r="D117" s="73">
        <v>0.1</v>
      </c>
      <c r="E117" s="80"/>
      <c r="F117" s="73">
        <v>0.25</v>
      </c>
      <c r="G117" s="73">
        <v>0.1</v>
      </c>
      <c r="H117" s="73">
        <v>0.55000000000000004</v>
      </c>
      <c r="I117" s="80"/>
      <c r="J117" s="80"/>
      <c r="K117" s="80"/>
      <c r="L117" s="441"/>
      <c r="M117" s="73">
        <f t="shared" ref="M117" si="8">SUM(D117:L117)</f>
        <v>1</v>
      </c>
    </row>
    <row r="118" spans="2:13" s="58" customFormat="1" outlineLevel="1">
      <c r="B118" s="72" t="str">
        <f>'Program Budget'!E24</f>
        <v>Compliance Director</v>
      </c>
      <c r="C118" s="72"/>
      <c r="D118" s="73">
        <f>1/3</f>
        <v>0.33333333333333331</v>
      </c>
      <c r="E118" s="80"/>
      <c r="F118" s="73"/>
      <c r="G118" s="73"/>
      <c r="H118" s="73"/>
      <c r="I118" s="80"/>
      <c r="J118" s="80"/>
      <c r="K118" s="80"/>
      <c r="L118" s="441"/>
      <c r="M118" s="73">
        <f>SUM(D118:L118)</f>
        <v>0.33333333333333331</v>
      </c>
    </row>
    <row r="119" spans="2:13" s="58" customFormat="1" outlineLevel="1">
      <c r="B119" s="72" t="str">
        <f>'Program Budget'!E25</f>
        <v xml:space="preserve">Accountant </v>
      </c>
      <c r="C119" s="72"/>
      <c r="D119" s="73">
        <v>1</v>
      </c>
      <c r="E119" s="80"/>
      <c r="F119" s="73"/>
      <c r="G119" s="73"/>
      <c r="H119" s="73"/>
      <c r="I119" s="80"/>
      <c r="J119" s="80"/>
      <c r="K119" s="80"/>
      <c r="L119" s="441"/>
      <c r="M119" s="73">
        <f>SUM(D119:L119)</f>
        <v>1</v>
      </c>
    </row>
    <row r="120" spans="2:13" s="58" customFormat="1" outlineLevel="1">
      <c r="B120" s="72" t="str">
        <f>'Program Budget'!E26</f>
        <v xml:space="preserve">Administrative Assistant </v>
      </c>
      <c r="C120" s="72"/>
      <c r="D120" s="73">
        <v>0.5</v>
      </c>
      <c r="E120" s="80"/>
      <c r="F120" s="73"/>
      <c r="G120" s="73"/>
      <c r="H120" s="73"/>
      <c r="I120" s="80"/>
      <c r="J120" s="80"/>
      <c r="K120" s="73">
        <v>0.5</v>
      </c>
      <c r="L120" s="441"/>
      <c r="M120" s="73">
        <f>SUM(D120:L120)</f>
        <v>1</v>
      </c>
    </row>
    <row r="121" spans="2:13" s="58" customFormat="1" outlineLevel="1">
      <c r="B121" s="72" t="str">
        <f>'Program Budget'!E27</f>
        <v>Driver</v>
      </c>
      <c r="C121" s="72"/>
      <c r="D121" s="73">
        <v>1</v>
      </c>
      <c r="E121" s="80"/>
      <c r="F121" s="73"/>
      <c r="G121" s="73"/>
      <c r="H121" s="73"/>
      <c r="I121" s="80"/>
      <c r="J121" s="80"/>
      <c r="K121" s="80"/>
      <c r="L121" s="441"/>
      <c r="M121" s="73">
        <f>SUM(D121:L121)</f>
        <v>1</v>
      </c>
    </row>
    <row r="122" spans="2:13" s="58" customFormat="1" outlineLevel="1">
      <c r="B122" s="70" t="s">
        <v>697</v>
      </c>
      <c r="C122" s="70"/>
      <c r="D122" s="76"/>
      <c r="E122" s="76"/>
      <c r="F122" s="76"/>
      <c r="G122" s="76"/>
      <c r="H122" s="76"/>
      <c r="I122" s="76"/>
      <c r="J122" s="76"/>
      <c r="K122" s="76"/>
      <c r="L122" s="76"/>
      <c r="M122" s="76"/>
    </row>
    <row r="123" spans="2:13" s="58" customFormat="1" outlineLevel="1">
      <c r="B123" s="72" t="str">
        <f>'Program Budget'!E29</f>
        <v xml:space="preserve">Senior Director </v>
      </c>
      <c r="C123" s="72"/>
      <c r="D123" s="73">
        <v>0.2</v>
      </c>
      <c r="E123" s="73"/>
      <c r="F123" s="73"/>
      <c r="G123" s="73"/>
      <c r="H123" s="73"/>
      <c r="I123" s="73"/>
      <c r="J123" s="73"/>
      <c r="K123" s="73"/>
      <c r="L123" s="73"/>
      <c r="M123" s="73">
        <f>SUM(D123:L123)</f>
        <v>0.2</v>
      </c>
    </row>
    <row r="124" spans="2:13" s="58" customFormat="1" outlineLevel="1">
      <c r="B124" s="72" t="str">
        <f>'Program Budget'!E30</f>
        <v xml:space="preserve">HQ Senior Program Officer </v>
      </c>
      <c r="C124" s="72"/>
      <c r="D124" s="73">
        <v>1</v>
      </c>
      <c r="E124" s="73"/>
      <c r="F124" s="73"/>
      <c r="G124" s="73"/>
      <c r="H124" s="73"/>
      <c r="I124" s="73"/>
      <c r="J124" s="73"/>
      <c r="K124" s="73"/>
      <c r="L124" s="73"/>
      <c r="M124" s="73">
        <f>SUM(D124:L124)</f>
        <v>1</v>
      </c>
    </row>
    <row r="125" spans="2:13" s="58" customFormat="1" outlineLevel="1">
      <c r="B125" s="77" t="s">
        <v>160</v>
      </c>
      <c r="C125" s="77"/>
      <c r="D125" s="78"/>
      <c r="E125" s="78"/>
      <c r="F125" s="78"/>
      <c r="G125" s="78"/>
      <c r="H125" s="78"/>
      <c r="I125" s="78"/>
      <c r="J125" s="78"/>
      <c r="K125" s="78"/>
      <c r="L125" s="78"/>
      <c r="M125" s="78"/>
    </row>
  </sheetData>
  <mergeCells count="5">
    <mergeCell ref="B1:M1"/>
    <mergeCell ref="B2:M2"/>
    <mergeCell ref="B3:M3"/>
    <mergeCell ref="B4:M4"/>
    <mergeCell ref="B5:M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4BD8-F5F2-4F38-8F81-BFBD60EA517D}">
  <dimension ref="A1:U53"/>
  <sheetViews>
    <sheetView zoomScale="81" zoomScaleNormal="70" workbookViewId="0">
      <pane ySplit="7" topLeftCell="A27" activePane="bottomLeft" state="frozen"/>
      <selection pane="bottomLeft" activeCell="A41" sqref="A41"/>
    </sheetView>
  </sheetViews>
  <sheetFormatPr defaultColWidth="8.71875" defaultRowHeight="12.6"/>
  <cols>
    <col min="1" max="1" width="73.1640625" style="56" bestFit="1" customWidth="1"/>
    <col min="2" max="2" width="7.1640625" style="92" bestFit="1" customWidth="1"/>
    <col min="3" max="3" width="13" style="56" bestFit="1" customWidth="1"/>
    <col min="4" max="4" width="6.27734375" style="56" bestFit="1" customWidth="1"/>
    <col min="5" max="5" width="6" style="56" bestFit="1" customWidth="1"/>
    <col min="6" max="6" width="7.44140625" style="94" bestFit="1" customWidth="1"/>
    <col min="7" max="7" width="9.1640625" style="94" bestFit="1" customWidth="1"/>
    <col min="8" max="8" width="8.27734375" style="56" bestFit="1" customWidth="1"/>
    <col min="9" max="9" width="10" style="94" bestFit="1" customWidth="1"/>
    <col min="10" max="10" width="8.27734375" style="56" bestFit="1" customWidth="1"/>
    <col min="11" max="11" width="10" style="94" bestFit="1" customWidth="1"/>
    <col min="12" max="12" width="8.27734375" style="56" bestFit="1" customWidth="1"/>
    <col min="13" max="13" width="10" style="94" bestFit="1" customWidth="1"/>
    <col min="14" max="14" width="8.27734375" style="56" bestFit="1" customWidth="1"/>
    <col min="15" max="15" width="9.1640625" style="94" bestFit="1" customWidth="1"/>
    <col min="16" max="16" width="11.71875" style="56" bestFit="1" customWidth="1"/>
    <col min="17" max="17" width="7.1640625" style="56" bestFit="1" customWidth="1"/>
    <col min="18" max="18" width="10.27734375" style="56" bestFit="1" customWidth="1"/>
    <col min="19" max="16384" width="8.71875" style="56"/>
  </cols>
  <sheetData>
    <row r="1" spans="1:21" ht="13.8">
      <c r="A1" s="553" t="s">
        <v>705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</row>
    <row r="2" spans="1:21" ht="13.8">
      <c r="A2" s="554" t="s">
        <v>706</v>
      </c>
      <c r="B2" s="554"/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</row>
    <row r="3" spans="1:21" ht="13.8">
      <c r="A3" s="555" t="s">
        <v>707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</row>
    <row r="4" spans="1:21" ht="13.8">
      <c r="A4" s="556" t="s">
        <v>191</v>
      </c>
      <c r="B4" s="556"/>
      <c r="C4" s="52"/>
      <c r="D4" s="52"/>
      <c r="E4" s="52"/>
      <c r="F4" s="52"/>
      <c r="G4" s="52"/>
      <c r="H4" s="52"/>
      <c r="I4" s="52"/>
      <c r="J4" s="501"/>
      <c r="K4" s="501"/>
      <c r="L4" s="501"/>
      <c r="M4" s="501"/>
      <c r="N4" s="501"/>
      <c r="O4" s="501"/>
      <c r="P4" s="501"/>
      <c r="Q4" s="501"/>
      <c r="R4" s="501"/>
    </row>
    <row r="5" spans="1:21" ht="13.8">
      <c r="A5" s="72" t="s">
        <v>200</v>
      </c>
      <c r="B5" s="99">
        <v>1.03</v>
      </c>
      <c r="C5" s="52"/>
      <c r="D5" s="52"/>
      <c r="E5" s="52"/>
      <c r="F5" s="52"/>
      <c r="G5" s="52"/>
      <c r="H5" s="52"/>
      <c r="I5" s="52"/>
      <c r="J5" s="501"/>
      <c r="K5" s="501"/>
      <c r="L5" s="501"/>
      <c r="M5" s="501"/>
      <c r="N5" s="501"/>
      <c r="O5" s="501"/>
      <c r="P5" s="501"/>
      <c r="Q5" s="501"/>
      <c r="R5" s="501"/>
    </row>
    <row r="6" spans="1:21">
      <c r="A6" s="97"/>
      <c r="B6" s="98"/>
      <c r="C6" s="97"/>
      <c r="D6" s="97"/>
      <c r="E6" s="97"/>
      <c r="F6" s="97"/>
      <c r="G6" s="97"/>
      <c r="H6" s="97"/>
      <c r="I6" s="97"/>
      <c r="J6" s="97"/>
      <c r="K6" s="97"/>
      <c r="L6" s="97"/>
      <c r="M6" s="557"/>
      <c r="N6" s="557"/>
      <c r="O6" s="557"/>
      <c r="P6" s="557"/>
      <c r="Q6" s="97"/>
      <c r="R6" s="97"/>
    </row>
    <row r="7" spans="1:21" ht="49.8" thickBot="1">
      <c r="A7" s="101" t="s">
        <v>138</v>
      </c>
      <c r="B7" s="101" t="s">
        <v>708</v>
      </c>
      <c r="C7" s="101" t="s">
        <v>709</v>
      </c>
      <c r="D7" s="101" t="s">
        <v>206</v>
      </c>
      <c r="E7" s="101" t="s">
        <v>207</v>
      </c>
      <c r="F7" s="102" t="s">
        <v>139</v>
      </c>
      <c r="G7" s="103" t="s">
        <v>140</v>
      </c>
      <c r="H7" s="101" t="s">
        <v>207</v>
      </c>
      <c r="I7" s="103" t="s">
        <v>141</v>
      </c>
      <c r="J7" s="101" t="s">
        <v>207</v>
      </c>
      <c r="K7" s="103" t="s">
        <v>142</v>
      </c>
      <c r="L7" s="101" t="s">
        <v>207</v>
      </c>
      <c r="M7" s="103" t="s">
        <v>143</v>
      </c>
      <c r="N7" s="101" t="s">
        <v>207</v>
      </c>
      <c r="O7" s="103" t="s">
        <v>144</v>
      </c>
      <c r="P7" s="102" t="s">
        <v>710</v>
      </c>
      <c r="Q7" s="102" t="s">
        <v>212</v>
      </c>
      <c r="R7" s="102" t="s">
        <v>213</v>
      </c>
    </row>
    <row r="8" spans="1:21">
      <c r="A8" s="104" t="str">
        <f>'USDA Budget Summary'!A29</f>
        <v>Activity 2: Producer Organization Development &amp; Commercialization</v>
      </c>
      <c r="B8" s="104"/>
      <c r="C8" s="104"/>
      <c r="D8" s="106"/>
      <c r="E8" s="106"/>
      <c r="F8" s="107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</row>
    <row r="9" spans="1:21">
      <c r="A9" s="109" t="s">
        <v>367</v>
      </c>
      <c r="B9" s="110"/>
      <c r="C9" s="109"/>
      <c r="D9" s="109"/>
      <c r="E9" s="109"/>
      <c r="F9" s="111"/>
      <c r="G9" s="111"/>
      <c r="H9" s="109"/>
      <c r="I9" s="111"/>
      <c r="J9" s="109"/>
      <c r="K9" s="111"/>
      <c r="L9" s="109"/>
      <c r="M9" s="111"/>
      <c r="N9" s="109"/>
      <c r="O9" s="111"/>
      <c r="P9" s="109"/>
      <c r="Q9" s="109"/>
      <c r="R9" s="109"/>
    </row>
    <row r="10" spans="1:21" s="452" customFormat="1" ht="14.1">
      <c r="A10" s="445" t="s">
        <v>711</v>
      </c>
      <c r="B10" s="446"/>
      <c r="C10" s="445"/>
      <c r="D10" s="447"/>
      <c r="E10" s="448"/>
      <c r="F10" s="449"/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  <c r="R10" s="450"/>
      <c r="S10" s="451"/>
    </row>
    <row r="11" spans="1:21" s="452" customFormat="1" ht="14.1">
      <c r="A11" s="453" t="s">
        <v>712</v>
      </c>
      <c r="B11" s="454">
        <v>1</v>
      </c>
      <c r="C11" s="453" t="s">
        <v>118</v>
      </c>
      <c r="D11" s="455" t="s">
        <v>221</v>
      </c>
      <c r="E11" s="443">
        <v>6</v>
      </c>
      <c r="F11" s="450">
        <v>815</v>
      </c>
      <c r="G11" s="450">
        <f>E11*F11</f>
        <v>4890</v>
      </c>
      <c r="H11" s="443">
        <v>12</v>
      </c>
      <c r="I11" s="443">
        <f>(H11*F11*B11*$B$5)</f>
        <v>10073.4</v>
      </c>
      <c r="J11" s="443">
        <v>12</v>
      </c>
      <c r="K11" s="443">
        <f>(J11*F11*B11*$B$5*$B$5)</f>
        <v>10375.602000000001</v>
      </c>
      <c r="L11" s="443">
        <v>12</v>
      </c>
      <c r="M11" s="443">
        <f>(L11*F11*B11*$B$5*$B$5*$B$5)</f>
        <v>10686.870060000001</v>
      </c>
      <c r="N11" s="443">
        <v>6</v>
      </c>
      <c r="O11" s="443">
        <f>(N11*F11*$B$5*$B$5*$B$5*$B$5)</f>
        <v>5503.7380809000006</v>
      </c>
      <c r="P11" s="443">
        <f t="shared" ref="P11:P13" si="0">SUM(G11+I11+K11+M11+O11)</f>
        <v>41529.610140900004</v>
      </c>
      <c r="Q11" s="443">
        <v>0</v>
      </c>
      <c r="R11" s="443">
        <f t="shared" ref="R11:R13" si="1">SUM(P11:Q11)</f>
        <v>41529.610140900004</v>
      </c>
    </row>
    <row r="12" spans="1:21" s="452" customFormat="1" ht="14.1">
      <c r="A12" s="453" t="s">
        <v>713</v>
      </c>
      <c r="B12" s="454">
        <v>1</v>
      </c>
      <c r="C12" s="453" t="s">
        <v>118</v>
      </c>
      <c r="D12" s="455" t="s">
        <v>221</v>
      </c>
      <c r="E12" s="443">
        <v>6</v>
      </c>
      <c r="F12" s="450">
        <v>815</v>
      </c>
      <c r="G12" s="450">
        <f>E12*F12</f>
        <v>4890</v>
      </c>
      <c r="H12" s="443">
        <v>12</v>
      </c>
      <c r="I12" s="443">
        <f>(H12*F12*B12*$B$5)</f>
        <v>10073.4</v>
      </c>
      <c r="J12" s="443">
        <v>12</v>
      </c>
      <c r="K12" s="443">
        <f>(J12*F12*B12*$B$5*$B$5)</f>
        <v>10375.602000000001</v>
      </c>
      <c r="L12" s="443">
        <v>12</v>
      </c>
      <c r="M12" s="443">
        <f>(L12*F12*B12*$B$5*$B$5*$B$5)</f>
        <v>10686.870060000001</v>
      </c>
      <c r="N12" s="443">
        <v>6</v>
      </c>
      <c r="O12" s="443">
        <f>(N12*F12*$B$5*$B$5*$B$5*$B$5)</f>
        <v>5503.7380809000006</v>
      </c>
      <c r="P12" s="443">
        <f t="shared" si="0"/>
        <v>41529.610140900004</v>
      </c>
      <c r="Q12" s="443">
        <v>0</v>
      </c>
      <c r="R12" s="443">
        <f t="shared" si="1"/>
        <v>41529.610140900004</v>
      </c>
    </row>
    <row r="13" spans="1:21" s="452" customFormat="1" ht="14.1">
      <c r="A13" s="453" t="s">
        <v>714</v>
      </c>
      <c r="B13" s="454">
        <v>1</v>
      </c>
      <c r="C13" s="453" t="s">
        <v>118</v>
      </c>
      <c r="D13" s="455" t="s">
        <v>221</v>
      </c>
      <c r="E13" s="443">
        <v>6</v>
      </c>
      <c r="F13" s="450">
        <v>815</v>
      </c>
      <c r="G13" s="450">
        <f>E13*F13</f>
        <v>4890</v>
      </c>
      <c r="H13" s="443">
        <v>12</v>
      </c>
      <c r="I13" s="443">
        <f t="shared" ref="I13:I19" si="2">(H13*F13*B13*$B$5)</f>
        <v>10073.4</v>
      </c>
      <c r="J13" s="443">
        <v>12</v>
      </c>
      <c r="K13" s="443">
        <f t="shared" ref="K13:K19" si="3">(J13*F13*B13*$B$5*$B$5)</f>
        <v>10375.602000000001</v>
      </c>
      <c r="L13" s="443">
        <v>12</v>
      </c>
      <c r="M13" s="443">
        <f t="shared" ref="M13:M19" si="4">(L13*F13*B13*$B$5*$B$5*$B$5)</f>
        <v>10686.870060000001</v>
      </c>
      <c r="N13" s="443">
        <v>6</v>
      </c>
      <c r="O13" s="443">
        <f t="shared" ref="O13:O19" si="5">(N13*F13*$B$5*$B$5*$B$5*$B$5)</f>
        <v>5503.7380809000006</v>
      </c>
      <c r="P13" s="443">
        <f t="shared" si="0"/>
        <v>41529.610140900004</v>
      </c>
      <c r="Q13" s="443">
        <v>0</v>
      </c>
      <c r="R13" s="443">
        <f t="shared" si="1"/>
        <v>41529.610140900004</v>
      </c>
    </row>
    <row r="14" spans="1:21" s="452" customFormat="1" ht="14.1">
      <c r="A14" s="453" t="s">
        <v>715</v>
      </c>
      <c r="B14" s="454">
        <v>1</v>
      </c>
      <c r="C14" s="453" t="s">
        <v>118</v>
      </c>
      <c r="D14" s="455" t="s">
        <v>221</v>
      </c>
      <c r="E14" s="443">
        <v>6</v>
      </c>
      <c r="F14" s="450">
        <v>815</v>
      </c>
      <c r="G14" s="450">
        <f>E14*F14</f>
        <v>4890</v>
      </c>
      <c r="H14" s="443">
        <v>12</v>
      </c>
      <c r="I14" s="443">
        <f>(H14*F14*B14*$B$5)</f>
        <v>10073.4</v>
      </c>
      <c r="J14" s="443">
        <v>12</v>
      </c>
      <c r="K14" s="443">
        <f>(J14*F14*B14*$B$5*$B$5)</f>
        <v>10375.602000000001</v>
      </c>
      <c r="L14" s="443">
        <v>12</v>
      </c>
      <c r="M14" s="443">
        <f>(L14*F14*B14*$B$5*$B$5*$B$5)</f>
        <v>10686.870060000001</v>
      </c>
      <c r="N14" s="443">
        <v>6</v>
      </c>
      <c r="O14" s="443">
        <f>(N14*F14*$B$5*$B$5*$B$5*$B$5)</f>
        <v>5503.7380809000006</v>
      </c>
      <c r="P14" s="443">
        <f t="shared" ref="P14" si="6">SUM(G14+I14+K14+M14+O14)</f>
        <v>41529.610140900004</v>
      </c>
      <c r="Q14" s="443">
        <v>0</v>
      </c>
      <c r="R14" s="443">
        <f t="shared" ref="R14" si="7">SUM(P14:Q14)</f>
        <v>41529.610140900004</v>
      </c>
    </row>
    <row r="15" spans="1:21" s="452" customFormat="1" ht="14.1">
      <c r="A15" s="445" t="s">
        <v>716</v>
      </c>
      <c r="B15" s="446"/>
      <c r="C15" s="453"/>
      <c r="D15" s="455"/>
      <c r="E15" s="443"/>
      <c r="F15" s="450"/>
      <c r="G15" s="450"/>
      <c r="H15" s="443"/>
      <c r="I15" s="443"/>
      <c r="J15" s="443"/>
      <c r="K15" s="443"/>
      <c r="L15" s="443"/>
      <c r="M15" s="443"/>
      <c r="N15" s="443"/>
      <c r="O15" s="443"/>
      <c r="P15" s="443"/>
      <c r="Q15" s="443"/>
      <c r="R15" s="443"/>
      <c r="S15" s="456"/>
      <c r="T15" s="457"/>
      <c r="U15" s="457"/>
    </row>
    <row r="16" spans="1:21" s="452" customFormat="1" ht="14.1">
      <c r="A16" s="453" t="s">
        <v>717</v>
      </c>
      <c r="B16" s="454">
        <v>1</v>
      </c>
      <c r="C16" s="453" t="s">
        <v>118</v>
      </c>
      <c r="D16" s="455" t="s">
        <v>221</v>
      </c>
      <c r="E16" s="443">
        <v>6</v>
      </c>
      <c r="F16" s="450">
        <v>1000</v>
      </c>
      <c r="G16" s="450">
        <f>E16*F16</f>
        <v>6000</v>
      </c>
      <c r="H16" s="443">
        <v>12</v>
      </c>
      <c r="I16" s="443">
        <f>(H16*F16*B16*$B$5)</f>
        <v>12360</v>
      </c>
      <c r="J16" s="443">
        <v>12</v>
      </c>
      <c r="K16" s="443">
        <f t="shared" si="3"/>
        <v>12730.800000000001</v>
      </c>
      <c r="L16" s="443">
        <v>12</v>
      </c>
      <c r="M16" s="443">
        <f t="shared" si="4"/>
        <v>13112.724000000002</v>
      </c>
      <c r="N16" s="443">
        <v>6</v>
      </c>
      <c r="O16" s="443">
        <f t="shared" si="5"/>
        <v>6753.0528600000016</v>
      </c>
      <c r="P16" s="443">
        <f>SUM(G16+I16+K16+M16+O16)</f>
        <v>50956.576860000008</v>
      </c>
      <c r="Q16" s="443">
        <v>0</v>
      </c>
      <c r="R16" s="443">
        <f>SUM(P16:Q16)</f>
        <v>50956.576860000008</v>
      </c>
      <c r="S16" s="457"/>
      <c r="T16" s="457"/>
      <c r="U16" s="458"/>
    </row>
    <row r="17" spans="1:21" s="452" customFormat="1" ht="14.1">
      <c r="A17" s="453" t="s">
        <v>718</v>
      </c>
      <c r="B17" s="454">
        <v>1</v>
      </c>
      <c r="C17" s="453" t="s">
        <v>118</v>
      </c>
      <c r="D17" s="455" t="s">
        <v>221</v>
      </c>
      <c r="E17" s="443">
        <v>6</v>
      </c>
      <c r="F17" s="450">
        <v>1500</v>
      </c>
      <c r="G17" s="450">
        <f>E17*F17</f>
        <v>9000</v>
      </c>
      <c r="H17" s="443">
        <v>12</v>
      </c>
      <c r="I17" s="443">
        <f t="shared" si="2"/>
        <v>18540</v>
      </c>
      <c r="J17" s="443">
        <v>12</v>
      </c>
      <c r="K17" s="443">
        <f t="shared" si="3"/>
        <v>19096.2</v>
      </c>
      <c r="L17" s="443">
        <v>12</v>
      </c>
      <c r="M17" s="443">
        <f t="shared" si="4"/>
        <v>19669.086000000003</v>
      </c>
      <c r="N17" s="443">
        <v>6</v>
      </c>
      <c r="O17" s="443">
        <f t="shared" si="5"/>
        <v>10129.579290000001</v>
      </c>
      <c r="P17" s="443">
        <f>SUM(G17+I17+K17+M17+O17)</f>
        <v>76434.865289999987</v>
      </c>
      <c r="Q17" s="443">
        <v>0</v>
      </c>
      <c r="R17" s="443">
        <f>SUM(P17:Q17)</f>
        <v>76434.865289999987</v>
      </c>
      <c r="S17" s="457"/>
      <c r="T17" s="457"/>
      <c r="U17" s="458"/>
    </row>
    <row r="18" spans="1:21" s="452" customFormat="1" ht="14.1">
      <c r="A18" s="453" t="s">
        <v>719</v>
      </c>
      <c r="B18" s="454">
        <v>1</v>
      </c>
      <c r="C18" s="453" t="s">
        <v>118</v>
      </c>
      <c r="D18" s="455" t="s">
        <v>221</v>
      </c>
      <c r="E18" s="443">
        <v>6</v>
      </c>
      <c r="F18" s="450">
        <v>1500</v>
      </c>
      <c r="G18" s="450">
        <f>E18*F18</f>
        <v>9000</v>
      </c>
      <c r="H18" s="443">
        <v>12</v>
      </c>
      <c r="I18" s="443">
        <f t="shared" si="2"/>
        <v>18540</v>
      </c>
      <c r="J18" s="443">
        <v>12</v>
      </c>
      <c r="K18" s="443">
        <f t="shared" si="3"/>
        <v>19096.2</v>
      </c>
      <c r="L18" s="443">
        <v>12</v>
      </c>
      <c r="M18" s="443">
        <f t="shared" si="4"/>
        <v>19669.086000000003</v>
      </c>
      <c r="N18" s="443">
        <v>6</v>
      </c>
      <c r="O18" s="443">
        <f t="shared" si="5"/>
        <v>10129.579290000001</v>
      </c>
      <c r="P18" s="443">
        <f>SUM(G18+I18+K18+M18+O18)</f>
        <v>76434.865289999987</v>
      </c>
      <c r="Q18" s="443">
        <v>0</v>
      </c>
      <c r="R18" s="443">
        <f>SUM(P18:Q18)</f>
        <v>76434.865289999987</v>
      </c>
      <c r="S18" s="457"/>
      <c r="T18" s="457"/>
      <c r="U18" s="458"/>
    </row>
    <row r="19" spans="1:21" s="452" customFormat="1" ht="14.1">
      <c r="A19" s="453" t="s">
        <v>720</v>
      </c>
      <c r="B19" s="454">
        <v>1</v>
      </c>
      <c r="C19" s="453" t="s">
        <v>118</v>
      </c>
      <c r="D19" s="455" t="s">
        <v>221</v>
      </c>
      <c r="E19" s="443">
        <v>6</v>
      </c>
      <c r="F19" s="450">
        <v>700</v>
      </c>
      <c r="G19" s="450">
        <f>E19*F19</f>
        <v>4200</v>
      </c>
      <c r="H19" s="443">
        <v>12</v>
      </c>
      <c r="I19" s="443">
        <f t="shared" si="2"/>
        <v>8652</v>
      </c>
      <c r="J19" s="443">
        <v>12</v>
      </c>
      <c r="K19" s="443">
        <f t="shared" si="3"/>
        <v>8911.56</v>
      </c>
      <c r="L19" s="443">
        <v>12</v>
      </c>
      <c r="M19" s="443">
        <f t="shared" si="4"/>
        <v>9178.9067999999988</v>
      </c>
      <c r="N19" s="443">
        <v>6</v>
      </c>
      <c r="O19" s="443">
        <f t="shared" si="5"/>
        <v>4727.1370019999995</v>
      </c>
      <c r="P19" s="443">
        <f>SUM(G19+I19+K19+M19+O19)</f>
        <v>35669.603801999998</v>
      </c>
      <c r="Q19" s="443">
        <v>0</v>
      </c>
      <c r="R19" s="443">
        <f>SUM(P19:Q19)</f>
        <v>35669.603801999998</v>
      </c>
      <c r="S19" s="457"/>
      <c r="T19" s="457"/>
      <c r="U19" s="458"/>
    </row>
    <row r="20" spans="1:21">
      <c r="A20" s="109" t="s">
        <v>369</v>
      </c>
      <c r="B20" s="122"/>
      <c r="C20" s="123"/>
      <c r="D20" s="124"/>
      <c r="E20" s="124"/>
      <c r="F20" s="125"/>
      <c r="G20" s="125">
        <f>SUM(G11:G19)</f>
        <v>47760</v>
      </c>
      <c r="H20" s="125"/>
      <c r="I20" s="125">
        <f>SUM(I11:I19)</f>
        <v>98385.600000000006</v>
      </c>
      <c r="J20" s="125"/>
      <c r="K20" s="125">
        <f>SUM(K11:K19)</f>
        <v>101337.16800000001</v>
      </c>
      <c r="L20" s="125"/>
      <c r="M20" s="125">
        <f>SUM(M11:M19)</f>
        <v>104377.28304000001</v>
      </c>
      <c r="N20" s="125"/>
      <c r="O20" s="125">
        <f>SUM(O11:O19)</f>
        <v>53754.300765600012</v>
      </c>
      <c r="P20" s="125">
        <f>SUM(P11:P19)</f>
        <v>405614.35180559999</v>
      </c>
      <c r="Q20" s="125">
        <f>SUM(Q11:Q19)</f>
        <v>0</v>
      </c>
      <c r="R20" s="125">
        <f>SUM(R11:R19)</f>
        <v>405614.35180559999</v>
      </c>
    </row>
    <row r="21" spans="1:21">
      <c r="B21" s="56"/>
      <c r="F21" s="56"/>
      <c r="G21" s="56"/>
      <c r="I21" s="56"/>
      <c r="K21" s="56"/>
      <c r="M21" s="56"/>
      <c r="O21" s="56"/>
    </row>
    <row r="22" spans="1:21">
      <c r="A22" s="109" t="s">
        <v>370</v>
      </c>
      <c r="B22" s="110"/>
      <c r="C22" s="109"/>
      <c r="D22" s="109"/>
      <c r="E22" s="109"/>
      <c r="F22" s="111"/>
      <c r="G22" s="111"/>
      <c r="H22" s="109"/>
      <c r="I22" s="111"/>
      <c r="J22" s="109"/>
      <c r="K22" s="111"/>
      <c r="L22" s="109"/>
      <c r="M22" s="111"/>
      <c r="N22" s="109"/>
      <c r="O22" s="111"/>
      <c r="P22" s="109"/>
      <c r="Q22" s="109"/>
      <c r="R22" s="109"/>
    </row>
    <row r="23" spans="1:21" ht="14.1">
      <c r="A23" s="58" t="s">
        <v>721</v>
      </c>
      <c r="B23" s="135">
        <v>0.52</v>
      </c>
      <c r="C23" s="58" t="s">
        <v>722</v>
      </c>
      <c r="D23" s="442" t="s">
        <v>238</v>
      </c>
      <c r="E23" s="443"/>
      <c r="F23" s="444">
        <v>0.52</v>
      </c>
      <c r="G23" s="443">
        <f>(G11+G14+G12+G13)*$F$23</f>
        <v>10171.200000000001</v>
      </c>
      <c r="H23" s="443"/>
      <c r="I23" s="443">
        <f>(I11+I14+I12+I13)*$F$23</f>
        <v>20952.671999999999</v>
      </c>
      <c r="J23" s="443"/>
      <c r="K23" s="443">
        <f>(K11+K14+K12+K13)*$F$23</f>
        <v>21581.252160000004</v>
      </c>
      <c r="L23" s="443"/>
      <c r="M23" s="443">
        <f>(M11+M14+M12+M13)*$F$23</f>
        <v>22228.689724800002</v>
      </c>
      <c r="N23" s="443"/>
      <c r="O23" s="443">
        <f>(O11+O14+O12+O13)*$F$23</f>
        <v>11447.775208272002</v>
      </c>
      <c r="P23" s="443">
        <f>SUM(G23+I23+K23+M23+O23)</f>
        <v>86381.589093072005</v>
      </c>
      <c r="Q23" s="119" t="s">
        <v>243</v>
      </c>
      <c r="R23" s="119">
        <f>SUM(P23:Q23)</f>
        <v>86381.589093072005</v>
      </c>
    </row>
    <row r="24" spans="1:21" ht="14.1">
      <c r="A24" s="58" t="s">
        <v>723</v>
      </c>
      <c r="B24" s="135">
        <v>0.52</v>
      </c>
      <c r="C24" s="58" t="s">
        <v>722</v>
      </c>
      <c r="D24" s="442" t="s">
        <v>238</v>
      </c>
      <c r="E24" s="443"/>
      <c r="F24" s="444">
        <v>0.52</v>
      </c>
      <c r="G24" s="443">
        <f>(G16+G17+G18+G19)*$F$24</f>
        <v>14664</v>
      </c>
      <c r="H24" s="443"/>
      <c r="I24" s="443">
        <f>(I16+I17+I18+I19)*$F$24</f>
        <v>30207.84</v>
      </c>
      <c r="J24" s="443"/>
      <c r="K24" s="443">
        <f>(K16+K17+K18+K19)*$F$24</f>
        <v>31114.075199999999</v>
      </c>
      <c r="L24" s="443"/>
      <c r="M24" s="443">
        <f>(M16+M17+M18+M19)*$F$24</f>
        <v>32047.497456000005</v>
      </c>
      <c r="N24" s="443"/>
      <c r="O24" s="443">
        <f>(O16+O17+O18+O19)*$F$24</f>
        <v>16504.461189840003</v>
      </c>
      <c r="P24" s="443">
        <f>SUM(G24+I24+K24+M24+O24)</f>
        <v>124537.87384584</v>
      </c>
      <c r="Q24" s="119" t="s">
        <v>243</v>
      </c>
      <c r="R24" s="119">
        <f>SUM(P24:Q24)</f>
        <v>124537.87384584</v>
      </c>
    </row>
    <row r="25" spans="1:21">
      <c r="A25" s="109" t="s">
        <v>370</v>
      </c>
      <c r="B25" s="122"/>
      <c r="C25" s="123"/>
      <c r="D25" s="124"/>
      <c r="E25" s="124"/>
      <c r="F25" s="125"/>
      <c r="G25" s="125">
        <f>SUM(G23:G24)</f>
        <v>24835.200000000001</v>
      </c>
      <c r="H25" s="125"/>
      <c r="I25" s="125">
        <f>SUM(I23:I24)</f>
        <v>51160.512000000002</v>
      </c>
      <c r="J25" s="125"/>
      <c r="K25" s="125">
        <f>SUM(K23:K24)</f>
        <v>52695.327360000003</v>
      </c>
      <c r="L25" s="125"/>
      <c r="M25" s="125">
        <f>SUM(M23:M24)</f>
        <v>54276.187180800007</v>
      </c>
      <c r="N25" s="125"/>
      <c r="O25" s="125">
        <f>SUM(O23:O24)</f>
        <v>27952.236398112007</v>
      </c>
      <c r="P25" s="125">
        <f>SUM(P23:P24)</f>
        <v>210919.46293891201</v>
      </c>
      <c r="Q25" s="125">
        <f>SUM(Q23:Q24)</f>
        <v>0</v>
      </c>
      <c r="R25" s="125">
        <f>SUM(R23:R24)</f>
        <v>210919.46293891201</v>
      </c>
    </row>
    <row r="26" spans="1:21">
      <c r="B26" s="56"/>
      <c r="F26" s="56"/>
      <c r="G26" s="56"/>
      <c r="I26" s="56"/>
      <c r="K26" s="56"/>
      <c r="M26" s="56"/>
      <c r="O26" s="56"/>
    </row>
    <row r="27" spans="1:21">
      <c r="A27" s="109" t="s">
        <v>724</v>
      </c>
      <c r="B27" s="110"/>
      <c r="C27" s="109"/>
      <c r="D27" s="109"/>
      <c r="E27" s="109"/>
      <c r="F27" s="111"/>
      <c r="G27" s="111"/>
      <c r="H27" s="109"/>
      <c r="I27" s="111"/>
      <c r="J27" s="109"/>
      <c r="K27" s="111"/>
      <c r="L27" s="109"/>
      <c r="M27" s="111"/>
      <c r="N27" s="109"/>
      <c r="O27" s="111"/>
      <c r="P27" s="109"/>
      <c r="Q27" s="109"/>
      <c r="R27" s="109"/>
    </row>
    <row r="28" spans="1:21">
      <c r="A28" s="58" t="s">
        <v>725</v>
      </c>
      <c r="B28" s="58"/>
      <c r="C28" s="58" t="s">
        <v>95</v>
      </c>
      <c r="D28" s="126" t="s">
        <v>221</v>
      </c>
      <c r="E28" s="119">
        <v>6</v>
      </c>
      <c r="F28" s="119">
        <v>300</v>
      </c>
      <c r="G28" s="119">
        <f>E28*F28</f>
        <v>1800</v>
      </c>
      <c r="H28" s="119">
        <v>12</v>
      </c>
      <c r="I28" s="119">
        <f>H28*F28</f>
        <v>3600</v>
      </c>
      <c r="J28" s="119">
        <v>12</v>
      </c>
      <c r="K28" s="119">
        <f>J28*F28</f>
        <v>3600</v>
      </c>
      <c r="L28" s="119">
        <v>12</v>
      </c>
      <c r="M28" s="119">
        <f>L28*F28</f>
        <v>3600</v>
      </c>
      <c r="N28" s="119">
        <v>6</v>
      </c>
      <c r="O28" s="119">
        <f>N28*F28</f>
        <v>1800</v>
      </c>
      <c r="P28" s="119">
        <f>G28+I28+K28+M28+O28</f>
        <v>14400</v>
      </c>
      <c r="Q28" s="119" t="s">
        <v>243</v>
      </c>
      <c r="R28" s="119">
        <f>SUM(P28:Q28)</f>
        <v>14400</v>
      </c>
    </row>
    <row r="29" spans="1:21">
      <c r="A29" s="137" t="s">
        <v>726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</row>
    <row r="30" spans="1:21">
      <c r="A30" s="58" t="s">
        <v>727</v>
      </c>
      <c r="B30" s="58"/>
      <c r="C30" s="58" t="s">
        <v>95</v>
      </c>
      <c r="D30" s="126" t="s">
        <v>255</v>
      </c>
      <c r="E30" s="119">
        <f>17*2</f>
        <v>34</v>
      </c>
      <c r="F30" s="119">
        <v>250</v>
      </c>
      <c r="G30" s="119">
        <f>E30*F30</f>
        <v>8500</v>
      </c>
      <c r="H30" s="119">
        <f>17*2</f>
        <v>34</v>
      </c>
      <c r="I30" s="119">
        <f>H30*F30</f>
        <v>8500</v>
      </c>
      <c r="J30" s="119">
        <f>17*2</f>
        <v>34</v>
      </c>
      <c r="K30" s="119">
        <f>J30*F30</f>
        <v>8500</v>
      </c>
      <c r="L30" s="119">
        <f>17*2</f>
        <v>34</v>
      </c>
      <c r="M30" s="119">
        <f>L30*F30</f>
        <v>8500</v>
      </c>
      <c r="N30" s="119">
        <f>17*2</f>
        <v>34</v>
      </c>
      <c r="O30" s="119">
        <f>N30*F30</f>
        <v>8500</v>
      </c>
      <c r="P30" s="119">
        <f>G30+I30+K30+M30+O30</f>
        <v>42500</v>
      </c>
      <c r="Q30" s="119" t="s">
        <v>243</v>
      </c>
      <c r="R30" s="119">
        <f>SUM(P30:Q30)</f>
        <v>42500</v>
      </c>
    </row>
    <row r="31" spans="1:21">
      <c r="A31" s="58" t="s">
        <v>728</v>
      </c>
      <c r="B31" s="58"/>
      <c r="C31" s="58" t="s">
        <v>95</v>
      </c>
      <c r="D31" s="126" t="s">
        <v>259</v>
      </c>
      <c r="E31" s="119">
        <f>E30*3*2</f>
        <v>204</v>
      </c>
      <c r="F31" s="119">
        <v>75</v>
      </c>
      <c r="G31" s="119">
        <f>E31*F31</f>
        <v>15300</v>
      </c>
      <c r="H31" s="119">
        <f>H30*3*2</f>
        <v>204</v>
      </c>
      <c r="I31" s="119">
        <f>H31*F31</f>
        <v>15300</v>
      </c>
      <c r="J31" s="119">
        <f>J30*3*2</f>
        <v>204</v>
      </c>
      <c r="K31" s="119">
        <f>J31*F31</f>
        <v>15300</v>
      </c>
      <c r="L31" s="119">
        <f>L30*3*2</f>
        <v>204</v>
      </c>
      <c r="M31" s="119">
        <f>L31*F31</f>
        <v>15300</v>
      </c>
      <c r="N31" s="119">
        <f>N30*3*2</f>
        <v>204</v>
      </c>
      <c r="O31" s="119">
        <f>N31*F31</f>
        <v>15300</v>
      </c>
      <c r="P31" s="119">
        <f>G31+I31+K31+M31+O31</f>
        <v>76500</v>
      </c>
      <c r="Q31" s="119" t="s">
        <v>243</v>
      </c>
      <c r="R31" s="119">
        <f>SUM(P31:Q31)</f>
        <v>76500</v>
      </c>
    </row>
    <row r="32" spans="1:21">
      <c r="A32" s="58" t="s">
        <v>729</v>
      </c>
      <c r="B32" s="58"/>
      <c r="C32" s="58" t="s">
        <v>95</v>
      </c>
      <c r="D32" s="126" t="s">
        <v>259</v>
      </c>
      <c r="E32" s="119">
        <f>E30*3*2</f>
        <v>204</v>
      </c>
      <c r="F32" s="119">
        <v>98</v>
      </c>
      <c r="G32" s="119">
        <f>E32*F32</f>
        <v>19992</v>
      </c>
      <c r="H32" s="119">
        <f>H30*3*2</f>
        <v>204</v>
      </c>
      <c r="I32" s="119">
        <f>H32*F32</f>
        <v>19992</v>
      </c>
      <c r="J32" s="119">
        <f>J30*3*2</f>
        <v>204</v>
      </c>
      <c r="K32" s="119">
        <f>J32*F32</f>
        <v>19992</v>
      </c>
      <c r="L32" s="119">
        <f>L30*3*2</f>
        <v>204</v>
      </c>
      <c r="M32" s="119">
        <f>L32*F32</f>
        <v>19992</v>
      </c>
      <c r="N32" s="119">
        <f>N30*3*2</f>
        <v>204</v>
      </c>
      <c r="O32" s="119">
        <f>N32*F32</f>
        <v>19992</v>
      </c>
      <c r="P32" s="119">
        <f>G32+I32+K32+M32+O32</f>
        <v>99960</v>
      </c>
      <c r="Q32" s="119" t="s">
        <v>243</v>
      </c>
      <c r="R32" s="119">
        <f>SUM(P32:Q32)</f>
        <v>99960</v>
      </c>
    </row>
    <row r="33" spans="1:18">
      <c r="A33" s="58" t="s">
        <v>730</v>
      </c>
      <c r="B33" s="58"/>
      <c r="C33" s="58" t="s">
        <v>95</v>
      </c>
      <c r="D33" s="126" t="s">
        <v>221</v>
      </c>
      <c r="E33" s="119">
        <v>6</v>
      </c>
      <c r="F33" s="119">
        <v>300</v>
      </c>
      <c r="G33" s="119">
        <f>E33*F33</f>
        <v>1800</v>
      </c>
      <c r="H33" s="119">
        <v>8</v>
      </c>
      <c r="I33" s="119">
        <f>H33*F33</f>
        <v>2400</v>
      </c>
      <c r="J33" s="119">
        <v>8</v>
      </c>
      <c r="K33" s="119">
        <f>J33*F33</f>
        <v>2400</v>
      </c>
      <c r="L33" s="119">
        <v>8</v>
      </c>
      <c r="M33" s="119">
        <f>L33*F33</f>
        <v>2400</v>
      </c>
      <c r="N33" s="119">
        <v>6</v>
      </c>
      <c r="O33" s="119">
        <f>N33*F33</f>
        <v>1800</v>
      </c>
      <c r="P33" s="119">
        <f>G33+I33+K33+M33+O33</f>
        <v>10800</v>
      </c>
      <c r="Q33" s="119" t="s">
        <v>243</v>
      </c>
      <c r="R33" s="119">
        <f>SUM(P33:Q33)</f>
        <v>10800</v>
      </c>
    </row>
    <row r="34" spans="1:18">
      <c r="A34" s="109" t="s">
        <v>731</v>
      </c>
      <c r="B34" s="122"/>
      <c r="C34" s="123"/>
      <c r="D34" s="124"/>
      <c r="E34" s="124"/>
      <c r="F34" s="125"/>
      <c r="G34" s="125">
        <f>SUM(G28:G33)</f>
        <v>47392</v>
      </c>
      <c r="H34" s="125"/>
      <c r="I34" s="125">
        <f>SUM(I28:I33)</f>
        <v>49792</v>
      </c>
      <c r="J34" s="125"/>
      <c r="K34" s="125">
        <f>SUM(K28:K33)</f>
        <v>49792</v>
      </c>
      <c r="L34" s="125"/>
      <c r="M34" s="125">
        <f>SUM(M28:M33)</f>
        <v>49792</v>
      </c>
      <c r="N34" s="125"/>
      <c r="O34" s="125">
        <f>SUM(O28:O33)</f>
        <v>47392</v>
      </c>
      <c r="P34" s="125">
        <f>SUM(P28:P33)</f>
        <v>244160</v>
      </c>
      <c r="Q34" s="125">
        <f>SUM(Q28:Q33)</f>
        <v>0</v>
      </c>
      <c r="R34" s="125">
        <f>SUM(R28:R33)</f>
        <v>244160</v>
      </c>
    </row>
    <row r="36" spans="1:18">
      <c r="A36" s="109" t="s">
        <v>732</v>
      </c>
      <c r="B36" s="122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</row>
    <row r="37" spans="1:18">
      <c r="A37" s="58" t="s">
        <v>733</v>
      </c>
      <c r="B37" s="152"/>
      <c r="C37" s="58" t="s">
        <v>99</v>
      </c>
      <c r="D37" s="58" t="s">
        <v>281</v>
      </c>
      <c r="E37" s="119">
        <v>6</v>
      </c>
      <c r="F37" s="119">
        <v>1100</v>
      </c>
      <c r="G37" s="119">
        <f t="shared" ref="G37" si="8">E37*F37</f>
        <v>6600</v>
      </c>
      <c r="H37" s="119">
        <v>0</v>
      </c>
      <c r="I37" s="119">
        <f t="shared" ref="I37" si="9">H37*F37</f>
        <v>0</v>
      </c>
      <c r="J37" s="119">
        <v>0</v>
      </c>
      <c r="K37" s="119">
        <f t="shared" ref="K37" si="10">J37*F37</f>
        <v>0</v>
      </c>
      <c r="L37" s="119">
        <v>0</v>
      </c>
      <c r="M37" s="119">
        <f t="shared" ref="M37" si="11">L37*F37</f>
        <v>0</v>
      </c>
      <c r="N37" s="119">
        <v>0</v>
      </c>
      <c r="O37" s="119">
        <f t="shared" ref="O37" si="12">N37*F37</f>
        <v>0</v>
      </c>
      <c r="P37" s="119">
        <f t="shared" ref="P37" si="13">G37+I37+K37+M37+O37</f>
        <v>6600</v>
      </c>
      <c r="Q37" s="119">
        <v>0</v>
      </c>
      <c r="R37" s="119">
        <f t="shared" ref="R37" si="14">SUM(P37:Q37)</f>
        <v>6600</v>
      </c>
    </row>
    <row r="38" spans="1:18">
      <c r="A38" s="109" t="s">
        <v>734</v>
      </c>
      <c r="B38" s="122"/>
      <c r="C38" s="123"/>
      <c r="D38" s="124"/>
      <c r="E38" s="125"/>
      <c r="F38" s="125"/>
      <c r="G38" s="125">
        <f>SUM(G37:G37)</f>
        <v>6600</v>
      </c>
      <c r="H38" s="125"/>
      <c r="I38" s="125">
        <f>SUM(I37:I37)</f>
        <v>0</v>
      </c>
      <c r="J38" s="125"/>
      <c r="K38" s="125">
        <f>SUM(K37:K37)</f>
        <v>0</v>
      </c>
      <c r="L38" s="125"/>
      <c r="M38" s="125">
        <f>SUM(M37:M37)</f>
        <v>0</v>
      </c>
      <c r="N38" s="125"/>
      <c r="O38" s="125">
        <f>SUM(O37:O37)</f>
        <v>0</v>
      </c>
      <c r="P38" s="125">
        <f>SUM(P37:P37)</f>
        <v>6600</v>
      </c>
      <c r="Q38" s="125">
        <f>SUM(Q37:Q37)</f>
        <v>0</v>
      </c>
      <c r="R38" s="125">
        <f>SUM(R37:R37)</f>
        <v>6600</v>
      </c>
    </row>
    <row r="39" spans="1:18">
      <c r="B39" s="56"/>
      <c r="F39" s="56"/>
      <c r="G39" s="56"/>
      <c r="I39" s="56"/>
      <c r="K39" s="56"/>
      <c r="M39" s="56"/>
      <c r="O39" s="56"/>
    </row>
    <row r="40" spans="1:18">
      <c r="A40" s="109" t="s">
        <v>735</v>
      </c>
      <c r="B40" s="122"/>
      <c r="C40" s="123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</row>
    <row r="41" spans="1:18">
      <c r="A41" s="58" t="s">
        <v>736</v>
      </c>
      <c r="B41" s="152"/>
      <c r="C41" s="58" t="s">
        <v>737</v>
      </c>
      <c r="D41" s="58" t="s">
        <v>281</v>
      </c>
      <c r="E41" s="119">
        <v>17</v>
      </c>
      <c r="F41" s="119">
        <v>500</v>
      </c>
      <c r="G41" s="119">
        <f t="shared" ref="G41" si="15">E41*F41</f>
        <v>8500</v>
      </c>
      <c r="H41" s="119">
        <v>17</v>
      </c>
      <c r="I41" s="119">
        <f t="shared" ref="I41" si="16">H41*F41</f>
        <v>8500</v>
      </c>
      <c r="J41" s="119">
        <v>17</v>
      </c>
      <c r="K41" s="119">
        <f t="shared" ref="K41" si="17">J41*F41</f>
        <v>8500</v>
      </c>
      <c r="L41" s="119">
        <v>17</v>
      </c>
      <c r="M41" s="119">
        <f t="shared" ref="M41" si="18">L41*F41</f>
        <v>8500</v>
      </c>
      <c r="N41" s="119">
        <v>17</v>
      </c>
      <c r="O41" s="119">
        <f t="shared" ref="O41" si="19">N41*F41</f>
        <v>8500</v>
      </c>
      <c r="P41" s="119">
        <f t="shared" ref="P41" si="20">G41+I41+K41+M41+O41</f>
        <v>42500</v>
      </c>
      <c r="Q41" s="119">
        <v>0</v>
      </c>
      <c r="R41" s="119">
        <f t="shared" ref="R41" si="21">SUM(P41:Q41)</f>
        <v>42500</v>
      </c>
    </row>
    <row r="42" spans="1:18">
      <c r="A42" s="109" t="s">
        <v>738</v>
      </c>
      <c r="B42" s="122"/>
      <c r="C42" s="123"/>
      <c r="D42" s="124"/>
      <c r="E42" s="125"/>
      <c r="F42" s="125"/>
      <c r="G42" s="125">
        <f>SUM(G41:G41)</f>
        <v>8500</v>
      </c>
      <c r="H42" s="125"/>
      <c r="I42" s="125">
        <f>SUM(I41:I41)</f>
        <v>8500</v>
      </c>
      <c r="J42" s="125"/>
      <c r="K42" s="125">
        <f>SUM(K41:K41)</f>
        <v>8500</v>
      </c>
      <c r="L42" s="125"/>
      <c r="M42" s="125">
        <f>SUM(M41:M41)</f>
        <v>8500</v>
      </c>
      <c r="N42" s="125"/>
      <c r="O42" s="125">
        <f>SUM(O41:O41)</f>
        <v>8500</v>
      </c>
      <c r="P42" s="125">
        <f>SUM(P41:P41)</f>
        <v>42500</v>
      </c>
      <c r="Q42" s="125">
        <f>SUM(Q41:Q41)</f>
        <v>0</v>
      </c>
      <c r="R42" s="125">
        <f>SUM(R41:R41)</f>
        <v>42500</v>
      </c>
    </row>
    <row r="43" spans="1:18">
      <c r="B43" s="56"/>
      <c r="F43" s="56"/>
      <c r="G43" s="56"/>
      <c r="I43" s="56"/>
      <c r="K43" s="56"/>
      <c r="M43" s="56"/>
      <c r="O43" s="56"/>
    </row>
    <row r="44" spans="1:18" ht="12.9" thickBot="1">
      <c r="A44" s="143" t="s">
        <v>739</v>
      </c>
      <c r="B44" s="143"/>
      <c r="C44" s="143"/>
      <c r="D44" s="144"/>
      <c r="E44" s="144"/>
      <c r="F44" s="145"/>
      <c r="G44" s="146">
        <f>G38+G42+G34+G25+G20</f>
        <v>135087.20000000001</v>
      </c>
      <c r="H44" s="146"/>
      <c r="I44" s="146">
        <f>I38+I42+I34+I25+I20</f>
        <v>207838.11200000002</v>
      </c>
      <c r="J44" s="146"/>
      <c r="K44" s="146">
        <f>K38+K42+K34+K25+K20</f>
        <v>212324.49536</v>
      </c>
      <c r="L44" s="146"/>
      <c r="M44" s="146">
        <f>M38+M42+M34+M25+M20</f>
        <v>216945.47022080002</v>
      </c>
      <c r="N44" s="146"/>
      <c r="O44" s="146">
        <f>O38+O42+O34+O25+O20</f>
        <v>137598.53716371203</v>
      </c>
      <c r="P44" s="146">
        <f>P38+P42+P34+P25+P20</f>
        <v>909793.81474451197</v>
      </c>
      <c r="Q44" s="146">
        <f>Q38+Q42+Q34+Q25+Q20</f>
        <v>0</v>
      </c>
      <c r="R44" s="146">
        <f>R38+R42+R34+R25+R20</f>
        <v>909793.81474451197</v>
      </c>
    </row>
    <row r="46" spans="1:18">
      <c r="A46" s="147" t="s">
        <v>740</v>
      </c>
      <c r="B46" s="148"/>
      <c r="C46" s="58" t="s">
        <v>741</v>
      </c>
      <c r="D46" s="149"/>
      <c r="E46" s="149"/>
      <c r="F46" s="150">
        <v>0.1</v>
      </c>
      <c r="G46" s="151">
        <f>$F$46*G44</f>
        <v>13508.720000000001</v>
      </c>
      <c r="H46" s="151"/>
      <c r="I46" s="151">
        <f>$F$46*I44</f>
        <v>20783.811200000004</v>
      </c>
      <c r="J46" s="151"/>
      <c r="K46" s="151">
        <f>$F$46*K44</f>
        <v>21232.449536</v>
      </c>
      <c r="L46" s="94"/>
      <c r="M46" s="151">
        <f>$F$46*M44</f>
        <v>21694.547022080005</v>
      </c>
      <c r="N46" s="94"/>
      <c r="O46" s="151">
        <f>$F$46*O44</f>
        <v>13759.853716371203</v>
      </c>
      <c r="P46" s="151">
        <f>O46+M46+K46+I46+G46</f>
        <v>90979.38147445122</v>
      </c>
      <c r="Q46" s="151">
        <v>0</v>
      </c>
      <c r="R46" s="151">
        <f>SUM(P46:Q46)</f>
        <v>90979.38147445122</v>
      </c>
    </row>
    <row r="47" spans="1:18">
      <c r="A47" s="120"/>
      <c r="B47" s="118"/>
      <c r="C47" s="120"/>
      <c r="D47" s="126"/>
      <c r="E47" s="58"/>
      <c r="F47" s="128"/>
      <c r="H47" s="94"/>
      <c r="J47" s="94"/>
      <c r="L47" s="94"/>
      <c r="N47" s="94"/>
      <c r="P47" s="94"/>
      <c r="Q47" s="94"/>
      <c r="R47" s="94"/>
    </row>
    <row r="48" spans="1:18" ht="12.9" thickBot="1">
      <c r="A48" s="132" t="s">
        <v>179</v>
      </c>
      <c r="B48" s="133"/>
      <c r="C48" s="132"/>
      <c r="D48" s="132"/>
      <c r="E48" s="132"/>
      <c r="F48" s="132"/>
      <c r="G48" s="134">
        <f>G46+G44</f>
        <v>148595.92000000001</v>
      </c>
      <c r="H48" s="132"/>
      <c r="I48" s="134">
        <f>I46+I44</f>
        <v>228621.92320000002</v>
      </c>
      <c r="J48" s="132"/>
      <c r="K48" s="134">
        <f>K46+K44</f>
        <v>233556.944896</v>
      </c>
      <c r="L48" s="132"/>
      <c r="M48" s="134">
        <f>M46+M44</f>
        <v>238640.01724288001</v>
      </c>
      <c r="N48" s="132"/>
      <c r="O48" s="134">
        <f>O46+O44</f>
        <v>151358.39088008323</v>
      </c>
      <c r="P48" s="134">
        <f>P46+P44</f>
        <v>1000773.1962189632</v>
      </c>
      <c r="Q48" s="134">
        <f>Q46+Q44</f>
        <v>0</v>
      </c>
      <c r="R48" s="134">
        <f>R46+R44</f>
        <v>1000773.1962189632</v>
      </c>
    </row>
    <row r="50" spans="1:18" ht="12.9" thickBot="1">
      <c r="A50" s="132" t="s">
        <v>742</v>
      </c>
      <c r="B50" s="133"/>
      <c r="C50" s="132"/>
      <c r="D50" s="132"/>
      <c r="E50" s="132"/>
      <c r="F50" s="132"/>
      <c r="G50" s="134">
        <f>G48</f>
        <v>148595.92000000001</v>
      </c>
      <c r="H50" s="132"/>
      <c r="I50" s="134">
        <f>I48</f>
        <v>228621.92320000002</v>
      </c>
      <c r="J50" s="132"/>
      <c r="K50" s="134">
        <f>K48</f>
        <v>233556.944896</v>
      </c>
      <c r="L50" s="132"/>
      <c r="M50" s="134">
        <f>M48</f>
        <v>238640.01724288001</v>
      </c>
      <c r="N50" s="132"/>
      <c r="O50" s="134">
        <f>O48</f>
        <v>151358.39088008323</v>
      </c>
      <c r="P50" s="134">
        <f>P48</f>
        <v>1000773.1962189632</v>
      </c>
      <c r="Q50" s="134">
        <f>Q48</f>
        <v>0</v>
      </c>
      <c r="R50" s="134">
        <f>R48</f>
        <v>1000773.1962189632</v>
      </c>
    </row>
    <row r="51" spans="1:18">
      <c r="R51" s="95"/>
    </row>
    <row r="52" spans="1:18">
      <c r="R52" s="95"/>
    </row>
    <row r="53" spans="1:18">
      <c r="P53" s="163"/>
    </row>
  </sheetData>
  <mergeCells count="5">
    <mergeCell ref="A1:R1"/>
    <mergeCell ref="A2:R2"/>
    <mergeCell ref="A3:R3"/>
    <mergeCell ref="A4:B4"/>
    <mergeCell ref="M6:P6"/>
  </mergeCells>
  <phoneticPr fontId="1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01A8-436F-4D46-8B95-2D0D952DB9AB}">
  <dimension ref="A1:T160"/>
  <sheetViews>
    <sheetView zoomScale="74" zoomScaleNormal="90" workbookViewId="0">
      <pane ySplit="8" topLeftCell="A96" activePane="bottomLeft" state="frozen"/>
      <selection pane="bottomLeft" activeCell="I115" sqref="I115"/>
    </sheetView>
  </sheetViews>
  <sheetFormatPr defaultColWidth="8.71875" defaultRowHeight="12.6"/>
  <cols>
    <col min="1" max="1" width="80.5546875" style="56" bestFit="1" customWidth="1"/>
    <col min="2" max="2" width="6" style="92" bestFit="1" customWidth="1"/>
    <col min="3" max="3" width="13" style="56" bestFit="1" customWidth="1"/>
    <col min="4" max="4" width="7" style="56" bestFit="1" customWidth="1"/>
    <col min="5" max="5" width="5.1640625" style="56" bestFit="1" customWidth="1"/>
    <col min="6" max="6" width="9" style="94" bestFit="1" customWidth="1"/>
    <col min="7" max="7" width="10" style="94" bestFit="1" customWidth="1"/>
    <col min="8" max="8" width="8.27734375" style="56" bestFit="1" customWidth="1"/>
    <col min="9" max="9" width="10" style="94" bestFit="1" customWidth="1"/>
    <col min="10" max="10" width="8.27734375" style="56" bestFit="1" customWidth="1"/>
    <col min="11" max="11" width="9" style="94" bestFit="1" customWidth="1"/>
    <col min="12" max="12" width="4.83203125" style="56" bestFit="1" customWidth="1"/>
    <col min="13" max="13" width="9" style="94" bestFit="1" customWidth="1"/>
    <col min="14" max="14" width="4.83203125" style="56" bestFit="1" customWidth="1"/>
    <col min="15" max="15" width="7.5546875" style="94" bestFit="1" customWidth="1"/>
    <col min="16" max="16" width="11.5546875" style="56" bestFit="1" customWidth="1"/>
    <col min="17" max="17" width="7.1640625" style="56" customWidth="1"/>
    <col min="18" max="18" width="10.44140625" style="56" bestFit="1" customWidth="1"/>
    <col min="19" max="16384" width="8.71875" style="56"/>
  </cols>
  <sheetData>
    <row r="1" spans="1:18" ht="13.8">
      <c r="A1" s="553" t="s">
        <v>705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</row>
    <row r="2" spans="1:18" ht="13.8">
      <c r="A2" s="554" t="s">
        <v>743</v>
      </c>
      <c r="B2" s="554"/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</row>
    <row r="3" spans="1:18" ht="13.8">
      <c r="A3" s="555" t="s">
        <v>744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</row>
    <row r="4" spans="1:18" ht="13.5" customHeight="1">
      <c r="A4" s="556" t="s">
        <v>191</v>
      </c>
      <c r="B4" s="556"/>
      <c r="C4" s="52"/>
      <c r="D4" s="52"/>
      <c r="E4" s="52"/>
      <c r="F4" s="52"/>
      <c r="G4" s="52"/>
      <c r="H4" s="52"/>
      <c r="I4" s="52"/>
      <c r="J4" s="52"/>
      <c r="K4" s="52"/>
      <c r="M4" s="361"/>
      <c r="N4" s="361"/>
      <c r="O4" s="361"/>
      <c r="P4" s="361"/>
      <c r="Q4" s="361"/>
      <c r="R4" s="361"/>
    </row>
    <row r="5" spans="1:18">
      <c r="A5" s="72" t="s">
        <v>745</v>
      </c>
      <c r="B5" s="99">
        <v>1.01</v>
      </c>
      <c r="C5" s="52"/>
      <c r="D5" s="58"/>
      <c r="E5" s="58"/>
      <c r="F5" s="128"/>
      <c r="H5" s="94"/>
      <c r="J5" s="94"/>
      <c r="L5" s="94"/>
      <c r="N5" s="94"/>
      <c r="P5" s="94"/>
      <c r="Q5" s="94"/>
      <c r="R5" s="94"/>
    </row>
    <row r="6" spans="1:18">
      <c r="A6" s="72" t="s">
        <v>746</v>
      </c>
      <c r="B6" s="99">
        <v>1.04</v>
      </c>
      <c r="C6" s="52"/>
      <c r="D6" s="559"/>
      <c r="E6" s="559"/>
      <c r="F6" s="559"/>
      <c r="G6" s="559"/>
      <c r="H6" s="559"/>
      <c r="J6" s="94"/>
      <c r="L6" s="94"/>
      <c r="N6" s="94"/>
      <c r="Q6" s="94"/>
      <c r="R6" s="94"/>
    </row>
    <row r="7" spans="1:18">
      <c r="A7" s="58"/>
      <c r="B7" s="100"/>
      <c r="C7" s="52"/>
      <c r="D7" s="58"/>
      <c r="E7" s="58"/>
      <c r="F7" s="128"/>
      <c r="H7" s="94"/>
      <c r="J7" s="94"/>
      <c r="L7" s="94"/>
      <c r="N7" s="94"/>
      <c r="Q7" s="94"/>
      <c r="R7" s="94"/>
    </row>
    <row r="8" spans="1:18" ht="49.8" thickBot="1">
      <c r="A8" s="101" t="s">
        <v>138</v>
      </c>
      <c r="B8" s="101" t="s">
        <v>708</v>
      </c>
      <c r="C8" s="101" t="s">
        <v>709</v>
      </c>
      <c r="D8" s="101" t="s">
        <v>206</v>
      </c>
      <c r="E8" s="101" t="s">
        <v>207</v>
      </c>
      <c r="F8" s="102" t="s">
        <v>139</v>
      </c>
      <c r="G8" s="103" t="s">
        <v>140</v>
      </c>
      <c r="H8" s="101" t="s">
        <v>207</v>
      </c>
      <c r="I8" s="103" t="s">
        <v>141</v>
      </c>
      <c r="J8" s="101" t="s">
        <v>207</v>
      </c>
      <c r="K8" s="103" t="s">
        <v>142</v>
      </c>
      <c r="L8" s="101" t="s">
        <v>207</v>
      </c>
      <c r="M8" s="103" t="s">
        <v>143</v>
      </c>
      <c r="N8" s="101" t="s">
        <v>207</v>
      </c>
      <c r="O8" s="103" t="s">
        <v>144</v>
      </c>
      <c r="P8" s="102" t="s">
        <v>710</v>
      </c>
      <c r="Q8" s="102" t="s">
        <v>212</v>
      </c>
      <c r="R8" s="102" t="s">
        <v>213</v>
      </c>
    </row>
    <row r="9" spans="1:18" ht="24.6">
      <c r="A9" s="104" t="str">
        <f>'USDA Budget Summary'!A28</f>
        <v>Activity 1: Value Chain Development (Value Chain Analysis, Carbon Assessment, and Living Incomes)</v>
      </c>
      <c r="B9" s="105"/>
      <c r="C9" s="104"/>
      <c r="D9" s="106"/>
      <c r="E9" s="106"/>
      <c r="F9" s="107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</row>
    <row r="10" spans="1:18">
      <c r="A10" s="109" t="s">
        <v>350</v>
      </c>
      <c r="B10" s="110"/>
      <c r="C10" s="109"/>
      <c r="D10" s="109"/>
      <c r="E10" s="109"/>
      <c r="F10" s="111"/>
      <c r="G10" s="111"/>
      <c r="H10" s="109"/>
      <c r="I10" s="111"/>
      <c r="J10" s="109"/>
      <c r="K10" s="111"/>
      <c r="L10" s="109"/>
      <c r="M10" s="111"/>
      <c r="N10" s="109"/>
      <c r="O10" s="111"/>
      <c r="P10" s="109"/>
      <c r="Q10" s="109"/>
      <c r="R10" s="109"/>
    </row>
    <row r="11" spans="1:18">
      <c r="A11" s="112" t="s">
        <v>747</v>
      </c>
      <c r="B11" s="113"/>
      <c r="C11" s="112"/>
      <c r="D11" s="114"/>
      <c r="E11" s="115"/>
      <c r="F11" s="116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</row>
    <row r="12" spans="1:18">
      <c r="A12" s="120" t="s">
        <v>748</v>
      </c>
      <c r="B12" s="118">
        <v>1</v>
      </c>
      <c r="C12" s="120" t="s">
        <v>118</v>
      </c>
      <c r="D12" s="59" t="s">
        <v>221</v>
      </c>
      <c r="E12" s="119">
        <v>2</v>
      </c>
      <c r="F12" s="117">
        <v>2083</v>
      </c>
      <c r="G12" s="117">
        <f>E12*F12*B12</f>
        <v>4166</v>
      </c>
      <c r="H12" s="119">
        <v>1</v>
      </c>
      <c r="I12" s="119">
        <f>H12*F12*$B$6*B12</f>
        <v>2166.3200000000002</v>
      </c>
      <c r="J12" s="119">
        <v>0</v>
      </c>
      <c r="K12" s="119">
        <f>F12*J12*B12*$B$6*$B$6</f>
        <v>0</v>
      </c>
      <c r="L12" s="119">
        <v>0</v>
      </c>
      <c r="M12" s="119">
        <f>F12*L12*B12*$B$6*$B$6*$B$6</f>
        <v>0</v>
      </c>
      <c r="N12" s="119">
        <v>0</v>
      </c>
      <c r="O12" s="119">
        <f>N12*F12*B12*$B$6*$B$6*$B$6*$B$6</f>
        <v>0</v>
      </c>
      <c r="P12" s="119">
        <f t="shared" ref="P12:P19" si="0">SUM(G12+I12+K12+M12+O12)</f>
        <v>6332.32</v>
      </c>
      <c r="Q12" s="119">
        <v>0</v>
      </c>
      <c r="R12" s="119">
        <f t="shared" ref="R12:R19" si="1">SUM(P12:Q12)</f>
        <v>6332.32</v>
      </c>
    </row>
    <row r="13" spans="1:18">
      <c r="A13" s="120" t="s">
        <v>749</v>
      </c>
      <c r="B13" s="118">
        <v>0.5</v>
      </c>
      <c r="C13" s="120" t="s">
        <v>118</v>
      </c>
      <c r="D13" s="59" t="s">
        <v>221</v>
      </c>
      <c r="E13" s="119">
        <v>6</v>
      </c>
      <c r="F13" s="117">
        <v>3608</v>
      </c>
      <c r="G13" s="117">
        <f t="shared" ref="G13:G16" si="2">E13*F13*B13</f>
        <v>10824</v>
      </c>
      <c r="H13" s="119">
        <v>3</v>
      </c>
      <c r="I13" s="119">
        <f t="shared" ref="I13:I19" si="3">H13*F13*$B$6*B13</f>
        <v>5628.4800000000005</v>
      </c>
      <c r="J13" s="119">
        <v>0</v>
      </c>
      <c r="K13" s="119">
        <f t="shared" ref="K13:K19" si="4">F13*J13*B13*$B$6*$B$6</f>
        <v>0</v>
      </c>
      <c r="L13" s="119">
        <v>0</v>
      </c>
      <c r="M13" s="119">
        <f t="shared" ref="M13:M19" si="5">F13*L13*B13*$B$6*$B$6*$B$6</f>
        <v>0</v>
      </c>
      <c r="N13" s="119">
        <v>0</v>
      </c>
      <c r="O13" s="119">
        <f t="shared" ref="O13:O19" si="6">N13*F13*B13*$B$6*$B$6*$B$6*$B$6</f>
        <v>0</v>
      </c>
      <c r="P13" s="119">
        <f t="shared" ref="P13:P16" si="7">SUM(G13+I13+K13+M13+O13)</f>
        <v>16452.48</v>
      </c>
      <c r="Q13" s="119">
        <v>0</v>
      </c>
      <c r="R13" s="119">
        <f t="shared" ref="R13:R16" si="8">SUM(P13:Q13)</f>
        <v>16452.48</v>
      </c>
    </row>
    <row r="14" spans="1:18">
      <c r="A14" s="120" t="s">
        <v>750</v>
      </c>
      <c r="B14" s="118">
        <v>1</v>
      </c>
      <c r="C14" s="120" t="s">
        <v>118</v>
      </c>
      <c r="D14" s="59" t="s">
        <v>221</v>
      </c>
      <c r="E14" s="119">
        <v>6</v>
      </c>
      <c r="F14" s="117">
        <v>2816</v>
      </c>
      <c r="G14" s="117">
        <f t="shared" si="2"/>
        <v>16896</v>
      </c>
      <c r="H14" s="119">
        <v>3</v>
      </c>
      <c r="I14" s="119">
        <f t="shared" ref="I14" si="9">H14*F14*$B$6*B14</f>
        <v>8785.92</v>
      </c>
      <c r="J14" s="119">
        <v>0</v>
      </c>
      <c r="K14" s="119">
        <f t="shared" ref="K14" si="10">F14*J14*B14*$B$6*$B$6</f>
        <v>0</v>
      </c>
      <c r="L14" s="119">
        <v>0</v>
      </c>
      <c r="M14" s="119">
        <f t="shared" ref="M14" si="11">F14*L14*B14*$B$6*$B$6*$B$6</f>
        <v>0</v>
      </c>
      <c r="N14" s="119">
        <v>0</v>
      </c>
      <c r="O14" s="119">
        <f t="shared" ref="O14" si="12">N14*F14*B14*$B$6*$B$6*$B$6*$B$6</f>
        <v>0</v>
      </c>
      <c r="P14" s="119">
        <f t="shared" ref="P14" si="13">SUM(G14+I14+K14+M14+O14)</f>
        <v>25681.919999999998</v>
      </c>
      <c r="Q14" s="119">
        <v>0</v>
      </c>
      <c r="R14" s="119">
        <f t="shared" ref="R14" si="14">SUM(P14:Q14)</f>
        <v>25681.919999999998</v>
      </c>
    </row>
    <row r="15" spans="1:18">
      <c r="A15" s="120" t="s">
        <v>751</v>
      </c>
      <c r="B15" s="118">
        <v>1</v>
      </c>
      <c r="C15" s="120" t="s">
        <v>118</v>
      </c>
      <c r="D15" s="59" t="s">
        <v>221</v>
      </c>
      <c r="E15" s="119">
        <v>6</v>
      </c>
      <c r="F15" s="117">
        <v>1470</v>
      </c>
      <c r="G15" s="117">
        <f t="shared" si="2"/>
        <v>8820</v>
      </c>
      <c r="H15" s="119">
        <v>3</v>
      </c>
      <c r="I15" s="119">
        <f t="shared" si="3"/>
        <v>4586.4000000000005</v>
      </c>
      <c r="J15" s="119">
        <v>0</v>
      </c>
      <c r="K15" s="119">
        <f t="shared" si="4"/>
        <v>0</v>
      </c>
      <c r="L15" s="119">
        <v>0</v>
      </c>
      <c r="M15" s="119">
        <f t="shared" si="5"/>
        <v>0</v>
      </c>
      <c r="N15" s="119">
        <v>0</v>
      </c>
      <c r="O15" s="119">
        <f t="shared" si="6"/>
        <v>0</v>
      </c>
      <c r="P15" s="119">
        <f t="shared" si="7"/>
        <v>13406.400000000001</v>
      </c>
      <c r="Q15" s="119">
        <v>0</v>
      </c>
      <c r="R15" s="119">
        <f t="shared" si="8"/>
        <v>13406.400000000001</v>
      </c>
    </row>
    <row r="16" spans="1:18">
      <c r="A16" s="120" t="s">
        <v>752</v>
      </c>
      <c r="B16" s="118">
        <v>1</v>
      </c>
      <c r="C16" s="120" t="s">
        <v>118</v>
      </c>
      <c r="D16" s="59" t="s">
        <v>221</v>
      </c>
      <c r="E16" s="119">
        <v>6</v>
      </c>
      <c r="F16" s="117">
        <v>1641</v>
      </c>
      <c r="G16" s="117">
        <f t="shared" si="2"/>
        <v>9846</v>
      </c>
      <c r="H16" s="119">
        <v>3</v>
      </c>
      <c r="I16" s="119">
        <f t="shared" si="3"/>
        <v>5119.92</v>
      </c>
      <c r="J16" s="119">
        <v>0</v>
      </c>
      <c r="K16" s="119">
        <f t="shared" si="4"/>
        <v>0</v>
      </c>
      <c r="L16" s="119">
        <v>0</v>
      </c>
      <c r="M16" s="119">
        <f t="shared" si="5"/>
        <v>0</v>
      </c>
      <c r="N16" s="119">
        <v>0</v>
      </c>
      <c r="O16" s="119">
        <f t="shared" si="6"/>
        <v>0</v>
      </c>
      <c r="P16" s="119">
        <f t="shared" si="7"/>
        <v>14965.92</v>
      </c>
      <c r="Q16" s="119">
        <v>0</v>
      </c>
      <c r="R16" s="119">
        <f t="shared" si="8"/>
        <v>14965.92</v>
      </c>
    </row>
    <row r="17" spans="1:18">
      <c r="A17" s="120" t="s">
        <v>753</v>
      </c>
      <c r="B17" s="118">
        <v>1</v>
      </c>
      <c r="C17" s="120" t="s">
        <v>118</v>
      </c>
      <c r="D17" s="59" t="s">
        <v>221</v>
      </c>
      <c r="E17" s="119">
        <v>6</v>
      </c>
      <c r="F17" s="117">
        <v>1470</v>
      </c>
      <c r="G17" s="117">
        <f t="shared" ref="G17" si="15">E17*F17*B17</f>
        <v>8820</v>
      </c>
      <c r="H17" s="119">
        <v>3</v>
      </c>
      <c r="I17" s="119">
        <f t="shared" ref="I17" si="16">H17*F17*$B$6*B17</f>
        <v>4586.4000000000005</v>
      </c>
      <c r="J17" s="119">
        <v>0</v>
      </c>
      <c r="K17" s="119">
        <f t="shared" ref="K17" si="17">F17*J17*B17*$B$6*$B$6</f>
        <v>0</v>
      </c>
      <c r="L17" s="119">
        <v>0</v>
      </c>
      <c r="M17" s="119">
        <f t="shared" ref="M17" si="18">F17*L17*B17*$B$6*$B$6*$B$6</f>
        <v>0</v>
      </c>
      <c r="N17" s="119">
        <v>0</v>
      </c>
      <c r="O17" s="119">
        <f t="shared" ref="O17" si="19">N17*F17*B17*$B$6*$B$6*$B$6*$B$6</f>
        <v>0</v>
      </c>
      <c r="P17" s="119">
        <f t="shared" ref="P17" si="20">SUM(G17+I17+K17+M17+O17)</f>
        <v>13406.400000000001</v>
      </c>
      <c r="Q17" s="119">
        <v>0</v>
      </c>
      <c r="R17" s="119">
        <f t="shared" ref="R17" si="21">SUM(P17:Q17)</f>
        <v>13406.400000000001</v>
      </c>
    </row>
    <row r="18" spans="1:18">
      <c r="A18" s="120" t="s">
        <v>754</v>
      </c>
      <c r="B18" s="118">
        <v>1</v>
      </c>
      <c r="C18" s="120" t="s">
        <v>118</v>
      </c>
      <c r="D18" s="59" t="s">
        <v>221</v>
      </c>
      <c r="E18" s="119">
        <v>6</v>
      </c>
      <c r="F18" s="117">
        <v>1641</v>
      </c>
      <c r="G18" s="117">
        <f t="shared" ref="G18:G19" si="22">E18*F18*B18</f>
        <v>9846</v>
      </c>
      <c r="H18" s="119">
        <v>3</v>
      </c>
      <c r="I18" s="119">
        <f t="shared" si="3"/>
        <v>5119.92</v>
      </c>
      <c r="J18" s="119">
        <v>0</v>
      </c>
      <c r="K18" s="119">
        <f t="shared" si="4"/>
        <v>0</v>
      </c>
      <c r="L18" s="119">
        <v>0</v>
      </c>
      <c r="M18" s="119">
        <f t="shared" si="5"/>
        <v>0</v>
      </c>
      <c r="N18" s="119">
        <v>0</v>
      </c>
      <c r="O18" s="119">
        <f t="shared" si="6"/>
        <v>0</v>
      </c>
      <c r="P18" s="119">
        <f t="shared" si="0"/>
        <v>14965.92</v>
      </c>
      <c r="Q18" s="119">
        <v>0</v>
      </c>
      <c r="R18" s="119">
        <f t="shared" si="1"/>
        <v>14965.92</v>
      </c>
    </row>
    <row r="19" spans="1:18">
      <c r="A19" s="120" t="s">
        <v>755</v>
      </c>
      <c r="B19" s="118">
        <v>1</v>
      </c>
      <c r="C19" s="120" t="s">
        <v>118</v>
      </c>
      <c r="D19" s="59" t="s">
        <v>221</v>
      </c>
      <c r="E19" s="119">
        <v>6</v>
      </c>
      <c r="F19" s="117">
        <v>1641</v>
      </c>
      <c r="G19" s="117">
        <f t="shared" si="22"/>
        <v>9846</v>
      </c>
      <c r="H19" s="119">
        <v>0</v>
      </c>
      <c r="I19" s="119">
        <f t="shared" si="3"/>
        <v>0</v>
      </c>
      <c r="J19" s="119">
        <v>0</v>
      </c>
      <c r="K19" s="119">
        <f t="shared" si="4"/>
        <v>0</v>
      </c>
      <c r="L19" s="119">
        <v>0</v>
      </c>
      <c r="M19" s="119">
        <f t="shared" si="5"/>
        <v>0</v>
      </c>
      <c r="N19" s="119">
        <v>0</v>
      </c>
      <c r="O19" s="119">
        <f t="shared" si="6"/>
        <v>0</v>
      </c>
      <c r="P19" s="119">
        <f t="shared" si="0"/>
        <v>9846</v>
      </c>
      <c r="Q19" s="119">
        <v>0</v>
      </c>
      <c r="R19" s="119">
        <f t="shared" si="1"/>
        <v>9846</v>
      </c>
    </row>
    <row r="20" spans="1:18">
      <c r="A20" s="120" t="s">
        <v>756</v>
      </c>
      <c r="B20" s="118">
        <v>0.4</v>
      </c>
      <c r="C20" s="120" t="s">
        <v>118</v>
      </c>
      <c r="D20" s="59" t="s">
        <v>221</v>
      </c>
      <c r="E20" s="119">
        <v>4</v>
      </c>
      <c r="F20" s="117">
        <v>4175</v>
      </c>
      <c r="G20" s="117">
        <f>E20*F20*B20</f>
        <v>6680</v>
      </c>
      <c r="H20" s="119">
        <v>2</v>
      </c>
      <c r="I20" s="119">
        <f t="shared" ref="I20:I27" si="23">H20*F20*$B$6*B20</f>
        <v>3473.6000000000004</v>
      </c>
      <c r="J20" s="119">
        <v>0</v>
      </c>
      <c r="K20" s="119">
        <f t="shared" ref="K20:K27" si="24">F20*J20*B20*$B$6*$B$6</f>
        <v>0</v>
      </c>
      <c r="L20" s="119">
        <v>0</v>
      </c>
      <c r="M20" s="119">
        <f t="shared" ref="M20:M27" si="25">F20*L20*B20*$B$6*$B$6*$B$6</f>
        <v>0</v>
      </c>
      <c r="N20" s="119">
        <v>0</v>
      </c>
      <c r="O20" s="119">
        <f t="shared" ref="O20:O27" si="26">N20*F20*B20*$B$6*$B$6*$B$6*$B$6</f>
        <v>0</v>
      </c>
      <c r="P20" s="119">
        <f t="shared" ref="P20:P26" si="27">SUM(G20+I20+K20+M20+O20)</f>
        <v>10153.6</v>
      </c>
      <c r="Q20" s="119">
        <v>0</v>
      </c>
      <c r="R20" s="119">
        <f t="shared" ref="R20:R26" si="28">SUM(P20:Q20)</f>
        <v>10153.6</v>
      </c>
    </row>
    <row r="21" spans="1:18">
      <c r="A21" s="120" t="s">
        <v>757</v>
      </c>
      <c r="B21" s="118">
        <v>0.25</v>
      </c>
      <c r="C21" s="120" t="s">
        <v>118</v>
      </c>
      <c r="D21" s="59" t="s">
        <v>221</v>
      </c>
      <c r="E21" s="119">
        <v>4</v>
      </c>
      <c r="F21" s="117">
        <v>1629</v>
      </c>
      <c r="G21" s="117">
        <f t="shared" ref="G21:G26" si="29">E21*F21*B21</f>
        <v>1629</v>
      </c>
      <c r="H21" s="119">
        <v>2</v>
      </c>
      <c r="I21" s="119">
        <f t="shared" si="23"/>
        <v>847.08</v>
      </c>
      <c r="J21" s="119">
        <v>0</v>
      </c>
      <c r="K21" s="119">
        <f t="shared" si="24"/>
        <v>0</v>
      </c>
      <c r="L21" s="119">
        <v>0</v>
      </c>
      <c r="M21" s="119">
        <f t="shared" si="25"/>
        <v>0</v>
      </c>
      <c r="N21" s="119">
        <v>0</v>
      </c>
      <c r="O21" s="119">
        <f t="shared" si="26"/>
        <v>0</v>
      </c>
      <c r="P21" s="119">
        <f t="shared" si="27"/>
        <v>2476.08</v>
      </c>
      <c r="Q21" s="119">
        <v>0</v>
      </c>
      <c r="R21" s="119">
        <f t="shared" si="28"/>
        <v>2476.08</v>
      </c>
    </row>
    <row r="22" spans="1:18">
      <c r="A22" s="120" t="s">
        <v>758</v>
      </c>
      <c r="B22" s="118">
        <v>0.25</v>
      </c>
      <c r="C22" s="120" t="s">
        <v>118</v>
      </c>
      <c r="D22" s="59" t="s">
        <v>221</v>
      </c>
      <c r="E22" s="119">
        <v>4</v>
      </c>
      <c r="F22" s="117">
        <v>2263</v>
      </c>
      <c r="G22" s="117">
        <f t="shared" si="29"/>
        <v>2263</v>
      </c>
      <c r="H22" s="119">
        <v>2</v>
      </c>
      <c r="I22" s="119">
        <f t="shared" si="23"/>
        <v>1176.76</v>
      </c>
      <c r="J22" s="119">
        <v>0</v>
      </c>
      <c r="K22" s="119">
        <f t="shared" si="24"/>
        <v>0</v>
      </c>
      <c r="L22" s="119">
        <v>0</v>
      </c>
      <c r="M22" s="119">
        <f t="shared" si="25"/>
        <v>0</v>
      </c>
      <c r="N22" s="119">
        <v>0</v>
      </c>
      <c r="O22" s="119">
        <f t="shared" si="26"/>
        <v>0</v>
      </c>
      <c r="P22" s="119">
        <f t="shared" si="27"/>
        <v>3439.76</v>
      </c>
      <c r="Q22" s="119">
        <v>0</v>
      </c>
      <c r="R22" s="119">
        <f t="shared" si="28"/>
        <v>3439.76</v>
      </c>
    </row>
    <row r="23" spans="1:18">
      <c r="A23" s="120" t="s">
        <v>759</v>
      </c>
      <c r="B23" s="118">
        <v>1</v>
      </c>
      <c r="C23" s="120" t="s">
        <v>118</v>
      </c>
      <c r="D23" s="59" t="s">
        <v>221</v>
      </c>
      <c r="E23" s="119">
        <v>6</v>
      </c>
      <c r="F23" s="117">
        <v>2263</v>
      </c>
      <c r="G23" s="117">
        <f t="shared" si="29"/>
        <v>13578</v>
      </c>
      <c r="H23" s="119">
        <v>3</v>
      </c>
      <c r="I23" s="119">
        <f t="shared" si="23"/>
        <v>7060.56</v>
      </c>
      <c r="J23" s="119">
        <v>0</v>
      </c>
      <c r="K23" s="119">
        <f t="shared" si="24"/>
        <v>0</v>
      </c>
      <c r="L23" s="119">
        <v>0</v>
      </c>
      <c r="M23" s="119">
        <f t="shared" si="25"/>
        <v>0</v>
      </c>
      <c r="N23" s="119">
        <v>0</v>
      </c>
      <c r="O23" s="119">
        <f t="shared" si="26"/>
        <v>0</v>
      </c>
      <c r="P23" s="119">
        <f t="shared" si="27"/>
        <v>20638.560000000001</v>
      </c>
      <c r="Q23" s="119">
        <v>0</v>
      </c>
      <c r="R23" s="119">
        <f t="shared" si="28"/>
        <v>20638.560000000001</v>
      </c>
    </row>
    <row r="24" spans="1:18">
      <c r="A24" s="120" t="s">
        <v>760</v>
      </c>
      <c r="B24" s="118">
        <v>1</v>
      </c>
      <c r="C24" s="120" t="s">
        <v>118</v>
      </c>
      <c r="D24" s="59" t="s">
        <v>221</v>
      </c>
      <c r="E24" s="119">
        <v>6</v>
      </c>
      <c r="F24" s="117">
        <v>2263</v>
      </c>
      <c r="G24" s="117">
        <f t="shared" ref="G24" si="30">E24*F24*B24</f>
        <v>13578</v>
      </c>
      <c r="H24" s="119">
        <v>3</v>
      </c>
      <c r="I24" s="119">
        <f t="shared" ref="I24" si="31">H24*F24*$B$6*B24</f>
        <v>7060.56</v>
      </c>
      <c r="J24" s="119">
        <v>0</v>
      </c>
      <c r="K24" s="119">
        <f t="shared" ref="K24" si="32">F24*J24*B24*$B$6*$B$6</f>
        <v>0</v>
      </c>
      <c r="L24" s="119">
        <v>0</v>
      </c>
      <c r="M24" s="119">
        <f t="shared" ref="M24" si="33">F24*L24*B24*$B$6*$B$6*$B$6</f>
        <v>0</v>
      </c>
      <c r="N24" s="119">
        <v>0</v>
      </c>
      <c r="O24" s="119">
        <f t="shared" ref="O24" si="34">N24*F24*B24*$B$6*$B$6*$B$6*$B$6</f>
        <v>0</v>
      </c>
      <c r="P24" s="119">
        <f t="shared" ref="P24" si="35">SUM(G24+I24+K24+M24+O24)</f>
        <v>20638.560000000001</v>
      </c>
      <c r="Q24" s="119">
        <v>0</v>
      </c>
      <c r="R24" s="119">
        <f t="shared" ref="R24" si="36">SUM(P24:Q24)</f>
        <v>20638.560000000001</v>
      </c>
    </row>
    <row r="25" spans="1:18">
      <c r="A25" s="120" t="s">
        <v>761</v>
      </c>
      <c r="B25" s="118">
        <v>1</v>
      </c>
      <c r="C25" s="120" t="s">
        <v>118</v>
      </c>
      <c r="D25" s="59" t="s">
        <v>221</v>
      </c>
      <c r="E25" s="119">
        <v>6</v>
      </c>
      <c r="F25" s="117">
        <v>2263</v>
      </c>
      <c r="G25" s="117">
        <f t="shared" ref="G25" si="37">E25*F25*B25</f>
        <v>13578</v>
      </c>
      <c r="H25" s="119">
        <v>3</v>
      </c>
      <c r="I25" s="119">
        <f t="shared" ref="I25" si="38">H25*F25*$B$6*B25</f>
        <v>7060.56</v>
      </c>
      <c r="J25" s="119">
        <v>0</v>
      </c>
      <c r="K25" s="119">
        <f t="shared" ref="K25" si="39">F25*J25*B25*$B$6*$B$6</f>
        <v>0</v>
      </c>
      <c r="L25" s="119">
        <v>0</v>
      </c>
      <c r="M25" s="119">
        <f t="shared" ref="M25" si="40">F25*L25*B25*$B$6*$B$6*$B$6</f>
        <v>0</v>
      </c>
      <c r="N25" s="119">
        <v>0</v>
      </c>
      <c r="O25" s="119">
        <f t="shared" ref="O25" si="41">N25*F25*B25*$B$6*$B$6*$B$6*$B$6</f>
        <v>0</v>
      </c>
      <c r="P25" s="119">
        <f t="shared" ref="P25" si="42">SUM(G25+I25+K25+M25+O25)</f>
        <v>20638.560000000001</v>
      </c>
      <c r="Q25" s="119">
        <v>0</v>
      </c>
      <c r="R25" s="119">
        <f t="shared" ref="R25" si="43">SUM(P25:Q25)</f>
        <v>20638.560000000001</v>
      </c>
    </row>
    <row r="26" spans="1:18">
      <c r="A26" s="120" t="s">
        <v>762</v>
      </c>
      <c r="B26" s="118">
        <v>0.20304576465455637</v>
      </c>
      <c r="C26" s="120" t="s">
        <v>118</v>
      </c>
      <c r="D26" s="59" t="s">
        <v>221</v>
      </c>
      <c r="E26" s="119">
        <v>4</v>
      </c>
      <c r="F26" s="117">
        <v>2131</v>
      </c>
      <c r="G26" s="117">
        <f t="shared" si="29"/>
        <v>1730.7620979154385</v>
      </c>
      <c r="H26" s="119">
        <v>2</v>
      </c>
      <c r="I26" s="119">
        <f t="shared" si="23"/>
        <v>899.9962909160281</v>
      </c>
      <c r="J26" s="119">
        <v>0</v>
      </c>
      <c r="K26" s="119">
        <f t="shared" si="24"/>
        <v>0</v>
      </c>
      <c r="L26" s="119">
        <v>0</v>
      </c>
      <c r="M26" s="119">
        <f t="shared" si="25"/>
        <v>0</v>
      </c>
      <c r="N26" s="119">
        <v>0</v>
      </c>
      <c r="O26" s="119">
        <f t="shared" si="26"/>
        <v>0</v>
      </c>
      <c r="P26" s="119">
        <f t="shared" si="27"/>
        <v>2630.7583888314666</v>
      </c>
      <c r="Q26" s="119">
        <v>0</v>
      </c>
      <c r="R26" s="119">
        <f t="shared" si="28"/>
        <v>2630.7583888314666</v>
      </c>
    </row>
    <row r="27" spans="1:18">
      <c r="A27" s="120" t="s">
        <v>763</v>
      </c>
      <c r="B27" s="118">
        <v>0.14946000000000001</v>
      </c>
      <c r="C27" s="120" t="s">
        <v>118</v>
      </c>
      <c r="D27" s="59" t="s">
        <v>221</v>
      </c>
      <c r="E27" s="119">
        <v>4</v>
      </c>
      <c r="F27" s="117">
        <v>4282</v>
      </c>
      <c r="G27" s="117">
        <f>E27*F27*B27</f>
        <v>2559.9508800000003</v>
      </c>
      <c r="H27" s="119">
        <v>2</v>
      </c>
      <c r="I27" s="119">
        <f t="shared" si="23"/>
        <v>1331.1744576000001</v>
      </c>
      <c r="J27" s="119">
        <v>0</v>
      </c>
      <c r="K27" s="119">
        <f t="shared" si="24"/>
        <v>0</v>
      </c>
      <c r="L27" s="119">
        <v>0</v>
      </c>
      <c r="M27" s="119">
        <f t="shared" si="25"/>
        <v>0</v>
      </c>
      <c r="N27" s="119">
        <v>0</v>
      </c>
      <c r="O27" s="119">
        <f t="shared" si="26"/>
        <v>0</v>
      </c>
      <c r="P27" s="119">
        <f t="shared" ref="P27:P28" si="44">SUM(G27+I27+K27+M27+O27)</f>
        <v>3891.1253376000004</v>
      </c>
      <c r="Q27" s="119">
        <v>0</v>
      </c>
      <c r="R27" s="119">
        <f t="shared" ref="R27:R28" si="45">SUM(P27:Q27)</f>
        <v>3891.1253376000004</v>
      </c>
    </row>
    <row r="28" spans="1:18">
      <c r="A28" s="120" t="s">
        <v>764</v>
      </c>
      <c r="B28" s="118">
        <v>1</v>
      </c>
      <c r="C28" s="120" t="s">
        <v>118</v>
      </c>
      <c r="D28" s="59" t="s">
        <v>221</v>
      </c>
      <c r="E28" s="119">
        <v>6</v>
      </c>
      <c r="F28" s="117">
        <v>2141</v>
      </c>
      <c r="G28" s="117">
        <f t="shared" ref="G28" si="46">E28*F28*B28</f>
        <v>12846</v>
      </c>
      <c r="H28" s="119">
        <v>3</v>
      </c>
      <c r="I28" s="119">
        <f>H28*F28*$B$6*B28</f>
        <v>6679.92</v>
      </c>
      <c r="J28" s="119">
        <v>0</v>
      </c>
      <c r="K28" s="119">
        <f t="shared" ref="K28:K29" si="47">F28*J28*B28*$B$6*$B$6</f>
        <v>0</v>
      </c>
      <c r="L28" s="119">
        <v>0</v>
      </c>
      <c r="M28" s="119">
        <f t="shared" ref="M28:M29" si="48">F28*L28*B28*$B$6*$B$6*$B$6</f>
        <v>0</v>
      </c>
      <c r="N28" s="119">
        <v>0</v>
      </c>
      <c r="O28" s="119">
        <f t="shared" ref="O28:O29" si="49">N28*F28*B28*$B$6*$B$6*$B$6*$B$6</f>
        <v>0</v>
      </c>
      <c r="P28" s="119">
        <f t="shared" si="44"/>
        <v>19525.919999999998</v>
      </c>
      <c r="Q28" s="119">
        <v>0</v>
      </c>
      <c r="R28" s="119">
        <f t="shared" si="45"/>
        <v>19525.919999999998</v>
      </c>
    </row>
    <row r="29" spans="1:18">
      <c r="A29" s="120" t="s">
        <v>765</v>
      </c>
      <c r="B29" s="118">
        <v>0.3</v>
      </c>
      <c r="C29" s="120" t="s">
        <v>118</v>
      </c>
      <c r="D29" s="59" t="s">
        <v>221</v>
      </c>
      <c r="E29" s="119">
        <v>6</v>
      </c>
      <c r="F29" s="117">
        <v>6882</v>
      </c>
      <c r="G29" s="117">
        <f>E29*F29*B29</f>
        <v>12387.6</v>
      </c>
      <c r="H29" s="119">
        <v>3</v>
      </c>
      <c r="I29" s="119">
        <f t="shared" ref="I29" si="50">H29*F29*$B$6*B29</f>
        <v>6441.5519999999997</v>
      </c>
      <c r="J29" s="119">
        <v>0</v>
      </c>
      <c r="K29" s="119">
        <f t="shared" si="47"/>
        <v>0</v>
      </c>
      <c r="L29" s="119">
        <v>0</v>
      </c>
      <c r="M29" s="119">
        <f t="shared" si="48"/>
        <v>0</v>
      </c>
      <c r="N29" s="119">
        <v>0</v>
      </c>
      <c r="O29" s="119">
        <f t="shared" si="49"/>
        <v>0</v>
      </c>
      <c r="P29" s="119">
        <f t="shared" ref="P29" si="51">SUM(G29+I29+K29+M29+O29)</f>
        <v>18829.152000000002</v>
      </c>
      <c r="Q29" s="119">
        <v>0</v>
      </c>
      <c r="R29" s="119">
        <f t="shared" ref="R29" si="52">SUM(P29:Q29)</f>
        <v>18829.152000000002</v>
      </c>
    </row>
    <row r="30" spans="1:18">
      <c r="A30" s="112" t="s">
        <v>766</v>
      </c>
      <c r="B30" s="113"/>
      <c r="C30" s="120"/>
      <c r="D30" s="59"/>
      <c r="E30" s="119"/>
      <c r="F30" s="117"/>
      <c r="G30" s="117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</row>
    <row r="31" spans="1:18">
      <c r="A31" s="120" t="s">
        <v>767</v>
      </c>
      <c r="B31" s="118">
        <v>0.3</v>
      </c>
      <c r="C31" s="120" t="s">
        <v>118</v>
      </c>
      <c r="D31" s="59" t="s">
        <v>221</v>
      </c>
      <c r="E31" s="119">
        <v>6</v>
      </c>
      <c r="F31" s="117">
        <v>14774</v>
      </c>
      <c r="G31" s="117">
        <f>E31*F31*B31</f>
        <v>26593.200000000001</v>
      </c>
      <c r="H31" s="119">
        <v>3</v>
      </c>
      <c r="I31" s="119">
        <f>H31*F31*$B$5*B31</f>
        <v>13429.566000000001</v>
      </c>
      <c r="J31" s="119">
        <v>0</v>
      </c>
      <c r="K31" s="119">
        <f>F31*J31*B31*$B$5*$B$5</f>
        <v>0</v>
      </c>
      <c r="L31" s="119">
        <v>0</v>
      </c>
      <c r="M31" s="119">
        <f>F31*L31*B31*$B$5*$B$5*$B$5</f>
        <v>0</v>
      </c>
      <c r="N31" s="119">
        <v>0</v>
      </c>
      <c r="O31" s="119">
        <f>N31*F31*B31*$B$5*$B$5*$B$5*$B$5</f>
        <v>0</v>
      </c>
      <c r="P31" s="119">
        <f>SUM(G31+I31+K31+M31+O31)</f>
        <v>40022.766000000003</v>
      </c>
      <c r="Q31" s="119">
        <v>0</v>
      </c>
      <c r="R31" s="119">
        <f>SUM(P31:Q31)</f>
        <v>40022.766000000003</v>
      </c>
    </row>
    <row r="32" spans="1:18">
      <c r="A32" s="120" t="s">
        <v>768</v>
      </c>
      <c r="B32" s="118">
        <v>0.1</v>
      </c>
      <c r="C32" s="120" t="s">
        <v>118</v>
      </c>
      <c r="D32" s="59" t="s">
        <v>221</v>
      </c>
      <c r="E32" s="119">
        <v>4</v>
      </c>
      <c r="F32" s="117">
        <v>9390</v>
      </c>
      <c r="G32" s="117">
        <f>E32*F32*B32</f>
        <v>3756</v>
      </c>
      <c r="H32" s="119">
        <v>2</v>
      </c>
      <c r="I32" s="119">
        <f>H32*F32*$B$5*B32</f>
        <v>1896.78</v>
      </c>
      <c r="J32" s="119">
        <v>0</v>
      </c>
      <c r="K32" s="119">
        <f>F32*J32*B32*$B$5*$B$5</f>
        <v>0</v>
      </c>
      <c r="L32" s="119">
        <v>0</v>
      </c>
      <c r="M32" s="119">
        <f>F32*L32*B32*$B$5*$B$5*$B$5</f>
        <v>0</v>
      </c>
      <c r="N32" s="119">
        <v>0</v>
      </c>
      <c r="O32" s="119">
        <f>N32*F32*B32*$B$5*$B$5*$B$5*$B$5</f>
        <v>0</v>
      </c>
      <c r="P32" s="119">
        <f>SUM(G32+I32+K32+M32+O32)</f>
        <v>5652.78</v>
      </c>
      <c r="Q32" s="119">
        <v>0</v>
      </c>
      <c r="R32" s="119">
        <f>SUM(P32:Q32)</f>
        <v>5652.78</v>
      </c>
    </row>
    <row r="33" spans="1:18">
      <c r="A33" s="120" t="s">
        <v>769</v>
      </c>
      <c r="B33" s="118">
        <v>0.2</v>
      </c>
      <c r="C33" s="120" t="s">
        <v>118</v>
      </c>
      <c r="D33" s="59" t="s">
        <v>221</v>
      </c>
      <c r="E33" s="119">
        <v>4</v>
      </c>
      <c r="F33" s="117">
        <v>20822</v>
      </c>
      <c r="G33" s="117">
        <f>E33*F33*B33</f>
        <v>16657.600000000002</v>
      </c>
      <c r="H33" s="119">
        <v>2</v>
      </c>
      <c r="I33" s="119">
        <f>H33*F33*$B$5*B33</f>
        <v>8412.0880000000016</v>
      </c>
      <c r="J33" s="119">
        <v>0</v>
      </c>
      <c r="K33" s="119">
        <f>F33*J33*B33*$B$5*$B$5</f>
        <v>0</v>
      </c>
      <c r="L33" s="119">
        <v>0</v>
      </c>
      <c r="M33" s="119">
        <f>F33*L33*B33*$B$5*$B$5*$B$5</f>
        <v>0</v>
      </c>
      <c r="N33" s="119">
        <v>0</v>
      </c>
      <c r="O33" s="119">
        <f>N33*F33*B33*$B$5*$B$5*$B$5*$B$5</f>
        <v>0</v>
      </c>
      <c r="P33" s="119">
        <f>SUM(G33+I33+K33+M33+O33)</f>
        <v>25069.688000000002</v>
      </c>
      <c r="Q33" s="119">
        <v>0</v>
      </c>
      <c r="R33" s="119">
        <f>SUM(P33:Q33)</f>
        <v>25069.688000000002</v>
      </c>
    </row>
    <row r="34" spans="1:18">
      <c r="A34" s="120" t="s">
        <v>770</v>
      </c>
      <c r="B34" s="118">
        <v>0.5</v>
      </c>
      <c r="C34" s="120" t="s">
        <v>118</v>
      </c>
      <c r="D34" s="59" t="s">
        <v>221</v>
      </c>
      <c r="E34" s="119">
        <v>6</v>
      </c>
      <c r="F34" s="117">
        <v>13325</v>
      </c>
      <c r="G34" s="117">
        <f>E34*F34*B34</f>
        <v>39975</v>
      </c>
      <c r="H34" s="119">
        <v>3</v>
      </c>
      <c r="I34" s="119">
        <f>H34*F34*$B$5*B34</f>
        <v>20187.375</v>
      </c>
      <c r="J34" s="119">
        <v>0</v>
      </c>
      <c r="K34" s="119">
        <f>F34*J34*B34*$B$5*$B$5</f>
        <v>0</v>
      </c>
      <c r="L34" s="119">
        <v>0</v>
      </c>
      <c r="M34" s="119">
        <f>F34*L34*B34*$B$5*$B$5*$B$5</f>
        <v>0</v>
      </c>
      <c r="N34" s="119">
        <v>0</v>
      </c>
      <c r="O34" s="119">
        <f>N34*F34*B34*$B$5*$B$5*$B$5*$B$5</f>
        <v>0</v>
      </c>
      <c r="P34" s="119">
        <f>SUM(G34+I34+K34+M34+O34)</f>
        <v>60162.375</v>
      </c>
      <c r="Q34" s="119">
        <v>0</v>
      </c>
      <c r="R34" s="119">
        <f>SUM(P34:Q34)</f>
        <v>60162.375</v>
      </c>
    </row>
    <row r="35" spans="1:18">
      <c r="A35" s="109" t="s">
        <v>352</v>
      </c>
      <c r="B35" s="122"/>
      <c r="C35" s="123"/>
      <c r="D35" s="124"/>
      <c r="E35" s="124"/>
      <c r="F35" s="125"/>
      <c r="G35" s="125">
        <f>SUM(G12:G34)</f>
        <v>246876.11297791544</v>
      </c>
      <c r="H35" s="125"/>
      <c r="I35" s="125">
        <f>SUM(I12:I34)</f>
        <v>121950.93174851603</v>
      </c>
      <c r="J35" s="125"/>
      <c r="K35" s="125">
        <f>SUM(K12:K34)</f>
        <v>0</v>
      </c>
      <c r="L35" s="125"/>
      <c r="M35" s="125">
        <f>SUM(M12:M34)</f>
        <v>0</v>
      </c>
      <c r="N35" s="125"/>
      <c r="O35" s="125">
        <f>SUM(O12:O34)</f>
        <v>0</v>
      </c>
      <c r="P35" s="125">
        <f>SUM(P12:P34)</f>
        <v>368827.04472643154</v>
      </c>
      <c r="Q35" s="125">
        <f>SUM(Q12:Q34)</f>
        <v>0</v>
      </c>
      <c r="R35" s="125">
        <f>SUM(R12:R34)</f>
        <v>368827.04472643154</v>
      </c>
    </row>
    <row r="37" spans="1:18">
      <c r="A37" s="109" t="s">
        <v>771</v>
      </c>
      <c r="B37" s="110"/>
      <c r="C37" s="109"/>
      <c r="D37" s="109"/>
      <c r="E37" s="109"/>
      <c r="F37" s="111"/>
      <c r="G37" s="111"/>
      <c r="H37" s="109"/>
      <c r="I37" s="111"/>
      <c r="J37" s="109"/>
      <c r="K37" s="111"/>
      <c r="L37" s="109"/>
      <c r="M37" s="111"/>
      <c r="N37" s="109"/>
      <c r="O37" s="111"/>
      <c r="P37" s="109"/>
      <c r="Q37" s="109"/>
      <c r="R37" s="109"/>
    </row>
    <row r="38" spans="1:18">
      <c r="A38" s="120" t="s">
        <v>772</v>
      </c>
      <c r="B38" s="58"/>
      <c r="C38" s="58" t="s">
        <v>95</v>
      </c>
      <c r="D38" s="126" t="s">
        <v>221</v>
      </c>
      <c r="E38" s="119">
        <v>6</v>
      </c>
      <c r="F38" s="119">
        <v>1250</v>
      </c>
      <c r="G38" s="119">
        <f>E38*F38</f>
        <v>7500</v>
      </c>
      <c r="H38" s="119">
        <v>3</v>
      </c>
      <c r="I38" s="119">
        <f>H38*F38</f>
        <v>3750</v>
      </c>
      <c r="J38" s="119">
        <v>0</v>
      </c>
      <c r="K38" s="119">
        <f>J38*$F38</f>
        <v>0</v>
      </c>
      <c r="L38" s="119">
        <v>0</v>
      </c>
      <c r="M38" s="119">
        <f>L38*F38</f>
        <v>0</v>
      </c>
      <c r="N38" s="119">
        <v>0</v>
      </c>
      <c r="O38" s="119">
        <f>N38*F38</f>
        <v>0</v>
      </c>
      <c r="P38" s="119">
        <f>G38+I38+K38+M38+O38</f>
        <v>11250</v>
      </c>
      <c r="Q38" s="119" t="s">
        <v>243</v>
      </c>
      <c r="R38" s="119">
        <f>SUM(P38:Q38)</f>
        <v>11250</v>
      </c>
    </row>
    <row r="39" spans="1:18" s="141" customFormat="1">
      <c r="A39" s="137" t="s">
        <v>773</v>
      </c>
      <c r="B39" s="138"/>
      <c r="C39" s="137"/>
      <c r="D39" s="139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</row>
    <row r="40" spans="1:18">
      <c r="A40" s="120" t="s">
        <v>774</v>
      </c>
      <c r="B40" s="58"/>
      <c r="C40" s="58" t="s">
        <v>95</v>
      </c>
      <c r="D40" s="126" t="s">
        <v>255</v>
      </c>
      <c r="E40" s="119">
        <f>7*2</f>
        <v>14</v>
      </c>
      <c r="F40" s="119">
        <v>700</v>
      </c>
      <c r="G40" s="119">
        <f>E40*F40</f>
        <v>9800</v>
      </c>
      <c r="H40" s="119">
        <f>7*1</f>
        <v>7</v>
      </c>
      <c r="I40" s="119">
        <f t="shared" ref="I40:I44" si="53">H40*F40</f>
        <v>4900</v>
      </c>
      <c r="J40" s="119">
        <v>0</v>
      </c>
      <c r="K40" s="119">
        <f t="shared" ref="K40:K47" si="54">J40*$F40</f>
        <v>0</v>
      </c>
      <c r="L40" s="119">
        <v>0</v>
      </c>
      <c r="M40" s="119">
        <f t="shared" ref="M40:M44" si="55">L40*F40</f>
        <v>0</v>
      </c>
      <c r="N40" s="119">
        <v>0</v>
      </c>
      <c r="O40" s="119">
        <f t="shared" ref="O40:O44" si="56">N40*F40</f>
        <v>0</v>
      </c>
      <c r="P40" s="119">
        <f>G40+I40+K40+M40+O40</f>
        <v>14700</v>
      </c>
      <c r="Q40" s="119" t="s">
        <v>243</v>
      </c>
      <c r="R40" s="119">
        <f>SUM(P40:Q40)</f>
        <v>14700</v>
      </c>
    </row>
    <row r="41" spans="1:18">
      <c r="A41" s="120" t="s">
        <v>775</v>
      </c>
      <c r="B41" s="58"/>
      <c r="C41" s="58" t="s">
        <v>95</v>
      </c>
      <c r="D41" s="126" t="s">
        <v>259</v>
      </c>
      <c r="E41" s="119">
        <f>7*2*5</f>
        <v>70</v>
      </c>
      <c r="F41" s="119">
        <v>90</v>
      </c>
      <c r="G41" s="119">
        <f>E41*F41</f>
        <v>6300</v>
      </c>
      <c r="H41" s="119">
        <f>7*1*5</f>
        <v>35</v>
      </c>
      <c r="I41" s="119">
        <f t="shared" si="53"/>
        <v>3150</v>
      </c>
      <c r="J41" s="119">
        <v>0</v>
      </c>
      <c r="K41" s="119">
        <f t="shared" si="54"/>
        <v>0</v>
      </c>
      <c r="L41" s="119">
        <v>0</v>
      </c>
      <c r="M41" s="119">
        <f t="shared" si="55"/>
        <v>0</v>
      </c>
      <c r="N41" s="119">
        <v>0</v>
      </c>
      <c r="O41" s="119">
        <f t="shared" si="56"/>
        <v>0</v>
      </c>
      <c r="P41" s="119">
        <f>G41+I41+K41+M41+O41</f>
        <v>9450</v>
      </c>
      <c r="Q41" s="119" t="s">
        <v>243</v>
      </c>
      <c r="R41" s="119">
        <f>SUM(P41:Q41)</f>
        <v>9450</v>
      </c>
    </row>
    <row r="42" spans="1:18" s="141" customFormat="1">
      <c r="A42" s="137" t="s">
        <v>776</v>
      </c>
      <c r="B42" s="138"/>
      <c r="C42" s="137"/>
      <c r="D42" s="139"/>
      <c r="E42" s="140"/>
      <c r="F42" s="140"/>
      <c r="G42" s="140"/>
      <c r="H42" s="140"/>
      <c r="I42" s="119"/>
      <c r="J42" s="140"/>
      <c r="K42" s="119"/>
      <c r="L42" s="140"/>
      <c r="M42" s="119"/>
      <c r="N42" s="140"/>
      <c r="O42" s="119"/>
      <c r="P42" s="140"/>
      <c r="Q42" s="140"/>
      <c r="R42" s="140"/>
    </row>
    <row r="43" spans="1:18">
      <c r="A43" s="120" t="s">
        <v>777</v>
      </c>
      <c r="B43" s="58"/>
      <c r="C43" s="58" t="s">
        <v>95</v>
      </c>
      <c r="D43" s="126" t="s">
        <v>255</v>
      </c>
      <c r="E43" s="119">
        <v>5</v>
      </c>
      <c r="F43" s="119">
        <v>700</v>
      </c>
      <c r="G43" s="119">
        <f t="shared" ref="G43" si="57">E43*F43</f>
        <v>3500</v>
      </c>
      <c r="H43" s="119">
        <v>2</v>
      </c>
      <c r="I43" s="119">
        <f t="shared" ref="I43" si="58">H43*F43</f>
        <v>1400</v>
      </c>
      <c r="J43" s="119">
        <v>0</v>
      </c>
      <c r="K43" s="119">
        <f t="shared" si="54"/>
        <v>0</v>
      </c>
      <c r="L43" s="119">
        <v>0</v>
      </c>
      <c r="M43" s="119">
        <f t="shared" ref="M43" si="59">L43*F43</f>
        <v>0</v>
      </c>
      <c r="N43" s="119">
        <v>0</v>
      </c>
      <c r="O43" s="119">
        <f t="shared" ref="O43" si="60">N43*F43</f>
        <v>0</v>
      </c>
      <c r="P43" s="119">
        <f>G43+I43+K43+M43+O43</f>
        <v>4900</v>
      </c>
      <c r="Q43" s="119" t="s">
        <v>243</v>
      </c>
      <c r="R43" s="119">
        <f>SUM(P43:Q43)</f>
        <v>4900</v>
      </c>
    </row>
    <row r="44" spans="1:18">
      <c r="A44" s="120" t="s">
        <v>778</v>
      </c>
      <c r="B44" s="58"/>
      <c r="C44" s="58" t="s">
        <v>95</v>
      </c>
      <c r="D44" s="126" t="s">
        <v>259</v>
      </c>
      <c r="E44" s="119">
        <f>5*3</f>
        <v>15</v>
      </c>
      <c r="F44" s="119">
        <v>190</v>
      </c>
      <c r="G44" s="119">
        <f t="shared" ref="G44" si="61">E44*F44</f>
        <v>2850</v>
      </c>
      <c r="H44" s="119">
        <f>5*2</f>
        <v>10</v>
      </c>
      <c r="I44" s="119">
        <f t="shared" si="53"/>
        <v>1900</v>
      </c>
      <c r="J44" s="119">
        <v>0</v>
      </c>
      <c r="K44" s="119">
        <f t="shared" si="54"/>
        <v>0</v>
      </c>
      <c r="L44" s="119">
        <v>0</v>
      </c>
      <c r="M44" s="119">
        <f t="shared" si="55"/>
        <v>0</v>
      </c>
      <c r="N44" s="119">
        <v>0</v>
      </c>
      <c r="O44" s="119">
        <f t="shared" si="56"/>
        <v>0</v>
      </c>
      <c r="P44" s="119">
        <f>G44+I44+K44+M44+O44</f>
        <v>4750</v>
      </c>
      <c r="Q44" s="119" t="s">
        <v>243</v>
      </c>
      <c r="R44" s="119">
        <f>SUM(P44:Q44)</f>
        <v>4750</v>
      </c>
    </row>
    <row r="45" spans="1:18" s="141" customFormat="1">
      <c r="A45" s="137" t="s">
        <v>779</v>
      </c>
      <c r="B45" s="138"/>
      <c r="C45" s="137"/>
      <c r="D45" s="139"/>
      <c r="E45" s="140"/>
      <c r="F45" s="140"/>
      <c r="G45" s="140"/>
      <c r="H45" s="140"/>
      <c r="I45" s="119"/>
      <c r="J45" s="140"/>
      <c r="K45" s="119"/>
      <c r="L45" s="140"/>
      <c r="M45" s="119"/>
      <c r="N45" s="140"/>
      <c r="O45" s="119"/>
      <c r="P45" s="140"/>
      <c r="Q45" s="140"/>
      <c r="R45" s="140"/>
    </row>
    <row r="46" spans="1:18">
      <c r="A46" s="120" t="s">
        <v>780</v>
      </c>
      <c r="B46" s="58"/>
      <c r="C46" s="58" t="s">
        <v>95</v>
      </c>
      <c r="D46" s="126" t="s">
        <v>255</v>
      </c>
      <c r="E46" s="119">
        <v>12</v>
      </c>
      <c r="F46" s="119">
        <v>400</v>
      </c>
      <c r="G46" s="119">
        <f>E46*F46</f>
        <v>4800</v>
      </c>
      <c r="H46" s="119">
        <v>6</v>
      </c>
      <c r="I46" s="119">
        <f t="shared" ref="I46:I47" si="62">H46*F46</f>
        <v>2400</v>
      </c>
      <c r="J46" s="119">
        <v>0</v>
      </c>
      <c r="K46" s="119">
        <f t="shared" si="54"/>
        <v>0</v>
      </c>
      <c r="L46" s="119">
        <v>0</v>
      </c>
      <c r="M46" s="119">
        <f t="shared" ref="M46:M47" si="63">L46*F46</f>
        <v>0</v>
      </c>
      <c r="N46" s="119">
        <v>0</v>
      </c>
      <c r="O46" s="119">
        <f t="shared" ref="O46:O47" si="64">N46*F46</f>
        <v>0</v>
      </c>
      <c r="P46" s="119">
        <f>G46+I46+K46+M46+O46</f>
        <v>7200</v>
      </c>
      <c r="Q46" s="119" t="s">
        <v>243</v>
      </c>
      <c r="R46" s="119">
        <f>SUM(P46:Q46)</f>
        <v>7200</v>
      </c>
    </row>
    <row r="47" spans="1:18">
      <c r="A47" s="120" t="s">
        <v>781</v>
      </c>
      <c r="B47" s="58"/>
      <c r="C47" s="58" t="s">
        <v>95</v>
      </c>
      <c r="D47" s="126" t="s">
        <v>259</v>
      </c>
      <c r="E47" s="119">
        <f>12*5</f>
        <v>60</v>
      </c>
      <c r="F47" s="119">
        <v>190</v>
      </c>
      <c r="G47" s="119">
        <f>E47*F47</f>
        <v>11400</v>
      </c>
      <c r="H47" s="119">
        <f>6*5</f>
        <v>30</v>
      </c>
      <c r="I47" s="119">
        <f t="shared" si="62"/>
        <v>5700</v>
      </c>
      <c r="J47" s="119">
        <v>0</v>
      </c>
      <c r="K47" s="119">
        <f t="shared" si="54"/>
        <v>0</v>
      </c>
      <c r="L47" s="119">
        <v>0</v>
      </c>
      <c r="M47" s="119">
        <f t="shared" si="63"/>
        <v>0</v>
      </c>
      <c r="N47" s="119">
        <v>0</v>
      </c>
      <c r="O47" s="119">
        <f t="shared" si="64"/>
        <v>0</v>
      </c>
      <c r="P47" s="119">
        <f>G47+I47+K47+M47+O47</f>
        <v>17100</v>
      </c>
      <c r="Q47" s="119" t="s">
        <v>243</v>
      </c>
      <c r="R47" s="119">
        <f>SUM(P47:Q47)</f>
        <v>17100</v>
      </c>
    </row>
    <row r="48" spans="1:18">
      <c r="A48" s="109" t="s">
        <v>782</v>
      </c>
      <c r="B48" s="122"/>
      <c r="C48" s="123"/>
      <c r="D48" s="124"/>
      <c r="E48" s="124"/>
      <c r="F48" s="125"/>
      <c r="G48" s="125">
        <f>SUM(G38:G47)</f>
        <v>46150</v>
      </c>
      <c r="H48" s="125"/>
      <c r="I48" s="125">
        <f>SUM(I38:I47)</f>
        <v>23200</v>
      </c>
      <c r="J48" s="125"/>
      <c r="K48" s="125">
        <f>SUM(K38:K47)</f>
        <v>0</v>
      </c>
      <c r="L48" s="125"/>
      <c r="M48" s="125">
        <f>SUM(M38:M47)</f>
        <v>0</v>
      </c>
      <c r="N48" s="125"/>
      <c r="O48" s="125">
        <f>SUM(O38:O47)</f>
        <v>0</v>
      </c>
      <c r="P48" s="125">
        <f>SUM(P38:P47)</f>
        <v>69350</v>
      </c>
      <c r="Q48" s="125">
        <f>SUM(Q38:Q47)</f>
        <v>0</v>
      </c>
      <c r="R48" s="125">
        <f>SUM(R38:R47)</f>
        <v>69350</v>
      </c>
    </row>
    <row r="50" spans="1:20">
      <c r="A50" s="109" t="s">
        <v>783</v>
      </c>
      <c r="B50" s="110"/>
      <c r="C50" s="109"/>
      <c r="D50" s="109"/>
      <c r="E50" s="109"/>
      <c r="F50" s="111"/>
      <c r="G50" s="111"/>
      <c r="H50" s="109"/>
      <c r="I50" s="111"/>
      <c r="J50" s="109"/>
      <c r="K50" s="111"/>
      <c r="L50" s="109"/>
      <c r="M50" s="111"/>
      <c r="N50" s="109"/>
      <c r="O50" s="111"/>
      <c r="P50" s="109"/>
      <c r="Q50" s="109"/>
      <c r="R50" s="109"/>
    </row>
    <row r="51" spans="1:20">
      <c r="A51" s="120" t="s">
        <v>784</v>
      </c>
      <c r="B51" s="58"/>
      <c r="C51" s="58" t="s">
        <v>785</v>
      </c>
      <c r="D51" s="126" t="s">
        <v>221</v>
      </c>
      <c r="E51" s="119">
        <v>3</v>
      </c>
      <c r="F51" s="119">
        <v>2000</v>
      </c>
      <c r="G51" s="119">
        <f t="shared" ref="G51" si="65">E51*F51</f>
        <v>6000</v>
      </c>
      <c r="H51" s="119">
        <v>0</v>
      </c>
      <c r="I51" s="119">
        <f>H51*F51</f>
        <v>0</v>
      </c>
      <c r="J51" s="119">
        <v>0</v>
      </c>
      <c r="K51" s="119">
        <f>J51*$F51</f>
        <v>0</v>
      </c>
      <c r="L51" s="119">
        <v>0</v>
      </c>
      <c r="M51" s="119">
        <f>L51*F51</f>
        <v>0</v>
      </c>
      <c r="N51" s="164">
        <v>0</v>
      </c>
      <c r="O51" s="119">
        <f>N51*F51</f>
        <v>0</v>
      </c>
      <c r="P51" s="119">
        <f t="shared" ref="P51" si="66">G51+I51+K51+M51+O51</f>
        <v>6000</v>
      </c>
      <c r="Q51" s="119" t="s">
        <v>243</v>
      </c>
      <c r="R51" s="119">
        <f t="shared" ref="R51" si="67">SUM(P51:Q51)</f>
        <v>6000</v>
      </c>
    </row>
    <row r="52" spans="1:20">
      <c r="A52" s="120" t="s">
        <v>786</v>
      </c>
      <c r="B52" s="58"/>
      <c r="C52" s="58" t="s">
        <v>785</v>
      </c>
      <c r="D52" s="126" t="s">
        <v>221</v>
      </c>
      <c r="E52" s="119">
        <v>0</v>
      </c>
      <c r="F52" s="119">
        <v>2000</v>
      </c>
      <c r="G52" s="119">
        <f t="shared" ref="G52" si="68">E52*F52</f>
        <v>0</v>
      </c>
      <c r="H52" s="119">
        <v>6</v>
      </c>
      <c r="I52" s="119">
        <f>H52*F52</f>
        <v>12000</v>
      </c>
      <c r="J52" s="119">
        <v>0</v>
      </c>
      <c r="K52" s="119">
        <f>J52*$F52</f>
        <v>0</v>
      </c>
      <c r="L52" s="119">
        <v>0</v>
      </c>
      <c r="M52" s="119">
        <f>L52*F52</f>
        <v>0</v>
      </c>
      <c r="N52" s="164">
        <v>0</v>
      </c>
      <c r="O52" s="119">
        <f>N52*F52</f>
        <v>0</v>
      </c>
      <c r="P52" s="119">
        <f t="shared" ref="P52" si="69">G52+I52+K52+M52+O52</f>
        <v>12000</v>
      </c>
      <c r="Q52" s="119" t="s">
        <v>243</v>
      </c>
      <c r="R52" s="119">
        <f t="shared" ref="R52" si="70">SUM(P52:Q52)</f>
        <v>12000</v>
      </c>
    </row>
    <row r="53" spans="1:20">
      <c r="A53" s="120" t="s">
        <v>787</v>
      </c>
      <c r="B53" s="58"/>
      <c r="C53" s="58" t="s">
        <v>785</v>
      </c>
      <c r="D53" s="126" t="s">
        <v>281</v>
      </c>
      <c r="E53" s="119">
        <v>1</v>
      </c>
      <c r="F53" s="119">
        <v>280000</v>
      </c>
      <c r="G53" s="119">
        <f t="shared" ref="G53" si="71">E53*F53</f>
        <v>280000</v>
      </c>
      <c r="H53" s="119">
        <v>0</v>
      </c>
      <c r="I53" s="119">
        <f>H53*F53</f>
        <v>0</v>
      </c>
      <c r="J53" s="119">
        <v>0</v>
      </c>
      <c r="K53" s="119">
        <f>J53*$F53</f>
        <v>0</v>
      </c>
      <c r="L53" s="119">
        <v>0</v>
      </c>
      <c r="M53" s="119">
        <f>L53*F53</f>
        <v>0</v>
      </c>
      <c r="N53" s="164">
        <v>0</v>
      </c>
      <c r="O53" s="119">
        <f>N53*F53</f>
        <v>0</v>
      </c>
      <c r="P53" s="119">
        <f t="shared" ref="P53" si="72">G53+I53+K53+M53+O53</f>
        <v>280000</v>
      </c>
      <c r="Q53" s="119" t="s">
        <v>243</v>
      </c>
      <c r="R53" s="119">
        <f t="shared" ref="R53" si="73">SUM(P53:Q53)</f>
        <v>280000</v>
      </c>
    </row>
    <row r="54" spans="1:20">
      <c r="A54" s="109" t="s">
        <v>788</v>
      </c>
      <c r="B54" s="122"/>
      <c r="C54" s="123"/>
      <c r="D54" s="124"/>
      <c r="E54" s="124"/>
      <c r="F54" s="125"/>
      <c r="G54" s="125">
        <f>SUM(G51:G53)</f>
        <v>286000</v>
      </c>
      <c r="H54" s="125"/>
      <c r="I54" s="125">
        <f>SUM(I51:I53)</f>
        <v>12000</v>
      </c>
      <c r="J54" s="125"/>
      <c r="K54" s="125">
        <f>SUM(K51:K53)</f>
        <v>0</v>
      </c>
      <c r="L54" s="125"/>
      <c r="M54" s="125">
        <f>SUM(M51:M53)</f>
        <v>0</v>
      </c>
      <c r="N54" s="125"/>
      <c r="O54" s="125">
        <f>SUM(O51:O53)</f>
        <v>0</v>
      </c>
      <c r="P54" s="125">
        <f>SUM(P51:P53)</f>
        <v>298000</v>
      </c>
      <c r="Q54" s="125">
        <f>SUM(Q51:Q53)</f>
        <v>0</v>
      </c>
      <c r="R54" s="125">
        <f>SUM(R51:R53)</f>
        <v>298000</v>
      </c>
    </row>
    <row r="56" spans="1:20">
      <c r="A56" s="109" t="s">
        <v>789</v>
      </c>
      <c r="B56" s="110"/>
      <c r="C56" s="109"/>
      <c r="D56" s="109"/>
      <c r="E56" s="109"/>
      <c r="F56" s="111"/>
      <c r="G56" s="111"/>
      <c r="H56" s="109"/>
      <c r="I56" s="111"/>
      <c r="J56" s="109"/>
      <c r="K56" s="111"/>
      <c r="L56" s="109"/>
      <c r="M56" s="111"/>
      <c r="N56" s="109"/>
      <c r="O56" s="111"/>
      <c r="P56" s="109"/>
      <c r="Q56" s="109"/>
      <c r="R56" s="109"/>
    </row>
    <row r="57" spans="1:20">
      <c r="A57" s="120" t="s">
        <v>790</v>
      </c>
      <c r="B57" s="58"/>
      <c r="C57" s="58" t="s">
        <v>791</v>
      </c>
      <c r="D57" s="126" t="s">
        <v>281</v>
      </c>
      <c r="E57" s="119">
        <v>3</v>
      </c>
      <c r="F57" s="119">
        <v>300</v>
      </c>
      <c r="G57" s="119">
        <f t="shared" ref="G57" si="74">E57*F57</f>
        <v>900</v>
      </c>
      <c r="H57" s="119">
        <v>2</v>
      </c>
      <c r="I57" s="119">
        <f>H57*F57</f>
        <v>600</v>
      </c>
      <c r="J57" s="119">
        <v>0</v>
      </c>
      <c r="K57" s="119">
        <f>J57*F57</f>
        <v>0</v>
      </c>
      <c r="L57" s="119">
        <v>0</v>
      </c>
      <c r="M57" s="119">
        <f>L57*F57</f>
        <v>0</v>
      </c>
      <c r="N57" s="119">
        <v>0</v>
      </c>
      <c r="O57" s="119">
        <f>N57*F57</f>
        <v>0</v>
      </c>
      <c r="P57" s="119">
        <f t="shared" ref="P57" si="75">G57+I57+K57+M57+O57</f>
        <v>1500</v>
      </c>
      <c r="Q57" s="119" t="s">
        <v>243</v>
      </c>
      <c r="R57" s="119">
        <f t="shared" ref="R57" si="76">SUM(P57:Q57)</f>
        <v>1500</v>
      </c>
    </row>
    <row r="58" spans="1:20">
      <c r="A58" s="120" t="s">
        <v>792</v>
      </c>
      <c r="B58" s="58"/>
      <c r="C58" s="58" t="s">
        <v>791</v>
      </c>
      <c r="D58" s="126" t="s">
        <v>281</v>
      </c>
      <c r="E58" s="119">
        <v>1</v>
      </c>
      <c r="F58" s="119">
        <v>60000</v>
      </c>
      <c r="G58" s="119">
        <f t="shared" ref="G58:G60" si="77">E58*F58</f>
        <v>60000</v>
      </c>
      <c r="H58" s="119">
        <v>1</v>
      </c>
      <c r="I58" s="119">
        <v>20000</v>
      </c>
      <c r="J58" s="119">
        <v>0</v>
      </c>
      <c r="K58" s="119">
        <f t="shared" ref="K58:K60" si="78">J58*F58</f>
        <v>0</v>
      </c>
      <c r="L58" s="119">
        <v>0</v>
      </c>
      <c r="M58" s="119">
        <f t="shared" ref="M58:M60" si="79">L58*F58</f>
        <v>0</v>
      </c>
      <c r="N58" s="119">
        <v>0</v>
      </c>
      <c r="O58" s="119">
        <f t="shared" ref="O58:O60" si="80">N58*F58</f>
        <v>0</v>
      </c>
      <c r="P58" s="119">
        <f t="shared" ref="P58:P60" si="81">G58+I58+K58+M58+O58</f>
        <v>80000</v>
      </c>
      <c r="Q58" s="119" t="s">
        <v>243</v>
      </c>
      <c r="R58" s="119">
        <f t="shared" ref="R58:R60" si="82">SUM(P58:Q58)</f>
        <v>80000</v>
      </c>
      <c r="T58" s="93"/>
    </row>
    <row r="59" spans="1:20">
      <c r="A59" s="120" t="s">
        <v>793</v>
      </c>
      <c r="B59" s="58"/>
      <c r="C59" s="58" t="s">
        <v>791</v>
      </c>
      <c r="D59" s="126" t="s">
        <v>281</v>
      </c>
      <c r="E59" s="119">
        <v>1</v>
      </c>
      <c r="F59" s="119">
        <v>30000</v>
      </c>
      <c r="G59" s="119">
        <v>30000</v>
      </c>
      <c r="H59" s="119">
        <v>1</v>
      </c>
      <c r="I59" s="119">
        <v>10000</v>
      </c>
      <c r="J59" s="119">
        <v>0</v>
      </c>
      <c r="K59" s="119">
        <f t="shared" si="78"/>
        <v>0</v>
      </c>
      <c r="L59" s="119">
        <v>0</v>
      </c>
      <c r="M59" s="119">
        <f t="shared" si="79"/>
        <v>0</v>
      </c>
      <c r="N59" s="119">
        <v>0</v>
      </c>
      <c r="O59" s="119">
        <f t="shared" si="80"/>
        <v>0</v>
      </c>
      <c r="P59" s="119">
        <f t="shared" ref="P59" si="83">G59+I59+K59+M59+O59</f>
        <v>40000</v>
      </c>
      <c r="Q59" s="119" t="s">
        <v>243</v>
      </c>
      <c r="R59" s="119">
        <f t="shared" ref="R59" si="84">SUM(P59:Q59)</f>
        <v>40000</v>
      </c>
      <c r="T59" s="93"/>
    </row>
    <row r="60" spans="1:20">
      <c r="A60" s="120" t="s">
        <v>794</v>
      </c>
      <c r="B60" s="58"/>
      <c r="C60" s="58" t="s">
        <v>791</v>
      </c>
      <c r="D60" s="126" t="s">
        <v>281</v>
      </c>
      <c r="E60" s="119">
        <v>1</v>
      </c>
      <c r="F60" s="119">
        <v>25000</v>
      </c>
      <c r="G60" s="119">
        <f t="shared" si="77"/>
        <v>25000</v>
      </c>
      <c r="H60" s="119">
        <v>1</v>
      </c>
      <c r="I60" s="119">
        <v>8000</v>
      </c>
      <c r="J60" s="119">
        <v>0</v>
      </c>
      <c r="K60" s="119">
        <f t="shared" si="78"/>
        <v>0</v>
      </c>
      <c r="L60" s="119">
        <v>0</v>
      </c>
      <c r="M60" s="119">
        <f t="shared" si="79"/>
        <v>0</v>
      </c>
      <c r="N60" s="119">
        <v>0</v>
      </c>
      <c r="O60" s="119">
        <f t="shared" si="80"/>
        <v>0</v>
      </c>
      <c r="P60" s="119">
        <f t="shared" si="81"/>
        <v>33000</v>
      </c>
      <c r="Q60" s="119" t="s">
        <v>243</v>
      </c>
      <c r="R60" s="119">
        <f t="shared" si="82"/>
        <v>33000</v>
      </c>
      <c r="T60" s="93"/>
    </row>
    <row r="61" spans="1:20">
      <c r="A61" s="109" t="s">
        <v>795</v>
      </c>
      <c r="B61" s="122"/>
      <c r="C61" s="123"/>
      <c r="D61" s="124"/>
      <c r="E61" s="124"/>
      <c r="F61" s="125"/>
      <c r="G61" s="125">
        <f>SUM(G57:G60)</f>
        <v>115900</v>
      </c>
      <c r="H61" s="125"/>
      <c r="I61" s="125">
        <f>SUM(I57:I60)</f>
        <v>38600</v>
      </c>
      <c r="J61" s="125"/>
      <c r="K61" s="125">
        <f>SUM(K57:K60)</f>
        <v>0</v>
      </c>
      <c r="L61" s="125"/>
      <c r="M61" s="125">
        <f>SUM(M57:M60)</f>
        <v>0</v>
      </c>
      <c r="N61" s="125"/>
      <c r="O61" s="125">
        <f>SUM(O57:O60)</f>
        <v>0</v>
      </c>
      <c r="P61" s="125">
        <f>SUM(P57:P60)</f>
        <v>154500</v>
      </c>
      <c r="Q61" s="125">
        <f>SUM(Q57:Q60)</f>
        <v>0</v>
      </c>
      <c r="R61" s="125">
        <f>SUM(R57:R60)</f>
        <v>154500</v>
      </c>
    </row>
    <row r="63" spans="1:20">
      <c r="A63" s="109" t="s">
        <v>796</v>
      </c>
      <c r="B63" s="110"/>
      <c r="C63" s="109"/>
      <c r="D63" s="109"/>
      <c r="E63" s="109"/>
      <c r="F63" s="111"/>
      <c r="G63" s="111"/>
      <c r="H63" s="109"/>
      <c r="I63" s="111"/>
      <c r="J63" s="109"/>
      <c r="K63" s="111"/>
      <c r="L63" s="109"/>
      <c r="M63" s="111"/>
      <c r="N63" s="109"/>
      <c r="O63" s="111"/>
      <c r="P63" s="109"/>
      <c r="Q63" s="109"/>
      <c r="R63" s="109"/>
    </row>
    <row r="64" spans="1:20">
      <c r="A64" s="120" t="s">
        <v>797</v>
      </c>
      <c r="B64" s="58" t="s">
        <v>798</v>
      </c>
      <c r="C64" s="58" t="s">
        <v>100</v>
      </c>
      <c r="D64" s="126" t="s">
        <v>737</v>
      </c>
      <c r="E64" s="119">
        <v>4</v>
      </c>
      <c r="F64" s="119">
        <v>3000</v>
      </c>
      <c r="G64" s="119">
        <f>E64*F64</f>
        <v>12000</v>
      </c>
      <c r="H64" s="119">
        <v>2</v>
      </c>
      <c r="I64" s="119">
        <f>H64*F64</f>
        <v>6000</v>
      </c>
      <c r="J64" s="119">
        <v>0</v>
      </c>
      <c r="K64" s="119">
        <f>J64*$F64</f>
        <v>0</v>
      </c>
      <c r="L64" s="119">
        <v>0</v>
      </c>
      <c r="M64" s="119">
        <f>L64*F64</f>
        <v>0</v>
      </c>
      <c r="N64" s="119">
        <v>0</v>
      </c>
      <c r="O64" s="119">
        <f>N64*F64</f>
        <v>0</v>
      </c>
      <c r="P64" s="119">
        <f>G64+I64+K64+M64+O64</f>
        <v>18000</v>
      </c>
      <c r="Q64" s="119" t="s">
        <v>243</v>
      </c>
      <c r="R64" s="119">
        <f>SUM(P64:Q64)</f>
        <v>18000</v>
      </c>
    </row>
    <row r="65" spans="1:18">
      <c r="A65" s="120" t="s">
        <v>799</v>
      </c>
      <c r="B65" s="58" t="s">
        <v>798</v>
      </c>
      <c r="C65" s="58" t="s">
        <v>100</v>
      </c>
      <c r="D65" s="126" t="s">
        <v>800</v>
      </c>
      <c r="E65" s="119">
        <v>15</v>
      </c>
      <c r="F65" s="119">
        <v>600</v>
      </c>
      <c r="G65" s="119">
        <f>E65*F65</f>
        <v>9000</v>
      </c>
      <c r="H65" s="119">
        <v>0</v>
      </c>
      <c r="I65" s="119">
        <f t="shared" ref="I65" si="85">H65*F65</f>
        <v>0</v>
      </c>
      <c r="J65" s="119">
        <v>0</v>
      </c>
      <c r="K65" s="119">
        <f t="shared" ref="K65" si="86">J65*$F65</f>
        <v>0</v>
      </c>
      <c r="L65" s="119">
        <v>0</v>
      </c>
      <c r="M65" s="119">
        <f t="shared" ref="M65" si="87">L65*F65</f>
        <v>0</v>
      </c>
      <c r="N65" s="119">
        <v>0</v>
      </c>
      <c r="O65" s="119">
        <f t="shared" ref="O65" si="88">N65*F65</f>
        <v>0</v>
      </c>
      <c r="P65" s="119">
        <f>G65+I65+K65+M65+O65</f>
        <v>9000</v>
      </c>
      <c r="Q65" s="119" t="s">
        <v>243</v>
      </c>
      <c r="R65" s="119">
        <f>SUM(P65:Q65)</f>
        <v>9000</v>
      </c>
    </row>
    <row r="66" spans="1:18">
      <c r="A66" s="120" t="s">
        <v>801</v>
      </c>
      <c r="B66" s="58" t="s">
        <v>798</v>
      </c>
      <c r="C66" s="58" t="s">
        <v>100</v>
      </c>
      <c r="D66" s="126" t="s">
        <v>737</v>
      </c>
      <c r="E66" s="119">
        <v>16</v>
      </c>
      <c r="F66" s="119">
        <v>300</v>
      </c>
      <c r="G66" s="119">
        <f>E66*F66</f>
        <v>4800</v>
      </c>
      <c r="H66" s="119">
        <v>8</v>
      </c>
      <c r="I66" s="119">
        <f t="shared" ref="I66" si="89">H66*F66</f>
        <v>2400</v>
      </c>
      <c r="J66" s="119">
        <v>0</v>
      </c>
      <c r="K66" s="119">
        <f t="shared" ref="K66" si="90">J66*$F66</f>
        <v>0</v>
      </c>
      <c r="L66" s="119">
        <v>0</v>
      </c>
      <c r="M66" s="119">
        <f t="shared" ref="M66" si="91">L66*F66</f>
        <v>0</v>
      </c>
      <c r="N66" s="119">
        <v>0</v>
      </c>
      <c r="O66" s="119">
        <f t="shared" ref="O66" si="92">N66*F66</f>
        <v>0</v>
      </c>
      <c r="P66" s="119">
        <f>G66+I66+K66+M66+O66</f>
        <v>7200</v>
      </c>
      <c r="Q66" s="119" t="s">
        <v>243</v>
      </c>
      <c r="R66" s="119">
        <f>SUM(P66:Q66)</f>
        <v>7200</v>
      </c>
    </row>
    <row r="67" spans="1:18">
      <c r="A67" s="109" t="s">
        <v>802</v>
      </c>
      <c r="B67" s="122"/>
      <c r="C67" s="123"/>
      <c r="D67" s="124"/>
      <c r="E67" s="124"/>
      <c r="F67" s="125"/>
      <c r="G67" s="125">
        <f>SUM(G64:G66)</f>
        <v>25800</v>
      </c>
      <c r="H67" s="125"/>
      <c r="I67" s="125">
        <f>SUM(I64:I66)</f>
        <v>8400</v>
      </c>
      <c r="J67" s="125"/>
      <c r="K67" s="125">
        <f>SUM(K64:K66)</f>
        <v>0</v>
      </c>
      <c r="L67" s="125"/>
      <c r="M67" s="125">
        <f>SUM(M64:M66)</f>
        <v>0</v>
      </c>
      <c r="N67" s="125"/>
      <c r="O67" s="125">
        <f>SUM(O64:O66)</f>
        <v>0</v>
      </c>
      <c r="P67" s="125">
        <f>SUM(P64:P66)</f>
        <v>34200</v>
      </c>
      <c r="Q67" s="125">
        <f>SUM(Q64:Q66)</f>
        <v>0</v>
      </c>
      <c r="R67" s="125">
        <f>SUM(R64:R66)</f>
        <v>34200</v>
      </c>
    </row>
    <row r="69" spans="1:18" ht="12.9" thickBot="1">
      <c r="A69" s="143" t="s">
        <v>803</v>
      </c>
      <c r="B69" s="143"/>
      <c r="C69" s="143"/>
      <c r="D69" s="144"/>
      <c r="E69" s="144"/>
      <c r="F69" s="145"/>
      <c r="G69" s="146">
        <f>G67+G61+G48+G35+G54</f>
        <v>720726.11297791544</v>
      </c>
      <c r="H69" s="146"/>
      <c r="I69" s="146">
        <f>I67+I61+I48+I35+I54</f>
        <v>204150.93174851604</v>
      </c>
      <c r="J69" s="146"/>
      <c r="K69" s="146">
        <f>K67+K61+K48+K35+K54</f>
        <v>0</v>
      </c>
      <c r="L69" s="146"/>
      <c r="M69" s="146">
        <f>M67+M61+M48+M35+M54</f>
        <v>0</v>
      </c>
      <c r="N69" s="146"/>
      <c r="O69" s="146">
        <f>O67+O61+O48+O35+O54</f>
        <v>0</v>
      </c>
      <c r="P69" s="146">
        <f>P67+P61+P48+P35+P54</f>
        <v>924877.0447264316</v>
      </c>
      <c r="Q69" s="146">
        <f>Q67+Q61+Q48+Q35+Q54</f>
        <v>0</v>
      </c>
      <c r="R69" s="146">
        <f>R67+R61+R48+R35+R54</f>
        <v>924877.0447264316</v>
      </c>
    </row>
    <row r="71" spans="1:18">
      <c r="A71" s="147" t="s">
        <v>804</v>
      </c>
      <c r="B71" s="148"/>
      <c r="C71" s="58" t="s">
        <v>741</v>
      </c>
      <c r="D71" s="58"/>
      <c r="E71" s="149"/>
      <c r="F71" s="150">
        <v>0.1</v>
      </c>
      <c r="G71" s="151">
        <f>G69*$F$71</f>
        <v>72072.611297791547</v>
      </c>
      <c r="H71" s="151"/>
      <c r="I71" s="151">
        <f>I69*$F$71</f>
        <v>20415.093174851605</v>
      </c>
      <c r="J71" s="151"/>
      <c r="K71" s="151">
        <f>K69*$F$71</f>
        <v>0</v>
      </c>
      <c r="L71" s="94"/>
      <c r="M71" s="151">
        <f>M69*$F$71</f>
        <v>0</v>
      </c>
      <c r="N71" s="94"/>
      <c r="O71" s="151">
        <f>O69*$F$71</f>
        <v>0</v>
      </c>
      <c r="P71" s="151">
        <f>O71+M71+K71+I71+G71</f>
        <v>92487.704472643149</v>
      </c>
      <c r="Q71" s="151">
        <v>0</v>
      </c>
      <c r="R71" s="151">
        <f>SUM(P71:Q71)</f>
        <v>92487.704472643149</v>
      </c>
    </row>
    <row r="72" spans="1:18">
      <c r="A72" s="147"/>
      <c r="B72" s="148"/>
      <c r="C72" s="58"/>
      <c r="D72" s="58"/>
      <c r="E72" s="149"/>
      <c r="F72" s="150"/>
      <c r="G72" s="151"/>
      <c r="H72" s="151"/>
      <c r="I72" s="151"/>
      <c r="J72" s="151"/>
      <c r="K72" s="151"/>
      <c r="L72" s="94"/>
      <c r="M72" s="151"/>
      <c r="N72" s="94"/>
      <c r="O72" s="151"/>
      <c r="P72" s="151"/>
      <c r="Q72" s="151"/>
      <c r="R72" s="151"/>
    </row>
    <row r="73" spans="1:18" ht="12.9" thickBot="1">
      <c r="A73" s="132" t="s">
        <v>178</v>
      </c>
      <c r="B73" s="133"/>
      <c r="C73" s="132"/>
      <c r="D73" s="132"/>
      <c r="E73" s="132"/>
      <c r="F73" s="132"/>
      <c r="G73" s="134">
        <f>G71+G69</f>
        <v>792798.72427570703</v>
      </c>
      <c r="H73" s="132"/>
      <c r="I73" s="134">
        <f>I71+I69</f>
        <v>224566.02492336766</v>
      </c>
      <c r="J73" s="132"/>
      <c r="K73" s="134">
        <f>K71+K69</f>
        <v>0</v>
      </c>
      <c r="L73" s="132"/>
      <c r="M73" s="134">
        <f>M71+M69</f>
        <v>0</v>
      </c>
      <c r="N73" s="132"/>
      <c r="O73" s="134">
        <f>O71+O69</f>
        <v>0</v>
      </c>
      <c r="P73" s="134">
        <f>P71+P69</f>
        <v>1017364.7491990747</v>
      </c>
      <c r="Q73" s="134">
        <f>Q71+Q69</f>
        <v>0</v>
      </c>
      <c r="R73" s="134">
        <f>R71+R69</f>
        <v>1017364.7491990747</v>
      </c>
    </row>
    <row r="75" spans="1:18">
      <c r="A75" s="104" t="str">
        <f>'USDA Budget Summary'!A30</f>
        <v>Activity 3: Agriculture Extension and Production Support</v>
      </c>
      <c r="B75" s="105"/>
      <c r="C75" s="104"/>
      <c r="D75" s="106"/>
      <c r="E75" s="106"/>
      <c r="F75" s="107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</row>
    <row r="76" spans="1:18">
      <c r="A76" s="558" t="s">
        <v>805</v>
      </c>
      <c r="B76" s="558"/>
      <c r="C76" s="558"/>
      <c r="D76" s="558"/>
      <c r="E76" s="558"/>
      <c r="F76" s="558"/>
      <c r="G76" s="558"/>
      <c r="H76" s="558"/>
      <c r="I76" s="558"/>
      <c r="J76" s="558"/>
      <c r="K76" s="558"/>
      <c r="L76" s="362"/>
      <c r="M76" s="363"/>
      <c r="N76" s="362"/>
      <c r="O76" s="363"/>
      <c r="P76" s="362"/>
      <c r="Q76" s="362"/>
      <c r="R76" s="362"/>
    </row>
    <row r="77" spans="1:18">
      <c r="A77" s="109" t="s">
        <v>388</v>
      </c>
      <c r="B77" s="110"/>
      <c r="C77" s="109"/>
      <c r="D77" s="109"/>
      <c r="E77" s="109"/>
      <c r="F77" s="111"/>
      <c r="G77" s="111"/>
      <c r="H77" s="109"/>
      <c r="I77" s="111"/>
      <c r="J77" s="109"/>
      <c r="K77" s="111"/>
      <c r="L77" s="109"/>
      <c r="M77" s="111"/>
      <c r="N77" s="109"/>
      <c r="O77" s="111"/>
      <c r="P77" s="109"/>
      <c r="Q77" s="109"/>
      <c r="R77" s="109"/>
    </row>
    <row r="78" spans="1:18">
      <c r="A78" s="112" t="s">
        <v>747</v>
      </c>
      <c r="B78" s="113"/>
      <c r="C78" s="112"/>
      <c r="D78" s="114"/>
      <c r="E78" s="115"/>
      <c r="F78" s="116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</row>
    <row r="79" spans="1:18">
      <c r="A79" s="120" t="s">
        <v>756</v>
      </c>
      <c r="B79" s="118">
        <v>1</v>
      </c>
      <c r="C79" s="120" t="s">
        <v>118</v>
      </c>
      <c r="D79" s="59" t="s">
        <v>221</v>
      </c>
      <c r="E79" s="119">
        <v>0</v>
      </c>
      <c r="F79" s="117">
        <v>4175</v>
      </c>
      <c r="G79" s="117">
        <f>E79*F79*B79</f>
        <v>0</v>
      </c>
      <c r="H79" s="119">
        <v>1</v>
      </c>
      <c r="I79" s="119">
        <f>H79*F79*$B$6*B79</f>
        <v>4342</v>
      </c>
      <c r="J79" s="119">
        <v>0</v>
      </c>
      <c r="K79" s="119">
        <f>F79*J79*B79*$B$6*$B$6</f>
        <v>0</v>
      </c>
      <c r="L79" s="119">
        <v>0</v>
      </c>
      <c r="M79" s="119">
        <f>F79*L79*B79*$B$6*$B$6*$B$6</f>
        <v>0</v>
      </c>
      <c r="N79" s="119">
        <v>0</v>
      </c>
      <c r="O79" s="119">
        <f>N79*F79*B79*$B$6*$B$6*$B$6*$B$6</f>
        <v>0</v>
      </c>
      <c r="P79" s="119">
        <f t="shared" ref="P79:P83" si="93">SUM(G79+I79+K79+M79+O79)</f>
        <v>4342</v>
      </c>
      <c r="Q79" s="119">
        <v>0</v>
      </c>
      <c r="R79" s="119">
        <f t="shared" ref="R79:R83" si="94">SUM(P79:Q79)</f>
        <v>4342</v>
      </c>
    </row>
    <row r="80" spans="1:18">
      <c r="A80" s="120" t="s">
        <v>806</v>
      </c>
      <c r="B80" s="118">
        <v>0.4</v>
      </c>
      <c r="C80" s="120" t="s">
        <v>118</v>
      </c>
      <c r="D80" s="59" t="s">
        <v>221</v>
      </c>
      <c r="E80" s="119">
        <v>0</v>
      </c>
      <c r="F80" s="117">
        <v>1877</v>
      </c>
      <c r="G80" s="117">
        <f t="shared" ref="G80:G83" si="95">E80*F80*B80</f>
        <v>0</v>
      </c>
      <c r="H80" s="119">
        <v>12</v>
      </c>
      <c r="I80" s="119">
        <f t="shared" ref="I80:I86" si="96">H80*F80*$B$6*B80</f>
        <v>9369.9840000000004</v>
      </c>
      <c r="J80" s="119">
        <v>12</v>
      </c>
      <c r="K80" s="119">
        <f t="shared" ref="K80:K83" si="97">F80*J80*B80*$B$6*$B$6</f>
        <v>9744.7833600000013</v>
      </c>
      <c r="L80" s="119">
        <v>9</v>
      </c>
      <c r="M80" s="119">
        <f t="shared" ref="M80:M83" si="98">F80*L80*B80*$B$6*$B$6*$B$6</f>
        <v>7600.9310208000024</v>
      </c>
      <c r="N80" s="119">
        <v>0</v>
      </c>
      <c r="O80" s="119">
        <f t="shared" ref="O80:O83" si="99">N80*F80*B80*$B$6*$B$6*$B$6*$B$6</f>
        <v>0</v>
      </c>
      <c r="P80" s="119">
        <f t="shared" si="93"/>
        <v>26715.698380800004</v>
      </c>
      <c r="Q80" s="119">
        <v>0</v>
      </c>
      <c r="R80" s="119">
        <f t="shared" si="94"/>
        <v>26715.698380800004</v>
      </c>
    </row>
    <row r="81" spans="1:18">
      <c r="A81" s="120" t="s">
        <v>807</v>
      </c>
      <c r="B81" s="118">
        <v>0.8</v>
      </c>
      <c r="C81" s="120" t="s">
        <v>118</v>
      </c>
      <c r="D81" s="59" t="s">
        <v>221</v>
      </c>
      <c r="E81" s="119">
        <v>0</v>
      </c>
      <c r="F81" s="117">
        <v>1475</v>
      </c>
      <c r="G81" s="117">
        <f t="shared" ref="G81" si="100">E81*F81*B81</f>
        <v>0</v>
      </c>
      <c r="H81" s="119">
        <v>12</v>
      </c>
      <c r="I81" s="119">
        <f t="shared" ref="I81" si="101">H81*F81*$B$6*B81</f>
        <v>14726.400000000001</v>
      </c>
      <c r="J81" s="119">
        <v>12</v>
      </c>
      <c r="K81" s="119">
        <f t="shared" ref="K81" si="102">F81*J81*B81*$B$6*$B$6</f>
        <v>15315.456</v>
      </c>
      <c r="L81" s="119">
        <v>0</v>
      </c>
      <c r="M81" s="119">
        <f t="shared" ref="M81" si="103">F81*L81*B81*$B$6*$B$6*$B$6</f>
        <v>0</v>
      </c>
      <c r="N81" s="119">
        <v>0</v>
      </c>
      <c r="O81" s="119">
        <f t="shared" ref="O81" si="104">N81*F81*B81*$B$6*$B$6*$B$6*$B$6</f>
        <v>0</v>
      </c>
      <c r="P81" s="119">
        <f t="shared" ref="P81" si="105">SUM(G81+I81+K81+M81+O81)</f>
        <v>30041.856</v>
      </c>
      <c r="Q81" s="119">
        <v>0</v>
      </c>
      <c r="R81" s="119">
        <f t="shared" ref="R81" si="106">SUM(P81:Q81)</f>
        <v>30041.856</v>
      </c>
    </row>
    <row r="82" spans="1:18">
      <c r="A82" s="120" t="s">
        <v>762</v>
      </c>
      <c r="B82" s="118">
        <v>0.115</v>
      </c>
      <c r="C82" s="120" t="s">
        <v>118</v>
      </c>
      <c r="D82" s="59" t="s">
        <v>221</v>
      </c>
      <c r="E82" s="119">
        <v>0</v>
      </c>
      <c r="F82" s="117">
        <v>2131</v>
      </c>
      <c r="G82" s="117">
        <f t="shared" si="95"/>
        <v>0</v>
      </c>
      <c r="H82" s="119">
        <v>12</v>
      </c>
      <c r="I82" s="119">
        <f>H82*F82*$B$6*B82</f>
        <v>3058.4112000000005</v>
      </c>
      <c r="J82" s="119">
        <v>12</v>
      </c>
      <c r="K82" s="119">
        <f t="shared" si="97"/>
        <v>3180.7476480000005</v>
      </c>
      <c r="L82" s="119">
        <v>9</v>
      </c>
      <c r="M82" s="119">
        <f t="shared" si="98"/>
        <v>2480.98316544</v>
      </c>
      <c r="N82" s="119">
        <v>0</v>
      </c>
      <c r="O82" s="119">
        <f t="shared" si="99"/>
        <v>0</v>
      </c>
      <c r="P82" s="119">
        <f t="shared" si="93"/>
        <v>8720.1420134400014</v>
      </c>
      <c r="Q82" s="119">
        <v>0</v>
      </c>
      <c r="R82" s="119">
        <f t="shared" si="94"/>
        <v>8720.1420134400014</v>
      </c>
    </row>
    <row r="83" spans="1:18">
      <c r="A83" s="120" t="s">
        <v>763</v>
      </c>
      <c r="B83" s="118">
        <v>0.08</v>
      </c>
      <c r="C83" s="120" t="s">
        <v>118</v>
      </c>
      <c r="D83" s="59" t="s">
        <v>221</v>
      </c>
      <c r="E83" s="119">
        <v>0</v>
      </c>
      <c r="F83" s="117">
        <v>4282</v>
      </c>
      <c r="G83" s="117">
        <f t="shared" si="95"/>
        <v>0</v>
      </c>
      <c r="H83" s="119">
        <v>12</v>
      </c>
      <c r="I83" s="119">
        <f t="shared" si="96"/>
        <v>4275.1487999999999</v>
      </c>
      <c r="J83" s="119">
        <v>12</v>
      </c>
      <c r="K83" s="119">
        <f t="shared" si="97"/>
        <v>4446.1547520000013</v>
      </c>
      <c r="L83" s="119">
        <v>5</v>
      </c>
      <c r="M83" s="119">
        <f t="shared" si="98"/>
        <v>1926.6670592000003</v>
      </c>
      <c r="N83" s="119">
        <v>0</v>
      </c>
      <c r="O83" s="119">
        <f t="shared" si="99"/>
        <v>0</v>
      </c>
      <c r="P83" s="119">
        <f t="shared" si="93"/>
        <v>10647.970611200002</v>
      </c>
      <c r="Q83" s="119">
        <v>0</v>
      </c>
      <c r="R83" s="119">
        <f t="shared" si="94"/>
        <v>10647.970611200002</v>
      </c>
    </row>
    <row r="84" spans="1:18">
      <c r="A84" s="112" t="s">
        <v>808</v>
      </c>
      <c r="B84" s="113"/>
      <c r="C84" s="120"/>
      <c r="D84" s="59"/>
      <c r="E84" s="119"/>
      <c r="F84" s="117"/>
      <c r="G84" s="117"/>
      <c r="H84" s="119"/>
      <c r="I84" s="119">
        <f t="shared" si="96"/>
        <v>0</v>
      </c>
      <c r="J84" s="119"/>
      <c r="K84" s="119"/>
      <c r="L84" s="119"/>
      <c r="M84" s="119"/>
      <c r="N84" s="119"/>
      <c r="O84" s="119"/>
      <c r="P84" s="119"/>
      <c r="Q84" s="119"/>
      <c r="R84" s="119"/>
    </row>
    <row r="85" spans="1:18">
      <c r="A85" s="120" t="s">
        <v>770</v>
      </c>
      <c r="B85" s="118">
        <v>0.1</v>
      </c>
      <c r="C85" s="120" t="s">
        <v>118</v>
      </c>
      <c r="D85" s="59" t="s">
        <v>221</v>
      </c>
      <c r="E85" s="119">
        <v>0</v>
      </c>
      <c r="F85" s="117">
        <v>13325</v>
      </c>
      <c r="G85" s="117">
        <f>E85*F85*B85</f>
        <v>0</v>
      </c>
      <c r="H85" s="119">
        <v>6</v>
      </c>
      <c r="I85" s="119">
        <f t="shared" si="96"/>
        <v>8314.8000000000011</v>
      </c>
      <c r="J85" s="119">
        <v>6</v>
      </c>
      <c r="K85" s="119">
        <f>F85*J85*B85*$B$5*$B$5</f>
        <v>8155.6994999999997</v>
      </c>
      <c r="L85" s="119">
        <v>0</v>
      </c>
      <c r="M85" s="119">
        <f>F85*L85*B85*$B$5*$B$5*$B$5</f>
        <v>0</v>
      </c>
      <c r="N85" s="119">
        <v>0</v>
      </c>
      <c r="O85" s="119">
        <f>N85*F85*B85*$B$5*$B$5*$B$5*$B$5</f>
        <v>0</v>
      </c>
      <c r="P85" s="119">
        <f>SUM(G85+I85+K85+M85+O85)</f>
        <v>16470.499500000002</v>
      </c>
      <c r="Q85" s="119">
        <v>0</v>
      </c>
      <c r="R85" s="119">
        <f>SUM(P85:Q85)</f>
        <v>16470.499500000002</v>
      </c>
    </row>
    <row r="86" spans="1:18">
      <c r="A86" s="120" t="s">
        <v>768</v>
      </c>
      <c r="B86" s="135">
        <v>0.2</v>
      </c>
      <c r="C86" s="120" t="s">
        <v>118</v>
      </c>
      <c r="D86" s="59" t="s">
        <v>221</v>
      </c>
      <c r="E86" s="119">
        <v>0</v>
      </c>
      <c r="F86" s="117">
        <v>9390</v>
      </c>
      <c r="G86" s="117">
        <f>E86*F86*B86</f>
        <v>0</v>
      </c>
      <c r="H86" s="119">
        <v>12</v>
      </c>
      <c r="I86" s="119">
        <f t="shared" si="96"/>
        <v>23437.440000000002</v>
      </c>
      <c r="J86" s="119">
        <v>12</v>
      </c>
      <c r="K86" s="119">
        <f>F86*J86*B86*$B$5*$B$5</f>
        <v>22988.973600000001</v>
      </c>
      <c r="L86" s="119">
        <v>9</v>
      </c>
      <c r="M86" s="119">
        <f>F86*L86*B86*$B$5*$B$5*$B$5</f>
        <v>17414.147502000003</v>
      </c>
      <c r="N86" s="119">
        <v>0</v>
      </c>
      <c r="O86" s="119">
        <f>N86*F86*B86*$B$5*$B$5*$B$5*$B$5</f>
        <v>0</v>
      </c>
      <c r="P86" s="119">
        <f>SUM(G86+I86+K86+M86+O86)</f>
        <v>63840.561102000007</v>
      </c>
      <c r="Q86" s="119">
        <v>0</v>
      </c>
      <c r="R86" s="119">
        <f>SUM(P86:Q86)</f>
        <v>63840.561102000007</v>
      </c>
    </row>
    <row r="87" spans="1:18">
      <c r="A87" s="109" t="s">
        <v>390</v>
      </c>
      <c r="B87" s="122"/>
      <c r="C87" s="123"/>
      <c r="D87" s="124"/>
      <c r="E87" s="124"/>
      <c r="F87" s="125"/>
      <c r="G87" s="125">
        <f>SUM(G79:G86)</f>
        <v>0</v>
      </c>
      <c r="H87" s="124"/>
      <c r="I87" s="125">
        <f>SUM(I79:I86)</f>
        <v>67524.184000000008</v>
      </c>
      <c r="J87" s="125"/>
      <c r="K87" s="125">
        <f>SUM(K79:K86)</f>
        <v>63831.814859999999</v>
      </c>
      <c r="L87" s="125"/>
      <c r="M87" s="125">
        <f>SUM(M79:M86)</f>
        <v>29422.728747440007</v>
      </c>
      <c r="N87" s="125"/>
      <c r="O87" s="125">
        <f>SUM(O79:O86)</f>
        <v>0</v>
      </c>
      <c r="P87" s="125">
        <f>SUM(P79:P86)</f>
        <v>160778.72760744003</v>
      </c>
      <c r="Q87" s="125">
        <f>SUM(Q79:Q86)</f>
        <v>0</v>
      </c>
      <c r="R87" s="125">
        <f>SUM(R79:R86)</f>
        <v>160778.72760744003</v>
      </c>
    </row>
    <row r="89" spans="1:18">
      <c r="A89" s="109" t="s">
        <v>809</v>
      </c>
      <c r="B89" s="110"/>
      <c r="C89" s="109"/>
      <c r="D89" s="109"/>
      <c r="E89" s="109"/>
      <c r="F89" s="111"/>
      <c r="G89" s="111"/>
      <c r="H89" s="109"/>
      <c r="I89" s="111"/>
      <c r="J89" s="109"/>
      <c r="K89" s="111"/>
      <c r="L89" s="109"/>
      <c r="M89" s="111"/>
      <c r="N89" s="109"/>
      <c r="O89" s="111"/>
      <c r="P89" s="109"/>
      <c r="Q89" s="109"/>
      <c r="R89" s="109"/>
    </row>
    <row r="90" spans="1:18" s="141" customFormat="1">
      <c r="A90" s="137" t="s">
        <v>810</v>
      </c>
      <c r="B90" s="138"/>
      <c r="C90" s="137"/>
      <c r="D90" s="139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</row>
    <row r="91" spans="1:18">
      <c r="A91" s="120" t="s">
        <v>811</v>
      </c>
      <c r="B91" s="58"/>
      <c r="C91" s="58" t="s">
        <v>95</v>
      </c>
      <c r="D91" s="126" t="s">
        <v>255</v>
      </c>
      <c r="E91" s="119">
        <v>0</v>
      </c>
      <c r="F91" s="119">
        <v>800</v>
      </c>
      <c r="G91" s="119">
        <f>E91*F91</f>
        <v>0</v>
      </c>
      <c r="H91" s="119">
        <v>3</v>
      </c>
      <c r="I91" s="119">
        <f t="shared" ref="I91:I92" si="107">H91*F91</f>
        <v>2400</v>
      </c>
      <c r="J91" s="119">
        <v>8</v>
      </c>
      <c r="K91" s="119">
        <f t="shared" ref="K91:K92" si="108">J91*$F91</f>
        <v>6400</v>
      </c>
      <c r="L91" s="119">
        <v>6</v>
      </c>
      <c r="M91" s="119">
        <f t="shared" ref="M91:M92" si="109">L91*F91</f>
        <v>4800</v>
      </c>
      <c r="N91" s="119">
        <v>0</v>
      </c>
      <c r="O91" s="119">
        <f t="shared" ref="O91:O92" si="110">N91*F91</f>
        <v>0</v>
      </c>
      <c r="P91" s="119">
        <f>G91+I91+K91+M91+O91</f>
        <v>13600</v>
      </c>
      <c r="Q91" s="119" t="s">
        <v>243</v>
      </c>
      <c r="R91" s="119">
        <f>SUM(P91:Q91)</f>
        <v>13600</v>
      </c>
    </row>
    <row r="92" spans="1:18">
      <c r="A92" s="120" t="s">
        <v>812</v>
      </c>
      <c r="B92" s="58"/>
      <c r="C92" s="58" t="s">
        <v>95</v>
      </c>
      <c r="D92" s="126" t="s">
        <v>259</v>
      </c>
      <c r="E92" s="119">
        <v>0</v>
      </c>
      <c r="F92" s="119">
        <v>190</v>
      </c>
      <c r="G92" s="119">
        <f>E92*F92</f>
        <v>0</v>
      </c>
      <c r="H92" s="119">
        <f>3*5</f>
        <v>15</v>
      </c>
      <c r="I92" s="119">
        <f t="shared" si="107"/>
        <v>2850</v>
      </c>
      <c r="J92" s="119">
        <f>5*8</f>
        <v>40</v>
      </c>
      <c r="K92" s="119">
        <f t="shared" si="108"/>
        <v>7600</v>
      </c>
      <c r="L92" s="119">
        <f>5*6</f>
        <v>30</v>
      </c>
      <c r="M92" s="119">
        <f t="shared" si="109"/>
        <v>5700</v>
      </c>
      <c r="N92" s="119">
        <v>0</v>
      </c>
      <c r="O92" s="119">
        <f t="shared" si="110"/>
        <v>0</v>
      </c>
      <c r="P92" s="119">
        <f>G92+I92+K92+M92+O92</f>
        <v>16150</v>
      </c>
      <c r="Q92" s="119" t="s">
        <v>243</v>
      </c>
      <c r="R92" s="119">
        <f>SUM(P92:Q92)</f>
        <v>16150</v>
      </c>
    </row>
    <row r="93" spans="1:18">
      <c r="A93" s="109" t="s">
        <v>813</v>
      </c>
      <c r="B93" s="122"/>
      <c r="C93" s="123"/>
      <c r="D93" s="124"/>
      <c r="E93" s="124"/>
      <c r="F93" s="125"/>
      <c r="G93" s="125">
        <f>SUM(G91:G92)</f>
        <v>0</v>
      </c>
      <c r="H93" s="124"/>
      <c r="I93" s="125">
        <f>SUM(I91:I92)</f>
        <v>5250</v>
      </c>
      <c r="J93" s="125"/>
      <c r="K93" s="125">
        <f>SUM(K91:K92)</f>
        <v>14000</v>
      </c>
      <c r="L93" s="125"/>
      <c r="M93" s="125">
        <f>SUM(M91:M92)</f>
        <v>10500</v>
      </c>
      <c r="N93" s="125"/>
      <c r="O93" s="125">
        <f>SUM(O91:O92)</f>
        <v>0</v>
      </c>
      <c r="P93" s="125">
        <f>SUM(P91:P92)</f>
        <v>29750</v>
      </c>
      <c r="Q93" s="125">
        <f>SUM(Q91:Q92)</f>
        <v>0</v>
      </c>
      <c r="R93" s="125">
        <f>SUM(R91:R92)</f>
        <v>29750</v>
      </c>
    </row>
    <row r="95" spans="1:18">
      <c r="A95" s="109" t="s">
        <v>398</v>
      </c>
      <c r="B95" s="110"/>
      <c r="C95" s="109"/>
      <c r="D95" s="109"/>
      <c r="E95" s="109"/>
      <c r="F95" s="111"/>
      <c r="G95" s="111"/>
      <c r="H95" s="109"/>
      <c r="I95" s="111"/>
      <c r="J95" s="109"/>
      <c r="K95" s="111"/>
      <c r="L95" s="109"/>
      <c r="M95" s="111"/>
      <c r="N95" s="109"/>
      <c r="O95" s="111"/>
      <c r="P95" s="109"/>
      <c r="Q95" s="109"/>
      <c r="R95" s="109"/>
    </row>
    <row r="96" spans="1:18">
      <c r="A96" s="120" t="s">
        <v>814</v>
      </c>
      <c r="B96" s="58"/>
      <c r="C96" s="58" t="s">
        <v>785</v>
      </c>
      <c r="D96" s="126" t="s">
        <v>221</v>
      </c>
      <c r="E96" s="119">
        <v>0</v>
      </c>
      <c r="F96" s="119">
        <v>2700</v>
      </c>
      <c r="G96" s="119">
        <f t="shared" ref="G96" si="111">E96*F96</f>
        <v>0</v>
      </c>
      <c r="H96" s="119">
        <v>4</v>
      </c>
      <c r="I96" s="119">
        <f>H96*F96</f>
        <v>10800</v>
      </c>
      <c r="J96" s="119">
        <v>3</v>
      </c>
      <c r="K96" s="119">
        <f>J96*$F96</f>
        <v>8100</v>
      </c>
      <c r="L96" s="119">
        <v>0</v>
      </c>
      <c r="M96" s="119">
        <f>L96*F96</f>
        <v>0</v>
      </c>
      <c r="N96" s="164">
        <v>0</v>
      </c>
      <c r="O96" s="119">
        <f>N96*F96</f>
        <v>0</v>
      </c>
      <c r="P96" s="119">
        <f t="shared" ref="P96" si="112">G96+I96+K96+M96+O96</f>
        <v>18900</v>
      </c>
      <c r="Q96" s="119" t="s">
        <v>243</v>
      </c>
      <c r="R96" s="119">
        <f t="shared" ref="R96" si="113">SUM(P96:Q96)</f>
        <v>18900</v>
      </c>
    </row>
    <row r="97" spans="1:18">
      <c r="A97" s="109" t="s">
        <v>414</v>
      </c>
      <c r="B97" s="122"/>
      <c r="C97" s="123"/>
      <c r="D97" s="124"/>
      <c r="E97" s="124"/>
      <c r="F97" s="125"/>
      <c r="G97" s="125">
        <f>SUM(G96)</f>
        <v>0</v>
      </c>
      <c r="H97" s="124"/>
      <c r="I97" s="125">
        <f>SUM(I96)</f>
        <v>10800</v>
      </c>
      <c r="J97" s="125"/>
      <c r="K97" s="125">
        <f>SUM(K96)</f>
        <v>8100</v>
      </c>
      <c r="L97" s="125"/>
      <c r="M97" s="125">
        <f>SUM(M96)</f>
        <v>0</v>
      </c>
      <c r="N97" s="125"/>
      <c r="O97" s="125">
        <f>SUM(O96)</f>
        <v>0</v>
      </c>
      <c r="P97" s="125">
        <f>SUM(P96)</f>
        <v>18900</v>
      </c>
      <c r="Q97" s="125">
        <f>SUM(Q96)</f>
        <v>0</v>
      </c>
      <c r="R97" s="125">
        <f>SUM(R96)</f>
        <v>18900</v>
      </c>
    </row>
    <row r="99" spans="1:18">
      <c r="A99" s="109" t="s">
        <v>815</v>
      </c>
      <c r="B99" s="110"/>
      <c r="C99" s="109"/>
      <c r="D99" s="109"/>
      <c r="E99" s="109"/>
      <c r="F99" s="111"/>
      <c r="G99" s="111"/>
      <c r="H99" s="109"/>
      <c r="I99" s="111"/>
      <c r="J99" s="109"/>
      <c r="K99" s="111"/>
      <c r="L99" s="109"/>
      <c r="M99" s="111"/>
      <c r="N99" s="109"/>
      <c r="O99" s="111"/>
      <c r="P99" s="109"/>
      <c r="Q99" s="109"/>
      <c r="R99" s="109"/>
    </row>
    <row r="100" spans="1:18">
      <c r="A100" s="120" t="s">
        <v>790</v>
      </c>
      <c r="B100" s="58"/>
      <c r="C100" s="58" t="s">
        <v>791</v>
      </c>
      <c r="D100" s="126" t="s">
        <v>281</v>
      </c>
      <c r="E100" s="119">
        <v>0</v>
      </c>
      <c r="F100" s="119">
        <v>535</v>
      </c>
      <c r="G100" s="119">
        <f t="shared" ref="G100:G103" si="114">E100*F100</f>
        <v>0</v>
      </c>
      <c r="H100" s="119">
        <v>1</v>
      </c>
      <c r="I100" s="119">
        <f>H100*F100</f>
        <v>535</v>
      </c>
      <c r="J100" s="119">
        <v>1</v>
      </c>
      <c r="K100" s="119">
        <f>J100*F100</f>
        <v>535</v>
      </c>
      <c r="L100" s="119">
        <v>1</v>
      </c>
      <c r="M100" s="119">
        <f>L100*F100</f>
        <v>535</v>
      </c>
      <c r="N100" s="164">
        <v>0</v>
      </c>
      <c r="O100" s="119">
        <f>N100*F100</f>
        <v>0</v>
      </c>
      <c r="P100" s="119">
        <f t="shared" ref="P100:P103" si="115">G100+I100+K100+M100+O100</f>
        <v>1605</v>
      </c>
      <c r="Q100" s="119" t="s">
        <v>243</v>
      </c>
      <c r="R100" s="119">
        <f t="shared" ref="R100:R103" si="116">SUM(P100:Q100)</f>
        <v>1605</v>
      </c>
    </row>
    <row r="101" spans="1:18">
      <c r="A101" s="120" t="s">
        <v>792</v>
      </c>
      <c r="B101" s="58"/>
      <c r="C101" s="58" t="s">
        <v>791</v>
      </c>
      <c r="D101" s="126" t="s">
        <v>281</v>
      </c>
      <c r="E101" s="119">
        <v>0</v>
      </c>
      <c r="F101" s="119">
        <v>3674</v>
      </c>
      <c r="G101" s="119">
        <f t="shared" si="114"/>
        <v>0</v>
      </c>
      <c r="H101" s="119">
        <v>1</v>
      </c>
      <c r="I101" s="119">
        <v>3674</v>
      </c>
      <c r="J101" s="119">
        <v>1</v>
      </c>
      <c r="K101" s="119">
        <v>7348</v>
      </c>
      <c r="L101" s="119">
        <v>1</v>
      </c>
      <c r="M101" s="119">
        <v>2265</v>
      </c>
      <c r="N101" s="164">
        <v>0</v>
      </c>
      <c r="O101" s="119">
        <f t="shared" ref="O101:O102" si="117">N101*F101</f>
        <v>0</v>
      </c>
      <c r="P101" s="119">
        <f t="shared" si="115"/>
        <v>13287</v>
      </c>
      <c r="Q101" s="119" t="s">
        <v>243</v>
      </c>
      <c r="R101" s="119">
        <f t="shared" si="116"/>
        <v>13287</v>
      </c>
    </row>
    <row r="102" spans="1:18">
      <c r="A102" s="120" t="s">
        <v>793</v>
      </c>
      <c r="B102" s="58"/>
      <c r="C102" s="58" t="s">
        <v>791</v>
      </c>
      <c r="D102" s="126" t="s">
        <v>281</v>
      </c>
      <c r="E102" s="119">
        <v>0</v>
      </c>
      <c r="F102" s="119">
        <v>1429</v>
      </c>
      <c r="G102" s="119">
        <f t="shared" si="114"/>
        <v>0</v>
      </c>
      <c r="H102" s="119">
        <v>1</v>
      </c>
      <c r="I102" s="119">
        <v>1429</v>
      </c>
      <c r="J102" s="119">
        <v>1</v>
      </c>
      <c r="K102" s="119">
        <v>2635</v>
      </c>
      <c r="L102" s="119">
        <v>1</v>
      </c>
      <c r="M102" s="119">
        <v>953</v>
      </c>
      <c r="N102" s="164">
        <v>0</v>
      </c>
      <c r="O102" s="119">
        <f t="shared" si="117"/>
        <v>0</v>
      </c>
      <c r="P102" s="119">
        <f t="shared" si="115"/>
        <v>5017</v>
      </c>
      <c r="Q102" s="119" t="s">
        <v>243</v>
      </c>
      <c r="R102" s="119">
        <f t="shared" si="116"/>
        <v>5017</v>
      </c>
    </row>
    <row r="103" spans="1:18">
      <c r="A103" s="120" t="s">
        <v>794</v>
      </c>
      <c r="B103" s="58"/>
      <c r="C103" s="58" t="s">
        <v>791</v>
      </c>
      <c r="D103" s="126" t="s">
        <v>281</v>
      </c>
      <c r="E103" s="119">
        <v>0</v>
      </c>
      <c r="F103" s="119">
        <v>1236</v>
      </c>
      <c r="G103" s="119">
        <f t="shared" si="114"/>
        <v>0</v>
      </c>
      <c r="H103" s="119">
        <v>1</v>
      </c>
      <c r="I103" s="119">
        <v>1236</v>
      </c>
      <c r="J103" s="119">
        <v>1</v>
      </c>
      <c r="K103" s="119">
        <v>2275</v>
      </c>
      <c r="L103" s="119">
        <v>1</v>
      </c>
      <c r="M103" s="119">
        <v>823</v>
      </c>
      <c r="N103" s="164">
        <v>0</v>
      </c>
      <c r="O103" s="119">
        <f>N103*F103</f>
        <v>0</v>
      </c>
      <c r="P103" s="119">
        <f t="shared" si="115"/>
        <v>4334</v>
      </c>
      <c r="Q103" s="119" t="s">
        <v>243</v>
      </c>
      <c r="R103" s="119">
        <f t="shared" si="116"/>
        <v>4334</v>
      </c>
    </row>
    <row r="104" spans="1:18">
      <c r="A104" s="109" t="s">
        <v>816</v>
      </c>
      <c r="B104" s="122"/>
      <c r="C104" s="123"/>
      <c r="D104" s="124"/>
      <c r="E104" s="124"/>
      <c r="F104" s="125"/>
      <c r="G104" s="125">
        <f>SUM(G100:G103)</f>
        <v>0</v>
      </c>
      <c r="H104" s="124"/>
      <c r="I104" s="125">
        <f>SUM(I100:I103)</f>
        <v>6874</v>
      </c>
      <c r="J104" s="125"/>
      <c r="K104" s="125">
        <f>SUM(K100:K103)</f>
        <v>12793</v>
      </c>
      <c r="L104" s="125"/>
      <c r="M104" s="125">
        <f>SUM(M100:M103)</f>
        <v>4576</v>
      </c>
      <c r="N104" s="125"/>
      <c r="O104" s="125">
        <f>SUM(O100:O103)</f>
        <v>0</v>
      </c>
      <c r="P104" s="125">
        <f>SUM(P100:P103)</f>
        <v>24243</v>
      </c>
      <c r="Q104" s="125">
        <f>SUM(Q100:Q103)</f>
        <v>0</v>
      </c>
      <c r="R104" s="125">
        <f>SUM(R100:R103)</f>
        <v>24243</v>
      </c>
    </row>
    <row r="106" spans="1:18">
      <c r="A106" s="109" t="s">
        <v>415</v>
      </c>
      <c r="B106" s="110"/>
      <c r="C106" s="109"/>
      <c r="D106" s="109"/>
      <c r="E106" s="109"/>
      <c r="F106" s="111"/>
      <c r="G106" s="111"/>
      <c r="H106" s="109"/>
      <c r="I106" s="111"/>
      <c r="J106" s="109"/>
      <c r="K106" s="111"/>
      <c r="L106" s="109"/>
      <c r="M106" s="111"/>
      <c r="N106" s="109"/>
      <c r="O106" s="111"/>
      <c r="P106" s="109"/>
      <c r="Q106" s="109"/>
      <c r="R106" s="109"/>
    </row>
    <row r="107" spans="1:18">
      <c r="A107" s="120" t="s">
        <v>817</v>
      </c>
      <c r="B107" s="58"/>
      <c r="C107" s="58" t="s">
        <v>99</v>
      </c>
      <c r="D107" s="126" t="s">
        <v>281</v>
      </c>
      <c r="E107" s="119">
        <v>0</v>
      </c>
      <c r="F107" s="459">
        <v>65</v>
      </c>
      <c r="G107" s="119">
        <f t="shared" ref="G107" si="118">E107*F107</f>
        <v>0</v>
      </c>
      <c r="H107" s="119">
        <v>60</v>
      </c>
      <c r="I107" s="119">
        <f>H107*F107</f>
        <v>3900</v>
      </c>
      <c r="J107" s="119">
        <v>0</v>
      </c>
      <c r="K107" s="119">
        <f>J107*F107</f>
        <v>0</v>
      </c>
      <c r="L107" s="119">
        <v>0</v>
      </c>
      <c r="M107" s="119">
        <f>L107*F107</f>
        <v>0</v>
      </c>
      <c r="N107" s="164">
        <v>0</v>
      </c>
      <c r="O107" s="119">
        <f>N107*F107</f>
        <v>0</v>
      </c>
      <c r="P107" s="119">
        <f t="shared" ref="P107" si="119">G107+I107+K107+M107+O107</f>
        <v>3900</v>
      </c>
      <c r="Q107" s="119" t="s">
        <v>243</v>
      </c>
      <c r="R107" s="119">
        <f t="shared" ref="R107" si="120">SUM(P107:Q107)</f>
        <v>3900</v>
      </c>
    </row>
    <row r="108" spans="1:18">
      <c r="A108" s="109" t="s">
        <v>418</v>
      </c>
      <c r="B108" s="122"/>
      <c r="C108" s="123"/>
      <c r="D108" s="124"/>
      <c r="E108" s="124"/>
      <c r="F108" s="125"/>
      <c r="G108" s="125">
        <f>SUM(G107:G107)</f>
        <v>0</v>
      </c>
      <c r="H108" s="125"/>
      <c r="I108" s="125">
        <f>SUM(I107:I107)</f>
        <v>3900</v>
      </c>
      <c r="J108" s="125"/>
      <c r="K108" s="125">
        <f>SUM(K107:K107)</f>
        <v>0</v>
      </c>
      <c r="L108" s="125"/>
      <c r="M108" s="125">
        <f>SUM(M107:M107)</f>
        <v>0</v>
      </c>
      <c r="N108" s="125"/>
      <c r="O108" s="125">
        <f>SUM(O107:O107)</f>
        <v>0</v>
      </c>
      <c r="P108" s="125">
        <f>SUM(P107:P107)</f>
        <v>3900</v>
      </c>
      <c r="Q108" s="125">
        <f>SUM(Q107:Q107)</f>
        <v>0</v>
      </c>
      <c r="R108" s="125">
        <f>SUM(R107:R107)</f>
        <v>3900</v>
      </c>
    </row>
    <row r="110" spans="1:18">
      <c r="A110" s="109" t="s">
        <v>419</v>
      </c>
      <c r="B110" s="110"/>
      <c r="C110" s="109"/>
      <c r="D110" s="109"/>
      <c r="E110" s="109"/>
      <c r="F110" s="111"/>
      <c r="G110" s="111"/>
      <c r="H110" s="109"/>
      <c r="I110" s="111"/>
      <c r="J110" s="109"/>
      <c r="K110" s="111"/>
      <c r="L110" s="109"/>
      <c r="M110" s="111"/>
      <c r="N110" s="109"/>
      <c r="O110" s="111"/>
      <c r="P110" s="109"/>
      <c r="Q110" s="109"/>
      <c r="R110" s="109"/>
    </row>
    <row r="111" spans="1:18">
      <c r="A111" s="120" t="s">
        <v>818</v>
      </c>
      <c r="B111" s="58" t="s">
        <v>798</v>
      </c>
      <c r="C111" s="58" t="s">
        <v>100</v>
      </c>
      <c r="D111" s="126" t="s">
        <v>737</v>
      </c>
      <c r="E111" s="119">
        <v>0</v>
      </c>
      <c r="F111" s="119">
        <v>5000</v>
      </c>
      <c r="G111" s="119">
        <f>E111*F111</f>
        <v>0</v>
      </c>
      <c r="H111" s="119">
        <v>1</v>
      </c>
      <c r="I111" s="119">
        <f>H111*F111</f>
        <v>5000</v>
      </c>
      <c r="J111" s="119">
        <v>1</v>
      </c>
      <c r="K111" s="119">
        <f>J111*$F111</f>
        <v>5000</v>
      </c>
      <c r="L111" s="119">
        <v>0</v>
      </c>
      <c r="M111" s="119">
        <f>L111*F111</f>
        <v>0</v>
      </c>
      <c r="N111" s="119">
        <v>0</v>
      </c>
      <c r="O111" s="119">
        <f>N111*F111</f>
        <v>0</v>
      </c>
      <c r="P111" s="119">
        <f>G111+I111+K111+M111+O111</f>
        <v>10000</v>
      </c>
      <c r="Q111" s="119" t="s">
        <v>243</v>
      </c>
      <c r="R111" s="119">
        <f>SUM(P111:Q111)</f>
        <v>10000</v>
      </c>
    </row>
    <row r="112" spans="1:18">
      <c r="A112" s="109" t="s">
        <v>819</v>
      </c>
      <c r="B112" s="122"/>
      <c r="C112" s="123"/>
      <c r="D112" s="124"/>
      <c r="E112" s="124"/>
      <c r="F112" s="125"/>
      <c r="G112" s="125">
        <f>SUM(G111:G111)</f>
        <v>0</v>
      </c>
      <c r="H112" s="125"/>
      <c r="I112" s="125">
        <f>SUM(I111:I111)</f>
        <v>5000</v>
      </c>
      <c r="J112" s="125"/>
      <c r="K112" s="125">
        <f>SUM(K111:K111)</f>
        <v>5000</v>
      </c>
      <c r="L112" s="125"/>
      <c r="M112" s="125">
        <f>SUM(M111:M111)</f>
        <v>0</v>
      </c>
      <c r="N112" s="125"/>
      <c r="O112" s="125">
        <f>SUM(O111:O111)</f>
        <v>0</v>
      </c>
      <c r="P112" s="125">
        <f>SUM(P111:P111)</f>
        <v>10000</v>
      </c>
      <c r="Q112" s="125">
        <f>SUM(Q111:Q111)</f>
        <v>0</v>
      </c>
      <c r="R112" s="125">
        <f>SUM(R111:R111)</f>
        <v>10000</v>
      </c>
    </row>
    <row r="114" spans="1:18" ht="12.9" thickBot="1">
      <c r="A114" s="143" t="s">
        <v>820</v>
      </c>
      <c r="B114" s="143"/>
      <c r="C114" s="143"/>
      <c r="D114" s="144"/>
      <c r="E114" s="144"/>
      <c r="F114" s="145"/>
      <c r="G114" s="146">
        <f>G112+G108+G104+G93+G87+G97</f>
        <v>0</v>
      </c>
      <c r="H114" s="146"/>
      <c r="I114" s="146">
        <f>I112+I108+I104+I93+I87+I97</f>
        <v>99348.184000000008</v>
      </c>
      <c r="J114" s="146"/>
      <c r="K114" s="146">
        <f>K112+K108+K104+K93+K87+K97</f>
        <v>103724.81486</v>
      </c>
      <c r="L114" s="146"/>
      <c r="M114" s="146">
        <f>M112+M108+M104+M93+M87+M97</f>
        <v>44498.728747440007</v>
      </c>
      <c r="N114" s="146"/>
      <c r="O114" s="146">
        <f>O112+O108+O104+O93+O87+O97</f>
        <v>0</v>
      </c>
      <c r="P114" s="146">
        <f>P112+P108+P104+P93+P87+P97</f>
        <v>247571.72760744003</v>
      </c>
      <c r="Q114" s="146">
        <f>Q112+Q108+Q104+Q93+Q87+Q97</f>
        <v>0</v>
      </c>
      <c r="R114" s="146">
        <f>R112+R108+R104+R93+R87+R97</f>
        <v>247571.72760744003</v>
      </c>
    </row>
    <row r="116" spans="1:18">
      <c r="A116" s="147" t="s">
        <v>821</v>
      </c>
      <c r="B116" s="148"/>
      <c r="C116" s="58" t="s">
        <v>741</v>
      </c>
      <c r="D116" s="58"/>
      <c r="E116" s="149"/>
      <c r="F116" s="150">
        <v>0.1</v>
      </c>
      <c r="G116" s="151">
        <f>G114*$F$116</f>
        <v>0</v>
      </c>
      <c r="H116" s="151"/>
      <c r="I116" s="151">
        <f>I114*$F$116</f>
        <v>9934.8184000000019</v>
      </c>
      <c r="J116" s="151"/>
      <c r="K116" s="151">
        <f>K114*$F$116</f>
        <v>10372.481486000001</v>
      </c>
      <c r="L116" s="94"/>
      <c r="M116" s="151">
        <f>M114*$F$116</f>
        <v>4449.8728747440009</v>
      </c>
      <c r="N116" s="94"/>
      <c r="O116" s="151">
        <f>O114*$F$116</f>
        <v>0</v>
      </c>
      <c r="P116" s="151">
        <f>O116+M116+K116+I116+G116</f>
        <v>24757.172760744004</v>
      </c>
      <c r="Q116" s="151">
        <v>0</v>
      </c>
      <c r="R116" s="151">
        <f>SUM(P116:Q116)</f>
        <v>24757.172760744004</v>
      </c>
    </row>
    <row r="117" spans="1:18">
      <c r="A117" s="147"/>
      <c r="B117" s="148"/>
      <c r="C117" s="58"/>
      <c r="D117" s="58"/>
      <c r="E117" s="149"/>
      <c r="F117" s="150"/>
      <c r="G117" s="151"/>
      <c r="H117" s="151"/>
      <c r="I117" s="151"/>
      <c r="J117" s="151"/>
      <c r="K117" s="151"/>
      <c r="L117" s="94"/>
      <c r="M117" s="151"/>
      <c r="N117" s="94"/>
      <c r="O117" s="151"/>
      <c r="P117" s="151"/>
      <c r="Q117" s="151"/>
      <c r="R117" s="151"/>
    </row>
    <row r="118" spans="1:18" ht="12.9" thickBot="1">
      <c r="A118" s="132" t="s">
        <v>180</v>
      </c>
      <c r="B118" s="133"/>
      <c r="C118" s="132"/>
      <c r="D118" s="132"/>
      <c r="E118" s="132"/>
      <c r="F118" s="132"/>
      <c r="G118" s="134">
        <f>G116+G114</f>
        <v>0</v>
      </c>
      <c r="H118" s="132"/>
      <c r="I118" s="134">
        <f>I116+I114</f>
        <v>109283.00240000001</v>
      </c>
      <c r="J118" s="132"/>
      <c r="K118" s="134">
        <f>K116+K114</f>
        <v>114097.296346</v>
      </c>
      <c r="L118" s="132"/>
      <c r="M118" s="134">
        <f>M116+M114</f>
        <v>48948.601622184011</v>
      </c>
      <c r="N118" s="132"/>
      <c r="O118" s="134">
        <f>O116+O114</f>
        <v>0</v>
      </c>
      <c r="P118" s="134">
        <f>P116+P114</f>
        <v>272328.90036818403</v>
      </c>
      <c r="Q118" s="134">
        <f>Q116+Q114</f>
        <v>0</v>
      </c>
      <c r="R118" s="134">
        <f>R116+R114</f>
        <v>272328.90036818403</v>
      </c>
    </row>
    <row r="120" spans="1:18">
      <c r="A120" s="104" t="str">
        <f>A75</f>
        <v>Activity 3: Agriculture Extension and Production Support</v>
      </c>
      <c r="B120" s="105"/>
      <c r="C120" s="104"/>
      <c r="D120" s="106"/>
      <c r="E120" s="106"/>
      <c r="F120" s="10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</row>
    <row r="121" spans="1:18">
      <c r="A121" s="558" t="s">
        <v>822</v>
      </c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362"/>
      <c r="M121" s="363"/>
      <c r="N121" s="362"/>
      <c r="O121" s="363"/>
      <c r="P121" s="362"/>
      <c r="Q121" s="362"/>
      <c r="R121" s="362"/>
    </row>
    <row r="122" spans="1:18">
      <c r="A122" s="109" t="s">
        <v>388</v>
      </c>
      <c r="B122" s="110"/>
      <c r="C122" s="109"/>
      <c r="D122" s="109"/>
      <c r="E122" s="109"/>
      <c r="F122" s="111"/>
      <c r="G122" s="111"/>
      <c r="H122" s="109"/>
      <c r="I122" s="111"/>
      <c r="J122" s="109"/>
      <c r="K122" s="111"/>
      <c r="L122" s="109"/>
      <c r="M122" s="111"/>
      <c r="N122" s="109"/>
      <c r="O122" s="111"/>
      <c r="P122" s="109"/>
      <c r="Q122" s="109"/>
      <c r="R122" s="109"/>
    </row>
    <row r="123" spans="1:18">
      <c r="A123" s="112" t="s">
        <v>747</v>
      </c>
      <c r="B123" s="113"/>
      <c r="C123" s="112"/>
      <c r="D123" s="114"/>
      <c r="E123" s="115"/>
      <c r="F123" s="116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</row>
    <row r="124" spans="1:18">
      <c r="A124" s="120" t="s">
        <v>823</v>
      </c>
      <c r="B124" s="118">
        <v>1</v>
      </c>
      <c r="C124" s="120" t="s">
        <v>118</v>
      </c>
      <c r="D124" s="59" t="s">
        <v>221</v>
      </c>
      <c r="E124" s="119">
        <v>0</v>
      </c>
      <c r="F124" s="117">
        <v>3466</v>
      </c>
      <c r="G124" s="119">
        <f>E124*F124*B124</f>
        <v>0</v>
      </c>
      <c r="H124" s="119">
        <v>12</v>
      </c>
      <c r="I124" s="119">
        <f>H124*F124*$B$6*B124</f>
        <v>43255.68</v>
      </c>
      <c r="J124" s="119">
        <v>12</v>
      </c>
      <c r="K124" s="119">
        <f>F124*J124*B124*$B$6*$B$6</f>
        <v>44985.907200000001</v>
      </c>
      <c r="L124" s="119">
        <v>0</v>
      </c>
      <c r="M124" s="119">
        <f>F124*L124*B124*$B$6*$B$6*$B$6</f>
        <v>0</v>
      </c>
      <c r="N124" s="119">
        <v>0</v>
      </c>
      <c r="O124" s="119">
        <f>N124*F124*B124*$B$6*$B$6*$B$6*$B$6</f>
        <v>0</v>
      </c>
      <c r="P124" s="119">
        <f t="shared" ref="P124:P127" si="121">SUM(G124+I124+K124+M124+O124)</f>
        <v>88241.587200000009</v>
      </c>
      <c r="Q124" s="119">
        <v>0</v>
      </c>
      <c r="R124" s="119">
        <f t="shared" ref="R124:R127" si="122">SUM(P124:Q124)</f>
        <v>88241.587200000009</v>
      </c>
    </row>
    <row r="125" spans="1:18">
      <c r="A125" s="120" t="s">
        <v>824</v>
      </c>
      <c r="B125" s="118">
        <v>0.8</v>
      </c>
      <c r="C125" s="120" t="s">
        <v>118</v>
      </c>
      <c r="D125" s="59" t="s">
        <v>221</v>
      </c>
      <c r="E125" s="119">
        <v>0</v>
      </c>
      <c r="F125" s="117">
        <v>1604</v>
      </c>
      <c r="G125" s="119">
        <f>E125*F125*B125</f>
        <v>0</v>
      </c>
      <c r="H125" s="119">
        <v>12</v>
      </c>
      <c r="I125" s="119">
        <f>H125*F125*$B$6*B125</f>
        <v>16014.336000000003</v>
      </c>
      <c r="J125" s="119">
        <v>12</v>
      </c>
      <c r="K125" s="119">
        <f>F125*J125*B125*$B$6*$B$6</f>
        <v>16654.909440000003</v>
      </c>
      <c r="L125" s="119">
        <v>0</v>
      </c>
      <c r="M125" s="119">
        <f>F125*L125*B125*$B$6*$B$6*$B$6</f>
        <v>0</v>
      </c>
      <c r="N125" s="119">
        <v>0</v>
      </c>
      <c r="O125" s="119">
        <f>N125*F125*B125*$B$6*$B$6*$B$6*$B$6</f>
        <v>0</v>
      </c>
      <c r="P125" s="119">
        <f t="shared" ref="P125" si="123">SUM(G125+I125+K125+M125+O125)</f>
        <v>32669.245440000006</v>
      </c>
      <c r="Q125" s="119">
        <v>0</v>
      </c>
      <c r="R125" s="119">
        <f t="shared" ref="R125" si="124">SUM(P125:Q125)</f>
        <v>32669.245440000006</v>
      </c>
    </row>
    <row r="126" spans="1:18">
      <c r="A126" s="120" t="s">
        <v>762</v>
      </c>
      <c r="B126" s="118">
        <v>0.19580263100223425</v>
      </c>
      <c r="C126" s="120" t="s">
        <v>118</v>
      </c>
      <c r="D126" s="59" t="s">
        <v>221</v>
      </c>
      <c r="E126" s="119">
        <v>0</v>
      </c>
      <c r="F126" s="117">
        <v>2131</v>
      </c>
      <c r="G126" s="119">
        <f t="shared" ref="G126:G127" si="125">E126*F126*B126</f>
        <v>0</v>
      </c>
      <c r="H126" s="119">
        <v>12</v>
      </c>
      <c r="I126" s="119">
        <f t="shared" ref="I126" si="126">H126*F126*$B$6*B126</f>
        <v>5207.3474751886997</v>
      </c>
      <c r="J126" s="119">
        <v>12</v>
      </c>
      <c r="K126" s="119">
        <f t="shared" ref="K126:K127" si="127">F126*J126*B126*$B$6*$B$6</f>
        <v>5415.6413741962479</v>
      </c>
      <c r="L126" s="119">
        <v>0</v>
      </c>
      <c r="M126" s="119">
        <f t="shared" ref="M126:M127" si="128">F126*L126*B126*$B$6*$B$6*$B$6</f>
        <v>0</v>
      </c>
      <c r="N126" s="119">
        <v>0</v>
      </c>
      <c r="O126" s="119">
        <f t="shared" ref="O126:O127" si="129">N126*F126*B126*$B$6*$B$6*$B$6*$B$6</f>
        <v>0</v>
      </c>
      <c r="P126" s="119">
        <f t="shared" si="121"/>
        <v>10622.988849384947</v>
      </c>
      <c r="Q126" s="119">
        <v>0</v>
      </c>
      <c r="R126" s="119">
        <f t="shared" si="122"/>
        <v>10622.988849384947</v>
      </c>
    </row>
    <row r="127" spans="1:18">
      <c r="A127" s="120" t="s">
        <v>763</v>
      </c>
      <c r="B127" s="118">
        <v>0.12</v>
      </c>
      <c r="C127" s="120" t="s">
        <v>118</v>
      </c>
      <c r="D127" s="59" t="s">
        <v>221</v>
      </c>
      <c r="E127" s="119">
        <v>0</v>
      </c>
      <c r="F127" s="117">
        <v>4282</v>
      </c>
      <c r="G127" s="119">
        <f t="shared" si="125"/>
        <v>0</v>
      </c>
      <c r="H127" s="119">
        <v>12</v>
      </c>
      <c r="I127" s="119">
        <f>H127*F127*$B$6*B127</f>
        <v>6412.7231999999995</v>
      </c>
      <c r="J127" s="119">
        <v>12</v>
      </c>
      <c r="K127" s="119">
        <f t="shared" si="127"/>
        <v>6669.2321280000006</v>
      </c>
      <c r="L127" s="119">
        <v>0</v>
      </c>
      <c r="M127" s="119">
        <f t="shared" si="128"/>
        <v>0</v>
      </c>
      <c r="N127" s="119">
        <v>0</v>
      </c>
      <c r="O127" s="119">
        <f t="shared" si="129"/>
        <v>0</v>
      </c>
      <c r="P127" s="119">
        <f t="shared" si="121"/>
        <v>13081.955328</v>
      </c>
      <c r="Q127" s="119">
        <v>0</v>
      </c>
      <c r="R127" s="119">
        <f t="shared" si="122"/>
        <v>13081.955328</v>
      </c>
    </row>
    <row r="128" spans="1:18">
      <c r="A128" s="112" t="s">
        <v>766</v>
      </c>
      <c r="B128" s="113"/>
      <c r="C128" s="120"/>
      <c r="D128" s="59"/>
      <c r="E128" s="119"/>
      <c r="F128" s="117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</row>
    <row r="129" spans="1:18">
      <c r="A129" s="120" t="s">
        <v>768</v>
      </c>
      <c r="B129" s="118">
        <v>0.2</v>
      </c>
      <c r="C129" s="120" t="s">
        <v>118</v>
      </c>
      <c r="D129" s="59" t="s">
        <v>221</v>
      </c>
      <c r="E129" s="119">
        <v>0</v>
      </c>
      <c r="F129" s="117">
        <v>9390</v>
      </c>
      <c r="G129" s="119">
        <f>E129*F129*B129</f>
        <v>0</v>
      </c>
      <c r="H129" s="119">
        <v>12</v>
      </c>
      <c r="I129" s="119">
        <f>H129*F129*$B$5*B129</f>
        <v>22761.360000000001</v>
      </c>
      <c r="J129" s="119">
        <v>12</v>
      </c>
      <c r="K129" s="119">
        <f>F129*J129*B129*$B$5*$B$5</f>
        <v>22988.973600000001</v>
      </c>
      <c r="L129" s="119">
        <v>0</v>
      </c>
      <c r="M129" s="119">
        <f>F129*L129*B129*$B$5*$B$5*$B$5</f>
        <v>0</v>
      </c>
      <c r="N129" s="119">
        <v>0</v>
      </c>
      <c r="O129" s="119">
        <f>N129*F129*B129*$B$5*$B$5*$B$5*$B$5</f>
        <v>0</v>
      </c>
      <c r="P129" s="119">
        <f>SUM(G129+I129+K129+M129+O129)</f>
        <v>45750.333599999998</v>
      </c>
      <c r="Q129" s="119">
        <v>0</v>
      </c>
      <c r="R129" s="119">
        <f>SUM(P129:Q129)</f>
        <v>45750.333599999998</v>
      </c>
    </row>
    <row r="130" spans="1:18">
      <c r="A130" s="109" t="s">
        <v>390</v>
      </c>
      <c r="B130" s="122"/>
      <c r="C130" s="123"/>
      <c r="D130" s="124"/>
      <c r="E130" s="124"/>
      <c r="F130" s="125"/>
      <c r="G130" s="125">
        <f>SUM(G124:G129)</f>
        <v>0</v>
      </c>
      <c r="H130" s="125"/>
      <c r="I130" s="125">
        <f>SUM(I124:I129)</f>
        <v>93651.446675188694</v>
      </c>
      <c r="J130" s="125"/>
      <c r="K130" s="125">
        <f>SUM(K124:K129)</f>
        <v>96714.663742196251</v>
      </c>
      <c r="L130" s="125"/>
      <c r="M130" s="125">
        <f>SUM(M124:M129)</f>
        <v>0</v>
      </c>
      <c r="N130" s="125"/>
      <c r="O130" s="125">
        <f>SUM(O124:O129)</f>
        <v>0</v>
      </c>
      <c r="P130" s="125">
        <f>SUM(P124:P129)</f>
        <v>190366.11041738495</v>
      </c>
      <c r="Q130" s="125">
        <f>SUM(Q124:Q129)</f>
        <v>0</v>
      </c>
      <c r="R130" s="125">
        <f>SUM(R124:R129)</f>
        <v>190366.11041738495</v>
      </c>
    </row>
    <row r="132" spans="1:18">
      <c r="A132" s="109" t="s">
        <v>809</v>
      </c>
      <c r="B132" s="110"/>
      <c r="C132" s="109"/>
      <c r="D132" s="109"/>
      <c r="E132" s="109"/>
      <c r="F132" s="111"/>
      <c r="G132" s="111"/>
      <c r="H132" s="109"/>
      <c r="I132" s="111"/>
      <c r="J132" s="109"/>
      <c r="K132" s="111"/>
      <c r="L132" s="109"/>
      <c r="M132" s="111"/>
      <c r="N132" s="109"/>
      <c r="O132" s="111"/>
      <c r="P132" s="109"/>
      <c r="Q132" s="109"/>
      <c r="R132" s="109"/>
    </row>
    <row r="133" spans="1:18" s="141" customFormat="1">
      <c r="A133" s="137" t="s">
        <v>825</v>
      </c>
      <c r="B133" s="138"/>
      <c r="C133" s="137"/>
      <c r="D133" s="139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</row>
    <row r="134" spans="1:18">
      <c r="A134" s="120" t="s">
        <v>826</v>
      </c>
      <c r="B134" s="58"/>
      <c r="C134" s="58" t="s">
        <v>95</v>
      </c>
      <c r="D134" s="126" t="s">
        <v>255</v>
      </c>
      <c r="E134" s="119">
        <v>0</v>
      </c>
      <c r="F134" s="119">
        <v>800</v>
      </c>
      <c r="G134" s="119">
        <f>E134*F134</f>
        <v>0</v>
      </c>
      <c r="H134" s="119">
        <v>13</v>
      </c>
      <c r="I134" s="119">
        <f t="shared" ref="I134:I135" si="130">H134*F134</f>
        <v>10400</v>
      </c>
      <c r="J134" s="119">
        <v>10</v>
      </c>
      <c r="K134" s="119">
        <f t="shared" ref="K134:K135" si="131">J134*$F134</f>
        <v>8000</v>
      </c>
      <c r="L134" s="119">
        <v>0</v>
      </c>
      <c r="M134" s="119">
        <f t="shared" ref="M134:M135" si="132">L134*F134</f>
        <v>0</v>
      </c>
      <c r="N134" s="119">
        <v>0</v>
      </c>
      <c r="O134" s="119">
        <f t="shared" ref="O134:O135" si="133">N134*F134</f>
        <v>0</v>
      </c>
      <c r="P134" s="119">
        <f>G134+I134+K134+M134+O134</f>
        <v>18400</v>
      </c>
      <c r="Q134" s="119" t="s">
        <v>243</v>
      </c>
      <c r="R134" s="119">
        <f>SUM(P134:Q134)</f>
        <v>18400</v>
      </c>
    </row>
    <row r="135" spans="1:18">
      <c r="A135" s="120" t="s">
        <v>827</v>
      </c>
      <c r="B135" s="58"/>
      <c r="C135" s="58" t="s">
        <v>95</v>
      </c>
      <c r="D135" s="126" t="s">
        <v>259</v>
      </c>
      <c r="E135" s="119">
        <v>0</v>
      </c>
      <c r="F135" s="119">
        <v>190</v>
      </c>
      <c r="G135" s="119">
        <f>E135*F135</f>
        <v>0</v>
      </c>
      <c r="H135" s="119">
        <f>H134*5</f>
        <v>65</v>
      </c>
      <c r="I135" s="119">
        <f t="shared" si="130"/>
        <v>12350</v>
      </c>
      <c r="J135" s="119">
        <f>10*5</f>
        <v>50</v>
      </c>
      <c r="K135" s="119">
        <f t="shared" si="131"/>
        <v>9500</v>
      </c>
      <c r="L135" s="119">
        <v>0</v>
      </c>
      <c r="M135" s="119">
        <f t="shared" si="132"/>
        <v>0</v>
      </c>
      <c r="N135" s="119">
        <v>0</v>
      </c>
      <c r="O135" s="119">
        <f t="shared" si="133"/>
        <v>0</v>
      </c>
      <c r="P135" s="119">
        <f>G135+I135+K135+M135+O135</f>
        <v>21850</v>
      </c>
      <c r="Q135" s="119" t="s">
        <v>243</v>
      </c>
      <c r="R135" s="119">
        <f>SUM(P135:Q135)</f>
        <v>21850</v>
      </c>
    </row>
    <row r="136" spans="1:18">
      <c r="A136" s="109" t="s">
        <v>813</v>
      </c>
      <c r="B136" s="122"/>
      <c r="C136" s="123"/>
      <c r="D136" s="124"/>
      <c r="E136" s="124"/>
      <c r="F136" s="125"/>
      <c r="G136" s="125">
        <f>SUM(G134:G135)</f>
        <v>0</v>
      </c>
      <c r="H136" s="125"/>
      <c r="I136" s="125">
        <f>SUM(I134:I135)</f>
        <v>22750</v>
      </c>
      <c r="J136" s="125"/>
      <c r="K136" s="125">
        <f>SUM(K134:K135)</f>
        <v>17500</v>
      </c>
      <c r="L136" s="125"/>
      <c r="M136" s="125">
        <f>SUM(M134:M135)</f>
        <v>0</v>
      </c>
      <c r="N136" s="125"/>
      <c r="O136" s="125">
        <f>SUM(O134:O135)</f>
        <v>0</v>
      </c>
      <c r="P136" s="125">
        <f>SUM(P134:P135)</f>
        <v>40250</v>
      </c>
      <c r="Q136" s="125">
        <f>SUM(Q134:Q135)</f>
        <v>0</v>
      </c>
      <c r="R136" s="125">
        <f>SUM(R134:R135)</f>
        <v>40250</v>
      </c>
    </row>
    <row r="138" spans="1:18">
      <c r="A138" s="109" t="s">
        <v>815</v>
      </c>
      <c r="B138" s="110"/>
      <c r="C138" s="109"/>
      <c r="D138" s="109"/>
      <c r="E138" s="109"/>
      <c r="F138" s="111"/>
      <c r="G138" s="111"/>
      <c r="H138" s="109"/>
      <c r="I138" s="111"/>
      <c r="J138" s="109"/>
      <c r="K138" s="111"/>
      <c r="L138" s="109"/>
      <c r="M138" s="111"/>
      <c r="N138" s="109"/>
      <c r="O138" s="111"/>
      <c r="P138" s="109"/>
      <c r="Q138" s="109"/>
      <c r="R138" s="109"/>
    </row>
    <row r="139" spans="1:18">
      <c r="A139" s="120" t="s">
        <v>790</v>
      </c>
      <c r="B139" s="58"/>
      <c r="C139" s="58" t="s">
        <v>791</v>
      </c>
      <c r="D139" s="126" t="s">
        <v>281</v>
      </c>
      <c r="E139" s="119">
        <v>1</v>
      </c>
      <c r="F139" s="119">
        <v>550</v>
      </c>
      <c r="G139" s="119">
        <f t="shared" ref="G139" si="134">E139*F139</f>
        <v>550</v>
      </c>
      <c r="H139" s="119">
        <v>1</v>
      </c>
      <c r="I139" s="119">
        <f>H139*F139</f>
        <v>550</v>
      </c>
      <c r="J139" s="119">
        <v>1</v>
      </c>
      <c r="K139" s="119">
        <f>J139*F139</f>
        <v>550</v>
      </c>
      <c r="L139" s="119">
        <v>0</v>
      </c>
      <c r="M139" s="119">
        <f>L139*F139</f>
        <v>0</v>
      </c>
      <c r="N139" s="164">
        <v>0</v>
      </c>
      <c r="O139" s="119">
        <f>N139*F139</f>
        <v>0</v>
      </c>
      <c r="P139" s="119">
        <f t="shared" ref="P139:P142" si="135">G139+I139+K139+M139+O139</f>
        <v>1650</v>
      </c>
      <c r="Q139" s="119" t="s">
        <v>243</v>
      </c>
      <c r="R139" s="119">
        <f t="shared" ref="R139:R142" si="136">SUM(P139:Q139)</f>
        <v>1650</v>
      </c>
    </row>
    <row r="140" spans="1:18">
      <c r="A140" s="120" t="s">
        <v>792</v>
      </c>
      <c r="B140" s="58"/>
      <c r="C140" s="58" t="s">
        <v>791</v>
      </c>
      <c r="D140" s="126" t="s">
        <v>281</v>
      </c>
      <c r="E140" s="119">
        <v>0</v>
      </c>
      <c r="F140" s="119">
        <v>12000</v>
      </c>
      <c r="G140" s="119">
        <v>4000</v>
      </c>
      <c r="H140" s="119">
        <v>1</v>
      </c>
      <c r="I140" s="119">
        <v>12000</v>
      </c>
      <c r="J140" s="119">
        <v>1</v>
      </c>
      <c r="K140" s="119">
        <v>12000</v>
      </c>
      <c r="L140" s="119">
        <v>0</v>
      </c>
      <c r="M140" s="119">
        <v>0</v>
      </c>
      <c r="N140" s="164">
        <v>0</v>
      </c>
      <c r="O140" s="119">
        <f t="shared" ref="O140:O141" si="137">N140*F140</f>
        <v>0</v>
      </c>
      <c r="P140" s="119">
        <f t="shared" si="135"/>
        <v>28000</v>
      </c>
      <c r="Q140" s="119" t="s">
        <v>243</v>
      </c>
      <c r="R140" s="119">
        <f t="shared" si="136"/>
        <v>28000</v>
      </c>
    </row>
    <row r="141" spans="1:18">
      <c r="A141" s="120" t="s">
        <v>793</v>
      </c>
      <c r="B141" s="58"/>
      <c r="C141" s="58" t="s">
        <v>791</v>
      </c>
      <c r="D141" s="126" t="s">
        <v>281</v>
      </c>
      <c r="E141" s="119">
        <v>0</v>
      </c>
      <c r="F141" s="119">
        <v>3800</v>
      </c>
      <c r="G141" s="119">
        <v>1000</v>
      </c>
      <c r="H141" s="119">
        <v>1</v>
      </c>
      <c r="I141" s="119">
        <v>3800</v>
      </c>
      <c r="J141" s="119">
        <v>1</v>
      </c>
      <c r="K141" s="119">
        <v>3800</v>
      </c>
      <c r="L141" s="119">
        <v>0</v>
      </c>
      <c r="M141" s="119">
        <v>0</v>
      </c>
      <c r="N141" s="164">
        <v>0</v>
      </c>
      <c r="O141" s="119">
        <f t="shared" si="137"/>
        <v>0</v>
      </c>
      <c r="P141" s="119">
        <f t="shared" si="135"/>
        <v>8600</v>
      </c>
      <c r="Q141" s="119" t="s">
        <v>243</v>
      </c>
      <c r="R141" s="119">
        <f t="shared" si="136"/>
        <v>8600</v>
      </c>
    </row>
    <row r="142" spans="1:18">
      <c r="A142" s="120" t="s">
        <v>794</v>
      </c>
      <c r="B142" s="58"/>
      <c r="C142" s="58" t="s">
        <v>791</v>
      </c>
      <c r="D142" s="126" t="s">
        <v>281</v>
      </c>
      <c r="E142" s="119">
        <v>0</v>
      </c>
      <c r="F142" s="119">
        <v>3700</v>
      </c>
      <c r="G142" s="119">
        <v>800</v>
      </c>
      <c r="H142" s="119">
        <v>1</v>
      </c>
      <c r="I142" s="119">
        <v>3700</v>
      </c>
      <c r="J142" s="119">
        <v>1</v>
      </c>
      <c r="K142" s="119">
        <v>3700</v>
      </c>
      <c r="L142" s="119">
        <v>0</v>
      </c>
      <c r="M142" s="119">
        <v>0</v>
      </c>
      <c r="N142" s="164">
        <v>0</v>
      </c>
      <c r="O142" s="119">
        <f>N142*F142</f>
        <v>0</v>
      </c>
      <c r="P142" s="119">
        <f t="shared" si="135"/>
        <v>8200</v>
      </c>
      <c r="Q142" s="119" t="s">
        <v>243</v>
      </c>
      <c r="R142" s="119">
        <f t="shared" si="136"/>
        <v>8200</v>
      </c>
    </row>
    <row r="143" spans="1:18">
      <c r="A143" s="109" t="s">
        <v>816</v>
      </c>
      <c r="B143" s="122"/>
      <c r="C143" s="123"/>
      <c r="D143" s="124"/>
      <c r="E143" s="124"/>
      <c r="F143" s="125"/>
      <c r="G143" s="125">
        <f>SUM(G139:G142)</f>
        <v>6350</v>
      </c>
      <c r="H143" s="125"/>
      <c r="I143" s="125">
        <f>SUM(I139:I142)</f>
        <v>20050</v>
      </c>
      <c r="J143" s="125"/>
      <c r="K143" s="125">
        <f>SUM(K139:K142)</f>
        <v>20050</v>
      </c>
      <c r="L143" s="125"/>
      <c r="M143" s="125">
        <f>SUM(M139:M142)</f>
        <v>0</v>
      </c>
      <c r="N143" s="125"/>
      <c r="O143" s="125">
        <f>SUM(O139:O142)</f>
        <v>0</v>
      </c>
      <c r="P143" s="125">
        <f>SUM(P139:P142)</f>
        <v>46450</v>
      </c>
      <c r="Q143" s="125">
        <f>SUM(Q139:Q142)</f>
        <v>0</v>
      </c>
      <c r="R143" s="125">
        <f>SUM(R139:R142)</f>
        <v>46450</v>
      </c>
    </row>
    <row r="145" spans="1:18">
      <c r="A145" s="109" t="s">
        <v>419</v>
      </c>
      <c r="B145" s="110"/>
      <c r="C145" s="109"/>
      <c r="D145" s="109"/>
      <c r="E145" s="109"/>
      <c r="F145" s="111"/>
      <c r="G145" s="111"/>
      <c r="H145" s="109"/>
      <c r="I145" s="111"/>
      <c r="J145" s="109"/>
      <c r="K145" s="111"/>
      <c r="L145" s="109"/>
      <c r="M145" s="111"/>
      <c r="N145" s="109"/>
      <c r="O145" s="111"/>
      <c r="P145" s="109"/>
      <c r="Q145" s="109"/>
      <c r="R145" s="109"/>
    </row>
    <row r="146" spans="1:18">
      <c r="A146" s="120" t="s">
        <v>828</v>
      </c>
      <c r="B146" s="58" t="s">
        <v>798</v>
      </c>
      <c r="C146" s="58" t="s">
        <v>100</v>
      </c>
      <c r="D146" s="126" t="s">
        <v>737</v>
      </c>
      <c r="E146" s="119">
        <v>0</v>
      </c>
      <c r="F146" s="119">
        <v>5000</v>
      </c>
      <c r="G146" s="119">
        <f>E146*F146</f>
        <v>0</v>
      </c>
      <c r="H146" s="119">
        <v>1</v>
      </c>
      <c r="I146" s="119">
        <f>H146*F146</f>
        <v>5000</v>
      </c>
      <c r="J146" s="119">
        <v>1</v>
      </c>
      <c r="K146" s="119">
        <f>J146*$F146</f>
        <v>5000</v>
      </c>
      <c r="L146" s="119">
        <v>0</v>
      </c>
      <c r="M146" s="119">
        <f>L146*F146</f>
        <v>0</v>
      </c>
      <c r="N146" s="119">
        <v>0</v>
      </c>
      <c r="O146" s="119">
        <f>N146*F146</f>
        <v>0</v>
      </c>
      <c r="P146" s="119">
        <f>G146+I146+K146+M146+O146</f>
        <v>10000</v>
      </c>
      <c r="Q146" s="119" t="s">
        <v>243</v>
      </c>
      <c r="R146" s="119">
        <f>SUM(P146:Q146)</f>
        <v>10000</v>
      </c>
    </row>
    <row r="147" spans="1:18">
      <c r="A147" s="120" t="s">
        <v>829</v>
      </c>
      <c r="B147" s="58" t="s">
        <v>798</v>
      </c>
      <c r="C147" s="58" t="s">
        <v>100</v>
      </c>
      <c r="D147" s="126" t="s">
        <v>281</v>
      </c>
      <c r="E147" s="119">
        <v>0</v>
      </c>
      <c r="F147" s="119">
        <v>2500</v>
      </c>
      <c r="G147" s="119">
        <f>E147*F147</f>
        <v>0</v>
      </c>
      <c r="H147" s="119">
        <v>3</v>
      </c>
      <c r="I147" s="119">
        <f>H147*F147</f>
        <v>7500</v>
      </c>
      <c r="J147" s="119">
        <v>3</v>
      </c>
      <c r="K147" s="119">
        <f>J147*$F147</f>
        <v>7500</v>
      </c>
      <c r="L147" s="119">
        <v>0</v>
      </c>
      <c r="M147" s="119">
        <f>L147*F147</f>
        <v>0</v>
      </c>
      <c r="N147" s="119">
        <v>0</v>
      </c>
      <c r="O147" s="119">
        <f>N147*F147</f>
        <v>0</v>
      </c>
      <c r="P147" s="119">
        <f>G147+I147+K147+M147+O147</f>
        <v>15000</v>
      </c>
      <c r="Q147" s="119" t="s">
        <v>243</v>
      </c>
      <c r="R147" s="119">
        <f>SUM(P147:Q147)</f>
        <v>15000</v>
      </c>
    </row>
    <row r="148" spans="1:18">
      <c r="A148" s="109" t="s">
        <v>819</v>
      </c>
      <c r="B148" s="122"/>
      <c r="C148" s="123"/>
      <c r="D148" s="124"/>
      <c r="E148" s="124"/>
      <c r="F148" s="125"/>
      <c r="G148" s="125">
        <f>SUM(G146:G147)</f>
        <v>0</v>
      </c>
      <c r="H148" s="125"/>
      <c r="I148" s="125">
        <f>SUM(I146:I147)</f>
        <v>12500</v>
      </c>
      <c r="J148" s="125"/>
      <c r="K148" s="125">
        <f>SUM(K146:K147)</f>
        <v>12500</v>
      </c>
      <c r="L148" s="125"/>
      <c r="M148" s="125">
        <f>SUM(M146:M147)</f>
        <v>0</v>
      </c>
      <c r="N148" s="125"/>
      <c r="O148" s="125">
        <f>SUM(O146:O147)</f>
        <v>0</v>
      </c>
      <c r="P148" s="125">
        <f>SUM(P146:P147)</f>
        <v>25000</v>
      </c>
      <c r="Q148" s="125">
        <f>SUM(Q146:Q147)</f>
        <v>0</v>
      </c>
      <c r="R148" s="125">
        <f>SUM(R146:R147)</f>
        <v>25000</v>
      </c>
    </row>
    <row r="150" spans="1:18" ht="12.9" thickBot="1">
      <c r="A150" s="143" t="s">
        <v>820</v>
      </c>
      <c r="B150" s="143"/>
      <c r="C150" s="143"/>
      <c r="D150" s="144"/>
      <c r="E150" s="144"/>
      <c r="F150" s="145"/>
      <c r="G150" s="146">
        <f>G148+G143+G136+G130</f>
        <v>6350</v>
      </c>
      <c r="H150" s="146"/>
      <c r="I150" s="146">
        <f>I148+I143+I136+I130</f>
        <v>148951.44667518869</v>
      </c>
      <c r="J150" s="146"/>
      <c r="K150" s="146">
        <f>K148+K143+K136+K130</f>
        <v>146764.66374219625</v>
      </c>
      <c r="L150" s="146"/>
      <c r="M150" s="146">
        <f>M148+M143+M136+M130</f>
        <v>0</v>
      </c>
      <c r="N150" s="146"/>
      <c r="O150" s="146">
        <f>O148+O143+O136+O130</f>
        <v>0</v>
      </c>
      <c r="P150" s="146">
        <f>P148+P143+P136+P130</f>
        <v>302066.11041738495</v>
      </c>
      <c r="Q150" s="146">
        <f>Q148+Q143+Q136+Q130</f>
        <v>0</v>
      </c>
      <c r="R150" s="146">
        <f>R148+R143+R136+R130</f>
        <v>302066.11041738495</v>
      </c>
    </row>
    <row r="152" spans="1:18">
      <c r="A152" s="147" t="s">
        <v>821</v>
      </c>
      <c r="B152" s="148"/>
      <c r="C152" s="58" t="s">
        <v>741</v>
      </c>
      <c r="D152" s="58"/>
      <c r="E152" s="149"/>
      <c r="F152" s="150">
        <v>0.1</v>
      </c>
      <c r="G152" s="151">
        <f>G150*$F$116</f>
        <v>635</v>
      </c>
      <c r="H152" s="151"/>
      <c r="I152" s="151">
        <f>I150*$F$116</f>
        <v>14895.144667518871</v>
      </c>
      <c r="J152" s="151"/>
      <c r="K152" s="151">
        <f>K150*$F$116</f>
        <v>14676.466374219626</v>
      </c>
      <c r="L152" s="94"/>
      <c r="M152" s="151">
        <f>M150*$F$116</f>
        <v>0</v>
      </c>
      <c r="N152" s="94"/>
      <c r="O152" s="151">
        <f>O150*$F$116</f>
        <v>0</v>
      </c>
      <c r="P152" s="151">
        <f>O152+M152+K152+I152+G152</f>
        <v>30206.611041738499</v>
      </c>
      <c r="Q152" s="151">
        <v>0</v>
      </c>
      <c r="R152" s="151">
        <f>SUM(P152:Q152)</f>
        <v>30206.611041738499</v>
      </c>
    </row>
    <row r="153" spans="1:18">
      <c r="A153" s="147"/>
      <c r="B153" s="148"/>
      <c r="C153" s="58"/>
      <c r="D153" s="58"/>
      <c r="E153" s="149"/>
      <c r="F153" s="150"/>
      <c r="G153" s="151"/>
      <c r="H153" s="151"/>
      <c r="I153" s="151"/>
      <c r="J153" s="151"/>
      <c r="K153" s="151"/>
      <c r="L153" s="94"/>
      <c r="M153" s="151"/>
      <c r="N153" s="94"/>
      <c r="O153" s="151"/>
      <c r="P153" s="151"/>
      <c r="Q153" s="151"/>
      <c r="R153" s="151"/>
    </row>
    <row r="154" spans="1:18" ht="12.9" thickBot="1">
      <c r="A154" s="132" t="s">
        <v>180</v>
      </c>
      <c r="B154" s="133"/>
      <c r="C154" s="132"/>
      <c r="D154" s="132"/>
      <c r="E154" s="132"/>
      <c r="F154" s="132"/>
      <c r="G154" s="134">
        <f>G152+G150</f>
        <v>6985</v>
      </c>
      <c r="H154" s="132"/>
      <c r="I154" s="134">
        <f>I152+I150</f>
        <v>163846.59134270757</v>
      </c>
      <c r="J154" s="132"/>
      <c r="K154" s="134">
        <f>K152+K150</f>
        <v>161441.13011641588</v>
      </c>
      <c r="L154" s="132"/>
      <c r="M154" s="134">
        <f>M152+M150</f>
        <v>0</v>
      </c>
      <c r="N154" s="132"/>
      <c r="O154" s="134">
        <f>O152+O150</f>
        <v>0</v>
      </c>
      <c r="P154" s="134">
        <f>P152+P150</f>
        <v>332272.72145912342</v>
      </c>
      <c r="Q154" s="134">
        <f>Q152+Q150</f>
        <v>0</v>
      </c>
      <c r="R154" s="134">
        <f>R152+R150</f>
        <v>332272.72145912342</v>
      </c>
    </row>
    <row r="156" spans="1:18" ht="12.9" thickBot="1">
      <c r="A156" s="132" t="s">
        <v>830</v>
      </c>
      <c r="B156" s="133"/>
      <c r="C156" s="132"/>
      <c r="D156" s="132"/>
      <c r="E156" s="132"/>
      <c r="F156" s="132"/>
      <c r="G156" s="134">
        <f>G154+G118+G73</f>
        <v>799783.72427570703</v>
      </c>
      <c r="H156" s="132"/>
      <c r="I156" s="134">
        <f>I154+I118+I73</f>
        <v>497695.61866607523</v>
      </c>
      <c r="J156" s="134"/>
      <c r="K156" s="134">
        <f>K154+K118+K73</f>
        <v>275538.4264624159</v>
      </c>
      <c r="L156" s="134"/>
      <c r="M156" s="134">
        <f>M154+M118+M73</f>
        <v>48948.601622184011</v>
      </c>
      <c r="N156" s="132"/>
      <c r="O156" s="134">
        <f>O154+O118+O73</f>
        <v>0</v>
      </c>
      <c r="P156" s="134">
        <f>P154+P118+P73</f>
        <v>1621966.3710263821</v>
      </c>
      <c r="Q156" s="134">
        <f>Q154+Q118+Q73</f>
        <v>0</v>
      </c>
      <c r="R156" s="134">
        <f>R154+R118+R73</f>
        <v>1621966.3710263821</v>
      </c>
    </row>
    <row r="157" spans="1:18">
      <c r="R157" s="163"/>
    </row>
    <row r="160" spans="1:18">
      <c r="P160" s="163"/>
      <c r="Q160" s="163"/>
      <c r="R160" s="163"/>
    </row>
  </sheetData>
  <mergeCells count="7">
    <mergeCell ref="A121:K121"/>
    <mergeCell ref="A76:K76"/>
    <mergeCell ref="A1:R1"/>
    <mergeCell ref="A2:R2"/>
    <mergeCell ref="A3:R3"/>
    <mergeCell ref="A4:B4"/>
    <mergeCell ref="D6:H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1DB1-3BA4-442B-86F8-0BA6E1BFA66C}">
  <dimension ref="A1:XEX50"/>
  <sheetViews>
    <sheetView zoomScale="83" zoomScaleNormal="100" workbookViewId="0">
      <pane ySplit="7" topLeftCell="A27" activePane="bottomLeft" state="frozen"/>
      <selection pane="bottomLeft" sqref="A1:R1"/>
    </sheetView>
  </sheetViews>
  <sheetFormatPr defaultColWidth="8.71875" defaultRowHeight="12.6"/>
  <cols>
    <col min="1" max="1" width="60.44140625" style="56" bestFit="1" customWidth="1"/>
    <col min="2" max="2" width="6" style="92" bestFit="1" customWidth="1"/>
    <col min="3" max="3" width="12.83203125" style="56" bestFit="1" customWidth="1"/>
    <col min="4" max="4" width="5.71875" style="56" customWidth="1"/>
    <col min="5" max="5" width="5" style="56" bestFit="1" customWidth="1"/>
    <col min="6" max="6" width="9.5546875" style="94" customWidth="1"/>
    <col min="7" max="7" width="8.83203125" style="94" bestFit="1" customWidth="1"/>
    <col min="8" max="8" width="5" style="56" bestFit="1" customWidth="1"/>
    <col min="9" max="9" width="8.83203125" style="94" bestFit="1" customWidth="1"/>
    <col min="10" max="10" width="5" style="56" bestFit="1" customWidth="1"/>
    <col min="11" max="11" width="8.83203125" style="94" bestFit="1" customWidth="1"/>
    <col min="12" max="12" width="4.5546875" style="56" bestFit="1" customWidth="1"/>
    <col min="13" max="13" width="8.83203125" style="94" bestFit="1" customWidth="1"/>
    <col min="14" max="14" width="4.5546875" style="56" bestFit="1" customWidth="1"/>
    <col min="15" max="15" width="7.44140625" style="94" bestFit="1" customWidth="1"/>
    <col min="16" max="16" width="11.27734375" style="56" bestFit="1" customWidth="1"/>
    <col min="17" max="17" width="7.27734375" style="56" bestFit="1" customWidth="1"/>
    <col min="18" max="18" width="9.83203125" style="56" bestFit="1" customWidth="1"/>
    <col min="19" max="16384" width="8.71875" style="56"/>
  </cols>
  <sheetData>
    <row r="1" spans="1:16378" ht="13.8">
      <c r="A1" s="553" t="s">
        <v>705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</row>
    <row r="2" spans="1:16378" ht="13.8">
      <c r="A2" s="554" t="s">
        <v>831</v>
      </c>
      <c r="B2" s="554"/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</row>
    <row r="3" spans="1:16378" ht="13.8">
      <c r="A3" s="555" t="s">
        <v>832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</row>
    <row r="4" spans="1:16378" ht="13.8">
      <c r="A4" s="556" t="s">
        <v>191</v>
      </c>
      <c r="B4" s="556"/>
      <c r="C4" s="52"/>
      <c r="D4" s="52"/>
      <c r="E4" s="52"/>
      <c r="F4" s="52"/>
      <c r="G4" s="52"/>
      <c r="H4" s="52"/>
      <c r="I4" s="52"/>
      <c r="J4" s="501"/>
      <c r="K4" s="501"/>
      <c r="L4" s="501"/>
      <c r="M4" s="501"/>
      <c r="N4" s="501"/>
      <c r="O4" s="501"/>
      <c r="P4" s="501"/>
      <c r="Q4" s="501"/>
      <c r="R4" s="501"/>
    </row>
    <row r="5" spans="1:16378" ht="13.8">
      <c r="A5" s="72" t="s">
        <v>200</v>
      </c>
      <c r="B5" s="99">
        <v>1.03</v>
      </c>
      <c r="C5" s="52"/>
      <c r="D5" s="52"/>
      <c r="E5" s="52"/>
      <c r="F5" s="52"/>
      <c r="G5" s="52"/>
      <c r="H5" s="52"/>
      <c r="I5" s="52"/>
      <c r="J5" s="501"/>
      <c r="K5" s="501"/>
      <c r="L5" s="501"/>
      <c r="M5" s="501"/>
      <c r="N5" s="501"/>
      <c r="O5" s="501"/>
      <c r="P5" s="501"/>
      <c r="Q5" s="501"/>
      <c r="R5" s="501"/>
    </row>
    <row r="6" spans="1:16378">
      <c r="A6" s="97"/>
      <c r="B6" s="98"/>
      <c r="C6" s="97"/>
      <c r="D6" s="97"/>
      <c r="E6" s="97"/>
      <c r="F6" s="97"/>
      <c r="G6" s="97"/>
      <c r="H6" s="97"/>
      <c r="I6" s="97"/>
      <c r="J6" s="97"/>
      <c r="K6" s="97"/>
      <c r="L6" s="97"/>
      <c r="M6" s="557"/>
      <c r="N6" s="557"/>
      <c r="O6" s="557"/>
      <c r="P6" s="557"/>
      <c r="Q6" s="97"/>
      <c r="R6" s="97"/>
    </row>
    <row r="7" spans="1:16378" ht="49.8" thickBot="1">
      <c r="A7" s="101" t="s">
        <v>138</v>
      </c>
      <c r="B7" s="101" t="s">
        <v>708</v>
      </c>
      <c r="C7" s="101" t="s">
        <v>709</v>
      </c>
      <c r="D7" s="101" t="s">
        <v>206</v>
      </c>
      <c r="E7" s="101" t="s">
        <v>207</v>
      </c>
      <c r="F7" s="102" t="s">
        <v>139</v>
      </c>
      <c r="G7" s="103" t="s">
        <v>140</v>
      </c>
      <c r="H7" s="101" t="s">
        <v>207</v>
      </c>
      <c r="I7" s="103" t="s">
        <v>141</v>
      </c>
      <c r="J7" s="101" t="s">
        <v>207</v>
      </c>
      <c r="K7" s="103" t="s">
        <v>142</v>
      </c>
      <c r="L7" s="101" t="s">
        <v>207</v>
      </c>
      <c r="M7" s="103" t="s">
        <v>143</v>
      </c>
      <c r="N7" s="101" t="s">
        <v>207</v>
      </c>
      <c r="O7" s="103" t="s">
        <v>144</v>
      </c>
      <c r="P7" s="102" t="s">
        <v>710</v>
      </c>
      <c r="Q7" s="102" t="s">
        <v>212</v>
      </c>
      <c r="R7" s="102" t="s">
        <v>213</v>
      </c>
    </row>
    <row r="8" spans="1:16378">
      <c r="A8" s="104" t="str">
        <f>'USDA Budget Summary'!A31</f>
        <v>Activity 4: Post-Harvest Aggregation &amp; Processing</v>
      </c>
      <c r="B8" s="104"/>
      <c r="C8" s="104"/>
      <c r="D8" s="106"/>
      <c r="E8" s="106"/>
      <c r="F8" s="107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</row>
    <row r="9" spans="1:16378">
      <c r="A9" s="109" t="s">
        <v>431</v>
      </c>
      <c r="B9" s="110"/>
      <c r="C9" s="109"/>
      <c r="D9" s="109"/>
      <c r="E9" s="109"/>
      <c r="F9" s="111"/>
      <c r="G9" s="111"/>
      <c r="H9" s="109"/>
      <c r="I9" s="111"/>
      <c r="J9" s="109"/>
      <c r="K9" s="111"/>
      <c r="L9" s="109"/>
      <c r="M9" s="111"/>
      <c r="N9" s="109"/>
      <c r="O9" s="111"/>
      <c r="P9" s="109"/>
      <c r="Q9" s="109"/>
      <c r="R9" s="109"/>
    </row>
    <row r="10" spans="1:16378">
      <c r="A10" s="112" t="s">
        <v>833</v>
      </c>
      <c r="B10" s="112"/>
      <c r="C10" s="120"/>
      <c r="D10" s="5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</row>
    <row r="11" spans="1:16378">
      <c r="A11" s="120" t="s">
        <v>834</v>
      </c>
      <c r="B11" s="135">
        <v>0.5</v>
      </c>
      <c r="C11" s="120" t="s">
        <v>118</v>
      </c>
      <c r="D11" s="59" t="s">
        <v>221</v>
      </c>
      <c r="E11" s="119">
        <v>2</v>
      </c>
      <c r="F11" s="119">
        <v>970</v>
      </c>
      <c r="G11" s="119">
        <f>F11*E11*B11</f>
        <v>970</v>
      </c>
      <c r="H11" s="119">
        <v>12</v>
      </c>
      <c r="I11" s="119">
        <f>(H11*F11*B11*$B$5)</f>
        <v>5994.6</v>
      </c>
      <c r="J11" s="119">
        <v>12</v>
      </c>
      <c r="K11" s="119">
        <f>(J11*F11*B11*$B$5*$B$5)</f>
        <v>6174.4380000000001</v>
      </c>
      <c r="L11" s="119">
        <v>2</v>
      </c>
      <c r="M11" s="119">
        <f>(L11*F11*B11*$B$5*$B$5*$B$5)</f>
        <v>1059.9451900000001</v>
      </c>
      <c r="N11" s="119">
        <v>0</v>
      </c>
      <c r="O11" s="119">
        <f>(N11*F11*$B$5*$B$5*$B$5*$B$5)</f>
        <v>0</v>
      </c>
      <c r="P11" s="119">
        <f t="shared" ref="P11:P14" si="0">SUM(G11+I11+K11+M11+O11)</f>
        <v>14198.983190000001</v>
      </c>
      <c r="Q11" s="119">
        <v>0</v>
      </c>
      <c r="R11" s="119">
        <f t="shared" ref="R11" si="1">SUM(P11:Q11)</f>
        <v>14198.983190000001</v>
      </c>
    </row>
    <row r="12" spans="1:16378">
      <c r="A12" s="120" t="s">
        <v>835</v>
      </c>
      <c r="B12" s="135">
        <v>0.5</v>
      </c>
      <c r="C12" s="120" t="s">
        <v>118</v>
      </c>
      <c r="D12" s="59" t="s">
        <v>221</v>
      </c>
      <c r="E12" s="119">
        <v>2</v>
      </c>
      <c r="F12" s="119">
        <v>2525</v>
      </c>
      <c r="G12" s="119">
        <f t="shared" ref="G12:G14" si="2">F12*E12*B12</f>
        <v>2525</v>
      </c>
      <c r="H12" s="119">
        <v>12</v>
      </c>
      <c r="I12" s="119">
        <f t="shared" ref="I12:I14" si="3">(H12*F12*B12*$B$5)</f>
        <v>15604.5</v>
      </c>
      <c r="J12" s="119">
        <v>12</v>
      </c>
      <c r="K12" s="119">
        <f t="shared" ref="K12:K14" si="4">(J12*F12*B12*$B$5*$B$5)</f>
        <v>16072.635</v>
      </c>
      <c r="L12" s="119">
        <v>2</v>
      </c>
      <c r="M12" s="119">
        <f t="shared" ref="M12:M14" si="5">(L12*F12*B12*$B$5*$B$5*$B$5)</f>
        <v>2759.135675</v>
      </c>
      <c r="N12" s="119">
        <v>0</v>
      </c>
      <c r="O12" s="119">
        <f t="shared" ref="O12" si="6">(N12*F12*$B$5*$B$5*$B$5*$B$5)</f>
        <v>0</v>
      </c>
      <c r="P12" s="119">
        <f t="shared" ref="P12" si="7">SUM(G12+I12+K12+M12+O12)</f>
        <v>36961.270675</v>
      </c>
      <c r="Q12" s="120"/>
      <c r="R12" s="119">
        <f>SUM(P12:Q12)</f>
        <v>36961.270675</v>
      </c>
      <c r="S12" s="119"/>
      <c r="T12" s="119"/>
      <c r="U12" s="119"/>
      <c r="V12" s="119"/>
      <c r="W12" s="119"/>
      <c r="X12" s="119"/>
      <c r="Y12" s="119"/>
      <c r="Z12" s="119"/>
      <c r="AA12" s="120"/>
      <c r="AB12" s="120"/>
      <c r="AC12" s="120"/>
      <c r="AD12" s="5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20"/>
      <c r="AR12" s="120"/>
      <c r="AS12" s="120"/>
      <c r="AT12" s="5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20"/>
      <c r="BH12" s="120"/>
      <c r="BI12" s="120"/>
      <c r="BJ12" s="5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20"/>
      <c r="BX12" s="120"/>
      <c r="BY12" s="120"/>
      <c r="BZ12" s="5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20"/>
      <c r="CN12" s="120"/>
      <c r="CO12" s="120"/>
      <c r="CP12" s="5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20"/>
      <c r="DD12" s="120"/>
      <c r="DE12" s="120"/>
      <c r="DF12" s="59"/>
      <c r="DG12" s="119"/>
      <c r="DH12" s="119"/>
      <c r="DI12" s="119"/>
      <c r="DJ12" s="119"/>
      <c r="DK12" s="119"/>
      <c r="DL12" s="119"/>
      <c r="DM12" s="119"/>
      <c r="DN12" s="119"/>
      <c r="DO12" s="119"/>
      <c r="DP12" s="119"/>
      <c r="DQ12" s="119"/>
      <c r="DR12" s="119"/>
      <c r="DS12" s="120"/>
      <c r="DT12" s="120"/>
      <c r="DU12" s="120"/>
      <c r="DV12" s="59"/>
      <c r="DW12" s="119"/>
      <c r="DX12" s="119"/>
      <c r="DY12" s="119"/>
      <c r="DZ12" s="119"/>
      <c r="EA12" s="119"/>
      <c r="EB12" s="119"/>
      <c r="EC12" s="119"/>
      <c r="ED12" s="119"/>
      <c r="EE12" s="119"/>
      <c r="EF12" s="119"/>
      <c r="EG12" s="119"/>
      <c r="EH12" s="119"/>
      <c r="EI12" s="120"/>
      <c r="EJ12" s="120"/>
      <c r="EK12" s="120"/>
      <c r="EL12" s="59"/>
      <c r="EM12" s="119"/>
      <c r="EN12" s="119"/>
      <c r="EO12" s="119"/>
      <c r="EP12" s="119"/>
      <c r="EQ12" s="119"/>
      <c r="ER12" s="119"/>
      <c r="ES12" s="119"/>
      <c r="ET12" s="119"/>
      <c r="EU12" s="119"/>
      <c r="EV12" s="119"/>
      <c r="EW12" s="119"/>
      <c r="EX12" s="119"/>
      <c r="EY12" s="120"/>
      <c r="EZ12" s="120"/>
      <c r="FA12" s="120"/>
      <c r="FB12" s="59"/>
      <c r="FC12" s="119"/>
      <c r="FD12" s="119"/>
      <c r="FE12" s="119"/>
      <c r="FF12" s="119"/>
      <c r="FG12" s="119"/>
      <c r="FH12" s="119"/>
      <c r="FI12" s="119"/>
      <c r="FJ12" s="119"/>
      <c r="FK12" s="119"/>
      <c r="FL12" s="119"/>
      <c r="FM12" s="119"/>
      <c r="FN12" s="119"/>
      <c r="FO12" s="120"/>
      <c r="FP12" s="120"/>
      <c r="FQ12" s="120"/>
      <c r="FR12" s="5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20"/>
      <c r="GF12" s="120"/>
      <c r="GG12" s="120"/>
      <c r="GH12" s="59"/>
      <c r="GI12" s="119"/>
      <c r="GJ12" s="119"/>
      <c r="GK12" s="119"/>
      <c r="GL12" s="119"/>
      <c r="GM12" s="119"/>
      <c r="GN12" s="119"/>
      <c r="GO12" s="119"/>
      <c r="GP12" s="119"/>
      <c r="GQ12" s="119"/>
      <c r="GR12" s="119"/>
      <c r="GS12" s="119"/>
      <c r="GT12" s="119"/>
      <c r="GU12" s="120"/>
      <c r="GV12" s="120"/>
      <c r="GW12" s="120"/>
      <c r="GX12" s="59"/>
      <c r="GY12" s="119"/>
      <c r="GZ12" s="119"/>
      <c r="HA12" s="119"/>
      <c r="HB12" s="119"/>
      <c r="HC12" s="119"/>
      <c r="HD12" s="119"/>
      <c r="HE12" s="119"/>
      <c r="HF12" s="119"/>
      <c r="HG12" s="119"/>
      <c r="HH12" s="119"/>
      <c r="HI12" s="119"/>
      <c r="HJ12" s="119"/>
      <c r="HK12" s="120"/>
      <c r="HL12" s="120"/>
      <c r="HM12" s="120"/>
      <c r="HN12" s="59"/>
      <c r="HO12" s="119"/>
      <c r="HP12" s="119"/>
      <c r="HQ12" s="119"/>
      <c r="HR12" s="119"/>
      <c r="HS12" s="119"/>
      <c r="HT12" s="119"/>
      <c r="HU12" s="119"/>
      <c r="HV12" s="119"/>
      <c r="HW12" s="119"/>
      <c r="HX12" s="119"/>
      <c r="HY12" s="119"/>
      <c r="HZ12" s="119"/>
      <c r="IA12" s="120"/>
      <c r="IB12" s="120"/>
      <c r="IC12" s="120"/>
      <c r="ID12" s="59"/>
      <c r="IE12" s="119"/>
      <c r="IF12" s="119"/>
      <c r="IG12" s="119"/>
      <c r="IH12" s="119"/>
      <c r="II12" s="119"/>
      <c r="IJ12" s="119"/>
      <c r="IK12" s="119"/>
      <c r="IL12" s="119"/>
      <c r="IM12" s="119"/>
      <c r="IN12" s="119"/>
      <c r="IO12" s="119"/>
      <c r="IP12" s="119"/>
      <c r="IQ12" s="120"/>
      <c r="IR12" s="120"/>
      <c r="IS12" s="120"/>
      <c r="IT12" s="59"/>
      <c r="IU12" s="119"/>
      <c r="IV12" s="119"/>
      <c r="IW12" s="119"/>
      <c r="IX12" s="119"/>
      <c r="IY12" s="119"/>
      <c r="IZ12" s="119"/>
      <c r="JA12" s="119"/>
      <c r="JB12" s="119"/>
      <c r="JC12" s="119"/>
      <c r="JD12" s="119"/>
      <c r="JE12" s="119"/>
      <c r="JF12" s="119"/>
      <c r="JG12" s="120"/>
      <c r="JH12" s="120"/>
      <c r="JI12" s="120"/>
      <c r="JJ12" s="59"/>
      <c r="JK12" s="119"/>
      <c r="JL12" s="119"/>
      <c r="JM12" s="119"/>
      <c r="JN12" s="119"/>
      <c r="JO12" s="119"/>
      <c r="JP12" s="119"/>
      <c r="JQ12" s="119"/>
      <c r="JR12" s="119"/>
      <c r="JS12" s="119"/>
      <c r="JT12" s="119"/>
      <c r="JU12" s="119"/>
      <c r="JV12" s="119"/>
      <c r="JW12" s="120"/>
      <c r="JX12" s="120"/>
      <c r="JY12" s="120"/>
      <c r="JZ12" s="59"/>
      <c r="KA12" s="119"/>
      <c r="KB12" s="119"/>
      <c r="KC12" s="119"/>
      <c r="KD12" s="119"/>
      <c r="KE12" s="119"/>
      <c r="KF12" s="119"/>
      <c r="KG12" s="119"/>
      <c r="KH12" s="119"/>
      <c r="KI12" s="119"/>
      <c r="KJ12" s="119"/>
      <c r="KK12" s="119"/>
      <c r="KL12" s="119"/>
      <c r="KM12" s="120"/>
      <c r="KN12" s="120"/>
      <c r="KO12" s="120"/>
      <c r="KP12" s="59"/>
      <c r="KQ12" s="119"/>
      <c r="KR12" s="119"/>
      <c r="KS12" s="119"/>
      <c r="KT12" s="119"/>
      <c r="KU12" s="119"/>
      <c r="KV12" s="119"/>
      <c r="KW12" s="119"/>
      <c r="KX12" s="119"/>
      <c r="KY12" s="119"/>
      <c r="KZ12" s="119"/>
      <c r="LA12" s="119"/>
      <c r="LB12" s="119"/>
      <c r="LC12" s="120"/>
      <c r="LD12" s="120"/>
      <c r="LE12" s="120"/>
      <c r="LF12" s="59"/>
      <c r="LG12" s="119"/>
      <c r="LH12" s="119"/>
      <c r="LI12" s="119"/>
      <c r="LJ12" s="119"/>
      <c r="LK12" s="119"/>
      <c r="LL12" s="119"/>
      <c r="LM12" s="119"/>
      <c r="LN12" s="119"/>
      <c r="LO12" s="119"/>
      <c r="LP12" s="119"/>
      <c r="LQ12" s="119"/>
      <c r="LR12" s="119"/>
      <c r="LS12" s="120"/>
      <c r="LT12" s="120"/>
      <c r="LU12" s="120"/>
      <c r="LV12" s="59"/>
      <c r="LW12" s="119"/>
      <c r="LX12" s="119"/>
      <c r="LY12" s="119"/>
      <c r="LZ12" s="119"/>
      <c r="MA12" s="119"/>
      <c r="MB12" s="119"/>
      <c r="MC12" s="119"/>
      <c r="MD12" s="119"/>
      <c r="ME12" s="119"/>
      <c r="MF12" s="119"/>
      <c r="MG12" s="119"/>
      <c r="MH12" s="119"/>
      <c r="MI12" s="120"/>
      <c r="MJ12" s="120"/>
      <c r="MK12" s="120"/>
      <c r="ML12" s="59"/>
      <c r="MM12" s="119"/>
      <c r="MN12" s="119"/>
      <c r="MO12" s="119"/>
      <c r="MP12" s="119"/>
      <c r="MQ12" s="119"/>
      <c r="MR12" s="119"/>
      <c r="MS12" s="119"/>
      <c r="MT12" s="119"/>
      <c r="MU12" s="119"/>
      <c r="MV12" s="119"/>
      <c r="MW12" s="119"/>
      <c r="MX12" s="119"/>
      <c r="MY12" s="120"/>
      <c r="MZ12" s="120"/>
      <c r="NA12" s="120"/>
      <c r="NB12" s="59"/>
      <c r="NC12" s="119"/>
      <c r="ND12" s="119"/>
      <c r="NE12" s="119"/>
      <c r="NF12" s="119"/>
      <c r="NG12" s="119"/>
      <c r="NH12" s="119"/>
      <c r="NI12" s="119"/>
      <c r="NJ12" s="119"/>
      <c r="NK12" s="119"/>
      <c r="NL12" s="119"/>
      <c r="NM12" s="119"/>
      <c r="NN12" s="119"/>
      <c r="NO12" s="120"/>
      <c r="NP12" s="120"/>
      <c r="NQ12" s="120"/>
      <c r="NR12" s="59"/>
      <c r="NS12" s="119"/>
      <c r="NT12" s="119"/>
      <c r="NU12" s="119"/>
      <c r="NV12" s="119"/>
      <c r="NW12" s="119"/>
      <c r="NX12" s="119"/>
      <c r="NY12" s="119"/>
      <c r="NZ12" s="119"/>
      <c r="OA12" s="119"/>
      <c r="OB12" s="119"/>
      <c r="OC12" s="119"/>
      <c r="OD12" s="119"/>
      <c r="OE12" s="120"/>
      <c r="OF12" s="120"/>
      <c r="OG12" s="120"/>
      <c r="OH12" s="59"/>
      <c r="OI12" s="119"/>
      <c r="OJ12" s="119"/>
      <c r="OK12" s="119"/>
      <c r="OL12" s="119"/>
      <c r="OM12" s="119"/>
      <c r="ON12" s="119"/>
      <c r="OO12" s="119"/>
      <c r="OP12" s="119"/>
      <c r="OQ12" s="119"/>
      <c r="OR12" s="119"/>
      <c r="OS12" s="119"/>
      <c r="OT12" s="119"/>
      <c r="OU12" s="120"/>
      <c r="OV12" s="120"/>
      <c r="OW12" s="120"/>
      <c r="OX12" s="59"/>
      <c r="OY12" s="119"/>
      <c r="OZ12" s="119"/>
      <c r="PA12" s="119"/>
      <c r="PB12" s="119"/>
      <c r="PC12" s="119"/>
      <c r="PD12" s="119"/>
      <c r="PE12" s="119"/>
      <c r="PF12" s="119"/>
      <c r="PG12" s="119"/>
      <c r="PH12" s="119"/>
      <c r="PI12" s="119"/>
      <c r="PJ12" s="119"/>
      <c r="PK12" s="120"/>
      <c r="PL12" s="120"/>
      <c r="PM12" s="120"/>
      <c r="PN12" s="59"/>
      <c r="PO12" s="119"/>
      <c r="PP12" s="119"/>
      <c r="PQ12" s="119"/>
      <c r="PR12" s="119"/>
      <c r="PS12" s="119"/>
      <c r="PT12" s="119"/>
      <c r="PU12" s="119"/>
      <c r="PV12" s="119"/>
      <c r="PW12" s="119"/>
      <c r="PX12" s="119"/>
      <c r="PY12" s="119"/>
      <c r="PZ12" s="119"/>
      <c r="QA12" s="120"/>
      <c r="QB12" s="120"/>
      <c r="QC12" s="120"/>
      <c r="QD12" s="59"/>
      <c r="QE12" s="119"/>
      <c r="QF12" s="119"/>
      <c r="QG12" s="119"/>
      <c r="QH12" s="119"/>
      <c r="QI12" s="119"/>
      <c r="QJ12" s="119"/>
      <c r="QK12" s="119"/>
      <c r="QL12" s="119"/>
      <c r="QM12" s="119"/>
      <c r="QN12" s="119"/>
      <c r="QO12" s="119"/>
      <c r="QP12" s="119"/>
      <c r="QQ12" s="120"/>
      <c r="QR12" s="120"/>
      <c r="QS12" s="120"/>
      <c r="QT12" s="59"/>
      <c r="QU12" s="119"/>
      <c r="QV12" s="119"/>
      <c r="QW12" s="119"/>
      <c r="QX12" s="119"/>
      <c r="QY12" s="119"/>
      <c r="QZ12" s="119"/>
      <c r="RA12" s="119"/>
      <c r="RB12" s="119"/>
      <c r="RC12" s="119"/>
      <c r="RD12" s="119"/>
      <c r="RE12" s="119"/>
      <c r="RF12" s="119"/>
      <c r="RG12" s="120"/>
      <c r="RH12" s="120"/>
      <c r="RI12" s="120"/>
      <c r="RJ12" s="59"/>
      <c r="RK12" s="119"/>
      <c r="RL12" s="119"/>
      <c r="RM12" s="119"/>
      <c r="RN12" s="119"/>
      <c r="RO12" s="119"/>
      <c r="RP12" s="119"/>
      <c r="RQ12" s="119"/>
      <c r="RR12" s="119"/>
      <c r="RS12" s="119"/>
      <c r="RT12" s="119"/>
      <c r="RU12" s="119"/>
      <c r="RV12" s="119"/>
      <c r="RW12" s="120"/>
      <c r="RX12" s="120"/>
      <c r="RY12" s="120"/>
      <c r="RZ12" s="59"/>
      <c r="SA12" s="119"/>
      <c r="SB12" s="119"/>
      <c r="SC12" s="119"/>
      <c r="SD12" s="119"/>
      <c r="SE12" s="119"/>
      <c r="SF12" s="119"/>
      <c r="SG12" s="119"/>
      <c r="SH12" s="119"/>
      <c r="SI12" s="119"/>
      <c r="SJ12" s="119"/>
      <c r="SK12" s="119"/>
      <c r="SL12" s="119"/>
      <c r="SM12" s="120"/>
      <c r="SN12" s="120"/>
      <c r="SO12" s="120"/>
      <c r="SP12" s="59"/>
      <c r="SQ12" s="119"/>
      <c r="SR12" s="119"/>
      <c r="SS12" s="119"/>
      <c r="ST12" s="119"/>
      <c r="SU12" s="119"/>
      <c r="SV12" s="119"/>
      <c r="SW12" s="119"/>
      <c r="SX12" s="119"/>
      <c r="SY12" s="119"/>
      <c r="SZ12" s="119"/>
      <c r="TA12" s="119"/>
      <c r="TB12" s="119"/>
      <c r="TC12" s="120"/>
      <c r="TD12" s="120"/>
      <c r="TE12" s="120"/>
      <c r="TF12" s="59"/>
      <c r="TG12" s="119"/>
      <c r="TH12" s="119"/>
      <c r="TI12" s="119"/>
      <c r="TJ12" s="119"/>
      <c r="TK12" s="119"/>
      <c r="TL12" s="119"/>
      <c r="TM12" s="119"/>
      <c r="TN12" s="119"/>
      <c r="TO12" s="119"/>
      <c r="TP12" s="119"/>
      <c r="TQ12" s="119"/>
      <c r="TR12" s="119"/>
      <c r="TS12" s="120"/>
      <c r="TT12" s="120"/>
      <c r="TU12" s="120"/>
      <c r="TV12" s="59"/>
      <c r="TW12" s="119"/>
      <c r="TX12" s="119"/>
      <c r="TY12" s="119"/>
      <c r="TZ12" s="119"/>
      <c r="UA12" s="119"/>
      <c r="UB12" s="119"/>
      <c r="UC12" s="119"/>
      <c r="UD12" s="119"/>
      <c r="UE12" s="119"/>
      <c r="UF12" s="119"/>
      <c r="UG12" s="119"/>
      <c r="UH12" s="119"/>
      <c r="UI12" s="120"/>
      <c r="UJ12" s="120"/>
      <c r="UK12" s="120"/>
      <c r="UL12" s="59"/>
      <c r="UM12" s="119"/>
      <c r="UN12" s="119"/>
      <c r="UO12" s="119"/>
      <c r="UP12" s="119"/>
      <c r="UQ12" s="119"/>
      <c r="UR12" s="119"/>
      <c r="US12" s="119"/>
      <c r="UT12" s="119"/>
      <c r="UU12" s="119"/>
      <c r="UV12" s="119"/>
      <c r="UW12" s="119"/>
      <c r="UX12" s="119"/>
      <c r="UY12" s="120"/>
      <c r="UZ12" s="120"/>
      <c r="VA12" s="120"/>
      <c r="VB12" s="59"/>
      <c r="VC12" s="119"/>
      <c r="VD12" s="119"/>
      <c r="VE12" s="119"/>
      <c r="VF12" s="119"/>
      <c r="VG12" s="119"/>
      <c r="VH12" s="119"/>
      <c r="VI12" s="119"/>
      <c r="VJ12" s="119"/>
      <c r="VK12" s="119"/>
      <c r="VL12" s="119"/>
      <c r="VM12" s="119"/>
      <c r="VN12" s="119"/>
      <c r="VO12" s="120"/>
      <c r="VP12" s="120"/>
      <c r="VQ12" s="120"/>
      <c r="VR12" s="59"/>
      <c r="VS12" s="119"/>
      <c r="VT12" s="119"/>
      <c r="VU12" s="119"/>
      <c r="VV12" s="119"/>
      <c r="VW12" s="119"/>
      <c r="VX12" s="119"/>
      <c r="VY12" s="119"/>
      <c r="VZ12" s="119"/>
      <c r="WA12" s="119"/>
      <c r="WB12" s="119"/>
      <c r="WC12" s="119"/>
      <c r="WD12" s="119"/>
      <c r="WE12" s="120"/>
      <c r="WF12" s="120"/>
      <c r="WG12" s="120"/>
      <c r="WH12" s="59"/>
      <c r="WI12" s="119"/>
      <c r="WJ12" s="119"/>
      <c r="WK12" s="119"/>
      <c r="WL12" s="119"/>
      <c r="WM12" s="119"/>
      <c r="WN12" s="119"/>
      <c r="WO12" s="119"/>
      <c r="WP12" s="119"/>
      <c r="WQ12" s="119"/>
      <c r="WR12" s="119"/>
      <c r="WS12" s="119"/>
      <c r="WT12" s="119"/>
      <c r="WU12" s="120"/>
      <c r="WV12" s="120"/>
      <c r="WW12" s="120"/>
      <c r="WX12" s="59"/>
      <c r="WY12" s="119"/>
      <c r="WZ12" s="119"/>
      <c r="XA12" s="119"/>
      <c r="XB12" s="119"/>
      <c r="XC12" s="119"/>
      <c r="XD12" s="119"/>
      <c r="XE12" s="119"/>
      <c r="XF12" s="119"/>
      <c r="XG12" s="119"/>
      <c r="XH12" s="119"/>
      <c r="XI12" s="119"/>
      <c r="XJ12" s="119"/>
      <c r="XK12" s="120"/>
      <c r="XL12" s="120"/>
      <c r="XM12" s="120"/>
      <c r="XN12" s="59"/>
      <c r="XO12" s="119"/>
      <c r="XP12" s="119"/>
      <c r="XQ12" s="119"/>
      <c r="XR12" s="119"/>
      <c r="XS12" s="119"/>
      <c r="XT12" s="119"/>
      <c r="XU12" s="119"/>
      <c r="XV12" s="119"/>
      <c r="XW12" s="119"/>
      <c r="XX12" s="119"/>
      <c r="XY12" s="119"/>
      <c r="XZ12" s="119"/>
      <c r="YA12" s="120"/>
      <c r="YB12" s="120"/>
      <c r="YC12" s="120"/>
      <c r="YD12" s="59"/>
      <c r="YE12" s="119"/>
      <c r="YF12" s="119"/>
      <c r="YG12" s="119"/>
      <c r="YH12" s="119"/>
      <c r="YI12" s="119"/>
      <c r="YJ12" s="119"/>
      <c r="YK12" s="119"/>
      <c r="YL12" s="119"/>
      <c r="YM12" s="119"/>
      <c r="YN12" s="119"/>
      <c r="YO12" s="119"/>
      <c r="YP12" s="119"/>
      <c r="YQ12" s="120"/>
      <c r="YR12" s="120"/>
      <c r="YS12" s="120"/>
      <c r="YT12" s="59"/>
      <c r="YU12" s="119"/>
      <c r="YV12" s="119"/>
      <c r="YW12" s="119"/>
      <c r="YX12" s="119"/>
      <c r="YY12" s="119"/>
      <c r="YZ12" s="119"/>
      <c r="ZA12" s="119"/>
      <c r="ZB12" s="119"/>
      <c r="ZC12" s="119"/>
      <c r="ZD12" s="119"/>
      <c r="ZE12" s="119"/>
      <c r="ZF12" s="119"/>
      <c r="ZG12" s="120"/>
      <c r="ZH12" s="120"/>
      <c r="ZI12" s="120"/>
      <c r="ZJ12" s="59"/>
      <c r="ZK12" s="119"/>
      <c r="ZL12" s="119"/>
      <c r="ZM12" s="119"/>
      <c r="ZN12" s="119"/>
      <c r="ZO12" s="119"/>
      <c r="ZP12" s="119"/>
      <c r="ZQ12" s="119"/>
      <c r="ZR12" s="119"/>
      <c r="ZS12" s="119"/>
      <c r="ZT12" s="119"/>
      <c r="ZU12" s="119"/>
      <c r="ZV12" s="119"/>
      <c r="ZW12" s="120"/>
      <c r="ZX12" s="120"/>
      <c r="ZY12" s="120"/>
      <c r="ZZ12" s="59"/>
      <c r="AAA12" s="119"/>
      <c r="AAB12" s="119"/>
      <c r="AAC12" s="119"/>
      <c r="AAD12" s="119"/>
      <c r="AAE12" s="119"/>
      <c r="AAF12" s="119"/>
      <c r="AAG12" s="119"/>
      <c r="AAH12" s="119"/>
      <c r="AAI12" s="119"/>
      <c r="AAJ12" s="119"/>
      <c r="AAK12" s="119"/>
      <c r="AAL12" s="119"/>
      <c r="AAM12" s="120"/>
      <c r="AAN12" s="120"/>
      <c r="AAO12" s="120"/>
      <c r="AAP12" s="59"/>
      <c r="AAQ12" s="119"/>
      <c r="AAR12" s="119"/>
      <c r="AAS12" s="119"/>
      <c r="AAT12" s="119"/>
      <c r="AAU12" s="119"/>
      <c r="AAV12" s="119"/>
      <c r="AAW12" s="119"/>
      <c r="AAX12" s="119"/>
      <c r="AAY12" s="119"/>
      <c r="AAZ12" s="119"/>
      <c r="ABA12" s="119"/>
      <c r="ABB12" s="119"/>
      <c r="ABC12" s="120"/>
      <c r="ABD12" s="120"/>
      <c r="ABE12" s="120"/>
      <c r="ABF12" s="59"/>
      <c r="ABG12" s="119"/>
      <c r="ABH12" s="119"/>
      <c r="ABI12" s="119"/>
      <c r="ABJ12" s="119"/>
      <c r="ABK12" s="119"/>
      <c r="ABL12" s="119"/>
      <c r="ABM12" s="119"/>
      <c r="ABN12" s="119"/>
      <c r="ABO12" s="119"/>
      <c r="ABP12" s="119"/>
      <c r="ABQ12" s="119"/>
      <c r="ABR12" s="119"/>
      <c r="ABS12" s="120"/>
      <c r="ABT12" s="120"/>
      <c r="ABU12" s="120"/>
      <c r="ABV12" s="59"/>
      <c r="ABW12" s="119"/>
      <c r="ABX12" s="119"/>
      <c r="ABY12" s="119"/>
      <c r="ABZ12" s="119"/>
      <c r="ACA12" s="119"/>
      <c r="ACB12" s="119"/>
      <c r="ACC12" s="119"/>
      <c r="ACD12" s="119"/>
      <c r="ACE12" s="119"/>
      <c r="ACF12" s="119"/>
      <c r="ACG12" s="119"/>
      <c r="ACH12" s="119"/>
      <c r="ACI12" s="120"/>
      <c r="ACJ12" s="120"/>
      <c r="ACK12" s="120"/>
      <c r="ACL12" s="59"/>
      <c r="ACM12" s="119"/>
      <c r="ACN12" s="119"/>
      <c r="ACO12" s="119"/>
      <c r="ACP12" s="119"/>
      <c r="ACQ12" s="119"/>
      <c r="ACR12" s="119"/>
      <c r="ACS12" s="119"/>
      <c r="ACT12" s="119"/>
      <c r="ACU12" s="119"/>
      <c r="ACV12" s="119"/>
      <c r="ACW12" s="119"/>
      <c r="ACX12" s="119"/>
      <c r="ACY12" s="120"/>
      <c r="ACZ12" s="120"/>
      <c r="ADA12" s="120"/>
      <c r="ADB12" s="59"/>
      <c r="ADC12" s="119"/>
      <c r="ADD12" s="119"/>
      <c r="ADE12" s="119"/>
      <c r="ADF12" s="119"/>
      <c r="ADG12" s="119"/>
      <c r="ADH12" s="119"/>
      <c r="ADI12" s="119"/>
      <c r="ADJ12" s="119"/>
      <c r="ADK12" s="119"/>
      <c r="ADL12" s="119"/>
      <c r="ADM12" s="119"/>
      <c r="ADN12" s="119"/>
      <c r="ADO12" s="120"/>
      <c r="ADP12" s="120"/>
      <c r="ADQ12" s="120"/>
      <c r="ADR12" s="59"/>
      <c r="ADS12" s="119"/>
      <c r="ADT12" s="119"/>
      <c r="ADU12" s="119"/>
      <c r="ADV12" s="119"/>
      <c r="ADW12" s="119"/>
      <c r="ADX12" s="119"/>
      <c r="ADY12" s="119"/>
      <c r="ADZ12" s="119"/>
      <c r="AEA12" s="119"/>
      <c r="AEB12" s="119"/>
      <c r="AEC12" s="119"/>
      <c r="AED12" s="119"/>
      <c r="AEE12" s="120"/>
      <c r="AEF12" s="120"/>
      <c r="AEG12" s="120"/>
      <c r="AEH12" s="59"/>
      <c r="AEI12" s="119"/>
      <c r="AEJ12" s="119"/>
      <c r="AEK12" s="119"/>
      <c r="AEL12" s="119"/>
      <c r="AEM12" s="119"/>
      <c r="AEN12" s="119"/>
      <c r="AEO12" s="119"/>
      <c r="AEP12" s="119"/>
      <c r="AEQ12" s="119"/>
      <c r="AER12" s="119"/>
      <c r="AES12" s="119"/>
      <c r="AET12" s="119"/>
      <c r="AEU12" s="120"/>
      <c r="AEV12" s="120"/>
      <c r="AEW12" s="120"/>
      <c r="AEX12" s="59"/>
      <c r="AEY12" s="119"/>
      <c r="AEZ12" s="119"/>
      <c r="AFA12" s="119"/>
      <c r="AFB12" s="119"/>
      <c r="AFC12" s="119"/>
      <c r="AFD12" s="119"/>
      <c r="AFE12" s="119"/>
      <c r="AFF12" s="119"/>
      <c r="AFG12" s="119"/>
      <c r="AFH12" s="119"/>
      <c r="AFI12" s="119"/>
      <c r="AFJ12" s="119"/>
      <c r="AFK12" s="120"/>
      <c r="AFL12" s="120"/>
      <c r="AFM12" s="120"/>
      <c r="AFN12" s="59"/>
      <c r="AFO12" s="119"/>
      <c r="AFP12" s="119"/>
      <c r="AFQ12" s="119"/>
      <c r="AFR12" s="119"/>
      <c r="AFS12" s="119"/>
      <c r="AFT12" s="119"/>
      <c r="AFU12" s="119"/>
      <c r="AFV12" s="119"/>
      <c r="AFW12" s="119"/>
      <c r="AFX12" s="119"/>
      <c r="AFY12" s="119"/>
      <c r="AFZ12" s="119"/>
      <c r="AGA12" s="120"/>
      <c r="AGB12" s="120"/>
      <c r="AGC12" s="120"/>
      <c r="AGD12" s="59"/>
      <c r="AGE12" s="119"/>
      <c r="AGF12" s="119"/>
      <c r="AGG12" s="119"/>
      <c r="AGH12" s="119"/>
      <c r="AGI12" s="119"/>
      <c r="AGJ12" s="119"/>
      <c r="AGK12" s="119"/>
      <c r="AGL12" s="119"/>
      <c r="AGM12" s="119"/>
      <c r="AGN12" s="119"/>
      <c r="AGO12" s="119"/>
      <c r="AGP12" s="119"/>
      <c r="AGQ12" s="120"/>
      <c r="AGR12" s="120"/>
      <c r="AGS12" s="120"/>
      <c r="AGT12" s="59"/>
      <c r="AGU12" s="119"/>
      <c r="AGV12" s="119"/>
      <c r="AGW12" s="119"/>
      <c r="AGX12" s="119"/>
      <c r="AGY12" s="119"/>
      <c r="AGZ12" s="119"/>
      <c r="AHA12" s="119"/>
      <c r="AHB12" s="119"/>
      <c r="AHC12" s="119"/>
      <c r="AHD12" s="119"/>
      <c r="AHE12" s="119"/>
      <c r="AHF12" s="119"/>
      <c r="AHG12" s="120"/>
      <c r="AHH12" s="120"/>
      <c r="AHI12" s="120"/>
      <c r="AHJ12" s="59"/>
      <c r="AHK12" s="119"/>
      <c r="AHL12" s="119"/>
      <c r="AHM12" s="119"/>
      <c r="AHN12" s="119"/>
      <c r="AHO12" s="119"/>
      <c r="AHP12" s="119"/>
      <c r="AHQ12" s="119"/>
      <c r="AHR12" s="119"/>
      <c r="AHS12" s="119"/>
      <c r="AHT12" s="119"/>
      <c r="AHU12" s="119"/>
      <c r="AHV12" s="119"/>
      <c r="AHW12" s="120"/>
      <c r="AHX12" s="120"/>
      <c r="AHY12" s="120"/>
      <c r="AHZ12" s="59"/>
      <c r="AIA12" s="119"/>
      <c r="AIB12" s="119"/>
      <c r="AIC12" s="119"/>
      <c r="AID12" s="119"/>
      <c r="AIE12" s="119"/>
      <c r="AIF12" s="119"/>
      <c r="AIG12" s="119"/>
      <c r="AIH12" s="119"/>
      <c r="AII12" s="119"/>
      <c r="AIJ12" s="119"/>
      <c r="AIK12" s="119"/>
      <c r="AIL12" s="119"/>
      <c r="AIM12" s="120"/>
      <c r="AIN12" s="120"/>
      <c r="AIO12" s="120"/>
      <c r="AIP12" s="59"/>
      <c r="AIQ12" s="119"/>
      <c r="AIR12" s="119"/>
      <c r="AIS12" s="119"/>
      <c r="AIT12" s="119"/>
      <c r="AIU12" s="119"/>
      <c r="AIV12" s="119"/>
      <c r="AIW12" s="119"/>
      <c r="AIX12" s="119"/>
      <c r="AIY12" s="119"/>
      <c r="AIZ12" s="119"/>
      <c r="AJA12" s="119"/>
      <c r="AJB12" s="119"/>
      <c r="AJC12" s="120"/>
      <c r="AJD12" s="120"/>
      <c r="AJE12" s="120"/>
      <c r="AJF12" s="59"/>
      <c r="AJG12" s="119"/>
      <c r="AJH12" s="119"/>
      <c r="AJI12" s="119"/>
      <c r="AJJ12" s="119"/>
      <c r="AJK12" s="119"/>
      <c r="AJL12" s="119"/>
      <c r="AJM12" s="119"/>
      <c r="AJN12" s="119"/>
      <c r="AJO12" s="119"/>
      <c r="AJP12" s="119"/>
      <c r="AJQ12" s="119"/>
      <c r="AJR12" s="119"/>
      <c r="AJS12" s="120"/>
      <c r="AJT12" s="120"/>
      <c r="AJU12" s="120"/>
      <c r="AJV12" s="59"/>
      <c r="AJW12" s="119"/>
      <c r="AJX12" s="119"/>
      <c r="AJY12" s="119"/>
      <c r="AJZ12" s="119"/>
      <c r="AKA12" s="119"/>
      <c r="AKB12" s="119"/>
      <c r="AKC12" s="119"/>
      <c r="AKD12" s="119"/>
      <c r="AKE12" s="119"/>
      <c r="AKF12" s="119"/>
      <c r="AKG12" s="119"/>
      <c r="AKH12" s="119"/>
      <c r="AKI12" s="120"/>
      <c r="AKJ12" s="120"/>
      <c r="AKK12" s="120"/>
      <c r="AKL12" s="59"/>
      <c r="AKM12" s="119"/>
      <c r="AKN12" s="119"/>
      <c r="AKO12" s="119"/>
      <c r="AKP12" s="119"/>
      <c r="AKQ12" s="119"/>
      <c r="AKR12" s="119"/>
      <c r="AKS12" s="119"/>
      <c r="AKT12" s="119"/>
      <c r="AKU12" s="119"/>
      <c r="AKV12" s="119"/>
      <c r="AKW12" s="119"/>
      <c r="AKX12" s="119"/>
      <c r="AKY12" s="120"/>
      <c r="AKZ12" s="120"/>
      <c r="ALA12" s="120"/>
      <c r="ALB12" s="59"/>
      <c r="ALC12" s="119"/>
      <c r="ALD12" s="119"/>
      <c r="ALE12" s="119"/>
      <c r="ALF12" s="119"/>
      <c r="ALG12" s="119"/>
      <c r="ALH12" s="119"/>
      <c r="ALI12" s="119"/>
      <c r="ALJ12" s="119"/>
      <c r="ALK12" s="119"/>
      <c r="ALL12" s="119"/>
      <c r="ALM12" s="119"/>
      <c r="ALN12" s="119"/>
      <c r="ALO12" s="120"/>
      <c r="ALP12" s="120"/>
      <c r="ALQ12" s="120"/>
      <c r="ALR12" s="59"/>
      <c r="ALS12" s="119"/>
      <c r="ALT12" s="119"/>
      <c r="ALU12" s="119"/>
      <c r="ALV12" s="119"/>
      <c r="ALW12" s="119"/>
      <c r="ALX12" s="119"/>
      <c r="ALY12" s="119"/>
      <c r="ALZ12" s="119"/>
      <c r="AMA12" s="119"/>
      <c r="AMB12" s="119"/>
      <c r="AMC12" s="119"/>
      <c r="AMD12" s="119"/>
      <c r="AME12" s="120"/>
      <c r="AMF12" s="120"/>
      <c r="AMG12" s="120"/>
      <c r="AMH12" s="59"/>
      <c r="AMI12" s="119"/>
      <c r="AMJ12" s="119"/>
      <c r="AMK12" s="119"/>
      <c r="AML12" s="119"/>
      <c r="AMM12" s="119"/>
      <c r="AMN12" s="119"/>
      <c r="AMO12" s="119"/>
      <c r="AMP12" s="119"/>
      <c r="AMQ12" s="119"/>
      <c r="AMR12" s="119"/>
      <c r="AMS12" s="119"/>
      <c r="AMT12" s="119"/>
      <c r="AMU12" s="120"/>
      <c r="AMV12" s="120"/>
      <c r="AMW12" s="120"/>
      <c r="AMX12" s="59"/>
      <c r="AMY12" s="119"/>
      <c r="AMZ12" s="119"/>
      <c r="ANA12" s="119"/>
      <c r="ANB12" s="119"/>
      <c r="ANC12" s="119"/>
      <c r="AND12" s="119"/>
      <c r="ANE12" s="119"/>
      <c r="ANF12" s="119"/>
      <c r="ANG12" s="119"/>
      <c r="ANH12" s="119"/>
      <c r="ANI12" s="119"/>
      <c r="ANJ12" s="119"/>
      <c r="ANK12" s="120"/>
      <c r="ANL12" s="120"/>
      <c r="ANM12" s="120"/>
      <c r="ANN12" s="59"/>
      <c r="ANO12" s="119"/>
      <c r="ANP12" s="119"/>
      <c r="ANQ12" s="119"/>
      <c r="ANR12" s="119"/>
      <c r="ANS12" s="119"/>
      <c r="ANT12" s="119"/>
      <c r="ANU12" s="119"/>
      <c r="ANV12" s="119"/>
      <c r="ANW12" s="119"/>
      <c r="ANX12" s="119"/>
      <c r="ANY12" s="119"/>
      <c r="ANZ12" s="119"/>
      <c r="AOA12" s="120"/>
      <c r="AOB12" s="120"/>
      <c r="AOC12" s="120"/>
      <c r="AOD12" s="59"/>
      <c r="AOE12" s="119"/>
      <c r="AOF12" s="119"/>
      <c r="AOG12" s="119"/>
      <c r="AOH12" s="119"/>
      <c r="AOI12" s="119"/>
      <c r="AOJ12" s="119"/>
      <c r="AOK12" s="119"/>
      <c r="AOL12" s="119"/>
      <c r="AOM12" s="119"/>
      <c r="AON12" s="119"/>
      <c r="AOO12" s="119"/>
      <c r="AOP12" s="119"/>
      <c r="AOQ12" s="120"/>
      <c r="AOR12" s="120"/>
      <c r="AOS12" s="120"/>
      <c r="AOT12" s="59"/>
      <c r="AOU12" s="119"/>
      <c r="AOV12" s="119"/>
      <c r="AOW12" s="119"/>
      <c r="AOX12" s="119"/>
      <c r="AOY12" s="119"/>
      <c r="AOZ12" s="119"/>
      <c r="APA12" s="119"/>
      <c r="APB12" s="119"/>
      <c r="APC12" s="119"/>
      <c r="APD12" s="119"/>
      <c r="APE12" s="119"/>
      <c r="APF12" s="119"/>
      <c r="APG12" s="120"/>
      <c r="APH12" s="120"/>
      <c r="API12" s="120"/>
      <c r="APJ12" s="59"/>
      <c r="APK12" s="119"/>
      <c r="APL12" s="119"/>
      <c r="APM12" s="119"/>
      <c r="APN12" s="119"/>
      <c r="APO12" s="119"/>
      <c r="APP12" s="119"/>
      <c r="APQ12" s="119"/>
      <c r="APR12" s="119"/>
      <c r="APS12" s="119"/>
      <c r="APT12" s="119"/>
      <c r="APU12" s="119"/>
      <c r="APV12" s="119"/>
      <c r="APW12" s="120"/>
      <c r="APX12" s="120"/>
      <c r="APY12" s="120"/>
      <c r="APZ12" s="59"/>
      <c r="AQA12" s="119"/>
      <c r="AQB12" s="119"/>
      <c r="AQC12" s="119"/>
      <c r="AQD12" s="119"/>
      <c r="AQE12" s="119"/>
      <c r="AQF12" s="119"/>
      <c r="AQG12" s="119"/>
      <c r="AQH12" s="119"/>
      <c r="AQI12" s="119"/>
      <c r="AQJ12" s="119"/>
      <c r="AQK12" s="119"/>
      <c r="AQL12" s="119"/>
      <c r="AQM12" s="120"/>
      <c r="AQN12" s="120"/>
      <c r="AQO12" s="120"/>
      <c r="AQP12" s="59"/>
      <c r="AQQ12" s="119"/>
      <c r="AQR12" s="119"/>
      <c r="AQS12" s="119"/>
      <c r="AQT12" s="119"/>
      <c r="AQU12" s="119"/>
      <c r="AQV12" s="119"/>
      <c r="AQW12" s="119"/>
      <c r="AQX12" s="119"/>
      <c r="AQY12" s="119"/>
      <c r="AQZ12" s="119"/>
      <c r="ARA12" s="119"/>
      <c r="ARB12" s="119"/>
      <c r="ARC12" s="120"/>
      <c r="ARD12" s="120"/>
      <c r="ARE12" s="120"/>
      <c r="ARF12" s="59"/>
      <c r="ARG12" s="119"/>
      <c r="ARH12" s="119"/>
      <c r="ARI12" s="119"/>
      <c r="ARJ12" s="119"/>
      <c r="ARK12" s="119"/>
      <c r="ARL12" s="119"/>
      <c r="ARM12" s="119"/>
      <c r="ARN12" s="119"/>
      <c r="ARO12" s="119"/>
      <c r="ARP12" s="119"/>
      <c r="ARQ12" s="119"/>
      <c r="ARR12" s="119"/>
      <c r="ARS12" s="120"/>
      <c r="ART12" s="120"/>
      <c r="ARU12" s="120"/>
      <c r="ARV12" s="59"/>
      <c r="ARW12" s="119"/>
      <c r="ARX12" s="119"/>
      <c r="ARY12" s="119"/>
      <c r="ARZ12" s="119"/>
      <c r="ASA12" s="119"/>
      <c r="ASB12" s="119"/>
      <c r="ASC12" s="119"/>
      <c r="ASD12" s="119"/>
      <c r="ASE12" s="119"/>
      <c r="ASF12" s="119"/>
      <c r="ASG12" s="119"/>
      <c r="ASH12" s="119"/>
      <c r="ASI12" s="120"/>
      <c r="ASJ12" s="120"/>
      <c r="ASK12" s="120"/>
      <c r="ASL12" s="59"/>
      <c r="ASM12" s="119"/>
      <c r="ASN12" s="119"/>
      <c r="ASO12" s="119"/>
      <c r="ASP12" s="119"/>
      <c r="ASQ12" s="119"/>
      <c r="ASR12" s="119"/>
      <c r="ASS12" s="119"/>
      <c r="AST12" s="119"/>
      <c r="ASU12" s="119"/>
      <c r="ASV12" s="119"/>
      <c r="ASW12" s="119"/>
      <c r="ASX12" s="119"/>
      <c r="ASY12" s="120"/>
      <c r="ASZ12" s="120"/>
      <c r="ATA12" s="120"/>
      <c r="ATB12" s="59"/>
      <c r="ATC12" s="119"/>
      <c r="ATD12" s="119"/>
      <c r="ATE12" s="119"/>
      <c r="ATF12" s="119"/>
      <c r="ATG12" s="119"/>
      <c r="ATH12" s="119"/>
      <c r="ATI12" s="119"/>
      <c r="ATJ12" s="119"/>
      <c r="ATK12" s="119"/>
      <c r="ATL12" s="119"/>
      <c r="ATM12" s="119"/>
      <c r="ATN12" s="119"/>
      <c r="ATO12" s="120"/>
      <c r="ATP12" s="120"/>
      <c r="ATQ12" s="120"/>
      <c r="ATR12" s="59"/>
      <c r="ATS12" s="119"/>
      <c r="ATT12" s="119"/>
      <c r="ATU12" s="119"/>
      <c r="ATV12" s="119"/>
      <c r="ATW12" s="119"/>
      <c r="ATX12" s="119"/>
      <c r="ATY12" s="119"/>
      <c r="ATZ12" s="119"/>
      <c r="AUA12" s="119"/>
      <c r="AUB12" s="119"/>
      <c r="AUC12" s="119"/>
      <c r="AUD12" s="119"/>
      <c r="AUE12" s="120"/>
      <c r="AUF12" s="120"/>
      <c r="AUG12" s="120"/>
      <c r="AUH12" s="59"/>
      <c r="AUI12" s="119"/>
      <c r="AUJ12" s="119"/>
      <c r="AUK12" s="119"/>
      <c r="AUL12" s="119"/>
      <c r="AUM12" s="119"/>
      <c r="AUN12" s="119"/>
      <c r="AUO12" s="119"/>
      <c r="AUP12" s="119"/>
      <c r="AUQ12" s="119"/>
      <c r="AUR12" s="119"/>
      <c r="AUS12" s="119"/>
      <c r="AUT12" s="119"/>
      <c r="AUU12" s="120"/>
      <c r="AUV12" s="120"/>
      <c r="AUW12" s="120"/>
      <c r="AUX12" s="59"/>
      <c r="AUY12" s="119"/>
      <c r="AUZ12" s="119"/>
      <c r="AVA12" s="119"/>
      <c r="AVB12" s="119"/>
      <c r="AVC12" s="119"/>
      <c r="AVD12" s="119"/>
      <c r="AVE12" s="119"/>
      <c r="AVF12" s="119"/>
      <c r="AVG12" s="119"/>
      <c r="AVH12" s="119"/>
      <c r="AVI12" s="119"/>
      <c r="AVJ12" s="119"/>
      <c r="AVK12" s="120"/>
      <c r="AVL12" s="120"/>
      <c r="AVM12" s="120"/>
      <c r="AVN12" s="59"/>
      <c r="AVO12" s="119"/>
      <c r="AVP12" s="119"/>
      <c r="AVQ12" s="119"/>
      <c r="AVR12" s="119"/>
      <c r="AVS12" s="119"/>
      <c r="AVT12" s="119"/>
      <c r="AVU12" s="119"/>
      <c r="AVV12" s="119"/>
      <c r="AVW12" s="119"/>
      <c r="AVX12" s="119"/>
      <c r="AVY12" s="119"/>
      <c r="AVZ12" s="119"/>
      <c r="AWA12" s="120"/>
      <c r="AWB12" s="120"/>
      <c r="AWC12" s="120"/>
      <c r="AWD12" s="59"/>
      <c r="AWE12" s="119"/>
      <c r="AWF12" s="119"/>
      <c r="AWG12" s="119"/>
      <c r="AWH12" s="119"/>
      <c r="AWI12" s="119"/>
      <c r="AWJ12" s="119"/>
      <c r="AWK12" s="119"/>
      <c r="AWL12" s="119"/>
      <c r="AWM12" s="119"/>
      <c r="AWN12" s="119"/>
      <c r="AWO12" s="119"/>
      <c r="AWP12" s="119"/>
      <c r="AWQ12" s="120"/>
      <c r="AWR12" s="120"/>
      <c r="AWS12" s="120"/>
      <c r="AWT12" s="59"/>
      <c r="AWU12" s="119"/>
      <c r="AWV12" s="119"/>
      <c r="AWW12" s="119"/>
      <c r="AWX12" s="119"/>
      <c r="AWY12" s="119"/>
      <c r="AWZ12" s="119"/>
      <c r="AXA12" s="119"/>
      <c r="AXB12" s="119"/>
      <c r="AXC12" s="119"/>
      <c r="AXD12" s="119"/>
      <c r="AXE12" s="119"/>
      <c r="AXF12" s="119"/>
      <c r="AXG12" s="120"/>
      <c r="AXH12" s="120"/>
      <c r="AXI12" s="120"/>
      <c r="AXJ12" s="59"/>
      <c r="AXK12" s="119"/>
      <c r="AXL12" s="119"/>
      <c r="AXM12" s="119"/>
      <c r="AXN12" s="119"/>
      <c r="AXO12" s="119"/>
      <c r="AXP12" s="119"/>
      <c r="AXQ12" s="119"/>
      <c r="AXR12" s="119"/>
      <c r="AXS12" s="119"/>
      <c r="AXT12" s="119"/>
      <c r="AXU12" s="119"/>
      <c r="AXV12" s="119"/>
      <c r="AXW12" s="120"/>
      <c r="AXX12" s="120"/>
      <c r="AXY12" s="120"/>
      <c r="AXZ12" s="59"/>
      <c r="AYA12" s="119"/>
      <c r="AYB12" s="119"/>
      <c r="AYC12" s="119"/>
      <c r="AYD12" s="119"/>
      <c r="AYE12" s="119"/>
      <c r="AYF12" s="119"/>
      <c r="AYG12" s="119"/>
      <c r="AYH12" s="119"/>
      <c r="AYI12" s="119"/>
      <c r="AYJ12" s="119"/>
      <c r="AYK12" s="119"/>
      <c r="AYL12" s="119"/>
      <c r="AYM12" s="120"/>
      <c r="AYN12" s="120"/>
      <c r="AYO12" s="120"/>
      <c r="AYP12" s="59"/>
      <c r="AYQ12" s="119"/>
      <c r="AYR12" s="119"/>
      <c r="AYS12" s="119"/>
      <c r="AYT12" s="119"/>
      <c r="AYU12" s="119"/>
      <c r="AYV12" s="119"/>
      <c r="AYW12" s="119"/>
      <c r="AYX12" s="119"/>
      <c r="AYY12" s="119"/>
      <c r="AYZ12" s="119"/>
      <c r="AZA12" s="119"/>
      <c r="AZB12" s="119"/>
      <c r="AZC12" s="120"/>
      <c r="AZD12" s="120"/>
      <c r="AZE12" s="120"/>
      <c r="AZF12" s="59"/>
      <c r="AZG12" s="119"/>
      <c r="AZH12" s="119"/>
      <c r="AZI12" s="119"/>
      <c r="AZJ12" s="119"/>
      <c r="AZK12" s="119"/>
      <c r="AZL12" s="119"/>
      <c r="AZM12" s="119"/>
      <c r="AZN12" s="119"/>
      <c r="AZO12" s="119"/>
      <c r="AZP12" s="119"/>
      <c r="AZQ12" s="119"/>
      <c r="AZR12" s="119"/>
      <c r="AZS12" s="120"/>
      <c r="AZT12" s="120"/>
      <c r="AZU12" s="120"/>
      <c r="AZV12" s="59"/>
      <c r="AZW12" s="119"/>
      <c r="AZX12" s="119"/>
      <c r="AZY12" s="119"/>
      <c r="AZZ12" s="119"/>
      <c r="BAA12" s="119"/>
      <c r="BAB12" s="119"/>
      <c r="BAC12" s="119"/>
      <c r="BAD12" s="119"/>
      <c r="BAE12" s="119"/>
      <c r="BAF12" s="119"/>
      <c r="BAG12" s="119"/>
      <c r="BAH12" s="119"/>
      <c r="BAI12" s="120"/>
      <c r="BAJ12" s="120"/>
      <c r="BAK12" s="120"/>
      <c r="BAL12" s="59"/>
      <c r="BAM12" s="119"/>
      <c r="BAN12" s="119"/>
      <c r="BAO12" s="119"/>
      <c r="BAP12" s="119"/>
      <c r="BAQ12" s="119"/>
      <c r="BAR12" s="119"/>
      <c r="BAS12" s="119"/>
      <c r="BAT12" s="119"/>
      <c r="BAU12" s="119"/>
      <c r="BAV12" s="119"/>
      <c r="BAW12" s="119"/>
      <c r="BAX12" s="119"/>
      <c r="BAY12" s="120"/>
      <c r="BAZ12" s="120"/>
      <c r="BBA12" s="120"/>
      <c r="BBB12" s="59"/>
      <c r="BBC12" s="119"/>
      <c r="BBD12" s="119"/>
      <c r="BBE12" s="119"/>
      <c r="BBF12" s="119"/>
      <c r="BBG12" s="119"/>
      <c r="BBH12" s="119"/>
      <c r="BBI12" s="119"/>
      <c r="BBJ12" s="119"/>
      <c r="BBK12" s="119"/>
      <c r="BBL12" s="119"/>
      <c r="BBM12" s="119"/>
      <c r="BBN12" s="119"/>
      <c r="BBO12" s="120"/>
      <c r="BBP12" s="120"/>
      <c r="BBQ12" s="120"/>
      <c r="BBR12" s="59"/>
      <c r="BBS12" s="119"/>
      <c r="BBT12" s="119"/>
      <c r="BBU12" s="119"/>
      <c r="BBV12" s="119"/>
      <c r="BBW12" s="119"/>
      <c r="BBX12" s="119"/>
      <c r="BBY12" s="119"/>
      <c r="BBZ12" s="119"/>
      <c r="BCA12" s="119"/>
      <c r="BCB12" s="119"/>
      <c r="BCC12" s="119"/>
      <c r="BCD12" s="119"/>
      <c r="BCE12" s="120"/>
      <c r="BCF12" s="120"/>
      <c r="BCG12" s="120"/>
      <c r="BCH12" s="59"/>
      <c r="BCI12" s="119"/>
      <c r="BCJ12" s="119"/>
      <c r="BCK12" s="119"/>
      <c r="BCL12" s="119"/>
      <c r="BCM12" s="119"/>
      <c r="BCN12" s="119"/>
      <c r="BCO12" s="119"/>
      <c r="BCP12" s="119"/>
      <c r="BCQ12" s="119"/>
      <c r="BCR12" s="119"/>
      <c r="BCS12" s="119"/>
      <c r="BCT12" s="119"/>
      <c r="BCU12" s="120"/>
      <c r="BCV12" s="120"/>
      <c r="BCW12" s="120"/>
      <c r="BCX12" s="59"/>
      <c r="BCY12" s="119"/>
      <c r="BCZ12" s="119"/>
      <c r="BDA12" s="119"/>
      <c r="BDB12" s="119"/>
      <c r="BDC12" s="119"/>
      <c r="BDD12" s="119"/>
      <c r="BDE12" s="119"/>
      <c r="BDF12" s="119"/>
      <c r="BDG12" s="119"/>
      <c r="BDH12" s="119"/>
      <c r="BDI12" s="119"/>
      <c r="BDJ12" s="119"/>
      <c r="BDK12" s="120"/>
      <c r="BDL12" s="120"/>
      <c r="BDM12" s="120"/>
      <c r="BDN12" s="59"/>
      <c r="BDO12" s="119"/>
      <c r="BDP12" s="119"/>
      <c r="BDQ12" s="119"/>
      <c r="BDR12" s="119"/>
      <c r="BDS12" s="119"/>
      <c r="BDT12" s="119"/>
      <c r="BDU12" s="119"/>
      <c r="BDV12" s="119"/>
      <c r="BDW12" s="119"/>
      <c r="BDX12" s="119"/>
      <c r="BDY12" s="119"/>
      <c r="BDZ12" s="119"/>
      <c r="BEA12" s="120"/>
      <c r="BEB12" s="120"/>
      <c r="BEC12" s="120"/>
      <c r="BED12" s="59"/>
      <c r="BEE12" s="119"/>
      <c r="BEF12" s="119"/>
      <c r="BEG12" s="119"/>
      <c r="BEH12" s="119"/>
      <c r="BEI12" s="119"/>
      <c r="BEJ12" s="119"/>
      <c r="BEK12" s="119"/>
      <c r="BEL12" s="119"/>
      <c r="BEM12" s="119"/>
      <c r="BEN12" s="119"/>
      <c r="BEO12" s="119"/>
      <c r="BEP12" s="119"/>
      <c r="BEQ12" s="120"/>
      <c r="BER12" s="120"/>
      <c r="BES12" s="120"/>
      <c r="BET12" s="59"/>
      <c r="BEU12" s="119"/>
      <c r="BEV12" s="119"/>
      <c r="BEW12" s="119"/>
      <c r="BEX12" s="119"/>
      <c r="BEY12" s="119"/>
      <c r="BEZ12" s="119"/>
      <c r="BFA12" s="119"/>
      <c r="BFB12" s="119"/>
      <c r="BFC12" s="119"/>
      <c r="BFD12" s="119"/>
      <c r="BFE12" s="119"/>
      <c r="BFF12" s="119"/>
      <c r="BFG12" s="120"/>
      <c r="BFH12" s="120"/>
      <c r="BFI12" s="120"/>
      <c r="BFJ12" s="59"/>
      <c r="BFK12" s="119"/>
      <c r="BFL12" s="119"/>
      <c r="BFM12" s="119"/>
      <c r="BFN12" s="119"/>
      <c r="BFO12" s="119"/>
      <c r="BFP12" s="119"/>
      <c r="BFQ12" s="119"/>
      <c r="BFR12" s="119"/>
      <c r="BFS12" s="119"/>
      <c r="BFT12" s="119"/>
      <c r="BFU12" s="119"/>
      <c r="BFV12" s="119"/>
      <c r="BFW12" s="120"/>
      <c r="BFX12" s="120"/>
      <c r="BFY12" s="120"/>
      <c r="BFZ12" s="59"/>
      <c r="BGA12" s="119"/>
      <c r="BGB12" s="119"/>
      <c r="BGC12" s="119"/>
      <c r="BGD12" s="119"/>
      <c r="BGE12" s="119"/>
      <c r="BGF12" s="119"/>
      <c r="BGG12" s="119"/>
      <c r="BGH12" s="119"/>
      <c r="BGI12" s="119"/>
      <c r="BGJ12" s="119"/>
      <c r="BGK12" s="119"/>
      <c r="BGL12" s="119"/>
      <c r="BGM12" s="120"/>
      <c r="BGN12" s="120"/>
      <c r="BGO12" s="120"/>
      <c r="BGP12" s="59"/>
      <c r="BGQ12" s="119"/>
      <c r="BGR12" s="119"/>
      <c r="BGS12" s="119"/>
      <c r="BGT12" s="119"/>
      <c r="BGU12" s="119"/>
      <c r="BGV12" s="119"/>
      <c r="BGW12" s="119"/>
      <c r="BGX12" s="119"/>
      <c r="BGY12" s="119"/>
      <c r="BGZ12" s="119"/>
      <c r="BHA12" s="119"/>
      <c r="BHB12" s="119"/>
      <c r="BHC12" s="120"/>
      <c r="BHD12" s="120"/>
      <c r="BHE12" s="120"/>
      <c r="BHF12" s="59"/>
      <c r="BHG12" s="119"/>
      <c r="BHH12" s="119"/>
      <c r="BHI12" s="119"/>
      <c r="BHJ12" s="119"/>
      <c r="BHK12" s="119"/>
      <c r="BHL12" s="119"/>
      <c r="BHM12" s="119"/>
      <c r="BHN12" s="119"/>
      <c r="BHO12" s="119"/>
      <c r="BHP12" s="119"/>
      <c r="BHQ12" s="119"/>
      <c r="BHR12" s="119"/>
      <c r="BHS12" s="120"/>
      <c r="BHT12" s="120"/>
      <c r="BHU12" s="120"/>
      <c r="BHV12" s="59"/>
      <c r="BHW12" s="119"/>
      <c r="BHX12" s="119"/>
      <c r="BHY12" s="119"/>
      <c r="BHZ12" s="119"/>
      <c r="BIA12" s="119"/>
      <c r="BIB12" s="119"/>
      <c r="BIC12" s="119"/>
      <c r="BID12" s="119"/>
      <c r="BIE12" s="119"/>
      <c r="BIF12" s="119"/>
      <c r="BIG12" s="119"/>
      <c r="BIH12" s="119"/>
      <c r="BII12" s="120"/>
      <c r="BIJ12" s="120"/>
      <c r="BIK12" s="120"/>
      <c r="BIL12" s="59"/>
      <c r="BIM12" s="119"/>
      <c r="BIN12" s="119"/>
      <c r="BIO12" s="119"/>
      <c r="BIP12" s="119"/>
      <c r="BIQ12" s="119"/>
      <c r="BIR12" s="119"/>
      <c r="BIS12" s="119"/>
      <c r="BIT12" s="119"/>
      <c r="BIU12" s="119"/>
      <c r="BIV12" s="119"/>
      <c r="BIW12" s="119"/>
      <c r="BIX12" s="119"/>
      <c r="BIY12" s="120"/>
      <c r="BIZ12" s="120"/>
      <c r="BJA12" s="120"/>
      <c r="BJB12" s="59"/>
      <c r="BJC12" s="119"/>
      <c r="BJD12" s="119"/>
      <c r="BJE12" s="119"/>
      <c r="BJF12" s="119"/>
      <c r="BJG12" s="119"/>
      <c r="BJH12" s="119"/>
      <c r="BJI12" s="119"/>
      <c r="BJJ12" s="119"/>
      <c r="BJK12" s="119"/>
      <c r="BJL12" s="119"/>
      <c r="BJM12" s="119"/>
      <c r="BJN12" s="119"/>
      <c r="BJO12" s="120"/>
      <c r="BJP12" s="120"/>
      <c r="BJQ12" s="120"/>
      <c r="BJR12" s="59"/>
      <c r="BJS12" s="119"/>
      <c r="BJT12" s="119"/>
      <c r="BJU12" s="119"/>
      <c r="BJV12" s="119"/>
      <c r="BJW12" s="119"/>
      <c r="BJX12" s="119"/>
      <c r="BJY12" s="119"/>
      <c r="BJZ12" s="119"/>
      <c r="BKA12" s="119"/>
      <c r="BKB12" s="119"/>
      <c r="BKC12" s="119"/>
      <c r="BKD12" s="119"/>
      <c r="BKE12" s="120"/>
      <c r="BKF12" s="120"/>
      <c r="BKG12" s="120"/>
      <c r="BKH12" s="59"/>
      <c r="BKI12" s="119"/>
      <c r="BKJ12" s="119"/>
      <c r="BKK12" s="119"/>
      <c r="BKL12" s="119"/>
      <c r="BKM12" s="119"/>
      <c r="BKN12" s="119"/>
      <c r="BKO12" s="119"/>
      <c r="BKP12" s="119"/>
      <c r="BKQ12" s="119"/>
      <c r="BKR12" s="119"/>
      <c r="BKS12" s="119"/>
      <c r="BKT12" s="119"/>
      <c r="BKU12" s="120"/>
      <c r="BKV12" s="120"/>
      <c r="BKW12" s="120"/>
      <c r="BKX12" s="59"/>
      <c r="BKY12" s="119"/>
      <c r="BKZ12" s="119"/>
      <c r="BLA12" s="119"/>
      <c r="BLB12" s="119"/>
      <c r="BLC12" s="119"/>
      <c r="BLD12" s="119"/>
      <c r="BLE12" s="119"/>
      <c r="BLF12" s="119"/>
      <c r="BLG12" s="119"/>
      <c r="BLH12" s="119"/>
      <c r="BLI12" s="119"/>
      <c r="BLJ12" s="119"/>
      <c r="BLK12" s="120"/>
      <c r="BLL12" s="120"/>
      <c r="BLM12" s="120"/>
      <c r="BLN12" s="59"/>
      <c r="BLO12" s="119"/>
      <c r="BLP12" s="119"/>
      <c r="BLQ12" s="119"/>
      <c r="BLR12" s="119"/>
      <c r="BLS12" s="119"/>
      <c r="BLT12" s="119"/>
      <c r="BLU12" s="119"/>
      <c r="BLV12" s="119"/>
      <c r="BLW12" s="119"/>
      <c r="BLX12" s="119"/>
      <c r="BLY12" s="119"/>
      <c r="BLZ12" s="119"/>
      <c r="BMA12" s="120"/>
      <c r="BMB12" s="120"/>
      <c r="BMC12" s="120"/>
      <c r="BMD12" s="59"/>
      <c r="BME12" s="119"/>
      <c r="BMF12" s="119"/>
      <c r="BMG12" s="119"/>
      <c r="BMH12" s="119"/>
      <c r="BMI12" s="119"/>
      <c r="BMJ12" s="119"/>
      <c r="BMK12" s="119"/>
      <c r="BML12" s="119"/>
      <c r="BMM12" s="119"/>
      <c r="BMN12" s="119"/>
      <c r="BMO12" s="119"/>
      <c r="BMP12" s="119"/>
      <c r="BMQ12" s="120"/>
      <c r="BMR12" s="120"/>
      <c r="BMS12" s="120"/>
      <c r="BMT12" s="59"/>
      <c r="BMU12" s="119"/>
      <c r="BMV12" s="119"/>
      <c r="BMW12" s="119"/>
      <c r="BMX12" s="119"/>
      <c r="BMY12" s="119"/>
      <c r="BMZ12" s="119"/>
      <c r="BNA12" s="119"/>
      <c r="BNB12" s="119"/>
      <c r="BNC12" s="119"/>
      <c r="BND12" s="119"/>
      <c r="BNE12" s="119"/>
      <c r="BNF12" s="119"/>
      <c r="BNG12" s="120"/>
      <c r="BNH12" s="120"/>
      <c r="BNI12" s="120"/>
      <c r="BNJ12" s="59"/>
      <c r="BNK12" s="119"/>
      <c r="BNL12" s="119"/>
      <c r="BNM12" s="119"/>
      <c r="BNN12" s="119"/>
      <c r="BNO12" s="119"/>
      <c r="BNP12" s="119"/>
      <c r="BNQ12" s="119"/>
      <c r="BNR12" s="119"/>
      <c r="BNS12" s="119"/>
      <c r="BNT12" s="119"/>
      <c r="BNU12" s="119"/>
      <c r="BNV12" s="119"/>
      <c r="BNW12" s="120"/>
      <c r="BNX12" s="120"/>
      <c r="BNY12" s="120"/>
      <c r="BNZ12" s="59"/>
      <c r="BOA12" s="119"/>
      <c r="BOB12" s="119"/>
      <c r="BOC12" s="119"/>
      <c r="BOD12" s="119"/>
      <c r="BOE12" s="119"/>
      <c r="BOF12" s="119"/>
      <c r="BOG12" s="119"/>
      <c r="BOH12" s="119"/>
      <c r="BOI12" s="119"/>
      <c r="BOJ12" s="119"/>
      <c r="BOK12" s="119"/>
      <c r="BOL12" s="119"/>
      <c r="BOM12" s="120"/>
      <c r="BON12" s="120"/>
      <c r="BOO12" s="120"/>
      <c r="BOP12" s="59"/>
      <c r="BOQ12" s="119"/>
      <c r="BOR12" s="119"/>
      <c r="BOS12" s="119"/>
      <c r="BOT12" s="119"/>
      <c r="BOU12" s="119"/>
      <c r="BOV12" s="119"/>
      <c r="BOW12" s="119"/>
      <c r="BOX12" s="119"/>
      <c r="BOY12" s="119"/>
      <c r="BOZ12" s="119"/>
      <c r="BPA12" s="119"/>
      <c r="BPB12" s="119"/>
      <c r="BPC12" s="120"/>
      <c r="BPD12" s="120"/>
      <c r="BPE12" s="120"/>
      <c r="BPF12" s="59"/>
      <c r="BPG12" s="119"/>
      <c r="BPH12" s="119"/>
      <c r="BPI12" s="119"/>
      <c r="BPJ12" s="119"/>
      <c r="BPK12" s="119"/>
      <c r="BPL12" s="119"/>
      <c r="BPM12" s="119"/>
      <c r="BPN12" s="119"/>
      <c r="BPO12" s="119"/>
      <c r="BPP12" s="119"/>
      <c r="BPQ12" s="119"/>
      <c r="BPR12" s="119"/>
      <c r="BPS12" s="120"/>
      <c r="BPT12" s="120"/>
      <c r="BPU12" s="120"/>
      <c r="BPV12" s="59"/>
      <c r="BPW12" s="119"/>
      <c r="BPX12" s="119"/>
      <c r="BPY12" s="119"/>
      <c r="BPZ12" s="119"/>
      <c r="BQA12" s="119"/>
      <c r="BQB12" s="119"/>
      <c r="BQC12" s="119"/>
      <c r="BQD12" s="119"/>
      <c r="BQE12" s="119"/>
      <c r="BQF12" s="119"/>
      <c r="BQG12" s="119"/>
      <c r="BQH12" s="119"/>
      <c r="BQI12" s="120"/>
      <c r="BQJ12" s="120"/>
      <c r="BQK12" s="120"/>
      <c r="BQL12" s="59"/>
      <c r="BQM12" s="119"/>
      <c r="BQN12" s="119"/>
      <c r="BQO12" s="119"/>
      <c r="BQP12" s="119"/>
      <c r="BQQ12" s="119"/>
      <c r="BQR12" s="119"/>
      <c r="BQS12" s="119"/>
      <c r="BQT12" s="119"/>
      <c r="BQU12" s="119"/>
      <c r="BQV12" s="119"/>
      <c r="BQW12" s="119"/>
      <c r="BQX12" s="119"/>
      <c r="BQY12" s="120"/>
      <c r="BQZ12" s="120"/>
      <c r="BRA12" s="120"/>
      <c r="BRB12" s="59"/>
      <c r="BRC12" s="119"/>
      <c r="BRD12" s="119"/>
      <c r="BRE12" s="119"/>
      <c r="BRF12" s="119"/>
      <c r="BRG12" s="119"/>
      <c r="BRH12" s="119"/>
      <c r="BRI12" s="119"/>
      <c r="BRJ12" s="119"/>
      <c r="BRK12" s="119"/>
      <c r="BRL12" s="119"/>
      <c r="BRM12" s="119"/>
      <c r="BRN12" s="119"/>
      <c r="BRO12" s="120"/>
      <c r="BRP12" s="120"/>
      <c r="BRQ12" s="120"/>
      <c r="BRR12" s="59"/>
      <c r="BRS12" s="119"/>
      <c r="BRT12" s="119"/>
      <c r="BRU12" s="119"/>
      <c r="BRV12" s="119"/>
      <c r="BRW12" s="119"/>
      <c r="BRX12" s="119"/>
      <c r="BRY12" s="119"/>
      <c r="BRZ12" s="119"/>
      <c r="BSA12" s="119"/>
      <c r="BSB12" s="119"/>
      <c r="BSC12" s="119"/>
      <c r="BSD12" s="119"/>
      <c r="BSE12" s="120"/>
      <c r="BSF12" s="120"/>
      <c r="BSG12" s="120"/>
      <c r="BSH12" s="59"/>
      <c r="BSI12" s="119"/>
      <c r="BSJ12" s="119"/>
      <c r="BSK12" s="119"/>
      <c r="BSL12" s="119"/>
      <c r="BSM12" s="119"/>
      <c r="BSN12" s="119"/>
      <c r="BSO12" s="119"/>
      <c r="BSP12" s="119"/>
      <c r="BSQ12" s="119"/>
      <c r="BSR12" s="119"/>
      <c r="BSS12" s="119"/>
      <c r="BST12" s="119"/>
      <c r="BSU12" s="120"/>
      <c r="BSV12" s="120"/>
      <c r="BSW12" s="120"/>
      <c r="BSX12" s="59"/>
      <c r="BSY12" s="119"/>
      <c r="BSZ12" s="119"/>
      <c r="BTA12" s="119"/>
      <c r="BTB12" s="119"/>
      <c r="BTC12" s="119"/>
      <c r="BTD12" s="119"/>
      <c r="BTE12" s="119"/>
      <c r="BTF12" s="119"/>
      <c r="BTG12" s="119"/>
      <c r="BTH12" s="119"/>
      <c r="BTI12" s="119"/>
      <c r="BTJ12" s="119"/>
      <c r="BTK12" s="120"/>
      <c r="BTL12" s="120"/>
      <c r="BTM12" s="120"/>
      <c r="BTN12" s="59"/>
      <c r="BTO12" s="119"/>
      <c r="BTP12" s="119"/>
      <c r="BTQ12" s="119"/>
      <c r="BTR12" s="119"/>
      <c r="BTS12" s="119"/>
      <c r="BTT12" s="119"/>
      <c r="BTU12" s="119"/>
      <c r="BTV12" s="119"/>
      <c r="BTW12" s="119"/>
      <c r="BTX12" s="119"/>
      <c r="BTY12" s="119"/>
      <c r="BTZ12" s="119"/>
      <c r="BUA12" s="120"/>
      <c r="BUB12" s="120"/>
      <c r="BUC12" s="120"/>
      <c r="BUD12" s="59"/>
      <c r="BUE12" s="119"/>
      <c r="BUF12" s="119"/>
      <c r="BUG12" s="119"/>
      <c r="BUH12" s="119"/>
      <c r="BUI12" s="119"/>
      <c r="BUJ12" s="119"/>
      <c r="BUK12" s="119"/>
      <c r="BUL12" s="119"/>
      <c r="BUM12" s="119"/>
      <c r="BUN12" s="119"/>
      <c r="BUO12" s="119"/>
      <c r="BUP12" s="119"/>
      <c r="BUQ12" s="120"/>
      <c r="BUR12" s="120"/>
      <c r="BUS12" s="120"/>
      <c r="BUT12" s="59"/>
      <c r="BUU12" s="119"/>
      <c r="BUV12" s="119"/>
      <c r="BUW12" s="119"/>
      <c r="BUX12" s="119"/>
      <c r="BUY12" s="119"/>
      <c r="BUZ12" s="119"/>
      <c r="BVA12" s="119"/>
      <c r="BVB12" s="119"/>
      <c r="BVC12" s="119"/>
      <c r="BVD12" s="119"/>
      <c r="BVE12" s="119"/>
      <c r="BVF12" s="119"/>
      <c r="BVG12" s="120"/>
      <c r="BVH12" s="120"/>
      <c r="BVI12" s="120"/>
      <c r="BVJ12" s="59"/>
      <c r="BVK12" s="119"/>
      <c r="BVL12" s="119"/>
      <c r="BVM12" s="119"/>
      <c r="BVN12" s="119"/>
      <c r="BVO12" s="119"/>
      <c r="BVP12" s="119"/>
      <c r="BVQ12" s="119"/>
      <c r="BVR12" s="119"/>
      <c r="BVS12" s="119"/>
      <c r="BVT12" s="119"/>
      <c r="BVU12" s="119"/>
      <c r="BVV12" s="119"/>
      <c r="BVW12" s="120"/>
      <c r="BVX12" s="120"/>
      <c r="BVY12" s="120"/>
      <c r="BVZ12" s="59"/>
      <c r="BWA12" s="119"/>
      <c r="BWB12" s="119"/>
      <c r="BWC12" s="119"/>
      <c r="BWD12" s="119"/>
      <c r="BWE12" s="119"/>
      <c r="BWF12" s="119"/>
      <c r="BWG12" s="119"/>
      <c r="BWH12" s="119"/>
      <c r="BWI12" s="119"/>
      <c r="BWJ12" s="119"/>
      <c r="BWK12" s="119"/>
      <c r="BWL12" s="119"/>
      <c r="BWM12" s="120"/>
      <c r="BWN12" s="120"/>
      <c r="BWO12" s="120"/>
      <c r="BWP12" s="59"/>
      <c r="BWQ12" s="119"/>
      <c r="BWR12" s="119"/>
      <c r="BWS12" s="119"/>
      <c r="BWT12" s="119"/>
      <c r="BWU12" s="119"/>
      <c r="BWV12" s="119"/>
      <c r="BWW12" s="119"/>
      <c r="BWX12" s="119"/>
      <c r="BWY12" s="119"/>
      <c r="BWZ12" s="119"/>
      <c r="BXA12" s="119"/>
      <c r="BXB12" s="119"/>
      <c r="BXC12" s="120"/>
      <c r="BXD12" s="120"/>
      <c r="BXE12" s="120"/>
      <c r="BXF12" s="59"/>
      <c r="BXG12" s="119"/>
      <c r="BXH12" s="119"/>
      <c r="BXI12" s="119"/>
      <c r="BXJ12" s="119"/>
      <c r="BXK12" s="119"/>
      <c r="BXL12" s="119"/>
      <c r="BXM12" s="119"/>
      <c r="BXN12" s="119"/>
      <c r="BXO12" s="119"/>
      <c r="BXP12" s="119"/>
      <c r="BXQ12" s="119"/>
      <c r="BXR12" s="119"/>
      <c r="BXS12" s="120"/>
      <c r="BXT12" s="120"/>
      <c r="BXU12" s="120"/>
      <c r="BXV12" s="59"/>
      <c r="BXW12" s="119"/>
      <c r="BXX12" s="119"/>
      <c r="BXY12" s="119"/>
      <c r="BXZ12" s="119"/>
      <c r="BYA12" s="119"/>
      <c r="BYB12" s="119"/>
      <c r="BYC12" s="119"/>
      <c r="BYD12" s="119"/>
      <c r="BYE12" s="119"/>
      <c r="BYF12" s="119"/>
      <c r="BYG12" s="119"/>
      <c r="BYH12" s="119"/>
      <c r="BYI12" s="120"/>
      <c r="BYJ12" s="120"/>
      <c r="BYK12" s="120"/>
      <c r="BYL12" s="59"/>
      <c r="BYM12" s="119"/>
      <c r="BYN12" s="119"/>
      <c r="BYO12" s="119"/>
      <c r="BYP12" s="119"/>
      <c r="BYQ12" s="119"/>
      <c r="BYR12" s="119"/>
      <c r="BYS12" s="119"/>
      <c r="BYT12" s="119"/>
      <c r="BYU12" s="119"/>
      <c r="BYV12" s="119"/>
      <c r="BYW12" s="119"/>
      <c r="BYX12" s="119"/>
      <c r="BYY12" s="120"/>
      <c r="BYZ12" s="120"/>
      <c r="BZA12" s="120"/>
      <c r="BZB12" s="59"/>
      <c r="BZC12" s="119"/>
      <c r="BZD12" s="119"/>
      <c r="BZE12" s="119"/>
      <c r="BZF12" s="119"/>
      <c r="BZG12" s="119"/>
      <c r="BZH12" s="119"/>
      <c r="BZI12" s="119"/>
      <c r="BZJ12" s="119"/>
      <c r="BZK12" s="119"/>
      <c r="BZL12" s="119"/>
      <c r="BZM12" s="119"/>
      <c r="BZN12" s="119"/>
      <c r="BZO12" s="120"/>
      <c r="BZP12" s="120"/>
      <c r="BZQ12" s="120"/>
      <c r="BZR12" s="59"/>
      <c r="BZS12" s="119"/>
      <c r="BZT12" s="119"/>
      <c r="BZU12" s="119"/>
      <c r="BZV12" s="119"/>
      <c r="BZW12" s="119"/>
      <c r="BZX12" s="119"/>
      <c r="BZY12" s="119"/>
      <c r="BZZ12" s="119"/>
      <c r="CAA12" s="119"/>
      <c r="CAB12" s="119"/>
      <c r="CAC12" s="119"/>
      <c r="CAD12" s="119"/>
      <c r="CAE12" s="120"/>
      <c r="CAF12" s="120"/>
      <c r="CAG12" s="120"/>
      <c r="CAH12" s="59"/>
      <c r="CAI12" s="119"/>
      <c r="CAJ12" s="119"/>
      <c r="CAK12" s="119"/>
      <c r="CAL12" s="119"/>
      <c r="CAM12" s="119"/>
      <c r="CAN12" s="119"/>
      <c r="CAO12" s="119"/>
      <c r="CAP12" s="119"/>
      <c r="CAQ12" s="119"/>
      <c r="CAR12" s="119"/>
      <c r="CAS12" s="119"/>
      <c r="CAT12" s="119"/>
      <c r="CAU12" s="120"/>
      <c r="CAV12" s="120"/>
      <c r="CAW12" s="120"/>
      <c r="CAX12" s="59"/>
      <c r="CAY12" s="119"/>
      <c r="CAZ12" s="119"/>
      <c r="CBA12" s="119"/>
      <c r="CBB12" s="119"/>
      <c r="CBC12" s="119"/>
      <c r="CBD12" s="119"/>
      <c r="CBE12" s="119"/>
      <c r="CBF12" s="119"/>
      <c r="CBG12" s="119"/>
      <c r="CBH12" s="119"/>
      <c r="CBI12" s="119"/>
      <c r="CBJ12" s="119"/>
      <c r="CBK12" s="120"/>
      <c r="CBL12" s="120"/>
      <c r="CBM12" s="120"/>
      <c r="CBN12" s="59"/>
      <c r="CBO12" s="119"/>
      <c r="CBP12" s="119"/>
      <c r="CBQ12" s="119"/>
      <c r="CBR12" s="119"/>
      <c r="CBS12" s="119"/>
      <c r="CBT12" s="119"/>
      <c r="CBU12" s="119"/>
      <c r="CBV12" s="119"/>
      <c r="CBW12" s="119"/>
      <c r="CBX12" s="119"/>
      <c r="CBY12" s="119"/>
      <c r="CBZ12" s="119"/>
      <c r="CCA12" s="120"/>
      <c r="CCB12" s="120"/>
      <c r="CCC12" s="120"/>
      <c r="CCD12" s="59"/>
      <c r="CCE12" s="119"/>
      <c r="CCF12" s="119"/>
      <c r="CCG12" s="119"/>
      <c r="CCH12" s="119"/>
      <c r="CCI12" s="119"/>
      <c r="CCJ12" s="119"/>
      <c r="CCK12" s="119"/>
      <c r="CCL12" s="119"/>
      <c r="CCM12" s="119"/>
      <c r="CCN12" s="119"/>
      <c r="CCO12" s="119"/>
      <c r="CCP12" s="119"/>
      <c r="CCQ12" s="120"/>
      <c r="CCR12" s="120"/>
      <c r="CCS12" s="120"/>
      <c r="CCT12" s="59"/>
      <c r="CCU12" s="119"/>
      <c r="CCV12" s="119"/>
      <c r="CCW12" s="119"/>
      <c r="CCX12" s="119"/>
      <c r="CCY12" s="119"/>
      <c r="CCZ12" s="119"/>
      <c r="CDA12" s="119"/>
      <c r="CDB12" s="119"/>
      <c r="CDC12" s="119"/>
      <c r="CDD12" s="119"/>
      <c r="CDE12" s="119"/>
      <c r="CDF12" s="119"/>
      <c r="CDG12" s="120"/>
      <c r="CDH12" s="120"/>
      <c r="CDI12" s="120"/>
      <c r="CDJ12" s="59"/>
      <c r="CDK12" s="119"/>
      <c r="CDL12" s="119"/>
      <c r="CDM12" s="119"/>
      <c r="CDN12" s="119"/>
      <c r="CDO12" s="119"/>
      <c r="CDP12" s="119"/>
      <c r="CDQ12" s="119"/>
      <c r="CDR12" s="119"/>
      <c r="CDS12" s="119"/>
      <c r="CDT12" s="119"/>
      <c r="CDU12" s="119"/>
      <c r="CDV12" s="119"/>
      <c r="CDW12" s="120"/>
      <c r="CDX12" s="120"/>
      <c r="CDY12" s="120"/>
      <c r="CDZ12" s="59"/>
      <c r="CEA12" s="119"/>
      <c r="CEB12" s="119"/>
      <c r="CEC12" s="119"/>
      <c r="CED12" s="119"/>
      <c r="CEE12" s="119"/>
      <c r="CEF12" s="119"/>
      <c r="CEG12" s="119"/>
      <c r="CEH12" s="119"/>
      <c r="CEI12" s="119"/>
      <c r="CEJ12" s="119"/>
      <c r="CEK12" s="119"/>
      <c r="CEL12" s="119"/>
      <c r="CEM12" s="120"/>
      <c r="CEN12" s="120"/>
      <c r="CEO12" s="120"/>
      <c r="CEP12" s="59"/>
      <c r="CEQ12" s="119"/>
      <c r="CER12" s="119"/>
      <c r="CES12" s="119"/>
      <c r="CET12" s="119"/>
      <c r="CEU12" s="119"/>
      <c r="CEV12" s="119"/>
      <c r="CEW12" s="119"/>
      <c r="CEX12" s="119"/>
      <c r="CEY12" s="119"/>
      <c r="CEZ12" s="119"/>
      <c r="CFA12" s="119"/>
      <c r="CFB12" s="119"/>
      <c r="CFC12" s="120"/>
      <c r="CFD12" s="120"/>
      <c r="CFE12" s="120"/>
      <c r="CFF12" s="59"/>
      <c r="CFG12" s="119"/>
      <c r="CFH12" s="119"/>
      <c r="CFI12" s="119"/>
      <c r="CFJ12" s="119"/>
      <c r="CFK12" s="119"/>
      <c r="CFL12" s="119"/>
      <c r="CFM12" s="119"/>
      <c r="CFN12" s="119"/>
      <c r="CFO12" s="119"/>
      <c r="CFP12" s="119"/>
      <c r="CFQ12" s="119"/>
      <c r="CFR12" s="119"/>
      <c r="CFS12" s="120"/>
      <c r="CFT12" s="120"/>
      <c r="CFU12" s="120"/>
      <c r="CFV12" s="59"/>
      <c r="CFW12" s="119"/>
      <c r="CFX12" s="119"/>
      <c r="CFY12" s="119"/>
      <c r="CFZ12" s="119"/>
      <c r="CGA12" s="119"/>
      <c r="CGB12" s="119"/>
      <c r="CGC12" s="119"/>
      <c r="CGD12" s="119"/>
      <c r="CGE12" s="119"/>
      <c r="CGF12" s="119"/>
      <c r="CGG12" s="119"/>
      <c r="CGH12" s="119"/>
      <c r="CGI12" s="120"/>
      <c r="CGJ12" s="120"/>
      <c r="CGK12" s="120"/>
      <c r="CGL12" s="59"/>
      <c r="CGM12" s="119"/>
      <c r="CGN12" s="119"/>
      <c r="CGO12" s="119"/>
      <c r="CGP12" s="119"/>
      <c r="CGQ12" s="119"/>
      <c r="CGR12" s="119"/>
      <c r="CGS12" s="119"/>
      <c r="CGT12" s="119"/>
      <c r="CGU12" s="119"/>
      <c r="CGV12" s="119"/>
      <c r="CGW12" s="119"/>
      <c r="CGX12" s="119"/>
      <c r="CGY12" s="120"/>
      <c r="CGZ12" s="120"/>
      <c r="CHA12" s="120"/>
      <c r="CHB12" s="59"/>
      <c r="CHC12" s="119"/>
      <c r="CHD12" s="119"/>
      <c r="CHE12" s="119"/>
      <c r="CHF12" s="119"/>
      <c r="CHG12" s="119"/>
      <c r="CHH12" s="119"/>
      <c r="CHI12" s="119"/>
      <c r="CHJ12" s="119"/>
      <c r="CHK12" s="119"/>
      <c r="CHL12" s="119"/>
      <c r="CHM12" s="119"/>
      <c r="CHN12" s="119"/>
      <c r="CHO12" s="120"/>
      <c r="CHP12" s="120"/>
      <c r="CHQ12" s="120"/>
      <c r="CHR12" s="59"/>
      <c r="CHS12" s="119"/>
      <c r="CHT12" s="119"/>
      <c r="CHU12" s="119"/>
      <c r="CHV12" s="119"/>
      <c r="CHW12" s="119"/>
      <c r="CHX12" s="119"/>
      <c r="CHY12" s="119"/>
      <c r="CHZ12" s="119"/>
      <c r="CIA12" s="119"/>
      <c r="CIB12" s="119"/>
      <c r="CIC12" s="119"/>
      <c r="CID12" s="119"/>
      <c r="CIE12" s="120"/>
      <c r="CIF12" s="120"/>
      <c r="CIG12" s="120"/>
      <c r="CIH12" s="59"/>
      <c r="CII12" s="119"/>
      <c r="CIJ12" s="119"/>
      <c r="CIK12" s="119"/>
      <c r="CIL12" s="119"/>
      <c r="CIM12" s="119"/>
      <c r="CIN12" s="119"/>
      <c r="CIO12" s="119"/>
      <c r="CIP12" s="119"/>
      <c r="CIQ12" s="119"/>
      <c r="CIR12" s="119"/>
      <c r="CIS12" s="119"/>
      <c r="CIT12" s="119"/>
      <c r="CIU12" s="120"/>
      <c r="CIV12" s="120"/>
      <c r="CIW12" s="120"/>
      <c r="CIX12" s="59"/>
      <c r="CIY12" s="119"/>
      <c r="CIZ12" s="119"/>
      <c r="CJA12" s="119"/>
      <c r="CJB12" s="119"/>
      <c r="CJC12" s="119"/>
      <c r="CJD12" s="119"/>
      <c r="CJE12" s="119"/>
      <c r="CJF12" s="119"/>
      <c r="CJG12" s="119"/>
      <c r="CJH12" s="119"/>
      <c r="CJI12" s="119"/>
      <c r="CJJ12" s="119"/>
      <c r="CJK12" s="120"/>
      <c r="CJL12" s="120"/>
      <c r="CJM12" s="120"/>
      <c r="CJN12" s="59"/>
      <c r="CJO12" s="119"/>
      <c r="CJP12" s="119"/>
      <c r="CJQ12" s="119"/>
      <c r="CJR12" s="119"/>
      <c r="CJS12" s="119"/>
      <c r="CJT12" s="119"/>
      <c r="CJU12" s="119"/>
      <c r="CJV12" s="119"/>
      <c r="CJW12" s="119"/>
      <c r="CJX12" s="119"/>
      <c r="CJY12" s="119"/>
      <c r="CJZ12" s="119"/>
      <c r="CKA12" s="120"/>
      <c r="CKB12" s="120"/>
      <c r="CKC12" s="120"/>
      <c r="CKD12" s="59"/>
      <c r="CKE12" s="119"/>
      <c r="CKF12" s="119"/>
      <c r="CKG12" s="119"/>
      <c r="CKH12" s="119"/>
      <c r="CKI12" s="119"/>
      <c r="CKJ12" s="119"/>
      <c r="CKK12" s="119"/>
      <c r="CKL12" s="119"/>
      <c r="CKM12" s="119"/>
      <c r="CKN12" s="119"/>
      <c r="CKO12" s="119"/>
      <c r="CKP12" s="119"/>
      <c r="CKQ12" s="120"/>
      <c r="CKR12" s="120"/>
      <c r="CKS12" s="120"/>
      <c r="CKT12" s="59"/>
      <c r="CKU12" s="119"/>
      <c r="CKV12" s="119"/>
      <c r="CKW12" s="119"/>
      <c r="CKX12" s="119"/>
      <c r="CKY12" s="119"/>
      <c r="CKZ12" s="119"/>
      <c r="CLA12" s="119"/>
      <c r="CLB12" s="119"/>
      <c r="CLC12" s="119"/>
      <c r="CLD12" s="119"/>
      <c r="CLE12" s="119"/>
      <c r="CLF12" s="119"/>
      <c r="CLG12" s="120"/>
      <c r="CLH12" s="120"/>
      <c r="CLI12" s="120"/>
      <c r="CLJ12" s="59"/>
      <c r="CLK12" s="119"/>
      <c r="CLL12" s="119"/>
      <c r="CLM12" s="119"/>
      <c r="CLN12" s="119"/>
      <c r="CLO12" s="119"/>
      <c r="CLP12" s="119"/>
      <c r="CLQ12" s="119"/>
      <c r="CLR12" s="119"/>
      <c r="CLS12" s="119"/>
      <c r="CLT12" s="119"/>
      <c r="CLU12" s="119"/>
      <c r="CLV12" s="119"/>
      <c r="CLW12" s="120"/>
      <c r="CLX12" s="120"/>
      <c r="CLY12" s="120"/>
      <c r="CLZ12" s="59"/>
      <c r="CMA12" s="119"/>
      <c r="CMB12" s="119"/>
      <c r="CMC12" s="119"/>
      <c r="CMD12" s="119"/>
      <c r="CME12" s="119"/>
      <c r="CMF12" s="119"/>
      <c r="CMG12" s="119"/>
      <c r="CMH12" s="119"/>
      <c r="CMI12" s="119"/>
      <c r="CMJ12" s="119"/>
      <c r="CMK12" s="119"/>
      <c r="CML12" s="119"/>
      <c r="CMM12" s="120"/>
      <c r="CMN12" s="120"/>
      <c r="CMO12" s="120"/>
      <c r="CMP12" s="59"/>
      <c r="CMQ12" s="119"/>
      <c r="CMR12" s="119"/>
      <c r="CMS12" s="119"/>
      <c r="CMT12" s="119"/>
      <c r="CMU12" s="119"/>
      <c r="CMV12" s="119"/>
      <c r="CMW12" s="119"/>
      <c r="CMX12" s="119"/>
      <c r="CMY12" s="119"/>
      <c r="CMZ12" s="119"/>
      <c r="CNA12" s="119"/>
      <c r="CNB12" s="119"/>
      <c r="CNC12" s="120"/>
      <c r="CND12" s="120"/>
      <c r="CNE12" s="120"/>
      <c r="CNF12" s="59"/>
      <c r="CNG12" s="119"/>
      <c r="CNH12" s="119"/>
      <c r="CNI12" s="119"/>
      <c r="CNJ12" s="119"/>
      <c r="CNK12" s="119"/>
      <c r="CNL12" s="119"/>
      <c r="CNM12" s="119"/>
      <c r="CNN12" s="119"/>
      <c r="CNO12" s="119"/>
      <c r="CNP12" s="119"/>
      <c r="CNQ12" s="119"/>
      <c r="CNR12" s="119"/>
      <c r="CNS12" s="120"/>
      <c r="CNT12" s="120"/>
      <c r="CNU12" s="120"/>
      <c r="CNV12" s="59"/>
      <c r="CNW12" s="119"/>
      <c r="CNX12" s="119"/>
      <c r="CNY12" s="119"/>
      <c r="CNZ12" s="119"/>
      <c r="COA12" s="119"/>
      <c r="COB12" s="119"/>
      <c r="COC12" s="119"/>
      <c r="COD12" s="119"/>
      <c r="COE12" s="119"/>
      <c r="COF12" s="119"/>
      <c r="COG12" s="119"/>
      <c r="COH12" s="119"/>
      <c r="COI12" s="120"/>
      <c r="COJ12" s="120"/>
      <c r="COK12" s="120"/>
      <c r="COL12" s="59"/>
      <c r="COM12" s="119"/>
      <c r="CON12" s="119"/>
      <c r="COO12" s="119"/>
      <c r="COP12" s="119"/>
      <c r="COQ12" s="119"/>
      <c r="COR12" s="119"/>
      <c r="COS12" s="119"/>
      <c r="COT12" s="119"/>
      <c r="COU12" s="119"/>
      <c r="COV12" s="119"/>
      <c r="COW12" s="119"/>
      <c r="COX12" s="119"/>
      <c r="COY12" s="120"/>
      <c r="COZ12" s="120"/>
      <c r="CPA12" s="120"/>
      <c r="CPB12" s="59"/>
      <c r="CPC12" s="119"/>
      <c r="CPD12" s="119"/>
      <c r="CPE12" s="119"/>
      <c r="CPF12" s="119"/>
      <c r="CPG12" s="119"/>
      <c r="CPH12" s="119"/>
      <c r="CPI12" s="119"/>
      <c r="CPJ12" s="119"/>
      <c r="CPK12" s="119"/>
      <c r="CPL12" s="119"/>
      <c r="CPM12" s="119"/>
      <c r="CPN12" s="119"/>
      <c r="CPO12" s="120"/>
      <c r="CPP12" s="120"/>
      <c r="CPQ12" s="120"/>
      <c r="CPR12" s="59"/>
      <c r="CPS12" s="119"/>
      <c r="CPT12" s="119"/>
      <c r="CPU12" s="119"/>
      <c r="CPV12" s="119"/>
      <c r="CPW12" s="119"/>
      <c r="CPX12" s="119"/>
      <c r="CPY12" s="119"/>
      <c r="CPZ12" s="119"/>
      <c r="CQA12" s="119"/>
      <c r="CQB12" s="119"/>
      <c r="CQC12" s="119"/>
      <c r="CQD12" s="119"/>
      <c r="CQE12" s="120"/>
      <c r="CQF12" s="120"/>
      <c r="CQG12" s="120"/>
      <c r="CQH12" s="59"/>
      <c r="CQI12" s="119"/>
      <c r="CQJ12" s="119"/>
      <c r="CQK12" s="119"/>
      <c r="CQL12" s="119"/>
      <c r="CQM12" s="119"/>
      <c r="CQN12" s="119"/>
      <c r="CQO12" s="119"/>
      <c r="CQP12" s="119"/>
      <c r="CQQ12" s="119"/>
      <c r="CQR12" s="119"/>
      <c r="CQS12" s="119"/>
      <c r="CQT12" s="119"/>
      <c r="CQU12" s="120"/>
      <c r="CQV12" s="120"/>
      <c r="CQW12" s="120"/>
      <c r="CQX12" s="59"/>
      <c r="CQY12" s="119"/>
      <c r="CQZ12" s="119"/>
      <c r="CRA12" s="119"/>
      <c r="CRB12" s="119"/>
      <c r="CRC12" s="119"/>
      <c r="CRD12" s="119"/>
      <c r="CRE12" s="119"/>
      <c r="CRF12" s="119"/>
      <c r="CRG12" s="119"/>
      <c r="CRH12" s="119"/>
      <c r="CRI12" s="119"/>
      <c r="CRJ12" s="119"/>
      <c r="CRK12" s="120"/>
      <c r="CRL12" s="120"/>
      <c r="CRM12" s="120"/>
      <c r="CRN12" s="59"/>
      <c r="CRO12" s="119"/>
      <c r="CRP12" s="119"/>
      <c r="CRQ12" s="119"/>
      <c r="CRR12" s="119"/>
      <c r="CRS12" s="119"/>
      <c r="CRT12" s="119"/>
      <c r="CRU12" s="119"/>
      <c r="CRV12" s="119"/>
      <c r="CRW12" s="119"/>
      <c r="CRX12" s="119"/>
      <c r="CRY12" s="119"/>
      <c r="CRZ12" s="119"/>
      <c r="CSA12" s="120"/>
      <c r="CSB12" s="120"/>
      <c r="CSC12" s="120"/>
      <c r="CSD12" s="59"/>
      <c r="CSE12" s="119"/>
      <c r="CSF12" s="119"/>
      <c r="CSG12" s="119"/>
      <c r="CSH12" s="119"/>
      <c r="CSI12" s="119"/>
      <c r="CSJ12" s="119"/>
      <c r="CSK12" s="119"/>
      <c r="CSL12" s="119"/>
      <c r="CSM12" s="119"/>
      <c r="CSN12" s="119"/>
      <c r="CSO12" s="119"/>
      <c r="CSP12" s="119"/>
      <c r="CSQ12" s="120"/>
      <c r="CSR12" s="120"/>
      <c r="CSS12" s="120"/>
      <c r="CST12" s="59"/>
      <c r="CSU12" s="119"/>
      <c r="CSV12" s="119"/>
      <c r="CSW12" s="119"/>
      <c r="CSX12" s="119"/>
      <c r="CSY12" s="119"/>
      <c r="CSZ12" s="119"/>
      <c r="CTA12" s="119"/>
      <c r="CTB12" s="119"/>
      <c r="CTC12" s="119"/>
      <c r="CTD12" s="119"/>
      <c r="CTE12" s="119"/>
      <c r="CTF12" s="119"/>
      <c r="CTG12" s="120"/>
      <c r="CTH12" s="120"/>
      <c r="CTI12" s="120"/>
      <c r="CTJ12" s="59"/>
      <c r="CTK12" s="119"/>
      <c r="CTL12" s="119"/>
      <c r="CTM12" s="119"/>
      <c r="CTN12" s="119"/>
      <c r="CTO12" s="119"/>
      <c r="CTP12" s="119"/>
      <c r="CTQ12" s="119"/>
      <c r="CTR12" s="119"/>
      <c r="CTS12" s="119"/>
      <c r="CTT12" s="119"/>
      <c r="CTU12" s="119"/>
      <c r="CTV12" s="119"/>
      <c r="CTW12" s="120"/>
      <c r="CTX12" s="120"/>
      <c r="CTY12" s="120"/>
      <c r="CTZ12" s="59"/>
      <c r="CUA12" s="119"/>
      <c r="CUB12" s="119"/>
      <c r="CUC12" s="119"/>
      <c r="CUD12" s="119"/>
      <c r="CUE12" s="119"/>
      <c r="CUF12" s="119"/>
      <c r="CUG12" s="119"/>
      <c r="CUH12" s="119"/>
      <c r="CUI12" s="119"/>
      <c r="CUJ12" s="119"/>
      <c r="CUK12" s="119"/>
      <c r="CUL12" s="119"/>
      <c r="CUM12" s="120"/>
      <c r="CUN12" s="120"/>
      <c r="CUO12" s="120"/>
      <c r="CUP12" s="59"/>
      <c r="CUQ12" s="119"/>
      <c r="CUR12" s="119"/>
      <c r="CUS12" s="119"/>
      <c r="CUT12" s="119"/>
      <c r="CUU12" s="119"/>
      <c r="CUV12" s="119"/>
      <c r="CUW12" s="119"/>
      <c r="CUX12" s="119"/>
      <c r="CUY12" s="119"/>
      <c r="CUZ12" s="119"/>
      <c r="CVA12" s="119"/>
      <c r="CVB12" s="119"/>
      <c r="CVC12" s="120"/>
      <c r="CVD12" s="120"/>
      <c r="CVE12" s="120"/>
      <c r="CVF12" s="59"/>
      <c r="CVG12" s="119"/>
      <c r="CVH12" s="119"/>
      <c r="CVI12" s="119"/>
      <c r="CVJ12" s="119"/>
      <c r="CVK12" s="119"/>
      <c r="CVL12" s="119"/>
      <c r="CVM12" s="119"/>
      <c r="CVN12" s="119"/>
      <c r="CVO12" s="119"/>
      <c r="CVP12" s="119"/>
      <c r="CVQ12" s="119"/>
      <c r="CVR12" s="119"/>
      <c r="CVS12" s="120"/>
      <c r="CVT12" s="120"/>
      <c r="CVU12" s="120"/>
      <c r="CVV12" s="59"/>
      <c r="CVW12" s="119"/>
      <c r="CVX12" s="119"/>
      <c r="CVY12" s="119"/>
      <c r="CVZ12" s="119"/>
      <c r="CWA12" s="119"/>
      <c r="CWB12" s="119"/>
      <c r="CWC12" s="119"/>
      <c r="CWD12" s="119"/>
      <c r="CWE12" s="119"/>
      <c r="CWF12" s="119"/>
      <c r="CWG12" s="119"/>
      <c r="CWH12" s="119"/>
      <c r="CWI12" s="120"/>
      <c r="CWJ12" s="120"/>
      <c r="CWK12" s="120"/>
      <c r="CWL12" s="59"/>
      <c r="CWM12" s="119"/>
      <c r="CWN12" s="119"/>
      <c r="CWO12" s="119"/>
      <c r="CWP12" s="119"/>
      <c r="CWQ12" s="119"/>
      <c r="CWR12" s="119"/>
      <c r="CWS12" s="119"/>
      <c r="CWT12" s="119"/>
      <c r="CWU12" s="119"/>
      <c r="CWV12" s="119"/>
      <c r="CWW12" s="119"/>
      <c r="CWX12" s="119"/>
      <c r="CWY12" s="120"/>
      <c r="CWZ12" s="120"/>
      <c r="CXA12" s="120"/>
      <c r="CXB12" s="59"/>
      <c r="CXC12" s="119"/>
      <c r="CXD12" s="119"/>
      <c r="CXE12" s="119"/>
      <c r="CXF12" s="119"/>
      <c r="CXG12" s="119"/>
      <c r="CXH12" s="119"/>
      <c r="CXI12" s="119"/>
      <c r="CXJ12" s="119"/>
      <c r="CXK12" s="119"/>
      <c r="CXL12" s="119"/>
      <c r="CXM12" s="119"/>
      <c r="CXN12" s="119"/>
      <c r="CXO12" s="120"/>
      <c r="CXP12" s="120"/>
      <c r="CXQ12" s="120"/>
      <c r="CXR12" s="59"/>
      <c r="CXS12" s="119"/>
      <c r="CXT12" s="119"/>
      <c r="CXU12" s="119"/>
      <c r="CXV12" s="119"/>
      <c r="CXW12" s="119"/>
      <c r="CXX12" s="119"/>
      <c r="CXY12" s="119"/>
      <c r="CXZ12" s="119"/>
      <c r="CYA12" s="119"/>
      <c r="CYB12" s="119"/>
      <c r="CYC12" s="119"/>
      <c r="CYD12" s="119"/>
      <c r="CYE12" s="120"/>
      <c r="CYF12" s="120"/>
      <c r="CYG12" s="120"/>
      <c r="CYH12" s="59"/>
      <c r="CYI12" s="119"/>
      <c r="CYJ12" s="119"/>
      <c r="CYK12" s="119"/>
      <c r="CYL12" s="119"/>
      <c r="CYM12" s="119"/>
      <c r="CYN12" s="119"/>
      <c r="CYO12" s="119"/>
      <c r="CYP12" s="119"/>
      <c r="CYQ12" s="119"/>
      <c r="CYR12" s="119"/>
      <c r="CYS12" s="119"/>
      <c r="CYT12" s="119"/>
      <c r="CYU12" s="120"/>
      <c r="CYV12" s="120"/>
      <c r="CYW12" s="120"/>
      <c r="CYX12" s="59"/>
      <c r="CYY12" s="119"/>
      <c r="CYZ12" s="119"/>
      <c r="CZA12" s="119"/>
      <c r="CZB12" s="119"/>
      <c r="CZC12" s="119"/>
      <c r="CZD12" s="119"/>
      <c r="CZE12" s="119"/>
      <c r="CZF12" s="119"/>
      <c r="CZG12" s="119"/>
      <c r="CZH12" s="119"/>
      <c r="CZI12" s="119"/>
      <c r="CZJ12" s="119"/>
      <c r="CZK12" s="120"/>
      <c r="CZL12" s="120"/>
      <c r="CZM12" s="120"/>
      <c r="CZN12" s="59"/>
      <c r="CZO12" s="119"/>
      <c r="CZP12" s="119"/>
      <c r="CZQ12" s="119"/>
      <c r="CZR12" s="119"/>
      <c r="CZS12" s="119"/>
      <c r="CZT12" s="119"/>
      <c r="CZU12" s="119"/>
      <c r="CZV12" s="119"/>
      <c r="CZW12" s="119"/>
      <c r="CZX12" s="119"/>
      <c r="CZY12" s="119"/>
      <c r="CZZ12" s="119"/>
      <c r="DAA12" s="120"/>
      <c r="DAB12" s="120"/>
      <c r="DAC12" s="120"/>
      <c r="DAD12" s="59"/>
      <c r="DAE12" s="119"/>
      <c r="DAF12" s="119"/>
      <c r="DAG12" s="119"/>
      <c r="DAH12" s="119"/>
      <c r="DAI12" s="119"/>
      <c r="DAJ12" s="119"/>
      <c r="DAK12" s="119"/>
      <c r="DAL12" s="119"/>
      <c r="DAM12" s="119"/>
      <c r="DAN12" s="119"/>
      <c r="DAO12" s="119"/>
      <c r="DAP12" s="119"/>
      <c r="DAQ12" s="120"/>
      <c r="DAR12" s="120"/>
      <c r="DAS12" s="120"/>
      <c r="DAT12" s="59"/>
      <c r="DAU12" s="119"/>
      <c r="DAV12" s="119"/>
      <c r="DAW12" s="119"/>
      <c r="DAX12" s="119"/>
      <c r="DAY12" s="119"/>
      <c r="DAZ12" s="119"/>
      <c r="DBA12" s="119"/>
      <c r="DBB12" s="119"/>
      <c r="DBC12" s="119"/>
      <c r="DBD12" s="119"/>
      <c r="DBE12" s="119"/>
      <c r="DBF12" s="119"/>
      <c r="DBG12" s="120"/>
      <c r="DBH12" s="120"/>
      <c r="DBI12" s="120"/>
      <c r="DBJ12" s="59"/>
      <c r="DBK12" s="119"/>
      <c r="DBL12" s="119"/>
      <c r="DBM12" s="119"/>
      <c r="DBN12" s="119"/>
      <c r="DBO12" s="119"/>
      <c r="DBP12" s="119"/>
      <c r="DBQ12" s="119"/>
      <c r="DBR12" s="119"/>
      <c r="DBS12" s="119"/>
      <c r="DBT12" s="119"/>
      <c r="DBU12" s="119"/>
      <c r="DBV12" s="119"/>
      <c r="DBW12" s="120"/>
      <c r="DBX12" s="120"/>
      <c r="DBY12" s="120"/>
      <c r="DBZ12" s="59"/>
      <c r="DCA12" s="119"/>
      <c r="DCB12" s="119"/>
      <c r="DCC12" s="119"/>
      <c r="DCD12" s="119"/>
      <c r="DCE12" s="119"/>
      <c r="DCF12" s="119"/>
      <c r="DCG12" s="119"/>
      <c r="DCH12" s="119"/>
      <c r="DCI12" s="119"/>
      <c r="DCJ12" s="119"/>
      <c r="DCK12" s="119"/>
      <c r="DCL12" s="119"/>
      <c r="DCM12" s="120"/>
      <c r="DCN12" s="120"/>
      <c r="DCO12" s="120"/>
      <c r="DCP12" s="59"/>
      <c r="DCQ12" s="119"/>
      <c r="DCR12" s="119"/>
      <c r="DCS12" s="119"/>
      <c r="DCT12" s="119"/>
      <c r="DCU12" s="119"/>
      <c r="DCV12" s="119"/>
      <c r="DCW12" s="119"/>
      <c r="DCX12" s="119"/>
      <c r="DCY12" s="119"/>
      <c r="DCZ12" s="119"/>
      <c r="DDA12" s="119"/>
      <c r="DDB12" s="119"/>
      <c r="DDC12" s="120"/>
      <c r="DDD12" s="120"/>
      <c r="DDE12" s="120"/>
      <c r="DDF12" s="59"/>
      <c r="DDG12" s="119"/>
      <c r="DDH12" s="119"/>
      <c r="DDI12" s="119"/>
      <c r="DDJ12" s="119"/>
      <c r="DDK12" s="119"/>
      <c r="DDL12" s="119"/>
      <c r="DDM12" s="119"/>
      <c r="DDN12" s="119"/>
      <c r="DDO12" s="119"/>
      <c r="DDP12" s="119"/>
      <c r="DDQ12" s="119"/>
      <c r="DDR12" s="119"/>
      <c r="DDS12" s="120"/>
      <c r="DDT12" s="120"/>
      <c r="DDU12" s="120"/>
      <c r="DDV12" s="59"/>
      <c r="DDW12" s="119"/>
      <c r="DDX12" s="119"/>
      <c r="DDY12" s="119"/>
      <c r="DDZ12" s="119"/>
      <c r="DEA12" s="119"/>
      <c r="DEB12" s="119"/>
      <c r="DEC12" s="119"/>
      <c r="DED12" s="119"/>
      <c r="DEE12" s="119"/>
      <c r="DEF12" s="119"/>
      <c r="DEG12" s="119"/>
      <c r="DEH12" s="119"/>
      <c r="DEI12" s="120"/>
      <c r="DEJ12" s="120"/>
      <c r="DEK12" s="120"/>
      <c r="DEL12" s="59"/>
      <c r="DEM12" s="119"/>
      <c r="DEN12" s="119"/>
      <c r="DEO12" s="119"/>
      <c r="DEP12" s="119"/>
      <c r="DEQ12" s="119"/>
      <c r="DER12" s="119"/>
      <c r="DES12" s="119"/>
      <c r="DET12" s="119"/>
      <c r="DEU12" s="119"/>
      <c r="DEV12" s="119"/>
      <c r="DEW12" s="119"/>
      <c r="DEX12" s="119"/>
      <c r="DEY12" s="120"/>
      <c r="DEZ12" s="120"/>
      <c r="DFA12" s="120"/>
      <c r="DFB12" s="59"/>
      <c r="DFC12" s="119"/>
      <c r="DFD12" s="119"/>
      <c r="DFE12" s="119"/>
      <c r="DFF12" s="119"/>
      <c r="DFG12" s="119"/>
      <c r="DFH12" s="119"/>
      <c r="DFI12" s="119"/>
      <c r="DFJ12" s="119"/>
      <c r="DFK12" s="119"/>
      <c r="DFL12" s="119"/>
      <c r="DFM12" s="119"/>
      <c r="DFN12" s="119"/>
      <c r="DFO12" s="120"/>
      <c r="DFP12" s="120"/>
      <c r="DFQ12" s="120"/>
      <c r="DFR12" s="59"/>
      <c r="DFS12" s="119"/>
      <c r="DFT12" s="119"/>
      <c r="DFU12" s="119"/>
      <c r="DFV12" s="119"/>
      <c r="DFW12" s="119"/>
      <c r="DFX12" s="119"/>
      <c r="DFY12" s="119"/>
      <c r="DFZ12" s="119"/>
      <c r="DGA12" s="119"/>
      <c r="DGB12" s="119"/>
      <c r="DGC12" s="119"/>
      <c r="DGD12" s="119"/>
      <c r="DGE12" s="120"/>
      <c r="DGF12" s="120"/>
      <c r="DGG12" s="120"/>
      <c r="DGH12" s="59"/>
      <c r="DGI12" s="119"/>
      <c r="DGJ12" s="119"/>
      <c r="DGK12" s="119"/>
      <c r="DGL12" s="119"/>
      <c r="DGM12" s="119"/>
      <c r="DGN12" s="119"/>
      <c r="DGO12" s="119"/>
      <c r="DGP12" s="119"/>
      <c r="DGQ12" s="119"/>
      <c r="DGR12" s="119"/>
      <c r="DGS12" s="119"/>
      <c r="DGT12" s="119"/>
      <c r="DGU12" s="120"/>
      <c r="DGV12" s="120"/>
      <c r="DGW12" s="120"/>
      <c r="DGX12" s="59"/>
      <c r="DGY12" s="119"/>
      <c r="DGZ12" s="119"/>
      <c r="DHA12" s="119"/>
      <c r="DHB12" s="119"/>
      <c r="DHC12" s="119"/>
      <c r="DHD12" s="119"/>
      <c r="DHE12" s="119"/>
      <c r="DHF12" s="119"/>
      <c r="DHG12" s="119"/>
      <c r="DHH12" s="119"/>
      <c r="DHI12" s="119"/>
      <c r="DHJ12" s="119"/>
      <c r="DHK12" s="120"/>
      <c r="DHL12" s="120"/>
      <c r="DHM12" s="120"/>
      <c r="DHN12" s="59"/>
      <c r="DHO12" s="119"/>
      <c r="DHP12" s="119"/>
      <c r="DHQ12" s="119"/>
      <c r="DHR12" s="119"/>
      <c r="DHS12" s="119"/>
      <c r="DHT12" s="119"/>
      <c r="DHU12" s="119"/>
      <c r="DHV12" s="119"/>
      <c r="DHW12" s="119"/>
      <c r="DHX12" s="119"/>
      <c r="DHY12" s="119"/>
      <c r="DHZ12" s="119"/>
      <c r="DIA12" s="120"/>
      <c r="DIB12" s="120"/>
      <c r="DIC12" s="120"/>
      <c r="DID12" s="59"/>
      <c r="DIE12" s="119"/>
      <c r="DIF12" s="119"/>
      <c r="DIG12" s="119"/>
      <c r="DIH12" s="119"/>
      <c r="DII12" s="119"/>
      <c r="DIJ12" s="119"/>
      <c r="DIK12" s="119"/>
      <c r="DIL12" s="119"/>
      <c r="DIM12" s="119"/>
      <c r="DIN12" s="119"/>
      <c r="DIO12" s="119"/>
      <c r="DIP12" s="119"/>
      <c r="DIQ12" s="120"/>
      <c r="DIR12" s="120"/>
      <c r="DIS12" s="120"/>
      <c r="DIT12" s="59"/>
      <c r="DIU12" s="119"/>
      <c r="DIV12" s="119"/>
      <c r="DIW12" s="119"/>
      <c r="DIX12" s="119"/>
      <c r="DIY12" s="119"/>
      <c r="DIZ12" s="119"/>
      <c r="DJA12" s="119"/>
      <c r="DJB12" s="119"/>
      <c r="DJC12" s="119"/>
      <c r="DJD12" s="119"/>
      <c r="DJE12" s="119"/>
      <c r="DJF12" s="119"/>
      <c r="DJG12" s="120"/>
      <c r="DJH12" s="120"/>
      <c r="DJI12" s="120"/>
      <c r="DJJ12" s="59"/>
      <c r="DJK12" s="119"/>
      <c r="DJL12" s="119"/>
      <c r="DJM12" s="119"/>
      <c r="DJN12" s="119"/>
      <c r="DJO12" s="119"/>
      <c r="DJP12" s="119"/>
      <c r="DJQ12" s="119"/>
      <c r="DJR12" s="119"/>
      <c r="DJS12" s="119"/>
      <c r="DJT12" s="119"/>
      <c r="DJU12" s="119"/>
      <c r="DJV12" s="119"/>
      <c r="DJW12" s="120"/>
      <c r="DJX12" s="120"/>
      <c r="DJY12" s="120"/>
      <c r="DJZ12" s="59"/>
      <c r="DKA12" s="119"/>
      <c r="DKB12" s="119"/>
      <c r="DKC12" s="119"/>
      <c r="DKD12" s="119"/>
      <c r="DKE12" s="119"/>
      <c r="DKF12" s="119"/>
      <c r="DKG12" s="119"/>
      <c r="DKH12" s="119"/>
      <c r="DKI12" s="119"/>
      <c r="DKJ12" s="119"/>
      <c r="DKK12" s="119"/>
      <c r="DKL12" s="119"/>
      <c r="DKM12" s="120"/>
      <c r="DKN12" s="120"/>
      <c r="DKO12" s="120"/>
      <c r="DKP12" s="59"/>
      <c r="DKQ12" s="119"/>
      <c r="DKR12" s="119"/>
      <c r="DKS12" s="119"/>
      <c r="DKT12" s="119"/>
      <c r="DKU12" s="119"/>
      <c r="DKV12" s="119"/>
      <c r="DKW12" s="119"/>
      <c r="DKX12" s="119"/>
      <c r="DKY12" s="119"/>
      <c r="DKZ12" s="119"/>
      <c r="DLA12" s="119"/>
      <c r="DLB12" s="119"/>
      <c r="DLC12" s="120"/>
      <c r="DLD12" s="120"/>
      <c r="DLE12" s="120"/>
      <c r="DLF12" s="59"/>
      <c r="DLG12" s="119"/>
      <c r="DLH12" s="119"/>
      <c r="DLI12" s="119"/>
      <c r="DLJ12" s="119"/>
      <c r="DLK12" s="119"/>
      <c r="DLL12" s="119"/>
      <c r="DLM12" s="119"/>
      <c r="DLN12" s="119"/>
      <c r="DLO12" s="119"/>
      <c r="DLP12" s="119"/>
      <c r="DLQ12" s="119"/>
      <c r="DLR12" s="119"/>
      <c r="DLS12" s="120"/>
      <c r="DLT12" s="120"/>
      <c r="DLU12" s="120"/>
      <c r="DLV12" s="59"/>
      <c r="DLW12" s="119"/>
      <c r="DLX12" s="119"/>
      <c r="DLY12" s="119"/>
      <c r="DLZ12" s="119"/>
      <c r="DMA12" s="119"/>
      <c r="DMB12" s="119"/>
      <c r="DMC12" s="119"/>
      <c r="DMD12" s="119"/>
      <c r="DME12" s="119"/>
      <c r="DMF12" s="119"/>
      <c r="DMG12" s="119"/>
      <c r="DMH12" s="119"/>
      <c r="DMI12" s="120"/>
      <c r="DMJ12" s="120"/>
      <c r="DMK12" s="120"/>
      <c r="DML12" s="59"/>
      <c r="DMM12" s="119"/>
      <c r="DMN12" s="119"/>
      <c r="DMO12" s="119"/>
      <c r="DMP12" s="119"/>
      <c r="DMQ12" s="119"/>
      <c r="DMR12" s="119"/>
      <c r="DMS12" s="119"/>
      <c r="DMT12" s="119"/>
      <c r="DMU12" s="119"/>
      <c r="DMV12" s="119"/>
      <c r="DMW12" s="119"/>
      <c r="DMX12" s="119"/>
      <c r="DMY12" s="120"/>
      <c r="DMZ12" s="120"/>
      <c r="DNA12" s="120"/>
      <c r="DNB12" s="59"/>
      <c r="DNC12" s="119"/>
      <c r="DND12" s="119"/>
      <c r="DNE12" s="119"/>
      <c r="DNF12" s="119"/>
      <c r="DNG12" s="119"/>
      <c r="DNH12" s="119"/>
      <c r="DNI12" s="119"/>
      <c r="DNJ12" s="119"/>
      <c r="DNK12" s="119"/>
      <c r="DNL12" s="119"/>
      <c r="DNM12" s="119"/>
      <c r="DNN12" s="119"/>
      <c r="DNO12" s="120"/>
      <c r="DNP12" s="120"/>
      <c r="DNQ12" s="120"/>
      <c r="DNR12" s="59"/>
      <c r="DNS12" s="119"/>
      <c r="DNT12" s="119"/>
      <c r="DNU12" s="119"/>
      <c r="DNV12" s="119"/>
      <c r="DNW12" s="119"/>
      <c r="DNX12" s="119"/>
      <c r="DNY12" s="119"/>
      <c r="DNZ12" s="119"/>
      <c r="DOA12" s="119"/>
      <c r="DOB12" s="119"/>
      <c r="DOC12" s="119"/>
      <c r="DOD12" s="119"/>
      <c r="DOE12" s="120"/>
      <c r="DOF12" s="120"/>
      <c r="DOG12" s="120"/>
      <c r="DOH12" s="59"/>
      <c r="DOI12" s="119"/>
      <c r="DOJ12" s="119"/>
      <c r="DOK12" s="119"/>
      <c r="DOL12" s="119"/>
      <c r="DOM12" s="119"/>
      <c r="DON12" s="119"/>
      <c r="DOO12" s="119"/>
      <c r="DOP12" s="119"/>
      <c r="DOQ12" s="119"/>
      <c r="DOR12" s="119"/>
      <c r="DOS12" s="119"/>
      <c r="DOT12" s="119"/>
      <c r="DOU12" s="120"/>
      <c r="DOV12" s="120"/>
      <c r="DOW12" s="120"/>
      <c r="DOX12" s="59"/>
      <c r="DOY12" s="119"/>
      <c r="DOZ12" s="119"/>
      <c r="DPA12" s="119"/>
      <c r="DPB12" s="119"/>
      <c r="DPC12" s="119"/>
      <c r="DPD12" s="119"/>
      <c r="DPE12" s="119"/>
      <c r="DPF12" s="119"/>
      <c r="DPG12" s="119"/>
      <c r="DPH12" s="119"/>
      <c r="DPI12" s="119"/>
      <c r="DPJ12" s="119"/>
      <c r="DPK12" s="120"/>
      <c r="DPL12" s="120"/>
      <c r="DPM12" s="120"/>
      <c r="DPN12" s="59"/>
      <c r="DPO12" s="119"/>
      <c r="DPP12" s="119"/>
      <c r="DPQ12" s="119"/>
      <c r="DPR12" s="119"/>
      <c r="DPS12" s="119"/>
      <c r="DPT12" s="119"/>
      <c r="DPU12" s="119"/>
      <c r="DPV12" s="119"/>
      <c r="DPW12" s="119"/>
      <c r="DPX12" s="119"/>
      <c r="DPY12" s="119"/>
      <c r="DPZ12" s="119"/>
      <c r="DQA12" s="120"/>
      <c r="DQB12" s="120"/>
      <c r="DQC12" s="120"/>
      <c r="DQD12" s="59"/>
      <c r="DQE12" s="119"/>
      <c r="DQF12" s="119"/>
      <c r="DQG12" s="119"/>
      <c r="DQH12" s="119"/>
      <c r="DQI12" s="119"/>
      <c r="DQJ12" s="119"/>
      <c r="DQK12" s="119"/>
      <c r="DQL12" s="119"/>
      <c r="DQM12" s="119"/>
      <c r="DQN12" s="119"/>
      <c r="DQO12" s="119"/>
      <c r="DQP12" s="119"/>
      <c r="DQQ12" s="120"/>
      <c r="DQR12" s="120"/>
      <c r="DQS12" s="120"/>
      <c r="DQT12" s="59"/>
      <c r="DQU12" s="119"/>
      <c r="DQV12" s="119"/>
      <c r="DQW12" s="119"/>
      <c r="DQX12" s="119"/>
      <c r="DQY12" s="119"/>
      <c r="DQZ12" s="119"/>
      <c r="DRA12" s="119"/>
      <c r="DRB12" s="119"/>
      <c r="DRC12" s="119"/>
      <c r="DRD12" s="119"/>
      <c r="DRE12" s="119"/>
      <c r="DRF12" s="119"/>
      <c r="DRG12" s="120"/>
      <c r="DRH12" s="120"/>
      <c r="DRI12" s="120"/>
      <c r="DRJ12" s="59"/>
      <c r="DRK12" s="119"/>
      <c r="DRL12" s="119"/>
      <c r="DRM12" s="119"/>
      <c r="DRN12" s="119"/>
      <c r="DRO12" s="119"/>
      <c r="DRP12" s="119"/>
      <c r="DRQ12" s="119"/>
      <c r="DRR12" s="119"/>
      <c r="DRS12" s="119"/>
      <c r="DRT12" s="119"/>
      <c r="DRU12" s="119"/>
      <c r="DRV12" s="119"/>
      <c r="DRW12" s="120"/>
      <c r="DRX12" s="120"/>
      <c r="DRY12" s="120"/>
      <c r="DRZ12" s="59"/>
      <c r="DSA12" s="119"/>
      <c r="DSB12" s="119"/>
      <c r="DSC12" s="119"/>
      <c r="DSD12" s="119"/>
      <c r="DSE12" s="119"/>
      <c r="DSF12" s="119"/>
      <c r="DSG12" s="119"/>
      <c r="DSH12" s="119"/>
      <c r="DSI12" s="119"/>
      <c r="DSJ12" s="119"/>
      <c r="DSK12" s="119"/>
      <c r="DSL12" s="119"/>
      <c r="DSM12" s="120"/>
      <c r="DSN12" s="120"/>
      <c r="DSO12" s="120"/>
      <c r="DSP12" s="59"/>
      <c r="DSQ12" s="119"/>
      <c r="DSR12" s="119"/>
      <c r="DSS12" s="119"/>
      <c r="DST12" s="119"/>
      <c r="DSU12" s="119"/>
      <c r="DSV12" s="119"/>
      <c r="DSW12" s="119"/>
      <c r="DSX12" s="119"/>
      <c r="DSY12" s="119"/>
      <c r="DSZ12" s="119"/>
      <c r="DTA12" s="119"/>
      <c r="DTB12" s="119"/>
      <c r="DTC12" s="120"/>
      <c r="DTD12" s="120"/>
      <c r="DTE12" s="120"/>
      <c r="DTF12" s="59"/>
      <c r="DTG12" s="119"/>
      <c r="DTH12" s="119"/>
      <c r="DTI12" s="119"/>
      <c r="DTJ12" s="119"/>
      <c r="DTK12" s="119"/>
      <c r="DTL12" s="119"/>
      <c r="DTM12" s="119"/>
      <c r="DTN12" s="119"/>
      <c r="DTO12" s="119"/>
      <c r="DTP12" s="119"/>
      <c r="DTQ12" s="119"/>
      <c r="DTR12" s="119"/>
      <c r="DTS12" s="120"/>
      <c r="DTT12" s="120"/>
      <c r="DTU12" s="120"/>
      <c r="DTV12" s="59"/>
      <c r="DTW12" s="119"/>
      <c r="DTX12" s="119"/>
      <c r="DTY12" s="119"/>
      <c r="DTZ12" s="119"/>
      <c r="DUA12" s="119"/>
      <c r="DUB12" s="119"/>
      <c r="DUC12" s="119"/>
      <c r="DUD12" s="119"/>
      <c r="DUE12" s="119"/>
      <c r="DUF12" s="119"/>
      <c r="DUG12" s="119"/>
      <c r="DUH12" s="119"/>
      <c r="DUI12" s="120"/>
      <c r="DUJ12" s="120"/>
      <c r="DUK12" s="120"/>
      <c r="DUL12" s="59"/>
      <c r="DUM12" s="119"/>
      <c r="DUN12" s="119"/>
      <c r="DUO12" s="119"/>
      <c r="DUP12" s="119"/>
      <c r="DUQ12" s="119"/>
      <c r="DUR12" s="119"/>
      <c r="DUS12" s="119"/>
      <c r="DUT12" s="119"/>
      <c r="DUU12" s="119"/>
      <c r="DUV12" s="119"/>
      <c r="DUW12" s="119"/>
      <c r="DUX12" s="119"/>
      <c r="DUY12" s="120"/>
      <c r="DUZ12" s="120"/>
      <c r="DVA12" s="120"/>
      <c r="DVB12" s="59"/>
      <c r="DVC12" s="119"/>
      <c r="DVD12" s="119"/>
      <c r="DVE12" s="119"/>
      <c r="DVF12" s="119"/>
      <c r="DVG12" s="119"/>
      <c r="DVH12" s="119"/>
      <c r="DVI12" s="119"/>
      <c r="DVJ12" s="119"/>
      <c r="DVK12" s="119"/>
      <c r="DVL12" s="119"/>
      <c r="DVM12" s="119"/>
      <c r="DVN12" s="119"/>
      <c r="DVO12" s="120"/>
      <c r="DVP12" s="120"/>
      <c r="DVQ12" s="120"/>
      <c r="DVR12" s="59"/>
      <c r="DVS12" s="119"/>
      <c r="DVT12" s="119"/>
      <c r="DVU12" s="119"/>
      <c r="DVV12" s="119"/>
      <c r="DVW12" s="119"/>
      <c r="DVX12" s="119"/>
      <c r="DVY12" s="119"/>
      <c r="DVZ12" s="119"/>
      <c r="DWA12" s="119"/>
      <c r="DWB12" s="119"/>
      <c r="DWC12" s="119"/>
      <c r="DWD12" s="119"/>
      <c r="DWE12" s="120"/>
      <c r="DWF12" s="120"/>
      <c r="DWG12" s="120"/>
      <c r="DWH12" s="59"/>
      <c r="DWI12" s="119"/>
      <c r="DWJ12" s="119"/>
      <c r="DWK12" s="119"/>
      <c r="DWL12" s="119"/>
      <c r="DWM12" s="119"/>
      <c r="DWN12" s="119"/>
      <c r="DWO12" s="119"/>
      <c r="DWP12" s="119"/>
      <c r="DWQ12" s="119"/>
      <c r="DWR12" s="119"/>
      <c r="DWS12" s="119"/>
      <c r="DWT12" s="119"/>
      <c r="DWU12" s="120"/>
      <c r="DWV12" s="120"/>
      <c r="DWW12" s="120"/>
      <c r="DWX12" s="59"/>
      <c r="DWY12" s="119"/>
      <c r="DWZ12" s="119"/>
      <c r="DXA12" s="119"/>
      <c r="DXB12" s="119"/>
      <c r="DXC12" s="119"/>
      <c r="DXD12" s="119"/>
      <c r="DXE12" s="119"/>
      <c r="DXF12" s="119"/>
      <c r="DXG12" s="119"/>
      <c r="DXH12" s="119"/>
      <c r="DXI12" s="119"/>
      <c r="DXJ12" s="119"/>
      <c r="DXK12" s="120"/>
      <c r="DXL12" s="120"/>
      <c r="DXM12" s="120"/>
      <c r="DXN12" s="59"/>
      <c r="DXO12" s="119"/>
      <c r="DXP12" s="119"/>
      <c r="DXQ12" s="119"/>
      <c r="DXR12" s="119"/>
      <c r="DXS12" s="119"/>
      <c r="DXT12" s="119"/>
      <c r="DXU12" s="119"/>
      <c r="DXV12" s="119"/>
      <c r="DXW12" s="119"/>
      <c r="DXX12" s="119"/>
      <c r="DXY12" s="119"/>
      <c r="DXZ12" s="119"/>
      <c r="DYA12" s="120"/>
      <c r="DYB12" s="120"/>
      <c r="DYC12" s="120"/>
      <c r="DYD12" s="59"/>
      <c r="DYE12" s="119"/>
      <c r="DYF12" s="119"/>
      <c r="DYG12" s="119"/>
      <c r="DYH12" s="119"/>
      <c r="DYI12" s="119"/>
      <c r="DYJ12" s="119"/>
      <c r="DYK12" s="119"/>
      <c r="DYL12" s="119"/>
      <c r="DYM12" s="119"/>
      <c r="DYN12" s="119"/>
      <c r="DYO12" s="119"/>
      <c r="DYP12" s="119"/>
      <c r="DYQ12" s="120"/>
      <c r="DYR12" s="120"/>
      <c r="DYS12" s="120"/>
      <c r="DYT12" s="59"/>
      <c r="DYU12" s="119"/>
      <c r="DYV12" s="119"/>
      <c r="DYW12" s="119"/>
      <c r="DYX12" s="119"/>
      <c r="DYY12" s="119"/>
      <c r="DYZ12" s="119"/>
      <c r="DZA12" s="119"/>
      <c r="DZB12" s="119"/>
      <c r="DZC12" s="119"/>
      <c r="DZD12" s="119"/>
      <c r="DZE12" s="119"/>
      <c r="DZF12" s="119"/>
      <c r="DZG12" s="120"/>
      <c r="DZH12" s="120"/>
      <c r="DZI12" s="120"/>
      <c r="DZJ12" s="59"/>
      <c r="DZK12" s="119"/>
      <c r="DZL12" s="119"/>
      <c r="DZM12" s="119"/>
      <c r="DZN12" s="119"/>
      <c r="DZO12" s="119"/>
      <c r="DZP12" s="119"/>
      <c r="DZQ12" s="119"/>
      <c r="DZR12" s="119"/>
      <c r="DZS12" s="119"/>
      <c r="DZT12" s="119"/>
      <c r="DZU12" s="119"/>
      <c r="DZV12" s="119"/>
      <c r="DZW12" s="120"/>
      <c r="DZX12" s="120"/>
      <c r="DZY12" s="120"/>
      <c r="DZZ12" s="59"/>
      <c r="EAA12" s="119"/>
      <c r="EAB12" s="119"/>
      <c r="EAC12" s="119"/>
      <c r="EAD12" s="119"/>
      <c r="EAE12" s="119"/>
      <c r="EAF12" s="119"/>
      <c r="EAG12" s="119"/>
      <c r="EAH12" s="119"/>
      <c r="EAI12" s="119"/>
      <c r="EAJ12" s="119"/>
      <c r="EAK12" s="119"/>
      <c r="EAL12" s="119"/>
      <c r="EAM12" s="120"/>
      <c r="EAN12" s="120"/>
      <c r="EAO12" s="120"/>
      <c r="EAP12" s="59"/>
      <c r="EAQ12" s="119"/>
      <c r="EAR12" s="119"/>
      <c r="EAS12" s="119"/>
      <c r="EAT12" s="119"/>
      <c r="EAU12" s="119"/>
      <c r="EAV12" s="119"/>
      <c r="EAW12" s="119"/>
      <c r="EAX12" s="119"/>
      <c r="EAY12" s="119"/>
      <c r="EAZ12" s="119"/>
      <c r="EBA12" s="119"/>
      <c r="EBB12" s="119"/>
      <c r="EBC12" s="120"/>
      <c r="EBD12" s="120"/>
      <c r="EBE12" s="120"/>
      <c r="EBF12" s="59"/>
      <c r="EBG12" s="119"/>
      <c r="EBH12" s="119"/>
      <c r="EBI12" s="119"/>
      <c r="EBJ12" s="119"/>
      <c r="EBK12" s="119"/>
      <c r="EBL12" s="119"/>
      <c r="EBM12" s="119"/>
      <c r="EBN12" s="119"/>
      <c r="EBO12" s="119"/>
      <c r="EBP12" s="119"/>
      <c r="EBQ12" s="119"/>
      <c r="EBR12" s="119"/>
      <c r="EBS12" s="120"/>
      <c r="EBT12" s="120"/>
      <c r="EBU12" s="120"/>
      <c r="EBV12" s="59"/>
      <c r="EBW12" s="119"/>
      <c r="EBX12" s="119"/>
      <c r="EBY12" s="119"/>
      <c r="EBZ12" s="119"/>
      <c r="ECA12" s="119"/>
      <c r="ECB12" s="119"/>
      <c r="ECC12" s="119"/>
      <c r="ECD12" s="119"/>
      <c r="ECE12" s="119"/>
      <c r="ECF12" s="119"/>
      <c r="ECG12" s="119"/>
      <c r="ECH12" s="119"/>
      <c r="ECI12" s="120"/>
      <c r="ECJ12" s="120"/>
      <c r="ECK12" s="120"/>
      <c r="ECL12" s="59"/>
      <c r="ECM12" s="119"/>
      <c r="ECN12" s="119"/>
      <c r="ECO12" s="119"/>
      <c r="ECP12" s="119"/>
      <c r="ECQ12" s="119"/>
      <c r="ECR12" s="119"/>
      <c r="ECS12" s="119"/>
      <c r="ECT12" s="119"/>
      <c r="ECU12" s="119"/>
      <c r="ECV12" s="119"/>
      <c r="ECW12" s="119"/>
      <c r="ECX12" s="119"/>
      <c r="ECY12" s="120"/>
      <c r="ECZ12" s="120"/>
      <c r="EDA12" s="120"/>
      <c r="EDB12" s="59"/>
      <c r="EDC12" s="119"/>
      <c r="EDD12" s="119"/>
      <c r="EDE12" s="119"/>
      <c r="EDF12" s="119"/>
      <c r="EDG12" s="119"/>
      <c r="EDH12" s="119"/>
      <c r="EDI12" s="119"/>
      <c r="EDJ12" s="119"/>
      <c r="EDK12" s="119"/>
      <c r="EDL12" s="119"/>
      <c r="EDM12" s="119"/>
      <c r="EDN12" s="119"/>
      <c r="EDO12" s="120"/>
      <c r="EDP12" s="120"/>
      <c r="EDQ12" s="120"/>
      <c r="EDR12" s="59"/>
      <c r="EDS12" s="119"/>
      <c r="EDT12" s="119"/>
      <c r="EDU12" s="119"/>
      <c r="EDV12" s="119"/>
      <c r="EDW12" s="119"/>
      <c r="EDX12" s="119"/>
      <c r="EDY12" s="119"/>
      <c r="EDZ12" s="119"/>
      <c r="EEA12" s="119"/>
      <c r="EEB12" s="119"/>
      <c r="EEC12" s="119"/>
      <c r="EED12" s="119"/>
      <c r="EEE12" s="120"/>
      <c r="EEF12" s="120"/>
      <c r="EEG12" s="120"/>
      <c r="EEH12" s="59"/>
      <c r="EEI12" s="119"/>
      <c r="EEJ12" s="119"/>
      <c r="EEK12" s="119"/>
      <c r="EEL12" s="119"/>
      <c r="EEM12" s="119"/>
      <c r="EEN12" s="119"/>
      <c r="EEO12" s="119"/>
      <c r="EEP12" s="119"/>
      <c r="EEQ12" s="119"/>
      <c r="EER12" s="119"/>
      <c r="EES12" s="119"/>
      <c r="EET12" s="119"/>
      <c r="EEU12" s="120"/>
      <c r="EEV12" s="120"/>
      <c r="EEW12" s="120"/>
      <c r="EEX12" s="59"/>
      <c r="EEY12" s="119"/>
      <c r="EEZ12" s="119"/>
      <c r="EFA12" s="119"/>
      <c r="EFB12" s="119"/>
      <c r="EFC12" s="119"/>
      <c r="EFD12" s="119"/>
      <c r="EFE12" s="119"/>
      <c r="EFF12" s="119"/>
      <c r="EFG12" s="119"/>
      <c r="EFH12" s="119"/>
      <c r="EFI12" s="119"/>
      <c r="EFJ12" s="119"/>
      <c r="EFK12" s="120"/>
      <c r="EFL12" s="120"/>
      <c r="EFM12" s="120"/>
      <c r="EFN12" s="59"/>
      <c r="EFO12" s="119"/>
      <c r="EFP12" s="119"/>
      <c r="EFQ12" s="119"/>
      <c r="EFR12" s="119"/>
      <c r="EFS12" s="119"/>
      <c r="EFT12" s="119"/>
      <c r="EFU12" s="119"/>
      <c r="EFV12" s="119"/>
      <c r="EFW12" s="119"/>
      <c r="EFX12" s="119"/>
      <c r="EFY12" s="119"/>
      <c r="EFZ12" s="119"/>
      <c r="EGA12" s="120"/>
      <c r="EGB12" s="120"/>
      <c r="EGC12" s="120"/>
      <c r="EGD12" s="59"/>
      <c r="EGE12" s="119"/>
      <c r="EGF12" s="119"/>
      <c r="EGG12" s="119"/>
      <c r="EGH12" s="119"/>
      <c r="EGI12" s="119"/>
      <c r="EGJ12" s="119"/>
      <c r="EGK12" s="119"/>
      <c r="EGL12" s="119"/>
      <c r="EGM12" s="119"/>
      <c r="EGN12" s="119"/>
      <c r="EGO12" s="119"/>
      <c r="EGP12" s="119"/>
      <c r="EGQ12" s="120"/>
      <c r="EGR12" s="120"/>
      <c r="EGS12" s="120"/>
      <c r="EGT12" s="59"/>
      <c r="EGU12" s="119"/>
      <c r="EGV12" s="119"/>
      <c r="EGW12" s="119"/>
      <c r="EGX12" s="119"/>
      <c r="EGY12" s="119"/>
      <c r="EGZ12" s="119"/>
      <c r="EHA12" s="119"/>
      <c r="EHB12" s="119"/>
      <c r="EHC12" s="119"/>
      <c r="EHD12" s="119"/>
      <c r="EHE12" s="119"/>
      <c r="EHF12" s="119"/>
      <c r="EHG12" s="120"/>
      <c r="EHH12" s="120"/>
      <c r="EHI12" s="120"/>
      <c r="EHJ12" s="59"/>
      <c r="EHK12" s="119"/>
      <c r="EHL12" s="119"/>
      <c r="EHM12" s="119"/>
      <c r="EHN12" s="119"/>
      <c r="EHO12" s="119"/>
      <c r="EHP12" s="119"/>
      <c r="EHQ12" s="119"/>
      <c r="EHR12" s="119"/>
      <c r="EHS12" s="119"/>
      <c r="EHT12" s="119"/>
      <c r="EHU12" s="119"/>
      <c r="EHV12" s="119"/>
      <c r="EHW12" s="120"/>
      <c r="EHX12" s="120"/>
      <c r="EHY12" s="120"/>
      <c r="EHZ12" s="59"/>
      <c r="EIA12" s="119"/>
      <c r="EIB12" s="119"/>
      <c r="EIC12" s="119"/>
      <c r="EID12" s="119"/>
      <c r="EIE12" s="119"/>
      <c r="EIF12" s="119"/>
      <c r="EIG12" s="119"/>
      <c r="EIH12" s="119"/>
      <c r="EII12" s="119"/>
      <c r="EIJ12" s="119"/>
      <c r="EIK12" s="119"/>
      <c r="EIL12" s="119"/>
      <c r="EIM12" s="120"/>
      <c r="EIN12" s="120"/>
      <c r="EIO12" s="120"/>
      <c r="EIP12" s="59"/>
      <c r="EIQ12" s="119"/>
      <c r="EIR12" s="119"/>
      <c r="EIS12" s="119"/>
      <c r="EIT12" s="119"/>
      <c r="EIU12" s="119"/>
      <c r="EIV12" s="119"/>
      <c r="EIW12" s="119"/>
      <c r="EIX12" s="119"/>
      <c r="EIY12" s="119"/>
      <c r="EIZ12" s="119"/>
      <c r="EJA12" s="119"/>
      <c r="EJB12" s="119"/>
      <c r="EJC12" s="120"/>
      <c r="EJD12" s="120"/>
      <c r="EJE12" s="120"/>
      <c r="EJF12" s="59"/>
      <c r="EJG12" s="119"/>
      <c r="EJH12" s="119"/>
      <c r="EJI12" s="119"/>
      <c r="EJJ12" s="119"/>
      <c r="EJK12" s="119"/>
      <c r="EJL12" s="119"/>
      <c r="EJM12" s="119"/>
      <c r="EJN12" s="119"/>
      <c r="EJO12" s="119"/>
      <c r="EJP12" s="119"/>
      <c r="EJQ12" s="119"/>
      <c r="EJR12" s="119"/>
      <c r="EJS12" s="120"/>
      <c r="EJT12" s="120"/>
      <c r="EJU12" s="120"/>
      <c r="EJV12" s="59"/>
      <c r="EJW12" s="119"/>
      <c r="EJX12" s="119"/>
      <c r="EJY12" s="119"/>
      <c r="EJZ12" s="119"/>
      <c r="EKA12" s="119"/>
      <c r="EKB12" s="119"/>
      <c r="EKC12" s="119"/>
      <c r="EKD12" s="119"/>
      <c r="EKE12" s="119"/>
      <c r="EKF12" s="119"/>
      <c r="EKG12" s="119"/>
      <c r="EKH12" s="119"/>
      <c r="EKI12" s="120"/>
      <c r="EKJ12" s="120"/>
      <c r="EKK12" s="120"/>
      <c r="EKL12" s="59"/>
      <c r="EKM12" s="119"/>
      <c r="EKN12" s="119"/>
      <c r="EKO12" s="119"/>
      <c r="EKP12" s="119"/>
      <c r="EKQ12" s="119"/>
      <c r="EKR12" s="119"/>
      <c r="EKS12" s="119"/>
      <c r="EKT12" s="119"/>
      <c r="EKU12" s="119"/>
      <c r="EKV12" s="119"/>
      <c r="EKW12" s="119"/>
      <c r="EKX12" s="119"/>
      <c r="EKY12" s="120"/>
      <c r="EKZ12" s="120"/>
      <c r="ELA12" s="120"/>
      <c r="ELB12" s="59"/>
      <c r="ELC12" s="119"/>
      <c r="ELD12" s="119"/>
      <c r="ELE12" s="119"/>
      <c r="ELF12" s="119"/>
      <c r="ELG12" s="119"/>
      <c r="ELH12" s="119"/>
      <c r="ELI12" s="119"/>
      <c r="ELJ12" s="119"/>
      <c r="ELK12" s="119"/>
      <c r="ELL12" s="119"/>
      <c r="ELM12" s="119"/>
      <c r="ELN12" s="119"/>
      <c r="ELO12" s="120"/>
      <c r="ELP12" s="120"/>
      <c r="ELQ12" s="120"/>
      <c r="ELR12" s="59"/>
      <c r="ELS12" s="119"/>
      <c r="ELT12" s="119"/>
      <c r="ELU12" s="119"/>
      <c r="ELV12" s="119"/>
      <c r="ELW12" s="119"/>
      <c r="ELX12" s="119"/>
      <c r="ELY12" s="119"/>
      <c r="ELZ12" s="119"/>
      <c r="EMA12" s="119"/>
      <c r="EMB12" s="119"/>
      <c r="EMC12" s="119"/>
      <c r="EMD12" s="119"/>
      <c r="EME12" s="120"/>
      <c r="EMF12" s="120"/>
      <c r="EMG12" s="120"/>
      <c r="EMH12" s="59"/>
      <c r="EMI12" s="119"/>
      <c r="EMJ12" s="119"/>
      <c r="EMK12" s="119"/>
      <c r="EML12" s="119"/>
      <c r="EMM12" s="119"/>
      <c r="EMN12" s="119"/>
      <c r="EMO12" s="119"/>
      <c r="EMP12" s="119"/>
      <c r="EMQ12" s="119"/>
      <c r="EMR12" s="119"/>
      <c r="EMS12" s="119"/>
      <c r="EMT12" s="119"/>
      <c r="EMU12" s="120"/>
      <c r="EMV12" s="120"/>
      <c r="EMW12" s="120"/>
      <c r="EMX12" s="59"/>
      <c r="EMY12" s="119"/>
      <c r="EMZ12" s="119"/>
      <c r="ENA12" s="119"/>
      <c r="ENB12" s="119"/>
      <c r="ENC12" s="119"/>
      <c r="END12" s="119"/>
      <c r="ENE12" s="119"/>
      <c r="ENF12" s="119"/>
      <c r="ENG12" s="119"/>
      <c r="ENH12" s="119"/>
      <c r="ENI12" s="119"/>
      <c r="ENJ12" s="119"/>
      <c r="ENK12" s="120"/>
      <c r="ENL12" s="120"/>
      <c r="ENM12" s="120"/>
      <c r="ENN12" s="59"/>
      <c r="ENO12" s="119"/>
      <c r="ENP12" s="119"/>
      <c r="ENQ12" s="119"/>
      <c r="ENR12" s="119"/>
      <c r="ENS12" s="119"/>
      <c r="ENT12" s="119"/>
      <c r="ENU12" s="119"/>
      <c r="ENV12" s="119"/>
      <c r="ENW12" s="119"/>
      <c r="ENX12" s="119"/>
      <c r="ENY12" s="119"/>
      <c r="ENZ12" s="119"/>
      <c r="EOA12" s="120"/>
      <c r="EOB12" s="120"/>
      <c r="EOC12" s="120"/>
      <c r="EOD12" s="59"/>
      <c r="EOE12" s="119"/>
      <c r="EOF12" s="119"/>
      <c r="EOG12" s="119"/>
      <c r="EOH12" s="119"/>
      <c r="EOI12" s="119"/>
      <c r="EOJ12" s="119"/>
      <c r="EOK12" s="119"/>
      <c r="EOL12" s="119"/>
      <c r="EOM12" s="119"/>
      <c r="EON12" s="119"/>
      <c r="EOO12" s="119"/>
      <c r="EOP12" s="119"/>
      <c r="EOQ12" s="120"/>
      <c r="EOR12" s="120"/>
      <c r="EOS12" s="120"/>
      <c r="EOT12" s="59"/>
      <c r="EOU12" s="119"/>
      <c r="EOV12" s="119"/>
      <c r="EOW12" s="119"/>
      <c r="EOX12" s="119"/>
      <c r="EOY12" s="119"/>
      <c r="EOZ12" s="119"/>
      <c r="EPA12" s="119"/>
      <c r="EPB12" s="119"/>
      <c r="EPC12" s="119"/>
      <c r="EPD12" s="119"/>
      <c r="EPE12" s="119"/>
      <c r="EPF12" s="119"/>
      <c r="EPG12" s="120"/>
      <c r="EPH12" s="120"/>
      <c r="EPI12" s="120"/>
      <c r="EPJ12" s="59"/>
      <c r="EPK12" s="119"/>
      <c r="EPL12" s="119"/>
      <c r="EPM12" s="119"/>
      <c r="EPN12" s="119"/>
      <c r="EPO12" s="119"/>
      <c r="EPP12" s="119"/>
      <c r="EPQ12" s="119"/>
      <c r="EPR12" s="119"/>
      <c r="EPS12" s="119"/>
      <c r="EPT12" s="119"/>
      <c r="EPU12" s="119"/>
      <c r="EPV12" s="119"/>
      <c r="EPW12" s="120"/>
      <c r="EPX12" s="120"/>
      <c r="EPY12" s="120"/>
      <c r="EPZ12" s="59"/>
      <c r="EQA12" s="119"/>
      <c r="EQB12" s="119"/>
      <c r="EQC12" s="119"/>
      <c r="EQD12" s="119"/>
      <c r="EQE12" s="119"/>
      <c r="EQF12" s="119"/>
      <c r="EQG12" s="119"/>
      <c r="EQH12" s="119"/>
      <c r="EQI12" s="119"/>
      <c r="EQJ12" s="119"/>
      <c r="EQK12" s="119"/>
      <c r="EQL12" s="119"/>
      <c r="EQM12" s="120"/>
      <c r="EQN12" s="120"/>
      <c r="EQO12" s="120"/>
      <c r="EQP12" s="59"/>
      <c r="EQQ12" s="119"/>
      <c r="EQR12" s="119"/>
      <c r="EQS12" s="119"/>
      <c r="EQT12" s="119"/>
      <c r="EQU12" s="119"/>
      <c r="EQV12" s="119"/>
      <c r="EQW12" s="119"/>
      <c r="EQX12" s="119"/>
      <c r="EQY12" s="119"/>
      <c r="EQZ12" s="119"/>
      <c r="ERA12" s="119"/>
      <c r="ERB12" s="119"/>
      <c r="ERC12" s="120"/>
      <c r="ERD12" s="120"/>
      <c r="ERE12" s="120"/>
      <c r="ERF12" s="59"/>
      <c r="ERG12" s="119"/>
      <c r="ERH12" s="119"/>
      <c r="ERI12" s="119"/>
      <c r="ERJ12" s="119"/>
      <c r="ERK12" s="119"/>
      <c r="ERL12" s="119"/>
      <c r="ERM12" s="119"/>
      <c r="ERN12" s="119"/>
      <c r="ERO12" s="119"/>
      <c r="ERP12" s="119"/>
      <c r="ERQ12" s="119"/>
      <c r="ERR12" s="119"/>
      <c r="ERS12" s="120"/>
      <c r="ERT12" s="120"/>
      <c r="ERU12" s="120"/>
      <c r="ERV12" s="59"/>
      <c r="ERW12" s="119"/>
      <c r="ERX12" s="119"/>
      <c r="ERY12" s="119"/>
      <c r="ERZ12" s="119"/>
      <c r="ESA12" s="119"/>
      <c r="ESB12" s="119"/>
      <c r="ESC12" s="119"/>
      <c r="ESD12" s="119"/>
      <c r="ESE12" s="119"/>
      <c r="ESF12" s="119"/>
      <c r="ESG12" s="119"/>
      <c r="ESH12" s="119"/>
      <c r="ESI12" s="120"/>
      <c r="ESJ12" s="120"/>
      <c r="ESK12" s="120"/>
      <c r="ESL12" s="59"/>
      <c r="ESM12" s="119"/>
      <c r="ESN12" s="119"/>
      <c r="ESO12" s="119"/>
      <c r="ESP12" s="119"/>
      <c r="ESQ12" s="119"/>
      <c r="ESR12" s="119"/>
      <c r="ESS12" s="119"/>
      <c r="EST12" s="119"/>
      <c r="ESU12" s="119"/>
      <c r="ESV12" s="119"/>
      <c r="ESW12" s="119"/>
      <c r="ESX12" s="119"/>
      <c r="ESY12" s="120"/>
      <c r="ESZ12" s="120"/>
      <c r="ETA12" s="120"/>
      <c r="ETB12" s="59"/>
      <c r="ETC12" s="119"/>
      <c r="ETD12" s="119"/>
      <c r="ETE12" s="119"/>
      <c r="ETF12" s="119"/>
      <c r="ETG12" s="119"/>
      <c r="ETH12" s="119"/>
      <c r="ETI12" s="119"/>
      <c r="ETJ12" s="119"/>
      <c r="ETK12" s="119"/>
      <c r="ETL12" s="119"/>
      <c r="ETM12" s="119"/>
      <c r="ETN12" s="119"/>
      <c r="ETO12" s="120"/>
      <c r="ETP12" s="120"/>
      <c r="ETQ12" s="120"/>
      <c r="ETR12" s="59"/>
      <c r="ETS12" s="119"/>
      <c r="ETT12" s="119"/>
      <c r="ETU12" s="119"/>
      <c r="ETV12" s="119"/>
      <c r="ETW12" s="119"/>
      <c r="ETX12" s="119"/>
      <c r="ETY12" s="119"/>
      <c r="ETZ12" s="119"/>
      <c r="EUA12" s="119"/>
      <c r="EUB12" s="119"/>
      <c r="EUC12" s="119"/>
      <c r="EUD12" s="119"/>
      <c r="EUE12" s="120"/>
      <c r="EUF12" s="120"/>
      <c r="EUG12" s="120"/>
      <c r="EUH12" s="59"/>
      <c r="EUI12" s="119"/>
      <c r="EUJ12" s="119"/>
      <c r="EUK12" s="119"/>
      <c r="EUL12" s="119"/>
      <c r="EUM12" s="119"/>
      <c r="EUN12" s="119"/>
      <c r="EUO12" s="119"/>
      <c r="EUP12" s="119"/>
      <c r="EUQ12" s="119"/>
      <c r="EUR12" s="119"/>
      <c r="EUS12" s="119"/>
      <c r="EUT12" s="119"/>
      <c r="EUU12" s="120"/>
      <c r="EUV12" s="120"/>
      <c r="EUW12" s="120"/>
      <c r="EUX12" s="59"/>
      <c r="EUY12" s="119"/>
      <c r="EUZ12" s="119"/>
      <c r="EVA12" s="119"/>
      <c r="EVB12" s="119"/>
      <c r="EVC12" s="119"/>
      <c r="EVD12" s="119"/>
      <c r="EVE12" s="119"/>
      <c r="EVF12" s="119"/>
      <c r="EVG12" s="119"/>
      <c r="EVH12" s="119"/>
      <c r="EVI12" s="119"/>
      <c r="EVJ12" s="119"/>
      <c r="EVK12" s="120"/>
      <c r="EVL12" s="120"/>
      <c r="EVM12" s="120"/>
      <c r="EVN12" s="59"/>
      <c r="EVO12" s="119"/>
      <c r="EVP12" s="119"/>
      <c r="EVQ12" s="119"/>
      <c r="EVR12" s="119"/>
      <c r="EVS12" s="119"/>
      <c r="EVT12" s="119"/>
      <c r="EVU12" s="119"/>
      <c r="EVV12" s="119"/>
      <c r="EVW12" s="119"/>
      <c r="EVX12" s="119"/>
      <c r="EVY12" s="119"/>
      <c r="EVZ12" s="119"/>
      <c r="EWA12" s="120"/>
      <c r="EWB12" s="120"/>
      <c r="EWC12" s="120"/>
      <c r="EWD12" s="59"/>
      <c r="EWE12" s="119"/>
      <c r="EWF12" s="119"/>
      <c r="EWG12" s="119"/>
      <c r="EWH12" s="119"/>
      <c r="EWI12" s="119"/>
      <c r="EWJ12" s="119"/>
      <c r="EWK12" s="119"/>
      <c r="EWL12" s="119"/>
      <c r="EWM12" s="119"/>
      <c r="EWN12" s="119"/>
      <c r="EWO12" s="119"/>
      <c r="EWP12" s="119"/>
      <c r="EWQ12" s="120"/>
      <c r="EWR12" s="120"/>
      <c r="EWS12" s="120"/>
      <c r="EWT12" s="59"/>
      <c r="EWU12" s="119"/>
      <c r="EWV12" s="119"/>
      <c r="EWW12" s="119"/>
      <c r="EWX12" s="119"/>
      <c r="EWY12" s="119"/>
      <c r="EWZ12" s="119"/>
      <c r="EXA12" s="119"/>
      <c r="EXB12" s="119"/>
      <c r="EXC12" s="119"/>
      <c r="EXD12" s="119"/>
      <c r="EXE12" s="119"/>
      <c r="EXF12" s="119"/>
      <c r="EXG12" s="120"/>
      <c r="EXH12" s="120"/>
      <c r="EXI12" s="120"/>
      <c r="EXJ12" s="59"/>
      <c r="EXK12" s="119"/>
      <c r="EXL12" s="119"/>
      <c r="EXM12" s="119"/>
      <c r="EXN12" s="119"/>
      <c r="EXO12" s="119"/>
      <c r="EXP12" s="119"/>
      <c r="EXQ12" s="119"/>
      <c r="EXR12" s="119"/>
      <c r="EXS12" s="119"/>
      <c r="EXT12" s="119"/>
      <c r="EXU12" s="119"/>
      <c r="EXV12" s="119"/>
      <c r="EXW12" s="120"/>
      <c r="EXX12" s="120"/>
      <c r="EXY12" s="120"/>
      <c r="EXZ12" s="59"/>
      <c r="EYA12" s="119"/>
      <c r="EYB12" s="119"/>
      <c r="EYC12" s="119"/>
      <c r="EYD12" s="119"/>
      <c r="EYE12" s="119"/>
      <c r="EYF12" s="119"/>
      <c r="EYG12" s="119"/>
      <c r="EYH12" s="119"/>
      <c r="EYI12" s="119"/>
      <c r="EYJ12" s="119"/>
      <c r="EYK12" s="119"/>
      <c r="EYL12" s="119"/>
      <c r="EYM12" s="120"/>
      <c r="EYN12" s="120"/>
      <c r="EYO12" s="120"/>
      <c r="EYP12" s="59"/>
      <c r="EYQ12" s="119"/>
      <c r="EYR12" s="119"/>
      <c r="EYS12" s="119"/>
      <c r="EYT12" s="119"/>
      <c r="EYU12" s="119"/>
      <c r="EYV12" s="119"/>
      <c r="EYW12" s="119"/>
      <c r="EYX12" s="119"/>
      <c r="EYY12" s="119"/>
      <c r="EYZ12" s="119"/>
      <c r="EZA12" s="119"/>
      <c r="EZB12" s="119"/>
      <c r="EZC12" s="120"/>
      <c r="EZD12" s="120"/>
      <c r="EZE12" s="120"/>
      <c r="EZF12" s="59"/>
      <c r="EZG12" s="119"/>
      <c r="EZH12" s="119"/>
      <c r="EZI12" s="119"/>
      <c r="EZJ12" s="119"/>
      <c r="EZK12" s="119"/>
      <c r="EZL12" s="119"/>
      <c r="EZM12" s="119"/>
      <c r="EZN12" s="119"/>
      <c r="EZO12" s="119"/>
      <c r="EZP12" s="119"/>
      <c r="EZQ12" s="119"/>
      <c r="EZR12" s="119"/>
      <c r="EZS12" s="120"/>
      <c r="EZT12" s="120"/>
      <c r="EZU12" s="120"/>
      <c r="EZV12" s="59"/>
      <c r="EZW12" s="119"/>
      <c r="EZX12" s="119"/>
      <c r="EZY12" s="119"/>
      <c r="EZZ12" s="119"/>
      <c r="FAA12" s="119"/>
      <c r="FAB12" s="119"/>
      <c r="FAC12" s="119"/>
      <c r="FAD12" s="119"/>
      <c r="FAE12" s="119"/>
      <c r="FAF12" s="119"/>
      <c r="FAG12" s="119"/>
      <c r="FAH12" s="119"/>
      <c r="FAI12" s="120"/>
      <c r="FAJ12" s="120"/>
      <c r="FAK12" s="120"/>
      <c r="FAL12" s="59"/>
      <c r="FAM12" s="119"/>
      <c r="FAN12" s="119"/>
      <c r="FAO12" s="119"/>
      <c r="FAP12" s="119"/>
      <c r="FAQ12" s="119"/>
      <c r="FAR12" s="119"/>
      <c r="FAS12" s="119"/>
      <c r="FAT12" s="119"/>
      <c r="FAU12" s="119"/>
      <c r="FAV12" s="119"/>
      <c r="FAW12" s="119"/>
      <c r="FAX12" s="119"/>
      <c r="FAY12" s="120"/>
      <c r="FAZ12" s="120"/>
      <c r="FBA12" s="120"/>
      <c r="FBB12" s="59"/>
      <c r="FBC12" s="119"/>
      <c r="FBD12" s="119"/>
      <c r="FBE12" s="119"/>
      <c r="FBF12" s="119"/>
      <c r="FBG12" s="119"/>
      <c r="FBH12" s="119"/>
      <c r="FBI12" s="119"/>
      <c r="FBJ12" s="119"/>
      <c r="FBK12" s="119"/>
      <c r="FBL12" s="119"/>
      <c r="FBM12" s="119"/>
      <c r="FBN12" s="119"/>
      <c r="FBO12" s="120"/>
      <c r="FBP12" s="120"/>
      <c r="FBQ12" s="120"/>
      <c r="FBR12" s="59"/>
      <c r="FBS12" s="119"/>
      <c r="FBT12" s="119"/>
      <c r="FBU12" s="119"/>
      <c r="FBV12" s="119"/>
      <c r="FBW12" s="119"/>
      <c r="FBX12" s="119"/>
      <c r="FBY12" s="119"/>
      <c r="FBZ12" s="119"/>
      <c r="FCA12" s="119"/>
      <c r="FCB12" s="119"/>
      <c r="FCC12" s="119"/>
      <c r="FCD12" s="119"/>
      <c r="FCE12" s="120"/>
      <c r="FCF12" s="120"/>
      <c r="FCG12" s="120"/>
      <c r="FCH12" s="59"/>
      <c r="FCI12" s="119"/>
      <c r="FCJ12" s="119"/>
      <c r="FCK12" s="119"/>
      <c r="FCL12" s="119"/>
      <c r="FCM12" s="119"/>
      <c r="FCN12" s="119"/>
      <c r="FCO12" s="119"/>
      <c r="FCP12" s="119"/>
      <c r="FCQ12" s="119"/>
      <c r="FCR12" s="119"/>
      <c r="FCS12" s="119"/>
      <c r="FCT12" s="119"/>
      <c r="FCU12" s="120"/>
      <c r="FCV12" s="120"/>
      <c r="FCW12" s="120"/>
      <c r="FCX12" s="59"/>
      <c r="FCY12" s="119"/>
      <c r="FCZ12" s="119"/>
      <c r="FDA12" s="119"/>
      <c r="FDB12" s="119"/>
      <c r="FDC12" s="119"/>
      <c r="FDD12" s="119"/>
      <c r="FDE12" s="119"/>
      <c r="FDF12" s="119"/>
      <c r="FDG12" s="119"/>
      <c r="FDH12" s="119"/>
      <c r="FDI12" s="119"/>
      <c r="FDJ12" s="119"/>
      <c r="FDK12" s="120"/>
      <c r="FDL12" s="120"/>
      <c r="FDM12" s="120"/>
      <c r="FDN12" s="59"/>
      <c r="FDO12" s="119"/>
      <c r="FDP12" s="119"/>
      <c r="FDQ12" s="119"/>
      <c r="FDR12" s="119"/>
      <c r="FDS12" s="119"/>
      <c r="FDT12" s="119"/>
      <c r="FDU12" s="119"/>
      <c r="FDV12" s="119"/>
      <c r="FDW12" s="119"/>
      <c r="FDX12" s="119"/>
      <c r="FDY12" s="119"/>
      <c r="FDZ12" s="119"/>
      <c r="FEA12" s="120"/>
      <c r="FEB12" s="120"/>
      <c r="FEC12" s="120"/>
      <c r="FED12" s="59"/>
      <c r="FEE12" s="119"/>
      <c r="FEF12" s="119"/>
      <c r="FEG12" s="119"/>
      <c r="FEH12" s="119"/>
      <c r="FEI12" s="119"/>
      <c r="FEJ12" s="119"/>
      <c r="FEK12" s="119"/>
      <c r="FEL12" s="119"/>
      <c r="FEM12" s="119"/>
      <c r="FEN12" s="119"/>
      <c r="FEO12" s="119"/>
      <c r="FEP12" s="119"/>
      <c r="FEQ12" s="120"/>
      <c r="FER12" s="120"/>
      <c r="FES12" s="120"/>
      <c r="FET12" s="59"/>
      <c r="FEU12" s="119"/>
      <c r="FEV12" s="119"/>
      <c r="FEW12" s="119"/>
      <c r="FEX12" s="119"/>
      <c r="FEY12" s="119"/>
      <c r="FEZ12" s="119"/>
      <c r="FFA12" s="119"/>
      <c r="FFB12" s="119"/>
      <c r="FFC12" s="119"/>
      <c r="FFD12" s="119"/>
      <c r="FFE12" s="119"/>
      <c r="FFF12" s="119"/>
      <c r="FFG12" s="120"/>
      <c r="FFH12" s="120"/>
      <c r="FFI12" s="120"/>
      <c r="FFJ12" s="59"/>
      <c r="FFK12" s="119"/>
      <c r="FFL12" s="119"/>
      <c r="FFM12" s="119"/>
      <c r="FFN12" s="119"/>
      <c r="FFO12" s="119"/>
      <c r="FFP12" s="119"/>
      <c r="FFQ12" s="119"/>
      <c r="FFR12" s="119"/>
      <c r="FFS12" s="119"/>
      <c r="FFT12" s="119"/>
      <c r="FFU12" s="119"/>
      <c r="FFV12" s="119"/>
      <c r="FFW12" s="120"/>
      <c r="FFX12" s="120"/>
      <c r="FFY12" s="120"/>
      <c r="FFZ12" s="59"/>
      <c r="FGA12" s="119"/>
      <c r="FGB12" s="119"/>
      <c r="FGC12" s="119"/>
      <c r="FGD12" s="119"/>
      <c r="FGE12" s="119"/>
      <c r="FGF12" s="119"/>
      <c r="FGG12" s="119"/>
      <c r="FGH12" s="119"/>
      <c r="FGI12" s="119"/>
      <c r="FGJ12" s="119"/>
      <c r="FGK12" s="119"/>
      <c r="FGL12" s="119"/>
      <c r="FGM12" s="120"/>
      <c r="FGN12" s="120"/>
      <c r="FGO12" s="120"/>
      <c r="FGP12" s="59"/>
      <c r="FGQ12" s="119"/>
      <c r="FGR12" s="119"/>
      <c r="FGS12" s="119"/>
      <c r="FGT12" s="119"/>
      <c r="FGU12" s="119"/>
      <c r="FGV12" s="119"/>
      <c r="FGW12" s="119"/>
      <c r="FGX12" s="119"/>
      <c r="FGY12" s="119"/>
      <c r="FGZ12" s="119"/>
      <c r="FHA12" s="119"/>
      <c r="FHB12" s="119"/>
      <c r="FHC12" s="120"/>
      <c r="FHD12" s="120"/>
      <c r="FHE12" s="120"/>
      <c r="FHF12" s="59"/>
      <c r="FHG12" s="119"/>
      <c r="FHH12" s="119"/>
      <c r="FHI12" s="119"/>
      <c r="FHJ12" s="119"/>
      <c r="FHK12" s="119"/>
      <c r="FHL12" s="119"/>
      <c r="FHM12" s="119"/>
      <c r="FHN12" s="119"/>
      <c r="FHO12" s="119"/>
      <c r="FHP12" s="119"/>
      <c r="FHQ12" s="119"/>
      <c r="FHR12" s="119"/>
      <c r="FHS12" s="120"/>
      <c r="FHT12" s="120"/>
      <c r="FHU12" s="120"/>
      <c r="FHV12" s="59"/>
      <c r="FHW12" s="119"/>
      <c r="FHX12" s="119"/>
      <c r="FHY12" s="119"/>
      <c r="FHZ12" s="119"/>
      <c r="FIA12" s="119"/>
      <c r="FIB12" s="119"/>
      <c r="FIC12" s="119"/>
      <c r="FID12" s="119"/>
      <c r="FIE12" s="119"/>
      <c r="FIF12" s="119"/>
      <c r="FIG12" s="119"/>
      <c r="FIH12" s="119"/>
      <c r="FII12" s="120"/>
      <c r="FIJ12" s="120"/>
      <c r="FIK12" s="120"/>
      <c r="FIL12" s="59"/>
      <c r="FIM12" s="119"/>
      <c r="FIN12" s="119"/>
      <c r="FIO12" s="119"/>
      <c r="FIP12" s="119"/>
      <c r="FIQ12" s="119"/>
      <c r="FIR12" s="119"/>
      <c r="FIS12" s="119"/>
      <c r="FIT12" s="119"/>
      <c r="FIU12" s="119"/>
      <c r="FIV12" s="119"/>
      <c r="FIW12" s="119"/>
      <c r="FIX12" s="119"/>
      <c r="FIY12" s="120"/>
      <c r="FIZ12" s="120"/>
      <c r="FJA12" s="120"/>
      <c r="FJB12" s="59"/>
      <c r="FJC12" s="119"/>
      <c r="FJD12" s="119"/>
      <c r="FJE12" s="119"/>
      <c r="FJF12" s="119"/>
      <c r="FJG12" s="119"/>
      <c r="FJH12" s="119"/>
      <c r="FJI12" s="119"/>
      <c r="FJJ12" s="119"/>
      <c r="FJK12" s="119"/>
      <c r="FJL12" s="119"/>
      <c r="FJM12" s="119"/>
      <c r="FJN12" s="119"/>
      <c r="FJO12" s="120"/>
      <c r="FJP12" s="120"/>
      <c r="FJQ12" s="120"/>
      <c r="FJR12" s="59"/>
      <c r="FJS12" s="119"/>
      <c r="FJT12" s="119"/>
      <c r="FJU12" s="119"/>
      <c r="FJV12" s="119"/>
      <c r="FJW12" s="119"/>
      <c r="FJX12" s="119"/>
      <c r="FJY12" s="119"/>
      <c r="FJZ12" s="119"/>
      <c r="FKA12" s="119"/>
      <c r="FKB12" s="119"/>
      <c r="FKC12" s="119"/>
      <c r="FKD12" s="119"/>
      <c r="FKE12" s="120"/>
      <c r="FKF12" s="120"/>
      <c r="FKG12" s="120"/>
      <c r="FKH12" s="59"/>
      <c r="FKI12" s="119"/>
      <c r="FKJ12" s="119"/>
      <c r="FKK12" s="119"/>
      <c r="FKL12" s="119"/>
      <c r="FKM12" s="119"/>
      <c r="FKN12" s="119"/>
      <c r="FKO12" s="119"/>
      <c r="FKP12" s="119"/>
      <c r="FKQ12" s="119"/>
      <c r="FKR12" s="119"/>
      <c r="FKS12" s="119"/>
      <c r="FKT12" s="119"/>
      <c r="FKU12" s="120"/>
      <c r="FKV12" s="120"/>
      <c r="FKW12" s="120"/>
      <c r="FKX12" s="59"/>
      <c r="FKY12" s="119"/>
      <c r="FKZ12" s="119"/>
      <c r="FLA12" s="119"/>
      <c r="FLB12" s="119"/>
      <c r="FLC12" s="119"/>
      <c r="FLD12" s="119"/>
      <c r="FLE12" s="119"/>
      <c r="FLF12" s="119"/>
      <c r="FLG12" s="119"/>
      <c r="FLH12" s="119"/>
      <c r="FLI12" s="119"/>
      <c r="FLJ12" s="119"/>
      <c r="FLK12" s="120"/>
      <c r="FLL12" s="120"/>
      <c r="FLM12" s="120"/>
      <c r="FLN12" s="59"/>
      <c r="FLO12" s="119"/>
      <c r="FLP12" s="119"/>
      <c r="FLQ12" s="119"/>
      <c r="FLR12" s="119"/>
      <c r="FLS12" s="119"/>
      <c r="FLT12" s="119"/>
      <c r="FLU12" s="119"/>
      <c r="FLV12" s="119"/>
      <c r="FLW12" s="119"/>
      <c r="FLX12" s="119"/>
      <c r="FLY12" s="119"/>
      <c r="FLZ12" s="119"/>
      <c r="FMA12" s="120"/>
      <c r="FMB12" s="120"/>
      <c r="FMC12" s="120"/>
      <c r="FMD12" s="59"/>
      <c r="FME12" s="119"/>
      <c r="FMF12" s="119"/>
      <c r="FMG12" s="119"/>
      <c r="FMH12" s="119"/>
      <c r="FMI12" s="119"/>
      <c r="FMJ12" s="119"/>
      <c r="FMK12" s="119"/>
      <c r="FML12" s="119"/>
      <c r="FMM12" s="119"/>
      <c r="FMN12" s="119"/>
      <c r="FMO12" s="119"/>
      <c r="FMP12" s="119"/>
      <c r="FMQ12" s="120"/>
      <c r="FMR12" s="120"/>
      <c r="FMS12" s="120"/>
      <c r="FMT12" s="59"/>
      <c r="FMU12" s="119"/>
      <c r="FMV12" s="119"/>
      <c r="FMW12" s="119"/>
      <c r="FMX12" s="119"/>
      <c r="FMY12" s="119"/>
      <c r="FMZ12" s="119"/>
      <c r="FNA12" s="119"/>
      <c r="FNB12" s="119"/>
      <c r="FNC12" s="119"/>
      <c r="FND12" s="119"/>
      <c r="FNE12" s="119"/>
      <c r="FNF12" s="119"/>
      <c r="FNG12" s="120"/>
      <c r="FNH12" s="120"/>
      <c r="FNI12" s="120"/>
      <c r="FNJ12" s="59"/>
      <c r="FNK12" s="119"/>
      <c r="FNL12" s="119"/>
      <c r="FNM12" s="119"/>
      <c r="FNN12" s="119"/>
      <c r="FNO12" s="119"/>
      <c r="FNP12" s="119"/>
      <c r="FNQ12" s="119"/>
      <c r="FNR12" s="119"/>
      <c r="FNS12" s="119"/>
      <c r="FNT12" s="119"/>
      <c r="FNU12" s="119"/>
      <c r="FNV12" s="119"/>
      <c r="FNW12" s="120"/>
      <c r="FNX12" s="120"/>
      <c r="FNY12" s="120"/>
      <c r="FNZ12" s="59"/>
      <c r="FOA12" s="119"/>
      <c r="FOB12" s="119"/>
      <c r="FOC12" s="119"/>
      <c r="FOD12" s="119"/>
      <c r="FOE12" s="119"/>
      <c r="FOF12" s="119"/>
      <c r="FOG12" s="119"/>
      <c r="FOH12" s="119"/>
      <c r="FOI12" s="119"/>
      <c r="FOJ12" s="119"/>
      <c r="FOK12" s="119"/>
      <c r="FOL12" s="119"/>
      <c r="FOM12" s="120"/>
      <c r="FON12" s="120"/>
      <c r="FOO12" s="120"/>
      <c r="FOP12" s="59"/>
      <c r="FOQ12" s="119"/>
      <c r="FOR12" s="119"/>
      <c r="FOS12" s="119"/>
      <c r="FOT12" s="119"/>
      <c r="FOU12" s="119"/>
      <c r="FOV12" s="119"/>
      <c r="FOW12" s="119"/>
      <c r="FOX12" s="119"/>
      <c r="FOY12" s="119"/>
      <c r="FOZ12" s="119"/>
      <c r="FPA12" s="119"/>
      <c r="FPB12" s="119"/>
      <c r="FPC12" s="120"/>
      <c r="FPD12" s="120"/>
      <c r="FPE12" s="120"/>
      <c r="FPF12" s="59"/>
      <c r="FPG12" s="119"/>
      <c r="FPH12" s="119"/>
      <c r="FPI12" s="119"/>
      <c r="FPJ12" s="119"/>
      <c r="FPK12" s="119"/>
      <c r="FPL12" s="119"/>
      <c r="FPM12" s="119"/>
      <c r="FPN12" s="119"/>
      <c r="FPO12" s="119"/>
      <c r="FPP12" s="119"/>
      <c r="FPQ12" s="119"/>
      <c r="FPR12" s="119"/>
      <c r="FPS12" s="120"/>
      <c r="FPT12" s="120"/>
      <c r="FPU12" s="120"/>
      <c r="FPV12" s="59"/>
      <c r="FPW12" s="119"/>
      <c r="FPX12" s="119"/>
      <c r="FPY12" s="119"/>
      <c r="FPZ12" s="119"/>
      <c r="FQA12" s="119"/>
      <c r="FQB12" s="119"/>
      <c r="FQC12" s="119"/>
      <c r="FQD12" s="119"/>
      <c r="FQE12" s="119"/>
      <c r="FQF12" s="119"/>
      <c r="FQG12" s="119"/>
      <c r="FQH12" s="119"/>
      <c r="FQI12" s="120"/>
      <c r="FQJ12" s="120"/>
      <c r="FQK12" s="120"/>
      <c r="FQL12" s="59"/>
      <c r="FQM12" s="119"/>
      <c r="FQN12" s="119"/>
      <c r="FQO12" s="119"/>
      <c r="FQP12" s="119"/>
      <c r="FQQ12" s="119"/>
      <c r="FQR12" s="119"/>
      <c r="FQS12" s="119"/>
      <c r="FQT12" s="119"/>
      <c r="FQU12" s="119"/>
      <c r="FQV12" s="119"/>
      <c r="FQW12" s="119"/>
      <c r="FQX12" s="119"/>
      <c r="FQY12" s="120"/>
      <c r="FQZ12" s="120"/>
      <c r="FRA12" s="120"/>
      <c r="FRB12" s="59"/>
      <c r="FRC12" s="119"/>
      <c r="FRD12" s="119"/>
      <c r="FRE12" s="119"/>
      <c r="FRF12" s="119"/>
      <c r="FRG12" s="119"/>
      <c r="FRH12" s="119"/>
      <c r="FRI12" s="119"/>
      <c r="FRJ12" s="119"/>
      <c r="FRK12" s="119"/>
      <c r="FRL12" s="119"/>
      <c r="FRM12" s="119"/>
      <c r="FRN12" s="119"/>
      <c r="FRO12" s="120"/>
      <c r="FRP12" s="120"/>
      <c r="FRQ12" s="120"/>
      <c r="FRR12" s="59"/>
      <c r="FRS12" s="119"/>
      <c r="FRT12" s="119"/>
      <c r="FRU12" s="119"/>
      <c r="FRV12" s="119"/>
      <c r="FRW12" s="119"/>
      <c r="FRX12" s="119"/>
      <c r="FRY12" s="119"/>
      <c r="FRZ12" s="119"/>
      <c r="FSA12" s="119"/>
      <c r="FSB12" s="119"/>
      <c r="FSC12" s="119"/>
      <c r="FSD12" s="119"/>
      <c r="FSE12" s="120"/>
      <c r="FSF12" s="120"/>
      <c r="FSG12" s="120"/>
      <c r="FSH12" s="59"/>
      <c r="FSI12" s="119"/>
      <c r="FSJ12" s="119"/>
      <c r="FSK12" s="119"/>
      <c r="FSL12" s="119"/>
      <c r="FSM12" s="119"/>
      <c r="FSN12" s="119"/>
      <c r="FSO12" s="119"/>
      <c r="FSP12" s="119"/>
      <c r="FSQ12" s="119"/>
      <c r="FSR12" s="119"/>
      <c r="FSS12" s="119"/>
      <c r="FST12" s="119"/>
      <c r="FSU12" s="120"/>
      <c r="FSV12" s="120"/>
      <c r="FSW12" s="120"/>
      <c r="FSX12" s="59"/>
      <c r="FSY12" s="119"/>
      <c r="FSZ12" s="119"/>
      <c r="FTA12" s="119"/>
      <c r="FTB12" s="119"/>
      <c r="FTC12" s="119"/>
      <c r="FTD12" s="119"/>
      <c r="FTE12" s="119"/>
      <c r="FTF12" s="119"/>
      <c r="FTG12" s="119"/>
      <c r="FTH12" s="119"/>
      <c r="FTI12" s="119"/>
      <c r="FTJ12" s="119"/>
      <c r="FTK12" s="120"/>
      <c r="FTL12" s="120"/>
      <c r="FTM12" s="120"/>
      <c r="FTN12" s="59"/>
      <c r="FTO12" s="119"/>
      <c r="FTP12" s="119"/>
      <c r="FTQ12" s="119"/>
      <c r="FTR12" s="119"/>
      <c r="FTS12" s="119"/>
      <c r="FTT12" s="119"/>
      <c r="FTU12" s="119"/>
      <c r="FTV12" s="119"/>
      <c r="FTW12" s="119"/>
      <c r="FTX12" s="119"/>
      <c r="FTY12" s="119"/>
      <c r="FTZ12" s="119"/>
      <c r="FUA12" s="120"/>
      <c r="FUB12" s="120"/>
      <c r="FUC12" s="120"/>
      <c r="FUD12" s="59"/>
      <c r="FUE12" s="119"/>
      <c r="FUF12" s="119"/>
      <c r="FUG12" s="119"/>
      <c r="FUH12" s="119"/>
      <c r="FUI12" s="119"/>
      <c r="FUJ12" s="119"/>
      <c r="FUK12" s="119"/>
      <c r="FUL12" s="119"/>
      <c r="FUM12" s="119"/>
      <c r="FUN12" s="119"/>
      <c r="FUO12" s="119"/>
      <c r="FUP12" s="119"/>
      <c r="FUQ12" s="120"/>
      <c r="FUR12" s="120"/>
      <c r="FUS12" s="120"/>
      <c r="FUT12" s="59"/>
      <c r="FUU12" s="119"/>
      <c r="FUV12" s="119"/>
      <c r="FUW12" s="119"/>
      <c r="FUX12" s="119"/>
      <c r="FUY12" s="119"/>
      <c r="FUZ12" s="119"/>
      <c r="FVA12" s="119"/>
      <c r="FVB12" s="119"/>
      <c r="FVC12" s="119"/>
      <c r="FVD12" s="119"/>
      <c r="FVE12" s="119"/>
      <c r="FVF12" s="119"/>
      <c r="FVG12" s="120"/>
      <c r="FVH12" s="120"/>
      <c r="FVI12" s="120"/>
      <c r="FVJ12" s="59"/>
      <c r="FVK12" s="119"/>
      <c r="FVL12" s="119"/>
      <c r="FVM12" s="119"/>
      <c r="FVN12" s="119"/>
      <c r="FVO12" s="119"/>
      <c r="FVP12" s="119"/>
      <c r="FVQ12" s="119"/>
      <c r="FVR12" s="119"/>
      <c r="FVS12" s="119"/>
      <c r="FVT12" s="119"/>
      <c r="FVU12" s="119"/>
      <c r="FVV12" s="119"/>
      <c r="FVW12" s="120"/>
      <c r="FVX12" s="120"/>
      <c r="FVY12" s="120"/>
      <c r="FVZ12" s="59"/>
      <c r="FWA12" s="119"/>
      <c r="FWB12" s="119"/>
      <c r="FWC12" s="119"/>
      <c r="FWD12" s="119"/>
      <c r="FWE12" s="119"/>
      <c r="FWF12" s="119"/>
      <c r="FWG12" s="119"/>
      <c r="FWH12" s="119"/>
      <c r="FWI12" s="119"/>
      <c r="FWJ12" s="119"/>
      <c r="FWK12" s="119"/>
      <c r="FWL12" s="119"/>
      <c r="FWM12" s="120"/>
      <c r="FWN12" s="120"/>
      <c r="FWO12" s="120"/>
      <c r="FWP12" s="59"/>
      <c r="FWQ12" s="119"/>
      <c r="FWR12" s="119"/>
      <c r="FWS12" s="119"/>
      <c r="FWT12" s="119"/>
      <c r="FWU12" s="119"/>
      <c r="FWV12" s="119"/>
      <c r="FWW12" s="119"/>
      <c r="FWX12" s="119"/>
      <c r="FWY12" s="119"/>
      <c r="FWZ12" s="119"/>
      <c r="FXA12" s="119"/>
      <c r="FXB12" s="119"/>
      <c r="FXC12" s="120"/>
      <c r="FXD12" s="120"/>
      <c r="FXE12" s="120"/>
      <c r="FXF12" s="59"/>
      <c r="FXG12" s="119"/>
      <c r="FXH12" s="119"/>
      <c r="FXI12" s="119"/>
      <c r="FXJ12" s="119"/>
      <c r="FXK12" s="119"/>
      <c r="FXL12" s="119"/>
      <c r="FXM12" s="119"/>
      <c r="FXN12" s="119"/>
      <c r="FXO12" s="119"/>
      <c r="FXP12" s="119"/>
      <c r="FXQ12" s="119"/>
      <c r="FXR12" s="119"/>
      <c r="FXS12" s="120"/>
      <c r="FXT12" s="120"/>
      <c r="FXU12" s="120"/>
      <c r="FXV12" s="59"/>
      <c r="FXW12" s="119"/>
      <c r="FXX12" s="119"/>
      <c r="FXY12" s="119"/>
      <c r="FXZ12" s="119"/>
      <c r="FYA12" s="119"/>
      <c r="FYB12" s="119"/>
      <c r="FYC12" s="119"/>
      <c r="FYD12" s="119"/>
      <c r="FYE12" s="119"/>
      <c r="FYF12" s="119"/>
      <c r="FYG12" s="119"/>
      <c r="FYH12" s="119"/>
      <c r="FYI12" s="120"/>
      <c r="FYJ12" s="120"/>
      <c r="FYK12" s="120"/>
      <c r="FYL12" s="59"/>
      <c r="FYM12" s="119"/>
      <c r="FYN12" s="119"/>
      <c r="FYO12" s="119"/>
      <c r="FYP12" s="119"/>
      <c r="FYQ12" s="119"/>
      <c r="FYR12" s="119"/>
      <c r="FYS12" s="119"/>
      <c r="FYT12" s="119"/>
      <c r="FYU12" s="119"/>
      <c r="FYV12" s="119"/>
      <c r="FYW12" s="119"/>
      <c r="FYX12" s="119"/>
      <c r="FYY12" s="120"/>
      <c r="FYZ12" s="120"/>
      <c r="FZA12" s="120"/>
      <c r="FZB12" s="59"/>
      <c r="FZC12" s="119"/>
      <c r="FZD12" s="119"/>
      <c r="FZE12" s="119"/>
      <c r="FZF12" s="119"/>
      <c r="FZG12" s="119"/>
      <c r="FZH12" s="119"/>
      <c r="FZI12" s="119"/>
      <c r="FZJ12" s="119"/>
      <c r="FZK12" s="119"/>
      <c r="FZL12" s="119"/>
      <c r="FZM12" s="119"/>
      <c r="FZN12" s="119"/>
      <c r="FZO12" s="120"/>
      <c r="FZP12" s="120"/>
      <c r="FZQ12" s="120"/>
      <c r="FZR12" s="59"/>
      <c r="FZS12" s="119"/>
      <c r="FZT12" s="119"/>
      <c r="FZU12" s="119"/>
      <c r="FZV12" s="119"/>
      <c r="FZW12" s="119"/>
      <c r="FZX12" s="119"/>
      <c r="FZY12" s="119"/>
      <c r="FZZ12" s="119"/>
      <c r="GAA12" s="119"/>
      <c r="GAB12" s="119"/>
      <c r="GAC12" s="119"/>
      <c r="GAD12" s="119"/>
      <c r="GAE12" s="120"/>
      <c r="GAF12" s="120"/>
      <c r="GAG12" s="120"/>
      <c r="GAH12" s="59"/>
      <c r="GAI12" s="119"/>
      <c r="GAJ12" s="119"/>
      <c r="GAK12" s="119"/>
      <c r="GAL12" s="119"/>
      <c r="GAM12" s="119"/>
      <c r="GAN12" s="119"/>
      <c r="GAO12" s="119"/>
      <c r="GAP12" s="119"/>
      <c r="GAQ12" s="119"/>
      <c r="GAR12" s="119"/>
      <c r="GAS12" s="119"/>
      <c r="GAT12" s="119"/>
      <c r="GAU12" s="120"/>
      <c r="GAV12" s="120"/>
      <c r="GAW12" s="120"/>
      <c r="GAX12" s="59"/>
      <c r="GAY12" s="119"/>
      <c r="GAZ12" s="119"/>
      <c r="GBA12" s="119"/>
      <c r="GBB12" s="119"/>
      <c r="GBC12" s="119"/>
      <c r="GBD12" s="119"/>
      <c r="GBE12" s="119"/>
      <c r="GBF12" s="119"/>
      <c r="GBG12" s="119"/>
      <c r="GBH12" s="119"/>
      <c r="GBI12" s="119"/>
      <c r="GBJ12" s="119"/>
      <c r="GBK12" s="120"/>
      <c r="GBL12" s="120"/>
      <c r="GBM12" s="120"/>
      <c r="GBN12" s="59"/>
      <c r="GBO12" s="119"/>
      <c r="GBP12" s="119"/>
      <c r="GBQ12" s="119"/>
      <c r="GBR12" s="119"/>
      <c r="GBS12" s="119"/>
      <c r="GBT12" s="119"/>
      <c r="GBU12" s="119"/>
      <c r="GBV12" s="119"/>
      <c r="GBW12" s="119"/>
      <c r="GBX12" s="119"/>
      <c r="GBY12" s="119"/>
      <c r="GBZ12" s="119"/>
      <c r="GCA12" s="120"/>
      <c r="GCB12" s="120"/>
      <c r="GCC12" s="120"/>
      <c r="GCD12" s="59"/>
      <c r="GCE12" s="119"/>
      <c r="GCF12" s="119"/>
      <c r="GCG12" s="119"/>
      <c r="GCH12" s="119"/>
      <c r="GCI12" s="119"/>
      <c r="GCJ12" s="119"/>
      <c r="GCK12" s="119"/>
      <c r="GCL12" s="119"/>
      <c r="GCM12" s="119"/>
      <c r="GCN12" s="119"/>
      <c r="GCO12" s="119"/>
      <c r="GCP12" s="119"/>
      <c r="GCQ12" s="120"/>
      <c r="GCR12" s="120"/>
      <c r="GCS12" s="120"/>
      <c r="GCT12" s="59"/>
      <c r="GCU12" s="119"/>
      <c r="GCV12" s="119"/>
      <c r="GCW12" s="119"/>
      <c r="GCX12" s="119"/>
      <c r="GCY12" s="119"/>
      <c r="GCZ12" s="119"/>
      <c r="GDA12" s="119"/>
      <c r="GDB12" s="119"/>
      <c r="GDC12" s="119"/>
      <c r="GDD12" s="119"/>
      <c r="GDE12" s="119"/>
      <c r="GDF12" s="119"/>
      <c r="GDG12" s="120"/>
      <c r="GDH12" s="120"/>
      <c r="GDI12" s="120"/>
      <c r="GDJ12" s="59"/>
      <c r="GDK12" s="119"/>
      <c r="GDL12" s="119"/>
      <c r="GDM12" s="119"/>
      <c r="GDN12" s="119"/>
      <c r="GDO12" s="119"/>
      <c r="GDP12" s="119"/>
      <c r="GDQ12" s="119"/>
      <c r="GDR12" s="119"/>
      <c r="GDS12" s="119"/>
      <c r="GDT12" s="119"/>
      <c r="GDU12" s="119"/>
      <c r="GDV12" s="119"/>
      <c r="GDW12" s="120"/>
      <c r="GDX12" s="120"/>
      <c r="GDY12" s="120"/>
      <c r="GDZ12" s="59"/>
      <c r="GEA12" s="119"/>
      <c r="GEB12" s="119"/>
      <c r="GEC12" s="119"/>
      <c r="GED12" s="119"/>
      <c r="GEE12" s="119"/>
      <c r="GEF12" s="119"/>
      <c r="GEG12" s="119"/>
      <c r="GEH12" s="119"/>
      <c r="GEI12" s="119"/>
      <c r="GEJ12" s="119"/>
      <c r="GEK12" s="119"/>
      <c r="GEL12" s="119"/>
      <c r="GEM12" s="120"/>
      <c r="GEN12" s="120"/>
      <c r="GEO12" s="120"/>
      <c r="GEP12" s="59"/>
      <c r="GEQ12" s="119"/>
      <c r="GER12" s="119"/>
      <c r="GES12" s="119"/>
      <c r="GET12" s="119"/>
      <c r="GEU12" s="119"/>
      <c r="GEV12" s="119"/>
      <c r="GEW12" s="119"/>
      <c r="GEX12" s="119"/>
      <c r="GEY12" s="119"/>
      <c r="GEZ12" s="119"/>
      <c r="GFA12" s="119"/>
      <c r="GFB12" s="119"/>
      <c r="GFC12" s="120"/>
      <c r="GFD12" s="120"/>
      <c r="GFE12" s="120"/>
      <c r="GFF12" s="59"/>
      <c r="GFG12" s="119"/>
      <c r="GFH12" s="119"/>
      <c r="GFI12" s="119"/>
      <c r="GFJ12" s="119"/>
      <c r="GFK12" s="119"/>
      <c r="GFL12" s="119"/>
      <c r="GFM12" s="119"/>
      <c r="GFN12" s="119"/>
      <c r="GFO12" s="119"/>
      <c r="GFP12" s="119"/>
      <c r="GFQ12" s="119"/>
      <c r="GFR12" s="119"/>
      <c r="GFS12" s="120"/>
      <c r="GFT12" s="120"/>
      <c r="GFU12" s="120"/>
      <c r="GFV12" s="59"/>
      <c r="GFW12" s="119"/>
      <c r="GFX12" s="119"/>
      <c r="GFY12" s="119"/>
      <c r="GFZ12" s="119"/>
      <c r="GGA12" s="119"/>
      <c r="GGB12" s="119"/>
      <c r="GGC12" s="119"/>
      <c r="GGD12" s="119"/>
      <c r="GGE12" s="119"/>
      <c r="GGF12" s="119"/>
      <c r="GGG12" s="119"/>
      <c r="GGH12" s="119"/>
      <c r="GGI12" s="120"/>
      <c r="GGJ12" s="120"/>
      <c r="GGK12" s="120"/>
      <c r="GGL12" s="59"/>
      <c r="GGM12" s="119"/>
      <c r="GGN12" s="119"/>
      <c r="GGO12" s="119"/>
      <c r="GGP12" s="119"/>
      <c r="GGQ12" s="119"/>
      <c r="GGR12" s="119"/>
      <c r="GGS12" s="119"/>
      <c r="GGT12" s="119"/>
      <c r="GGU12" s="119"/>
      <c r="GGV12" s="119"/>
      <c r="GGW12" s="119"/>
      <c r="GGX12" s="119"/>
      <c r="GGY12" s="120"/>
      <c r="GGZ12" s="120"/>
      <c r="GHA12" s="120"/>
      <c r="GHB12" s="59"/>
      <c r="GHC12" s="119"/>
      <c r="GHD12" s="119"/>
      <c r="GHE12" s="119"/>
      <c r="GHF12" s="119"/>
      <c r="GHG12" s="119"/>
      <c r="GHH12" s="119"/>
      <c r="GHI12" s="119"/>
      <c r="GHJ12" s="119"/>
      <c r="GHK12" s="119"/>
      <c r="GHL12" s="119"/>
      <c r="GHM12" s="119"/>
      <c r="GHN12" s="119"/>
      <c r="GHO12" s="120"/>
      <c r="GHP12" s="120"/>
      <c r="GHQ12" s="120"/>
      <c r="GHR12" s="59"/>
      <c r="GHS12" s="119"/>
      <c r="GHT12" s="119"/>
      <c r="GHU12" s="119"/>
      <c r="GHV12" s="119"/>
      <c r="GHW12" s="119"/>
      <c r="GHX12" s="119"/>
      <c r="GHY12" s="119"/>
      <c r="GHZ12" s="119"/>
      <c r="GIA12" s="119"/>
      <c r="GIB12" s="119"/>
      <c r="GIC12" s="119"/>
      <c r="GID12" s="119"/>
      <c r="GIE12" s="120"/>
      <c r="GIF12" s="120"/>
      <c r="GIG12" s="120"/>
      <c r="GIH12" s="59"/>
      <c r="GII12" s="119"/>
      <c r="GIJ12" s="119"/>
      <c r="GIK12" s="119"/>
      <c r="GIL12" s="119"/>
      <c r="GIM12" s="119"/>
      <c r="GIN12" s="119"/>
      <c r="GIO12" s="119"/>
      <c r="GIP12" s="119"/>
      <c r="GIQ12" s="119"/>
      <c r="GIR12" s="119"/>
      <c r="GIS12" s="119"/>
      <c r="GIT12" s="119"/>
      <c r="GIU12" s="120"/>
      <c r="GIV12" s="120"/>
      <c r="GIW12" s="120"/>
      <c r="GIX12" s="59"/>
      <c r="GIY12" s="119"/>
      <c r="GIZ12" s="119"/>
      <c r="GJA12" s="119"/>
      <c r="GJB12" s="119"/>
      <c r="GJC12" s="119"/>
      <c r="GJD12" s="119"/>
      <c r="GJE12" s="119"/>
      <c r="GJF12" s="119"/>
      <c r="GJG12" s="119"/>
      <c r="GJH12" s="119"/>
      <c r="GJI12" s="119"/>
      <c r="GJJ12" s="119"/>
      <c r="GJK12" s="120"/>
      <c r="GJL12" s="120"/>
      <c r="GJM12" s="120"/>
      <c r="GJN12" s="59"/>
      <c r="GJO12" s="119"/>
      <c r="GJP12" s="119"/>
      <c r="GJQ12" s="119"/>
      <c r="GJR12" s="119"/>
      <c r="GJS12" s="119"/>
      <c r="GJT12" s="119"/>
      <c r="GJU12" s="119"/>
      <c r="GJV12" s="119"/>
      <c r="GJW12" s="119"/>
      <c r="GJX12" s="119"/>
      <c r="GJY12" s="119"/>
      <c r="GJZ12" s="119"/>
      <c r="GKA12" s="120"/>
      <c r="GKB12" s="120"/>
      <c r="GKC12" s="120"/>
      <c r="GKD12" s="59"/>
      <c r="GKE12" s="119"/>
      <c r="GKF12" s="119"/>
      <c r="GKG12" s="119"/>
      <c r="GKH12" s="119"/>
      <c r="GKI12" s="119"/>
      <c r="GKJ12" s="119"/>
      <c r="GKK12" s="119"/>
      <c r="GKL12" s="119"/>
      <c r="GKM12" s="119"/>
      <c r="GKN12" s="119"/>
      <c r="GKO12" s="119"/>
      <c r="GKP12" s="119"/>
      <c r="GKQ12" s="120"/>
      <c r="GKR12" s="120"/>
      <c r="GKS12" s="120"/>
      <c r="GKT12" s="59"/>
      <c r="GKU12" s="119"/>
      <c r="GKV12" s="119"/>
      <c r="GKW12" s="119"/>
      <c r="GKX12" s="119"/>
      <c r="GKY12" s="119"/>
      <c r="GKZ12" s="119"/>
      <c r="GLA12" s="119"/>
      <c r="GLB12" s="119"/>
      <c r="GLC12" s="119"/>
      <c r="GLD12" s="119"/>
      <c r="GLE12" s="119"/>
      <c r="GLF12" s="119"/>
      <c r="GLG12" s="120"/>
      <c r="GLH12" s="120"/>
      <c r="GLI12" s="120"/>
      <c r="GLJ12" s="59"/>
      <c r="GLK12" s="119"/>
      <c r="GLL12" s="119"/>
      <c r="GLM12" s="119"/>
      <c r="GLN12" s="119"/>
      <c r="GLO12" s="119"/>
      <c r="GLP12" s="119"/>
      <c r="GLQ12" s="119"/>
      <c r="GLR12" s="119"/>
      <c r="GLS12" s="119"/>
      <c r="GLT12" s="119"/>
      <c r="GLU12" s="119"/>
      <c r="GLV12" s="119"/>
      <c r="GLW12" s="120"/>
      <c r="GLX12" s="120"/>
      <c r="GLY12" s="120"/>
      <c r="GLZ12" s="59"/>
      <c r="GMA12" s="119"/>
      <c r="GMB12" s="119"/>
      <c r="GMC12" s="119"/>
      <c r="GMD12" s="119"/>
      <c r="GME12" s="119"/>
      <c r="GMF12" s="119"/>
      <c r="GMG12" s="119"/>
      <c r="GMH12" s="119"/>
      <c r="GMI12" s="119"/>
      <c r="GMJ12" s="119"/>
      <c r="GMK12" s="119"/>
      <c r="GML12" s="119"/>
      <c r="GMM12" s="120"/>
      <c r="GMN12" s="120"/>
      <c r="GMO12" s="120"/>
      <c r="GMP12" s="59"/>
      <c r="GMQ12" s="119"/>
      <c r="GMR12" s="119"/>
      <c r="GMS12" s="119"/>
      <c r="GMT12" s="119"/>
      <c r="GMU12" s="119"/>
      <c r="GMV12" s="119"/>
      <c r="GMW12" s="119"/>
      <c r="GMX12" s="119"/>
      <c r="GMY12" s="119"/>
      <c r="GMZ12" s="119"/>
      <c r="GNA12" s="119"/>
      <c r="GNB12" s="119"/>
      <c r="GNC12" s="120"/>
      <c r="GND12" s="120"/>
      <c r="GNE12" s="120"/>
      <c r="GNF12" s="59"/>
      <c r="GNG12" s="119"/>
      <c r="GNH12" s="119"/>
      <c r="GNI12" s="119"/>
      <c r="GNJ12" s="119"/>
      <c r="GNK12" s="119"/>
      <c r="GNL12" s="119"/>
      <c r="GNM12" s="119"/>
      <c r="GNN12" s="119"/>
      <c r="GNO12" s="119"/>
      <c r="GNP12" s="119"/>
      <c r="GNQ12" s="119"/>
      <c r="GNR12" s="119"/>
      <c r="GNS12" s="120"/>
      <c r="GNT12" s="120"/>
      <c r="GNU12" s="120"/>
      <c r="GNV12" s="59"/>
      <c r="GNW12" s="119"/>
      <c r="GNX12" s="119"/>
      <c r="GNY12" s="119"/>
      <c r="GNZ12" s="119"/>
      <c r="GOA12" s="119"/>
      <c r="GOB12" s="119"/>
      <c r="GOC12" s="119"/>
      <c r="GOD12" s="119"/>
      <c r="GOE12" s="119"/>
      <c r="GOF12" s="119"/>
      <c r="GOG12" s="119"/>
      <c r="GOH12" s="119"/>
      <c r="GOI12" s="120"/>
      <c r="GOJ12" s="120"/>
      <c r="GOK12" s="120"/>
      <c r="GOL12" s="59"/>
      <c r="GOM12" s="119"/>
      <c r="GON12" s="119"/>
      <c r="GOO12" s="119"/>
      <c r="GOP12" s="119"/>
      <c r="GOQ12" s="119"/>
      <c r="GOR12" s="119"/>
      <c r="GOS12" s="119"/>
      <c r="GOT12" s="119"/>
      <c r="GOU12" s="119"/>
      <c r="GOV12" s="119"/>
      <c r="GOW12" s="119"/>
      <c r="GOX12" s="119"/>
      <c r="GOY12" s="120"/>
      <c r="GOZ12" s="120"/>
      <c r="GPA12" s="120"/>
      <c r="GPB12" s="59"/>
      <c r="GPC12" s="119"/>
      <c r="GPD12" s="119"/>
      <c r="GPE12" s="119"/>
      <c r="GPF12" s="119"/>
      <c r="GPG12" s="119"/>
      <c r="GPH12" s="119"/>
      <c r="GPI12" s="119"/>
      <c r="GPJ12" s="119"/>
      <c r="GPK12" s="119"/>
      <c r="GPL12" s="119"/>
      <c r="GPM12" s="119"/>
      <c r="GPN12" s="119"/>
      <c r="GPO12" s="120"/>
      <c r="GPP12" s="120"/>
      <c r="GPQ12" s="120"/>
      <c r="GPR12" s="59"/>
      <c r="GPS12" s="119"/>
      <c r="GPT12" s="119"/>
      <c r="GPU12" s="119"/>
      <c r="GPV12" s="119"/>
      <c r="GPW12" s="119"/>
      <c r="GPX12" s="119"/>
      <c r="GPY12" s="119"/>
      <c r="GPZ12" s="119"/>
      <c r="GQA12" s="119"/>
      <c r="GQB12" s="119"/>
      <c r="GQC12" s="119"/>
      <c r="GQD12" s="119"/>
      <c r="GQE12" s="120"/>
      <c r="GQF12" s="120"/>
      <c r="GQG12" s="120"/>
      <c r="GQH12" s="59"/>
      <c r="GQI12" s="119"/>
      <c r="GQJ12" s="119"/>
      <c r="GQK12" s="119"/>
      <c r="GQL12" s="119"/>
      <c r="GQM12" s="119"/>
      <c r="GQN12" s="119"/>
      <c r="GQO12" s="119"/>
      <c r="GQP12" s="119"/>
      <c r="GQQ12" s="119"/>
      <c r="GQR12" s="119"/>
      <c r="GQS12" s="119"/>
      <c r="GQT12" s="119"/>
      <c r="GQU12" s="120"/>
      <c r="GQV12" s="120"/>
      <c r="GQW12" s="120"/>
      <c r="GQX12" s="59"/>
      <c r="GQY12" s="119"/>
      <c r="GQZ12" s="119"/>
      <c r="GRA12" s="119"/>
      <c r="GRB12" s="119"/>
      <c r="GRC12" s="119"/>
      <c r="GRD12" s="119"/>
      <c r="GRE12" s="119"/>
      <c r="GRF12" s="119"/>
      <c r="GRG12" s="119"/>
      <c r="GRH12" s="119"/>
      <c r="GRI12" s="119"/>
      <c r="GRJ12" s="119"/>
      <c r="GRK12" s="120"/>
      <c r="GRL12" s="120"/>
      <c r="GRM12" s="120"/>
      <c r="GRN12" s="59"/>
      <c r="GRO12" s="119"/>
      <c r="GRP12" s="119"/>
      <c r="GRQ12" s="119"/>
      <c r="GRR12" s="119"/>
      <c r="GRS12" s="119"/>
      <c r="GRT12" s="119"/>
      <c r="GRU12" s="119"/>
      <c r="GRV12" s="119"/>
      <c r="GRW12" s="119"/>
      <c r="GRX12" s="119"/>
      <c r="GRY12" s="119"/>
      <c r="GRZ12" s="119"/>
      <c r="GSA12" s="120"/>
      <c r="GSB12" s="120"/>
      <c r="GSC12" s="120"/>
      <c r="GSD12" s="59"/>
      <c r="GSE12" s="119"/>
      <c r="GSF12" s="119"/>
      <c r="GSG12" s="119"/>
      <c r="GSH12" s="119"/>
      <c r="GSI12" s="119"/>
      <c r="GSJ12" s="119"/>
      <c r="GSK12" s="119"/>
      <c r="GSL12" s="119"/>
      <c r="GSM12" s="119"/>
      <c r="GSN12" s="119"/>
      <c r="GSO12" s="119"/>
      <c r="GSP12" s="119"/>
      <c r="GSQ12" s="120"/>
      <c r="GSR12" s="120"/>
      <c r="GSS12" s="120"/>
      <c r="GST12" s="59"/>
      <c r="GSU12" s="119"/>
      <c r="GSV12" s="119"/>
      <c r="GSW12" s="119"/>
      <c r="GSX12" s="119"/>
      <c r="GSY12" s="119"/>
      <c r="GSZ12" s="119"/>
      <c r="GTA12" s="119"/>
      <c r="GTB12" s="119"/>
      <c r="GTC12" s="119"/>
      <c r="GTD12" s="119"/>
      <c r="GTE12" s="119"/>
      <c r="GTF12" s="119"/>
      <c r="GTG12" s="120"/>
      <c r="GTH12" s="120"/>
      <c r="GTI12" s="120"/>
      <c r="GTJ12" s="59"/>
      <c r="GTK12" s="119"/>
      <c r="GTL12" s="119"/>
      <c r="GTM12" s="119"/>
      <c r="GTN12" s="119"/>
      <c r="GTO12" s="119"/>
      <c r="GTP12" s="119"/>
      <c r="GTQ12" s="119"/>
      <c r="GTR12" s="119"/>
      <c r="GTS12" s="119"/>
      <c r="GTT12" s="119"/>
      <c r="GTU12" s="119"/>
      <c r="GTV12" s="119"/>
      <c r="GTW12" s="120"/>
      <c r="GTX12" s="120"/>
      <c r="GTY12" s="120"/>
      <c r="GTZ12" s="59"/>
      <c r="GUA12" s="119"/>
      <c r="GUB12" s="119"/>
      <c r="GUC12" s="119"/>
      <c r="GUD12" s="119"/>
      <c r="GUE12" s="119"/>
      <c r="GUF12" s="119"/>
      <c r="GUG12" s="119"/>
      <c r="GUH12" s="119"/>
      <c r="GUI12" s="119"/>
      <c r="GUJ12" s="119"/>
      <c r="GUK12" s="119"/>
      <c r="GUL12" s="119"/>
      <c r="GUM12" s="120"/>
      <c r="GUN12" s="120"/>
      <c r="GUO12" s="120"/>
      <c r="GUP12" s="59"/>
      <c r="GUQ12" s="119"/>
      <c r="GUR12" s="119"/>
      <c r="GUS12" s="119"/>
      <c r="GUT12" s="119"/>
      <c r="GUU12" s="119"/>
      <c r="GUV12" s="119"/>
      <c r="GUW12" s="119"/>
      <c r="GUX12" s="119"/>
      <c r="GUY12" s="119"/>
      <c r="GUZ12" s="119"/>
      <c r="GVA12" s="119"/>
      <c r="GVB12" s="119"/>
      <c r="GVC12" s="120"/>
      <c r="GVD12" s="120"/>
      <c r="GVE12" s="120"/>
      <c r="GVF12" s="59"/>
      <c r="GVG12" s="119"/>
      <c r="GVH12" s="119"/>
      <c r="GVI12" s="119"/>
      <c r="GVJ12" s="119"/>
      <c r="GVK12" s="119"/>
      <c r="GVL12" s="119"/>
      <c r="GVM12" s="119"/>
      <c r="GVN12" s="119"/>
      <c r="GVO12" s="119"/>
      <c r="GVP12" s="119"/>
      <c r="GVQ12" s="119"/>
      <c r="GVR12" s="119"/>
      <c r="GVS12" s="120"/>
      <c r="GVT12" s="120"/>
      <c r="GVU12" s="120"/>
      <c r="GVV12" s="59"/>
      <c r="GVW12" s="119"/>
      <c r="GVX12" s="119"/>
      <c r="GVY12" s="119"/>
      <c r="GVZ12" s="119"/>
      <c r="GWA12" s="119"/>
      <c r="GWB12" s="119"/>
      <c r="GWC12" s="119"/>
      <c r="GWD12" s="119"/>
      <c r="GWE12" s="119"/>
      <c r="GWF12" s="119"/>
      <c r="GWG12" s="119"/>
      <c r="GWH12" s="119"/>
      <c r="GWI12" s="120"/>
      <c r="GWJ12" s="120"/>
      <c r="GWK12" s="120"/>
      <c r="GWL12" s="59"/>
      <c r="GWM12" s="119"/>
      <c r="GWN12" s="119"/>
      <c r="GWO12" s="119"/>
      <c r="GWP12" s="119"/>
      <c r="GWQ12" s="119"/>
      <c r="GWR12" s="119"/>
      <c r="GWS12" s="119"/>
      <c r="GWT12" s="119"/>
      <c r="GWU12" s="119"/>
      <c r="GWV12" s="119"/>
      <c r="GWW12" s="119"/>
      <c r="GWX12" s="119"/>
      <c r="GWY12" s="120"/>
      <c r="GWZ12" s="120"/>
      <c r="GXA12" s="120"/>
      <c r="GXB12" s="59"/>
      <c r="GXC12" s="119"/>
      <c r="GXD12" s="119"/>
      <c r="GXE12" s="119"/>
      <c r="GXF12" s="119"/>
      <c r="GXG12" s="119"/>
      <c r="GXH12" s="119"/>
      <c r="GXI12" s="119"/>
      <c r="GXJ12" s="119"/>
      <c r="GXK12" s="119"/>
      <c r="GXL12" s="119"/>
      <c r="GXM12" s="119"/>
      <c r="GXN12" s="119"/>
      <c r="GXO12" s="120"/>
      <c r="GXP12" s="120"/>
      <c r="GXQ12" s="120"/>
      <c r="GXR12" s="59"/>
      <c r="GXS12" s="119"/>
      <c r="GXT12" s="119"/>
      <c r="GXU12" s="119"/>
      <c r="GXV12" s="119"/>
      <c r="GXW12" s="119"/>
      <c r="GXX12" s="119"/>
      <c r="GXY12" s="119"/>
      <c r="GXZ12" s="119"/>
      <c r="GYA12" s="119"/>
      <c r="GYB12" s="119"/>
      <c r="GYC12" s="119"/>
      <c r="GYD12" s="119"/>
      <c r="GYE12" s="120"/>
      <c r="GYF12" s="120"/>
      <c r="GYG12" s="120"/>
      <c r="GYH12" s="59"/>
      <c r="GYI12" s="119"/>
      <c r="GYJ12" s="119"/>
      <c r="GYK12" s="119"/>
      <c r="GYL12" s="119"/>
      <c r="GYM12" s="119"/>
      <c r="GYN12" s="119"/>
      <c r="GYO12" s="119"/>
      <c r="GYP12" s="119"/>
      <c r="GYQ12" s="119"/>
      <c r="GYR12" s="119"/>
      <c r="GYS12" s="119"/>
      <c r="GYT12" s="119"/>
      <c r="GYU12" s="120"/>
      <c r="GYV12" s="120"/>
      <c r="GYW12" s="120"/>
      <c r="GYX12" s="59"/>
      <c r="GYY12" s="119"/>
      <c r="GYZ12" s="119"/>
      <c r="GZA12" s="119"/>
      <c r="GZB12" s="119"/>
      <c r="GZC12" s="119"/>
      <c r="GZD12" s="119"/>
      <c r="GZE12" s="119"/>
      <c r="GZF12" s="119"/>
      <c r="GZG12" s="119"/>
      <c r="GZH12" s="119"/>
      <c r="GZI12" s="119"/>
      <c r="GZJ12" s="119"/>
      <c r="GZK12" s="120"/>
      <c r="GZL12" s="120"/>
      <c r="GZM12" s="120"/>
      <c r="GZN12" s="59"/>
      <c r="GZO12" s="119"/>
      <c r="GZP12" s="119"/>
      <c r="GZQ12" s="119"/>
      <c r="GZR12" s="119"/>
      <c r="GZS12" s="119"/>
      <c r="GZT12" s="119"/>
      <c r="GZU12" s="119"/>
      <c r="GZV12" s="119"/>
      <c r="GZW12" s="119"/>
      <c r="GZX12" s="119"/>
      <c r="GZY12" s="119"/>
      <c r="GZZ12" s="119"/>
      <c r="HAA12" s="120"/>
      <c r="HAB12" s="120"/>
      <c r="HAC12" s="120"/>
      <c r="HAD12" s="59"/>
      <c r="HAE12" s="119"/>
      <c r="HAF12" s="119"/>
      <c r="HAG12" s="119"/>
      <c r="HAH12" s="119"/>
      <c r="HAI12" s="119"/>
      <c r="HAJ12" s="119"/>
      <c r="HAK12" s="119"/>
      <c r="HAL12" s="119"/>
      <c r="HAM12" s="119"/>
      <c r="HAN12" s="119"/>
      <c r="HAO12" s="119"/>
      <c r="HAP12" s="119"/>
      <c r="HAQ12" s="120"/>
      <c r="HAR12" s="120"/>
      <c r="HAS12" s="120"/>
      <c r="HAT12" s="59"/>
      <c r="HAU12" s="119"/>
      <c r="HAV12" s="119"/>
      <c r="HAW12" s="119"/>
      <c r="HAX12" s="119"/>
      <c r="HAY12" s="119"/>
      <c r="HAZ12" s="119"/>
      <c r="HBA12" s="119"/>
      <c r="HBB12" s="119"/>
      <c r="HBC12" s="119"/>
      <c r="HBD12" s="119"/>
      <c r="HBE12" s="119"/>
      <c r="HBF12" s="119"/>
      <c r="HBG12" s="120"/>
      <c r="HBH12" s="120"/>
      <c r="HBI12" s="120"/>
      <c r="HBJ12" s="59"/>
      <c r="HBK12" s="119"/>
      <c r="HBL12" s="119"/>
      <c r="HBM12" s="119"/>
      <c r="HBN12" s="119"/>
      <c r="HBO12" s="119"/>
      <c r="HBP12" s="119"/>
      <c r="HBQ12" s="119"/>
      <c r="HBR12" s="119"/>
      <c r="HBS12" s="119"/>
      <c r="HBT12" s="119"/>
      <c r="HBU12" s="119"/>
      <c r="HBV12" s="119"/>
      <c r="HBW12" s="120"/>
      <c r="HBX12" s="120"/>
      <c r="HBY12" s="120"/>
      <c r="HBZ12" s="59"/>
      <c r="HCA12" s="119"/>
      <c r="HCB12" s="119"/>
      <c r="HCC12" s="119"/>
      <c r="HCD12" s="119"/>
      <c r="HCE12" s="119"/>
      <c r="HCF12" s="119"/>
      <c r="HCG12" s="119"/>
      <c r="HCH12" s="119"/>
      <c r="HCI12" s="119"/>
      <c r="HCJ12" s="119"/>
      <c r="HCK12" s="119"/>
      <c r="HCL12" s="119"/>
      <c r="HCM12" s="120"/>
      <c r="HCN12" s="120"/>
      <c r="HCO12" s="120"/>
      <c r="HCP12" s="59"/>
      <c r="HCQ12" s="119"/>
      <c r="HCR12" s="119"/>
      <c r="HCS12" s="119"/>
      <c r="HCT12" s="119"/>
      <c r="HCU12" s="119"/>
      <c r="HCV12" s="119"/>
      <c r="HCW12" s="119"/>
      <c r="HCX12" s="119"/>
      <c r="HCY12" s="119"/>
      <c r="HCZ12" s="119"/>
      <c r="HDA12" s="119"/>
      <c r="HDB12" s="119"/>
      <c r="HDC12" s="120"/>
      <c r="HDD12" s="120"/>
      <c r="HDE12" s="120"/>
      <c r="HDF12" s="59"/>
      <c r="HDG12" s="119"/>
      <c r="HDH12" s="119"/>
      <c r="HDI12" s="119"/>
      <c r="HDJ12" s="119"/>
      <c r="HDK12" s="119"/>
      <c r="HDL12" s="119"/>
      <c r="HDM12" s="119"/>
      <c r="HDN12" s="119"/>
      <c r="HDO12" s="119"/>
      <c r="HDP12" s="119"/>
      <c r="HDQ12" s="119"/>
      <c r="HDR12" s="119"/>
      <c r="HDS12" s="120"/>
      <c r="HDT12" s="120"/>
      <c r="HDU12" s="120"/>
      <c r="HDV12" s="59"/>
      <c r="HDW12" s="119"/>
      <c r="HDX12" s="119"/>
      <c r="HDY12" s="119"/>
      <c r="HDZ12" s="119"/>
      <c r="HEA12" s="119"/>
      <c r="HEB12" s="119"/>
      <c r="HEC12" s="119"/>
      <c r="HED12" s="119"/>
      <c r="HEE12" s="119"/>
      <c r="HEF12" s="119"/>
      <c r="HEG12" s="119"/>
      <c r="HEH12" s="119"/>
      <c r="HEI12" s="120"/>
      <c r="HEJ12" s="120"/>
      <c r="HEK12" s="120"/>
      <c r="HEL12" s="59"/>
      <c r="HEM12" s="119"/>
      <c r="HEN12" s="119"/>
      <c r="HEO12" s="119"/>
      <c r="HEP12" s="119"/>
      <c r="HEQ12" s="119"/>
      <c r="HER12" s="119"/>
      <c r="HES12" s="119"/>
      <c r="HET12" s="119"/>
      <c r="HEU12" s="119"/>
      <c r="HEV12" s="119"/>
      <c r="HEW12" s="119"/>
      <c r="HEX12" s="119"/>
      <c r="HEY12" s="120"/>
      <c r="HEZ12" s="120"/>
      <c r="HFA12" s="120"/>
      <c r="HFB12" s="59"/>
      <c r="HFC12" s="119"/>
      <c r="HFD12" s="119"/>
      <c r="HFE12" s="119"/>
      <c r="HFF12" s="119"/>
      <c r="HFG12" s="119"/>
      <c r="HFH12" s="119"/>
      <c r="HFI12" s="119"/>
      <c r="HFJ12" s="119"/>
      <c r="HFK12" s="119"/>
      <c r="HFL12" s="119"/>
      <c r="HFM12" s="119"/>
      <c r="HFN12" s="119"/>
      <c r="HFO12" s="120"/>
      <c r="HFP12" s="120"/>
      <c r="HFQ12" s="120"/>
      <c r="HFR12" s="59"/>
      <c r="HFS12" s="119"/>
      <c r="HFT12" s="119"/>
      <c r="HFU12" s="119"/>
      <c r="HFV12" s="119"/>
      <c r="HFW12" s="119"/>
      <c r="HFX12" s="119"/>
      <c r="HFY12" s="119"/>
      <c r="HFZ12" s="119"/>
      <c r="HGA12" s="119"/>
      <c r="HGB12" s="119"/>
      <c r="HGC12" s="119"/>
      <c r="HGD12" s="119"/>
      <c r="HGE12" s="120"/>
      <c r="HGF12" s="120"/>
      <c r="HGG12" s="120"/>
      <c r="HGH12" s="59"/>
      <c r="HGI12" s="119"/>
      <c r="HGJ12" s="119"/>
      <c r="HGK12" s="119"/>
      <c r="HGL12" s="119"/>
      <c r="HGM12" s="119"/>
      <c r="HGN12" s="119"/>
      <c r="HGO12" s="119"/>
      <c r="HGP12" s="119"/>
      <c r="HGQ12" s="119"/>
      <c r="HGR12" s="119"/>
      <c r="HGS12" s="119"/>
      <c r="HGT12" s="119"/>
      <c r="HGU12" s="120"/>
      <c r="HGV12" s="120"/>
      <c r="HGW12" s="120"/>
      <c r="HGX12" s="59"/>
      <c r="HGY12" s="119"/>
      <c r="HGZ12" s="119"/>
      <c r="HHA12" s="119"/>
      <c r="HHB12" s="119"/>
      <c r="HHC12" s="119"/>
      <c r="HHD12" s="119"/>
      <c r="HHE12" s="119"/>
      <c r="HHF12" s="119"/>
      <c r="HHG12" s="119"/>
      <c r="HHH12" s="119"/>
      <c r="HHI12" s="119"/>
      <c r="HHJ12" s="119"/>
      <c r="HHK12" s="120"/>
      <c r="HHL12" s="120"/>
      <c r="HHM12" s="120"/>
      <c r="HHN12" s="59"/>
      <c r="HHO12" s="119"/>
      <c r="HHP12" s="119"/>
      <c r="HHQ12" s="119"/>
      <c r="HHR12" s="119"/>
      <c r="HHS12" s="119"/>
      <c r="HHT12" s="119"/>
      <c r="HHU12" s="119"/>
      <c r="HHV12" s="119"/>
      <c r="HHW12" s="119"/>
      <c r="HHX12" s="119"/>
      <c r="HHY12" s="119"/>
      <c r="HHZ12" s="119"/>
      <c r="HIA12" s="120"/>
      <c r="HIB12" s="120"/>
      <c r="HIC12" s="120"/>
      <c r="HID12" s="59"/>
      <c r="HIE12" s="119"/>
      <c r="HIF12" s="119"/>
      <c r="HIG12" s="119"/>
      <c r="HIH12" s="119"/>
      <c r="HII12" s="119"/>
      <c r="HIJ12" s="119"/>
      <c r="HIK12" s="119"/>
      <c r="HIL12" s="119"/>
      <c r="HIM12" s="119"/>
      <c r="HIN12" s="119"/>
      <c r="HIO12" s="119"/>
      <c r="HIP12" s="119"/>
      <c r="HIQ12" s="120"/>
      <c r="HIR12" s="120"/>
      <c r="HIS12" s="120"/>
      <c r="HIT12" s="59"/>
      <c r="HIU12" s="119"/>
      <c r="HIV12" s="119"/>
      <c r="HIW12" s="119"/>
      <c r="HIX12" s="119"/>
      <c r="HIY12" s="119"/>
      <c r="HIZ12" s="119"/>
      <c r="HJA12" s="119"/>
      <c r="HJB12" s="119"/>
      <c r="HJC12" s="119"/>
      <c r="HJD12" s="119"/>
      <c r="HJE12" s="119"/>
      <c r="HJF12" s="119"/>
      <c r="HJG12" s="120"/>
      <c r="HJH12" s="120"/>
      <c r="HJI12" s="120"/>
      <c r="HJJ12" s="59"/>
      <c r="HJK12" s="119"/>
      <c r="HJL12" s="119"/>
      <c r="HJM12" s="119"/>
      <c r="HJN12" s="119"/>
      <c r="HJO12" s="119"/>
      <c r="HJP12" s="119"/>
      <c r="HJQ12" s="119"/>
      <c r="HJR12" s="119"/>
      <c r="HJS12" s="119"/>
      <c r="HJT12" s="119"/>
      <c r="HJU12" s="119"/>
      <c r="HJV12" s="119"/>
      <c r="HJW12" s="120"/>
      <c r="HJX12" s="120"/>
      <c r="HJY12" s="120"/>
      <c r="HJZ12" s="59"/>
      <c r="HKA12" s="119"/>
      <c r="HKB12" s="119"/>
      <c r="HKC12" s="119"/>
      <c r="HKD12" s="119"/>
      <c r="HKE12" s="119"/>
      <c r="HKF12" s="119"/>
      <c r="HKG12" s="119"/>
      <c r="HKH12" s="119"/>
      <c r="HKI12" s="119"/>
      <c r="HKJ12" s="119"/>
      <c r="HKK12" s="119"/>
      <c r="HKL12" s="119"/>
      <c r="HKM12" s="120"/>
      <c r="HKN12" s="120"/>
      <c r="HKO12" s="120"/>
      <c r="HKP12" s="59"/>
      <c r="HKQ12" s="119"/>
      <c r="HKR12" s="119"/>
      <c r="HKS12" s="119"/>
      <c r="HKT12" s="119"/>
      <c r="HKU12" s="119"/>
      <c r="HKV12" s="119"/>
      <c r="HKW12" s="119"/>
      <c r="HKX12" s="119"/>
      <c r="HKY12" s="119"/>
      <c r="HKZ12" s="119"/>
      <c r="HLA12" s="119"/>
      <c r="HLB12" s="119"/>
      <c r="HLC12" s="120"/>
      <c r="HLD12" s="120"/>
      <c r="HLE12" s="120"/>
      <c r="HLF12" s="59"/>
      <c r="HLG12" s="119"/>
      <c r="HLH12" s="119"/>
      <c r="HLI12" s="119"/>
      <c r="HLJ12" s="119"/>
      <c r="HLK12" s="119"/>
      <c r="HLL12" s="119"/>
      <c r="HLM12" s="119"/>
      <c r="HLN12" s="119"/>
      <c r="HLO12" s="119"/>
      <c r="HLP12" s="119"/>
      <c r="HLQ12" s="119"/>
      <c r="HLR12" s="119"/>
      <c r="HLS12" s="120"/>
      <c r="HLT12" s="120"/>
      <c r="HLU12" s="120"/>
      <c r="HLV12" s="59"/>
      <c r="HLW12" s="119"/>
      <c r="HLX12" s="119"/>
      <c r="HLY12" s="119"/>
      <c r="HLZ12" s="119"/>
      <c r="HMA12" s="119"/>
      <c r="HMB12" s="119"/>
      <c r="HMC12" s="119"/>
      <c r="HMD12" s="119"/>
      <c r="HME12" s="119"/>
      <c r="HMF12" s="119"/>
      <c r="HMG12" s="119"/>
      <c r="HMH12" s="119"/>
      <c r="HMI12" s="120"/>
      <c r="HMJ12" s="120"/>
      <c r="HMK12" s="120"/>
      <c r="HML12" s="59"/>
      <c r="HMM12" s="119"/>
      <c r="HMN12" s="119"/>
      <c r="HMO12" s="119"/>
      <c r="HMP12" s="119"/>
      <c r="HMQ12" s="119"/>
      <c r="HMR12" s="119"/>
      <c r="HMS12" s="119"/>
      <c r="HMT12" s="119"/>
      <c r="HMU12" s="119"/>
      <c r="HMV12" s="119"/>
      <c r="HMW12" s="119"/>
      <c r="HMX12" s="119"/>
      <c r="HMY12" s="120"/>
      <c r="HMZ12" s="120"/>
      <c r="HNA12" s="120"/>
      <c r="HNB12" s="59"/>
      <c r="HNC12" s="119"/>
      <c r="HND12" s="119"/>
      <c r="HNE12" s="119"/>
      <c r="HNF12" s="119"/>
      <c r="HNG12" s="119"/>
      <c r="HNH12" s="119"/>
      <c r="HNI12" s="119"/>
      <c r="HNJ12" s="119"/>
      <c r="HNK12" s="119"/>
      <c r="HNL12" s="119"/>
      <c r="HNM12" s="119"/>
      <c r="HNN12" s="119"/>
      <c r="HNO12" s="120"/>
      <c r="HNP12" s="120"/>
      <c r="HNQ12" s="120"/>
      <c r="HNR12" s="59"/>
      <c r="HNS12" s="119"/>
      <c r="HNT12" s="119"/>
      <c r="HNU12" s="119"/>
      <c r="HNV12" s="119"/>
      <c r="HNW12" s="119"/>
      <c r="HNX12" s="119"/>
      <c r="HNY12" s="119"/>
      <c r="HNZ12" s="119"/>
      <c r="HOA12" s="119"/>
      <c r="HOB12" s="119"/>
      <c r="HOC12" s="119"/>
      <c r="HOD12" s="119"/>
      <c r="HOE12" s="120"/>
      <c r="HOF12" s="120"/>
      <c r="HOG12" s="120"/>
      <c r="HOH12" s="59"/>
      <c r="HOI12" s="119"/>
      <c r="HOJ12" s="119"/>
      <c r="HOK12" s="119"/>
      <c r="HOL12" s="119"/>
      <c r="HOM12" s="119"/>
      <c r="HON12" s="119"/>
      <c r="HOO12" s="119"/>
      <c r="HOP12" s="119"/>
      <c r="HOQ12" s="119"/>
      <c r="HOR12" s="119"/>
      <c r="HOS12" s="119"/>
      <c r="HOT12" s="119"/>
      <c r="HOU12" s="120"/>
      <c r="HOV12" s="120"/>
      <c r="HOW12" s="120"/>
      <c r="HOX12" s="59"/>
      <c r="HOY12" s="119"/>
      <c r="HOZ12" s="119"/>
      <c r="HPA12" s="119"/>
      <c r="HPB12" s="119"/>
      <c r="HPC12" s="119"/>
      <c r="HPD12" s="119"/>
      <c r="HPE12" s="119"/>
      <c r="HPF12" s="119"/>
      <c r="HPG12" s="119"/>
      <c r="HPH12" s="119"/>
      <c r="HPI12" s="119"/>
      <c r="HPJ12" s="119"/>
      <c r="HPK12" s="120"/>
      <c r="HPL12" s="120"/>
      <c r="HPM12" s="120"/>
      <c r="HPN12" s="59"/>
      <c r="HPO12" s="119"/>
      <c r="HPP12" s="119"/>
      <c r="HPQ12" s="119"/>
      <c r="HPR12" s="119"/>
      <c r="HPS12" s="119"/>
      <c r="HPT12" s="119"/>
      <c r="HPU12" s="119"/>
      <c r="HPV12" s="119"/>
      <c r="HPW12" s="119"/>
      <c r="HPX12" s="119"/>
      <c r="HPY12" s="119"/>
      <c r="HPZ12" s="119"/>
      <c r="HQA12" s="120"/>
      <c r="HQB12" s="120"/>
      <c r="HQC12" s="120"/>
      <c r="HQD12" s="59"/>
      <c r="HQE12" s="119"/>
      <c r="HQF12" s="119"/>
      <c r="HQG12" s="119"/>
      <c r="HQH12" s="119"/>
      <c r="HQI12" s="119"/>
      <c r="HQJ12" s="119"/>
      <c r="HQK12" s="119"/>
      <c r="HQL12" s="119"/>
      <c r="HQM12" s="119"/>
      <c r="HQN12" s="119"/>
      <c r="HQO12" s="119"/>
      <c r="HQP12" s="119"/>
      <c r="HQQ12" s="120"/>
      <c r="HQR12" s="120"/>
      <c r="HQS12" s="120"/>
      <c r="HQT12" s="59"/>
      <c r="HQU12" s="119"/>
      <c r="HQV12" s="119"/>
      <c r="HQW12" s="119"/>
      <c r="HQX12" s="119"/>
      <c r="HQY12" s="119"/>
      <c r="HQZ12" s="119"/>
      <c r="HRA12" s="119"/>
      <c r="HRB12" s="119"/>
      <c r="HRC12" s="119"/>
      <c r="HRD12" s="119"/>
      <c r="HRE12" s="119"/>
      <c r="HRF12" s="119"/>
      <c r="HRG12" s="120"/>
      <c r="HRH12" s="120"/>
      <c r="HRI12" s="120"/>
      <c r="HRJ12" s="59"/>
      <c r="HRK12" s="119"/>
      <c r="HRL12" s="119"/>
      <c r="HRM12" s="119"/>
      <c r="HRN12" s="119"/>
      <c r="HRO12" s="119"/>
      <c r="HRP12" s="119"/>
      <c r="HRQ12" s="119"/>
      <c r="HRR12" s="119"/>
      <c r="HRS12" s="119"/>
      <c r="HRT12" s="119"/>
      <c r="HRU12" s="119"/>
      <c r="HRV12" s="119"/>
      <c r="HRW12" s="120"/>
      <c r="HRX12" s="120"/>
      <c r="HRY12" s="120"/>
      <c r="HRZ12" s="59"/>
      <c r="HSA12" s="119"/>
      <c r="HSB12" s="119"/>
      <c r="HSC12" s="119"/>
      <c r="HSD12" s="119"/>
      <c r="HSE12" s="119"/>
      <c r="HSF12" s="119"/>
      <c r="HSG12" s="119"/>
      <c r="HSH12" s="119"/>
      <c r="HSI12" s="119"/>
      <c r="HSJ12" s="119"/>
      <c r="HSK12" s="119"/>
      <c r="HSL12" s="119"/>
      <c r="HSM12" s="120"/>
      <c r="HSN12" s="120"/>
      <c r="HSO12" s="120"/>
      <c r="HSP12" s="59"/>
      <c r="HSQ12" s="119"/>
      <c r="HSR12" s="119"/>
      <c r="HSS12" s="119"/>
      <c r="HST12" s="119"/>
      <c r="HSU12" s="119"/>
      <c r="HSV12" s="119"/>
      <c r="HSW12" s="119"/>
      <c r="HSX12" s="119"/>
      <c r="HSY12" s="119"/>
      <c r="HSZ12" s="119"/>
      <c r="HTA12" s="119"/>
      <c r="HTB12" s="119"/>
      <c r="HTC12" s="120"/>
      <c r="HTD12" s="120"/>
      <c r="HTE12" s="120"/>
      <c r="HTF12" s="59"/>
      <c r="HTG12" s="119"/>
      <c r="HTH12" s="119"/>
      <c r="HTI12" s="119"/>
      <c r="HTJ12" s="119"/>
      <c r="HTK12" s="119"/>
      <c r="HTL12" s="119"/>
      <c r="HTM12" s="119"/>
      <c r="HTN12" s="119"/>
      <c r="HTO12" s="119"/>
      <c r="HTP12" s="119"/>
      <c r="HTQ12" s="119"/>
      <c r="HTR12" s="119"/>
      <c r="HTS12" s="120"/>
      <c r="HTT12" s="120"/>
      <c r="HTU12" s="120"/>
      <c r="HTV12" s="59"/>
      <c r="HTW12" s="119"/>
      <c r="HTX12" s="119"/>
      <c r="HTY12" s="119"/>
      <c r="HTZ12" s="119"/>
      <c r="HUA12" s="119"/>
      <c r="HUB12" s="119"/>
      <c r="HUC12" s="119"/>
      <c r="HUD12" s="119"/>
      <c r="HUE12" s="119"/>
      <c r="HUF12" s="119"/>
      <c r="HUG12" s="119"/>
      <c r="HUH12" s="119"/>
      <c r="HUI12" s="120"/>
      <c r="HUJ12" s="120"/>
      <c r="HUK12" s="120"/>
      <c r="HUL12" s="59"/>
      <c r="HUM12" s="119"/>
      <c r="HUN12" s="119"/>
      <c r="HUO12" s="119"/>
      <c r="HUP12" s="119"/>
      <c r="HUQ12" s="119"/>
      <c r="HUR12" s="119"/>
      <c r="HUS12" s="119"/>
      <c r="HUT12" s="119"/>
      <c r="HUU12" s="119"/>
      <c r="HUV12" s="119"/>
      <c r="HUW12" s="119"/>
      <c r="HUX12" s="119"/>
      <c r="HUY12" s="120"/>
      <c r="HUZ12" s="120"/>
      <c r="HVA12" s="120"/>
      <c r="HVB12" s="59"/>
      <c r="HVC12" s="119"/>
      <c r="HVD12" s="119"/>
      <c r="HVE12" s="119"/>
      <c r="HVF12" s="119"/>
      <c r="HVG12" s="119"/>
      <c r="HVH12" s="119"/>
      <c r="HVI12" s="119"/>
      <c r="HVJ12" s="119"/>
      <c r="HVK12" s="119"/>
      <c r="HVL12" s="119"/>
      <c r="HVM12" s="119"/>
      <c r="HVN12" s="119"/>
      <c r="HVO12" s="120"/>
      <c r="HVP12" s="120"/>
      <c r="HVQ12" s="120"/>
      <c r="HVR12" s="59"/>
      <c r="HVS12" s="119"/>
      <c r="HVT12" s="119"/>
      <c r="HVU12" s="119"/>
      <c r="HVV12" s="119"/>
      <c r="HVW12" s="119"/>
      <c r="HVX12" s="119"/>
      <c r="HVY12" s="119"/>
      <c r="HVZ12" s="119"/>
      <c r="HWA12" s="119"/>
      <c r="HWB12" s="119"/>
      <c r="HWC12" s="119"/>
      <c r="HWD12" s="119"/>
      <c r="HWE12" s="120"/>
      <c r="HWF12" s="120"/>
      <c r="HWG12" s="120"/>
      <c r="HWH12" s="59"/>
      <c r="HWI12" s="119"/>
      <c r="HWJ12" s="119"/>
      <c r="HWK12" s="119"/>
      <c r="HWL12" s="119"/>
      <c r="HWM12" s="119"/>
      <c r="HWN12" s="119"/>
      <c r="HWO12" s="119"/>
      <c r="HWP12" s="119"/>
      <c r="HWQ12" s="119"/>
      <c r="HWR12" s="119"/>
      <c r="HWS12" s="119"/>
      <c r="HWT12" s="119"/>
      <c r="HWU12" s="120"/>
      <c r="HWV12" s="120"/>
      <c r="HWW12" s="120"/>
      <c r="HWX12" s="59"/>
      <c r="HWY12" s="119"/>
      <c r="HWZ12" s="119"/>
      <c r="HXA12" s="119"/>
      <c r="HXB12" s="119"/>
      <c r="HXC12" s="119"/>
      <c r="HXD12" s="119"/>
      <c r="HXE12" s="119"/>
      <c r="HXF12" s="119"/>
      <c r="HXG12" s="119"/>
      <c r="HXH12" s="119"/>
      <c r="HXI12" s="119"/>
      <c r="HXJ12" s="119"/>
      <c r="HXK12" s="120"/>
      <c r="HXL12" s="120"/>
      <c r="HXM12" s="120"/>
      <c r="HXN12" s="59"/>
      <c r="HXO12" s="119"/>
      <c r="HXP12" s="119"/>
      <c r="HXQ12" s="119"/>
      <c r="HXR12" s="119"/>
      <c r="HXS12" s="119"/>
      <c r="HXT12" s="119"/>
      <c r="HXU12" s="119"/>
      <c r="HXV12" s="119"/>
      <c r="HXW12" s="119"/>
      <c r="HXX12" s="119"/>
      <c r="HXY12" s="119"/>
      <c r="HXZ12" s="119"/>
      <c r="HYA12" s="120"/>
      <c r="HYB12" s="120"/>
      <c r="HYC12" s="120"/>
      <c r="HYD12" s="59"/>
      <c r="HYE12" s="119"/>
      <c r="HYF12" s="119"/>
      <c r="HYG12" s="119"/>
      <c r="HYH12" s="119"/>
      <c r="HYI12" s="119"/>
      <c r="HYJ12" s="119"/>
      <c r="HYK12" s="119"/>
      <c r="HYL12" s="119"/>
      <c r="HYM12" s="119"/>
      <c r="HYN12" s="119"/>
      <c r="HYO12" s="119"/>
      <c r="HYP12" s="119"/>
      <c r="HYQ12" s="120"/>
      <c r="HYR12" s="120"/>
      <c r="HYS12" s="120"/>
      <c r="HYT12" s="59"/>
      <c r="HYU12" s="119"/>
      <c r="HYV12" s="119"/>
      <c r="HYW12" s="119"/>
      <c r="HYX12" s="119"/>
      <c r="HYY12" s="119"/>
      <c r="HYZ12" s="119"/>
      <c r="HZA12" s="119"/>
      <c r="HZB12" s="119"/>
      <c r="HZC12" s="119"/>
      <c r="HZD12" s="119"/>
      <c r="HZE12" s="119"/>
      <c r="HZF12" s="119"/>
      <c r="HZG12" s="120"/>
      <c r="HZH12" s="120"/>
      <c r="HZI12" s="120"/>
      <c r="HZJ12" s="59"/>
      <c r="HZK12" s="119"/>
      <c r="HZL12" s="119"/>
      <c r="HZM12" s="119"/>
      <c r="HZN12" s="119"/>
      <c r="HZO12" s="119"/>
      <c r="HZP12" s="119"/>
      <c r="HZQ12" s="119"/>
      <c r="HZR12" s="119"/>
      <c r="HZS12" s="119"/>
      <c r="HZT12" s="119"/>
      <c r="HZU12" s="119"/>
      <c r="HZV12" s="119"/>
      <c r="HZW12" s="120"/>
      <c r="HZX12" s="120"/>
      <c r="HZY12" s="120"/>
      <c r="HZZ12" s="59"/>
      <c r="IAA12" s="119"/>
      <c r="IAB12" s="119"/>
      <c r="IAC12" s="119"/>
      <c r="IAD12" s="119"/>
      <c r="IAE12" s="119"/>
      <c r="IAF12" s="119"/>
      <c r="IAG12" s="119"/>
      <c r="IAH12" s="119"/>
      <c r="IAI12" s="119"/>
      <c r="IAJ12" s="119"/>
      <c r="IAK12" s="119"/>
      <c r="IAL12" s="119"/>
      <c r="IAM12" s="120"/>
      <c r="IAN12" s="120"/>
      <c r="IAO12" s="120"/>
      <c r="IAP12" s="59"/>
      <c r="IAQ12" s="119"/>
      <c r="IAR12" s="119"/>
      <c r="IAS12" s="119"/>
      <c r="IAT12" s="119"/>
      <c r="IAU12" s="119"/>
      <c r="IAV12" s="119"/>
      <c r="IAW12" s="119"/>
      <c r="IAX12" s="119"/>
      <c r="IAY12" s="119"/>
      <c r="IAZ12" s="119"/>
      <c r="IBA12" s="119"/>
      <c r="IBB12" s="119"/>
      <c r="IBC12" s="120"/>
      <c r="IBD12" s="120"/>
      <c r="IBE12" s="120"/>
      <c r="IBF12" s="59"/>
      <c r="IBG12" s="119"/>
      <c r="IBH12" s="119"/>
      <c r="IBI12" s="119"/>
      <c r="IBJ12" s="119"/>
      <c r="IBK12" s="119"/>
      <c r="IBL12" s="119"/>
      <c r="IBM12" s="119"/>
      <c r="IBN12" s="119"/>
      <c r="IBO12" s="119"/>
      <c r="IBP12" s="119"/>
      <c r="IBQ12" s="119"/>
      <c r="IBR12" s="119"/>
      <c r="IBS12" s="120"/>
      <c r="IBT12" s="120"/>
      <c r="IBU12" s="120"/>
      <c r="IBV12" s="59"/>
      <c r="IBW12" s="119"/>
      <c r="IBX12" s="119"/>
      <c r="IBY12" s="119"/>
      <c r="IBZ12" s="119"/>
      <c r="ICA12" s="119"/>
      <c r="ICB12" s="119"/>
      <c r="ICC12" s="119"/>
      <c r="ICD12" s="119"/>
      <c r="ICE12" s="119"/>
      <c r="ICF12" s="119"/>
      <c r="ICG12" s="119"/>
      <c r="ICH12" s="119"/>
      <c r="ICI12" s="120"/>
      <c r="ICJ12" s="120"/>
      <c r="ICK12" s="120"/>
      <c r="ICL12" s="59"/>
      <c r="ICM12" s="119"/>
      <c r="ICN12" s="119"/>
      <c r="ICO12" s="119"/>
      <c r="ICP12" s="119"/>
      <c r="ICQ12" s="119"/>
      <c r="ICR12" s="119"/>
      <c r="ICS12" s="119"/>
      <c r="ICT12" s="119"/>
      <c r="ICU12" s="119"/>
      <c r="ICV12" s="119"/>
      <c r="ICW12" s="119"/>
      <c r="ICX12" s="119"/>
      <c r="ICY12" s="120"/>
      <c r="ICZ12" s="120"/>
      <c r="IDA12" s="120"/>
      <c r="IDB12" s="59"/>
      <c r="IDC12" s="119"/>
      <c r="IDD12" s="119"/>
      <c r="IDE12" s="119"/>
      <c r="IDF12" s="119"/>
      <c r="IDG12" s="119"/>
      <c r="IDH12" s="119"/>
      <c r="IDI12" s="119"/>
      <c r="IDJ12" s="119"/>
      <c r="IDK12" s="119"/>
      <c r="IDL12" s="119"/>
      <c r="IDM12" s="119"/>
      <c r="IDN12" s="119"/>
      <c r="IDO12" s="120"/>
      <c r="IDP12" s="120"/>
      <c r="IDQ12" s="120"/>
      <c r="IDR12" s="59"/>
      <c r="IDS12" s="119"/>
      <c r="IDT12" s="119"/>
      <c r="IDU12" s="119"/>
      <c r="IDV12" s="119"/>
      <c r="IDW12" s="119"/>
      <c r="IDX12" s="119"/>
      <c r="IDY12" s="119"/>
      <c r="IDZ12" s="119"/>
      <c r="IEA12" s="119"/>
      <c r="IEB12" s="119"/>
      <c r="IEC12" s="119"/>
      <c r="IED12" s="119"/>
      <c r="IEE12" s="120"/>
      <c r="IEF12" s="120"/>
      <c r="IEG12" s="120"/>
      <c r="IEH12" s="59"/>
      <c r="IEI12" s="119"/>
      <c r="IEJ12" s="119"/>
      <c r="IEK12" s="119"/>
      <c r="IEL12" s="119"/>
      <c r="IEM12" s="119"/>
      <c r="IEN12" s="119"/>
      <c r="IEO12" s="119"/>
      <c r="IEP12" s="119"/>
      <c r="IEQ12" s="119"/>
      <c r="IER12" s="119"/>
      <c r="IES12" s="119"/>
      <c r="IET12" s="119"/>
      <c r="IEU12" s="120"/>
      <c r="IEV12" s="120"/>
      <c r="IEW12" s="120"/>
      <c r="IEX12" s="59"/>
      <c r="IEY12" s="119"/>
      <c r="IEZ12" s="119"/>
      <c r="IFA12" s="119"/>
      <c r="IFB12" s="119"/>
      <c r="IFC12" s="119"/>
      <c r="IFD12" s="119"/>
      <c r="IFE12" s="119"/>
      <c r="IFF12" s="119"/>
      <c r="IFG12" s="119"/>
      <c r="IFH12" s="119"/>
      <c r="IFI12" s="119"/>
      <c r="IFJ12" s="119"/>
      <c r="IFK12" s="120"/>
      <c r="IFL12" s="120"/>
      <c r="IFM12" s="120"/>
      <c r="IFN12" s="59"/>
      <c r="IFO12" s="119"/>
      <c r="IFP12" s="119"/>
      <c r="IFQ12" s="119"/>
      <c r="IFR12" s="119"/>
      <c r="IFS12" s="119"/>
      <c r="IFT12" s="119"/>
      <c r="IFU12" s="119"/>
      <c r="IFV12" s="119"/>
      <c r="IFW12" s="119"/>
      <c r="IFX12" s="119"/>
      <c r="IFY12" s="119"/>
      <c r="IFZ12" s="119"/>
      <c r="IGA12" s="120"/>
      <c r="IGB12" s="120"/>
      <c r="IGC12" s="120"/>
      <c r="IGD12" s="59"/>
      <c r="IGE12" s="119"/>
      <c r="IGF12" s="119"/>
      <c r="IGG12" s="119"/>
      <c r="IGH12" s="119"/>
      <c r="IGI12" s="119"/>
      <c r="IGJ12" s="119"/>
      <c r="IGK12" s="119"/>
      <c r="IGL12" s="119"/>
      <c r="IGM12" s="119"/>
      <c r="IGN12" s="119"/>
      <c r="IGO12" s="119"/>
      <c r="IGP12" s="119"/>
      <c r="IGQ12" s="120"/>
      <c r="IGR12" s="120"/>
      <c r="IGS12" s="120"/>
      <c r="IGT12" s="59"/>
      <c r="IGU12" s="119"/>
      <c r="IGV12" s="119"/>
      <c r="IGW12" s="119"/>
      <c r="IGX12" s="119"/>
      <c r="IGY12" s="119"/>
      <c r="IGZ12" s="119"/>
      <c r="IHA12" s="119"/>
      <c r="IHB12" s="119"/>
      <c r="IHC12" s="119"/>
      <c r="IHD12" s="119"/>
      <c r="IHE12" s="119"/>
      <c r="IHF12" s="119"/>
      <c r="IHG12" s="120"/>
      <c r="IHH12" s="120"/>
      <c r="IHI12" s="120"/>
      <c r="IHJ12" s="59"/>
      <c r="IHK12" s="119"/>
      <c r="IHL12" s="119"/>
      <c r="IHM12" s="119"/>
      <c r="IHN12" s="119"/>
      <c r="IHO12" s="119"/>
      <c r="IHP12" s="119"/>
      <c r="IHQ12" s="119"/>
      <c r="IHR12" s="119"/>
      <c r="IHS12" s="119"/>
      <c r="IHT12" s="119"/>
      <c r="IHU12" s="119"/>
      <c r="IHV12" s="119"/>
      <c r="IHW12" s="120"/>
      <c r="IHX12" s="120"/>
      <c r="IHY12" s="120"/>
      <c r="IHZ12" s="59"/>
      <c r="IIA12" s="119"/>
      <c r="IIB12" s="119"/>
      <c r="IIC12" s="119"/>
      <c r="IID12" s="119"/>
      <c r="IIE12" s="119"/>
      <c r="IIF12" s="119"/>
      <c r="IIG12" s="119"/>
      <c r="IIH12" s="119"/>
      <c r="III12" s="119"/>
      <c r="IIJ12" s="119"/>
      <c r="IIK12" s="119"/>
      <c r="IIL12" s="119"/>
      <c r="IIM12" s="120"/>
      <c r="IIN12" s="120"/>
      <c r="IIO12" s="120"/>
      <c r="IIP12" s="59"/>
      <c r="IIQ12" s="119"/>
      <c r="IIR12" s="119"/>
      <c r="IIS12" s="119"/>
      <c r="IIT12" s="119"/>
      <c r="IIU12" s="119"/>
      <c r="IIV12" s="119"/>
      <c r="IIW12" s="119"/>
      <c r="IIX12" s="119"/>
      <c r="IIY12" s="119"/>
      <c r="IIZ12" s="119"/>
      <c r="IJA12" s="119"/>
      <c r="IJB12" s="119"/>
      <c r="IJC12" s="120"/>
      <c r="IJD12" s="120"/>
      <c r="IJE12" s="120"/>
      <c r="IJF12" s="59"/>
      <c r="IJG12" s="119"/>
      <c r="IJH12" s="119"/>
      <c r="IJI12" s="119"/>
      <c r="IJJ12" s="119"/>
      <c r="IJK12" s="119"/>
      <c r="IJL12" s="119"/>
      <c r="IJM12" s="119"/>
      <c r="IJN12" s="119"/>
      <c r="IJO12" s="119"/>
      <c r="IJP12" s="119"/>
      <c r="IJQ12" s="119"/>
      <c r="IJR12" s="119"/>
      <c r="IJS12" s="120"/>
      <c r="IJT12" s="120"/>
      <c r="IJU12" s="120"/>
      <c r="IJV12" s="59"/>
      <c r="IJW12" s="119"/>
      <c r="IJX12" s="119"/>
      <c r="IJY12" s="119"/>
      <c r="IJZ12" s="119"/>
      <c r="IKA12" s="119"/>
      <c r="IKB12" s="119"/>
      <c r="IKC12" s="119"/>
      <c r="IKD12" s="119"/>
      <c r="IKE12" s="119"/>
      <c r="IKF12" s="119"/>
      <c r="IKG12" s="119"/>
      <c r="IKH12" s="119"/>
      <c r="IKI12" s="120"/>
      <c r="IKJ12" s="120"/>
      <c r="IKK12" s="120"/>
      <c r="IKL12" s="59"/>
      <c r="IKM12" s="119"/>
      <c r="IKN12" s="119"/>
      <c r="IKO12" s="119"/>
      <c r="IKP12" s="119"/>
      <c r="IKQ12" s="119"/>
      <c r="IKR12" s="119"/>
      <c r="IKS12" s="119"/>
      <c r="IKT12" s="119"/>
      <c r="IKU12" s="119"/>
      <c r="IKV12" s="119"/>
      <c r="IKW12" s="119"/>
      <c r="IKX12" s="119"/>
      <c r="IKY12" s="120"/>
      <c r="IKZ12" s="120"/>
      <c r="ILA12" s="120"/>
      <c r="ILB12" s="59"/>
      <c r="ILC12" s="119"/>
      <c r="ILD12" s="119"/>
      <c r="ILE12" s="119"/>
      <c r="ILF12" s="119"/>
      <c r="ILG12" s="119"/>
      <c r="ILH12" s="119"/>
      <c r="ILI12" s="119"/>
      <c r="ILJ12" s="119"/>
      <c r="ILK12" s="119"/>
      <c r="ILL12" s="119"/>
      <c r="ILM12" s="119"/>
      <c r="ILN12" s="119"/>
      <c r="ILO12" s="120"/>
      <c r="ILP12" s="120"/>
      <c r="ILQ12" s="120"/>
      <c r="ILR12" s="59"/>
      <c r="ILS12" s="119"/>
      <c r="ILT12" s="119"/>
      <c r="ILU12" s="119"/>
      <c r="ILV12" s="119"/>
      <c r="ILW12" s="119"/>
      <c r="ILX12" s="119"/>
      <c r="ILY12" s="119"/>
      <c r="ILZ12" s="119"/>
      <c r="IMA12" s="119"/>
      <c r="IMB12" s="119"/>
      <c r="IMC12" s="119"/>
      <c r="IMD12" s="119"/>
      <c r="IME12" s="120"/>
      <c r="IMF12" s="120"/>
      <c r="IMG12" s="120"/>
      <c r="IMH12" s="59"/>
      <c r="IMI12" s="119"/>
      <c r="IMJ12" s="119"/>
      <c r="IMK12" s="119"/>
      <c r="IML12" s="119"/>
      <c r="IMM12" s="119"/>
      <c r="IMN12" s="119"/>
      <c r="IMO12" s="119"/>
      <c r="IMP12" s="119"/>
      <c r="IMQ12" s="119"/>
      <c r="IMR12" s="119"/>
      <c r="IMS12" s="119"/>
      <c r="IMT12" s="119"/>
      <c r="IMU12" s="120"/>
      <c r="IMV12" s="120"/>
      <c r="IMW12" s="120"/>
      <c r="IMX12" s="59"/>
      <c r="IMY12" s="119"/>
      <c r="IMZ12" s="119"/>
      <c r="INA12" s="119"/>
      <c r="INB12" s="119"/>
      <c r="INC12" s="119"/>
      <c r="IND12" s="119"/>
      <c r="INE12" s="119"/>
      <c r="INF12" s="119"/>
      <c r="ING12" s="119"/>
      <c r="INH12" s="119"/>
      <c r="INI12" s="119"/>
      <c r="INJ12" s="119"/>
      <c r="INK12" s="120"/>
      <c r="INL12" s="120"/>
      <c r="INM12" s="120"/>
      <c r="INN12" s="59"/>
      <c r="INO12" s="119"/>
      <c r="INP12" s="119"/>
      <c r="INQ12" s="119"/>
      <c r="INR12" s="119"/>
      <c r="INS12" s="119"/>
      <c r="INT12" s="119"/>
      <c r="INU12" s="119"/>
      <c r="INV12" s="119"/>
      <c r="INW12" s="119"/>
      <c r="INX12" s="119"/>
      <c r="INY12" s="119"/>
      <c r="INZ12" s="119"/>
      <c r="IOA12" s="120"/>
      <c r="IOB12" s="120"/>
      <c r="IOC12" s="120"/>
      <c r="IOD12" s="59"/>
      <c r="IOE12" s="119"/>
      <c r="IOF12" s="119"/>
      <c r="IOG12" s="119"/>
      <c r="IOH12" s="119"/>
      <c r="IOI12" s="119"/>
      <c r="IOJ12" s="119"/>
      <c r="IOK12" s="119"/>
      <c r="IOL12" s="119"/>
      <c r="IOM12" s="119"/>
      <c r="ION12" s="119"/>
      <c r="IOO12" s="119"/>
      <c r="IOP12" s="119"/>
      <c r="IOQ12" s="120"/>
      <c r="IOR12" s="120"/>
      <c r="IOS12" s="120"/>
      <c r="IOT12" s="59"/>
      <c r="IOU12" s="119"/>
      <c r="IOV12" s="119"/>
      <c r="IOW12" s="119"/>
      <c r="IOX12" s="119"/>
      <c r="IOY12" s="119"/>
      <c r="IOZ12" s="119"/>
      <c r="IPA12" s="119"/>
      <c r="IPB12" s="119"/>
      <c r="IPC12" s="119"/>
      <c r="IPD12" s="119"/>
      <c r="IPE12" s="119"/>
      <c r="IPF12" s="119"/>
      <c r="IPG12" s="120"/>
      <c r="IPH12" s="120"/>
      <c r="IPI12" s="120"/>
      <c r="IPJ12" s="59"/>
      <c r="IPK12" s="119"/>
      <c r="IPL12" s="119"/>
      <c r="IPM12" s="119"/>
      <c r="IPN12" s="119"/>
      <c r="IPO12" s="119"/>
      <c r="IPP12" s="119"/>
      <c r="IPQ12" s="119"/>
      <c r="IPR12" s="119"/>
      <c r="IPS12" s="119"/>
      <c r="IPT12" s="119"/>
      <c r="IPU12" s="119"/>
      <c r="IPV12" s="119"/>
      <c r="IPW12" s="120"/>
      <c r="IPX12" s="120"/>
      <c r="IPY12" s="120"/>
      <c r="IPZ12" s="59"/>
      <c r="IQA12" s="119"/>
      <c r="IQB12" s="119"/>
      <c r="IQC12" s="119"/>
      <c r="IQD12" s="119"/>
      <c r="IQE12" s="119"/>
      <c r="IQF12" s="119"/>
      <c r="IQG12" s="119"/>
      <c r="IQH12" s="119"/>
      <c r="IQI12" s="119"/>
      <c r="IQJ12" s="119"/>
      <c r="IQK12" s="119"/>
      <c r="IQL12" s="119"/>
      <c r="IQM12" s="120"/>
      <c r="IQN12" s="120"/>
      <c r="IQO12" s="120"/>
      <c r="IQP12" s="59"/>
      <c r="IQQ12" s="119"/>
      <c r="IQR12" s="119"/>
      <c r="IQS12" s="119"/>
      <c r="IQT12" s="119"/>
      <c r="IQU12" s="119"/>
      <c r="IQV12" s="119"/>
      <c r="IQW12" s="119"/>
      <c r="IQX12" s="119"/>
      <c r="IQY12" s="119"/>
      <c r="IQZ12" s="119"/>
      <c r="IRA12" s="119"/>
      <c r="IRB12" s="119"/>
      <c r="IRC12" s="120"/>
      <c r="IRD12" s="120"/>
      <c r="IRE12" s="120"/>
      <c r="IRF12" s="59"/>
      <c r="IRG12" s="119"/>
      <c r="IRH12" s="119"/>
      <c r="IRI12" s="119"/>
      <c r="IRJ12" s="119"/>
      <c r="IRK12" s="119"/>
      <c r="IRL12" s="119"/>
      <c r="IRM12" s="119"/>
      <c r="IRN12" s="119"/>
      <c r="IRO12" s="119"/>
      <c r="IRP12" s="119"/>
      <c r="IRQ12" s="119"/>
      <c r="IRR12" s="119"/>
      <c r="IRS12" s="120"/>
      <c r="IRT12" s="120"/>
      <c r="IRU12" s="120"/>
      <c r="IRV12" s="59"/>
      <c r="IRW12" s="119"/>
      <c r="IRX12" s="119"/>
      <c r="IRY12" s="119"/>
      <c r="IRZ12" s="119"/>
      <c r="ISA12" s="119"/>
      <c r="ISB12" s="119"/>
      <c r="ISC12" s="119"/>
      <c r="ISD12" s="119"/>
      <c r="ISE12" s="119"/>
      <c r="ISF12" s="119"/>
      <c r="ISG12" s="119"/>
      <c r="ISH12" s="119"/>
      <c r="ISI12" s="120"/>
      <c r="ISJ12" s="120"/>
      <c r="ISK12" s="120"/>
      <c r="ISL12" s="59"/>
      <c r="ISM12" s="119"/>
      <c r="ISN12" s="119"/>
      <c r="ISO12" s="119"/>
      <c r="ISP12" s="119"/>
      <c r="ISQ12" s="119"/>
      <c r="ISR12" s="119"/>
      <c r="ISS12" s="119"/>
      <c r="IST12" s="119"/>
      <c r="ISU12" s="119"/>
      <c r="ISV12" s="119"/>
      <c r="ISW12" s="119"/>
      <c r="ISX12" s="119"/>
      <c r="ISY12" s="120"/>
      <c r="ISZ12" s="120"/>
      <c r="ITA12" s="120"/>
      <c r="ITB12" s="59"/>
      <c r="ITC12" s="119"/>
      <c r="ITD12" s="119"/>
      <c r="ITE12" s="119"/>
      <c r="ITF12" s="119"/>
      <c r="ITG12" s="119"/>
      <c r="ITH12" s="119"/>
      <c r="ITI12" s="119"/>
      <c r="ITJ12" s="119"/>
      <c r="ITK12" s="119"/>
      <c r="ITL12" s="119"/>
      <c r="ITM12" s="119"/>
      <c r="ITN12" s="119"/>
      <c r="ITO12" s="120"/>
      <c r="ITP12" s="120"/>
      <c r="ITQ12" s="120"/>
      <c r="ITR12" s="59"/>
      <c r="ITS12" s="119"/>
      <c r="ITT12" s="119"/>
      <c r="ITU12" s="119"/>
      <c r="ITV12" s="119"/>
      <c r="ITW12" s="119"/>
      <c r="ITX12" s="119"/>
      <c r="ITY12" s="119"/>
      <c r="ITZ12" s="119"/>
      <c r="IUA12" s="119"/>
      <c r="IUB12" s="119"/>
      <c r="IUC12" s="119"/>
      <c r="IUD12" s="119"/>
      <c r="IUE12" s="120"/>
      <c r="IUF12" s="120"/>
      <c r="IUG12" s="120"/>
      <c r="IUH12" s="59"/>
      <c r="IUI12" s="119"/>
      <c r="IUJ12" s="119"/>
      <c r="IUK12" s="119"/>
      <c r="IUL12" s="119"/>
      <c r="IUM12" s="119"/>
      <c r="IUN12" s="119"/>
      <c r="IUO12" s="119"/>
      <c r="IUP12" s="119"/>
      <c r="IUQ12" s="119"/>
      <c r="IUR12" s="119"/>
      <c r="IUS12" s="119"/>
      <c r="IUT12" s="119"/>
      <c r="IUU12" s="120"/>
      <c r="IUV12" s="120"/>
      <c r="IUW12" s="120"/>
      <c r="IUX12" s="59"/>
      <c r="IUY12" s="119"/>
      <c r="IUZ12" s="119"/>
      <c r="IVA12" s="119"/>
      <c r="IVB12" s="119"/>
      <c r="IVC12" s="119"/>
      <c r="IVD12" s="119"/>
      <c r="IVE12" s="119"/>
      <c r="IVF12" s="119"/>
      <c r="IVG12" s="119"/>
      <c r="IVH12" s="119"/>
      <c r="IVI12" s="119"/>
      <c r="IVJ12" s="119"/>
      <c r="IVK12" s="120"/>
      <c r="IVL12" s="120"/>
      <c r="IVM12" s="120"/>
      <c r="IVN12" s="59"/>
      <c r="IVO12" s="119"/>
      <c r="IVP12" s="119"/>
      <c r="IVQ12" s="119"/>
      <c r="IVR12" s="119"/>
      <c r="IVS12" s="119"/>
      <c r="IVT12" s="119"/>
      <c r="IVU12" s="119"/>
      <c r="IVV12" s="119"/>
      <c r="IVW12" s="119"/>
      <c r="IVX12" s="119"/>
      <c r="IVY12" s="119"/>
      <c r="IVZ12" s="119"/>
      <c r="IWA12" s="120"/>
      <c r="IWB12" s="120"/>
      <c r="IWC12" s="120"/>
      <c r="IWD12" s="59"/>
      <c r="IWE12" s="119"/>
      <c r="IWF12" s="119"/>
      <c r="IWG12" s="119"/>
      <c r="IWH12" s="119"/>
      <c r="IWI12" s="119"/>
      <c r="IWJ12" s="119"/>
      <c r="IWK12" s="119"/>
      <c r="IWL12" s="119"/>
      <c r="IWM12" s="119"/>
      <c r="IWN12" s="119"/>
      <c r="IWO12" s="119"/>
      <c r="IWP12" s="119"/>
      <c r="IWQ12" s="120"/>
      <c r="IWR12" s="120"/>
      <c r="IWS12" s="120"/>
      <c r="IWT12" s="59"/>
      <c r="IWU12" s="119"/>
      <c r="IWV12" s="119"/>
      <c r="IWW12" s="119"/>
      <c r="IWX12" s="119"/>
      <c r="IWY12" s="119"/>
      <c r="IWZ12" s="119"/>
      <c r="IXA12" s="119"/>
      <c r="IXB12" s="119"/>
      <c r="IXC12" s="119"/>
      <c r="IXD12" s="119"/>
      <c r="IXE12" s="119"/>
      <c r="IXF12" s="119"/>
      <c r="IXG12" s="120"/>
      <c r="IXH12" s="120"/>
      <c r="IXI12" s="120"/>
      <c r="IXJ12" s="59"/>
      <c r="IXK12" s="119"/>
      <c r="IXL12" s="119"/>
      <c r="IXM12" s="119"/>
      <c r="IXN12" s="119"/>
      <c r="IXO12" s="119"/>
      <c r="IXP12" s="119"/>
      <c r="IXQ12" s="119"/>
      <c r="IXR12" s="119"/>
      <c r="IXS12" s="119"/>
      <c r="IXT12" s="119"/>
      <c r="IXU12" s="119"/>
      <c r="IXV12" s="119"/>
      <c r="IXW12" s="120"/>
      <c r="IXX12" s="120"/>
      <c r="IXY12" s="120"/>
      <c r="IXZ12" s="59"/>
      <c r="IYA12" s="119"/>
      <c r="IYB12" s="119"/>
      <c r="IYC12" s="119"/>
      <c r="IYD12" s="119"/>
      <c r="IYE12" s="119"/>
      <c r="IYF12" s="119"/>
      <c r="IYG12" s="119"/>
      <c r="IYH12" s="119"/>
      <c r="IYI12" s="119"/>
      <c r="IYJ12" s="119"/>
      <c r="IYK12" s="119"/>
      <c r="IYL12" s="119"/>
      <c r="IYM12" s="120"/>
      <c r="IYN12" s="120"/>
      <c r="IYO12" s="120"/>
      <c r="IYP12" s="59"/>
      <c r="IYQ12" s="119"/>
      <c r="IYR12" s="119"/>
      <c r="IYS12" s="119"/>
      <c r="IYT12" s="119"/>
      <c r="IYU12" s="119"/>
      <c r="IYV12" s="119"/>
      <c r="IYW12" s="119"/>
      <c r="IYX12" s="119"/>
      <c r="IYY12" s="119"/>
      <c r="IYZ12" s="119"/>
      <c r="IZA12" s="119"/>
      <c r="IZB12" s="119"/>
      <c r="IZC12" s="120"/>
      <c r="IZD12" s="120"/>
      <c r="IZE12" s="120"/>
      <c r="IZF12" s="59"/>
      <c r="IZG12" s="119"/>
      <c r="IZH12" s="119"/>
      <c r="IZI12" s="119"/>
      <c r="IZJ12" s="119"/>
      <c r="IZK12" s="119"/>
      <c r="IZL12" s="119"/>
      <c r="IZM12" s="119"/>
      <c r="IZN12" s="119"/>
      <c r="IZO12" s="119"/>
      <c r="IZP12" s="119"/>
      <c r="IZQ12" s="119"/>
      <c r="IZR12" s="119"/>
      <c r="IZS12" s="120"/>
      <c r="IZT12" s="120"/>
      <c r="IZU12" s="120"/>
      <c r="IZV12" s="59"/>
      <c r="IZW12" s="119"/>
      <c r="IZX12" s="119"/>
      <c r="IZY12" s="119"/>
      <c r="IZZ12" s="119"/>
      <c r="JAA12" s="119"/>
      <c r="JAB12" s="119"/>
      <c r="JAC12" s="119"/>
      <c r="JAD12" s="119"/>
      <c r="JAE12" s="119"/>
      <c r="JAF12" s="119"/>
      <c r="JAG12" s="119"/>
      <c r="JAH12" s="119"/>
      <c r="JAI12" s="120"/>
      <c r="JAJ12" s="120"/>
      <c r="JAK12" s="120"/>
      <c r="JAL12" s="59"/>
      <c r="JAM12" s="119"/>
      <c r="JAN12" s="119"/>
      <c r="JAO12" s="119"/>
      <c r="JAP12" s="119"/>
      <c r="JAQ12" s="119"/>
      <c r="JAR12" s="119"/>
      <c r="JAS12" s="119"/>
      <c r="JAT12" s="119"/>
      <c r="JAU12" s="119"/>
      <c r="JAV12" s="119"/>
      <c r="JAW12" s="119"/>
      <c r="JAX12" s="119"/>
      <c r="JAY12" s="120"/>
      <c r="JAZ12" s="120"/>
      <c r="JBA12" s="120"/>
      <c r="JBB12" s="59"/>
      <c r="JBC12" s="119"/>
      <c r="JBD12" s="119"/>
      <c r="JBE12" s="119"/>
      <c r="JBF12" s="119"/>
      <c r="JBG12" s="119"/>
      <c r="JBH12" s="119"/>
      <c r="JBI12" s="119"/>
      <c r="JBJ12" s="119"/>
      <c r="JBK12" s="119"/>
      <c r="JBL12" s="119"/>
      <c r="JBM12" s="119"/>
      <c r="JBN12" s="119"/>
      <c r="JBO12" s="120"/>
      <c r="JBP12" s="120"/>
      <c r="JBQ12" s="120"/>
      <c r="JBR12" s="59"/>
      <c r="JBS12" s="119"/>
      <c r="JBT12" s="119"/>
      <c r="JBU12" s="119"/>
      <c r="JBV12" s="119"/>
      <c r="JBW12" s="119"/>
      <c r="JBX12" s="119"/>
      <c r="JBY12" s="119"/>
      <c r="JBZ12" s="119"/>
      <c r="JCA12" s="119"/>
      <c r="JCB12" s="119"/>
      <c r="JCC12" s="119"/>
      <c r="JCD12" s="119"/>
      <c r="JCE12" s="120"/>
      <c r="JCF12" s="120"/>
      <c r="JCG12" s="120"/>
      <c r="JCH12" s="59"/>
      <c r="JCI12" s="119"/>
      <c r="JCJ12" s="119"/>
      <c r="JCK12" s="119"/>
      <c r="JCL12" s="119"/>
      <c r="JCM12" s="119"/>
      <c r="JCN12" s="119"/>
      <c r="JCO12" s="119"/>
      <c r="JCP12" s="119"/>
      <c r="JCQ12" s="119"/>
      <c r="JCR12" s="119"/>
      <c r="JCS12" s="119"/>
      <c r="JCT12" s="119"/>
      <c r="JCU12" s="120"/>
      <c r="JCV12" s="120"/>
      <c r="JCW12" s="120"/>
      <c r="JCX12" s="59"/>
      <c r="JCY12" s="119"/>
      <c r="JCZ12" s="119"/>
      <c r="JDA12" s="119"/>
      <c r="JDB12" s="119"/>
      <c r="JDC12" s="119"/>
      <c r="JDD12" s="119"/>
      <c r="JDE12" s="119"/>
      <c r="JDF12" s="119"/>
      <c r="JDG12" s="119"/>
      <c r="JDH12" s="119"/>
      <c r="JDI12" s="119"/>
      <c r="JDJ12" s="119"/>
      <c r="JDK12" s="120"/>
      <c r="JDL12" s="120"/>
      <c r="JDM12" s="120"/>
      <c r="JDN12" s="59"/>
      <c r="JDO12" s="119"/>
      <c r="JDP12" s="119"/>
      <c r="JDQ12" s="119"/>
      <c r="JDR12" s="119"/>
      <c r="JDS12" s="119"/>
      <c r="JDT12" s="119"/>
      <c r="JDU12" s="119"/>
      <c r="JDV12" s="119"/>
      <c r="JDW12" s="119"/>
      <c r="JDX12" s="119"/>
      <c r="JDY12" s="119"/>
      <c r="JDZ12" s="119"/>
      <c r="JEA12" s="120"/>
      <c r="JEB12" s="120"/>
      <c r="JEC12" s="120"/>
      <c r="JED12" s="59"/>
      <c r="JEE12" s="119"/>
      <c r="JEF12" s="119"/>
      <c r="JEG12" s="119"/>
      <c r="JEH12" s="119"/>
      <c r="JEI12" s="119"/>
      <c r="JEJ12" s="119"/>
      <c r="JEK12" s="119"/>
      <c r="JEL12" s="119"/>
      <c r="JEM12" s="119"/>
      <c r="JEN12" s="119"/>
      <c r="JEO12" s="119"/>
      <c r="JEP12" s="119"/>
      <c r="JEQ12" s="120"/>
      <c r="JER12" s="120"/>
      <c r="JES12" s="120"/>
      <c r="JET12" s="59"/>
      <c r="JEU12" s="119"/>
      <c r="JEV12" s="119"/>
      <c r="JEW12" s="119"/>
      <c r="JEX12" s="119"/>
      <c r="JEY12" s="119"/>
      <c r="JEZ12" s="119"/>
      <c r="JFA12" s="119"/>
      <c r="JFB12" s="119"/>
      <c r="JFC12" s="119"/>
      <c r="JFD12" s="119"/>
      <c r="JFE12" s="119"/>
      <c r="JFF12" s="119"/>
      <c r="JFG12" s="120"/>
      <c r="JFH12" s="120"/>
      <c r="JFI12" s="120"/>
      <c r="JFJ12" s="59"/>
      <c r="JFK12" s="119"/>
      <c r="JFL12" s="119"/>
      <c r="JFM12" s="119"/>
      <c r="JFN12" s="119"/>
      <c r="JFO12" s="119"/>
      <c r="JFP12" s="119"/>
      <c r="JFQ12" s="119"/>
      <c r="JFR12" s="119"/>
      <c r="JFS12" s="119"/>
      <c r="JFT12" s="119"/>
      <c r="JFU12" s="119"/>
      <c r="JFV12" s="119"/>
      <c r="JFW12" s="120"/>
      <c r="JFX12" s="120"/>
      <c r="JFY12" s="120"/>
      <c r="JFZ12" s="59"/>
      <c r="JGA12" s="119"/>
      <c r="JGB12" s="119"/>
      <c r="JGC12" s="119"/>
      <c r="JGD12" s="119"/>
      <c r="JGE12" s="119"/>
      <c r="JGF12" s="119"/>
      <c r="JGG12" s="119"/>
      <c r="JGH12" s="119"/>
      <c r="JGI12" s="119"/>
      <c r="JGJ12" s="119"/>
      <c r="JGK12" s="119"/>
      <c r="JGL12" s="119"/>
      <c r="JGM12" s="120"/>
      <c r="JGN12" s="120"/>
      <c r="JGO12" s="120"/>
      <c r="JGP12" s="59"/>
      <c r="JGQ12" s="119"/>
      <c r="JGR12" s="119"/>
      <c r="JGS12" s="119"/>
      <c r="JGT12" s="119"/>
      <c r="JGU12" s="119"/>
      <c r="JGV12" s="119"/>
      <c r="JGW12" s="119"/>
      <c r="JGX12" s="119"/>
      <c r="JGY12" s="119"/>
      <c r="JGZ12" s="119"/>
      <c r="JHA12" s="119"/>
      <c r="JHB12" s="119"/>
      <c r="JHC12" s="120"/>
      <c r="JHD12" s="120"/>
      <c r="JHE12" s="120"/>
      <c r="JHF12" s="59"/>
      <c r="JHG12" s="119"/>
      <c r="JHH12" s="119"/>
      <c r="JHI12" s="119"/>
      <c r="JHJ12" s="119"/>
      <c r="JHK12" s="119"/>
      <c r="JHL12" s="119"/>
      <c r="JHM12" s="119"/>
      <c r="JHN12" s="119"/>
      <c r="JHO12" s="119"/>
      <c r="JHP12" s="119"/>
      <c r="JHQ12" s="119"/>
      <c r="JHR12" s="119"/>
      <c r="JHS12" s="120"/>
      <c r="JHT12" s="120"/>
      <c r="JHU12" s="120"/>
      <c r="JHV12" s="59"/>
      <c r="JHW12" s="119"/>
      <c r="JHX12" s="119"/>
      <c r="JHY12" s="119"/>
      <c r="JHZ12" s="119"/>
      <c r="JIA12" s="119"/>
      <c r="JIB12" s="119"/>
      <c r="JIC12" s="119"/>
      <c r="JID12" s="119"/>
      <c r="JIE12" s="119"/>
      <c r="JIF12" s="119"/>
      <c r="JIG12" s="119"/>
      <c r="JIH12" s="119"/>
      <c r="JII12" s="120"/>
      <c r="JIJ12" s="120"/>
      <c r="JIK12" s="120"/>
      <c r="JIL12" s="59"/>
      <c r="JIM12" s="119"/>
      <c r="JIN12" s="119"/>
      <c r="JIO12" s="119"/>
      <c r="JIP12" s="119"/>
      <c r="JIQ12" s="119"/>
      <c r="JIR12" s="119"/>
      <c r="JIS12" s="119"/>
      <c r="JIT12" s="119"/>
      <c r="JIU12" s="119"/>
      <c r="JIV12" s="119"/>
      <c r="JIW12" s="119"/>
      <c r="JIX12" s="119"/>
      <c r="JIY12" s="120"/>
      <c r="JIZ12" s="120"/>
      <c r="JJA12" s="120"/>
      <c r="JJB12" s="59"/>
      <c r="JJC12" s="119"/>
      <c r="JJD12" s="119"/>
      <c r="JJE12" s="119"/>
      <c r="JJF12" s="119"/>
      <c r="JJG12" s="119"/>
      <c r="JJH12" s="119"/>
      <c r="JJI12" s="119"/>
      <c r="JJJ12" s="119"/>
      <c r="JJK12" s="119"/>
      <c r="JJL12" s="119"/>
      <c r="JJM12" s="119"/>
      <c r="JJN12" s="119"/>
      <c r="JJO12" s="120"/>
      <c r="JJP12" s="120"/>
      <c r="JJQ12" s="120"/>
      <c r="JJR12" s="59"/>
      <c r="JJS12" s="119"/>
      <c r="JJT12" s="119"/>
      <c r="JJU12" s="119"/>
      <c r="JJV12" s="119"/>
      <c r="JJW12" s="119"/>
      <c r="JJX12" s="119"/>
      <c r="JJY12" s="119"/>
      <c r="JJZ12" s="119"/>
      <c r="JKA12" s="119"/>
      <c r="JKB12" s="119"/>
      <c r="JKC12" s="119"/>
      <c r="JKD12" s="119"/>
      <c r="JKE12" s="120"/>
      <c r="JKF12" s="120"/>
      <c r="JKG12" s="120"/>
      <c r="JKH12" s="59"/>
      <c r="JKI12" s="119"/>
      <c r="JKJ12" s="119"/>
      <c r="JKK12" s="119"/>
      <c r="JKL12" s="119"/>
      <c r="JKM12" s="119"/>
      <c r="JKN12" s="119"/>
      <c r="JKO12" s="119"/>
      <c r="JKP12" s="119"/>
      <c r="JKQ12" s="119"/>
      <c r="JKR12" s="119"/>
      <c r="JKS12" s="119"/>
      <c r="JKT12" s="119"/>
      <c r="JKU12" s="120"/>
      <c r="JKV12" s="120"/>
      <c r="JKW12" s="120"/>
      <c r="JKX12" s="59"/>
      <c r="JKY12" s="119"/>
      <c r="JKZ12" s="119"/>
      <c r="JLA12" s="119"/>
      <c r="JLB12" s="119"/>
      <c r="JLC12" s="119"/>
      <c r="JLD12" s="119"/>
      <c r="JLE12" s="119"/>
      <c r="JLF12" s="119"/>
      <c r="JLG12" s="119"/>
      <c r="JLH12" s="119"/>
      <c r="JLI12" s="119"/>
      <c r="JLJ12" s="119"/>
      <c r="JLK12" s="120"/>
      <c r="JLL12" s="120"/>
      <c r="JLM12" s="120"/>
      <c r="JLN12" s="59"/>
      <c r="JLO12" s="119"/>
      <c r="JLP12" s="119"/>
      <c r="JLQ12" s="119"/>
      <c r="JLR12" s="119"/>
      <c r="JLS12" s="119"/>
      <c r="JLT12" s="119"/>
      <c r="JLU12" s="119"/>
      <c r="JLV12" s="119"/>
      <c r="JLW12" s="119"/>
      <c r="JLX12" s="119"/>
      <c r="JLY12" s="119"/>
      <c r="JLZ12" s="119"/>
      <c r="JMA12" s="120"/>
      <c r="JMB12" s="120"/>
      <c r="JMC12" s="120"/>
      <c r="JMD12" s="59"/>
      <c r="JME12" s="119"/>
      <c r="JMF12" s="119"/>
      <c r="JMG12" s="119"/>
      <c r="JMH12" s="119"/>
      <c r="JMI12" s="119"/>
      <c r="JMJ12" s="119"/>
      <c r="JMK12" s="119"/>
      <c r="JML12" s="119"/>
      <c r="JMM12" s="119"/>
      <c r="JMN12" s="119"/>
      <c r="JMO12" s="119"/>
      <c r="JMP12" s="119"/>
      <c r="JMQ12" s="120"/>
      <c r="JMR12" s="120"/>
      <c r="JMS12" s="120"/>
      <c r="JMT12" s="59"/>
      <c r="JMU12" s="119"/>
      <c r="JMV12" s="119"/>
      <c r="JMW12" s="119"/>
      <c r="JMX12" s="119"/>
      <c r="JMY12" s="119"/>
      <c r="JMZ12" s="119"/>
      <c r="JNA12" s="119"/>
      <c r="JNB12" s="119"/>
      <c r="JNC12" s="119"/>
      <c r="JND12" s="119"/>
      <c r="JNE12" s="119"/>
      <c r="JNF12" s="119"/>
      <c r="JNG12" s="120"/>
      <c r="JNH12" s="120"/>
      <c r="JNI12" s="120"/>
      <c r="JNJ12" s="59"/>
      <c r="JNK12" s="119"/>
      <c r="JNL12" s="119"/>
      <c r="JNM12" s="119"/>
      <c r="JNN12" s="119"/>
      <c r="JNO12" s="119"/>
      <c r="JNP12" s="119"/>
      <c r="JNQ12" s="119"/>
      <c r="JNR12" s="119"/>
      <c r="JNS12" s="119"/>
      <c r="JNT12" s="119"/>
      <c r="JNU12" s="119"/>
      <c r="JNV12" s="119"/>
      <c r="JNW12" s="120"/>
      <c r="JNX12" s="120"/>
      <c r="JNY12" s="120"/>
      <c r="JNZ12" s="59"/>
      <c r="JOA12" s="119"/>
      <c r="JOB12" s="119"/>
      <c r="JOC12" s="119"/>
      <c r="JOD12" s="119"/>
      <c r="JOE12" s="119"/>
      <c r="JOF12" s="119"/>
      <c r="JOG12" s="119"/>
      <c r="JOH12" s="119"/>
      <c r="JOI12" s="119"/>
      <c r="JOJ12" s="119"/>
      <c r="JOK12" s="119"/>
      <c r="JOL12" s="119"/>
      <c r="JOM12" s="120"/>
      <c r="JON12" s="120"/>
      <c r="JOO12" s="120"/>
      <c r="JOP12" s="59"/>
      <c r="JOQ12" s="119"/>
      <c r="JOR12" s="119"/>
      <c r="JOS12" s="119"/>
      <c r="JOT12" s="119"/>
      <c r="JOU12" s="119"/>
      <c r="JOV12" s="119"/>
      <c r="JOW12" s="119"/>
      <c r="JOX12" s="119"/>
      <c r="JOY12" s="119"/>
      <c r="JOZ12" s="119"/>
      <c r="JPA12" s="119"/>
      <c r="JPB12" s="119"/>
      <c r="JPC12" s="120"/>
      <c r="JPD12" s="120"/>
      <c r="JPE12" s="120"/>
      <c r="JPF12" s="59"/>
      <c r="JPG12" s="119"/>
      <c r="JPH12" s="119"/>
      <c r="JPI12" s="119"/>
      <c r="JPJ12" s="119"/>
      <c r="JPK12" s="119"/>
      <c r="JPL12" s="119"/>
      <c r="JPM12" s="119"/>
      <c r="JPN12" s="119"/>
      <c r="JPO12" s="119"/>
      <c r="JPP12" s="119"/>
      <c r="JPQ12" s="119"/>
      <c r="JPR12" s="119"/>
      <c r="JPS12" s="120"/>
      <c r="JPT12" s="120"/>
      <c r="JPU12" s="120"/>
      <c r="JPV12" s="59"/>
      <c r="JPW12" s="119"/>
      <c r="JPX12" s="119"/>
      <c r="JPY12" s="119"/>
      <c r="JPZ12" s="119"/>
      <c r="JQA12" s="119"/>
      <c r="JQB12" s="119"/>
      <c r="JQC12" s="119"/>
      <c r="JQD12" s="119"/>
      <c r="JQE12" s="119"/>
      <c r="JQF12" s="119"/>
      <c r="JQG12" s="119"/>
      <c r="JQH12" s="119"/>
      <c r="JQI12" s="120"/>
      <c r="JQJ12" s="120"/>
      <c r="JQK12" s="120"/>
      <c r="JQL12" s="59"/>
      <c r="JQM12" s="119"/>
      <c r="JQN12" s="119"/>
      <c r="JQO12" s="119"/>
      <c r="JQP12" s="119"/>
      <c r="JQQ12" s="119"/>
      <c r="JQR12" s="119"/>
      <c r="JQS12" s="119"/>
      <c r="JQT12" s="119"/>
      <c r="JQU12" s="119"/>
      <c r="JQV12" s="119"/>
      <c r="JQW12" s="119"/>
      <c r="JQX12" s="119"/>
      <c r="JQY12" s="120"/>
      <c r="JQZ12" s="120"/>
      <c r="JRA12" s="120"/>
      <c r="JRB12" s="59"/>
      <c r="JRC12" s="119"/>
      <c r="JRD12" s="119"/>
      <c r="JRE12" s="119"/>
      <c r="JRF12" s="119"/>
      <c r="JRG12" s="119"/>
      <c r="JRH12" s="119"/>
      <c r="JRI12" s="119"/>
      <c r="JRJ12" s="119"/>
      <c r="JRK12" s="119"/>
      <c r="JRL12" s="119"/>
      <c r="JRM12" s="119"/>
      <c r="JRN12" s="119"/>
      <c r="JRO12" s="120"/>
      <c r="JRP12" s="120"/>
      <c r="JRQ12" s="120"/>
      <c r="JRR12" s="59"/>
      <c r="JRS12" s="119"/>
      <c r="JRT12" s="119"/>
      <c r="JRU12" s="119"/>
      <c r="JRV12" s="119"/>
      <c r="JRW12" s="119"/>
      <c r="JRX12" s="119"/>
      <c r="JRY12" s="119"/>
      <c r="JRZ12" s="119"/>
      <c r="JSA12" s="119"/>
      <c r="JSB12" s="119"/>
      <c r="JSC12" s="119"/>
      <c r="JSD12" s="119"/>
      <c r="JSE12" s="120"/>
      <c r="JSF12" s="120"/>
      <c r="JSG12" s="120"/>
      <c r="JSH12" s="59"/>
      <c r="JSI12" s="119"/>
      <c r="JSJ12" s="119"/>
      <c r="JSK12" s="119"/>
      <c r="JSL12" s="119"/>
      <c r="JSM12" s="119"/>
      <c r="JSN12" s="119"/>
      <c r="JSO12" s="119"/>
      <c r="JSP12" s="119"/>
      <c r="JSQ12" s="119"/>
      <c r="JSR12" s="119"/>
      <c r="JSS12" s="119"/>
      <c r="JST12" s="119"/>
      <c r="JSU12" s="120"/>
      <c r="JSV12" s="120"/>
      <c r="JSW12" s="120"/>
      <c r="JSX12" s="59"/>
      <c r="JSY12" s="119"/>
      <c r="JSZ12" s="119"/>
      <c r="JTA12" s="119"/>
      <c r="JTB12" s="119"/>
      <c r="JTC12" s="119"/>
      <c r="JTD12" s="119"/>
      <c r="JTE12" s="119"/>
      <c r="JTF12" s="119"/>
      <c r="JTG12" s="119"/>
      <c r="JTH12" s="119"/>
      <c r="JTI12" s="119"/>
      <c r="JTJ12" s="119"/>
      <c r="JTK12" s="120"/>
      <c r="JTL12" s="120"/>
      <c r="JTM12" s="120"/>
      <c r="JTN12" s="59"/>
      <c r="JTO12" s="119"/>
      <c r="JTP12" s="119"/>
      <c r="JTQ12" s="119"/>
      <c r="JTR12" s="119"/>
      <c r="JTS12" s="119"/>
      <c r="JTT12" s="119"/>
      <c r="JTU12" s="119"/>
      <c r="JTV12" s="119"/>
      <c r="JTW12" s="119"/>
      <c r="JTX12" s="119"/>
      <c r="JTY12" s="119"/>
      <c r="JTZ12" s="119"/>
      <c r="JUA12" s="120"/>
      <c r="JUB12" s="120"/>
      <c r="JUC12" s="120"/>
      <c r="JUD12" s="59"/>
      <c r="JUE12" s="119"/>
      <c r="JUF12" s="119"/>
      <c r="JUG12" s="119"/>
      <c r="JUH12" s="119"/>
      <c r="JUI12" s="119"/>
      <c r="JUJ12" s="119"/>
      <c r="JUK12" s="119"/>
      <c r="JUL12" s="119"/>
      <c r="JUM12" s="119"/>
      <c r="JUN12" s="119"/>
      <c r="JUO12" s="119"/>
      <c r="JUP12" s="119"/>
      <c r="JUQ12" s="120"/>
      <c r="JUR12" s="120"/>
      <c r="JUS12" s="120"/>
      <c r="JUT12" s="59"/>
      <c r="JUU12" s="119"/>
      <c r="JUV12" s="119"/>
      <c r="JUW12" s="119"/>
      <c r="JUX12" s="119"/>
      <c r="JUY12" s="119"/>
      <c r="JUZ12" s="119"/>
      <c r="JVA12" s="119"/>
      <c r="JVB12" s="119"/>
      <c r="JVC12" s="119"/>
      <c r="JVD12" s="119"/>
      <c r="JVE12" s="119"/>
      <c r="JVF12" s="119"/>
      <c r="JVG12" s="120"/>
      <c r="JVH12" s="120"/>
      <c r="JVI12" s="120"/>
      <c r="JVJ12" s="59"/>
      <c r="JVK12" s="119"/>
      <c r="JVL12" s="119"/>
      <c r="JVM12" s="119"/>
      <c r="JVN12" s="119"/>
      <c r="JVO12" s="119"/>
      <c r="JVP12" s="119"/>
      <c r="JVQ12" s="119"/>
      <c r="JVR12" s="119"/>
      <c r="JVS12" s="119"/>
      <c r="JVT12" s="119"/>
      <c r="JVU12" s="119"/>
      <c r="JVV12" s="119"/>
      <c r="JVW12" s="120"/>
      <c r="JVX12" s="120"/>
      <c r="JVY12" s="120"/>
      <c r="JVZ12" s="59"/>
      <c r="JWA12" s="119"/>
      <c r="JWB12" s="119"/>
      <c r="JWC12" s="119"/>
      <c r="JWD12" s="119"/>
      <c r="JWE12" s="119"/>
      <c r="JWF12" s="119"/>
      <c r="JWG12" s="119"/>
      <c r="JWH12" s="119"/>
      <c r="JWI12" s="119"/>
      <c r="JWJ12" s="119"/>
      <c r="JWK12" s="119"/>
      <c r="JWL12" s="119"/>
      <c r="JWM12" s="120"/>
      <c r="JWN12" s="120"/>
      <c r="JWO12" s="120"/>
      <c r="JWP12" s="59"/>
      <c r="JWQ12" s="119"/>
      <c r="JWR12" s="119"/>
      <c r="JWS12" s="119"/>
      <c r="JWT12" s="119"/>
      <c r="JWU12" s="119"/>
      <c r="JWV12" s="119"/>
      <c r="JWW12" s="119"/>
      <c r="JWX12" s="119"/>
      <c r="JWY12" s="119"/>
      <c r="JWZ12" s="119"/>
      <c r="JXA12" s="119"/>
      <c r="JXB12" s="119"/>
      <c r="JXC12" s="120"/>
      <c r="JXD12" s="120"/>
      <c r="JXE12" s="120"/>
      <c r="JXF12" s="59"/>
      <c r="JXG12" s="119"/>
      <c r="JXH12" s="119"/>
      <c r="JXI12" s="119"/>
      <c r="JXJ12" s="119"/>
      <c r="JXK12" s="119"/>
      <c r="JXL12" s="119"/>
      <c r="JXM12" s="119"/>
      <c r="JXN12" s="119"/>
      <c r="JXO12" s="119"/>
      <c r="JXP12" s="119"/>
      <c r="JXQ12" s="119"/>
      <c r="JXR12" s="119"/>
      <c r="JXS12" s="120"/>
      <c r="JXT12" s="120"/>
      <c r="JXU12" s="120"/>
      <c r="JXV12" s="59"/>
      <c r="JXW12" s="119"/>
      <c r="JXX12" s="119"/>
      <c r="JXY12" s="119"/>
      <c r="JXZ12" s="119"/>
      <c r="JYA12" s="119"/>
      <c r="JYB12" s="119"/>
      <c r="JYC12" s="119"/>
      <c r="JYD12" s="119"/>
      <c r="JYE12" s="119"/>
      <c r="JYF12" s="119"/>
      <c r="JYG12" s="119"/>
      <c r="JYH12" s="119"/>
      <c r="JYI12" s="120"/>
      <c r="JYJ12" s="120"/>
      <c r="JYK12" s="120"/>
      <c r="JYL12" s="59"/>
      <c r="JYM12" s="119"/>
      <c r="JYN12" s="119"/>
      <c r="JYO12" s="119"/>
      <c r="JYP12" s="119"/>
      <c r="JYQ12" s="119"/>
      <c r="JYR12" s="119"/>
      <c r="JYS12" s="119"/>
      <c r="JYT12" s="119"/>
      <c r="JYU12" s="119"/>
      <c r="JYV12" s="119"/>
      <c r="JYW12" s="119"/>
      <c r="JYX12" s="119"/>
      <c r="JYY12" s="120"/>
      <c r="JYZ12" s="120"/>
      <c r="JZA12" s="120"/>
      <c r="JZB12" s="59"/>
      <c r="JZC12" s="119"/>
      <c r="JZD12" s="119"/>
      <c r="JZE12" s="119"/>
      <c r="JZF12" s="119"/>
      <c r="JZG12" s="119"/>
      <c r="JZH12" s="119"/>
      <c r="JZI12" s="119"/>
      <c r="JZJ12" s="119"/>
      <c r="JZK12" s="119"/>
      <c r="JZL12" s="119"/>
      <c r="JZM12" s="119"/>
      <c r="JZN12" s="119"/>
      <c r="JZO12" s="120"/>
      <c r="JZP12" s="120"/>
      <c r="JZQ12" s="120"/>
      <c r="JZR12" s="59"/>
      <c r="JZS12" s="119"/>
      <c r="JZT12" s="119"/>
      <c r="JZU12" s="119"/>
      <c r="JZV12" s="119"/>
      <c r="JZW12" s="119"/>
      <c r="JZX12" s="119"/>
      <c r="JZY12" s="119"/>
      <c r="JZZ12" s="119"/>
      <c r="KAA12" s="119"/>
      <c r="KAB12" s="119"/>
      <c r="KAC12" s="119"/>
      <c r="KAD12" s="119"/>
      <c r="KAE12" s="120"/>
      <c r="KAF12" s="120"/>
      <c r="KAG12" s="120"/>
      <c r="KAH12" s="59"/>
      <c r="KAI12" s="119"/>
      <c r="KAJ12" s="119"/>
      <c r="KAK12" s="119"/>
      <c r="KAL12" s="119"/>
      <c r="KAM12" s="119"/>
      <c r="KAN12" s="119"/>
      <c r="KAO12" s="119"/>
      <c r="KAP12" s="119"/>
      <c r="KAQ12" s="119"/>
      <c r="KAR12" s="119"/>
      <c r="KAS12" s="119"/>
      <c r="KAT12" s="119"/>
      <c r="KAU12" s="120"/>
      <c r="KAV12" s="120"/>
      <c r="KAW12" s="120"/>
      <c r="KAX12" s="59"/>
      <c r="KAY12" s="119"/>
      <c r="KAZ12" s="119"/>
      <c r="KBA12" s="119"/>
      <c r="KBB12" s="119"/>
      <c r="KBC12" s="119"/>
      <c r="KBD12" s="119"/>
      <c r="KBE12" s="119"/>
      <c r="KBF12" s="119"/>
      <c r="KBG12" s="119"/>
      <c r="KBH12" s="119"/>
      <c r="KBI12" s="119"/>
      <c r="KBJ12" s="119"/>
      <c r="KBK12" s="120"/>
      <c r="KBL12" s="120"/>
      <c r="KBM12" s="120"/>
      <c r="KBN12" s="59"/>
      <c r="KBO12" s="119"/>
      <c r="KBP12" s="119"/>
      <c r="KBQ12" s="119"/>
      <c r="KBR12" s="119"/>
      <c r="KBS12" s="119"/>
      <c r="KBT12" s="119"/>
      <c r="KBU12" s="119"/>
      <c r="KBV12" s="119"/>
      <c r="KBW12" s="119"/>
      <c r="KBX12" s="119"/>
      <c r="KBY12" s="119"/>
      <c r="KBZ12" s="119"/>
      <c r="KCA12" s="120"/>
      <c r="KCB12" s="120"/>
      <c r="KCC12" s="120"/>
      <c r="KCD12" s="59"/>
      <c r="KCE12" s="119"/>
      <c r="KCF12" s="119"/>
      <c r="KCG12" s="119"/>
      <c r="KCH12" s="119"/>
      <c r="KCI12" s="119"/>
      <c r="KCJ12" s="119"/>
      <c r="KCK12" s="119"/>
      <c r="KCL12" s="119"/>
      <c r="KCM12" s="119"/>
      <c r="KCN12" s="119"/>
      <c r="KCO12" s="119"/>
      <c r="KCP12" s="119"/>
      <c r="KCQ12" s="120"/>
      <c r="KCR12" s="120"/>
      <c r="KCS12" s="120"/>
      <c r="KCT12" s="59"/>
      <c r="KCU12" s="119"/>
      <c r="KCV12" s="119"/>
      <c r="KCW12" s="119"/>
      <c r="KCX12" s="119"/>
      <c r="KCY12" s="119"/>
      <c r="KCZ12" s="119"/>
      <c r="KDA12" s="119"/>
      <c r="KDB12" s="119"/>
      <c r="KDC12" s="119"/>
      <c r="KDD12" s="119"/>
      <c r="KDE12" s="119"/>
      <c r="KDF12" s="119"/>
      <c r="KDG12" s="120"/>
      <c r="KDH12" s="120"/>
      <c r="KDI12" s="120"/>
      <c r="KDJ12" s="59"/>
      <c r="KDK12" s="119"/>
      <c r="KDL12" s="119"/>
      <c r="KDM12" s="119"/>
      <c r="KDN12" s="119"/>
      <c r="KDO12" s="119"/>
      <c r="KDP12" s="119"/>
      <c r="KDQ12" s="119"/>
      <c r="KDR12" s="119"/>
      <c r="KDS12" s="119"/>
      <c r="KDT12" s="119"/>
      <c r="KDU12" s="119"/>
      <c r="KDV12" s="119"/>
      <c r="KDW12" s="120"/>
      <c r="KDX12" s="120"/>
      <c r="KDY12" s="120"/>
      <c r="KDZ12" s="59"/>
      <c r="KEA12" s="119"/>
      <c r="KEB12" s="119"/>
      <c r="KEC12" s="119"/>
      <c r="KED12" s="119"/>
      <c r="KEE12" s="119"/>
      <c r="KEF12" s="119"/>
      <c r="KEG12" s="119"/>
      <c r="KEH12" s="119"/>
      <c r="KEI12" s="119"/>
      <c r="KEJ12" s="119"/>
      <c r="KEK12" s="119"/>
      <c r="KEL12" s="119"/>
      <c r="KEM12" s="120"/>
      <c r="KEN12" s="120"/>
      <c r="KEO12" s="120"/>
      <c r="KEP12" s="59"/>
      <c r="KEQ12" s="119"/>
      <c r="KER12" s="119"/>
      <c r="KES12" s="119"/>
      <c r="KET12" s="119"/>
      <c r="KEU12" s="119"/>
      <c r="KEV12" s="119"/>
      <c r="KEW12" s="119"/>
      <c r="KEX12" s="119"/>
      <c r="KEY12" s="119"/>
      <c r="KEZ12" s="119"/>
      <c r="KFA12" s="119"/>
      <c r="KFB12" s="119"/>
      <c r="KFC12" s="120"/>
      <c r="KFD12" s="120"/>
      <c r="KFE12" s="120"/>
      <c r="KFF12" s="59"/>
      <c r="KFG12" s="119"/>
      <c r="KFH12" s="119"/>
      <c r="KFI12" s="119"/>
      <c r="KFJ12" s="119"/>
      <c r="KFK12" s="119"/>
      <c r="KFL12" s="119"/>
      <c r="KFM12" s="119"/>
      <c r="KFN12" s="119"/>
      <c r="KFO12" s="119"/>
      <c r="KFP12" s="119"/>
      <c r="KFQ12" s="119"/>
      <c r="KFR12" s="119"/>
      <c r="KFS12" s="120"/>
      <c r="KFT12" s="120"/>
      <c r="KFU12" s="120"/>
      <c r="KFV12" s="59"/>
      <c r="KFW12" s="119"/>
      <c r="KFX12" s="119"/>
      <c r="KFY12" s="119"/>
      <c r="KFZ12" s="119"/>
      <c r="KGA12" s="119"/>
      <c r="KGB12" s="119"/>
      <c r="KGC12" s="119"/>
      <c r="KGD12" s="119"/>
      <c r="KGE12" s="119"/>
      <c r="KGF12" s="119"/>
      <c r="KGG12" s="119"/>
      <c r="KGH12" s="119"/>
      <c r="KGI12" s="120"/>
      <c r="KGJ12" s="120"/>
      <c r="KGK12" s="120"/>
      <c r="KGL12" s="59"/>
      <c r="KGM12" s="119"/>
      <c r="KGN12" s="119"/>
      <c r="KGO12" s="119"/>
      <c r="KGP12" s="119"/>
      <c r="KGQ12" s="119"/>
      <c r="KGR12" s="119"/>
      <c r="KGS12" s="119"/>
      <c r="KGT12" s="119"/>
      <c r="KGU12" s="119"/>
      <c r="KGV12" s="119"/>
      <c r="KGW12" s="119"/>
      <c r="KGX12" s="119"/>
      <c r="KGY12" s="120"/>
      <c r="KGZ12" s="120"/>
      <c r="KHA12" s="120"/>
      <c r="KHB12" s="59"/>
      <c r="KHC12" s="119"/>
      <c r="KHD12" s="119"/>
      <c r="KHE12" s="119"/>
      <c r="KHF12" s="119"/>
      <c r="KHG12" s="119"/>
      <c r="KHH12" s="119"/>
      <c r="KHI12" s="119"/>
      <c r="KHJ12" s="119"/>
      <c r="KHK12" s="119"/>
      <c r="KHL12" s="119"/>
      <c r="KHM12" s="119"/>
      <c r="KHN12" s="119"/>
      <c r="KHO12" s="120"/>
      <c r="KHP12" s="120"/>
      <c r="KHQ12" s="120"/>
      <c r="KHR12" s="59"/>
      <c r="KHS12" s="119"/>
      <c r="KHT12" s="119"/>
      <c r="KHU12" s="119"/>
      <c r="KHV12" s="119"/>
      <c r="KHW12" s="119"/>
      <c r="KHX12" s="119"/>
      <c r="KHY12" s="119"/>
      <c r="KHZ12" s="119"/>
      <c r="KIA12" s="119"/>
      <c r="KIB12" s="119"/>
      <c r="KIC12" s="119"/>
      <c r="KID12" s="119"/>
      <c r="KIE12" s="120"/>
      <c r="KIF12" s="120"/>
      <c r="KIG12" s="120"/>
      <c r="KIH12" s="59"/>
      <c r="KII12" s="119"/>
      <c r="KIJ12" s="119"/>
      <c r="KIK12" s="119"/>
      <c r="KIL12" s="119"/>
      <c r="KIM12" s="119"/>
      <c r="KIN12" s="119"/>
      <c r="KIO12" s="119"/>
      <c r="KIP12" s="119"/>
      <c r="KIQ12" s="119"/>
      <c r="KIR12" s="119"/>
      <c r="KIS12" s="119"/>
      <c r="KIT12" s="119"/>
      <c r="KIU12" s="120"/>
      <c r="KIV12" s="120"/>
      <c r="KIW12" s="120"/>
      <c r="KIX12" s="59"/>
      <c r="KIY12" s="119"/>
      <c r="KIZ12" s="119"/>
      <c r="KJA12" s="119"/>
      <c r="KJB12" s="119"/>
      <c r="KJC12" s="119"/>
      <c r="KJD12" s="119"/>
      <c r="KJE12" s="119"/>
      <c r="KJF12" s="119"/>
      <c r="KJG12" s="119"/>
      <c r="KJH12" s="119"/>
      <c r="KJI12" s="119"/>
      <c r="KJJ12" s="119"/>
      <c r="KJK12" s="120"/>
      <c r="KJL12" s="120"/>
      <c r="KJM12" s="120"/>
      <c r="KJN12" s="59"/>
      <c r="KJO12" s="119"/>
      <c r="KJP12" s="119"/>
      <c r="KJQ12" s="119"/>
      <c r="KJR12" s="119"/>
      <c r="KJS12" s="119"/>
      <c r="KJT12" s="119"/>
      <c r="KJU12" s="119"/>
      <c r="KJV12" s="119"/>
      <c r="KJW12" s="119"/>
      <c r="KJX12" s="119"/>
      <c r="KJY12" s="119"/>
      <c r="KJZ12" s="119"/>
      <c r="KKA12" s="120"/>
      <c r="KKB12" s="120"/>
      <c r="KKC12" s="120"/>
      <c r="KKD12" s="59"/>
      <c r="KKE12" s="119"/>
      <c r="KKF12" s="119"/>
      <c r="KKG12" s="119"/>
      <c r="KKH12" s="119"/>
      <c r="KKI12" s="119"/>
      <c r="KKJ12" s="119"/>
      <c r="KKK12" s="119"/>
      <c r="KKL12" s="119"/>
      <c r="KKM12" s="119"/>
      <c r="KKN12" s="119"/>
      <c r="KKO12" s="119"/>
      <c r="KKP12" s="119"/>
      <c r="KKQ12" s="120"/>
      <c r="KKR12" s="120"/>
      <c r="KKS12" s="120"/>
      <c r="KKT12" s="59"/>
      <c r="KKU12" s="119"/>
      <c r="KKV12" s="119"/>
      <c r="KKW12" s="119"/>
      <c r="KKX12" s="119"/>
      <c r="KKY12" s="119"/>
      <c r="KKZ12" s="119"/>
      <c r="KLA12" s="119"/>
      <c r="KLB12" s="119"/>
      <c r="KLC12" s="119"/>
      <c r="KLD12" s="119"/>
      <c r="KLE12" s="119"/>
      <c r="KLF12" s="119"/>
      <c r="KLG12" s="120"/>
      <c r="KLH12" s="120"/>
      <c r="KLI12" s="120"/>
      <c r="KLJ12" s="59"/>
      <c r="KLK12" s="119"/>
      <c r="KLL12" s="119"/>
      <c r="KLM12" s="119"/>
      <c r="KLN12" s="119"/>
      <c r="KLO12" s="119"/>
      <c r="KLP12" s="119"/>
      <c r="KLQ12" s="119"/>
      <c r="KLR12" s="119"/>
      <c r="KLS12" s="119"/>
      <c r="KLT12" s="119"/>
      <c r="KLU12" s="119"/>
      <c r="KLV12" s="119"/>
      <c r="KLW12" s="120"/>
      <c r="KLX12" s="120"/>
      <c r="KLY12" s="120"/>
      <c r="KLZ12" s="59"/>
      <c r="KMA12" s="119"/>
      <c r="KMB12" s="119"/>
      <c r="KMC12" s="119"/>
      <c r="KMD12" s="119"/>
      <c r="KME12" s="119"/>
      <c r="KMF12" s="119"/>
      <c r="KMG12" s="119"/>
      <c r="KMH12" s="119"/>
      <c r="KMI12" s="119"/>
      <c r="KMJ12" s="119"/>
      <c r="KMK12" s="119"/>
      <c r="KML12" s="119"/>
      <c r="KMM12" s="120"/>
      <c r="KMN12" s="120"/>
      <c r="KMO12" s="120"/>
      <c r="KMP12" s="59"/>
      <c r="KMQ12" s="119"/>
      <c r="KMR12" s="119"/>
      <c r="KMS12" s="119"/>
      <c r="KMT12" s="119"/>
      <c r="KMU12" s="119"/>
      <c r="KMV12" s="119"/>
      <c r="KMW12" s="119"/>
      <c r="KMX12" s="119"/>
      <c r="KMY12" s="119"/>
      <c r="KMZ12" s="119"/>
      <c r="KNA12" s="119"/>
      <c r="KNB12" s="119"/>
      <c r="KNC12" s="120"/>
      <c r="KND12" s="120"/>
      <c r="KNE12" s="120"/>
      <c r="KNF12" s="59"/>
      <c r="KNG12" s="119"/>
      <c r="KNH12" s="119"/>
      <c r="KNI12" s="119"/>
      <c r="KNJ12" s="119"/>
      <c r="KNK12" s="119"/>
      <c r="KNL12" s="119"/>
      <c r="KNM12" s="119"/>
      <c r="KNN12" s="119"/>
      <c r="KNO12" s="119"/>
      <c r="KNP12" s="119"/>
      <c r="KNQ12" s="119"/>
      <c r="KNR12" s="119"/>
      <c r="KNS12" s="120"/>
      <c r="KNT12" s="120"/>
      <c r="KNU12" s="120"/>
      <c r="KNV12" s="59"/>
      <c r="KNW12" s="119"/>
      <c r="KNX12" s="119"/>
      <c r="KNY12" s="119"/>
      <c r="KNZ12" s="119"/>
      <c r="KOA12" s="119"/>
      <c r="KOB12" s="119"/>
      <c r="KOC12" s="119"/>
      <c r="KOD12" s="119"/>
      <c r="KOE12" s="119"/>
      <c r="KOF12" s="119"/>
      <c r="KOG12" s="119"/>
      <c r="KOH12" s="119"/>
      <c r="KOI12" s="120"/>
      <c r="KOJ12" s="120"/>
      <c r="KOK12" s="120"/>
      <c r="KOL12" s="59"/>
      <c r="KOM12" s="119"/>
      <c r="KON12" s="119"/>
      <c r="KOO12" s="119"/>
      <c r="KOP12" s="119"/>
      <c r="KOQ12" s="119"/>
      <c r="KOR12" s="119"/>
      <c r="KOS12" s="119"/>
      <c r="KOT12" s="119"/>
      <c r="KOU12" s="119"/>
      <c r="KOV12" s="119"/>
      <c r="KOW12" s="119"/>
      <c r="KOX12" s="119"/>
      <c r="KOY12" s="120"/>
      <c r="KOZ12" s="120"/>
      <c r="KPA12" s="120"/>
      <c r="KPB12" s="59"/>
      <c r="KPC12" s="119"/>
      <c r="KPD12" s="119"/>
      <c r="KPE12" s="119"/>
      <c r="KPF12" s="119"/>
      <c r="KPG12" s="119"/>
      <c r="KPH12" s="119"/>
      <c r="KPI12" s="119"/>
      <c r="KPJ12" s="119"/>
      <c r="KPK12" s="119"/>
      <c r="KPL12" s="119"/>
      <c r="KPM12" s="119"/>
      <c r="KPN12" s="119"/>
      <c r="KPO12" s="120"/>
      <c r="KPP12" s="120"/>
      <c r="KPQ12" s="120"/>
      <c r="KPR12" s="59"/>
      <c r="KPS12" s="119"/>
      <c r="KPT12" s="119"/>
      <c r="KPU12" s="119"/>
      <c r="KPV12" s="119"/>
      <c r="KPW12" s="119"/>
      <c r="KPX12" s="119"/>
      <c r="KPY12" s="119"/>
      <c r="KPZ12" s="119"/>
      <c r="KQA12" s="119"/>
      <c r="KQB12" s="119"/>
      <c r="KQC12" s="119"/>
      <c r="KQD12" s="119"/>
      <c r="KQE12" s="120"/>
      <c r="KQF12" s="120"/>
      <c r="KQG12" s="120"/>
      <c r="KQH12" s="59"/>
      <c r="KQI12" s="119"/>
      <c r="KQJ12" s="119"/>
      <c r="KQK12" s="119"/>
      <c r="KQL12" s="119"/>
      <c r="KQM12" s="119"/>
      <c r="KQN12" s="119"/>
      <c r="KQO12" s="119"/>
      <c r="KQP12" s="119"/>
      <c r="KQQ12" s="119"/>
      <c r="KQR12" s="119"/>
      <c r="KQS12" s="119"/>
      <c r="KQT12" s="119"/>
      <c r="KQU12" s="120"/>
      <c r="KQV12" s="120"/>
      <c r="KQW12" s="120"/>
      <c r="KQX12" s="59"/>
      <c r="KQY12" s="119"/>
      <c r="KQZ12" s="119"/>
      <c r="KRA12" s="119"/>
      <c r="KRB12" s="119"/>
      <c r="KRC12" s="119"/>
      <c r="KRD12" s="119"/>
      <c r="KRE12" s="119"/>
      <c r="KRF12" s="119"/>
      <c r="KRG12" s="119"/>
      <c r="KRH12" s="119"/>
      <c r="KRI12" s="119"/>
      <c r="KRJ12" s="119"/>
      <c r="KRK12" s="120"/>
      <c r="KRL12" s="120"/>
      <c r="KRM12" s="120"/>
      <c r="KRN12" s="59"/>
      <c r="KRO12" s="119"/>
      <c r="KRP12" s="119"/>
      <c r="KRQ12" s="119"/>
      <c r="KRR12" s="119"/>
      <c r="KRS12" s="119"/>
      <c r="KRT12" s="119"/>
      <c r="KRU12" s="119"/>
      <c r="KRV12" s="119"/>
      <c r="KRW12" s="119"/>
      <c r="KRX12" s="119"/>
      <c r="KRY12" s="119"/>
      <c r="KRZ12" s="119"/>
      <c r="KSA12" s="120"/>
      <c r="KSB12" s="120"/>
      <c r="KSC12" s="120"/>
      <c r="KSD12" s="59"/>
      <c r="KSE12" s="119"/>
      <c r="KSF12" s="119"/>
      <c r="KSG12" s="119"/>
      <c r="KSH12" s="119"/>
      <c r="KSI12" s="119"/>
      <c r="KSJ12" s="119"/>
      <c r="KSK12" s="119"/>
      <c r="KSL12" s="119"/>
      <c r="KSM12" s="119"/>
      <c r="KSN12" s="119"/>
      <c r="KSO12" s="119"/>
      <c r="KSP12" s="119"/>
      <c r="KSQ12" s="120"/>
      <c r="KSR12" s="120"/>
      <c r="KSS12" s="120"/>
      <c r="KST12" s="59"/>
      <c r="KSU12" s="119"/>
      <c r="KSV12" s="119"/>
      <c r="KSW12" s="119"/>
      <c r="KSX12" s="119"/>
      <c r="KSY12" s="119"/>
      <c r="KSZ12" s="119"/>
      <c r="KTA12" s="119"/>
      <c r="KTB12" s="119"/>
      <c r="KTC12" s="119"/>
      <c r="KTD12" s="119"/>
      <c r="KTE12" s="119"/>
      <c r="KTF12" s="119"/>
      <c r="KTG12" s="120"/>
      <c r="KTH12" s="120"/>
      <c r="KTI12" s="120"/>
      <c r="KTJ12" s="59"/>
      <c r="KTK12" s="119"/>
      <c r="KTL12" s="119"/>
      <c r="KTM12" s="119"/>
      <c r="KTN12" s="119"/>
      <c r="KTO12" s="119"/>
      <c r="KTP12" s="119"/>
      <c r="KTQ12" s="119"/>
      <c r="KTR12" s="119"/>
      <c r="KTS12" s="119"/>
      <c r="KTT12" s="119"/>
      <c r="KTU12" s="119"/>
      <c r="KTV12" s="119"/>
      <c r="KTW12" s="120"/>
      <c r="KTX12" s="120"/>
      <c r="KTY12" s="120"/>
      <c r="KTZ12" s="59"/>
      <c r="KUA12" s="119"/>
      <c r="KUB12" s="119"/>
      <c r="KUC12" s="119"/>
      <c r="KUD12" s="119"/>
      <c r="KUE12" s="119"/>
      <c r="KUF12" s="119"/>
      <c r="KUG12" s="119"/>
      <c r="KUH12" s="119"/>
      <c r="KUI12" s="119"/>
      <c r="KUJ12" s="119"/>
      <c r="KUK12" s="119"/>
      <c r="KUL12" s="119"/>
      <c r="KUM12" s="120"/>
      <c r="KUN12" s="120"/>
      <c r="KUO12" s="120"/>
      <c r="KUP12" s="59"/>
      <c r="KUQ12" s="119"/>
      <c r="KUR12" s="119"/>
      <c r="KUS12" s="119"/>
      <c r="KUT12" s="119"/>
      <c r="KUU12" s="119"/>
      <c r="KUV12" s="119"/>
      <c r="KUW12" s="119"/>
      <c r="KUX12" s="119"/>
      <c r="KUY12" s="119"/>
      <c r="KUZ12" s="119"/>
      <c r="KVA12" s="119"/>
      <c r="KVB12" s="119"/>
      <c r="KVC12" s="120"/>
      <c r="KVD12" s="120"/>
      <c r="KVE12" s="120"/>
      <c r="KVF12" s="59"/>
      <c r="KVG12" s="119"/>
      <c r="KVH12" s="119"/>
      <c r="KVI12" s="119"/>
      <c r="KVJ12" s="119"/>
      <c r="KVK12" s="119"/>
      <c r="KVL12" s="119"/>
      <c r="KVM12" s="119"/>
      <c r="KVN12" s="119"/>
      <c r="KVO12" s="119"/>
      <c r="KVP12" s="119"/>
      <c r="KVQ12" s="119"/>
      <c r="KVR12" s="119"/>
      <c r="KVS12" s="120"/>
      <c r="KVT12" s="120"/>
      <c r="KVU12" s="120"/>
      <c r="KVV12" s="59"/>
      <c r="KVW12" s="119"/>
      <c r="KVX12" s="119"/>
      <c r="KVY12" s="119"/>
      <c r="KVZ12" s="119"/>
      <c r="KWA12" s="119"/>
      <c r="KWB12" s="119"/>
      <c r="KWC12" s="119"/>
      <c r="KWD12" s="119"/>
      <c r="KWE12" s="119"/>
      <c r="KWF12" s="119"/>
      <c r="KWG12" s="119"/>
      <c r="KWH12" s="119"/>
      <c r="KWI12" s="120"/>
      <c r="KWJ12" s="120"/>
      <c r="KWK12" s="120"/>
      <c r="KWL12" s="59"/>
      <c r="KWM12" s="119"/>
      <c r="KWN12" s="119"/>
      <c r="KWO12" s="119"/>
      <c r="KWP12" s="119"/>
      <c r="KWQ12" s="119"/>
      <c r="KWR12" s="119"/>
      <c r="KWS12" s="119"/>
      <c r="KWT12" s="119"/>
      <c r="KWU12" s="119"/>
      <c r="KWV12" s="119"/>
      <c r="KWW12" s="119"/>
      <c r="KWX12" s="119"/>
      <c r="KWY12" s="120"/>
      <c r="KWZ12" s="120"/>
      <c r="KXA12" s="120"/>
      <c r="KXB12" s="59"/>
      <c r="KXC12" s="119"/>
      <c r="KXD12" s="119"/>
      <c r="KXE12" s="119"/>
      <c r="KXF12" s="119"/>
      <c r="KXG12" s="119"/>
      <c r="KXH12" s="119"/>
      <c r="KXI12" s="119"/>
      <c r="KXJ12" s="119"/>
      <c r="KXK12" s="119"/>
      <c r="KXL12" s="119"/>
      <c r="KXM12" s="119"/>
      <c r="KXN12" s="119"/>
      <c r="KXO12" s="120"/>
      <c r="KXP12" s="120"/>
      <c r="KXQ12" s="120"/>
      <c r="KXR12" s="59"/>
      <c r="KXS12" s="119"/>
      <c r="KXT12" s="119"/>
      <c r="KXU12" s="119"/>
      <c r="KXV12" s="119"/>
      <c r="KXW12" s="119"/>
      <c r="KXX12" s="119"/>
      <c r="KXY12" s="119"/>
      <c r="KXZ12" s="119"/>
      <c r="KYA12" s="119"/>
      <c r="KYB12" s="119"/>
      <c r="KYC12" s="119"/>
      <c r="KYD12" s="119"/>
      <c r="KYE12" s="120"/>
      <c r="KYF12" s="120"/>
      <c r="KYG12" s="120"/>
      <c r="KYH12" s="59"/>
      <c r="KYI12" s="119"/>
      <c r="KYJ12" s="119"/>
      <c r="KYK12" s="119"/>
      <c r="KYL12" s="119"/>
      <c r="KYM12" s="119"/>
      <c r="KYN12" s="119"/>
      <c r="KYO12" s="119"/>
      <c r="KYP12" s="119"/>
      <c r="KYQ12" s="119"/>
      <c r="KYR12" s="119"/>
      <c r="KYS12" s="119"/>
      <c r="KYT12" s="119"/>
      <c r="KYU12" s="120"/>
      <c r="KYV12" s="120"/>
      <c r="KYW12" s="120"/>
      <c r="KYX12" s="59"/>
      <c r="KYY12" s="119"/>
      <c r="KYZ12" s="119"/>
      <c r="KZA12" s="119"/>
      <c r="KZB12" s="119"/>
      <c r="KZC12" s="119"/>
      <c r="KZD12" s="119"/>
      <c r="KZE12" s="119"/>
      <c r="KZF12" s="119"/>
      <c r="KZG12" s="119"/>
      <c r="KZH12" s="119"/>
      <c r="KZI12" s="119"/>
      <c r="KZJ12" s="119"/>
      <c r="KZK12" s="120"/>
      <c r="KZL12" s="120"/>
      <c r="KZM12" s="120"/>
      <c r="KZN12" s="59"/>
      <c r="KZO12" s="119"/>
      <c r="KZP12" s="119"/>
      <c r="KZQ12" s="119"/>
      <c r="KZR12" s="119"/>
      <c r="KZS12" s="119"/>
      <c r="KZT12" s="119"/>
      <c r="KZU12" s="119"/>
      <c r="KZV12" s="119"/>
      <c r="KZW12" s="119"/>
      <c r="KZX12" s="119"/>
      <c r="KZY12" s="119"/>
      <c r="KZZ12" s="119"/>
      <c r="LAA12" s="120"/>
      <c r="LAB12" s="120"/>
      <c r="LAC12" s="120"/>
      <c r="LAD12" s="59"/>
      <c r="LAE12" s="119"/>
      <c r="LAF12" s="119"/>
      <c r="LAG12" s="119"/>
      <c r="LAH12" s="119"/>
      <c r="LAI12" s="119"/>
      <c r="LAJ12" s="119"/>
      <c r="LAK12" s="119"/>
      <c r="LAL12" s="119"/>
      <c r="LAM12" s="119"/>
      <c r="LAN12" s="119"/>
      <c r="LAO12" s="119"/>
      <c r="LAP12" s="119"/>
      <c r="LAQ12" s="120"/>
      <c r="LAR12" s="120"/>
      <c r="LAS12" s="120"/>
      <c r="LAT12" s="59"/>
      <c r="LAU12" s="119"/>
      <c r="LAV12" s="119"/>
      <c r="LAW12" s="119"/>
      <c r="LAX12" s="119"/>
      <c r="LAY12" s="119"/>
      <c r="LAZ12" s="119"/>
      <c r="LBA12" s="119"/>
      <c r="LBB12" s="119"/>
      <c r="LBC12" s="119"/>
      <c r="LBD12" s="119"/>
      <c r="LBE12" s="119"/>
      <c r="LBF12" s="119"/>
      <c r="LBG12" s="120"/>
      <c r="LBH12" s="120"/>
      <c r="LBI12" s="120"/>
      <c r="LBJ12" s="59"/>
      <c r="LBK12" s="119"/>
      <c r="LBL12" s="119"/>
      <c r="LBM12" s="119"/>
      <c r="LBN12" s="119"/>
      <c r="LBO12" s="119"/>
      <c r="LBP12" s="119"/>
      <c r="LBQ12" s="119"/>
      <c r="LBR12" s="119"/>
      <c r="LBS12" s="119"/>
      <c r="LBT12" s="119"/>
      <c r="LBU12" s="119"/>
      <c r="LBV12" s="119"/>
      <c r="LBW12" s="120"/>
      <c r="LBX12" s="120"/>
      <c r="LBY12" s="120"/>
      <c r="LBZ12" s="59"/>
      <c r="LCA12" s="119"/>
      <c r="LCB12" s="119"/>
      <c r="LCC12" s="119"/>
      <c r="LCD12" s="119"/>
      <c r="LCE12" s="119"/>
      <c r="LCF12" s="119"/>
      <c r="LCG12" s="119"/>
      <c r="LCH12" s="119"/>
      <c r="LCI12" s="119"/>
      <c r="LCJ12" s="119"/>
      <c r="LCK12" s="119"/>
      <c r="LCL12" s="119"/>
      <c r="LCM12" s="120"/>
      <c r="LCN12" s="120"/>
      <c r="LCO12" s="120"/>
      <c r="LCP12" s="59"/>
      <c r="LCQ12" s="119"/>
      <c r="LCR12" s="119"/>
      <c r="LCS12" s="119"/>
      <c r="LCT12" s="119"/>
      <c r="LCU12" s="119"/>
      <c r="LCV12" s="119"/>
      <c r="LCW12" s="119"/>
      <c r="LCX12" s="119"/>
      <c r="LCY12" s="119"/>
      <c r="LCZ12" s="119"/>
      <c r="LDA12" s="119"/>
      <c r="LDB12" s="119"/>
      <c r="LDC12" s="120"/>
      <c r="LDD12" s="120"/>
      <c r="LDE12" s="120"/>
      <c r="LDF12" s="59"/>
      <c r="LDG12" s="119"/>
      <c r="LDH12" s="119"/>
      <c r="LDI12" s="119"/>
      <c r="LDJ12" s="119"/>
      <c r="LDK12" s="119"/>
      <c r="LDL12" s="119"/>
      <c r="LDM12" s="119"/>
      <c r="LDN12" s="119"/>
      <c r="LDO12" s="119"/>
      <c r="LDP12" s="119"/>
      <c r="LDQ12" s="119"/>
      <c r="LDR12" s="119"/>
      <c r="LDS12" s="120"/>
      <c r="LDT12" s="120"/>
      <c r="LDU12" s="120"/>
      <c r="LDV12" s="59"/>
      <c r="LDW12" s="119"/>
      <c r="LDX12" s="119"/>
      <c r="LDY12" s="119"/>
      <c r="LDZ12" s="119"/>
      <c r="LEA12" s="119"/>
      <c r="LEB12" s="119"/>
      <c r="LEC12" s="119"/>
      <c r="LED12" s="119"/>
      <c r="LEE12" s="119"/>
      <c r="LEF12" s="119"/>
      <c r="LEG12" s="119"/>
      <c r="LEH12" s="119"/>
      <c r="LEI12" s="120"/>
      <c r="LEJ12" s="120"/>
      <c r="LEK12" s="120"/>
      <c r="LEL12" s="59"/>
      <c r="LEM12" s="119"/>
      <c r="LEN12" s="119"/>
      <c r="LEO12" s="119"/>
      <c r="LEP12" s="119"/>
      <c r="LEQ12" s="119"/>
      <c r="LER12" s="119"/>
      <c r="LES12" s="119"/>
      <c r="LET12" s="119"/>
      <c r="LEU12" s="119"/>
      <c r="LEV12" s="119"/>
      <c r="LEW12" s="119"/>
      <c r="LEX12" s="119"/>
      <c r="LEY12" s="120"/>
      <c r="LEZ12" s="120"/>
      <c r="LFA12" s="120"/>
      <c r="LFB12" s="59"/>
      <c r="LFC12" s="119"/>
      <c r="LFD12" s="119"/>
      <c r="LFE12" s="119"/>
      <c r="LFF12" s="119"/>
      <c r="LFG12" s="119"/>
      <c r="LFH12" s="119"/>
      <c r="LFI12" s="119"/>
      <c r="LFJ12" s="119"/>
      <c r="LFK12" s="119"/>
      <c r="LFL12" s="119"/>
      <c r="LFM12" s="119"/>
      <c r="LFN12" s="119"/>
      <c r="LFO12" s="120"/>
      <c r="LFP12" s="120"/>
      <c r="LFQ12" s="120"/>
      <c r="LFR12" s="59"/>
      <c r="LFS12" s="119"/>
      <c r="LFT12" s="119"/>
      <c r="LFU12" s="119"/>
      <c r="LFV12" s="119"/>
      <c r="LFW12" s="119"/>
      <c r="LFX12" s="119"/>
      <c r="LFY12" s="119"/>
      <c r="LFZ12" s="119"/>
      <c r="LGA12" s="119"/>
      <c r="LGB12" s="119"/>
      <c r="LGC12" s="119"/>
      <c r="LGD12" s="119"/>
      <c r="LGE12" s="120"/>
      <c r="LGF12" s="120"/>
      <c r="LGG12" s="120"/>
      <c r="LGH12" s="59"/>
      <c r="LGI12" s="119"/>
      <c r="LGJ12" s="119"/>
      <c r="LGK12" s="119"/>
      <c r="LGL12" s="119"/>
      <c r="LGM12" s="119"/>
      <c r="LGN12" s="119"/>
      <c r="LGO12" s="119"/>
      <c r="LGP12" s="119"/>
      <c r="LGQ12" s="119"/>
      <c r="LGR12" s="119"/>
      <c r="LGS12" s="119"/>
      <c r="LGT12" s="119"/>
      <c r="LGU12" s="120"/>
      <c r="LGV12" s="120"/>
      <c r="LGW12" s="120"/>
      <c r="LGX12" s="59"/>
      <c r="LGY12" s="119"/>
      <c r="LGZ12" s="119"/>
      <c r="LHA12" s="119"/>
      <c r="LHB12" s="119"/>
      <c r="LHC12" s="119"/>
      <c r="LHD12" s="119"/>
      <c r="LHE12" s="119"/>
      <c r="LHF12" s="119"/>
      <c r="LHG12" s="119"/>
      <c r="LHH12" s="119"/>
      <c r="LHI12" s="119"/>
      <c r="LHJ12" s="119"/>
      <c r="LHK12" s="120"/>
      <c r="LHL12" s="120"/>
      <c r="LHM12" s="120"/>
      <c r="LHN12" s="59"/>
      <c r="LHO12" s="119"/>
      <c r="LHP12" s="119"/>
      <c r="LHQ12" s="119"/>
      <c r="LHR12" s="119"/>
      <c r="LHS12" s="119"/>
      <c r="LHT12" s="119"/>
      <c r="LHU12" s="119"/>
      <c r="LHV12" s="119"/>
      <c r="LHW12" s="119"/>
      <c r="LHX12" s="119"/>
      <c r="LHY12" s="119"/>
      <c r="LHZ12" s="119"/>
      <c r="LIA12" s="120"/>
      <c r="LIB12" s="120"/>
      <c r="LIC12" s="120"/>
      <c r="LID12" s="59"/>
      <c r="LIE12" s="119"/>
      <c r="LIF12" s="119"/>
      <c r="LIG12" s="119"/>
      <c r="LIH12" s="119"/>
      <c r="LII12" s="119"/>
      <c r="LIJ12" s="119"/>
      <c r="LIK12" s="119"/>
      <c r="LIL12" s="119"/>
      <c r="LIM12" s="119"/>
      <c r="LIN12" s="119"/>
      <c r="LIO12" s="119"/>
      <c r="LIP12" s="119"/>
      <c r="LIQ12" s="120"/>
      <c r="LIR12" s="120"/>
      <c r="LIS12" s="120"/>
      <c r="LIT12" s="59"/>
      <c r="LIU12" s="119"/>
      <c r="LIV12" s="119"/>
      <c r="LIW12" s="119"/>
      <c r="LIX12" s="119"/>
      <c r="LIY12" s="119"/>
      <c r="LIZ12" s="119"/>
      <c r="LJA12" s="119"/>
      <c r="LJB12" s="119"/>
      <c r="LJC12" s="119"/>
      <c r="LJD12" s="119"/>
      <c r="LJE12" s="119"/>
      <c r="LJF12" s="119"/>
      <c r="LJG12" s="120"/>
      <c r="LJH12" s="120"/>
      <c r="LJI12" s="120"/>
      <c r="LJJ12" s="59"/>
      <c r="LJK12" s="119"/>
      <c r="LJL12" s="119"/>
      <c r="LJM12" s="119"/>
      <c r="LJN12" s="119"/>
      <c r="LJO12" s="119"/>
      <c r="LJP12" s="119"/>
      <c r="LJQ12" s="119"/>
      <c r="LJR12" s="119"/>
      <c r="LJS12" s="119"/>
      <c r="LJT12" s="119"/>
      <c r="LJU12" s="119"/>
      <c r="LJV12" s="119"/>
      <c r="LJW12" s="120"/>
      <c r="LJX12" s="120"/>
      <c r="LJY12" s="120"/>
      <c r="LJZ12" s="59"/>
      <c r="LKA12" s="119"/>
      <c r="LKB12" s="119"/>
      <c r="LKC12" s="119"/>
      <c r="LKD12" s="119"/>
      <c r="LKE12" s="119"/>
      <c r="LKF12" s="119"/>
      <c r="LKG12" s="119"/>
      <c r="LKH12" s="119"/>
      <c r="LKI12" s="119"/>
      <c r="LKJ12" s="119"/>
      <c r="LKK12" s="119"/>
      <c r="LKL12" s="119"/>
      <c r="LKM12" s="120"/>
      <c r="LKN12" s="120"/>
      <c r="LKO12" s="120"/>
      <c r="LKP12" s="59"/>
      <c r="LKQ12" s="119"/>
      <c r="LKR12" s="119"/>
      <c r="LKS12" s="119"/>
      <c r="LKT12" s="119"/>
      <c r="LKU12" s="119"/>
      <c r="LKV12" s="119"/>
      <c r="LKW12" s="119"/>
      <c r="LKX12" s="119"/>
      <c r="LKY12" s="119"/>
      <c r="LKZ12" s="119"/>
      <c r="LLA12" s="119"/>
      <c r="LLB12" s="119"/>
      <c r="LLC12" s="120"/>
      <c r="LLD12" s="120"/>
      <c r="LLE12" s="120"/>
      <c r="LLF12" s="59"/>
      <c r="LLG12" s="119"/>
      <c r="LLH12" s="119"/>
      <c r="LLI12" s="119"/>
      <c r="LLJ12" s="119"/>
      <c r="LLK12" s="119"/>
      <c r="LLL12" s="119"/>
      <c r="LLM12" s="119"/>
      <c r="LLN12" s="119"/>
      <c r="LLO12" s="119"/>
      <c r="LLP12" s="119"/>
      <c r="LLQ12" s="119"/>
      <c r="LLR12" s="119"/>
      <c r="LLS12" s="120"/>
      <c r="LLT12" s="120"/>
      <c r="LLU12" s="120"/>
      <c r="LLV12" s="59"/>
      <c r="LLW12" s="119"/>
      <c r="LLX12" s="119"/>
      <c r="LLY12" s="119"/>
      <c r="LLZ12" s="119"/>
      <c r="LMA12" s="119"/>
      <c r="LMB12" s="119"/>
      <c r="LMC12" s="119"/>
      <c r="LMD12" s="119"/>
      <c r="LME12" s="119"/>
      <c r="LMF12" s="119"/>
      <c r="LMG12" s="119"/>
      <c r="LMH12" s="119"/>
      <c r="LMI12" s="120"/>
      <c r="LMJ12" s="120"/>
      <c r="LMK12" s="120"/>
      <c r="LML12" s="59"/>
      <c r="LMM12" s="119"/>
      <c r="LMN12" s="119"/>
      <c r="LMO12" s="119"/>
      <c r="LMP12" s="119"/>
      <c r="LMQ12" s="119"/>
      <c r="LMR12" s="119"/>
      <c r="LMS12" s="119"/>
      <c r="LMT12" s="119"/>
      <c r="LMU12" s="119"/>
      <c r="LMV12" s="119"/>
      <c r="LMW12" s="119"/>
      <c r="LMX12" s="119"/>
      <c r="LMY12" s="120"/>
      <c r="LMZ12" s="120"/>
      <c r="LNA12" s="120"/>
      <c r="LNB12" s="59"/>
      <c r="LNC12" s="119"/>
      <c r="LND12" s="119"/>
      <c r="LNE12" s="119"/>
      <c r="LNF12" s="119"/>
      <c r="LNG12" s="119"/>
      <c r="LNH12" s="119"/>
      <c r="LNI12" s="119"/>
      <c r="LNJ12" s="119"/>
      <c r="LNK12" s="119"/>
      <c r="LNL12" s="119"/>
      <c r="LNM12" s="119"/>
      <c r="LNN12" s="119"/>
      <c r="LNO12" s="120"/>
      <c r="LNP12" s="120"/>
      <c r="LNQ12" s="120"/>
      <c r="LNR12" s="59"/>
      <c r="LNS12" s="119"/>
      <c r="LNT12" s="119"/>
      <c r="LNU12" s="119"/>
      <c r="LNV12" s="119"/>
      <c r="LNW12" s="119"/>
      <c r="LNX12" s="119"/>
      <c r="LNY12" s="119"/>
      <c r="LNZ12" s="119"/>
      <c r="LOA12" s="119"/>
      <c r="LOB12" s="119"/>
      <c r="LOC12" s="119"/>
      <c r="LOD12" s="119"/>
      <c r="LOE12" s="120"/>
      <c r="LOF12" s="120"/>
      <c r="LOG12" s="120"/>
      <c r="LOH12" s="59"/>
      <c r="LOI12" s="119"/>
      <c r="LOJ12" s="119"/>
      <c r="LOK12" s="119"/>
      <c r="LOL12" s="119"/>
      <c r="LOM12" s="119"/>
      <c r="LON12" s="119"/>
      <c r="LOO12" s="119"/>
      <c r="LOP12" s="119"/>
      <c r="LOQ12" s="119"/>
      <c r="LOR12" s="119"/>
      <c r="LOS12" s="119"/>
      <c r="LOT12" s="119"/>
      <c r="LOU12" s="120"/>
      <c r="LOV12" s="120"/>
      <c r="LOW12" s="120"/>
      <c r="LOX12" s="59"/>
      <c r="LOY12" s="119"/>
      <c r="LOZ12" s="119"/>
      <c r="LPA12" s="119"/>
      <c r="LPB12" s="119"/>
      <c r="LPC12" s="119"/>
      <c r="LPD12" s="119"/>
      <c r="LPE12" s="119"/>
      <c r="LPF12" s="119"/>
      <c r="LPG12" s="119"/>
      <c r="LPH12" s="119"/>
      <c r="LPI12" s="119"/>
      <c r="LPJ12" s="119"/>
      <c r="LPK12" s="120"/>
      <c r="LPL12" s="120"/>
      <c r="LPM12" s="120"/>
      <c r="LPN12" s="59"/>
      <c r="LPO12" s="119"/>
      <c r="LPP12" s="119"/>
      <c r="LPQ12" s="119"/>
      <c r="LPR12" s="119"/>
      <c r="LPS12" s="119"/>
      <c r="LPT12" s="119"/>
      <c r="LPU12" s="119"/>
      <c r="LPV12" s="119"/>
      <c r="LPW12" s="119"/>
      <c r="LPX12" s="119"/>
      <c r="LPY12" s="119"/>
      <c r="LPZ12" s="119"/>
      <c r="LQA12" s="120"/>
      <c r="LQB12" s="120"/>
      <c r="LQC12" s="120"/>
      <c r="LQD12" s="59"/>
      <c r="LQE12" s="119"/>
      <c r="LQF12" s="119"/>
      <c r="LQG12" s="119"/>
      <c r="LQH12" s="119"/>
      <c r="LQI12" s="119"/>
      <c r="LQJ12" s="119"/>
      <c r="LQK12" s="119"/>
      <c r="LQL12" s="119"/>
      <c r="LQM12" s="119"/>
      <c r="LQN12" s="119"/>
      <c r="LQO12" s="119"/>
      <c r="LQP12" s="119"/>
      <c r="LQQ12" s="120"/>
      <c r="LQR12" s="120"/>
      <c r="LQS12" s="120"/>
      <c r="LQT12" s="59"/>
      <c r="LQU12" s="119"/>
      <c r="LQV12" s="119"/>
      <c r="LQW12" s="119"/>
      <c r="LQX12" s="119"/>
      <c r="LQY12" s="119"/>
      <c r="LQZ12" s="119"/>
      <c r="LRA12" s="119"/>
      <c r="LRB12" s="119"/>
      <c r="LRC12" s="119"/>
      <c r="LRD12" s="119"/>
      <c r="LRE12" s="119"/>
      <c r="LRF12" s="119"/>
      <c r="LRG12" s="120"/>
      <c r="LRH12" s="120"/>
      <c r="LRI12" s="120"/>
      <c r="LRJ12" s="59"/>
      <c r="LRK12" s="119"/>
      <c r="LRL12" s="119"/>
      <c r="LRM12" s="119"/>
      <c r="LRN12" s="119"/>
      <c r="LRO12" s="119"/>
      <c r="LRP12" s="119"/>
      <c r="LRQ12" s="119"/>
      <c r="LRR12" s="119"/>
      <c r="LRS12" s="119"/>
      <c r="LRT12" s="119"/>
      <c r="LRU12" s="119"/>
      <c r="LRV12" s="119"/>
      <c r="LRW12" s="120"/>
      <c r="LRX12" s="120"/>
      <c r="LRY12" s="120"/>
      <c r="LRZ12" s="59"/>
      <c r="LSA12" s="119"/>
      <c r="LSB12" s="119"/>
      <c r="LSC12" s="119"/>
      <c r="LSD12" s="119"/>
      <c r="LSE12" s="119"/>
      <c r="LSF12" s="119"/>
      <c r="LSG12" s="119"/>
      <c r="LSH12" s="119"/>
      <c r="LSI12" s="119"/>
      <c r="LSJ12" s="119"/>
      <c r="LSK12" s="119"/>
      <c r="LSL12" s="119"/>
      <c r="LSM12" s="120"/>
      <c r="LSN12" s="120"/>
      <c r="LSO12" s="120"/>
      <c r="LSP12" s="59"/>
      <c r="LSQ12" s="119"/>
      <c r="LSR12" s="119"/>
      <c r="LSS12" s="119"/>
      <c r="LST12" s="119"/>
      <c r="LSU12" s="119"/>
      <c r="LSV12" s="119"/>
      <c r="LSW12" s="119"/>
      <c r="LSX12" s="119"/>
      <c r="LSY12" s="119"/>
      <c r="LSZ12" s="119"/>
      <c r="LTA12" s="119"/>
      <c r="LTB12" s="119"/>
      <c r="LTC12" s="120"/>
      <c r="LTD12" s="120"/>
      <c r="LTE12" s="120"/>
      <c r="LTF12" s="59"/>
      <c r="LTG12" s="119"/>
      <c r="LTH12" s="119"/>
      <c r="LTI12" s="119"/>
      <c r="LTJ12" s="119"/>
      <c r="LTK12" s="119"/>
      <c r="LTL12" s="119"/>
      <c r="LTM12" s="119"/>
      <c r="LTN12" s="119"/>
      <c r="LTO12" s="119"/>
      <c r="LTP12" s="119"/>
      <c r="LTQ12" s="119"/>
      <c r="LTR12" s="119"/>
      <c r="LTS12" s="120"/>
      <c r="LTT12" s="120"/>
      <c r="LTU12" s="120"/>
      <c r="LTV12" s="59"/>
      <c r="LTW12" s="119"/>
      <c r="LTX12" s="119"/>
      <c r="LTY12" s="119"/>
      <c r="LTZ12" s="119"/>
      <c r="LUA12" s="119"/>
      <c r="LUB12" s="119"/>
      <c r="LUC12" s="119"/>
      <c r="LUD12" s="119"/>
      <c r="LUE12" s="119"/>
      <c r="LUF12" s="119"/>
      <c r="LUG12" s="119"/>
      <c r="LUH12" s="119"/>
      <c r="LUI12" s="120"/>
      <c r="LUJ12" s="120"/>
      <c r="LUK12" s="120"/>
      <c r="LUL12" s="59"/>
      <c r="LUM12" s="119"/>
      <c r="LUN12" s="119"/>
      <c r="LUO12" s="119"/>
      <c r="LUP12" s="119"/>
      <c r="LUQ12" s="119"/>
      <c r="LUR12" s="119"/>
      <c r="LUS12" s="119"/>
      <c r="LUT12" s="119"/>
      <c r="LUU12" s="119"/>
      <c r="LUV12" s="119"/>
      <c r="LUW12" s="119"/>
      <c r="LUX12" s="119"/>
      <c r="LUY12" s="120"/>
      <c r="LUZ12" s="120"/>
      <c r="LVA12" s="120"/>
      <c r="LVB12" s="59"/>
      <c r="LVC12" s="119"/>
      <c r="LVD12" s="119"/>
      <c r="LVE12" s="119"/>
      <c r="LVF12" s="119"/>
      <c r="LVG12" s="119"/>
      <c r="LVH12" s="119"/>
      <c r="LVI12" s="119"/>
      <c r="LVJ12" s="119"/>
      <c r="LVK12" s="119"/>
      <c r="LVL12" s="119"/>
      <c r="LVM12" s="119"/>
      <c r="LVN12" s="119"/>
      <c r="LVO12" s="120"/>
      <c r="LVP12" s="120"/>
      <c r="LVQ12" s="120"/>
      <c r="LVR12" s="59"/>
      <c r="LVS12" s="119"/>
      <c r="LVT12" s="119"/>
      <c r="LVU12" s="119"/>
      <c r="LVV12" s="119"/>
      <c r="LVW12" s="119"/>
      <c r="LVX12" s="119"/>
      <c r="LVY12" s="119"/>
      <c r="LVZ12" s="119"/>
      <c r="LWA12" s="119"/>
      <c r="LWB12" s="119"/>
      <c r="LWC12" s="119"/>
      <c r="LWD12" s="119"/>
      <c r="LWE12" s="120"/>
      <c r="LWF12" s="120"/>
      <c r="LWG12" s="120"/>
      <c r="LWH12" s="59"/>
      <c r="LWI12" s="119"/>
      <c r="LWJ12" s="119"/>
      <c r="LWK12" s="119"/>
      <c r="LWL12" s="119"/>
      <c r="LWM12" s="119"/>
      <c r="LWN12" s="119"/>
      <c r="LWO12" s="119"/>
      <c r="LWP12" s="119"/>
      <c r="LWQ12" s="119"/>
      <c r="LWR12" s="119"/>
      <c r="LWS12" s="119"/>
      <c r="LWT12" s="119"/>
      <c r="LWU12" s="120"/>
      <c r="LWV12" s="120"/>
      <c r="LWW12" s="120"/>
      <c r="LWX12" s="59"/>
      <c r="LWY12" s="119"/>
      <c r="LWZ12" s="119"/>
      <c r="LXA12" s="119"/>
      <c r="LXB12" s="119"/>
      <c r="LXC12" s="119"/>
      <c r="LXD12" s="119"/>
      <c r="LXE12" s="119"/>
      <c r="LXF12" s="119"/>
      <c r="LXG12" s="119"/>
      <c r="LXH12" s="119"/>
      <c r="LXI12" s="119"/>
      <c r="LXJ12" s="119"/>
      <c r="LXK12" s="120"/>
      <c r="LXL12" s="120"/>
      <c r="LXM12" s="120"/>
      <c r="LXN12" s="59"/>
      <c r="LXO12" s="119"/>
      <c r="LXP12" s="119"/>
      <c r="LXQ12" s="119"/>
      <c r="LXR12" s="119"/>
      <c r="LXS12" s="119"/>
      <c r="LXT12" s="119"/>
      <c r="LXU12" s="119"/>
      <c r="LXV12" s="119"/>
      <c r="LXW12" s="119"/>
      <c r="LXX12" s="119"/>
      <c r="LXY12" s="119"/>
      <c r="LXZ12" s="119"/>
      <c r="LYA12" s="120"/>
      <c r="LYB12" s="120"/>
      <c r="LYC12" s="120"/>
      <c r="LYD12" s="59"/>
      <c r="LYE12" s="119"/>
      <c r="LYF12" s="119"/>
      <c r="LYG12" s="119"/>
      <c r="LYH12" s="119"/>
      <c r="LYI12" s="119"/>
      <c r="LYJ12" s="119"/>
      <c r="LYK12" s="119"/>
      <c r="LYL12" s="119"/>
      <c r="LYM12" s="119"/>
      <c r="LYN12" s="119"/>
      <c r="LYO12" s="119"/>
      <c r="LYP12" s="119"/>
      <c r="LYQ12" s="120"/>
      <c r="LYR12" s="120"/>
      <c r="LYS12" s="120"/>
      <c r="LYT12" s="59"/>
      <c r="LYU12" s="119"/>
      <c r="LYV12" s="119"/>
      <c r="LYW12" s="119"/>
      <c r="LYX12" s="119"/>
      <c r="LYY12" s="119"/>
      <c r="LYZ12" s="119"/>
      <c r="LZA12" s="119"/>
      <c r="LZB12" s="119"/>
      <c r="LZC12" s="119"/>
      <c r="LZD12" s="119"/>
      <c r="LZE12" s="119"/>
      <c r="LZF12" s="119"/>
      <c r="LZG12" s="120"/>
      <c r="LZH12" s="120"/>
      <c r="LZI12" s="120"/>
      <c r="LZJ12" s="59"/>
      <c r="LZK12" s="119"/>
      <c r="LZL12" s="119"/>
      <c r="LZM12" s="119"/>
      <c r="LZN12" s="119"/>
      <c r="LZO12" s="119"/>
      <c r="LZP12" s="119"/>
      <c r="LZQ12" s="119"/>
      <c r="LZR12" s="119"/>
      <c r="LZS12" s="119"/>
      <c r="LZT12" s="119"/>
      <c r="LZU12" s="119"/>
      <c r="LZV12" s="119"/>
      <c r="LZW12" s="120"/>
      <c r="LZX12" s="120"/>
      <c r="LZY12" s="120"/>
      <c r="LZZ12" s="59"/>
      <c r="MAA12" s="119"/>
      <c r="MAB12" s="119"/>
      <c r="MAC12" s="119"/>
      <c r="MAD12" s="119"/>
      <c r="MAE12" s="119"/>
      <c r="MAF12" s="119"/>
      <c r="MAG12" s="119"/>
      <c r="MAH12" s="119"/>
      <c r="MAI12" s="119"/>
      <c r="MAJ12" s="119"/>
      <c r="MAK12" s="119"/>
      <c r="MAL12" s="119"/>
      <c r="MAM12" s="120"/>
      <c r="MAN12" s="120"/>
      <c r="MAO12" s="120"/>
      <c r="MAP12" s="59"/>
      <c r="MAQ12" s="119"/>
      <c r="MAR12" s="119"/>
      <c r="MAS12" s="119"/>
      <c r="MAT12" s="119"/>
      <c r="MAU12" s="119"/>
      <c r="MAV12" s="119"/>
      <c r="MAW12" s="119"/>
      <c r="MAX12" s="119"/>
      <c r="MAY12" s="119"/>
      <c r="MAZ12" s="119"/>
      <c r="MBA12" s="119"/>
      <c r="MBB12" s="119"/>
      <c r="MBC12" s="120"/>
      <c r="MBD12" s="120"/>
      <c r="MBE12" s="120"/>
      <c r="MBF12" s="59"/>
      <c r="MBG12" s="119"/>
      <c r="MBH12" s="119"/>
      <c r="MBI12" s="119"/>
      <c r="MBJ12" s="119"/>
      <c r="MBK12" s="119"/>
      <c r="MBL12" s="119"/>
      <c r="MBM12" s="119"/>
      <c r="MBN12" s="119"/>
      <c r="MBO12" s="119"/>
      <c r="MBP12" s="119"/>
      <c r="MBQ12" s="119"/>
      <c r="MBR12" s="119"/>
      <c r="MBS12" s="120"/>
      <c r="MBT12" s="120"/>
      <c r="MBU12" s="120"/>
      <c r="MBV12" s="59"/>
      <c r="MBW12" s="119"/>
      <c r="MBX12" s="119"/>
      <c r="MBY12" s="119"/>
      <c r="MBZ12" s="119"/>
      <c r="MCA12" s="119"/>
      <c r="MCB12" s="119"/>
      <c r="MCC12" s="119"/>
      <c r="MCD12" s="119"/>
      <c r="MCE12" s="119"/>
      <c r="MCF12" s="119"/>
      <c r="MCG12" s="119"/>
      <c r="MCH12" s="119"/>
      <c r="MCI12" s="120"/>
      <c r="MCJ12" s="120"/>
      <c r="MCK12" s="120"/>
      <c r="MCL12" s="59"/>
      <c r="MCM12" s="119"/>
      <c r="MCN12" s="119"/>
      <c r="MCO12" s="119"/>
      <c r="MCP12" s="119"/>
      <c r="MCQ12" s="119"/>
      <c r="MCR12" s="119"/>
      <c r="MCS12" s="119"/>
      <c r="MCT12" s="119"/>
      <c r="MCU12" s="119"/>
      <c r="MCV12" s="119"/>
      <c r="MCW12" s="119"/>
      <c r="MCX12" s="119"/>
      <c r="MCY12" s="120"/>
      <c r="MCZ12" s="120"/>
      <c r="MDA12" s="120"/>
      <c r="MDB12" s="59"/>
      <c r="MDC12" s="119"/>
      <c r="MDD12" s="119"/>
      <c r="MDE12" s="119"/>
      <c r="MDF12" s="119"/>
      <c r="MDG12" s="119"/>
      <c r="MDH12" s="119"/>
      <c r="MDI12" s="119"/>
      <c r="MDJ12" s="119"/>
      <c r="MDK12" s="119"/>
      <c r="MDL12" s="119"/>
      <c r="MDM12" s="119"/>
      <c r="MDN12" s="119"/>
      <c r="MDO12" s="120"/>
      <c r="MDP12" s="120"/>
      <c r="MDQ12" s="120"/>
      <c r="MDR12" s="59"/>
      <c r="MDS12" s="119"/>
      <c r="MDT12" s="119"/>
      <c r="MDU12" s="119"/>
      <c r="MDV12" s="119"/>
      <c r="MDW12" s="119"/>
      <c r="MDX12" s="119"/>
      <c r="MDY12" s="119"/>
      <c r="MDZ12" s="119"/>
      <c r="MEA12" s="119"/>
      <c r="MEB12" s="119"/>
      <c r="MEC12" s="119"/>
      <c r="MED12" s="119"/>
      <c r="MEE12" s="120"/>
      <c r="MEF12" s="120"/>
      <c r="MEG12" s="120"/>
      <c r="MEH12" s="59"/>
      <c r="MEI12" s="119"/>
      <c r="MEJ12" s="119"/>
      <c r="MEK12" s="119"/>
      <c r="MEL12" s="119"/>
      <c r="MEM12" s="119"/>
      <c r="MEN12" s="119"/>
      <c r="MEO12" s="119"/>
      <c r="MEP12" s="119"/>
      <c r="MEQ12" s="119"/>
      <c r="MER12" s="119"/>
      <c r="MES12" s="119"/>
      <c r="MET12" s="119"/>
      <c r="MEU12" s="120"/>
      <c r="MEV12" s="120"/>
      <c r="MEW12" s="120"/>
      <c r="MEX12" s="59"/>
      <c r="MEY12" s="119"/>
      <c r="MEZ12" s="119"/>
      <c r="MFA12" s="119"/>
      <c r="MFB12" s="119"/>
      <c r="MFC12" s="119"/>
      <c r="MFD12" s="119"/>
      <c r="MFE12" s="119"/>
      <c r="MFF12" s="119"/>
      <c r="MFG12" s="119"/>
      <c r="MFH12" s="119"/>
      <c r="MFI12" s="119"/>
      <c r="MFJ12" s="119"/>
      <c r="MFK12" s="120"/>
      <c r="MFL12" s="120"/>
      <c r="MFM12" s="120"/>
      <c r="MFN12" s="59"/>
      <c r="MFO12" s="119"/>
      <c r="MFP12" s="119"/>
      <c r="MFQ12" s="119"/>
      <c r="MFR12" s="119"/>
      <c r="MFS12" s="119"/>
      <c r="MFT12" s="119"/>
      <c r="MFU12" s="119"/>
      <c r="MFV12" s="119"/>
      <c r="MFW12" s="119"/>
      <c r="MFX12" s="119"/>
      <c r="MFY12" s="119"/>
      <c r="MFZ12" s="119"/>
      <c r="MGA12" s="120"/>
      <c r="MGB12" s="120"/>
      <c r="MGC12" s="120"/>
      <c r="MGD12" s="59"/>
      <c r="MGE12" s="119"/>
      <c r="MGF12" s="119"/>
      <c r="MGG12" s="119"/>
      <c r="MGH12" s="119"/>
      <c r="MGI12" s="119"/>
      <c r="MGJ12" s="119"/>
      <c r="MGK12" s="119"/>
      <c r="MGL12" s="119"/>
      <c r="MGM12" s="119"/>
      <c r="MGN12" s="119"/>
      <c r="MGO12" s="119"/>
      <c r="MGP12" s="119"/>
      <c r="MGQ12" s="120"/>
      <c r="MGR12" s="120"/>
      <c r="MGS12" s="120"/>
      <c r="MGT12" s="59"/>
      <c r="MGU12" s="119"/>
      <c r="MGV12" s="119"/>
      <c r="MGW12" s="119"/>
      <c r="MGX12" s="119"/>
      <c r="MGY12" s="119"/>
      <c r="MGZ12" s="119"/>
      <c r="MHA12" s="119"/>
      <c r="MHB12" s="119"/>
      <c r="MHC12" s="119"/>
      <c r="MHD12" s="119"/>
      <c r="MHE12" s="119"/>
      <c r="MHF12" s="119"/>
      <c r="MHG12" s="120"/>
      <c r="MHH12" s="120"/>
      <c r="MHI12" s="120"/>
      <c r="MHJ12" s="59"/>
      <c r="MHK12" s="119"/>
      <c r="MHL12" s="119"/>
      <c r="MHM12" s="119"/>
      <c r="MHN12" s="119"/>
      <c r="MHO12" s="119"/>
      <c r="MHP12" s="119"/>
      <c r="MHQ12" s="119"/>
      <c r="MHR12" s="119"/>
      <c r="MHS12" s="119"/>
      <c r="MHT12" s="119"/>
      <c r="MHU12" s="119"/>
      <c r="MHV12" s="119"/>
      <c r="MHW12" s="120"/>
      <c r="MHX12" s="120"/>
      <c r="MHY12" s="120"/>
      <c r="MHZ12" s="59"/>
      <c r="MIA12" s="119"/>
      <c r="MIB12" s="119"/>
      <c r="MIC12" s="119"/>
      <c r="MID12" s="119"/>
      <c r="MIE12" s="119"/>
      <c r="MIF12" s="119"/>
      <c r="MIG12" s="119"/>
      <c r="MIH12" s="119"/>
      <c r="MII12" s="119"/>
      <c r="MIJ12" s="119"/>
      <c r="MIK12" s="119"/>
      <c r="MIL12" s="119"/>
      <c r="MIM12" s="120"/>
      <c r="MIN12" s="120"/>
      <c r="MIO12" s="120"/>
      <c r="MIP12" s="59"/>
      <c r="MIQ12" s="119"/>
      <c r="MIR12" s="119"/>
      <c r="MIS12" s="119"/>
      <c r="MIT12" s="119"/>
      <c r="MIU12" s="119"/>
      <c r="MIV12" s="119"/>
      <c r="MIW12" s="119"/>
      <c r="MIX12" s="119"/>
      <c r="MIY12" s="119"/>
      <c r="MIZ12" s="119"/>
      <c r="MJA12" s="119"/>
      <c r="MJB12" s="119"/>
      <c r="MJC12" s="120"/>
      <c r="MJD12" s="120"/>
      <c r="MJE12" s="120"/>
      <c r="MJF12" s="59"/>
      <c r="MJG12" s="119"/>
      <c r="MJH12" s="119"/>
      <c r="MJI12" s="119"/>
      <c r="MJJ12" s="119"/>
      <c r="MJK12" s="119"/>
      <c r="MJL12" s="119"/>
      <c r="MJM12" s="119"/>
      <c r="MJN12" s="119"/>
      <c r="MJO12" s="119"/>
      <c r="MJP12" s="119"/>
      <c r="MJQ12" s="119"/>
      <c r="MJR12" s="119"/>
      <c r="MJS12" s="120"/>
      <c r="MJT12" s="120"/>
      <c r="MJU12" s="120"/>
      <c r="MJV12" s="59"/>
      <c r="MJW12" s="119"/>
      <c r="MJX12" s="119"/>
      <c r="MJY12" s="119"/>
      <c r="MJZ12" s="119"/>
      <c r="MKA12" s="119"/>
      <c r="MKB12" s="119"/>
      <c r="MKC12" s="119"/>
      <c r="MKD12" s="119"/>
      <c r="MKE12" s="119"/>
      <c r="MKF12" s="119"/>
      <c r="MKG12" s="119"/>
      <c r="MKH12" s="119"/>
      <c r="MKI12" s="120"/>
      <c r="MKJ12" s="120"/>
      <c r="MKK12" s="120"/>
      <c r="MKL12" s="59"/>
      <c r="MKM12" s="119"/>
      <c r="MKN12" s="119"/>
      <c r="MKO12" s="119"/>
      <c r="MKP12" s="119"/>
      <c r="MKQ12" s="119"/>
      <c r="MKR12" s="119"/>
      <c r="MKS12" s="119"/>
      <c r="MKT12" s="119"/>
      <c r="MKU12" s="119"/>
      <c r="MKV12" s="119"/>
      <c r="MKW12" s="119"/>
      <c r="MKX12" s="119"/>
      <c r="MKY12" s="120"/>
      <c r="MKZ12" s="120"/>
      <c r="MLA12" s="120"/>
      <c r="MLB12" s="59"/>
      <c r="MLC12" s="119"/>
      <c r="MLD12" s="119"/>
      <c r="MLE12" s="119"/>
      <c r="MLF12" s="119"/>
      <c r="MLG12" s="119"/>
      <c r="MLH12" s="119"/>
      <c r="MLI12" s="119"/>
      <c r="MLJ12" s="119"/>
      <c r="MLK12" s="119"/>
      <c r="MLL12" s="119"/>
      <c r="MLM12" s="119"/>
      <c r="MLN12" s="119"/>
      <c r="MLO12" s="120"/>
      <c r="MLP12" s="120"/>
      <c r="MLQ12" s="120"/>
      <c r="MLR12" s="59"/>
      <c r="MLS12" s="119"/>
      <c r="MLT12" s="119"/>
      <c r="MLU12" s="119"/>
      <c r="MLV12" s="119"/>
      <c r="MLW12" s="119"/>
      <c r="MLX12" s="119"/>
      <c r="MLY12" s="119"/>
      <c r="MLZ12" s="119"/>
      <c r="MMA12" s="119"/>
      <c r="MMB12" s="119"/>
      <c r="MMC12" s="119"/>
      <c r="MMD12" s="119"/>
      <c r="MME12" s="120"/>
      <c r="MMF12" s="120"/>
      <c r="MMG12" s="120"/>
      <c r="MMH12" s="59"/>
      <c r="MMI12" s="119"/>
      <c r="MMJ12" s="119"/>
      <c r="MMK12" s="119"/>
      <c r="MML12" s="119"/>
      <c r="MMM12" s="119"/>
      <c r="MMN12" s="119"/>
      <c r="MMO12" s="119"/>
      <c r="MMP12" s="119"/>
      <c r="MMQ12" s="119"/>
      <c r="MMR12" s="119"/>
      <c r="MMS12" s="119"/>
      <c r="MMT12" s="119"/>
      <c r="MMU12" s="120"/>
      <c r="MMV12" s="120"/>
      <c r="MMW12" s="120"/>
      <c r="MMX12" s="59"/>
      <c r="MMY12" s="119"/>
      <c r="MMZ12" s="119"/>
      <c r="MNA12" s="119"/>
      <c r="MNB12" s="119"/>
      <c r="MNC12" s="119"/>
      <c r="MND12" s="119"/>
      <c r="MNE12" s="119"/>
      <c r="MNF12" s="119"/>
      <c r="MNG12" s="119"/>
      <c r="MNH12" s="119"/>
      <c r="MNI12" s="119"/>
      <c r="MNJ12" s="119"/>
      <c r="MNK12" s="120"/>
      <c r="MNL12" s="120"/>
      <c r="MNM12" s="120"/>
      <c r="MNN12" s="59"/>
      <c r="MNO12" s="119"/>
      <c r="MNP12" s="119"/>
      <c r="MNQ12" s="119"/>
      <c r="MNR12" s="119"/>
      <c r="MNS12" s="119"/>
      <c r="MNT12" s="119"/>
      <c r="MNU12" s="119"/>
      <c r="MNV12" s="119"/>
      <c r="MNW12" s="119"/>
      <c r="MNX12" s="119"/>
      <c r="MNY12" s="119"/>
      <c r="MNZ12" s="119"/>
      <c r="MOA12" s="120"/>
      <c r="MOB12" s="120"/>
      <c r="MOC12" s="120"/>
      <c r="MOD12" s="59"/>
      <c r="MOE12" s="119"/>
      <c r="MOF12" s="119"/>
      <c r="MOG12" s="119"/>
      <c r="MOH12" s="119"/>
      <c r="MOI12" s="119"/>
      <c r="MOJ12" s="119"/>
      <c r="MOK12" s="119"/>
      <c r="MOL12" s="119"/>
      <c r="MOM12" s="119"/>
      <c r="MON12" s="119"/>
      <c r="MOO12" s="119"/>
      <c r="MOP12" s="119"/>
      <c r="MOQ12" s="120"/>
      <c r="MOR12" s="120"/>
      <c r="MOS12" s="120"/>
      <c r="MOT12" s="59"/>
      <c r="MOU12" s="119"/>
      <c r="MOV12" s="119"/>
      <c r="MOW12" s="119"/>
      <c r="MOX12" s="119"/>
      <c r="MOY12" s="119"/>
      <c r="MOZ12" s="119"/>
      <c r="MPA12" s="119"/>
      <c r="MPB12" s="119"/>
      <c r="MPC12" s="119"/>
      <c r="MPD12" s="119"/>
      <c r="MPE12" s="119"/>
      <c r="MPF12" s="119"/>
      <c r="MPG12" s="120"/>
      <c r="MPH12" s="120"/>
      <c r="MPI12" s="120"/>
      <c r="MPJ12" s="59"/>
      <c r="MPK12" s="119"/>
      <c r="MPL12" s="119"/>
      <c r="MPM12" s="119"/>
      <c r="MPN12" s="119"/>
      <c r="MPO12" s="119"/>
      <c r="MPP12" s="119"/>
      <c r="MPQ12" s="119"/>
      <c r="MPR12" s="119"/>
      <c r="MPS12" s="119"/>
      <c r="MPT12" s="119"/>
      <c r="MPU12" s="119"/>
      <c r="MPV12" s="119"/>
      <c r="MPW12" s="120"/>
      <c r="MPX12" s="120"/>
      <c r="MPY12" s="120"/>
      <c r="MPZ12" s="59"/>
      <c r="MQA12" s="119"/>
      <c r="MQB12" s="119"/>
      <c r="MQC12" s="119"/>
      <c r="MQD12" s="119"/>
      <c r="MQE12" s="119"/>
      <c r="MQF12" s="119"/>
      <c r="MQG12" s="119"/>
      <c r="MQH12" s="119"/>
      <c r="MQI12" s="119"/>
      <c r="MQJ12" s="119"/>
      <c r="MQK12" s="119"/>
      <c r="MQL12" s="119"/>
      <c r="MQM12" s="120"/>
      <c r="MQN12" s="120"/>
      <c r="MQO12" s="120"/>
      <c r="MQP12" s="59"/>
      <c r="MQQ12" s="119"/>
      <c r="MQR12" s="119"/>
      <c r="MQS12" s="119"/>
      <c r="MQT12" s="119"/>
      <c r="MQU12" s="119"/>
      <c r="MQV12" s="119"/>
      <c r="MQW12" s="119"/>
      <c r="MQX12" s="119"/>
      <c r="MQY12" s="119"/>
      <c r="MQZ12" s="119"/>
      <c r="MRA12" s="119"/>
      <c r="MRB12" s="119"/>
      <c r="MRC12" s="120"/>
      <c r="MRD12" s="120"/>
      <c r="MRE12" s="120"/>
      <c r="MRF12" s="59"/>
      <c r="MRG12" s="119"/>
      <c r="MRH12" s="119"/>
      <c r="MRI12" s="119"/>
      <c r="MRJ12" s="119"/>
      <c r="MRK12" s="119"/>
      <c r="MRL12" s="119"/>
      <c r="MRM12" s="119"/>
      <c r="MRN12" s="119"/>
      <c r="MRO12" s="119"/>
      <c r="MRP12" s="119"/>
      <c r="MRQ12" s="119"/>
      <c r="MRR12" s="119"/>
      <c r="MRS12" s="120"/>
      <c r="MRT12" s="120"/>
      <c r="MRU12" s="120"/>
      <c r="MRV12" s="59"/>
      <c r="MRW12" s="119"/>
      <c r="MRX12" s="119"/>
      <c r="MRY12" s="119"/>
      <c r="MRZ12" s="119"/>
      <c r="MSA12" s="119"/>
      <c r="MSB12" s="119"/>
      <c r="MSC12" s="119"/>
      <c r="MSD12" s="119"/>
      <c r="MSE12" s="119"/>
      <c r="MSF12" s="119"/>
      <c r="MSG12" s="119"/>
      <c r="MSH12" s="119"/>
      <c r="MSI12" s="120"/>
      <c r="MSJ12" s="120"/>
      <c r="MSK12" s="120"/>
      <c r="MSL12" s="59"/>
      <c r="MSM12" s="119"/>
      <c r="MSN12" s="119"/>
      <c r="MSO12" s="119"/>
      <c r="MSP12" s="119"/>
      <c r="MSQ12" s="119"/>
      <c r="MSR12" s="119"/>
      <c r="MSS12" s="119"/>
      <c r="MST12" s="119"/>
      <c r="MSU12" s="119"/>
      <c r="MSV12" s="119"/>
      <c r="MSW12" s="119"/>
      <c r="MSX12" s="119"/>
      <c r="MSY12" s="120"/>
      <c r="MSZ12" s="120"/>
      <c r="MTA12" s="120"/>
      <c r="MTB12" s="59"/>
      <c r="MTC12" s="119"/>
      <c r="MTD12" s="119"/>
      <c r="MTE12" s="119"/>
      <c r="MTF12" s="119"/>
      <c r="MTG12" s="119"/>
      <c r="MTH12" s="119"/>
      <c r="MTI12" s="119"/>
      <c r="MTJ12" s="119"/>
      <c r="MTK12" s="119"/>
      <c r="MTL12" s="119"/>
      <c r="MTM12" s="119"/>
      <c r="MTN12" s="119"/>
      <c r="MTO12" s="120"/>
      <c r="MTP12" s="120"/>
      <c r="MTQ12" s="120"/>
      <c r="MTR12" s="59"/>
      <c r="MTS12" s="119"/>
      <c r="MTT12" s="119"/>
      <c r="MTU12" s="119"/>
      <c r="MTV12" s="119"/>
      <c r="MTW12" s="119"/>
      <c r="MTX12" s="119"/>
      <c r="MTY12" s="119"/>
      <c r="MTZ12" s="119"/>
      <c r="MUA12" s="119"/>
      <c r="MUB12" s="119"/>
      <c r="MUC12" s="119"/>
      <c r="MUD12" s="119"/>
      <c r="MUE12" s="120"/>
      <c r="MUF12" s="120"/>
      <c r="MUG12" s="120"/>
      <c r="MUH12" s="59"/>
      <c r="MUI12" s="119"/>
      <c r="MUJ12" s="119"/>
      <c r="MUK12" s="119"/>
      <c r="MUL12" s="119"/>
      <c r="MUM12" s="119"/>
      <c r="MUN12" s="119"/>
      <c r="MUO12" s="119"/>
      <c r="MUP12" s="119"/>
      <c r="MUQ12" s="119"/>
      <c r="MUR12" s="119"/>
      <c r="MUS12" s="119"/>
      <c r="MUT12" s="119"/>
      <c r="MUU12" s="120"/>
      <c r="MUV12" s="120"/>
      <c r="MUW12" s="120"/>
      <c r="MUX12" s="59"/>
      <c r="MUY12" s="119"/>
      <c r="MUZ12" s="119"/>
      <c r="MVA12" s="119"/>
      <c r="MVB12" s="119"/>
      <c r="MVC12" s="119"/>
      <c r="MVD12" s="119"/>
      <c r="MVE12" s="119"/>
      <c r="MVF12" s="119"/>
      <c r="MVG12" s="119"/>
      <c r="MVH12" s="119"/>
      <c r="MVI12" s="119"/>
      <c r="MVJ12" s="119"/>
      <c r="MVK12" s="120"/>
      <c r="MVL12" s="120"/>
      <c r="MVM12" s="120"/>
      <c r="MVN12" s="59"/>
      <c r="MVO12" s="119"/>
      <c r="MVP12" s="119"/>
      <c r="MVQ12" s="119"/>
      <c r="MVR12" s="119"/>
      <c r="MVS12" s="119"/>
      <c r="MVT12" s="119"/>
      <c r="MVU12" s="119"/>
      <c r="MVV12" s="119"/>
      <c r="MVW12" s="119"/>
      <c r="MVX12" s="119"/>
      <c r="MVY12" s="119"/>
      <c r="MVZ12" s="119"/>
      <c r="MWA12" s="120"/>
      <c r="MWB12" s="120"/>
      <c r="MWC12" s="120"/>
      <c r="MWD12" s="59"/>
      <c r="MWE12" s="119"/>
      <c r="MWF12" s="119"/>
      <c r="MWG12" s="119"/>
      <c r="MWH12" s="119"/>
      <c r="MWI12" s="119"/>
      <c r="MWJ12" s="119"/>
      <c r="MWK12" s="119"/>
      <c r="MWL12" s="119"/>
      <c r="MWM12" s="119"/>
      <c r="MWN12" s="119"/>
      <c r="MWO12" s="119"/>
      <c r="MWP12" s="119"/>
      <c r="MWQ12" s="120"/>
      <c r="MWR12" s="120"/>
      <c r="MWS12" s="120"/>
      <c r="MWT12" s="59"/>
      <c r="MWU12" s="119"/>
      <c r="MWV12" s="119"/>
      <c r="MWW12" s="119"/>
      <c r="MWX12" s="119"/>
      <c r="MWY12" s="119"/>
      <c r="MWZ12" s="119"/>
      <c r="MXA12" s="119"/>
      <c r="MXB12" s="119"/>
      <c r="MXC12" s="119"/>
      <c r="MXD12" s="119"/>
      <c r="MXE12" s="119"/>
      <c r="MXF12" s="119"/>
      <c r="MXG12" s="120"/>
      <c r="MXH12" s="120"/>
      <c r="MXI12" s="120"/>
      <c r="MXJ12" s="59"/>
      <c r="MXK12" s="119"/>
      <c r="MXL12" s="119"/>
      <c r="MXM12" s="119"/>
      <c r="MXN12" s="119"/>
      <c r="MXO12" s="119"/>
      <c r="MXP12" s="119"/>
      <c r="MXQ12" s="119"/>
      <c r="MXR12" s="119"/>
      <c r="MXS12" s="119"/>
      <c r="MXT12" s="119"/>
      <c r="MXU12" s="119"/>
      <c r="MXV12" s="119"/>
      <c r="MXW12" s="120"/>
      <c r="MXX12" s="120"/>
      <c r="MXY12" s="120"/>
      <c r="MXZ12" s="59"/>
      <c r="MYA12" s="119"/>
      <c r="MYB12" s="119"/>
      <c r="MYC12" s="119"/>
      <c r="MYD12" s="119"/>
      <c r="MYE12" s="119"/>
      <c r="MYF12" s="119"/>
      <c r="MYG12" s="119"/>
      <c r="MYH12" s="119"/>
      <c r="MYI12" s="119"/>
      <c r="MYJ12" s="119"/>
      <c r="MYK12" s="119"/>
      <c r="MYL12" s="119"/>
      <c r="MYM12" s="120"/>
      <c r="MYN12" s="120"/>
      <c r="MYO12" s="120"/>
      <c r="MYP12" s="59"/>
      <c r="MYQ12" s="119"/>
      <c r="MYR12" s="119"/>
      <c r="MYS12" s="119"/>
      <c r="MYT12" s="119"/>
      <c r="MYU12" s="119"/>
      <c r="MYV12" s="119"/>
      <c r="MYW12" s="119"/>
      <c r="MYX12" s="119"/>
      <c r="MYY12" s="119"/>
      <c r="MYZ12" s="119"/>
      <c r="MZA12" s="119"/>
      <c r="MZB12" s="119"/>
      <c r="MZC12" s="120"/>
      <c r="MZD12" s="120"/>
      <c r="MZE12" s="120"/>
      <c r="MZF12" s="59"/>
      <c r="MZG12" s="119"/>
      <c r="MZH12" s="119"/>
      <c r="MZI12" s="119"/>
      <c r="MZJ12" s="119"/>
      <c r="MZK12" s="119"/>
      <c r="MZL12" s="119"/>
      <c r="MZM12" s="119"/>
      <c r="MZN12" s="119"/>
      <c r="MZO12" s="119"/>
      <c r="MZP12" s="119"/>
      <c r="MZQ12" s="119"/>
      <c r="MZR12" s="119"/>
      <c r="MZS12" s="120"/>
      <c r="MZT12" s="120"/>
      <c r="MZU12" s="120"/>
      <c r="MZV12" s="59"/>
      <c r="MZW12" s="119"/>
      <c r="MZX12" s="119"/>
      <c r="MZY12" s="119"/>
      <c r="MZZ12" s="119"/>
      <c r="NAA12" s="119"/>
      <c r="NAB12" s="119"/>
      <c r="NAC12" s="119"/>
      <c r="NAD12" s="119"/>
      <c r="NAE12" s="119"/>
      <c r="NAF12" s="119"/>
      <c r="NAG12" s="119"/>
      <c r="NAH12" s="119"/>
      <c r="NAI12" s="120"/>
      <c r="NAJ12" s="120"/>
      <c r="NAK12" s="120"/>
      <c r="NAL12" s="59"/>
      <c r="NAM12" s="119"/>
      <c r="NAN12" s="119"/>
      <c r="NAO12" s="119"/>
      <c r="NAP12" s="119"/>
      <c r="NAQ12" s="119"/>
      <c r="NAR12" s="119"/>
      <c r="NAS12" s="119"/>
      <c r="NAT12" s="119"/>
      <c r="NAU12" s="119"/>
      <c r="NAV12" s="119"/>
      <c r="NAW12" s="119"/>
      <c r="NAX12" s="119"/>
      <c r="NAY12" s="120"/>
      <c r="NAZ12" s="120"/>
      <c r="NBA12" s="120"/>
      <c r="NBB12" s="59"/>
      <c r="NBC12" s="119"/>
      <c r="NBD12" s="119"/>
      <c r="NBE12" s="119"/>
      <c r="NBF12" s="119"/>
      <c r="NBG12" s="119"/>
      <c r="NBH12" s="119"/>
      <c r="NBI12" s="119"/>
      <c r="NBJ12" s="119"/>
      <c r="NBK12" s="119"/>
      <c r="NBL12" s="119"/>
      <c r="NBM12" s="119"/>
      <c r="NBN12" s="119"/>
      <c r="NBO12" s="120"/>
      <c r="NBP12" s="120"/>
      <c r="NBQ12" s="120"/>
      <c r="NBR12" s="59"/>
      <c r="NBS12" s="119"/>
      <c r="NBT12" s="119"/>
      <c r="NBU12" s="119"/>
      <c r="NBV12" s="119"/>
      <c r="NBW12" s="119"/>
      <c r="NBX12" s="119"/>
      <c r="NBY12" s="119"/>
      <c r="NBZ12" s="119"/>
      <c r="NCA12" s="119"/>
      <c r="NCB12" s="119"/>
      <c r="NCC12" s="119"/>
      <c r="NCD12" s="119"/>
      <c r="NCE12" s="120"/>
      <c r="NCF12" s="120"/>
      <c r="NCG12" s="120"/>
      <c r="NCH12" s="59"/>
      <c r="NCI12" s="119"/>
      <c r="NCJ12" s="119"/>
      <c r="NCK12" s="119"/>
      <c r="NCL12" s="119"/>
      <c r="NCM12" s="119"/>
      <c r="NCN12" s="119"/>
      <c r="NCO12" s="119"/>
      <c r="NCP12" s="119"/>
      <c r="NCQ12" s="119"/>
      <c r="NCR12" s="119"/>
      <c r="NCS12" s="119"/>
      <c r="NCT12" s="119"/>
      <c r="NCU12" s="120"/>
      <c r="NCV12" s="120"/>
      <c r="NCW12" s="120"/>
      <c r="NCX12" s="59"/>
      <c r="NCY12" s="119"/>
      <c r="NCZ12" s="119"/>
      <c r="NDA12" s="119"/>
      <c r="NDB12" s="119"/>
      <c r="NDC12" s="119"/>
      <c r="NDD12" s="119"/>
      <c r="NDE12" s="119"/>
      <c r="NDF12" s="119"/>
      <c r="NDG12" s="119"/>
      <c r="NDH12" s="119"/>
      <c r="NDI12" s="119"/>
      <c r="NDJ12" s="119"/>
      <c r="NDK12" s="120"/>
      <c r="NDL12" s="120"/>
      <c r="NDM12" s="120"/>
      <c r="NDN12" s="59"/>
      <c r="NDO12" s="119"/>
      <c r="NDP12" s="119"/>
      <c r="NDQ12" s="119"/>
      <c r="NDR12" s="119"/>
      <c r="NDS12" s="119"/>
      <c r="NDT12" s="119"/>
      <c r="NDU12" s="119"/>
      <c r="NDV12" s="119"/>
      <c r="NDW12" s="119"/>
      <c r="NDX12" s="119"/>
      <c r="NDY12" s="119"/>
      <c r="NDZ12" s="119"/>
      <c r="NEA12" s="120"/>
      <c r="NEB12" s="120"/>
      <c r="NEC12" s="120"/>
      <c r="NED12" s="59"/>
      <c r="NEE12" s="119"/>
      <c r="NEF12" s="119"/>
      <c r="NEG12" s="119"/>
      <c r="NEH12" s="119"/>
      <c r="NEI12" s="119"/>
      <c r="NEJ12" s="119"/>
      <c r="NEK12" s="119"/>
      <c r="NEL12" s="119"/>
      <c r="NEM12" s="119"/>
      <c r="NEN12" s="119"/>
      <c r="NEO12" s="119"/>
      <c r="NEP12" s="119"/>
      <c r="NEQ12" s="120"/>
      <c r="NER12" s="120"/>
      <c r="NES12" s="120"/>
      <c r="NET12" s="59"/>
      <c r="NEU12" s="119"/>
      <c r="NEV12" s="119"/>
      <c r="NEW12" s="119"/>
      <c r="NEX12" s="119"/>
      <c r="NEY12" s="119"/>
      <c r="NEZ12" s="119"/>
      <c r="NFA12" s="119"/>
      <c r="NFB12" s="119"/>
      <c r="NFC12" s="119"/>
      <c r="NFD12" s="119"/>
      <c r="NFE12" s="119"/>
      <c r="NFF12" s="119"/>
      <c r="NFG12" s="120"/>
      <c r="NFH12" s="120"/>
      <c r="NFI12" s="120"/>
      <c r="NFJ12" s="59"/>
      <c r="NFK12" s="119"/>
      <c r="NFL12" s="119"/>
      <c r="NFM12" s="119"/>
      <c r="NFN12" s="119"/>
      <c r="NFO12" s="119"/>
      <c r="NFP12" s="119"/>
      <c r="NFQ12" s="119"/>
      <c r="NFR12" s="119"/>
      <c r="NFS12" s="119"/>
      <c r="NFT12" s="119"/>
      <c r="NFU12" s="119"/>
      <c r="NFV12" s="119"/>
      <c r="NFW12" s="120"/>
      <c r="NFX12" s="120"/>
      <c r="NFY12" s="120"/>
      <c r="NFZ12" s="59"/>
      <c r="NGA12" s="119"/>
      <c r="NGB12" s="119"/>
      <c r="NGC12" s="119"/>
      <c r="NGD12" s="119"/>
      <c r="NGE12" s="119"/>
      <c r="NGF12" s="119"/>
      <c r="NGG12" s="119"/>
      <c r="NGH12" s="119"/>
      <c r="NGI12" s="119"/>
      <c r="NGJ12" s="119"/>
      <c r="NGK12" s="119"/>
      <c r="NGL12" s="119"/>
      <c r="NGM12" s="120"/>
      <c r="NGN12" s="120"/>
      <c r="NGO12" s="120"/>
      <c r="NGP12" s="59"/>
      <c r="NGQ12" s="119"/>
      <c r="NGR12" s="119"/>
      <c r="NGS12" s="119"/>
      <c r="NGT12" s="119"/>
      <c r="NGU12" s="119"/>
      <c r="NGV12" s="119"/>
      <c r="NGW12" s="119"/>
      <c r="NGX12" s="119"/>
      <c r="NGY12" s="119"/>
      <c r="NGZ12" s="119"/>
      <c r="NHA12" s="119"/>
      <c r="NHB12" s="119"/>
      <c r="NHC12" s="120"/>
      <c r="NHD12" s="120"/>
      <c r="NHE12" s="120"/>
      <c r="NHF12" s="59"/>
      <c r="NHG12" s="119"/>
      <c r="NHH12" s="119"/>
      <c r="NHI12" s="119"/>
      <c r="NHJ12" s="119"/>
      <c r="NHK12" s="119"/>
      <c r="NHL12" s="119"/>
      <c r="NHM12" s="119"/>
      <c r="NHN12" s="119"/>
      <c r="NHO12" s="119"/>
      <c r="NHP12" s="119"/>
      <c r="NHQ12" s="119"/>
      <c r="NHR12" s="119"/>
      <c r="NHS12" s="120"/>
      <c r="NHT12" s="120"/>
      <c r="NHU12" s="120"/>
      <c r="NHV12" s="59"/>
      <c r="NHW12" s="119"/>
      <c r="NHX12" s="119"/>
      <c r="NHY12" s="119"/>
      <c r="NHZ12" s="119"/>
      <c r="NIA12" s="119"/>
      <c r="NIB12" s="119"/>
      <c r="NIC12" s="119"/>
      <c r="NID12" s="119"/>
      <c r="NIE12" s="119"/>
      <c r="NIF12" s="119"/>
      <c r="NIG12" s="119"/>
      <c r="NIH12" s="119"/>
      <c r="NII12" s="120"/>
      <c r="NIJ12" s="120"/>
      <c r="NIK12" s="120"/>
      <c r="NIL12" s="59"/>
      <c r="NIM12" s="119"/>
      <c r="NIN12" s="119"/>
      <c r="NIO12" s="119"/>
      <c r="NIP12" s="119"/>
      <c r="NIQ12" s="119"/>
      <c r="NIR12" s="119"/>
      <c r="NIS12" s="119"/>
      <c r="NIT12" s="119"/>
      <c r="NIU12" s="119"/>
      <c r="NIV12" s="119"/>
      <c r="NIW12" s="119"/>
      <c r="NIX12" s="119"/>
      <c r="NIY12" s="120"/>
      <c r="NIZ12" s="120"/>
      <c r="NJA12" s="120"/>
      <c r="NJB12" s="59"/>
      <c r="NJC12" s="119"/>
      <c r="NJD12" s="119"/>
      <c r="NJE12" s="119"/>
      <c r="NJF12" s="119"/>
      <c r="NJG12" s="119"/>
      <c r="NJH12" s="119"/>
      <c r="NJI12" s="119"/>
      <c r="NJJ12" s="119"/>
      <c r="NJK12" s="119"/>
      <c r="NJL12" s="119"/>
      <c r="NJM12" s="119"/>
      <c r="NJN12" s="119"/>
      <c r="NJO12" s="120"/>
      <c r="NJP12" s="120"/>
      <c r="NJQ12" s="120"/>
      <c r="NJR12" s="59"/>
      <c r="NJS12" s="119"/>
      <c r="NJT12" s="119"/>
      <c r="NJU12" s="119"/>
      <c r="NJV12" s="119"/>
      <c r="NJW12" s="119"/>
      <c r="NJX12" s="119"/>
      <c r="NJY12" s="119"/>
      <c r="NJZ12" s="119"/>
      <c r="NKA12" s="119"/>
      <c r="NKB12" s="119"/>
      <c r="NKC12" s="119"/>
      <c r="NKD12" s="119"/>
      <c r="NKE12" s="120"/>
      <c r="NKF12" s="120"/>
      <c r="NKG12" s="120"/>
      <c r="NKH12" s="59"/>
      <c r="NKI12" s="119"/>
      <c r="NKJ12" s="119"/>
      <c r="NKK12" s="119"/>
      <c r="NKL12" s="119"/>
      <c r="NKM12" s="119"/>
      <c r="NKN12" s="119"/>
      <c r="NKO12" s="119"/>
      <c r="NKP12" s="119"/>
      <c r="NKQ12" s="119"/>
      <c r="NKR12" s="119"/>
      <c r="NKS12" s="119"/>
      <c r="NKT12" s="119"/>
      <c r="NKU12" s="120"/>
      <c r="NKV12" s="120"/>
      <c r="NKW12" s="120"/>
      <c r="NKX12" s="59"/>
      <c r="NKY12" s="119"/>
      <c r="NKZ12" s="119"/>
      <c r="NLA12" s="119"/>
      <c r="NLB12" s="119"/>
      <c r="NLC12" s="119"/>
      <c r="NLD12" s="119"/>
      <c r="NLE12" s="119"/>
      <c r="NLF12" s="119"/>
      <c r="NLG12" s="119"/>
      <c r="NLH12" s="119"/>
      <c r="NLI12" s="119"/>
      <c r="NLJ12" s="119"/>
      <c r="NLK12" s="120"/>
      <c r="NLL12" s="120"/>
      <c r="NLM12" s="120"/>
      <c r="NLN12" s="59"/>
      <c r="NLO12" s="119"/>
      <c r="NLP12" s="119"/>
      <c r="NLQ12" s="119"/>
      <c r="NLR12" s="119"/>
      <c r="NLS12" s="119"/>
      <c r="NLT12" s="119"/>
      <c r="NLU12" s="119"/>
      <c r="NLV12" s="119"/>
      <c r="NLW12" s="119"/>
      <c r="NLX12" s="119"/>
      <c r="NLY12" s="119"/>
      <c r="NLZ12" s="119"/>
      <c r="NMA12" s="120"/>
      <c r="NMB12" s="120"/>
      <c r="NMC12" s="120"/>
      <c r="NMD12" s="59"/>
      <c r="NME12" s="119"/>
      <c r="NMF12" s="119"/>
      <c r="NMG12" s="119"/>
      <c r="NMH12" s="119"/>
      <c r="NMI12" s="119"/>
      <c r="NMJ12" s="119"/>
      <c r="NMK12" s="119"/>
      <c r="NML12" s="119"/>
      <c r="NMM12" s="119"/>
      <c r="NMN12" s="119"/>
      <c r="NMO12" s="119"/>
      <c r="NMP12" s="119"/>
      <c r="NMQ12" s="120"/>
      <c r="NMR12" s="120"/>
      <c r="NMS12" s="120"/>
      <c r="NMT12" s="59"/>
      <c r="NMU12" s="119"/>
      <c r="NMV12" s="119"/>
      <c r="NMW12" s="119"/>
      <c r="NMX12" s="119"/>
      <c r="NMY12" s="119"/>
      <c r="NMZ12" s="119"/>
      <c r="NNA12" s="119"/>
      <c r="NNB12" s="119"/>
      <c r="NNC12" s="119"/>
      <c r="NND12" s="119"/>
      <c r="NNE12" s="119"/>
      <c r="NNF12" s="119"/>
      <c r="NNG12" s="120"/>
      <c r="NNH12" s="120"/>
      <c r="NNI12" s="120"/>
      <c r="NNJ12" s="59"/>
      <c r="NNK12" s="119"/>
      <c r="NNL12" s="119"/>
      <c r="NNM12" s="119"/>
      <c r="NNN12" s="119"/>
      <c r="NNO12" s="119"/>
      <c r="NNP12" s="119"/>
      <c r="NNQ12" s="119"/>
      <c r="NNR12" s="119"/>
      <c r="NNS12" s="119"/>
      <c r="NNT12" s="119"/>
      <c r="NNU12" s="119"/>
      <c r="NNV12" s="119"/>
      <c r="NNW12" s="120"/>
      <c r="NNX12" s="120"/>
      <c r="NNY12" s="120"/>
      <c r="NNZ12" s="59"/>
      <c r="NOA12" s="119"/>
      <c r="NOB12" s="119"/>
      <c r="NOC12" s="119"/>
      <c r="NOD12" s="119"/>
      <c r="NOE12" s="119"/>
      <c r="NOF12" s="119"/>
      <c r="NOG12" s="119"/>
      <c r="NOH12" s="119"/>
      <c r="NOI12" s="119"/>
      <c r="NOJ12" s="119"/>
      <c r="NOK12" s="119"/>
      <c r="NOL12" s="119"/>
      <c r="NOM12" s="120"/>
      <c r="NON12" s="120"/>
      <c r="NOO12" s="120"/>
      <c r="NOP12" s="59"/>
      <c r="NOQ12" s="119"/>
      <c r="NOR12" s="119"/>
      <c r="NOS12" s="119"/>
      <c r="NOT12" s="119"/>
      <c r="NOU12" s="119"/>
      <c r="NOV12" s="119"/>
      <c r="NOW12" s="119"/>
      <c r="NOX12" s="119"/>
      <c r="NOY12" s="119"/>
      <c r="NOZ12" s="119"/>
      <c r="NPA12" s="119"/>
      <c r="NPB12" s="119"/>
      <c r="NPC12" s="120"/>
      <c r="NPD12" s="120"/>
      <c r="NPE12" s="120"/>
      <c r="NPF12" s="59"/>
      <c r="NPG12" s="119"/>
      <c r="NPH12" s="119"/>
      <c r="NPI12" s="119"/>
      <c r="NPJ12" s="119"/>
      <c r="NPK12" s="119"/>
      <c r="NPL12" s="119"/>
      <c r="NPM12" s="119"/>
      <c r="NPN12" s="119"/>
      <c r="NPO12" s="119"/>
      <c r="NPP12" s="119"/>
      <c r="NPQ12" s="119"/>
      <c r="NPR12" s="119"/>
      <c r="NPS12" s="120"/>
      <c r="NPT12" s="120"/>
      <c r="NPU12" s="120"/>
      <c r="NPV12" s="59"/>
      <c r="NPW12" s="119"/>
      <c r="NPX12" s="119"/>
      <c r="NPY12" s="119"/>
      <c r="NPZ12" s="119"/>
      <c r="NQA12" s="119"/>
      <c r="NQB12" s="119"/>
      <c r="NQC12" s="119"/>
      <c r="NQD12" s="119"/>
      <c r="NQE12" s="119"/>
      <c r="NQF12" s="119"/>
      <c r="NQG12" s="119"/>
      <c r="NQH12" s="119"/>
      <c r="NQI12" s="120"/>
      <c r="NQJ12" s="120"/>
      <c r="NQK12" s="120"/>
      <c r="NQL12" s="59"/>
      <c r="NQM12" s="119"/>
      <c r="NQN12" s="119"/>
      <c r="NQO12" s="119"/>
      <c r="NQP12" s="119"/>
      <c r="NQQ12" s="119"/>
      <c r="NQR12" s="119"/>
      <c r="NQS12" s="119"/>
      <c r="NQT12" s="119"/>
      <c r="NQU12" s="119"/>
      <c r="NQV12" s="119"/>
      <c r="NQW12" s="119"/>
      <c r="NQX12" s="119"/>
      <c r="NQY12" s="120"/>
      <c r="NQZ12" s="120"/>
      <c r="NRA12" s="120"/>
      <c r="NRB12" s="59"/>
      <c r="NRC12" s="119"/>
      <c r="NRD12" s="119"/>
      <c r="NRE12" s="119"/>
      <c r="NRF12" s="119"/>
      <c r="NRG12" s="119"/>
      <c r="NRH12" s="119"/>
      <c r="NRI12" s="119"/>
      <c r="NRJ12" s="119"/>
      <c r="NRK12" s="119"/>
      <c r="NRL12" s="119"/>
      <c r="NRM12" s="119"/>
      <c r="NRN12" s="119"/>
      <c r="NRO12" s="120"/>
      <c r="NRP12" s="120"/>
      <c r="NRQ12" s="120"/>
      <c r="NRR12" s="59"/>
      <c r="NRS12" s="119"/>
      <c r="NRT12" s="119"/>
      <c r="NRU12" s="119"/>
      <c r="NRV12" s="119"/>
      <c r="NRW12" s="119"/>
      <c r="NRX12" s="119"/>
      <c r="NRY12" s="119"/>
      <c r="NRZ12" s="119"/>
      <c r="NSA12" s="119"/>
      <c r="NSB12" s="119"/>
      <c r="NSC12" s="119"/>
      <c r="NSD12" s="119"/>
      <c r="NSE12" s="120"/>
      <c r="NSF12" s="120"/>
      <c r="NSG12" s="120"/>
      <c r="NSH12" s="59"/>
      <c r="NSI12" s="119"/>
      <c r="NSJ12" s="119"/>
      <c r="NSK12" s="119"/>
      <c r="NSL12" s="119"/>
      <c r="NSM12" s="119"/>
      <c r="NSN12" s="119"/>
      <c r="NSO12" s="119"/>
      <c r="NSP12" s="119"/>
      <c r="NSQ12" s="119"/>
      <c r="NSR12" s="119"/>
      <c r="NSS12" s="119"/>
      <c r="NST12" s="119"/>
      <c r="NSU12" s="120"/>
      <c r="NSV12" s="120"/>
      <c r="NSW12" s="120"/>
      <c r="NSX12" s="59"/>
      <c r="NSY12" s="119"/>
      <c r="NSZ12" s="119"/>
      <c r="NTA12" s="119"/>
      <c r="NTB12" s="119"/>
      <c r="NTC12" s="119"/>
      <c r="NTD12" s="119"/>
      <c r="NTE12" s="119"/>
      <c r="NTF12" s="119"/>
      <c r="NTG12" s="119"/>
      <c r="NTH12" s="119"/>
      <c r="NTI12" s="119"/>
      <c r="NTJ12" s="119"/>
      <c r="NTK12" s="120"/>
      <c r="NTL12" s="120"/>
      <c r="NTM12" s="120"/>
      <c r="NTN12" s="59"/>
      <c r="NTO12" s="119"/>
      <c r="NTP12" s="119"/>
      <c r="NTQ12" s="119"/>
      <c r="NTR12" s="119"/>
      <c r="NTS12" s="119"/>
      <c r="NTT12" s="119"/>
      <c r="NTU12" s="119"/>
      <c r="NTV12" s="119"/>
      <c r="NTW12" s="119"/>
      <c r="NTX12" s="119"/>
      <c r="NTY12" s="119"/>
      <c r="NTZ12" s="119"/>
      <c r="NUA12" s="120"/>
      <c r="NUB12" s="120"/>
      <c r="NUC12" s="120"/>
      <c r="NUD12" s="59"/>
      <c r="NUE12" s="119"/>
      <c r="NUF12" s="119"/>
      <c r="NUG12" s="119"/>
      <c r="NUH12" s="119"/>
      <c r="NUI12" s="119"/>
      <c r="NUJ12" s="119"/>
      <c r="NUK12" s="119"/>
      <c r="NUL12" s="119"/>
      <c r="NUM12" s="119"/>
      <c r="NUN12" s="119"/>
      <c r="NUO12" s="119"/>
      <c r="NUP12" s="119"/>
      <c r="NUQ12" s="120"/>
      <c r="NUR12" s="120"/>
      <c r="NUS12" s="120"/>
      <c r="NUT12" s="59"/>
      <c r="NUU12" s="119"/>
      <c r="NUV12" s="119"/>
      <c r="NUW12" s="119"/>
      <c r="NUX12" s="119"/>
      <c r="NUY12" s="119"/>
      <c r="NUZ12" s="119"/>
      <c r="NVA12" s="119"/>
      <c r="NVB12" s="119"/>
      <c r="NVC12" s="119"/>
      <c r="NVD12" s="119"/>
      <c r="NVE12" s="119"/>
      <c r="NVF12" s="119"/>
      <c r="NVG12" s="120"/>
      <c r="NVH12" s="120"/>
      <c r="NVI12" s="120"/>
      <c r="NVJ12" s="59"/>
      <c r="NVK12" s="119"/>
      <c r="NVL12" s="119"/>
      <c r="NVM12" s="119"/>
      <c r="NVN12" s="119"/>
      <c r="NVO12" s="119"/>
      <c r="NVP12" s="119"/>
      <c r="NVQ12" s="119"/>
      <c r="NVR12" s="119"/>
      <c r="NVS12" s="119"/>
      <c r="NVT12" s="119"/>
      <c r="NVU12" s="119"/>
      <c r="NVV12" s="119"/>
      <c r="NVW12" s="120"/>
      <c r="NVX12" s="120"/>
      <c r="NVY12" s="120"/>
      <c r="NVZ12" s="59"/>
      <c r="NWA12" s="119"/>
      <c r="NWB12" s="119"/>
      <c r="NWC12" s="119"/>
      <c r="NWD12" s="119"/>
      <c r="NWE12" s="119"/>
      <c r="NWF12" s="119"/>
      <c r="NWG12" s="119"/>
      <c r="NWH12" s="119"/>
      <c r="NWI12" s="119"/>
      <c r="NWJ12" s="119"/>
      <c r="NWK12" s="119"/>
      <c r="NWL12" s="119"/>
      <c r="NWM12" s="120"/>
      <c r="NWN12" s="120"/>
      <c r="NWO12" s="120"/>
      <c r="NWP12" s="59"/>
      <c r="NWQ12" s="119"/>
      <c r="NWR12" s="119"/>
      <c r="NWS12" s="119"/>
      <c r="NWT12" s="119"/>
      <c r="NWU12" s="119"/>
      <c r="NWV12" s="119"/>
      <c r="NWW12" s="119"/>
      <c r="NWX12" s="119"/>
      <c r="NWY12" s="119"/>
      <c r="NWZ12" s="119"/>
      <c r="NXA12" s="119"/>
      <c r="NXB12" s="119"/>
      <c r="NXC12" s="120"/>
      <c r="NXD12" s="120"/>
      <c r="NXE12" s="120"/>
      <c r="NXF12" s="59"/>
      <c r="NXG12" s="119"/>
      <c r="NXH12" s="119"/>
      <c r="NXI12" s="119"/>
      <c r="NXJ12" s="119"/>
      <c r="NXK12" s="119"/>
      <c r="NXL12" s="119"/>
      <c r="NXM12" s="119"/>
      <c r="NXN12" s="119"/>
      <c r="NXO12" s="119"/>
      <c r="NXP12" s="119"/>
      <c r="NXQ12" s="119"/>
      <c r="NXR12" s="119"/>
      <c r="NXS12" s="120"/>
      <c r="NXT12" s="120"/>
      <c r="NXU12" s="120"/>
      <c r="NXV12" s="59"/>
      <c r="NXW12" s="119"/>
      <c r="NXX12" s="119"/>
      <c r="NXY12" s="119"/>
      <c r="NXZ12" s="119"/>
      <c r="NYA12" s="119"/>
      <c r="NYB12" s="119"/>
      <c r="NYC12" s="119"/>
      <c r="NYD12" s="119"/>
      <c r="NYE12" s="119"/>
      <c r="NYF12" s="119"/>
      <c r="NYG12" s="119"/>
      <c r="NYH12" s="119"/>
      <c r="NYI12" s="120"/>
      <c r="NYJ12" s="120"/>
      <c r="NYK12" s="120"/>
      <c r="NYL12" s="59"/>
      <c r="NYM12" s="119"/>
      <c r="NYN12" s="119"/>
      <c r="NYO12" s="119"/>
      <c r="NYP12" s="119"/>
      <c r="NYQ12" s="119"/>
      <c r="NYR12" s="119"/>
      <c r="NYS12" s="119"/>
      <c r="NYT12" s="119"/>
      <c r="NYU12" s="119"/>
      <c r="NYV12" s="119"/>
      <c r="NYW12" s="119"/>
      <c r="NYX12" s="119"/>
      <c r="NYY12" s="120"/>
      <c r="NYZ12" s="120"/>
      <c r="NZA12" s="120"/>
      <c r="NZB12" s="59"/>
      <c r="NZC12" s="119"/>
      <c r="NZD12" s="119"/>
      <c r="NZE12" s="119"/>
      <c r="NZF12" s="119"/>
      <c r="NZG12" s="119"/>
      <c r="NZH12" s="119"/>
      <c r="NZI12" s="119"/>
      <c r="NZJ12" s="119"/>
      <c r="NZK12" s="119"/>
      <c r="NZL12" s="119"/>
      <c r="NZM12" s="119"/>
      <c r="NZN12" s="119"/>
      <c r="NZO12" s="120"/>
      <c r="NZP12" s="120"/>
      <c r="NZQ12" s="120"/>
      <c r="NZR12" s="59"/>
      <c r="NZS12" s="119"/>
      <c r="NZT12" s="119"/>
      <c r="NZU12" s="119"/>
      <c r="NZV12" s="119"/>
      <c r="NZW12" s="119"/>
      <c r="NZX12" s="119"/>
      <c r="NZY12" s="119"/>
      <c r="NZZ12" s="119"/>
      <c r="OAA12" s="119"/>
      <c r="OAB12" s="119"/>
      <c r="OAC12" s="119"/>
      <c r="OAD12" s="119"/>
      <c r="OAE12" s="120"/>
      <c r="OAF12" s="120"/>
      <c r="OAG12" s="120"/>
      <c r="OAH12" s="59"/>
      <c r="OAI12" s="119"/>
      <c r="OAJ12" s="119"/>
      <c r="OAK12" s="119"/>
      <c r="OAL12" s="119"/>
      <c r="OAM12" s="119"/>
      <c r="OAN12" s="119"/>
      <c r="OAO12" s="119"/>
      <c r="OAP12" s="119"/>
      <c r="OAQ12" s="119"/>
      <c r="OAR12" s="119"/>
      <c r="OAS12" s="119"/>
      <c r="OAT12" s="119"/>
      <c r="OAU12" s="120"/>
      <c r="OAV12" s="120"/>
      <c r="OAW12" s="120"/>
      <c r="OAX12" s="59"/>
      <c r="OAY12" s="119"/>
      <c r="OAZ12" s="119"/>
      <c r="OBA12" s="119"/>
      <c r="OBB12" s="119"/>
      <c r="OBC12" s="119"/>
      <c r="OBD12" s="119"/>
      <c r="OBE12" s="119"/>
      <c r="OBF12" s="119"/>
      <c r="OBG12" s="119"/>
      <c r="OBH12" s="119"/>
      <c r="OBI12" s="119"/>
      <c r="OBJ12" s="119"/>
      <c r="OBK12" s="120"/>
      <c r="OBL12" s="120"/>
      <c r="OBM12" s="120"/>
      <c r="OBN12" s="59"/>
      <c r="OBO12" s="119"/>
      <c r="OBP12" s="119"/>
      <c r="OBQ12" s="119"/>
      <c r="OBR12" s="119"/>
      <c r="OBS12" s="119"/>
      <c r="OBT12" s="119"/>
      <c r="OBU12" s="119"/>
      <c r="OBV12" s="119"/>
      <c r="OBW12" s="119"/>
      <c r="OBX12" s="119"/>
      <c r="OBY12" s="119"/>
      <c r="OBZ12" s="119"/>
      <c r="OCA12" s="120"/>
      <c r="OCB12" s="120"/>
      <c r="OCC12" s="120"/>
      <c r="OCD12" s="59"/>
      <c r="OCE12" s="119"/>
      <c r="OCF12" s="119"/>
      <c r="OCG12" s="119"/>
      <c r="OCH12" s="119"/>
      <c r="OCI12" s="119"/>
      <c r="OCJ12" s="119"/>
      <c r="OCK12" s="119"/>
      <c r="OCL12" s="119"/>
      <c r="OCM12" s="119"/>
      <c r="OCN12" s="119"/>
      <c r="OCO12" s="119"/>
      <c r="OCP12" s="119"/>
      <c r="OCQ12" s="120"/>
      <c r="OCR12" s="120"/>
      <c r="OCS12" s="120"/>
      <c r="OCT12" s="59"/>
      <c r="OCU12" s="119"/>
      <c r="OCV12" s="119"/>
      <c r="OCW12" s="119"/>
      <c r="OCX12" s="119"/>
      <c r="OCY12" s="119"/>
      <c r="OCZ12" s="119"/>
      <c r="ODA12" s="119"/>
      <c r="ODB12" s="119"/>
      <c r="ODC12" s="119"/>
      <c r="ODD12" s="119"/>
      <c r="ODE12" s="119"/>
      <c r="ODF12" s="119"/>
      <c r="ODG12" s="120"/>
      <c r="ODH12" s="120"/>
      <c r="ODI12" s="120"/>
      <c r="ODJ12" s="59"/>
      <c r="ODK12" s="119"/>
      <c r="ODL12" s="119"/>
      <c r="ODM12" s="119"/>
      <c r="ODN12" s="119"/>
      <c r="ODO12" s="119"/>
      <c r="ODP12" s="119"/>
      <c r="ODQ12" s="119"/>
      <c r="ODR12" s="119"/>
      <c r="ODS12" s="119"/>
      <c r="ODT12" s="119"/>
      <c r="ODU12" s="119"/>
      <c r="ODV12" s="119"/>
      <c r="ODW12" s="120"/>
      <c r="ODX12" s="120"/>
      <c r="ODY12" s="120"/>
      <c r="ODZ12" s="59"/>
      <c r="OEA12" s="119"/>
      <c r="OEB12" s="119"/>
      <c r="OEC12" s="119"/>
      <c r="OED12" s="119"/>
      <c r="OEE12" s="119"/>
      <c r="OEF12" s="119"/>
      <c r="OEG12" s="119"/>
      <c r="OEH12" s="119"/>
      <c r="OEI12" s="119"/>
      <c r="OEJ12" s="119"/>
      <c r="OEK12" s="119"/>
      <c r="OEL12" s="119"/>
      <c r="OEM12" s="120"/>
      <c r="OEN12" s="120"/>
      <c r="OEO12" s="120"/>
      <c r="OEP12" s="59"/>
      <c r="OEQ12" s="119"/>
      <c r="OER12" s="119"/>
      <c r="OES12" s="119"/>
      <c r="OET12" s="119"/>
      <c r="OEU12" s="119"/>
      <c r="OEV12" s="119"/>
      <c r="OEW12" s="119"/>
      <c r="OEX12" s="119"/>
      <c r="OEY12" s="119"/>
      <c r="OEZ12" s="119"/>
      <c r="OFA12" s="119"/>
      <c r="OFB12" s="119"/>
      <c r="OFC12" s="120"/>
      <c r="OFD12" s="120"/>
      <c r="OFE12" s="120"/>
      <c r="OFF12" s="59"/>
      <c r="OFG12" s="119"/>
      <c r="OFH12" s="119"/>
      <c r="OFI12" s="119"/>
      <c r="OFJ12" s="119"/>
      <c r="OFK12" s="119"/>
      <c r="OFL12" s="119"/>
      <c r="OFM12" s="119"/>
      <c r="OFN12" s="119"/>
      <c r="OFO12" s="119"/>
      <c r="OFP12" s="119"/>
      <c r="OFQ12" s="119"/>
      <c r="OFR12" s="119"/>
      <c r="OFS12" s="120"/>
      <c r="OFT12" s="120"/>
      <c r="OFU12" s="120"/>
      <c r="OFV12" s="59"/>
      <c r="OFW12" s="119"/>
      <c r="OFX12" s="119"/>
      <c r="OFY12" s="119"/>
      <c r="OFZ12" s="119"/>
      <c r="OGA12" s="119"/>
      <c r="OGB12" s="119"/>
      <c r="OGC12" s="119"/>
      <c r="OGD12" s="119"/>
      <c r="OGE12" s="119"/>
      <c r="OGF12" s="119"/>
      <c r="OGG12" s="119"/>
      <c r="OGH12" s="119"/>
      <c r="OGI12" s="120"/>
      <c r="OGJ12" s="120"/>
      <c r="OGK12" s="120"/>
      <c r="OGL12" s="59"/>
      <c r="OGM12" s="119"/>
      <c r="OGN12" s="119"/>
      <c r="OGO12" s="119"/>
      <c r="OGP12" s="119"/>
      <c r="OGQ12" s="119"/>
      <c r="OGR12" s="119"/>
      <c r="OGS12" s="119"/>
      <c r="OGT12" s="119"/>
      <c r="OGU12" s="119"/>
      <c r="OGV12" s="119"/>
      <c r="OGW12" s="119"/>
      <c r="OGX12" s="119"/>
      <c r="OGY12" s="120"/>
      <c r="OGZ12" s="120"/>
      <c r="OHA12" s="120"/>
      <c r="OHB12" s="59"/>
      <c r="OHC12" s="119"/>
      <c r="OHD12" s="119"/>
      <c r="OHE12" s="119"/>
      <c r="OHF12" s="119"/>
      <c r="OHG12" s="119"/>
      <c r="OHH12" s="119"/>
      <c r="OHI12" s="119"/>
      <c r="OHJ12" s="119"/>
      <c r="OHK12" s="119"/>
      <c r="OHL12" s="119"/>
      <c r="OHM12" s="119"/>
      <c r="OHN12" s="119"/>
      <c r="OHO12" s="120"/>
      <c r="OHP12" s="120"/>
      <c r="OHQ12" s="120"/>
      <c r="OHR12" s="59"/>
      <c r="OHS12" s="119"/>
      <c r="OHT12" s="119"/>
      <c r="OHU12" s="119"/>
      <c r="OHV12" s="119"/>
      <c r="OHW12" s="119"/>
      <c r="OHX12" s="119"/>
      <c r="OHY12" s="119"/>
      <c r="OHZ12" s="119"/>
      <c r="OIA12" s="119"/>
      <c r="OIB12" s="119"/>
      <c r="OIC12" s="119"/>
      <c r="OID12" s="119"/>
      <c r="OIE12" s="120"/>
      <c r="OIF12" s="120"/>
      <c r="OIG12" s="120"/>
      <c r="OIH12" s="59"/>
      <c r="OII12" s="119"/>
      <c r="OIJ12" s="119"/>
      <c r="OIK12" s="119"/>
      <c r="OIL12" s="119"/>
      <c r="OIM12" s="119"/>
      <c r="OIN12" s="119"/>
      <c r="OIO12" s="119"/>
      <c r="OIP12" s="119"/>
      <c r="OIQ12" s="119"/>
      <c r="OIR12" s="119"/>
      <c r="OIS12" s="119"/>
      <c r="OIT12" s="119"/>
      <c r="OIU12" s="120"/>
      <c r="OIV12" s="120"/>
      <c r="OIW12" s="120"/>
      <c r="OIX12" s="59"/>
      <c r="OIY12" s="119"/>
      <c r="OIZ12" s="119"/>
      <c r="OJA12" s="119"/>
      <c r="OJB12" s="119"/>
      <c r="OJC12" s="119"/>
      <c r="OJD12" s="119"/>
      <c r="OJE12" s="119"/>
      <c r="OJF12" s="119"/>
      <c r="OJG12" s="119"/>
      <c r="OJH12" s="119"/>
      <c r="OJI12" s="119"/>
      <c r="OJJ12" s="119"/>
      <c r="OJK12" s="120"/>
      <c r="OJL12" s="120"/>
      <c r="OJM12" s="120"/>
      <c r="OJN12" s="59"/>
      <c r="OJO12" s="119"/>
      <c r="OJP12" s="119"/>
      <c r="OJQ12" s="119"/>
      <c r="OJR12" s="119"/>
      <c r="OJS12" s="119"/>
      <c r="OJT12" s="119"/>
      <c r="OJU12" s="119"/>
      <c r="OJV12" s="119"/>
      <c r="OJW12" s="119"/>
      <c r="OJX12" s="119"/>
      <c r="OJY12" s="119"/>
      <c r="OJZ12" s="119"/>
      <c r="OKA12" s="120"/>
      <c r="OKB12" s="120"/>
      <c r="OKC12" s="120"/>
      <c r="OKD12" s="59"/>
      <c r="OKE12" s="119"/>
      <c r="OKF12" s="119"/>
      <c r="OKG12" s="119"/>
      <c r="OKH12" s="119"/>
      <c r="OKI12" s="119"/>
      <c r="OKJ12" s="119"/>
      <c r="OKK12" s="119"/>
      <c r="OKL12" s="119"/>
      <c r="OKM12" s="119"/>
      <c r="OKN12" s="119"/>
      <c r="OKO12" s="119"/>
      <c r="OKP12" s="119"/>
      <c r="OKQ12" s="120"/>
      <c r="OKR12" s="120"/>
      <c r="OKS12" s="120"/>
      <c r="OKT12" s="59"/>
      <c r="OKU12" s="119"/>
      <c r="OKV12" s="119"/>
      <c r="OKW12" s="119"/>
      <c r="OKX12" s="119"/>
      <c r="OKY12" s="119"/>
      <c r="OKZ12" s="119"/>
      <c r="OLA12" s="119"/>
      <c r="OLB12" s="119"/>
      <c r="OLC12" s="119"/>
      <c r="OLD12" s="119"/>
      <c r="OLE12" s="119"/>
      <c r="OLF12" s="119"/>
      <c r="OLG12" s="120"/>
      <c r="OLH12" s="120"/>
      <c r="OLI12" s="120"/>
      <c r="OLJ12" s="59"/>
      <c r="OLK12" s="119"/>
      <c r="OLL12" s="119"/>
      <c r="OLM12" s="119"/>
      <c r="OLN12" s="119"/>
      <c r="OLO12" s="119"/>
      <c r="OLP12" s="119"/>
      <c r="OLQ12" s="119"/>
      <c r="OLR12" s="119"/>
      <c r="OLS12" s="119"/>
      <c r="OLT12" s="119"/>
      <c r="OLU12" s="119"/>
      <c r="OLV12" s="119"/>
      <c r="OLW12" s="120"/>
      <c r="OLX12" s="120"/>
      <c r="OLY12" s="120"/>
      <c r="OLZ12" s="59"/>
      <c r="OMA12" s="119"/>
      <c r="OMB12" s="119"/>
      <c r="OMC12" s="119"/>
      <c r="OMD12" s="119"/>
      <c r="OME12" s="119"/>
      <c r="OMF12" s="119"/>
      <c r="OMG12" s="119"/>
      <c r="OMH12" s="119"/>
      <c r="OMI12" s="119"/>
      <c r="OMJ12" s="119"/>
      <c r="OMK12" s="119"/>
      <c r="OML12" s="119"/>
      <c r="OMM12" s="120"/>
      <c r="OMN12" s="120"/>
      <c r="OMO12" s="120"/>
      <c r="OMP12" s="59"/>
      <c r="OMQ12" s="119"/>
      <c r="OMR12" s="119"/>
      <c r="OMS12" s="119"/>
      <c r="OMT12" s="119"/>
      <c r="OMU12" s="119"/>
      <c r="OMV12" s="119"/>
      <c r="OMW12" s="119"/>
      <c r="OMX12" s="119"/>
      <c r="OMY12" s="119"/>
      <c r="OMZ12" s="119"/>
      <c r="ONA12" s="119"/>
      <c r="ONB12" s="119"/>
      <c r="ONC12" s="120"/>
      <c r="OND12" s="120"/>
      <c r="ONE12" s="120"/>
      <c r="ONF12" s="59"/>
      <c r="ONG12" s="119"/>
      <c r="ONH12" s="119"/>
      <c r="ONI12" s="119"/>
      <c r="ONJ12" s="119"/>
      <c r="ONK12" s="119"/>
      <c r="ONL12" s="119"/>
      <c r="ONM12" s="119"/>
      <c r="ONN12" s="119"/>
      <c r="ONO12" s="119"/>
      <c r="ONP12" s="119"/>
      <c r="ONQ12" s="119"/>
      <c r="ONR12" s="119"/>
      <c r="ONS12" s="120"/>
      <c r="ONT12" s="120"/>
      <c r="ONU12" s="120"/>
      <c r="ONV12" s="59"/>
      <c r="ONW12" s="119"/>
      <c r="ONX12" s="119"/>
      <c r="ONY12" s="119"/>
      <c r="ONZ12" s="119"/>
      <c r="OOA12" s="119"/>
      <c r="OOB12" s="119"/>
      <c r="OOC12" s="119"/>
      <c r="OOD12" s="119"/>
      <c r="OOE12" s="119"/>
      <c r="OOF12" s="119"/>
      <c r="OOG12" s="119"/>
      <c r="OOH12" s="119"/>
      <c r="OOI12" s="120"/>
      <c r="OOJ12" s="120"/>
      <c r="OOK12" s="120"/>
      <c r="OOL12" s="59"/>
      <c r="OOM12" s="119"/>
      <c r="OON12" s="119"/>
      <c r="OOO12" s="119"/>
      <c r="OOP12" s="119"/>
      <c r="OOQ12" s="119"/>
      <c r="OOR12" s="119"/>
      <c r="OOS12" s="119"/>
      <c r="OOT12" s="119"/>
      <c r="OOU12" s="119"/>
      <c r="OOV12" s="119"/>
      <c r="OOW12" s="119"/>
      <c r="OOX12" s="119"/>
      <c r="OOY12" s="120"/>
      <c r="OOZ12" s="120"/>
      <c r="OPA12" s="120"/>
      <c r="OPB12" s="59"/>
      <c r="OPC12" s="119"/>
      <c r="OPD12" s="119"/>
      <c r="OPE12" s="119"/>
      <c r="OPF12" s="119"/>
      <c r="OPG12" s="119"/>
      <c r="OPH12" s="119"/>
      <c r="OPI12" s="119"/>
      <c r="OPJ12" s="119"/>
      <c r="OPK12" s="119"/>
      <c r="OPL12" s="119"/>
      <c r="OPM12" s="119"/>
      <c r="OPN12" s="119"/>
      <c r="OPO12" s="120"/>
      <c r="OPP12" s="120"/>
      <c r="OPQ12" s="120"/>
      <c r="OPR12" s="59"/>
      <c r="OPS12" s="119"/>
      <c r="OPT12" s="119"/>
      <c r="OPU12" s="119"/>
      <c r="OPV12" s="119"/>
      <c r="OPW12" s="119"/>
      <c r="OPX12" s="119"/>
      <c r="OPY12" s="119"/>
      <c r="OPZ12" s="119"/>
      <c r="OQA12" s="119"/>
      <c r="OQB12" s="119"/>
      <c r="OQC12" s="119"/>
      <c r="OQD12" s="119"/>
      <c r="OQE12" s="120"/>
      <c r="OQF12" s="120"/>
      <c r="OQG12" s="120"/>
      <c r="OQH12" s="59"/>
      <c r="OQI12" s="119"/>
      <c r="OQJ12" s="119"/>
      <c r="OQK12" s="119"/>
      <c r="OQL12" s="119"/>
      <c r="OQM12" s="119"/>
      <c r="OQN12" s="119"/>
      <c r="OQO12" s="119"/>
      <c r="OQP12" s="119"/>
      <c r="OQQ12" s="119"/>
      <c r="OQR12" s="119"/>
      <c r="OQS12" s="119"/>
      <c r="OQT12" s="119"/>
      <c r="OQU12" s="120"/>
      <c r="OQV12" s="120"/>
      <c r="OQW12" s="120"/>
      <c r="OQX12" s="59"/>
      <c r="OQY12" s="119"/>
      <c r="OQZ12" s="119"/>
      <c r="ORA12" s="119"/>
      <c r="ORB12" s="119"/>
      <c r="ORC12" s="119"/>
      <c r="ORD12" s="119"/>
      <c r="ORE12" s="119"/>
      <c r="ORF12" s="119"/>
      <c r="ORG12" s="119"/>
      <c r="ORH12" s="119"/>
      <c r="ORI12" s="119"/>
      <c r="ORJ12" s="119"/>
      <c r="ORK12" s="120"/>
      <c r="ORL12" s="120"/>
      <c r="ORM12" s="120"/>
      <c r="ORN12" s="59"/>
      <c r="ORO12" s="119"/>
      <c r="ORP12" s="119"/>
      <c r="ORQ12" s="119"/>
      <c r="ORR12" s="119"/>
      <c r="ORS12" s="119"/>
      <c r="ORT12" s="119"/>
      <c r="ORU12" s="119"/>
      <c r="ORV12" s="119"/>
      <c r="ORW12" s="119"/>
      <c r="ORX12" s="119"/>
      <c r="ORY12" s="119"/>
      <c r="ORZ12" s="119"/>
      <c r="OSA12" s="120"/>
      <c r="OSB12" s="120"/>
      <c r="OSC12" s="120"/>
      <c r="OSD12" s="59"/>
      <c r="OSE12" s="119"/>
      <c r="OSF12" s="119"/>
      <c r="OSG12" s="119"/>
      <c r="OSH12" s="119"/>
      <c r="OSI12" s="119"/>
      <c r="OSJ12" s="119"/>
      <c r="OSK12" s="119"/>
      <c r="OSL12" s="119"/>
      <c r="OSM12" s="119"/>
      <c r="OSN12" s="119"/>
      <c r="OSO12" s="119"/>
      <c r="OSP12" s="119"/>
      <c r="OSQ12" s="120"/>
      <c r="OSR12" s="120"/>
      <c r="OSS12" s="120"/>
      <c r="OST12" s="59"/>
      <c r="OSU12" s="119"/>
      <c r="OSV12" s="119"/>
      <c r="OSW12" s="119"/>
      <c r="OSX12" s="119"/>
      <c r="OSY12" s="119"/>
      <c r="OSZ12" s="119"/>
      <c r="OTA12" s="119"/>
      <c r="OTB12" s="119"/>
      <c r="OTC12" s="119"/>
      <c r="OTD12" s="119"/>
      <c r="OTE12" s="119"/>
      <c r="OTF12" s="119"/>
      <c r="OTG12" s="120"/>
      <c r="OTH12" s="120"/>
      <c r="OTI12" s="120"/>
      <c r="OTJ12" s="59"/>
      <c r="OTK12" s="119"/>
      <c r="OTL12" s="119"/>
      <c r="OTM12" s="119"/>
      <c r="OTN12" s="119"/>
      <c r="OTO12" s="119"/>
      <c r="OTP12" s="119"/>
      <c r="OTQ12" s="119"/>
      <c r="OTR12" s="119"/>
      <c r="OTS12" s="119"/>
      <c r="OTT12" s="119"/>
      <c r="OTU12" s="119"/>
      <c r="OTV12" s="119"/>
      <c r="OTW12" s="120"/>
      <c r="OTX12" s="120"/>
      <c r="OTY12" s="120"/>
      <c r="OTZ12" s="59"/>
      <c r="OUA12" s="119"/>
      <c r="OUB12" s="119"/>
      <c r="OUC12" s="119"/>
      <c r="OUD12" s="119"/>
      <c r="OUE12" s="119"/>
      <c r="OUF12" s="119"/>
      <c r="OUG12" s="119"/>
      <c r="OUH12" s="119"/>
      <c r="OUI12" s="119"/>
      <c r="OUJ12" s="119"/>
      <c r="OUK12" s="119"/>
      <c r="OUL12" s="119"/>
      <c r="OUM12" s="120"/>
      <c r="OUN12" s="120"/>
      <c r="OUO12" s="120"/>
      <c r="OUP12" s="59"/>
      <c r="OUQ12" s="119"/>
      <c r="OUR12" s="119"/>
      <c r="OUS12" s="119"/>
      <c r="OUT12" s="119"/>
      <c r="OUU12" s="119"/>
      <c r="OUV12" s="119"/>
      <c r="OUW12" s="119"/>
      <c r="OUX12" s="119"/>
      <c r="OUY12" s="119"/>
      <c r="OUZ12" s="119"/>
      <c r="OVA12" s="119"/>
      <c r="OVB12" s="119"/>
      <c r="OVC12" s="120"/>
      <c r="OVD12" s="120"/>
      <c r="OVE12" s="120"/>
      <c r="OVF12" s="59"/>
      <c r="OVG12" s="119"/>
      <c r="OVH12" s="119"/>
      <c r="OVI12" s="119"/>
      <c r="OVJ12" s="119"/>
      <c r="OVK12" s="119"/>
      <c r="OVL12" s="119"/>
      <c r="OVM12" s="119"/>
      <c r="OVN12" s="119"/>
      <c r="OVO12" s="119"/>
      <c r="OVP12" s="119"/>
      <c r="OVQ12" s="119"/>
      <c r="OVR12" s="119"/>
      <c r="OVS12" s="120"/>
      <c r="OVT12" s="120"/>
      <c r="OVU12" s="120"/>
      <c r="OVV12" s="59"/>
      <c r="OVW12" s="119"/>
      <c r="OVX12" s="119"/>
      <c r="OVY12" s="119"/>
      <c r="OVZ12" s="119"/>
      <c r="OWA12" s="119"/>
      <c r="OWB12" s="119"/>
      <c r="OWC12" s="119"/>
      <c r="OWD12" s="119"/>
      <c r="OWE12" s="119"/>
      <c r="OWF12" s="119"/>
      <c r="OWG12" s="119"/>
      <c r="OWH12" s="119"/>
      <c r="OWI12" s="120"/>
      <c r="OWJ12" s="120"/>
      <c r="OWK12" s="120"/>
      <c r="OWL12" s="59"/>
      <c r="OWM12" s="119"/>
      <c r="OWN12" s="119"/>
      <c r="OWO12" s="119"/>
      <c r="OWP12" s="119"/>
      <c r="OWQ12" s="119"/>
      <c r="OWR12" s="119"/>
      <c r="OWS12" s="119"/>
      <c r="OWT12" s="119"/>
      <c r="OWU12" s="119"/>
      <c r="OWV12" s="119"/>
      <c r="OWW12" s="119"/>
      <c r="OWX12" s="119"/>
      <c r="OWY12" s="120"/>
      <c r="OWZ12" s="120"/>
      <c r="OXA12" s="120"/>
      <c r="OXB12" s="59"/>
      <c r="OXC12" s="119"/>
      <c r="OXD12" s="119"/>
      <c r="OXE12" s="119"/>
      <c r="OXF12" s="119"/>
      <c r="OXG12" s="119"/>
      <c r="OXH12" s="119"/>
      <c r="OXI12" s="119"/>
      <c r="OXJ12" s="119"/>
      <c r="OXK12" s="119"/>
      <c r="OXL12" s="119"/>
      <c r="OXM12" s="119"/>
      <c r="OXN12" s="119"/>
      <c r="OXO12" s="120"/>
      <c r="OXP12" s="120"/>
      <c r="OXQ12" s="120"/>
      <c r="OXR12" s="59"/>
      <c r="OXS12" s="119"/>
      <c r="OXT12" s="119"/>
      <c r="OXU12" s="119"/>
      <c r="OXV12" s="119"/>
      <c r="OXW12" s="119"/>
      <c r="OXX12" s="119"/>
      <c r="OXY12" s="119"/>
      <c r="OXZ12" s="119"/>
      <c r="OYA12" s="119"/>
      <c r="OYB12" s="119"/>
      <c r="OYC12" s="119"/>
      <c r="OYD12" s="119"/>
      <c r="OYE12" s="120"/>
      <c r="OYF12" s="120"/>
      <c r="OYG12" s="120"/>
      <c r="OYH12" s="59"/>
      <c r="OYI12" s="119"/>
      <c r="OYJ12" s="119"/>
      <c r="OYK12" s="119"/>
      <c r="OYL12" s="119"/>
      <c r="OYM12" s="119"/>
      <c r="OYN12" s="119"/>
      <c r="OYO12" s="119"/>
      <c r="OYP12" s="119"/>
      <c r="OYQ12" s="119"/>
      <c r="OYR12" s="119"/>
      <c r="OYS12" s="119"/>
      <c r="OYT12" s="119"/>
      <c r="OYU12" s="120"/>
      <c r="OYV12" s="120"/>
      <c r="OYW12" s="120"/>
      <c r="OYX12" s="59"/>
      <c r="OYY12" s="119"/>
      <c r="OYZ12" s="119"/>
      <c r="OZA12" s="119"/>
      <c r="OZB12" s="119"/>
      <c r="OZC12" s="119"/>
      <c r="OZD12" s="119"/>
      <c r="OZE12" s="119"/>
      <c r="OZF12" s="119"/>
      <c r="OZG12" s="119"/>
      <c r="OZH12" s="119"/>
      <c r="OZI12" s="119"/>
      <c r="OZJ12" s="119"/>
      <c r="OZK12" s="120"/>
      <c r="OZL12" s="120"/>
      <c r="OZM12" s="120"/>
      <c r="OZN12" s="59"/>
      <c r="OZO12" s="119"/>
      <c r="OZP12" s="119"/>
      <c r="OZQ12" s="119"/>
      <c r="OZR12" s="119"/>
      <c r="OZS12" s="119"/>
      <c r="OZT12" s="119"/>
      <c r="OZU12" s="119"/>
      <c r="OZV12" s="119"/>
      <c r="OZW12" s="119"/>
      <c r="OZX12" s="119"/>
      <c r="OZY12" s="119"/>
      <c r="OZZ12" s="119"/>
      <c r="PAA12" s="120"/>
      <c r="PAB12" s="120"/>
      <c r="PAC12" s="120"/>
      <c r="PAD12" s="59"/>
      <c r="PAE12" s="119"/>
      <c r="PAF12" s="119"/>
      <c r="PAG12" s="119"/>
      <c r="PAH12" s="119"/>
      <c r="PAI12" s="119"/>
      <c r="PAJ12" s="119"/>
      <c r="PAK12" s="119"/>
      <c r="PAL12" s="119"/>
      <c r="PAM12" s="119"/>
      <c r="PAN12" s="119"/>
      <c r="PAO12" s="119"/>
      <c r="PAP12" s="119"/>
      <c r="PAQ12" s="120"/>
      <c r="PAR12" s="120"/>
      <c r="PAS12" s="120"/>
      <c r="PAT12" s="59"/>
      <c r="PAU12" s="119"/>
      <c r="PAV12" s="119"/>
      <c r="PAW12" s="119"/>
      <c r="PAX12" s="119"/>
      <c r="PAY12" s="119"/>
      <c r="PAZ12" s="119"/>
      <c r="PBA12" s="119"/>
      <c r="PBB12" s="119"/>
      <c r="PBC12" s="119"/>
      <c r="PBD12" s="119"/>
      <c r="PBE12" s="119"/>
      <c r="PBF12" s="119"/>
      <c r="PBG12" s="120"/>
      <c r="PBH12" s="120"/>
      <c r="PBI12" s="120"/>
      <c r="PBJ12" s="59"/>
      <c r="PBK12" s="119"/>
      <c r="PBL12" s="119"/>
      <c r="PBM12" s="119"/>
      <c r="PBN12" s="119"/>
      <c r="PBO12" s="119"/>
      <c r="PBP12" s="119"/>
      <c r="PBQ12" s="119"/>
      <c r="PBR12" s="119"/>
      <c r="PBS12" s="119"/>
      <c r="PBT12" s="119"/>
      <c r="PBU12" s="119"/>
      <c r="PBV12" s="119"/>
      <c r="PBW12" s="120"/>
      <c r="PBX12" s="120"/>
      <c r="PBY12" s="120"/>
      <c r="PBZ12" s="59"/>
      <c r="PCA12" s="119"/>
      <c r="PCB12" s="119"/>
      <c r="PCC12" s="119"/>
      <c r="PCD12" s="119"/>
      <c r="PCE12" s="119"/>
      <c r="PCF12" s="119"/>
      <c r="PCG12" s="119"/>
      <c r="PCH12" s="119"/>
      <c r="PCI12" s="119"/>
      <c r="PCJ12" s="119"/>
      <c r="PCK12" s="119"/>
      <c r="PCL12" s="119"/>
      <c r="PCM12" s="120"/>
      <c r="PCN12" s="120"/>
      <c r="PCO12" s="120"/>
      <c r="PCP12" s="59"/>
      <c r="PCQ12" s="119"/>
      <c r="PCR12" s="119"/>
      <c r="PCS12" s="119"/>
      <c r="PCT12" s="119"/>
      <c r="PCU12" s="119"/>
      <c r="PCV12" s="119"/>
      <c r="PCW12" s="119"/>
      <c r="PCX12" s="119"/>
      <c r="PCY12" s="119"/>
      <c r="PCZ12" s="119"/>
      <c r="PDA12" s="119"/>
      <c r="PDB12" s="119"/>
      <c r="PDC12" s="120"/>
      <c r="PDD12" s="120"/>
      <c r="PDE12" s="120"/>
      <c r="PDF12" s="59"/>
      <c r="PDG12" s="119"/>
      <c r="PDH12" s="119"/>
      <c r="PDI12" s="119"/>
      <c r="PDJ12" s="119"/>
      <c r="PDK12" s="119"/>
      <c r="PDL12" s="119"/>
      <c r="PDM12" s="119"/>
      <c r="PDN12" s="119"/>
      <c r="PDO12" s="119"/>
      <c r="PDP12" s="119"/>
      <c r="PDQ12" s="119"/>
      <c r="PDR12" s="119"/>
      <c r="PDS12" s="120"/>
      <c r="PDT12" s="120"/>
      <c r="PDU12" s="120"/>
      <c r="PDV12" s="59"/>
      <c r="PDW12" s="119"/>
      <c r="PDX12" s="119"/>
      <c r="PDY12" s="119"/>
      <c r="PDZ12" s="119"/>
      <c r="PEA12" s="119"/>
      <c r="PEB12" s="119"/>
      <c r="PEC12" s="119"/>
      <c r="PED12" s="119"/>
      <c r="PEE12" s="119"/>
      <c r="PEF12" s="119"/>
      <c r="PEG12" s="119"/>
      <c r="PEH12" s="119"/>
      <c r="PEI12" s="120"/>
      <c r="PEJ12" s="120"/>
      <c r="PEK12" s="120"/>
      <c r="PEL12" s="59"/>
      <c r="PEM12" s="119"/>
      <c r="PEN12" s="119"/>
      <c r="PEO12" s="119"/>
      <c r="PEP12" s="119"/>
      <c r="PEQ12" s="119"/>
      <c r="PER12" s="119"/>
      <c r="PES12" s="119"/>
      <c r="PET12" s="119"/>
      <c r="PEU12" s="119"/>
      <c r="PEV12" s="119"/>
      <c r="PEW12" s="119"/>
      <c r="PEX12" s="119"/>
      <c r="PEY12" s="120"/>
      <c r="PEZ12" s="120"/>
      <c r="PFA12" s="120"/>
      <c r="PFB12" s="59"/>
      <c r="PFC12" s="119"/>
      <c r="PFD12" s="119"/>
      <c r="PFE12" s="119"/>
      <c r="PFF12" s="119"/>
      <c r="PFG12" s="119"/>
      <c r="PFH12" s="119"/>
      <c r="PFI12" s="119"/>
      <c r="PFJ12" s="119"/>
      <c r="PFK12" s="119"/>
      <c r="PFL12" s="119"/>
      <c r="PFM12" s="119"/>
      <c r="PFN12" s="119"/>
      <c r="PFO12" s="120"/>
      <c r="PFP12" s="120"/>
      <c r="PFQ12" s="120"/>
      <c r="PFR12" s="59"/>
      <c r="PFS12" s="119"/>
      <c r="PFT12" s="119"/>
      <c r="PFU12" s="119"/>
      <c r="PFV12" s="119"/>
      <c r="PFW12" s="119"/>
      <c r="PFX12" s="119"/>
      <c r="PFY12" s="119"/>
      <c r="PFZ12" s="119"/>
      <c r="PGA12" s="119"/>
      <c r="PGB12" s="119"/>
      <c r="PGC12" s="119"/>
      <c r="PGD12" s="119"/>
      <c r="PGE12" s="120"/>
      <c r="PGF12" s="120"/>
      <c r="PGG12" s="120"/>
      <c r="PGH12" s="59"/>
      <c r="PGI12" s="119"/>
      <c r="PGJ12" s="119"/>
      <c r="PGK12" s="119"/>
      <c r="PGL12" s="119"/>
      <c r="PGM12" s="119"/>
      <c r="PGN12" s="119"/>
      <c r="PGO12" s="119"/>
      <c r="PGP12" s="119"/>
      <c r="PGQ12" s="119"/>
      <c r="PGR12" s="119"/>
      <c r="PGS12" s="119"/>
      <c r="PGT12" s="119"/>
      <c r="PGU12" s="120"/>
      <c r="PGV12" s="120"/>
      <c r="PGW12" s="120"/>
      <c r="PGX12" s="59"/>
      <c r="PGY12" s="119"/>
      <c r="PGZ12" s="119"/>
      <c r="PHA12" s="119"/>
      <c r="PHB12" s="119"/>
      <c r="PHC12" s="119"/>
      <c r="PHD12" s="119"/>
      <c r="PHE12" s="119"/>
      <c r="PHF12" s="119"/>
      <c r="PHG12" s="119"/>
      <c r="PHH12" s="119"/>
      <c r="PHI12" s="119"/>
      <c r="PHJ12" s="119"/>
      <c r="PHK12" s="120"/>
      <c r="PHL12" s="120"/>
      <c r="PHM12" s="120"/>
      <c r="PHN12" s="59"/>
      <c r="PHO12" s="119"/>
      <c r="PHP12" s="119"/>
      <c r="PHQ12" s="119"/>
      <c r="PHR12" s="119"/>
      <c r="PHS12" s="119"/>
      <c r="PHT12" s="119"/>
      <c r="PHU12" s="119"/>
      <c r="PHV12" s="119"/>
      <c r="PHW12" s="119"/>
      <c r="PHX12" s="119"/>
      <c r="PHY12" s="119"/>
      <c r="PHZ12" s="119"/>
      <c r="PIA12" s="120"/>
      <c r="PIB12" s="120"/>
      <c r="PIC12" s="120"/>
      <c r="PID12" s="59"/>
      <c r="PIE12" s="119"/>
      <c r="PIF12" s="119"/>
      <c r="PIG12" s="119"/>
      <c r="PIH12" s="119"/>
      <c r="PII12" s="119"/>
      <c r="PIJ12" s="119"/>
      <c r="PIK12" s="119"/>
      <c r="PIL12" s="119"/>
      <c r="PIM12" s="119"/>
      <c r="PIN12" s="119"/>
      <c r="PIO12" s="119"/>
      <c r="PIP12" s="119"/>
      <c r="PIQ12" s="120"/>
      <c r="PIR12" s="120"/>
      <c r="PIS12" s="120"/>
      <c r="PIT12" s="59"/>
      <c r="PIU12" s="119"/>
      <c r="PIV12" s="119"/>
      <c r="PIW12" s="119"/>
      <c r="PIX12" s="119"/>
      <c r="PIY12" s="119"/>
      <c r="PIZ12" s="119"/>
      <c r="PJA12" s="119"/>
      <c r="PJB12" s="119"/>
      <c r="PJC12" s="119"/>
      <c r="PJD12" s="119"/>
      <c r="PJE12" s="119"/>
      <c r="PJF12" s="119"/>
      <c r="PJG12" s="120"/>
      <c r="PJH12" s="120"/>
      <c r="PJI12" s="120"/>
      <c r="PJJ12" s="59"/>
      <c r="PJK12" s="119"/>
      <c r="PJL12" s="119"/>
      <c r="PJM12" s="119"/>
      <c r="PJN12" s="119"/>
      <c r="PJO12" s="119"/>
      <c r="PJP12" s="119"/>
      <c r="PJQ12" s="119"/>
      <c r="PJR12" s="119"/>
      <c r="PJS12" s="119"/>
      <c r="PJT12" s="119"/>
      <c r="PJU12" s="119"/>
      <c r="PJV12" s="119"/>
      <c r="PJW12" s="120"/>
      <c r="PJX12" s="120"/>
      <c r="PJY12" s="120"/>
      <c r="PJZ12" s="59"/>
      <c r="PKA12" s="119"/>
      <c r="PKB12" s="119"/>
      <c r="PKC12" s="119"/>
      <c r="PKD12" s="119"/>
      <c r="PKE12" s="119"/>
      <c r="PKF12" s="119"/>
      <c r="PKG12" s="119"/>
      <c r="PKH12" s="119"/>
      <c r="PKI12" s="119"/>
      <c r="PKJ12" s="119"/>
      <c r="PKK12" s="119"/>
      <c r="PKL12" s="119"/>
      <c r="PKM12" s="120"/>
      <c r="PKN12" s="120"/>
      <c r="PKO12" s="120"/>
      <c r="PKP12" s="59"/>
      <c r="PKQ12" s="119"/>
      <c r="PKR12" s="119"/>
      <c r="PKS12" s="119"/>
      <c r="PKT12" s="119"/>
      <c r="PKU12" s="119"/>
      <c r="PKV12" s="119"/>
      <c r="PKW12" s="119"/>
      <c r="PKX12" s="119"/>
      <c r="PKY12" s="119"/>
      <c r="PKZ12" s="119"/>
      <c r="PLA12" s="119"/>
      <c r="PLB12" s="119"/>
      <c r="PLC12" s="120"/>
      <c r="PLD12" s="120"/>
      <c r="PLE12" s="120"/>
      <c r="PLF12" s="59"/>
      <c r="PLG12" s="119"/>
      <c r="PLH12" s="119"/>
      <c r="PLI12" s="119"/>
      <c r="PLJ12" s="119"/>
      <c r="PLK12" s="119"/>
      <c r="PLL12" s="119"/>
      <c r="PLM12" s="119"/>
      <c r="PLN12" s="119"/>
      <c r="PLO12" s="119"/>
      <c r="PLP12" s="119"/>
      <c r="PLQ12" s="119"/>
      <c r="PLR12" s="119"/>
      <c r="PLS12" s="120"/>
      <c r="PLT12" s="120"/>
      <c r="PLU12" s="120"/>
      <c r="PLV12" s="59"/>
      <c r="PLW12" s="119"/>
      <c r="PLX12" s="119"/>
      <c r="PLY12" s="119"/>
      <c r="PLZ12" s="119"/>
      <c r="PMA12" s="119"/>
      <c r="PMB12" s="119"/>
      <c r="PMC12" s="119"/>
      <c r="PMD12" s="119"/>
      <c r="PME12" s="119"/>
      <c r="PMF12" s="119"/>
      <c r="PMG12" s="119"/>
      <c r="PMH12" s="119"/>
      <c r="PMI12" s="120"/>
      <c r="PMJ12" s="120"/>
      <c r="PMK12" s="120"/>
      <c r="PML12" s="59"/>
      <c r="PMM12" s="119"/>
      <c r="PMN12" s="119"/>
      <c r="PMO12" s="119"/>
      <c r="PMP12" s="119"/>
      <c r="PMQ12" s="119"/>
      <c r="PMR12" s="119"/>
      <c r="PMS12" s="119"/>
      <c r="PMT12" s="119"/>
      <c r="PMU12" s="119"/>
      <c r="PMV12" s="119"/>
      <c r="PMW12" s="119"/>
      <c r="PMX12" s="119"/>
      <c r="PMY12" s="120"/>
      <c r="PMZ12" s="120"/>
      <c r="PNA12" s="120"/>
      <c r="PNB12" s="59"/>
      <c r="PNC12" s="119"/>
      <c r="PND12" s="119"/>
      <c r="PNE12" s="119"/>
      <c r="PNF12" s="119"/>
      <c r="PNG12" s="119"/>
      <c r="PNH12" s="119"/>
      <c r="PNI12" s="119"/>
      <c r="PNJ12" s="119"/>
      <c r="PNK12" s="119"/>
      <c r="PNL12" s="119"/>
      <c r="PNM12" s="119"/>
      <c r="PNN12" s="119"/>
      <c r="PNO12" s="120"/>
      <c r="PNP12" s="120"/>
      <c r="PNQ12" s="120"/>
      <c r="PNR12" s="59"/>
      <c r="PNS12" s="119"/>
      <c r="PNT12" s="119"/>
      <c r="PNU12" s="119"/>
      <c r="PNV12" s="119"/>
      <c r="PNW12" s="119"/>
      <c r="PNX12" s="119"/>
      <c r="PNY12" s="119"/>
      <c r="PNZ12" s="119"/>
      <c r="POA12" s="119"/>
      <c r="POB12" s="119"/>
      <c r="POC12" s="119"/>
      <c r="POD12" s="119"/>
      <c r="POE12" s="120"/>
      <c r="POF12" s="120"/>
      <c r="POG12" s="120"/>
      <c r="POH12" s="59"/>
      <c r="POI12" s="119"/>
      <c r="POJ12" s="119"/>
      <c r="POK12" s="119"/>
      <c r="POL12" s="119"/>
      <c r="POM12" s="119"/>
      <c r="PON12" s="119"/>
      <c r="POO12" s="119"/>
      <c r="POP12" s="119"/>
      <c r="POQ12" s="119"/>
      <c r="POR12" s="119"/>
      <c r="POS12" s="119"/>
      <c r="POT12" s="119"/>
      <c r="POU12" s="120"/>
      <c r="POV12" s="120"/>
      <c r="POW12" s="120"/>
      <c r="POX12" s="59"/>
      <c r="POY12" s="119"/>
      <c r="POZ12" s="119"/>
      <c r="PPA12" s="119"/>
      <c r="PPB12" s="119"/>
      <c r="PPC12" s="119"/>
      <c r="PPD12" s="119"/>
      <c r="PPE12" s="119"/>
      <c r="PPF12" s="119"/>
      <c r="PPG12" s="119"/>
      <c r="PPH12" s="119"/>
      <c r="PPI12" s="119"/>
      <c r="PPJ12" s="119"/>
      <c r="PPK12" s="120"/>
      <c r="PPL12" s="120"/>
      <c r="PPM12" s="120"/>
      <c r="PPN12" s="59"/>
      <c r="PPO12" s="119"/>
      <c r="PPP12" s="119"/>
      <c r="PPQ12" s="119"/>
      <c r="PPR12" s="119"/>
      <c r="PPS12" s="119"/>
      <c r="PPT12" s="119"/>
      <c r="PPU12" s="119"/>
      <c r="PPV12" s="119"/>
      <c r="PPW12" s="119"/>
      <c r="PPX12" s="119"/>
      <c r="PPY12" s="119"/>
      <c r="PPZ12" s="119"/>
      <c r="PQA12" s="120"/>
      <c r="PQB12" s="120"/>
      <c r="PQC12" s="120"/>
      <c r="PQD12" s="59"/>
      <c r="PQE12" s="119"/>
      <c r="PQF12" s="119"/>
      <c r="PQG12" s="119"/>
      <c r="PQH12" s="119"/>
      <c r="PQI12" s="119"/>
      <c r="PQJ12" s="119"/>
      <c r="PQK12" s="119"/>
      <c r="PQL12" s="119"/>
      <c r="PQM12" s="119"/>
      <c r="PQN12" s="119"/>
      <c r="PQO12" s="119"/>
      <c r="PQP12" s="119"/>
      <c r="PQQ12" s="120"/>
      <c r="PQR12" s="120"/>
      <c r="PQS12" s="120"/>
      <c r="PQT12" s="59"/>
      <c r="PQU12" s="119"/>
      <c r="PQV12" s="119"/>
      <c r="PQW12" s="119"/>
      <c r="PQX12" s="119"/>
      <c r="PQY12" s="119"/>
      <c r="PQZ12" s="119"/>
      <c r="PRA12" s="119"/>
      <c r="PRB12" s="119"/>
      <c r="PRC12" s="119"/>
      <c r="PRD12" s="119"/>
      <c r="PRE12" s="119"/>
      <c r="PRF12" s="119"/>
      <c r="PRG12" s="120"/>
      <c r="PRH12" s="120"/>
      <c r="PRI12" s="120"/>
      <c r="PRJ12" s="59"/>
      <c r="PRK12" s="119"/>
      <c r="PRL12" s="119"/>
      <c r="PRM12" s="119"/>
      <c r="PRN12" s="119"/>
      <c r="PRO12" s="119"/>
      <c r="PRP12" s="119"/>
      <c r="PRQ12" s="119"/>
      <c r="PRR12" s="119"/>
      <c r="PRS12" s="119"/>
      <c r="PRT12" s="119"/>
      <c r="PRU12" s="119"/>
      <c r="PRV12" s="119"/>
      <c r="PRW12" s="120"/>
      <c r="PRX12" s="120"/>
      <c r="PRY12" s="120"/>
      <c r="PRZ12" s="59"/>
      <c r="PSA12" s="119"/>
      <c r="PSB12" s="119"/>
      <c r="PSC12" s="119"/>
      <c r="PSD12" s="119"/>
      <c r="PSE12" s="119"/>
      <c r="PSF12" s="119"/>
      <c r="PSG12" s="119"/>
      <c r="PSH12" s="119"/>
      <c r="PSI12" s="119"/>
      <c r="PSJ12" s="119"/>
      <c r="PSK12" s="119"/>
      <c r="PSL12" s="119"/>
      <c r="PSM12" s="120"/>
      <c r="PSN12" s="120"/>
      <c r="PSO12" s="120"/>
      <c r="PSP12" s="59"/>
      <c r="PSQ12" s="119"/>
      <c r="PSR12" s="119"/>
      <c r="PSS12" s="119"/>
      <c r="PST12" s="119"/>
      <c r="PSU12" s="119"/>
      <c r="PSV12" s="119"/>
      <c r="PSW12" s="119"/>
      <c r="PSX12" s="119"/>
      <c r="PSY12" s="119"/>
      <c r="PSZ12" s="119"/>
      <c r="PTA12" s="119"/>
      <c r="PTB12" s="119"/>
      <c r="PTC12" s="120"/>
      <c r="PTD12" s="120"/>
      <c r="PTE12" s="120"/>
      <c r="PTF12" s="59"/>
      <c r="PTG12" s="119"/>
      <c r="PTH12" s="119"/>
      <c r="PTI12" s="119"/>
      <c r="PTJ12" s="119"/>
      <c r="PTK12" s="119"/>
      <c r="PTL12" s="119"/>
      <c r="PTM12" s="119"/>
      <c r="PTN12" s="119"/>
      <c r="PTO12" s="119"/>
      <c r="PTP12" s="119"/>
      <c r="PTQ12" s="119"/>
      <c r="PTR12" s="119"/>
      <c r="PTS12" s="120"/>
      <c r="PTT12" s="120"/>
      <c r="PTU12" s="120"/>
      <c r="PTV12" s="59"/>
      <c r="PTW12" s="119"/>
      <c r="PTX12" s="119"/>
      <c r="PTY12" s="119"/>
      <c r="PTZ12" s="119"/>
      <c r="PUA12" s="119"/>
      <c r="PUB12" s="119"/>
      <c r="PUC12" s="119"/>
      <c r="PUD12" s="119"/>
      <c r="PUE12" s="119"/>
      <c r="PUF12" s="119"/>
      <c r="PUG12" s="119"/>
      <c r="PUH12" s="119"/>
      <c r="PUI12" s="120"/>
      <c r="PUJ12" s="120"/>
      <c r="PUK12" s="120"/>
      <c r="PUL12" s="59"/>
      <c r="PUM12" s="119"/>
      <c r="PUN12" s="119"/>
      <c r="PUO12" s="119"/>
      <c r="PUP12" s="119"/>
      <c r="PUQ12" s="119"/>
      <c r="PUR12" s="119"/>
      <c r="PUS12" s="119"/>
      <c r="PUT12" s="119"/>
      <c r="PUU12" s="119"/>
      <c r="PUV12" s="119"/>
      <c r="PUW12" s="119"/>
      <c r="PUX12" s="119"/>
      <c r="PUY12" s="120"/>
      <c r="PUZ12" s="120"/>
      <c r="PVA12" s="120"/>
      <c r="PVB12" s="59"/>
      <c r="PVC12" s="119"/>
      <c r="PVD12" s="119"/>
      <c r="PVE12" s="119"/>
      <c r="PVF12" s="119"/>
      <c r="PVG12" s="119"/>
      <c r="PVH12" s="119"/>
      <c r="PVI12" s="119"/>
      <c r="PVJ12" s="119"/>
      <c r="PVK12" s="119"/>
      <c r="PVL12" s="119"/>
      <c r="PVM12" s="119"/>
      <c r="PVN12" s="119"/>
      <c r="PVO12" s="120"/>
      <c r="PVP12" s="120"/>
      <c r="PVQ12" s="120"/>
      <c r="PVR12" s="59"/>
      <c r="PVS12" s="119"/>
      <c r="PVT12" s="119"/>
      <c r="PVU12" s="119"/>
      <c r="PVV12" s="119"/>
      <c r="PVW12" s="119"/>
      <c r="PVX12" s="119"/>
      <c r="PVY12" s="119"/>
      <c r="PVZ12" s="119"/>
      <c r="PWA12" s="119"/>
      <c r="PWB12" s="119"/>
      <c r="PWC12" s="119"/>
      <c r="PWD12" s="119"/>
      <c r="PWE12" s="120"/>
      <c r="PWF12" s="120"/>
      <c r="PWG12" s="120"/>
      <c r="PWH12" s="59"/>
      <c r="PWI12" s="119"/>
      <c r="PWJ12" s="119"/>
      <c r="PWK12" s="119"/>
      <c r="PWL12" s="119"/>
      <c r="PWM12" s="119"/>
      <c r="PWN12" s="119"/>
      <c r="PWO12" s="119"/>
      <c r="PWP12" s="119"/>
      <c r="PWQ12" s="119"/>
      <c r="PWR12" s="119"/>
      <c r="PWS12" s="119"/>
      <c r="PWT12" s="119"/>
      <c r="PWU12" s="120"/>
      <c r="PWV12" s="120"/>
      <c r="PWW12" s="120"/>
      <c r="PWX12" s="59"/>
      <c r="PWY12" s="119"/>
      <c r="PWZ12" s="119"/>
      <c r="PXA12" s="119"/>
      <c r="PXB12" s="119"/>
      <c r="PXC12" s="119"/>
      <c r="PXD12" s="119"/>
      <c r="PXE12" s="119"/>
      <c r="PXF12" s="119"/>
      <c r="PXG12" s="119"/>
      <c r="PXH12" s="119"/>
      <c r="PXI12" s="119"/>
      <c r="PXJ12" s="119"/>
      <c r="PXK12" s="120"/>
      <c r="PXL12" s="120"/>
      <c r="PXM12" s="120"/>
      <c r="PXN12" s="59"/>
      <c r="PXO12" s="119"/>
      <c r="PXP12" s="119"/>
      <c r="PXQ12" s="119"/>
      <c r="PXR12" s="119"/>
      <c r="PXS12" s="119"/>
      <c r="PXT12" s="119"/>
      <c r="PXU12" s="119"/>
      <c r="PXV12" s="119"/>
      <c r="PXW12" s="119"/>
      <c r="PXX12" s="119"/>
      <c r="PXY12" s="119"/>
      <c r="PXZ12" s="119"/>
      <c r="PYA12" s="120"/>
      <c r="PYB12" s="120"/>
      <c r="PYC12" s="120"/>
      <c r="PYD12" s="59"/>
      <c r="PYE12" s="119"/>
      <c r="PYF12" s="119"/>
      <c r="PYG12" s="119"/>
      <c r="PYH12" s="119"/>
      <c r="PYI12" s="119"/>
      <c r="PYJ12" s="119"/>
      <c r="PYK12" s="119"/>
      <c r="PYL12" s="119"/>
      <c r="PYM12" s="119"/>
      <c r="PYN12" s="119"/>
      <c r="PYO12" s="119"/>
      <c r="PYP12" s="119"/>
      <c r="PYQ12" s="120"/>
      <c r="PYR12" s="120"/>
      <c r="PYS12" s="120"/>
      <c r="PYT12" s="59"/>
      <c r="PYU12" s="119"/>
      <c r="PYV12" s="119"/>
      <c r="PYW12" s="119"/>
      <c r="PYX12" s="119"/>
      <c r="PYY12" s="119"/>
      <c r="PYZ12" s="119"/>
      <c r="PZA12" s="119"/>
      <c r="PZB12" s="119"/>
      <c r="PZC12" s="119"/>
      <c r="PZD12" s="119"/>
      <c r="PZE12" s="119"/>
      <c r="PZF12" s="119"/>
      <c r="PZG12" s="120"/>
      <c r="PZH12" s="120"/>
      <c r="PZI12" s="120"/>
      <c r="PZJ12" s="59"/>
      <c r="PZK12" s="119"/>
      <c r="PZL12" s="119"/>
      <c r="PZM12" s="119"/>
      <c r="PZN12" s="119"/>
      <c r="PZO12" s="119"/>
      <c r="PZP12" s="119"/>
      <c r="PZQ12" s="119"/>
      <c r="PZR12" s="119"/>
      <c r="PZS12" s="119"/>
      <c r="PZT12" s="119"/>
      <c r="PZU12" s="119"/>
      <c r="PZV12" s="119"/>
      <c r="PZW12" s="120"/>
      <c r="PZX12" s="120"/>
      <c r="PZY12" s="120"/>
      <c r="PZZ12" s="59"/>
      <c r="QAA12" s="119"/>
      <c r="QAB12" s="119"/>
      <c r="QAC12" s="119"/>
      <c r="QAD12" s="119"/>
      <c r="QAE12" s="119"/>
      <c r="QAF12" s="119"/>
      <c r="QAG12" s="119"/>
      <c r="QAH12" s="119"/>
      <c r="QAI12" s="119"/>
      <c r="QAJ12" s="119"/>
      <c r="QAK12" s="119"/>
      <c r="QAL12" s="119"/>
      <c r="QAM12" s="120"/>
      <c r="QAN12" s="120"/>
      <c r="QAO12" s="120"/>
      <c r="QAP12" s="59"/>
      <c r="QAQ12" s="119"/>
      <c r="QAR12" s="119"/>
      <c r="QAS12" s="119"/>
      <c r="QAT12" s="119"/>
      <c r="QAU12" s="119"/>
      <c r="QAV12" s="119"/>
      <c r="QAW12" s="119"/>
      <c r="QAX12" s="119"/>
      <c r="QAY12" s="119"/>
      <c r="QAZ12" s="119"/>
      <c r="QBA12" s="119"/>
      <c r="QBB12" s="119"/>
      <c r="QBC12" s="120"/>
      <c r="QBD12" s="120"/>
      <c r="QBE12" s="120"/>
      <c r="QBF12" s="59"/>
      <c r="QBG12" s="119"/>
      <c r="QBH12" s="119"/>
      <c r="QBI12" s="119"/>
      <c r="QBJ12" s="119"/>
      <c r="QBK12" s="119"/>
      <c r="QBL12" s="119"/>
      <c r="QBM12" s="119"/>
      <c r="QBN12" s="119"/>
      <c r="QBO12" s="119"/>
      <c r="QBP12" s="119"/>
      <c r="QBQ12" s="119"/>
      <c r="QBR12" s="119"/>
      <c r="QBS12" s="120"/>
      <c r="QBT12" s="120"/>
      <c r="QBU12" s="120"/>
      <c r="QBV12" s="59"/>
      <c r="QBW12" s="119"/>
      <c r="QBX12" s="119"/>
      <c r="QBY12" s="119"/>
      <c r="QBZ12" s="119"/>
      <c r="QCA12" s="119"/>
      <c r="QCB12" s="119"/>
      <c r="QCC12" s="119"/>
      <c r="QCD12" s="119"/>
      <c r="QCE12" s="119"/>
      <c r="QCF12" s="119"/>
      <c r="QCG12" s="119"/>
      <c r="QCH12" s="119"/>
      <c r="QCI12" s="120"/>
      <c r="QCJ12" s="120"/>
      <c r="QCK12" s="120"/>
      <c r="QCL12" s="59"/>
      <c r="QCM12" s="119"/>
      <c r="QCN12" s="119"/>
      <c r="QCO12" s="119"/>
      <c r="QCP12" s="119"/>
      <c r="QCQ12" s="119"/>
      <c r="QCR12" s="119"/>
      <c r="QCS12" s="119"/>
      <c r="QCT12" s="119"/>
      <c r="QCU12" s="119"/>
      <c r="QCV12" s="119"/>
      <c r="QCW12" s="119"/>
      <c r="QCX12" s="119"/>
      <c r="QCY12" s="120"/>
      <c r="QCZ12" s="120"/>
      <c r="QDA12" s="120"/>
      <c r="QDB12" s="59"/>
      <c r="QDC12" s="119"/>
      <c r="QDD12" s="119"/>
      <c r="QDE12" s="119"/>
      <c r="QDF12" s="119"/>
      <c r="QDG12" s="119"/>
      <c r="QDH12" s="119"/>
      <c r="QDI12" s="119"/>
      <c r="QDJ12" s="119"/>
      <c r="QDK12" s="119"/>
      <c r="QDL12" s="119"/>
      <c r="QDM12" s="119"/>
      <c r="QDN12" s="119"/>
      <c r="QDO12" s="120"/>
      <c r="QDP12" s="120"/>
      <c r="QDQ12" s="120"/>
      <c r="QDR12" s="59"/>
      <c r="QDS12" s="119"/>
      <c r="QDT12" s="119"/>
      <c r="QDU12" s="119"/>
      <c r="QDV12" s="119"/>
      <c r="QDW12" s="119"/>
      <c r="QDX12" s="119"/>
      <c r="QDY12" s="119"/>
      <c r="QDZ12" s="119"/>
      <c r="QEA12" s="119"/>
      <c r="QEB12" s="119"/>
      <c r="QEC12" s="119"/>
      <c r="QED12" s="119"/>
      <c r="QEE12" s="120"/>
      <c r="QEF12" s="120"/>
      <c r="QEG12" s="120"/>
      <c r="QEH12" s="59"/>
      <c r="QEI12" s="119"/>
      <c r="QEJ12" s="119"/>
      <c r="QEK12" s="119"/>
      <c r="QEL12" s="119"/>
      <c r="QEM12" s="119"/>
      <c r="QEN12" s="119"/>
      <c r="QEO12" s="119"/>
      <c r="QEP12" s="119"/>
      <c r="QEQ12" s="119"/>
      <c r="QER12" s="119"/>
      <c r="QES12" s="119"/>
      <c r="QET12" s="119"/>
      <c r="QEU12" s="120"/>
      <c r="QEV12" s="120"/>
      <c r="QEW12" s="120"/>
      <c r="QEX12" s="59"/>
      <c r="QEY12" s="119"/>
      <c r="QEZ12" s="119"/>
      <c r="QFA12" s="119"/>
      <c r="QFB12" s="119"/>
      <c r="QFC12" s="119"/>
      <c r="QFD12" s="119"/>
      <c r="QFE12" s="119"/>
      <c r="QFF12" s="119"/>
      <c r="QFG12" s="119"/>
      <c r="QFH12" s="119"/>
      <c r="QFI12" s="119"/>
      <c r="QFJ12" s="119"/>
      <c r="QFK12" s="120"/>
      <c r="QFL12" s="120"/>
      <c r="QFM12" s="120"/>
      <c r="QFN12" s="59"/>
      <c r="QFO12" s="119"/>
      <c r="QFP12" s="119"/>
      <c r="QFQ12" s="119"/>
      <c r="QFR12" s="119"/>
      <c r="QFS12" s="119"/>
      <c r="QFT12" s="119"/>
      <c r="QFU12" s="119"/>
      <c r="QFV12" s="119"/>
      <c r="QFW12" s="119"/>
      <c r="QFX12" s="119"/>
      <c r="QFY12" s="119"/>
      <c r="QFZ12" s="119"/>
      <c r="QGA12" s="120"/>
      <c r="QGB12" s="120"/>
      <c r="QGC12" s="120"/>
      <c r="QGD12" s="59"/>
      <c r="QGE12" s="119"/>
      <c r="QGF12" s="119"/>
      <c r="QGG12" s="119"/>
      <c r="QGH12" s="119"/>
      <c r="QGI12" s="119"/>
      <c r="QGJ12" s="119"/>
      <c r="QGK12" s="119"/>
      <c r="QGL12" s="119"/>
      <c r="QGM12" s="119"/>
      <c r="QGN12" s="119"/>
      <c r="QGO12" s="119"/>
      <c r="QGP12" s="119"/>
      <c r="QGQ12" s="120"/>
      <c r="QGR12" s="120"/>
      <c r="QGS12" s="120"/>
      <c r="QGT12" s="59"/>
      <c r="QGU12" s="119"/>
      <c r="QGV12" s="119"/>
      <c r="QGW12" s="119"/>
      <c r="QGX12" s="119"/>
      <c r="QGY12" s="119"/>
      <c r="QGZ12" s="119"/>
      <c r="QHA12" s="119"/>
      <c r="QHB12" s="119"/>
      <c r="QHC12" s="119"/>
      <c r="QHD12" s="119"/>
      <c r="QHE12" s="119"/>
      <c r="QHF12" s="119"/>
      <c r="QHG12" s="120"/>
      <c r="QHH12" s="120"/>
      <c r="QHI12" s="120"/>
      <c r="QHJ12" s="59"/>
      <c r="QHK12" s="119"/>
      <c r="QHL12" s="119"/>
      <c r="QHM12" s="119"/>
      <c r="QHN12" s="119"/>
      <c r="QHO12" s="119"/>
      <c r="QHP12" s="119"/>
      <c r="QHQ12" s="119"/>
      <c r="QHR12" s="119"/>
      <c r="QHS12" s="119"/>
      <c r="QHT12" s="119"/>
      <c r="QHU12" s="119"/>
      <c r="QHV12" s="119"/>
      <c r="QHW12" s="120"/>
      <c r="QHX12" s="120"/>
      <c r="QHY12" s="120"/>
      <c r="QHZ12" s="59"/>
      <c r="QIA12" s="119"/>
      <c r="QIB12" s="119"/>
      <c r="QIC12" s="119"/>
      <c r="QID12" s="119"/>
      <c r="QIE12" s="119"/>
      <c r="QIF12" s="119"/>
      <c r="QIG12" s="119"/>
      <c r="QIH12" s="119"/>
      <c r="QII12" s="119"/>
      <c r="QIJ12" s="119"/>
      <c r="QIK12" s="119"/>
      <c r="QIL12" s="119"/>
      <c r="QIM12" s="120"/>
      <c r="QIN12" s="120"/>
      <c r="QIO12" s="120"/>
      <c r="QIP12" s="59"/>
      <c r="QIQ12" s="119"/>
      <c r="QIR12" s="119"/>
      <c r="QIS12" s="119"/>
      <c r="QIT12" s="119"/>
      <c r="QIU12" s="119"/>
      <c r="QIV12" s="119"/>
      <c r="QIW12" s="119"/>
      <c r="QIX12" s="119"/>
      <c r="QIY12" s="119"/>
      <c r="QIZ12" s="119"/>
      <c r="QJA12" s="119"/>
      <c r="QJB12" s="119"/>
      <c r="QJC12" s="120"/>
      <c r="QJD12" s="120"/>
      <c r="QJE12" s="120"/>
      <c r="QJF12" s="59"/>
      <c r="QJG12" s="119"/>
      <c r="QJH12" s="119"/>
      <c r="QJI12" s="119"/>
      <c r="QJJ12" s="119"/>
      <c r="QJK12" s="119"/>
      <c r="QJL12" s="119"/>
      <c r="QJM12" s="119"/>
      <c r="QJN12" s="119"/>
      <c r="QJO12" s="119"/>
      <c r="QJP12" s="119"/>
      <c r="QJQ12" s="119"/>
      <c r="QJR12" s="119"/>
      <c r="QJS12" s="120"/>
      <c r="QJT12" s="120"/>
      <c r="QJU12" s="120"/>
      <c r="QJV12" s="59"/>
      <c r="QJW12" s="119"/>
      <c r="QJX12" s="119"/>
      <c r="QJY12" s="119"/>
      <c r="QJZ12" s="119"/>
      <c r="QKA12" s="119"/>
      <c r="QKB12" s="119"/>
      <c r="QKC12" s="119"/>
      <c r="QKD12" s="119"/>
      <c r="QKE12" s="119"/>
      <c r="QKF12" s="119"/>
      <c r="QKG12" s="119"/>
      <c r="QKH12" s="119"/>
      <c r="QKI12" s="120"/>
      <c r="QKJ12" s="120"/>
      <c r="QKK12" s="120"/>
      <c r="QKL12" s="59"/>
      <c r="QKM12" s="119"/>
      <c r="QKN12" s="119"/>
      <c r="QKO12" s="119"/>
      <c r="QKP12" s="119"/>
      <c r="QKQ12" s="119"/>
      <c r="QKR12" s="119"/>
      <c r="QKS12" s="119"/>
      <c r="QKT12" s="119"/>
      <c r="QKU12" s="119"/>
      <c r="QKV12" s="119"/>
      <c r="QKW12" s="119"/>
      <c r="QKX12" s="119"/>
      <c r="QKY12" s="120"/>
      <c r="QKZ12" s="120"/>
      <c r="QLA12" s="120"/>
      <c r="QLB12" s="59"/>
      <c r="QLC12" s="119"/>
      <c r="QLD12" s="119"/>
      <c r="QLE12" s="119"/>
      <c r="QLF12" s="119"/>
      <c r="QLG12" s="119"/>
      <c r="QLH12" s="119"/>
      <c r="QLI12" s="119"/>
      <c r="QLJ12" s="119"/>
      <c r="QLK12" s="119"/>
      <c r="QLL12" s="119"/>
      <c r="QLM12" s="119"/>
      <c r="QLN12" s="119"/>
      <c r="QLO12" s="120"/>
      <c r="QLP12" s="120"/>
      <c r="QLQ12" s="120"/>
      <c r="QLR12" s="59"/>
      <c r="QLS12" s="119"/>
      <c r="QLT12" s="119"/>
      <c r="QLU12" s="119"/>
      <c r="QLV12" s="119"/>
      <c r="QLW12" s="119"/>
      <c r="QLX12" s="119"/>
      <c r="QLY12" s="119"/>
      <c r="QLZ12" s="119"/>
      <c r="QMA12" s="119"/>
      <c r="QMB12" s="119"/>
      <c r="QMC12" s="119"/>
      <c r="QMD12" s="119"/>
      <c r="QME12" s="120"/>
      <c r="QMF12" s="120"/>
      <c r="QMG12" s="120"/>
      <c r="QMH12" s="59"/>
      <c r="QMI12" s="119"/>
      <c r="QMJ12" s="119"/>
      <c r="QMK12" s="119"/>
      <c r="QML12" s="119"/>
      <c r="QMM12" s="119"/>
      <c r="QMN12" s="119"/>
      <c r="QMO12" s="119"/>
      <c r="QMP12" s="119"/>
      <c r="QMQ12" s="119"/>
      <c r="QMR12" s="119"/>
      <c r="QMS12" s="119"/>
      <c r="QMT12" s="119"/>
      <c r="QMU12" s="120"/>
      <c r="QMV12" s="120"/>
      <c r="QMW12" s="120"/>
      <c r="QMX12" s="59"/>
      <c r="QMY12" s="119"/>
      <c r="QMZ12" s="119"/>
      <c r="QNA12" s="119"/>
      <c r="QNB12" s="119"/>
      <c r="QNC12" s="119"/>
      <c r="QND12" s="119"/>
      <c r="QNE12" s="119"/>
      <c r="QNF12" s="119"/>
      <c r="QNG12" s="119"/>
      <c r="QNH12" s="119"/>
      <c r="QNI12" s="119"/>
      <c r="QNJ12" s="119"/>
      <c r="QNK12" s="120"/>
      <c r="QNL12" s="120"/>
      <c r="QNM12" s="120"/>
      <c r="QNN12" s="59"/>
      <c r="QNO12" s="119"/>
      <c r="QNP12" s="119"/>
      <c r="QNQ12" s="119"/>
      <c r="QNR12" s="119"/>
      <c r="QNS12" s="119"/>
      <c r="QNT12" s="119"/>
      <c r="QNU12" s="119"/>
      <c r="QNV12" s="119"/>
      <c r="QNW12" s="119"/>
      <c r="QNX12" s="119"/>
      <c r="QNY12" s="119"/>
      <c r="QNZ12" s="119"/>
      <c r="QOA12" s="120"/>
      <c r="QOB12" s="120"/>
      <c r="QOC12" s="120"/>
      <c r="QOD12" s="59"/>
      <c r="QOE12" s="119"/>
      <c r="QOF12" s="119"/>
      <c r="QOG12" s="119"/>
      <c r="QOH12" s="119"/>
      <c r="QOI12" s="119"/>
      <c r="QOJ12" s="119"/>
      <c r="QOK12" s="119"/>
      <c r="QOL12" s="119"/>
      <c r="QOM12" s="119"/>
      <c r="QON12" s="119"/>
      <c r="QOO12" s="119"/>
      <c r="QOP12" s="119"/>
      <c r="QOQ12" s="120"/>
      <c r="QOR12" s="120"/>
      <c r="QOS12" s="120"/>
      <c r="QOT12" s="59"/>
      <c r="QOU12" s="119"/>
      <c r="QOV12" s="119"/>
      <c r="QOW12" s="119"/>
      <c r="QOX12" s="119"/>
      <c r="QOY12" s="119"/>
      <c r="QOZ12" s="119"/>
      <c r="QPA12" s="119"/>
      <c r="QPB12" s="119"/>
      <c r="QPC12" s="119"/>
      <c r="QPD12" s="119"/>
      <c r="QPE12" s="119"/>
      <c r="QPF12" s="119"/>
      <c r="QPG12" s="120"/>
      <c r="QPH12" s="120"/>
      <c r="QPI12" s="120"/>
      <c r="QPJ12" s="59"/>
      <c r="QPK12" s="119"/>
      <c r="QPL12" s="119"/>
      <c r="QPM12" s="119"/>
      <c r="QPN12" s="119"/>
      <c r="QPO12" s="119"/>
      <c r="QPP12" s="119"/>
      <c r="QPQ12" s="119"/>
      <c r="QPR12" s="119"/>
      <c r="QPS12" s="119"/>
      <c r="QPT12" s="119"/>
      <c r="QPU12" s="119"/>
      <c r="QPV12" s="119"/>
      <c r="QPW12" s="120"/>
      <c r="QPX12" s="120"/>
      <c r="QPY12" s="120"/>
      <c r="QPZ12" s="59"/>
      <c r="QQA12" s="119"/>
      <c r="QQB12" s="119"/>
      <c r="QQC12" s="119"/>
      <c r="QQD12" s="119"/>
      <c r="QQE12" s="119"/>
      <c r="QQF12" s="119"/>
      <c r="QQG12" s="119"/>
      <c r="QQH12" s="119"/>
      <c r="QQI12" s="119"/>
      <c r="QQJ12" s="119"/>
      <c r="QQK12" s="119"/>
      <c r="QQL12" s="119"/>
      <c r="QQM12" s="120"/>
      <c r="QQN12" s="120"/>
      <c r="QQO12" s="120"/>
      <c r="QQP12" s="59"/>
      <c r="QQQ12" s="119"/>
      <c r="QQR12" s="119"/>
      <c r="QQS12" s="119"/>
      <c r="QQT12" s="119"/>
      <c r="QQU12" s="119"/>
      <c r="QQV12" s="119"/>
      <c r="QQW12" s="119"/>
      <c r="QQX12" s="119"/>
      <c r="QQY12" s="119"/>
      <c r="QQZ12" s="119"/>
      <c r="QRA12" s="119"/>
      <c r="QRB12" s="119"/>
      <c r="QRC12" s="120"/>
      <c r="QRD12" s="120"/>
      <c r="QRE12" s="120"/>
      <c r="QRF12" s="59"/>
      <c r="QRG12" s="119"/>
      <c r="QRH12" s="119"/>
      <c r="QRI12" s="119"/>
      <c r="QRJ12" s="119"/>
      <c r="QRK12" s="119"/>
      <c r="QRL12" s="119"/>
      <c r="QRM12" s="119"/>
      <c r="QRN12" s="119"/>
      <c r="QRO12" s="119"/>
      <c r="QRP12" s="119"/>
      <c r="QRQ12" s="119"/>
      <c r="QRR12" s="119"/>
      <c r="QRS12" s="120"/>
      <c r="QRT12" s="120"/>
      <c r="QRU12" s="120"/>
      <c r="QRV12" s="59"/>
      <c r="QRW12" s="119"/>
      <c r="QRX12" s="119"/>
      <c r="QRY12" s="119"/>
      <c r="QRZ12" s="119"/>
      <c r="QSA12" s="119"/>
      <c r="QSB12" s="119"/>
      <c r="QSC12" s="119"/>
      <c r="QSD12" s="119"/>
      <c r="QSE12" s="119"/>
      <c r="QSF12" s="119"/>
      <c r="QSG12" s="119"/>
      <c r="QSH12" s="119"/>
      <c r="QSI12" s="120"/>
      <c r="QSJ12" s="120"/>
      <c r="QSK12" s="120"/>
      <c r="QSL12" s="59"/>
      <c r="QSM12" s="119"/>
      <c r="QSN12" s="119"/>
      <c r="QSO12" s="119"/>
      <c r="QSP12" s="119"/>
      <c r="QSQ12" s="119"/>
      <c r="QSR12" s="119"/>
      <c r="QSS12" s="119"/>
      <c r="QST12" s="119"/>
      <c r="QSU12" s="119"/>
      <c r="QSV12" s="119"/>
      <c r="QSW12" s="119"/>
      <c r="QSX12" s="119"/>
      <c r="QSY12" s="120"/>
      <c r="QSZ12" s="120"/>
      <c r="QTA12" s="120"/>
      <c r="QTB12" s="59"/>
      <c r="QTC12" s="119"/>
      <c r="QTD12" s="119"/>
      <c r="QTE12" s="119"/>
      <c r="QTF12" s="119"/>
      <c r="QTG12" s="119"/>
      <c r="QTH12" s="119"/>
      <c r="QTI12" s="119"/>
      <c r="QTJ12" s="119"/>
      <c r="QTK12" s="119"/>
      <c r="QTL12" s="119"/>
      <c r="QTM12" s="119"/>
      <c r="QTN12" s="119"/>
      <c r="QTO12" s="120"/>
      <c r="QTP12" s="120"/>
      <c r="QTQ12" s="120"/>
      <c r="QTR12" s="59"/>
      <c r="QTS12" s="119"/>
      <c r="QTT12" s="119"/>
      <c r="QTU12" s="119"/>
      <c r="QTV12" s="119"/>
      <c r="QTW12" s="119"/>
      <c r="QTX12" s="119"/>
      <c r="QTY12" s="119"/>
      <c r="QTZ12" s="119"/>
      <c r="QUA12" s="119"/>
      <c r="QUB12" s="119"/>
      <c r="QUC12" s="119"/>
      <c r="QUD12" s="119"/>
      <c r="QUE12" s="120"/>
      <c r="QUF12" s="120"/>
      <c r="QUG12" s="120"/>
      <c r="QUH12" s="59"/>
      <c r="QUI12" s="119"/>
      <c r="QUJ12" s="119"/>
      <c r="QUK12" s="119"/>
      <c r="QUL12" s="119"/>
      <c r="QUM12" s="119"/>
      <c r="QUN12" s="119"/>
      <c r="QUO12" s="119"/>
      <c r="QUP12" s="119"/>
      <c r="QUQ12" s="119"/>
      <c r="QUR12" s="119"/>
      <c r="QUS12" s="119"/>
      <c r="QUT12" s="119"/>
      <c r="QUU12" s="120"/>
      <c r="QUV12" s="120"/>
      <c r="QUW12" s="120"/>
      <c r="QUX12" s="59"/>
      <c r="QUY12" s="119"/>
      <c r="QUZ12" s="119"/>
      <c r="QVA12" s="119"/>
      <c r="QVB12" s="119"/>
      <c r="QVC12" s="119"/>
      <c r="QVD12" s="119"/>
      <c r="QVE12" s="119"/>
      <c r="QVF12" s="119"/>
      <c r="QVG12" s="119"/>
      <c r="QVH12" s="119"/>
      <c r="QVI12" s="119"/>
      <c r="QVJ12" s="119"/>
      <c r="QVK12" s="120"/>
      <c r="QVL12" s="120"/>
      <c r="QVM12" s="120"/>
      <c r="QVN12" s="59"/>
      <c r="QVO12" s="119"/>
      <c r="QVP12" s="119"/>
      <c r="QVQ12" s="119"/>
      <c r="QVR12" s="119"/>
      <c r="QVS12" s="119"/>
      <c r="QVT12" s="119"/>
      <c r="QVU12" s="119"/>
      <c r="QVV12" s="119"/>
      <c r="QVW12" s="119"/>
      <c r="QVX12" s="119"/>
      <c r="QVY12" s="119"/>
      <c r="QVZ12" s="119"/>
      <c r="QWA12" s="120"/>
      <c r="QWB12" s="120"/>
      <c r="QWC12" s="120"/>
      <c r="QWD12" s="59"/>
      <c r="QWE12" s="119"/>
      <c r="QWF12" s="119"/>
      <c r="QWG12" s="119"/>
      <c r="QWH12" s="119"/>
      <c r="QWI12" s="119"/>
      <c r="QWJ12" s="119"/>
      <c r="QWK12" s="119"/>
      <c r="QWL12" s="119"/>
      <c r="QWM12" s="119"/>
      <c r="QWN12" s="119"/>
      <c r="QWO12" s="119"/>
      <c r="QWP12" s="119"/>
      <c r="QWQ12" s="120"/>
      <c r="QWR12" s="120"/>
      <c r="QWS12" s="120"/>
      <c r="QWT12" s="59"/>
      <c r="QWU12" s="119"/>
      <c r="QWV12" s="119"/>
      <c r="QWW12" s="119"/>
      <c r="QWX12" s="119"/>
      <c r="QWY12" s="119"/>
      <c r="QWZ12" s="119"/>
      <c r="QXA12" s="119"/>
      <c r="QXB12" s="119"/>
      <c r="QXC12" s="119"/>
      <c r="QXD12" s="119"/>
      <c r="QXE12" s="119"/>
      <c r="QXF12" s="119"/>
      <c r="QXG12" s="120"/>
      <c r="QXH12" s="120"/>
      <c r="QXI12" s="120"/>
      <c r="QXJ12" s="59"/>
      <c r="QXK12" s="119"/>
      <c r="QXL12" s="119"/>
      <c r="QXM12" s="119"/>
      <c r="QXN12" s="119"/>
      <c r="QXO12" s="119"/>
      <c r="QXP12" s="119"/>
      <c r="QXQ12" s="119"/>
      <c r="QXR12" s="119"/>
      <c r="QXS12" s="119"/>
      <c r="QXT12" s="119"/>
      <c r="QXU12" s="119"/>
      <c r="QXV12" s="119"/>
      <c r="QXW12" s="120"/>
      <c r="QXX12" s="120"/>
      <c r="QXY12" s="120"/>
      <c r="QXZ12" s="59"/>
      <c r="QYA12" s="119"/>
      <c r="QYB12" s="119"/>
      <c r="QYC12" s="119"/>
      <c r="QYD12" s="119"/>
      <c r="QYE12" s="119"/>
      <c r="QYF12" s="119"/>
      <c r="QYG12" s="119"/>
      <c r="QYH12" s="119"/>
      <c r="QYI12" s="119"/>
      <c r="QYJ12" s="119"/>
      <c r="QYK12" s="119"/>
      <c r="QYL12" s="119"/>
      <c r="QYM12" s="120"/>
      <c r="QYN12" s="120"/>
      <c r="QYO12" s="120"/>
      <c r="QYP12" s="59"/>
      <c r="QYQ12" s="119"/>
      <c r="QYR12" s="119"/>
      <c r="QYS12" s="119"/>
      <c r="QYT12" s="119"/>
      <c r="QYU12" s="119"/>
      <c r="QYV12" s="119"/>
      <c r="QYW12" s="119"/>
      <c r="QYX12" s="119"/>
      <c r="QYY12" s="119"/>
      <c r="QYZ12" s="119"/>
      <c r="QZA12" s="119"/>
      <c r="QZB12" s="119"/>
      <c r="QZC12" s="120"/>
      <c r="QZD12" s="120"/>
      <c r="QZE12" s="120"/>
      <c r="QZF12" s="59"/>
      <c r="QZG12" s="119"/>
      <c r="QZH12" s="119"/>
      <c r="QZI12" s="119"/>
      <c r="QZJ12" s="119"/>
      <c r="QZK12" s="119"/>
      <c r="QZL12" s="119"/>
      <c r="QZM12" s="119"/>
      <c r="QZN12" s="119"/>
      <c r="QZO12" s="119"/>
      <c r="QZP12" s="119"/>
      <c r="QZQ12" s="119"/>
      <c r="QZR12" s="119"/>
      <c r="QZS12" s="120"/>
      <c r="QZT12" s="120"/>
      <c r="QZU12" s="120"/>
      <c r="QZV12" s="59"/>
      <c r="QZW12" s="119"/>
      <c r="QZX12" s="119"/>
      <c r="QZY12" s="119"/>
      <c r="QZZ12" s="119"/>
      <c r="RAA12" s="119"/>
      <c r="RAB12" s="119"/>
      <c r="RAC12" s="119"/>
      <c r="RAD12" s="119"/>
      <c r="RAE12" s="119"/>
      <c r="RAF12" s="119"/>
      <c r="RAG12" s="119"/>
      <c r="RAH12" s="119"/>
      <c r="RAI12" s="120"/>
      <c r="RAJ12" s="120"/>
      <c r="RAK12" s="120"/>
      <c r="RAL12" s="59"/>
      <c r="RAM12" s="119"/>
      <c r="RAN12" s="119"/>
      <c r="RAO12" s="119"/>
      <c r="RAP12" s="119"/>
      <c r="RAQ12" s="119"/>
      <c r="RAR12" s="119"/>
      <c r="RAS12" s="119"/>
      <c r="RAT12" s="119"/>
      <c r="RAU12" s="119"/>
      <c r="RAV12" s="119"/>
      <c r="RAW12" s="119"/>
      <c r="RAX12" s="119"/>
      <c r="RAY12" s="120"/>
      <c r="RAZ12" s="120"/>
      <c r="RBA12" s="120"/>
      <c r="RBB12" s="59"/>
      <c r="RBC12" s="119"/>
      <c r="RBD12" s="119"/>
      <c r="RBE12" s="119"/>
      <c r="RBF12" s="119"/>
      <c r="RBG12" s="119"/>
      <c r="RBH12" s="119"/>
      <c r="RBI12" s="119"/>
      <c r="RBJ12" s="119"/>
      <c r="RBK12" s="119"/>
      <c r="RBL12" s="119"/>
      <c r="RBM12" s="119"/>
      <c r="RBN12" s="119"/>
      <c r="RBO12" s="120"/>
      <c r="RBP12" s="120"/>
      <c r="RBQ12" s="120"/>
      <c r="RBR12" s="59"/>
      <c r="RBS12" s="119"/>
      <c r="RBT12" s="119"/>
      <c r="RBU12" s="119"/>
      <c r="RBV12" s="119"/>
      <c r="RBW12" s="119"/>
      <c r="RBX12" s="119"/>
      <c r="RBY12" s="119"/>
      <c r="RBZ12" s="119"/>
      <c r="RCA12" s="119"/>
      <c r="RCB12" s="119"/>
      <c r="RCC12" s="119"/>
      <c r="RCD12" s="119"/>
      <c r="RCE12" s="120"/>
      <c r="RCF12" s="120"/>
      <c r="RCG12" s="120"/>
      <c r="RCH12" s="59"/>
      <c r="RCI12" s="119"/>
      <c r="RCJ12" s="119"/>
      <c r="RCK12" s="119"/>
      <c r="RCL12" s="119"/>
      <c r="RCM12" s="119"/>
      <c r="RCN12" s="119"/>
      <c r="RCO12" s="119"/>
      <c r="RCP12" s="119"/>
      <c r="RCQ12" s="119"/>
      <c r="RCR12" s="119"/>
      <c r="RCS12" s="119"/>
      <c r="RCT12" s="119"/>
      <c r="RCU12" s="120"/>
      <c r="RCV12" s="120"/>
      <c r="RCW12" s="120"/>
      <c r="RCX12" s="59"/>
      <c r="RCY12" s="119"/>
      <c r="RCZ12" s="119"/>
      <c r="RDA12" s="119"/>
      <c r="RDB12" s="119"/>
      <c r="RDC12" s="119"/>
      <c r="RDD12" s="119"/>
      <c r="RDE12" s="119"/>
      <c r="RDF12" s="119"/>
      <c r="RDG12" s="119"/>
      <c r="RDH12" s="119"/>
      <c r="RDI12" s="119"/>
      <c r="RDJ12" s="119"/>
      <c r="RDK12" s="120"/>
      <c r="RDL12" s="120"/>
      <c r="RDM12" s="120"/>
      <c r="RDN12" s="59"/>
      <c r="RDO12" s="119"/>
      <c r="RDP12" s="119"/>
      <c r="RDQ12" s="119"/>
      <c r="RDR12" s="119"/>
      <c r="RDS12" s="119"/>
      <c r="RDT12" s="119"/>
      <c r="RDU12" s="119"/>
      <c r="RDV12" s="119"/>
      <c r="RDW12" s="119"/>
      <c r="RDX12" s="119"/>
      <c r="RDY12" s="119"/>
      <c r="RDZ12" s="119"/>
      <c r="REA12" s="120"/>
      <c r="REB12" s="120"/>
      <c r="REC12" s="120"/>
      <c r="RED12" s="59"/>
      <c r="REE12" s="119"/>
      <c r="REF12" s="119"/>
      <c r="REG12" s="119"/>
      <c r="REH12" s="119"/>
      <c r="REI12" s="119"/>
      <c r="REJ12" s="119"/>
      <c r="REK12" s="119"/>
      <c r="REL12" s="119"/>
      <c r="REM12" s="119"/>
      <c r="REN12" s="119"/>
      <c r="REO12" s="119"/>
      <c r="REP12" s="119"/>
      <c r="REQ12" s="120"/>
      <c r="RER12" s="120"/>
      <c r="RES12" s="120"/>
      <c r="RET12" s="59"/>
      <c r="REU12" s="119"/>
      <c r="REV12" s="119"/>
      <c r="REW12" s="119"/>
      <c r="REX12" s="119"/>
      <c r="REY12" s="119"/>
      <c r="REZ12" s="119"/>
      <c r="RFA12" s="119"/>
      <c r="RFB12" s="119"/>
      <c r="RFC12" s="119"/>
      <c r="RFD12" s="119"/>
      <c r="RFE12" s="119"/>
      <c r="RFF12" s="119"/>
      <c r="RFG12" s="120"/>
      <c r="RFH12" s="120"/>
      <c r="RFI12" s="120"/>
      <c r="RFJ12" s="59"/>
      <c r="RFK12" s="119"/>
      <c r="RFL12" s="119"/>
      <c r="RFM12" s="119"/>
      <c r="RFN12" s="119"/>
      <c r="RFO12" s="119"/>
      <c r="RFP12" s="119"/>
      <c r="RFQ12" s="119"/>
      <c r="RFR12" s="119"/>
      <c r="RFS12" s="119"/>
      <c r="RFT12" s="119"/>
      <c r="RFU12" s="119"/>
      <c r="RFV12" s="119"/>
      <c r="RFW12" s="120"/>
      <c r="RFX12" s="120"/>
      <c r="RFY12" s="120"/>
      <c r="RFZ12" s="59"/>
      <c r="RGA12" s="119"/>
      <c r="RGB12" s="119"/>
      <c r="RGC12" s="119"/>
      <c r="RGD12" s="119"/>
      <c r="RGE12" s="119"/>
      <c r="RGF12" s="119"/>
      <c r="RGG12" s="119"/>
      <c r="RGH12" s="119"/>
      <c r="RGI12" s="119"/>
      <c r="RGJ12" s="119"/>
      <c r="RGK12" s="119"/>
      <c r="RGL12" s="119"/>
      <c r="RGM12" s="120"/>
      <c r="RGN12" s="120"/>
      <c r="RGO12" s="120"/>
      <c r="RGP12" s="59"/>
      <c r="RGQ12" s="119"/>
      <c r="RGR12" s="119"/>
      <c r="RGS12" s="119"/>
      <c r="RGT12" s="119"/>
      <c r="RGU12" s="119"/>
      <c r="RGV12" s="119"/>
      <c r="RGW12" s="119"/>
      <c r="RGX12" s="119"/>
      <c r="RGY12" s="119"/>
      <c r="RGZ12" s="119"/>
      <c r="RHA12" s="119"/>
      <c r="RHB12" s="119"/>
      <c r="RHC12" s="120"/>
      <c r="RHD12" s="120"/>
      <c r="RHE12" s="120"/>
      <c r="RHF12" s="59"/>
      <c r="RHG12" s="119"/>
      <c r="RHH12" s="119"/>
      <c r="RHI12" s="119"/>
      <c r="RHJ12" s="119"/>
      <c r="RHK12" s="119"/>
      <c r="RHL12" s="119"/>
      <c r="RHM12" s="119"/>
      <c r="RHN12" s="119"/>
      <c r="RHO12" s="119"/>
      <c r="RHP12" s="119"/>
      <c r="RHQ12" s="119"/>
      <c r="RHR12" s="119"/>
      <c r="RHS12" s="120"/>
      <c r="RHT12" s="120"/>
      <c r="RHU12" s="120"/>
      <c r="RHV12" s="59"/>
      <c r="RHW12" s="119"/>
      <c r="RHX12" s="119"/>
      <c r="RHY12" s="119"/>
      <c r="RHZ12" s="119"/>
      <c r="RIA12" s="119"/>
      <c r="RIB12" s="119"/>
      <c r="RIC12" s="119"/>
      <c r="RID12" s="119"/>
      <c r="RIE12" s="119"/>
      <c r="RIF12" s="119"/>
      <c r="RIG12" s="119"/>
      <c r="RIH12" s="119"/>
      <c r="RII12" s="120"/>
      <c r="RIJ12" s="120"/>
      <c r="RIK12" s="120"/>
      <c r="RIL12" s="59"/>
      <c r="RIM12" s="119"/>
      <c r="RIN12" s="119"/>
      <c r="RIO12" s="119"/>
      <c r="RIP12" s="119"/>
      <c r="RIQ12" s="119"/>
      <c r="RIR12" s="119"/>
      <c r="RIS12" s="119"/>
      <c r="RIT12" s="119"/>
      <c r="RIU12" s="119"/>
      <c r="RIV12" s="119"/>
      <c r="RIW12" s="119"/>
      <c r="RIX12" s="119"/>
      <c r="RIY12" s="120"/>
      <c r="RIZ12" s="120"/>
      <c r="RJA12" s="120"/>
      <c r="RJB12" s="59"/>
      <c r="RJC12" s="119"/>
      <c r="RJD12" s="119"/>
      <c r="RJE12" s="119"/>
      <c r="RJF12" s="119"/>
      <c r="RJG12" s="119"/>
      <c r="RJH12" s="119"/>
      <c r="RJI12" s="119"/>
      <c r="RJJ12" s="119"/>
      <c r="RJK12" s="119"/>
      <c r="RJL12" s="119"/>
      <c r="RJM12" s="119"/>
      <c r="RJN12" s="119"/>
      <c r="RJO12" s="120"/>
      <c r="RJP12" s="120"/>
      <c r="RJQ12" s="120"/>
      <c r="RJR12" s="59"/>
      <c r="RJS12" s="119"/>
      <c r="RJT12" s="119"/>
      <c r="RJU12" s="119"/>
      <c r="RJV12" s="119"/>
      <c r="RJW12" s="119"/>
      <c r="RJX12" s="119"/>
      <c r="RJY12" s="119"/>
      <c r="RJZ12" s="119"/>
      <c r="RKA12" s="119"/>
      <c r="RKB12" s="119"/>
      <c r="RKC12" s="119"/>
      <c r="RKD12" s="119"/>
      <c r="RKE12" s="120"/>
      <c r="RKF12" s="120"/>
      <c r="RKG12" s="120"/>
      <c r="RKH12" s="59"/>
      <c r="RKI12" s="119"/>
      <c r="RKJ12" s="119"/>
      <c r="RKK12" s="119"/>
      <c r="RKL12" s="119"/>
      <c r="RKM12" s="119"/>
      <c r="RKN12" s="119"/>
      <c r="RKO12" s="119"/>
      <c r="RKP12" s="119"/>
      <c r="RKQ12" s="119"/>
      <c r="RKR12" s="119"/>
      <c r="RKS12" s="119"/>
      <c r="RKT12" s="119"/>
      <c r="RKU12" s="120"/>
      <c r="RKV12" s="120"/>
      <c r="RKW12" s="120"/>
      <c r="RKX12" s="59"/>
      <c r="RKY12" s="119"/>
      <c r="RKZ12" s="119"/>
      <c r="RLA12" s="119"/>
      <c r="RLB12" s="119"/>
      <c r="RLC12" s="119"/>
      <c r="RLD12" s="119"/>
      <c r="RLE12" s="119"/>
      <c r="RLF12" s="119"/>
      <c r="RLG12" s="119"/>
      <c r="RLH12" s="119"/>
      <c r="RLI12" s="119"/>
      <c r="RLJ12" s="119"/>
      <c r="RLK12" s="120"/>
      <c r="RLL12" s="120"/>
      <c r="RLM12" s="120"/>
      <c r="RLN12" s="59"/>
      <c r="RLO12" s="119"/>
      <c r="RLP12" s="119"/>
      <c r="RLQ12" s="119"/>
      <c r="RLR12" s="119"/>
      <c r="RLS12" s="119"/>
      <c r="RLT12" s="119"/>
      <c r="RLU12" s="119"/>
      <c r="RLV12" s="119"/>
      <c r="RLW12" s="119"/>
      <c r="RLX12" s="119"/>
      <c r="RLY12" s="119"/>
      <c r="RLZ12" s="119"/>
      <c r="RMA12" s="120"/>
      <c r="RMB12" s="120"/>
      <c r="RMC12" s="120"/>
      <c r="RMD12" s="59"/>
      <c r="RME12" s="119"/>
      <c r="RMF12" s="119"/>
      <c r="RMG12" s="119"/>
      <c r="RMH12" s="119"/>
      <c r="RMI12" s="119"/>
      <c r="RMJ12" s="119"/>
      <c r="RMK12" s="119"/>
      <c r="RML12" s="119"/>
      <c r="RMM12" s="119"/>
      <c r="RMN12" s="119"/>
      <c r="RMO12" s="119"/>
      <c r="RMP12" s="119"/>
      <c r="RMQ12" s="120"/>
      <c r="RMR12" s="120"/>
      <c r="RMS12" s="120"/>
      <c r="RMT12" s="59"/>
      <c r="RMU12" s="119"/>
      <c r="RMV12" s="119"/>
      <c r="RMW12" s="119"/>
      <c r="RMX12" s="119"/>
      <c r="RMY12" s="119"/>
      <c r="RMZ12" s="119"/>
      <c r="RNA12" s="119"/>
      <c r="RNB12" s="119"/>
      <c r="RNC12" s="119"/>
      <c r="RND12" s="119"/>
      <c r="RNE12" s="119"/>
      <c r="RNF12" s="119"/>
      <c r="RNG12" s="120"/>
      <c r="RNH12" s="120"/>
      <c r="RNI12" s="120"/>
      <c r="RNJ12" s="59"/>
      <c r="RNK12" s="119"/>
      <c r="RNL12" s="119"/>
      <c r="RNM12" s="119"/>
      <c r="RNN12" s="119"/>
      <c r="RNO12" s="119"/>
      <c r="RNP12" s="119"/>
      <c r="RNQ12" s="119"/>
      <c r="RNR12" s="119"/>
      <c r="RNS12" s="119"/>
      <c r="RNT12" s="119"/>
      <c r="RNU12" s="119"/>
      <c r="RNV12" s="119"/>
      <c r="RNW12" s="120"/>
      <c r="RNX12" s="120"/>
      <c r="RNY12" s="120"/>
      <c r="RNZ12" s="59"/>
      <c r="ROA12" s="119"/>
      <c r="ROB12" s="119"/>
      <c r="ROC12" s="119"/>
      <c r="ROD12" s="119"/>
      <c r="ROE12" s="119"/>
      <c r="ROF12" s="119"/>
      <c r="ROG12" s="119"/>
      <c r="ROH12" s="119"/>
      <c r="ROI12" s="119"/>
      <c r="ROJ12" s="119"/>
      <c r="ROK12" s="119"/>
      <c r="ROL12" s="119"/>
      <c r="ROM12" s="120"/>
      <c r="RON12" s="120"/>
      <c r="ROO12" s="120"/>
      <c r="ROP12" s="59"/>
      <c r="ROQ12" s="119"/>
      <c r="ROR12" s="119"/>
      <c r="ROS12" s="119"/>
      <c r="ROT12" s="119"/>
      <c r="ROU12" s="119"/>
      <c r="ROV12" s="119"/>
      <c r="ROW12" s="119"/>
      <c r="ROX12" s="119"/>
      <c r="ROY12" s="119"/>
      <c r="ROZ12" s="119"/>
      <c r="RPA12" s="119"/>
      <c r="RPB12" s="119"/>
      <c r="RPC12" s="120"/>
      <c r="RPD12" s="120"/>
      <c r="RPE12" s="120"/>
      <c r="RPF12" s="59"/>
      <c r="RPG12" s="119"/>
      <c r="RPH12" s="119"/>
      <c r="RPI12" s="119"/>
      <c r="RPJ12" s="119"/>
      <c r="RPK12" s="119"/>
      <c r="RPL12" s="119"/>
      <c r="RPM12" s="119"/>
      <c r="RPN12" s="119"/>
      <c r="RPO12" s="119"/>
      <c r="RPP12" s="119"/>
      <c r="RPQ12" s="119"/>
      <c r="RPR12" s="119"/>
      <c r="RPS12" s="120"/>
      <c r="RPT12" s="120"/>
      <c r="RPU12" s="120"/>
      <c r="RPV12" s="59"/>
      <c r="RPW12" s="119"/>
      <c r="RPX12" s="119"/>
      <c r="RPY12" s="119"/>
      <c r="RPZ12" s="119"/>
      <c r="RQA12" s="119"/>
      <c r="RQB12" s="119"/>
      <c r="RQC12" s="119"/>
      <c r="RQD12" s="119"/>
      <c r="RQE12" s="119"/>
      <c r="RQF12" s="119"/>
      <c r="RQG12" s="119"/>
      <c r="RQH12" s="119"/>
      <c r="RQI12" s="120"/>
      <c r="RQJ12" s="120"/>
      <c r="RQK12" s="120"/>
      <c r="RQL12" s="59"/>
      <c r="RQM12" s="119"/>
      <c r="RQN12" s="119"/>
      <c r="RQO12" s="119"/>
      <c r="RQP12" s="119"/>
      <c r="RQQ12" s="119"/>
      <c r="RQR12" s="119"/>
      <c r="RQS12" s="119"/>
      <c r="RQT12" s="119"/>
      <c r="RQU12" s="119"/>
      <c r="RQV12" s="119"/>
      <c r="RQW12" s="119"/>
      <c r="RQX12" s="119"/>
      <c r="RQY12" s="120"/>
      <c r="RQZ12" s="120"/>
      <c r="RRA12" s="120"/>
      <c r="RRB12" s="59"/>
      <c r="RRC12" s="119"/>
      <c r="RRD12" s="119"/>
      <c r="RRE12" s="119"/>
      <c r="RRF12" s="119"/>
      <c r="RRG12" s="119"/>
      <c r="RRH12" s="119"/>
      <c r="RRI12" s="119"/>
      <c r="RRJ12" s="119"/>
      <c r="RRK12" s="119"/>
      <c r="RRL12" s="119"/>
      <c r="RRM12" s="119"/>
      <c r="RRN12" s="119"/>
      <c r="RRO12" s="120"/>
      <c r="RRP12" s="120"/>
      <c r="RRQ12" s="120"/>
      <c r="RRR12" s="59"/>
      <c r="RRS12" s="119"/>
      <c r="RRT12" s="119"/>
      <c r="RRU12" s="119"/>
      <c r="RRV12" s="119"/>
      <c r="RRW12" s="119"/>
      <c r="RRX12" s="119"/>
      <c r="RRY12" s="119"/>
      <c r="RRZ12" s="119"/>
      <c r="RSA12" s="119"/>
      <c r="RSB12" s="119"/>
      <c r="RSC12" s="119"/>
      <c r="RSD12" s="119"/>
      <c r="RSE12" s="120"/>
      <c r="RSF12" s="120"/>
      <c r="RSG12" s="120"/>
      <c r="RSH12" s="59"/>
      <c r="RSI12" s="119"/>
      <c r="RSJ12" s="119"/>
      <c r="RSK12" s="119"/>
      <c r="RSL12" s="119"/>
      <c r="RSM12" s="119"/>
      <c r="RSN12" s="119"/>
      <c r="RSO12" s="119"/>
      <c r="RSP12" s="119"/>
      <c r="RSQ12" s="119"/>
      <c r="RSR12" s="119"/>
      <c r="RSS12" s="119"/>
      <c r="RST12" s="119"/>
      <c r="RSU12" s="120"/>
      <c r="RSV12" s="120"/>
      <c r="RSW12" s="120"/>
      <c r="RSX12" s="59"/>
      <c r="RSY12" s="119"/>
      <c r="RSZ12" s="119"/>
      <c r="RTA12" s="119"/>
      <c r="RTB12" s="119"/>
      <c r="RTC12" s="119"/>
      <c r="RTD12" s="119"/>
      <c r="RTE12" s="119"/>
      <c r="RTF12" s="119"/>
      <c r="RTG12" s="119"/>
      <c r="RTH12" s="119"/>
      <c r="RTI12" s="119"/>
      <c r="RTJ12" s="119"/>
      <c r="RTK12" s="120"/>
      <c r="RTL12" s="120"/>
      <c r="RTM12" s="120"/>
      <c r="RTN12" s="59"/>
      <c r="RTO12" s="119"/>
      <c r="RTP12" s="119"/>
      <c r="RTQ12" s="119"/>
      <c r="RTR12" s="119"/>
      <c r="RTS12" s="119"/>
      <c r="RTT12" s="119"/>
      <c r="RTU12" s="119"/>
      <c r="RTV12" s="119"/>
      <c r="RTW12" s="119"/>
      <c r="RTX12" s="119"/>
      <c r="RTY12" s="119"/>
      <c r="RTZ12" s="119"/>
      <c r="RUA12" s="120"/>
      <c r="RUB12" s="120"/>
      <c r="RUC12" s="120"/>
      <c r="RUD12" s="59"/>
      <c r="RUE12" s="119"/>
      <c r="RUF12" s="119"/>
      <c r="RUG12" s="119"/>
      <c r="RUH12" s="119"/>
      <c r="RUI12" s="119"/>
      <c r="RUJ12" s="119"/>
      <c r="RUK12" s="119"/>
      <c r="RUL12" s="119"/>
      <c r="RUM12" s="119"/>
      <c r="RUN12" s="119"/>
      <c r="RUO12" s="119"/>
      <c r="RUP12" s="119"/>
      <c r="RUQ12" s="120"/>
      <c r="RUR12" s="120"/>
      <c r="RUS12" s="120"/>
      <c r="RUT12" s="59"/>
      <c r="RUU12" s="119"/>
      <c r="RUV12" s="119"/>
      <c r="RUW12" s="119"/>
      <c r="RUX12" s="119"/>
      <c r="RUY12" s="119"/>
      <c r="RUZ12" s="119"/>
      <c r="RVA12" s="119"/>
      <c r="RVB12" s="119"/>
      <c r="RVC12" s="119"/>
      <c r="RVD12" s="119"/>
      <c r="RVE12" s="119"/>
      <c r="RVF12" s="119"/>
      <c r="RVG12" s="120"/>
      <c r="RVH12" s="120"/>
      <c r="RVI12" s="120"/>
      <c r="RVJ12" s="59"/>
      <c r="RVK12" s="119"/>
      <c r="RVL12" s="119"/>
      <c r="RVM12" s="119"/>
      <c r="RVN12" s="119"/>
      <c r="RVO12" s="119"/>
      <c r="RVP12" s="119"/>
      <c r="RVQ12" s="119"/>
      <c r="RVR12" s="119"/>
      <c r="RVS12" s="119"/>
      <c r="RVT12" s="119"/>
      <c r="RVU12" s="119"/>
      <c r="RVV12" s="119"/>
      <c r="RVW12" s="120"/>
      <c r="RVX12" s="120"/>
      <c r="RVY12" s="120"/>
      <c r="RVZ12" s="59"/>
      <c r="RWA12" s="119"/>
      <c r="RWB12" s="119"/>
      <c r="RWC12" s="119"/>
      <c r="RWD12" s="119"/>
      <c r="RWE12" s="119"/>
      <c r="RWF12" s="119"/>
      <c r="RWG12" s="119"/>
      <c r="RWH12" s="119"/>
      <c r="RWI12" s="119"/>
      <c r="RWJ12" s="119"/>
      <c r="RWK12" s="119"/>
      <c r="RWL12" s="119"/>
      <c r="RWM12" s="120"/>
      <c r="RWN12" s="120"/>
      <c r="RWO12" s="120"/>
      <c r="RWP12" s="59"/>
      <c r="RWQ12" s="119"/>
      <c r="RWR12" s="119"/>
      <c r="RWS12" s="119"/>
      <c r="RWT12" s="119"/>
      <c r="RWU12" s="119"/>
      <c r="RWV12" s="119"/>
      <c r="RWW12" s="119"/>
      <c r="RWX12" s="119"/>
      <c r="RWY12" s="119"/>
      <c r="RWZ12" s="119"/>
      <c r="RXA12" s="119"/>
      <c r="RXB12" s="119"/>
      <c r="RXC12" s="120"/>
      <c r="RXD12" s="120"/>
      <c r="RXE12" s="120"/>
      <c r="RXF12" s="59"/>
      <c r="RXG12" s="119"/>
      <c r="RXH12" s="119"/>
      <c r="RXI12" s="119"/>
      <c r="RXJ12" s="119"/>
      <c r="RXK12" s="119"/>
      <c r="RXL12" s="119"/>
      <c r="RXM12" s="119"/>
      <c r="RXN12" s="119"/>
      <c r="RXO12" s="119"/>
      <c r="RXP12" s="119"/>
      <c r="RXQ12" s="119"/>
      <c r="RXR12" s="119"/>
      <c r="RXS12" s="120"/>
      <c r="RXT12" s="120"/>
      <c r="RXU12" s="120"/>
      <c r="RXV12" s="59"/>
      <c r="RXW12" s="119"/>
      <c r="RXX12" s="119"/>
      <c r="RXY12" s="119"/>
      <c r="RXZ12" s="119"/>
      <c r="RYA12" s="119"/>
      <c r="RYB12" s="119"/>
      <c r="RYC12" s="119"/>
      <c r="RYD12" s="119"/>
      <c r="RYE12" s="119"/>
      <c r="RYF12" s="119"/>
      <c r="RYG12" s="119"/>
      <c r="RYH12" s="119"/>
      <c r="RYI12" s="120"/>
      <c r="RYJ12" s="120"/>
      <c r="RYK12" s="120"/>
      <c r="RYL12" s="59"/>
      <c r="RYM12" s="119"/>
      <c r="RYN12" s="119"/>
      <c r="RYO12" s="119"/>
      <c r="RYP12" s="119"/>
      <c r="RYQ12" s="119"/>
      <c r="RYR12" s="119"/>
      <c r="RYS12" s="119"/>
      <c r="RYT12" s="119"/>
      <c r="RYU12" s="119"/>
      <c r="RYV12" s="119"/>
      <c r="RYW12" s="119"/>
      <c r="RYX12" s="119"/>
      <c r="RYY12" s="120"/>
      <c r="RYZ12" s="120"/>
      <c r="RZA12" s="120"/>
      <c r="RZB12" s="59"/>
      <c r="RZC12" s="119"/>
      <c r="RZD12" s="119"/>
      <c r="RZE12" s="119"/>
      <c r="RZF12" s="119"/>
      <c r="RZG12" s="119"/>
      <c r="RZH12" s="119"/>
      <c r="RZI12" s="119"/>
      <c r="RZJ12" s="119"/>
      <c r="RZK12" s="119"/>
      <c r="RZL12" s="119"/>
      <c r="RZM12" s="119"/>
      <c r="RZN12" s="119"/>
      <c r="RZO12" s="120"/>
      <c r="RZP12" s="120"/>
      <c r="RZQ12" s="120"/>
      <c r="RZR12" s="59"/>
      <c r="RZS12" s="119"/>
      <c r="RZT12" s="119"/>
      <c r="RZU12" s="119"/>
      <c r="RZV12" s="119"/>
      <c r="RZW12" s="119"/>
      <c r="RZX12" s="119"/>
      <c r="RZY12" s="119"/>
      <c r="RZZ12" s="119"/>
      <c r="SAA12" s="119"/>
      <c r="SAB12" s="119"/>
      <c r="SAC12" s="119"/>
      <c r="SAD12" s="119"/>
      <c r="SAE12" s="120"/>
      <c r="SAF12" s="120"/>
      <c r="SAG12" s="120"/>
      <c r="SAH12" s="59"/>
      <c r="SAI12" s="119"/>
      <c r="SAJ12" s="119"/>
      <c r="SAK12" s="119"/>
      <c r="SAL12" s="119"/>
      <c r="SAM12" s="119"/>
      <c r="SAN12" s="119"/>
      <c r="SAO12" s="119"/>
      <c r="SAP12" s="119"/>
      <c r="SAQ12" s="119"/>
      <c r="SAR12" s="119"/>
      <c r="SAS12" s="119"/>
      <c r="SAT12" s="119"/>
      <c r="SAU12" s="120"/>
      <c r="SAV12" s="120"/>
      <c r="SAW12" s="120"/>
      <c r="SAX12" s="59"/>
      <c r="SAY12" s="119"/>
      <c r="SAZ12" s="119"/>
      <c r="SBA12" s="119"/>
      <c r="SBB12" s="119"/>
      <c r="SBC12" s="119"/>
      <c r="SBD12" s="119"/>
      <c r="SBE12" s="119"/>
      <c r="SBF12" s="119"/>
      <c r="SBG12" s="119"/>
      <c r="SBH12" s="119"/>
      <c r="SBI12" s="119"/>
      <c r="SBJ12" s="119"/>
      <c r="SBK12" s="120"/>
      <c r="SBL12" s="120"/>
      <c r="SBM12" s="120"/>
      <c r="SBN12" s="59"/>
      <c r="SBO12" s="119"/>
      <c r="SBP12" s="119"/>
      <c r="SBQ12" s="119"/>
      <c r="SBR12" s="119"/>
      <c r="SBS12" s="119"/>
      <c r="SBT12" s="119"/>
      <c r="SBU12" s="119"/>
      <c r="SBV12" s="119"/>
      <c r="SBW12" s="119"/>
      <c r="SBX12" s="119"/>
      <c r="SBY12" s="119"/>
      <c r="SBZ12" s="119"/>
      <c r="SCA12" s="120"/>
      <c r="SCB12" s="120"/>
      <c r="SCC12" s="120"/>
      <c r="SCD12" s="59"/>
      <c r="SCE12" s="119"/>
      <c r="SCF12" s="119"/>
      <c r="SCG12" s="119"/>
      <c r="SCH12" s="119"/>
      <c r="SCI12" s="119"/>
      <c r="SCJ12" s="119"/>
      <c r="SCK12" s="119"/>
      <c r="SCL12" s="119"/>
      <c r="SCM12" s="119"/>
      <c r="SCN12" s="119"/>
      <c r="SCO12" s="119"/>
      <c r="SCP12" s="119"/>
      <c r="SCQ12" s="120"/>
      <c r="SCR12" s="120"/>
      <c r="SCS12" s="120"/>
      <c r="SCT12" s="59"/>
      <c r="SCU12" s="119"/>
      <c r="SCV12" s="119"/>
      <c r="SCW12" s="119"/>
      <c r="SCX12" s="119"/>
      <c r="SCY12" s="119"/>
      <c r="SCZ12" s="119"/>
      <c r="SDA12" s="119"/>
      <c r="SDB12" s="119"/>
      <c r="SDC12" s="119"/>
      <c r="SDD12" s="119"/>
      <c r="SDE12" s="119"/>
      <c r="SDF12" s="119"/>
      <c r="SDG12" s="120"/>
      <c r="SDH12" s="120"/>
      <c r="SDI12" s="120"/>
      <c r="SDJ12" s="59"/>
      <c r="SDK12" s="119"/>
      <c r="SDL12" s="119"/>
      <c r="SDM12" s="119"/>
      <c r="SDN12" s="119"/>
      <c r="SDO12" s="119"/>
      <c r="SDP12" s="119"/>
      <c r="SDQ12" s="119"/>
      <c r="SDR12" s="119"/>
      <c r="SDS12" s="119"/>
      <c r="SDT12" s="119"/>
      <c r="SDU12" s="119"/>
      <c r="SDV12" s="119"/>
      <c r="SDW12" s="120"/>
      <c r="SDX12" s="120"/>
      <c r="SDY12" s="120"/>
      <c r="SDZ12" s="59"/>
      <c r="SEA12" s="119"/>
      <c r="SEB12" s="119"/>
      <c r="SEC12" s="119"/>
      <c r="SED12" s="119"/>
      <c r="SEE12" s="119"/>
      <c r="SEF12" s="119"/>
      <c r="SEG12" s="119"/>
      <c r="SEH12" s="119"/>
      <c r="SEI12" s="119"/>
      <c r="SEJ12" s="119"/>
      <c r="SEK12" s="119"/>
      <c r="SEL12" s="119"/>
      <c r="SEM12" s="120"/>
      <c r="SEN12" s="120"/>
      <c r="SEO12" s="120"/>
      <c r="SEP12" s="59"/>
      <c r="SEQ12" s="119"/>
      <c r="SER12" s="119"/>
      <c r="SES12" s="119"/>
      <c r="SET12" s="119"/>
      <c r="SEU12" s="119"/>
      <c r="SEV12" s="119"/>
      <c r="SEW12" s="119"/>
      <c r="SEX12" s="119"/>
      <c r="SEY12" s="119"/>
      <c r="SEZ12" s="119"/>
      <c r="SFA12" s="119"/>
      <c r="SFB12" s="119"/>
      <c r="SFC12" s="120"/>
      <c r="SFD12" s="120"/>
      <c r="SFE12" s="120"/>
      <c r="SFF12" s="59"/>
      <c r="SFG12" s="119"/>
      <c r="SFH12" s="119"/>
      <c r="SFI12" s="119"/>
      <c r="SFJ12" s="119"/>
      <c r="SFK12" s="119"/>
      <c r="SFL12" s="119"/>
      <c r="SFM12" s="119"/>
      <c r="SFN12" s="119"/>
      <c r="SFO12" s="119"/>
      <c r="SFP12" s="119"/>
      <c r="SFQ12" s="119"/>
      <c r="SFR12" s="119"/>
      <c r="SFS12" s="120"/>
      <c r="SFT12" s="120"/>
      <c r="SFU12" s="120"/>
      <c r="SFV12" s="59"/>
      <c r="SFW12" s="119"/>
      <c r="SFX12" s="119"/>
      <c r="SFY12" s="119"/>
      <c r="SFZ12" s="119"/>
      <c r="SGA12" s="119"/>
      <c r="SGB12" s="119"/>
      <c r="SGC12" s="119"/>
      <c r="SGD12" s="119"/>
      <c r="SGE12" s="119"/>
      <c r="SGF12" s="119"/>
      <c r="SGG12" s="119"/>
      <c r="SGH12" s="119"/>
      <c r="SGI12" s="120"/>
      <c r="SGJ12" s="120"/>
      <c r="SGK12" s="120"/>
      <c r="SGL12" s="59"/>
      <c r="SGM12" s="119"/>
      <c r="SGN12" s="119"/>
      <c r="SGO12" s="119"/>
      <c r="SGP12" s="119"/>
      <c r="SGQ12" s="119"/>
      <c r="SGR12" s="119"/>
      <c r="SGS12" s="119"/>
      <c r="SGT12" s="119"/>
      <c r="SGU12" s="119"/>
      <c r="SGV12" s="119"/>
      <c r="SGW12" s="119"/>
      <c r="SGX12" s="119"/>
      <c r="SGY12" s="120"/>
      <c r="SGZ12" s="120"/>
      <c r="SHA12" s="120"/>
      <c r="SHB12" s="59"/>
      <c r="SHC12" s="119"/>
      <c r="SHD12" s="119"/>
      <c r="SHE12" s="119"/>
      <c r="SHF12" s="119"/>
      <c r="SHG12" s="119"/>
      <c r="SHH12" s="119"/>
      <c r="SHI12" s="119"/>
      <c r="SHJ12" s="119"/>
      <c r="SHK12" s="119"/>
      <c r="SHL12" s="119"/>
      <c r="SHM12" s="119"/>
      <c r="SHN12" s="119"/>
      <c r="SHO12" s="120"/>
      <c r="SHP12" s="120"/>
      <c r="SHQ12" s="120"/>
      <c r="SHR12" s="59"/>
      <c r="SHS12" s="119"/>
      <c r="SHT12" s="119"/>
      <c r="SHU12" s="119"/>
      <c r="SHV12" s="119"/>
      <c r="SHW12" s="119"/>
      <c r="SHX12" s="119"/>
      <c r="SHY12" s="119"/>
      <c r="SHZ12" s="119"/>
      <c r="SIA12" s="119"/>
      <c r="SIB12" s="119"/>
      <c r="SIC12" s="119"/>
      <c r="SID12" s="119"/>
      <c r="SIE12" s="120"/>
      <c r="SIF12" s="120"/>
      <c r="SIG12" s="120"/>
      <c r="SIH12" s="59"/>
      <c r="SII12" s="119"/>
      <c r="SIJ12" s="119"/>
      <c r="SIK12" s="119"/>
      <c r="SIL12" s="119"/>
      <c r="SIM12" s="119"/>
      <c r="SIN12" s="119"/>
      <c r="SIO12" s="119"/>
      <c r="SIP12" s="119"/>
      <c r="SIQ12" s="119"/>
      <c r="SIR12" s="119"/>
      <c r="SIS12" s="119"/>
      <c r="SIT12" s="119"/>
      <c r="SIU12" s="120"/>
      <c r="SIV12" s="120"/>
      <c r="SIW12" s="120"/>
      <c r="SIX12" s="59"/>
      <c r="SIY12" s="119"/>
      <c r="SIZ12" s="119"/>
      <c r="SJA12" s="119"/>
      <c r="SJB12" s="119"/>
      <c r="SJC12" s="119"/>
      <c r="SJD12" s="119"/>
      <c r="SJE12" s="119"/>
      <c r="SJF12" s="119"/>
      <c r="SJG12" s="119"/>
      <c r="SJH12" s="119"/>
      <c r="SJI12" s="119"/>
      <c r="SJJ12" s="119"/>
      <c r="SJK12" s="120"/>
      <c r="SJL12" s="120"/>
      <c r="SJM12" s="120"/>
      <c r="SJN12" s="59"/>
      <c r="SJO12" s="119"/>
      <c r="SJP12" s="119"/>
      <c r="SJQ12" s="119"/>
      <c r="SJR12" s="119"/>
      <c r="SJS12" s="119"/>
      <c r="SJT12" s="119"/>
      <c r="SJU12" s="119"/>
      <c r="SJV12" s="119"/>
      <c r="SJW12" s="119"/>
      <c r="SJX12" s="119"/>
      <c r="SJY12" s="119"/>
      <c r="SJZ12" s="119"/>
      <c r="SKA12" s="120"/>
      <c r="SKB12" s="120"/>
      <c r="SKC12" s="120"/>
      <c r="SKD12" s="59"/>
      <c r="SKE12" s="119"/>
      <c r="SKF12" s="119"/>
      <c r="SKG12" s="119"/>
      <c r="SKH12" s="119"/>
      <c r="SKI12" s="119"/>
      <c r="SKJ12" s="119"/>
      <c r="SKK12" s="119"/>
      <c r="SKL12" s="119"/>
      <c r="SKM12" s="119"/>
      <c r="SKN12" s="119"/>
      <c r="SKO12" s="119"/>
      <c r="SKP12" s="119"/>
      <c r="SKQ12" s="120"/>
      <c r="SKR12" s="120"/>
      <c r="SKS12" s="120"/>
      <c r="SKT12" s="59"/>
      <c r="SKU12" s="119"/>
      <c r="SKV12" s="119"/>
      <c r="SKW12" s="119"/>
      <c r="SKX12" s="119"/>
      <c r="SKY12" s="119"/>
      <c r="SKZ12" s="119"/>
      <c r="SLA12" s="119"/>
      <c r="SLB12" s="119"/>
      <c r="SLC12" s="119"/>
      <c r="SLD12" s="119"/>
      <c r="SLE12" s="119"/>
      <c r="SLF12" s="119"/>
      <c r="SLG12" s="120"/>
      <c r="SLH12" s="120"/>
      <c r="SLI12" s="120"/>
      <c r="SLJ12" s="59"/>
      <c r="SLK12" s="119"/>
      <c r="SLL12" s="119"/>
      <c r="SLM12" s="119"/>
      <c r="SLN12" s="119"/>
      <c r="SLO12" s="119"/>
      <c r="SLP12" s="119"/>
      <c r="SLQ12" s="119"/>
      <c r="SLR12" s="119"/>
      <c r="SLS12" s="119"/>
      <c r="SLT12" s="119"/>
      <c r="SLU12" s="119"/>
      <c r="SLV12" s="119"/>
      <c r="SLW12" s="120"/>
      <c r="SLX12" s="120"/>
      <c r="SLY12" s="120"/>
      <c r="SLZ12" s="59"/>
      <c r="SMA12" s="119"/>
      <c r="SMB12" s="119"/>
      <c r="SMC12" s="119"/>
      <c r="SMD12" s="119"/>
      <c r="SME12" s="119"/>
      <c r="SMF12" s="119"/>
      <c r="SMG12" s="119"/>
      <c r="SMH12" s="119"/>
      <c r="SMI12" s="119"/>
      <c r="SMJ12" s="119"/>
      <c r="SMK12" s="119"/>
      <c r="SML12" s="119"/>
      <c r="SMM12" s="120"/>
      <c r="SMN12" s="120"/>
      <c r="SMO12" s="120"/>
      <c r="SMP12" s="59"/>
      <c r="SMQ12" s="119"/>
      <c r="SMR12" s="119"/>
      <c r="SMS12" s="119"/>
      <c r="SMT12" s="119"/>
      <c r="SMU12" s="119"/>
      <c r="SMV12" s="119"/>
      <c r="SMW12" s="119"/>
      <c r="SMX12" s="119"/>
      <c r="SMY12" s="119"/>
      <c r="SMZ12" s="119"/>
      <c r="SNA12" s="119"/>
      <c r="SNB12" s="119"/>
      <c r="SNC12" s="120"/>
      <c r="SND12" s="120"/>
      <c r="SNE12" s="120"/>
      <c r="SNF12" s="59"/>
      <c r="SNG12" s="119"/>
      <c r="SNH12" s="119"/>
      <c r="SNI12" s="119"/>
      <c r="SNJ12" s="119"/>
      <c r="SNK12" s="119"/>
      <c r="SNL12" s="119"/>
      <c r="SNM12" s="119"/>
      <c r="SNN12" s="119"/>
      <c r="SNO12" s="119"/>
      <c r="SNP12" s="119"/>
      <c r="SNQ12" s="119"/>
      <c r="SNR12" s="119"/>
      <c r="SNS12" s="120"/>
      <c r="SNT12" s="120"/>
      <c r="SNU12" s="120"/>
      <c r="SNV12" s="59"/>
      <c r="SNW12" s="119"/>
      <c r="SNX12" s="119"/>
      <c r="SNY12" s="119"/>
      <c r="SNZ12" s="119"/>
      <c r="SOA12" s="119"/>
      <c r="SOB12" s="119"/>
      <c r="SOC12" s="119"/>
      <c r="SOD12" s="119"/>
      <c r="SOE12" s="119"/>
      <c r="SOF12" s="119"/>
      <c r="SOG12" s="119"/>
      <c r="SOH12" s="119"/>
      <c r="SOI12" s="120"/>
      <c r="SOJ12" s="120"/>
      <c r="SOK12" s="120"/>
      <c r="SOL12" s="59"/>
      <c r="SOM12" s="119"/>
      <c r="SON12" s="119"/>
      <c r="SOO12" s="119"/>
      <c r="SOP12" s="119"/>
      <c r="SOQ12" s="119"/>
      <c r="SOR12" s="119"/>
      <c r="SOS12" s="119"/>
      <c r="SOT12" s="119"/>
      <c r="SOU12" s="119"/>
      <c r="SOV12" s="119"/>
      <c r="SOW12" s="119"/>
      <c r="SOX12" s="119"/>
      <c r="SOY12" s="120"/>
      <c r="SOZ12" s="120"/>
      <c r="SPA12" s="120"/>
      <c r="SPB12" s="59"/>
      <c r="SPC12" s="119"/>
      <c r="SPD12" s="119"/>
      <c r="SPE12" s="119"/>
      <c r="SPF12" s="119"/>
      <c r="SPG12" s="119"/>
      <c r="SPH12" s="119"/>
      <c r="SPI12" s="119"/>
      <c r="SPJ12" s="119"/>
      <c r="SPK12" s="119"/>
      <c r="SPL12" s="119"/>
      <c r="SPM12" s="119"/>
      <c r="SPN12" s="119"/>
      <c r="SPO12" s="120"/>
      <c r="SPP12" s="120"/>
      <c r="SPQ12" s="120"/>
      <c r="SPR12" s="59"/>
      <c r="SPS12" s="119"/>
      <c r="SPT12" s="119"/>
      <c r="SPU12" s="119"/>
      <c r="SPV12" s="119"/>
      <c r="SPW12" s="119"/>
      <c r="SPX12" s="119"/>
      <c r="SPY12" s="119"/>
      <c r="SPZ12" s="119"/>
      <c r="SQA12" s="119"/>
      <c r="SQB12" s="119"/>
      <c r="SQC12" s="119"/>
      <c r="SQD12" s="119"/>
      <c r="SQE12" s="120"/>
      <c r="SQF12" s="120"/>
      <c r="SQG12" s="120"/>
      <c r="SQH12" s="59"/>
      <c r="SQI12" s="119"/>
      <c r="SQJ12" s="119"/>
      <c r="SQK12" s="119"/>
      <c r="SQL12" s="119"/>
      <c r="SQM12" s="119"/>
      <c r="SQN12" s="119"/>
      <c r="SQO12" s="119"/>
      <c r="SQP12" s="119"/>
      <c r="SQQ12" s="119"/>
      <c r="SQR12" s="119"/>
      <c r="SQS12" s="119"/>
      <c r="SQT12" s="119"/>
      <c r="SQU12" s="120"/>
      <c r="SQV12" s="120"/>
      <c r="SQW12" s="120"/>
      <c r="SQX12" s="59"/>
      <c r="SQY12" s="119"/>
      <c r="SQZ12" s="119"/>
      <c r="SRA12" s="119"/>
      <c r="SRB12" s="119"/>
      <c r="SRC12" s="119"/>
      <c r="SRD12" s="119"/>
      <c r="SRE12" s="119"/>
      <c r="SRF12" s="119"/>
      <c r="SRG12" s="119"/>
      <c r="SRH12" s="119"/>
      <c r="SRI12" s="119"/>
      <c r="SRJ12" s="119"/>
      <c r="SRK12" s="120"/>
      <c r="SRL12" s="120"/>
      <c r="SRM12" s="120"/>
      <c r="SRN12" s="59"/>
      <c r="SRO12" s="119"/>
      <c r="SRP12" s="119"/>
      <c r="SRQ12" s="119"/>
      <c r="SRR12" s="119"/>
      <c r="SRS12" s="119"/>
      <c r="SRT12" s="119"/>
      <c r="SRU12" s="119"/>
      <c r="SRV12" s="119"/>
      <c r="SRW12" s="119"/>
      <c r="SRX12" s="119"/>
      <c r="SRY12" s="119"/>
      <c r="SRZ12" s="119"/>
      <c r="SSA12" s="120"/>
      <c r="SSB12" s="120"/>
      <c r="SSC12" s="120"/>
      <c r="SSD12" s="59"/>
      <c r="SSE12" s="119"/>
      <c r="SSF12" s="119"/>
      <c r="SSG12" s="119"/>
      <c r="SSH12" s="119"/>
      <c r="SSI12" s="119"/>
      <c r="SSJ12" s="119"/>
      <c r="SSK12" s="119"/>
      <c r="SSL12" s="119"/>
      <c r="SSM12" s="119"/>
      <c r="SSN12" s="119"/>
      <c r="SSO12" s="119"/>
      <c r="SSP12" s="119"/>
      <c r="SSQ12" s="120"/>
      <c r="SSR12" s="120"/>
      <c r="SSS12" s="120"/>
      <c r="SST12" s="59"/>
      <c r="SSU12" s="119"/>
      <c r="SSV12" s="119"/>
      <c r="SSW12" s="119"/>
      <c r="SSX12" s="119"/>
      <c r="SSY12" s="119"/>
      <c r="SSZ12" s="119"/>
      <c r="STA12" s="119"/>
      <c r="STB12" s="119"/>
      <c r="STC12" s="119"/>
      <c r="STD12" s="119"/>
      <c r="STE12" s="119"/>
      <c r="STF12" s="119"/>
      <c r="STG12" s="120"/>
      <c r="STH12" s="120"/>
      <c r="STI12" s="120"/>
      <c r="STJ12" s="59"/>
      <c r="STK12" s="119"/>
      <c r="STL12" s="119"/>
      <c r="STM12" s="119"/>
      <c r="STN12" s="119"/>
      <c r="STO12" s="119"/>
      <c r="STP12" s="119"/>
      <c r="STQ12" s="119"/>
      <c r="STR12" s="119"/>
      <c r="STS12" s="119"/>
      <c r="STT12" s="119"/>
      <c r="STU12" s="119"/>
      <c r="STV12" s="119"/>
      <c r="STW12" s="120"/>
      <c r="STX12" s="120"/>
      <c r="STY12" s="120"/>
      <c r="STZ12" s="59"/>
      <c r="SUA12" s="119"/>
      <c r="SUB12" s="119"/>
      <c r="SUC12" s="119"/>
      <c r="SUD12" s="119"/>
      <c r="SUE12" s="119"/>
      <c r="SUF12" s="119"/>
      <c r="SUG12" s="119"/>
      <c r="SUH12" s="119"/>
      <c r="SUI12" s="119"/>
      <c r="SUJ12" s="119"/>
      <c r="SUK12" s="119"/>
      <c r="SUL12" s="119"/>
      <c r="SUM12" s="120"/>
      <c r="SUN12" s="120"/>
      <c r="SUO12" s="120"/>
      <c r="SUP12" s="59"/>
      <c r="SUQ12" s="119"/>
      <c r="SUR12" s="119"/>
      <c r="SUS12" s="119"/>
      <c r="SUT12" s="119"/>
      <c r="SUU12" s="119"/>
      <c r="SUV12" s="119"/>
      <c r="SUW12" s="119"/>
      <c r="SUX12" s="119"/>
      <c r="SUY12" s="119"/>
      <c r="SUZ12" s="119"/>
      <c r="SVA12" s="119"/>
      <c r="SVB12" s="119"/>
      <c r="SVC12" s="120"/>
      <c r="SVD12" s="120"/>
      <c r="SVE12" s="120"/>
      <c r="SVF12" s="59"/>
      <c r="SVG12" s="119"/>
      <c r="SVH12" s="119"/>
      <c r="SVI12" s="119"/>
      <c r="SVJ12" s="119"/>
      <c r="SVK12" s="119"/>
      <c r="SVL12" s="119"/>
      <c r="SVM12" s="119"/>
      <c r="SVN12" s="119"/>
      <c r="SVO12" s="119"/>
      <c r="SVP12" s="119"/>
      <c r="SVQ12" s="119"/>
      <c r="SVR12" s="119"/>
      <c r="SVS12" s="120"/>
      <c r="SVT12" s="120"/>
      <c r="SVU12" s="120"/>
      <c r="SVV12" s="59"/>
      <c r="SVW12" s="119"/>
      <c r="SVX12" s="119"/>
      <c r="SVY12" s="119"/>
      <c r="SVZ12" s="119"/>
      <c r="SWA12" s="119"/>
      <c r="SWB12" s="119"/>
      <c r="SWC12" s="119"/>
      <c r="SWD12" s="119"/>
      <c r="SWE12" s="119"/>
      <c r="SWF12" s="119"/>
      <c r="SWG12" s="119"/>
      <c r="SWH12" s="119"/>
      <c r="SWI12" s="120"/>
      <c r="SWJ12" s="120"/>
      <c r="SWK12" s="120"/>
      <c r="SWL12" s="59"/>
      <c r="SWM12" s="119"/>
      <c r="SWN12" s="119"/>
      <c r="SWO12" s="119"/>
      <c r="SWP12" s="119"/>
      <c r="SWQ12" s="119"/>
      <c r="SWR12" s="119"/>
      <c r="SWS12" s="119"/>
      <c r="SWT12" s="119"/>
      <c r="SWU12" s="119"/>
      <c r="SWV12" s="119"/>
      <c r="SWW12" s="119"/>
      <c r="SWX12" s="119"/>
      <c r="SWY12" s="120"/>
      <c r="SWZ12" s="120"/>
      <c r="SXA12" s="120"/>
      <c r="SXB12" s="59"/>
      <c r="SXC12" s="119"/>
      <c r="SXD12" s="119"/>
      <c r="SXE12" s="119"/>
      <c r="SXF12" s="119"/>
      <c r="SXG12" s="119"/>
      <c r="SXH12" s="119"/>
      <c r="SXI12" s="119"/>
      <c r="SXJ12" s="119"/>
      <c r="SXK12" s="119"/>
      <c r="SXL12" s="119"/>
      <c r="SXM12" s="119"/>
      <c r="SXN12" s="119"/>
      <c r="SXO12" s="120"/>
      <c r="SXP12" s="120"/>
      <c r="SXQ12" s="120"/>
      <c r="SXR12" s="59"/>
      <c r="SXS12" s="119"/>
      <c r="SXT12" s="119"/>
      <c r="SXU12" s="119"/>
      <c r="SXV12" s="119"/>
      <c r="SXW12" s="119"/>
      <c r="SXX12" s="119"/>
      <c r="SXY12" s="119"/>
      <c r="SXZ12" s="119"/>
      <c r="SYA12" s="119"/>
      <c r="SYB12" s="119"/>
      <c r="SYC12" s="119"/>
      <c r="SYD12" s="119"/>
      <c r="SYE12" s="120"/>
      <c r="SYF12" s="120"/>
      <c r="SYG12" s="120"/>
      <c r="SYH12" s="59"/>
      <c r="SYI12" s="119"/>
      <c r="SYJ12" s="119"/>
      <c r="SYK12" s="119"/>
      <c r="SYL12" s="119"/>
      <c r="SYM12" s="119"/>
      <c r="SYN12" s="119"/>
      <c r="SYO12" s="119"/>
      <c r="SYP12" s="119"/>
      <c r="SYQ12" s="119"/>
      <c r="SYR12" s="119"/>
      <c r="SYS12" s="119"/>
      <c r="SYT12" s="119"/>
      <c r="SYU12" s="120"/>
      <c r="SYV12" s="120"/>
      <c r="SYW12" s="120"/>
      <c r="SYX12" s="59"/>
      <c r="SYY12" s="119"/>
      <c r="SYZ12" s="119"/>
      <c r="SZA12" s="119"/>
      <c r="SZB12" s="119"/>
      <c r="SZC12" s="119"/>
      <c r="SZD12" s="119"/>
      <c r="SZE12" s="119"/>
      <c r="SZF12" s="119"/>
      <c r="SZG12" s="119"/>
      <c r="SZH12" s="119"/>
      <c r="SZI12" s="119"/>
      <c r="SZJ12" s="119"/>
      <c r="SZK12" s="120"/>
      <c r="SZL12" s="120"/>
      <c r="SZM12" s="120"/>
      <c r="SZN12" s="59"/>
      <c r="SZO12" s="119"/>
      <c r="SZP12" s="119"/>
      <c r="SZQ12" s="119"/>
      <c r="SZR12" s="119"/>
      <c r="SZS12" s="119"/>
      <c r="SZT12" s="119"/>
      <c r="SZU12" s="119"/>
      <c r="SZV12" s="119"/>
      <c r="SZW12" s="119"/>
      <c r="SZX12" s="119"/>
      <c r="SZY12" s="119"/>
      <c r="SZZ12" s="119"/>
      <c r="TAA12" s="120"/>
      <c r="TAB12" s="120"/>
      <c r="TAC12" s="120"/>
      <c r="TAD12" s="59"/>
      <c r="TAE12" s="119"/>
      <c r="TAF12" s="119"/>
      <c r="TAG12" s="119"/>
      <c r="TAH12" s="119"/>
      <c r="TAI12" s="119"/>
      <c r="TAJ12" s="119"/>
      <c r="TAK12" s="119"/>
      <c r="TAL12" s="119"/>
      <c r="TAM12" s="119"/>
      <c r="TAN12" s="119"/>
      <c r="TAO12" s="119"/>
      <c r="TAP12" s="119"/>
      <c r="TAQ12" s="120"/>
      <c r="TAR12" s="120"/>
      <c r="TAS12" s="120"/>
      <c r="TAT12" s="59"/>
      <c r="TAU12" s="119"/>
      <c r="TAV12" s="119"/>
      <c r="TAW12" s="119"/>
      <c r="TAX12" s="119"/>
      <c r="TAY12" s="119"/>
      <c r="TAZ12" s="119"/>
      <c r="TBA12" s="119"/>
      <c r="TBB12" s="119"/>
      <c r="TBC12" s="119"/>
      <c r="TBD12" s="119"/>
      <c r="TBE12" s="119"/>
      <c r="TBF12" s="119"/>
      <c r="TBG12" s="120"/>
      <c r="TBH12" s="120"/>
      <c r="TBI12" s="120"/>
      <c r="TBJ12" s="59"/>
      <c r="TBK12" s="119"/>
      <c r="TBL12" s="119"/>
      <c r="TBM12" s="119"/>
      <c r="TBN12" s="119"/>
      <c r="TBO12" s="119"/>
      <c r="TBP12" s="119"/>
      <c r="TBQ12" s="119"/>
      <c r="TBR12" s="119"/>
      <c r="TBS12" s="119"/>
      <c r="TBT12" s="119"/>
      <c r="TBU12" s="119"/>
      <c r="TBV12" s="119"/>
      <c r="TBW12" s="120"/>
      <c r="TBX12" s="120"/>
      <c r="TBY12" s="120"/>
      <c r="TBZ12" s="59"/>
      <c r="TCA12" s="119"/>
      <c r="TCB12" s="119"/>
      <c r="TCC12" s="119"/>
      <c r="TCD12" s="119"/>
      <c r="TCE12" s="119"/>
      <c r="TCF12" s="119"/>
      <c r="TCG12" s="119"/>
      <c r="TCH12" s="119"/>
      <c r="TCI12" s="119"/>
      <c r="TCJ12" s="119"/>
      <c r="TCK12" s="119"/>
      <c r="TCL12" s="119"/>
      <c r="TCM12" s="120"/>
      <c r="TCN12" s="120"/>
      <c r="TCO12" s="120"/>
      <c r="TCP12" s="59"/>
      <c r="TCQ12" s="119"/>
      <c r="TCR12" s="119"/>
      <c r="TCS12" s="119"/>
      <c r="TCT12" s="119"/>
      <c r="TCU12" s="119"/>
      <c r="TCV12" s="119"/>
      <c r="TCW12" s="119"/>
      <c r="TCX12" s="119"/>
      <c r="TCY12" s="119"/>
      <c r="TCZ12" s="119"/>
      <c r="TDA12" s="119"/>
      <c r="TDB12" s="119"/>
      <c r="TDC12" s="120"/>
      <c r="TDD12" s="120"/>
      <c r="TDE12" s="120"/>
      <c r="TDF12" s="59"/>
      <c r="TDG12" s="119"/>
      <c r="TDH12" s="119"/>
      <c r="TDI12" s="119"/>
      <c r="TDJ12" s="119"/>
      <c r="TDK12" s="119"/>
      <c r="TDL12" s="119"/>
      <c r="TDM12" s="119"/>
      <c r="TDN12" s="119"/>
      <c r="TDO12" s="119"/>
      <c r="TDP12" s="119"/>
      <c r="TDQ12" s="119"/>
      <c r="TDR12" s="119"/>
      <c r="TDS12" s="120"/>
      <c r="TDT12" s="120"/>
      <c r="TDU12" s="120"/>
      <c r="TDV12" s="59"/>
      <c r="TDW12" s="119"/>
      <c r="TDX12" s="119"/>
      <c r="TDY12" s="119"/>
      <c r="TDZ12" s="119"/>
      <c r="TEA12" s="119"/>
      <c r="TEB12" s="119"/>
      <c r="TEC12" s="119"/>
      <c r="TED12" s="119"/>
      <c r="TEE12" s="119"/>
      <c r="TEF12" s="119"/>
      <c r="TEG12" s="119"/>
      <c r="TEH12" s="119"/>
      <c r="TEI12" s="120"/>
      <c r="TEJ12" s="120"/>
      <c r="TEK12" s="120"/>
      <c r="TEL12" s="59"/>
      <c r="TEM12" s="119"/>
      <c r="TEN12" s="119"/>
      <c r="TEO12" s="119"/>
      <c r="TEP12" s="119"/>
      <c r="TEQ12" s="119"/>
      <c r="TER12" s="119"/>
      <c r="TES12" s="119"/>
      <c r="TET12" s="119"/>
      <c r="TEU12" s="119"/>
      <c r="TEV12" s="119"/>
      <c r="TEW12" s="119"/>
      <c r="TEX12" s="119"/>
      <c r="TEY12" s="120"/>
      <c r="TEZ12" s="120"/>
      <c r="TFA12" s="120"/>
      <c r="TFB12" s="59"/>
      <c r="TFC12" s="119"/>
      <c r="TFD12" s="119"/>
      <c r="TFE12" s="119"/>
      <c r="TFF12" s="119"/>
      <c r="TFG12" s="119"/>
      <c r="TFH12" s="119"/>
      <c r="TFI12" s="119"/>
      <c r="TFJ12" s="119"/>
      <c r="TFK12" s="119"/>
      <c r="TFL12" s="119"/>
      <c r="TFM12" s="119"/>
      <c r="TFN12" s="119"/>
      <c r="TFO12" s="120"/>
      <c r="TFP12" s="120"/>
      <c r="TFQ12" s="120"/>
      <c r="TFR12" s="59"/>
      <c r="TFS12" s="119"/>
      <c r="TFT12" s="119"/>
      <c r="TFU12" s="119"/>
      <c r="TFV12" s="119"/>
      <c r="TFW12" s="119"/>
      <c r="TFX12" s="119"/>
      <c r="TFY12" s="119"/>
      <c r="TFZ12" s="119"/>
      <c r="TGA12" s="119"/>
      <c r="TGB12" s="119"/>
      <c r="TGC12" s="119"/>
      <c r="TGD12" s="119"/>
      <c r="TGE12" s="120"/>
      <c r="TGF12" s="120"/>
      <c r="TGG12" s="120"/>
      <c r="TGH12" s="59"/>
      <c r="TGI12" s="119"/>
      <c r="TGJ12" s="119"/>
      <c r="TGK12" s="119"/>
      <c r="TGL12" s="119"/>
      <c r="TGM12" s="119"/>
      <c r="TGN12" s="119"/>
      <c r="TGO12" s="119"/>
      <c r="TGP12" s="119"/>
      <c r="TGQ12" s="119"/>
      <c r="TGR12" s="119"/>
      <c r="TGS12" s="119"/>
      <c r="TGT12" s="119"/>
      <c r="TGU12" s="120"/>
      <c r="TGV12" s="120"/>
      <c r="TGW12" s="120"/>
      <c r="TGX12" s="59"/>
      <c r="TGY12" s="119"/>
      <c r="TGZ12" s="119"/>
      <c r="THA12" s="119"/>
      <c r="THB12" s="119"/>
      <c r="THC12" s="119"/>
      <c r="THD12" s="119"/>
      <c r="THE12" s="119"/>
      <c r="THF12" s="119"/>
      <c r="THG12" s="119"/>
      <c r="THH12" s="119"/>
      <c r="THI12" s="119"/>
      <c r="THJ12" s="119"/>
      <c r="THK12" s="120"/>
      <c r="THL12" s="120"/>
      <c r="THM12" s="120"/>
      <c r="THN12" s="59"/>
      <c r="THO12" s="119"/>
      <c r="THP12" s="119"/>
      <c r="THQ12" s="119"/>
      <c r="THR12" s="119"/>
      <c r="THS12" s="119"/>
      <c r="THT12" s="119"/>
      <c r="THU12" s="119"/>
      <c r="THV12" s="119"/>
      <c r="THW12" s="119"/>
      <c r="THX12" s="119"/>
      <c r="THY12" s="119"/>
      <c r="THZ12" s="119"/>
      <c r="TIA12" s="120"/>
      <c r="TIB12" s="120"/>
      <c r="TIC12" s="120"/>
      <c r="TID12" s="59"/>
      <c r="TIE12" s="119"/>
      <c r="TIF12" s="119"/>
      <c r="TIG12" s="119"/>
      <c r="TIH12" s="119"/>
      <c r="TII12" s="119"/>
      <c r="TIJ12" s="119"/>
      <c r="TIK12" s="119"/>
      <c r="TIL12" s="119"/>
      <c r="TIM12" s="119"/>
      <c r="TIN12" s="119"/>
      <c r="TIO12" s="119"/>
      <c r="TIP12" s="119"/>
      <c r="TIQ12" s="120"/>
      <c r="TIR12" s="120"/>
      <c r="TIS12" s="120"/>
      <c r="TIT12" s="59"/>
      <c r="TIU12" s="119"/>
      <c r="TIV12" s="119"/>
      <c r="TIW12" s="119"/>
      <c r="TIX12" s="119"/>
      <c r="TIY12" s="119"/>
      <c r="TIZ12" s="119"/>
      <c r="TJA12" s="119"/>
      <c r="TJB12" s="119"/>
      <c r="TJC12" s="119"/>
      <c r="TJD12" s="119"/>
      <c r="TJE12" s="119"/>
      <c r="TJF12" s="119"/>
      <c r="TJG12" s="120"/>
      <c r="TJH12" s="120"/>
      <c r="TJI12" s="120"/>
      <c r="TJJ12" s="59"/>
      <c r="TJK12" s="119"/>
      <c r="TJL12" s="119"/>
      <c r="TJM12" s="119"/>
      <c r="TJN12" s="119"/>
      <c r="TJO12" s="119"/>
      <c r="TJP12" s="119"/>
      <c r="TJQ12" s="119"/>
      <c r="TJR12" s="119"/>
      <c r="TJS12" s="119"/>
      <c r="TJT12" s="119"/>
      <c r="TJU12" s="119"/>
      <c r="TJV12" s="119"/>
      <c r="TJW12" s="120"/>
      <c r="TJX12" s="120"/>
      <c r="TJY12" s="120"/>
      <c r="TJZ12" s="59"/>
      <c r="TKA12" s="119"/>
      <c r="TKB12" s="119"/>
      <c r="TKC12" s="119"/>
      <c r="TKD12" s="119"/>
      <c r="TKE12" s="119"/>
      <c r="TKF12" s="119"/>
      <c r="TKG12" s="119"/>
      <c r="TKH12" s="119"/>
      <c r="TKI12" s="119"/>
      <c r="TKJ12" s="119"/>
      <c r="TKK12" s="119"/>
      <c r="TKL12" s="119"/>
      <c r="TKM12" s="120"/>
      <c r="TKN12" s="120"/>
      <c r="TKO12" s="120"/>
      <c r="TKP12" s="59"/>
      <c r="TKQ12" s="119"/>
      <c r="TKR12" s="119"/>
      <c r="TKS12" s="119"/>
      <c r="TKT12" s="119"/>
      <c r="TKU12" s="119"/>
      <c r="TKV12" s="119"/>
      <c r="TKW12" s="119"/>
      <c r="TKX12" s="119"/>
      <c r="TKY12" s="119"/>
      <c r="TKZ12" s="119"/>
      <c r="TLA12" s="119"/>
      <c r="TLB12" s="119"/>
      <c r="TLC12" s="120"/>
      <c r="TLD12" s="120"/>
      <c r="TLE12" s="120"/>
      <c r="TLF12" s="59"/>
      <c r="TLG12" s="119"/>
      <c r="TLH12" s="119"/>
      <c r="TLI12" s="119"/>
      <c r="TLJ12" s="119"/>
      <c r="TLK12" s="119"/>
      <c r="TLL12" s="119"/>
      <c r="TLM12" s="119"/>
      <c r="TLN12" s="119"/>
      <c r="TLO12" s="119"/>
      <c r="TLP12" s="119"/>
      <c r="TLQ12" s="119"/>
      <c r="TLR12" s="119"/>
      <c r="TLS12" s="120"/>
      <c r="TLT12" s="120"/>
      <c r="TLU12" s="120"/>
      <c r="TLV12" s="59"/>
      <c r="TLW12" s="119"/>
      <c r="TLX12" s="119"/>
      <c r="TLY12" s="119"/>
      <c r="TLZ12" s="119"/>
      <c r="TMA12" s="119"/>
      <c r="TMB12" s="119"/>
      <c r="TMC12" s="119"/>
      <c r="TMD12" s="119"/>
      <c r="TME12" s="119"/>
      <c r="TMF12" s="119"/>
      <c r="TMG12" s="119"/>
      <c r="TMH12" s="119"/>
      <c r="TMI12" s="120"/>
      <c r="TMJ12" s="120"/>
      <c r="TMK12" s="120"/>
      <c r="TML12" s="59"/>
      <c r="TMM12" s="119"/>
      <c r="TMN12" s="119"/>
      <c r="TMO12" s="119"/>
      <c r="TMP12" s="119"/>
      <c r="TMQ12" s="119"/>
      <c r="TMR12" s="119"/>
      <c r="TMS12" s="119"/>
      <c r="TMT12" s="119"/>
      <c r="TMU12" s="119"/>
      <c r="TMV12" s="119"/>
      <c r="TMW12" s="119"/>
      <c r="TMX12" s="119"/>
      <c r="TMY12" s="120"/>
      <c r="TMZ12" s="120"/>
      <c r="TNA12" s="120"/>
      <c r="TNB12" s="59"/>
      <c r="TNC12" s="119"/>
      <c r="TND12" s="119"/>
      <c r="TNE12" s="119"/>
      <c r="TNF12" s="119"/>
      <c r="TNG12" s="119"/>
      <c r="TNH12" s="119"/>
      <c r="TNI12" s="119"/>
      <c r="TNJ12" s="119"/>
      <c r="TNK12" s="119"/>
      <c r="TNL12" s="119"/>
      <c r="TNM12" s="119"/>
      <c r="TNN12" s="119"/>
      <c r="TNO12" s="120"/>
      <c r="TNP12" s="120"/>
      <c r="TNQ12" s="120"/>
      <c r="TNR12" s="59"/>
      <c r="TNS12" s="119"/>
      <c r="TNT12" s="119"/>
      <c r="TNU12" s="119"/>
      <c r="TNV12" s="119"/>
      <c r="TNW12" s="119"/>
      <c r="TNX12" s="119"/>
      <c r="TNY12" s="119"/>
      <c r="TNZ12" s="119"/>
      <c r="TOA12" s="119"/>
      <c r="TOB12" s="119"/>
      <c r="TOC12" s="119"/>
      <c r="TOD12" s="119"/>
      <c r="TOE12" s="120"/>
      <c r="TOF12" s="120"/>
      <c r="TOG12" s="120"/>
      <c r="TOH12" s="59"/>
      <c r="TOI12" s="119"/>
      <c r="TOJ12" s="119"/>
      <c r="TOK12" s="119"/>
      <c r="TOL12" s="119"/>
      <c r="TOM12" s="119"/>
      <c r="TON12" s="119"/>
      <c r="TOO12" s="119"/>
      <c r="TOP12" s="119"/>
      <c r="TOQ12" s="119"/>
      <c r="TOR12" s="119"/>
      <c r="TOS12" s="119"/>
      <c r="TOT12" s="119"/>
      <c r="TOU12" s="120"/>
      <c r="TOV12" s="120"/>
      <c r="TOW12" s="120"/>
      <c r="TOX12" s="59"/>
      <c r="TOY12" s="119"/>
      <c r="TOZ12" s="119"/>
      <c r="TPA12" s="119"/>
      <c r="TPB12" s="119"/>
      <c r="TPC12" s="119"/>
      <c r="TPD12" s="119"/>
      <c r="TPE12" s="119"/>
      <c r="TPF12" s="119"/>
      <c r="TPG12" s="119"/>
      <c r="TPH12" s="119"/>
      <c r="TPI12" s="119"/>
      <c r="TPJ12" s="119"/>
      <c r="TPK12" s="120"/>
      <c r="TPL12" s="120"/>
      <c r="TPM12" s="120"/>
      <c r="TPN12" s="59"/>
      <c r="TPO12" s="119"/>
      <c r="TPP12" s="119"/>
      <c r="TPQ12" s="119"/>
      <c r="TPR12" s="119"/>
      <c r="TPS12" s="119"/>
      <c r="TPT12" s="119"/>
      <c r="TPU12" s="119"/>
      <c r="TPV12" s="119"/>
      <c r="TPW12" s="119"/>
      <c r="TPX12" s="119"/>
      <c r="TPY12" s="119"/>
      <c r="TPZ12" s="119"/>
      <c r="TQA12" s="120"/>
      <c r="TQB12" s="120"/>
      <c r="TQC12" s="120"/>
      <c r="TQD12" s="59"/>
      <c r="TQE12" s="119"/>
      <c r="TQF12" s="119"/>
      <c r="TQG12" s="119"/>
      <c r="TQH12" s="119"/>
      <c r="TQI12" s="119"/>
      <c r="TQJ12" s="119"/>
      <c r="TQK12" s="119"/>
      <c r="TQL12" s="119"/>
      <c r="TQM12" s="119"/>
      <c r="TQN12" s="119"/>
      <c r="TQO12" s="119"/>
      <c r="TQP12" s="119"/>
      <c r="TQQ12" s="120"/>
      <c r="TQR12" s="120"/>
      <c r="TQS12" s="120"/>
      <c r="TQT12" s="59"/>
      <c r="TQU12" s="119"/>
      <c r="TQV12" s="119"/>
      <c r="TQW12" s="119"/>
      <c r="TQX12" s="119"/>
      <c r="TQY12" s="119"/>
      <c r="TQZ12" s="119"/>
      <c r="TRA12" s="119"/>
      <c r="TRB12" s="119"/>
      <c r="TRC12" s="119"/>
      <c r="TRD12" s="119"/>
      <c r="TRE12" s="119"/>
      <c r="TRF12" s="119"/>
      <c r="TRG12" s="120"/>
      <c r="TRH12" s="120"/>
      <c r="TRI12" s="120"/>
      <c r="TRJ12" s="59"/>
      <c r="TRK12" s="119"/>
      <c r="TRL12" s="119"/>
      <c r="TRM12" s="119"/>
      <c r="TRN12" s="119"/>
      <c r="TRO12" s="119"/>
      <c r="TRP12" s="119"/>
      <c r="TRQ12" s="119"/>
      <c r="TRR12" s="119"/>
      <c r="TRS12" s="119"/>
      <c r="TRT12" s="119"/>
      <c r="TRU12" s="119"/>
      <c r="TRV12" s="119"/>
      <c r="TRW12" s="120"/>
      <c r="TRX12" s="120"/>
      <c r="TRY12" s="120"/>
      <c r="TRZ12" s="59"/>
      <c r="TSA12" s="119"/>
      <c r="TSB12" s="119"/>
      <c r="TSC12" s="119"/>
      <c r="TSD12" s="119"/>
      <c r="TSE12" s="119"/>
      <c r="TSF12" s="119"/>
      <c r="TSG12" s="119"/>
      <c r="TSH12" s="119"/>
      <c r="TSI12" s="119"/>
      <c r="TSJ12" s="119"/>
      <c r="TSK12" s="119"/>
      <c r="TSL12" s="119"/>
      <c r="TSM12" s="120"/>
      <c r="TSN12" s="120"/>
      <c r="TSO12" s="120"/>
      <c r="TSP12" s="59"/>
      <c r="TSQ12" s="119"/>
      <c r="TSR12" s="119"/>
      <c r="TSS12" s="119"/>
      <c r="TST12" s="119"/>
      <c r="TSU12" s="119"/>
      <c r="TSV12" s="119"/>
      <c r="TSW12" s="119"/>
      <c r="TSX12" s="119"/>
      <c r="TSY12" s="119"/>
      <c r="TSZ12" s="119"/>
      <c r="TTA12" s="119"/>
      <c r="TTB12" s="119"/>
      <c r="TTC12" s="120"/>
      <c r="TTD12" s="120"/>
      <c r="TTE12" s="120"/>
      <c r="TTF12" s="59"/>
      <c r="TTG12" s="119"/>
      <c r="TTH12" s="119"/>
      <c r="TTI12" s="119"/>
      <c r="TTJ12" s="119"/>
      <c r="TTK12" s="119"/>
      <c r="TTL12" s="119"/>
      <c r="TTM12" s="119"/>
      <c r="TTN12" s="119"/>
      <c r="TTO12" s="119"/>
      <c r="TTP12" s="119"/>
      <c r="TTQ12" s="119"/>
      <c r="TTR12" s="119"/>
      <c r="TTS12" s="120"/>
      <c r="TTT12" s="120"/>
      <c r="TTU12" s="120"/>
      <c r="TTV12" s="59"/>
      <c r="TTW12" s="119"/>
      <c r="TTX12" s="119"/>
      <c r="TTY12" s="119"/>
      <c r="TTZ12" s="119"/>
      <c r="TUA12" s="119"/>
      <c r="TUB12" s="119"/>
      <c r="TUC12" s="119"/>
      <c r="TUD12" s="119"/>
      <c r="TUE12" s="119"/>
      <c r="TUF12" s="119"/>
      <c r="TUG12" s="119"/>
      <c r="TUH12" s="119"/>
      <c r="TUI12" s="120"/>
      <c r="TUJ12" s="120"/>
      <c r="TUK12" s="120"/>
      <c r="TUL12" s="59"/>
      <c r="TUM12" s="119"/>
      <c r="TUN12" s="119"/>
      <c r="TUO12" s="119"/>
      <c r="TUP12" s="119"/>
      <c r="TUQ12" s="119"/>
      <c r="TUR12" s="119"/>
      <c r="TUS12" s="119"/>
      <c r="TUT12" s="119"/>
      <c r="TUU12" s="119"/>
      <c r="TUV12" s="119"/>
      <c r="TUW12" s="119"/>
      <c r="TUX12" s="119"/>
      <c r="TUY12" s="120"/>
      <c r="TUZ12" s="120"/>
      <c r="TVA12" s="120"/>
      <c r="TVB12" s="59"/>
      <c r="TVC12" s="119"/>
      <c r="TVD12" s="119"/>
      <c r="TVE12" s="119"/>
      <c r="TVF12" s="119"/>
      <c r="TVG12" s="119"/>
      <c r="TVH12" s="119"/>
      <c r="TVI12" s="119"/>
      <c r="TVJ12" s="119"/>
      <c r="TVK12" s="119"/>
      <c r="TVL12" s="119"/>
      <c r="TVM12" s="119"/>
      <c r="TVN12" s="119"/>
      <c r="TVO12" s="120"/>
      <c r="TVP12" s="120"/>
      <c r="TVQ12" s="120"/>
      <c r="TVR12" s="59"/>
      <c r="TVS12" s="119"/>
      <c r="TVT12" s="119"/>
      <c r="TVU12" s="119"/>
      <c r="TVV12" s="119"/>
      <c r="TVW12" s="119"/>
      <c r="TVX12" s="119"/>
      <c r="TVY12" s="119"/>
      <c r="TVZ12" s="119"/>
      <c r="TWA12" s="119"/>
      <c r="TWB12" s="119"/>
      <c r="TWC12" s="119"/>
      <c r="TWD12" s="119"/>
      <c r="TWE12" s="120"/>
      <c r="TWF12" s="120"/>
      <c r="TWG12" s="120"/>
      <c r="TWH12" s="59"/>
      <c r="TWI12" s="119"/>
      <c r="TWJ12" s="119"/>
      <c r="TWK12" s="119"/>
      <c r="TWL12" s="119"/>
      <c r="TWM12" s="119"/>
      <c r="TWN12" s="119"/>
      <c r="TWO12" s="119"/>
      <c r="TWP12" s="119"/>
      <c r="TWQ12" s="119"/>
      <c r="TWR12" s="119"/>
      <c r="TWS12" s="119"/>
      <c r="TWT12" s="119"/>
      <c r="TWU12" s="120"/>
      <c r="TWV12" s="120"/>
      <c r="TWW12" s="120"/>
      <c r="TWX12" s="59"/>
      <c r="TWY12" s="119"/>
      <c r="TWZ12" s="119"/>
      <c r="TXA12" s="119"/>
      <c r="TXB12" s="119"/>
      <c r="TXC12" s="119"/>
      <c r="TXD12" s="119"/>
      <c r="TXE12" s="119"/>
      <c r="TXF12" s="119"/>
      <c r="TXG12" s="119"/>
      <c r="TXH12" s="119"/>
      <c r="TXI12" s="119"/>
      <c r="TXJ12" s="119"/>
      <c r="TXK12" s="120"/>
      <c r="TXL12" s="120"/>
      <c r="TXM12" s="120"/>
      <c r="TXN12" s="59"/>
      <c r="TXO12" s="119"/>
      <c r="TXP12" s="119"/>
      <c r="TXQ12" s="119"/>
      <c r="TXR12" s="119"/>
      <c r="TXS12" s="119"/>
      <c r="TXT12" s="119"/>
      <c r="TXU12" s="119"/>
      <c r="TXV12" s="119"/>
      <c r="TXW12" s="119"/>
      <c r="TXX12" s="119"/>
      <c r="TXY12" s="119"/>
      <c r="TXZ12" s="119"/>
      <c r="TYA12" s="120"/>
      <c r="TYB12" s="120"/>
      <c r="TYC12" s="120"/>
      <c r="TYD12" s="59"/>
      <c r="TYE12" s="119"/>
      <c r="TYF12" s="119"/>
      <c r="TYG12" s="119"/>
      <c r="TYH12" s="119"/>
      <c r="TYI12" s="119"/>
      <c r="TYJ12" s="119"/>
      <c r="TYK12" s="119"/>
      <c r="TYL12" s="119"/>
      <c r="TYM12" s="119"/>
      <c r="TYN12" s="119"/>
      <c r="TYO12" s="119"/>
      <c r="TYP12" s="119"/>
      <c r="TYQ12" s="120"/>
      <c r="TYR12" s="120"/>
      <c r="TYS12" s="120"/>
      <c r="TYT12" s="59"/>
      <c r="TYU12" s="119"/>
      <c r="TYV12" s="119"/>
      <c r="TYW12" s="119"/>
      <c r="TYX12" s="119"/>
      <c r="TYY12" s="119"/>
      <c r="TYZ12" s="119"/>
      <c r="TZA12" s="119"/>
      <c r="TZB12" s="119"/>
      <c r="TZC12" s="119"/>
      <c r="TZD12" s="119"/>
      <c r="TZE12" s="119"/>
      <c r="TZF12" s="119"/>
      <c r="TZG12" s="120"/>
      <c r="TZH12" s="120"/>
      <c r="TZI12" s="120"/>
      <c r="TZJ12" s="59"/>
      <c r="TZK12" s="119"/>
      <c r="TZL12" s="119"/>
      <c r="TZM12" s="119"/>
      <c r="TZN12" s="119"/>
      <c r="TZO12" s="119"/>
      <c r="TZP12" s="119"/>
      <c r="TZQ12" s="119"/>
      <c r="TZR12" s="119"/>
      <c r="TZS12" s="119"/>
      <c r="TZT12" s="119"/>
      <c r="TZU12" s="119"/>
      <c r="TZV12" s="119"/>
      <c r="TZW12" s="120"/>
      <c r="TZX12" s="120"/>
      <c r="TZY12" s="120"/>
      <c r="TZZ12" s="59"/>
      <c r="UAA12" s="119"/>
      <c r="UAB12" s="119"/>
      <c r="UAC12" s="119"/>
      <c r="UAD12" s="119"/>
      <c r="UAE12" s="119"/>
      <c r="UAF12" s="119"/>
      <c r="UAG12" s="119"/>
      <c r="UAH12" s="119"/>
      <c r="UAI12" s="119"/>
      <c r="UAJ12" s="119"/>
      <c r="UAK12" s="119"/>
      <c r="UAL12" s="119"/>
      <c r="UAM12" s="120"/>
      <c r="UAN12" s="120"/>
      <c r="UAO12" s="120"/>
      <c r="UAP12" s="59"/>
      <c r="UAQ12" s="119"/>
      <c r="UAR12" s="119"/>
      <c r="UAS12" s="119"/>
      <c r="UAT12" s="119"/>
      <c r="UAU12" s="119"/>
      <c r="UAV12" s="119"/>
      <c r="UAW12" s="119"/>
      <c r="UAX12" s="119"/>
      <c r="UAY12" s="119"/>
      <c r="UAZ12" s="119"/>
      <c r="UBA12" s="119"/>
      <c r="UBB12" s="119"/>
      <c r="UBC12" s="120"/>
      <c r="UBD12" s="120"/>
      <c r="UBE12" s="120"/>
      <c r="UBF12" s="59"/>
      <c r="UBG12" s="119"/>
      <c r="UBH12" s="119"/>
      <c r="UBI12" s="119"/>
      <c r="UBJ12" s="119"/>
      <c r="UBK12" s="119"/>
      <c r="UBL12" s="119"/>
      <c r="UBM12" s="119"/>
      <c r="UBN12" s="119"/>
      <c r="UBO12" s="119"/>
      <c r="UBP12" s="119"/>
      <c r="UBQ12" s="119"/>
      <c r="UBR12" s="119"/>
      <c r="UBS12" s="120"/>
      <c r="UBT12" s="120"/>
      <c r="UBU12" s="120"/>
      <c r="UBV12" s="59"/>
      <c r="UBW12" s="119"/>
      <c r="UBX12" s="119"/>
      <c r="UBY12" s="119"/>
      <c r="UBZ12" s="119"/>
      <c r="UCA12" s="119"/>
      <c r="UCB12" s="119"/>
      <c r="UCC12" s="119"/>
      <c r="UCD12" s="119"/>
      <c r="UCE12" s="119"/>
      <c r="UCF12" s="119"/>
      <c r="UCG12" s="119"/>
      <c r="UCH12" s="119"/>
      <c r="UCI12" s="120"/>
      <c r="UCJ12" s="120"/>
      <c r="UCK12" s="120"/>
      <c r="UCL12" s="59"/>
      <c r="UCM12" s="119"/>
      <c r="UCN12" s="119"/>
      <c r="UCO12" s="119"/>
      <c r="UCP12" s="119"/>
      <c r="UCQ12" s="119"/>
      <c r="UCR12" s="119"/>
      <c r="UCS12" s="119"/>
      <c r="UCT12" s="119"/>
      <c r="UCU12" s="119"/>
      <c r="UCV12" s="119"/>
      <c r="UCW12" s="119"/>
      <c r="UCX12" s="119"/>
      <c r="UCY12" s="120"/>
      <c r="UCZ12" s="120"/>
      <c r="UDA12" s="120"/>
      <c r="UDB12" s="59"/>
      <c r="UDC12" s="119"/>
      <c r="UDD12" s="119"/>
      <c r="UDE12" s="119"/>
      <c r="UDF12" s="119"/>
      <c r="UDG12" s="119"/>
      <c r="UDH12" s="119"/>
      <c r="UDI12" s="119"/>
      <c r="UDJ12" s="119"/>
      <c r="UDK12" s="119"/>
      <c r="UDL12" s="119"/>
      <c r="UDM12" s="119"/>
      <c r="UDN12" s="119"/>
      <c r="UDO12" s="120"/>
      <c r="UDP12" s="120"/>
      <c r="UDQ12" s="120"/>
      <c r="UDR12" s="59"/>
      <c r="UDS12" s="119"/>
      <c r="UDT12" s="119"/>
      <c r="UDU12" s="119"/>
      <c r="UDV12" s="119"/>
      <c r="UDW12" s="119"/>
      <c r="UDX12" s="119"/>
      <c r="UDY12" s="119"/>
      <c r="UDZ12" s="119"/>
      <c r="UEA12" s="119"/>
      <c r="UEB12" s="119"/>
      <c r="UEC12" s="119"/>
      <c r="UED12" s="119"/>
      <c r="UEE12" s="120"/>
      <c r="UEF12" s="120"/>
      <c r="UEG12" s="120"/>
      <c r="UEH12" s="59"/>
      <c r="UEI12" s="119"/>
      <c r="UEJ12" s="119"/>
      <c r="UEK12" s="119"/>
      <c r="UEL12" s="119"/>
      <c r="UEM12" s="119"/>
      <c r="UEN12" s="119"/>
      <c r="UEO12" s="119"/>
      <c r="UEP12" s="119"/>
      <c r="UEQ12" s="119"/>
      <c r="UER12" s="119"/>
      <c r="UES12" s="119"/>
      <c r="UET12" s="119"/>
      <c r="UEU12" s="120"/>
      <c r="UEV12" s="120"/>
      <c r="UEW12" s="120"/>
      <c r="UEX12" s="59"/>
      <c r="UEY12" s="119"/>
      <c r="UEZ12" s="119"/>
      <c r="UFA12" s="119"/>
      <c r="UFB12" s="119"/>
      <c r="UFC12" s="119"/>
      <c r="UFD12" s="119"/>
      <c r="UFE12" s="119"/>
      <c r="UFF12" s="119"/>
      <c r="UFG12" s="119"/>
      <c r="UFH12" s="119"/>
      <c r="UFI12" s="119"/>
      <c r="UFJ12" s="119"/>
      <c r="UFK12" s="120"/>
      <c r="UFL12" s="120"/>
      <c r="UFM12" s="120"/>
      <c r="UFN12" s="59"/>
      <c r="UFO12" s="119"/>
      <c r="UFP12" s="119"/>
      <c r="UFQ12" s="119"/>
      <c r="UFR12" s="119"/>
      <c r="UFS12" s="119"/>
      <c r="UFT12" s="119"/>
      <c r="UFU12" s="119"/>
      <c r="UFV12" s="119"/>
      <c r="UFW12" s="119"/>
      <c r="UFX12" s="119"/>
      <c r="UFY12" s="119"/>
      <c r="UFZ12" s="119"/>
      <c r="UGA12" s="120"/>
      <c r="UGB12" s="120"/>
      <c r="UGC12" s="120"/>
      <c r="UGD12" s="59"/>
      <c r="UGE12" s="119"/>
      <c r="UGF12" s="119"/>
      <c r="UGG12" s="119"/>
      <c r="UGH12" s="119"/>
      <c r="UGI12" s="119"/>
      <c r="UGJ12" s="119"/>
      <c r="UGK12" s="119"/>
      <c r="UGL12" s="119"/>
      <c r="UGM12" s="119"/>
      <c r="UGN12" s="119"/>
      <c r="UGO12" s="119"/>
      <c r="UGP12" s="119"/>
      <c r="UGQ12" s="120"/>
      <c r="UGR12" s="120"/>
      <c r="UGS12" s="120"/>
      <c r="UGT12" s="59"/>
      <c r="UGU12" s="119"/>
      <c r="UGV12" s="119"/>
      <c r="UGW12" s="119"/>
      <c r="UGX12" s="119"/>
      <c r="UGY12" s="119"/>
      <c r="UGZ12" s="119"/>
      <c r="UHA12" s="119"/>
      <c r="UHB12" s="119"/>
      <c r="UHC12" s="119"/>
      <c r="UHD12" s="119"/>
      <c r="UHE12" s="119"/>
      <c r="UHF12" s="119"/>
      <c r="UHG12" s="120"/>
      <c r="UHH12" s="120"/>
      <c r="UHI12" s="120"/>
      <c r="UHJ12" s="59"/>
      <c r="UHK12" s="119"/>
      <c r="UHL12" s="119"/>
      <c r="UHM12" s="119"/>
      <c r="UHN12" s="119"/>
      <c r="UHO12" s="119"/>
      <c r="UHP12" s="119"/>
      <c r="UHQ12" s="119"/>
      <c r="UHR12" s="119"/>
      <c r="UHS12" s="119"/>
      <c r="UHT12" s="119"/>
      <c r="UHU12" s="119"/>
      <c r="UHV12" s="119"/>
      <c r="UHW12" s="120"/>
      <c r="UHX12" s="120"/>
      <c r="UHY12" s="120"/>
      <c r="UHZ12" s="59"/>
      <c r="UIA12" s="119"/>
      <c r="UIB12" s="119"/>
      <c r="UIC12" s="119"/>
      <c r="UID12" s="119"/>
      <c r="UIE12" s="119"/>
      <c r="UIF12" s="119"/>
      <c r="UIG12" s="119"/>
      <c r="UIH12" s="119"/>
      <c r="UII12" s="119"/>
      <c r="UIJ12" s="119"/>
      <c r="UIK12" s="119"/>
      <c r="UIL12" s="119"/>
      <c r="UIM12" s="120"/>
      <c r="UIN12" s="120"/>
      <c r="UIO12" s="120"/>
      <c r="UIP12" s="59"/>
      <c r="UIQ12" s="119"/>
      <c r="UIR12" s="119"/>
      <c r="UIS12" s="119"/>
      <c r="UIT12" s="119"/>
      <c r="UIU12" s="119"/>
      <c r="UIV12" s="119"/>
      <c r="UIW12" s="119"/>
      <c r="UIX12" s="119"/>
      <c r="UIY12" s="119"/>
      <c r="UIZ12" s="119"/>
      <c r="UJA12" s="119"/>
      <c r="UJB12" s="119"/>
      <c r="UJC12" s="120"/>
      <c r="UJD12" s="120"/>
      <c r="UJE12" s="120"/>
      <c r="UJF12" s="59"/>
      <c r="UJG12" s="119"/>
      <c r="UJH12" s="119"/>
      <c r="UJI12" s="119"/>
      <c r="UJJ12" s="119"/>
      <c r="UJK12" s="119"/>
      <c r="UJL12" s="119"/>
      <c r="UJM12" s="119"/>
      <c r="UJN12" s="119"/>
      <c r="UJO12" s="119"/>
      <c r="UJP12" s="119"/>
      <c r="UJQ12" s="119"/>
      <c r="UJR12" s="119"/>
      <c r="UJS12" s="120"/>
      <c r="UJT12" s="120"/>
      <c r="UJU12" s="120"/>
      <c r="UJV12" s="59"/>
      <c r="UJW12" s="119"/>
      <c r="UJX12" s="119"/>
      <c r="UJY12" s="119"/>
      <c r="UJZ12" s="119"/>
      <c r="UKA12" s="119"/>
      <c r="UKB12" s="119"/>
      <c r="UKC12" s="119"/>
      <c r="UKD12" s="119"/>
      <c r="UKE12" s="119"/>
      <c r="UKF12" s="119"/>
      <c r="UKG12" s="119"/>
      <c r="UKH12" s="119"/>
      <c r="UKI12" s="120"/>
      <c r="UKJ12" s="120"/>
      <c r="UKK12" s="120"/>
      <c r="UKL12" s="59"/>
      <c r="UKM12" s="119"/>
      <c r="UKN12" s="119"/>
      <c r="UKO12" s="119"/>
      <c r="UKP12" s="119"/>
      <c r="UKQ12" s="119"/>
      <c r="UKR12" s="119"/>
      <c r="UKS12" s="119"/>
      <c r="UKT12" s="119"/>
      <c r="UKU12" s="119"/>
      <c r="UKV12" s="119"/>
      <c r="UKW12" s="119"/>
      <c r="UKX12" s="119"/>
      <c r="UKY12" s="120"/>
      <c r="UKZ12" s="120"/>
      <c r="ULA12" s="120"/>
      <c r="ULB12" s="59"/>
      <c r="ULC12" s="119"/>
      <c r="ULD12" s="119"/>
      <c r="ULE12" s="119"/>
      <c r="ULF12" s="119"/>
      <c r="ULG12" s="119"/>
      <c r="ULH12" s="119"/>
      <c r="ULI12" s="119"/>
      <c r="ULJ12" s="119"/>
      <c r="ULK12" s="119"/>
      <c r="ULL12" s="119"/>
      <c r="ULM12" s="119"/>
      <c r="ULN12" s="119"/>
      <c r="ULO12" s="120"/>
      <c r="ULP12" s="120"/>
      <c r="ULQ12" s="120"/>
      <c r="ULR12" s="59"/>
      <c r="ULS12" s="119"/>
      <c r="ULT12" s="119"/>
      <c r="ULU12" s="119"/>
      <c r="ULV12" s="119"/>
      <c r="ULW12" s="119"/>
      <c r="ULX12" s="119"/>
      <c r="ULY12" s="119"/>
      <c r="ULZ12" s="119"/>
      <c r="UMA12" s="119"/>
      <c r="UMB12" s="119"/>
      <c r="UMC12" s="119"/>
      <c r="UMD12" s="119"/>
      <c r="UME12" s="120"/>
      <c r="UMF12" s="120"/>
      <c r="UMG12" s="120"/>
      <c r="UMH12" s="59"/>
      <c r="UMI12" s="119"/>
      <c r="UMJ12" s="119"/>
      <c r="UMK12" s="119"/>
      <c r="UML12" s="119"/>
      <c r="UMM12" s="119"/>
      <c r="UMN12" s="119"/>
      <c r="UMO12" s="119"/>
      <c r="UMP12" s="119"/>
      <c r="UMQ12" s="119"/>
      <c r="UMR12" s="119"/>
      <c r="UMS12" s="119"/>
      <c r="UMT12" s="119"/>
      <c r="UMU12" s="120"/>
      <c r="UMV12" s="120"/>
      <c r="UMW12" s="120"/>
      <c r="UMX12" s="59"/>
      <c r="UMY12" s="119"/>
      <c r="UMZ12" s="119"/>
      <c r="UNA12" s="119"/>
      <c r="UNB12" s="119"/>
      <c r="UNC12" s="119"/>
      <c r="UND12" s="119"/>
      <c r="UNE12" s="119"/>
      <c r="UNF12" s="119"/>
      <c r="UNG12" s="119"/>
      <c r="UNH12" s="119"/>
      <c r="UNI12" s="119"/>
      <c r="UNJ12" s="119"/>
      <c r="UNK12" s="120"/>
      <c r="UNL12" s="120"/>
      <c r="UNM12" s="120"/>
      <c r="UNN12" s="59"/>
      <c r="UNO12" s="119"/>
      <c r="UNP12" s="119"/>
      <c r="UNQ12" s="119"/>
      <c r="UNR12" s="119"/>
      <c r="UNS12" s="119"/>
      <c r="UNT12" s="119"/>
      <c r="UNU12" s="119"/>
      <c r="UNV12" s="119"/>
      <c r="UNW12" s="119"/>
      <c r="UNX12" s="119"/>
      <c r="UNY12" s="119"/>
      <c r="UNZ12" s="119"/>
      <c r="UOA12" s="120"/>
      <c r="UOB12" s="120"/>
      <c r="UOC12" s="120"/>
      <c r="UOD12" s="59"/>
      <c r="UOE12" s="119"/>
      <c r="UOF12" s="119"/>
      <c r="UOG12" s="119"/>
      <c r="UOH12" s="119"/>
      <c r="UOI12" s="119"/>
      <c r="UOJ12" s="119"/>
      <c r="UOK12" s="119"/>
      <c r="UOL12" s="119"/>
      <c r="UOM12" s="119"/>
      <c r="UON12" s="119"/>
      <c r="UOO12" s="119"/>
      <c r="UOP12" s="119"/>
      <c r="UOQ12" s="120"/>
      <c r="UOR12" s="120"/>
      <c r="UOS12" s="120"/>
      <c r="UOT12" s="59"/>
      <c r="UOU12" s="119"/>
      <c r="UOV12" s="119"/>
      <c r="UOW12" s="119"/>
      <c r="UOX12" s="119"/>
      <c r="UOY12" s="119"/>
      <c r="UOZ12" s="119"/>
      <c r="UPA12" s="119"/>
      <c r="UPB12" s="119"/>
      <c r="UPC12" s="119"/>
      <c r="UPD12" s="119"/>
      <c r="UPE12" s="119"/>
      <c r="UPF12" s="119"/>
      <c r="UPG12" s="120"/>
      <c r="UPH12" s="120"/>
      <c r="UPI12" s="120"/>
      <c r="UPJ12" s="59"/>
      <c r="UPK12" s="119"/>
      <c r="UPL12" s="119"/>
      <c r="UPM12" s="119"/>
      <c r="UPN12" s="119"/>
      <c r="UPO12" s="119"/>
      <c r="UPP12" s="119"/>
      <c r="UPQ12" s="119"/>
      <c r="UPR12" s="119"/>
      <c r="UPS12" s="119"/>
      <c r="UPT12" s="119"/>
      <c r="UPU12" s="119"/>
      <c r="UPV12" s="119"/>
      <c r="UPW12" s="120"/>
      <c r="UPX12" s="120"/>
      <c r="UPY12" s="120"/>
      <c r="UPZ12" s="59"/>
      <c r="UQA12" s="119"/>
      <c r="UQB12" s="119"/>
      <c r="UQC12" s="119"/>
      <c r="UQD12" s="119"/>
      <c r="UQE12" s="119"/>
      <c r="UQF12" s="119"/>
      <c r="UQG12" s="119"/>
      <c r="UQH12" s="119"/>
      <c r="UQI12" s="119"/>
      <c r="UQJ12" s="119"/>
      <c r="UQK12" s="119"/>
      <c r="UQL12" s="119"/>
      <c r="UQM12" s="120"/>
      <c r="UQN12" s="120"/>
      <c r="UQO12" s="120"/>
      <c r="UQP12" s="59"/>
      <c r="UQQ12" s="119"/>
      <c r="UQR12" s="119"/>
      <c r="UQS12" s="119"/>
      <c r="UQT12" s="119"/>
      <c r="UQU12" s="119"/>
      <c r="UQV12" s="119"/>
      <c r="UQW12" s="119"/>
      <c r="UQX12" s="119"/>
      <c r="UQY12" s="119"/>
      <c r="UQZ12" s="119"/>
      <c r="URA12" s="119"/>
      <c r="URB12" s="119"/>
      <c r="URC12" s="120"/>
      <c r="URD12" s="120"/>
      <c r="URE12" s="120"/>
      <c r="URF12" s="59"/>
      <c r="URG12" s="119"/>
      <c r="URH12" s="119"/>
      <c r="URI12" s="119"/>
      <c r="URJ12" s="119"/>
      <c r="URK12" s="119"/>
      <c r="URL12" s="119"/>
      <c r="URM12" s="119"/>
      <c r="URN12" s="119"/>
      <c r="URO12" s="119"/>
      <c r="URP12" s="119"/>
      <c r="URQ12" s="119"/>
      <c r="URR12" s="119"/>
      <c r="URS12" s="120"/>
      <c r="URT12" s="120"/>
      <c r="URU12" s="120"/>
      <c r="URV12" s="59"/>
      <c r="URW12" s="119"/>
      <c r="URX12" s="119"/>
      <c r="URY12" s="119"/>
      <c r="URZ12" s="119"/>
      <c r="USA12" s="119"/>
      <c r="USB12" s="119"/>
      <c r="USC12" s="119"/>
      <c r="USD12" s="119"/>
      <c r="USE12" s="119"/>
      <c r="USF12" s="119"/>
      <c r="USG12" s="119"/>
      <c r="USH12" s="119"/>
      <c r="USI12" s="120"/>
      <c r="USJ12" s="120"/>
      <c r="USK12" s="120"/>
      <c r="USL12" s="59"/>
      <c r="USM12" s="119"/>
      <c r="USN12" s="119"/>
      <c r="USO12" s="119"/>
      <c r="USP12" s="119"/>
      <c r="USQ12" s="119"/>
      <c r="USR12" s="119"/>
      <c r="USS12" s="119"/>
      <c r="UST12" s="119"/>
      <c r="USU12" s="119"/>
      <c r="USV12" s="119"/>
      <c r="USW12" s="119"/>
      <c r="USX12" s="119"/>
      <c r="USY12" s="120"/>
      <c r="USZ12" s="120"/>
      <c r="UTA12" s="120"/>
      <c r="UTB12" s="59"/>
      <c r="UTC12" s="119"/>
      <c r="UTD12" s="119"/>
      <c r="UTE12" s="119"/>
      <c r="UTF12" s="119"/>
      <c r="UTG12" s="119"/>
      <c r="UTH12" s="119"/>
      <c r="UTI12" s="119"/>
      <c r="UTJ12" s="119"/>
      <c r="UTK12" s="119"/>
      <c r="UTL12" s="119"/>
      <c r="UTM12" s="119"/>
      <c r="UTN12" s="119"/>
      <c r="UTO12" s="120"/>
      <c r="UTP12" s="120"/>
      <c r="UTQ12" s="120"/>
      <c r="UTR12" s="59"/>
      <c r="UTS12" s="119"/>
      <c r="UTT12" s="119"/>
      <c r="UTU12" s="119"/>
      <c r="UTV12" s="119"/>
      <c r="UTW12" s="119"/>
      <c r="UTX12" s="119"/>
      <c r="UTY12" s="119"/>
      <c r="UTZ12" s="119"/>
      <c r="UUA12" s="119"/>
      <c r="UUB12" s="119"/>
      <c r="UUC12" s="119"/>
      <c r="UUD12" s="119"/>
      <c r="UUE12" s="120"/>
      <c r="UUF12" s="120"/>
      <c r="UUG12" s="120"/>
      <c r="UUH12" s="59"/>
      <c r="UUI12" s="119"/>
      <c r="UUJ12" s="119"/>
      <c r="UUK12" s="119"/>
      <c r="UUL12" s="119"/>
      <c r="UUM12" s="119"/>
      <c r="UUN12" s="119"/>
      <c r="UUO12" s="119"/>
      <c r="UUP12" s="119"/>
      <c r="UUQ12" s="119"/>
      <c r="UUR12" s="119"/>
      <c r="UUS12" s="119"/>
      <c r="UUT12" s="119"/>
      <c r="UUU12" s="120"/>
      <c r="UUV12" s="120"/>
      <c r="UUW12" s="120"/>
      <c r="UUX12" s="59"/>
      <c r="UUY12" s="119"/>
      <c r="UUZ12" s="119"/>
      <c r="UVA12" s="119"/>
      <c r="UVB12" s="119"/>
      <c r="UVC12" s="119"/>
      <c r="UVD12" s="119"/>
      <c r="UVE12" s="119"/>
      <c r="UVF12" s="119"/>
      <c r="UVG12" s="119"/>
      <c r="UVH12" s="119"/>
      <c r="UVI12" s="119"/>
      <c r="UVJ12" s="119"/>
      <c r="UVK12" s="120"/>
      <c r="UVL12" s="120"/>
      <c r="UVM12" s="120"/>
      <c r="UVN12" s="59"/>
      <c r="UVO12" s="119"/>
      <c r="UVP12" s="119"/>
      <c r="UVQ12" s="119"/>
      <c r="UVR12" s="119"/>
      <c r="UVS12" s="119"/>
      <c r="UVT12" s="119"/>
      <c r="UVU12" s="119"/>
      <c r="UVV12" s="119"/>
      <c r="UVW12" s="119"/>
      <c r="UVX12" s="119"/>
      <c r="UVY12" s="119"/>
      <c r="UVZ12" s="119"/>
      <c r="UWA12" s="120"/>
      <c r="UWB12" s="120"/>
      <c r="UWC12" s="120"/>
      <c r="UWD12" s="59"/>
      <c r="UWE12" s="119"/>
      <c r="UWF12" s="119"/>
      <c r="UWG12" s="119"/>
      <c r="UWH12" s="119"/>
      <c r="UWI12" s="119"/>
      <c r="UWJ12" s="119"/>
      <c r="UWK12" s="119"/>
      <c r="UWL12" s="119"/>
      <c r="UWM12" s="119"/>
      <c r="UWN12" s="119"/>
      <c r="UWO12" s="119"/>
      <c r="UWP12" s="119"/>
      <c r="UWQ12" s="120"/>
      <c r="UWR12" s="120"/>
      <c r="UWS12" s="120"/>
      <c r="UWT12" s="59"/>
      <c r="UWU12" s="119"/>
      <c r="UWV12" s="119"/>
      <c r="UWW12" s="119"/>
      <c r="UWX12" s="119"/>
      <c r="UWY12" s="119"/>
      <c r="UWZ12" s="119"/>
      <c r="UXA12" s="119"/>
      <c r="UXB12" s="119"/>
      <c r="UXC12" s="119"/>
      <c r="UXD12" s="119"/>
      <c r="UXE12" s="119"/>
      <c r="UXF12" s="119"/>
      <c r="UXG12" s="120"/>
      <c r="UXH12" s="120"/>
      <c r="UXI12" s="120"/>
      <c r="UXJ12" s="59"/>
      <c r="UXK12" s="119"/>
      <c r="UXL12" s="119"/>
      <c r="UXM12" s="119"/>
      <c r="UXN12" s="119"/>
      <c r="UXO12" s="119"/>
      <c r="UXP12" s="119"/>
      <c r="UXQ12" s="119"/>
      <c r="UXR12" s="119"/>
      <c r="UXS12" s="119"/>
      <c r="UXT12" s="119"/>
      <c r="UXU12" s="119"/>
      <c r="UXV12" s="119"/>
      <c r="UXW12" s="120"/>
      <c r="UXX12" s="120"/>
      <c r="UXY12" s="120"/>
      <c r="UXZ12" s="59"/>
      <c r="UYA12" s="119"/>
      <c r="UYB12" s="119"/>
      <c r="UYC12" s="119"/>
      <c r="UYD12" s="119"/>
      <c r="UYE12" s="119"/>
      <c r="UYF12" s="119"/>
      <c r="UYG12" s="119"/>
      <c r="UYH12" s="119"/>
      <c r="UYI12" s="119"/>
      <c r="UYJ12" s="119"/>
      <c r="UYK12" s="119"/>
      <c r="UYL12" s="119"/>
      <c r="UYM12" s="120"/>
      <c r="UYN12" s="120"/>
      <c r="UYO12" s="120"/>
      <c r="UYP12" s="59"/>
      <c r="UYQ12" s="119"/>
      <c r="UYR12" s="119"/>
      <c r="UYS12" s="119"/>
      <c r="UYT12" s="119"/>
      <c r="UYU12" s="119"/>
      <c r="UYV12" s="119"/>
      <c r="UYW12" s="119"/>
      <c r="UYX12" s="119"/>
      <c r="UYY12" s="119"/>
      <c r="UYZ12" s="119"/>
      <c r="UZA12" s="119"/>
      <c r="UZB12" s="119"/>
      <c r="UZC12" s="120"/>
      <c r="UZD12" s="120"/>
      <c r="UZE12" s="120"/>
      <c r="UZF12" s="59"/>
      <c r="UZG12" s="119"/>
      <c r="UZH12" s="119"/>
      <c r="UZI12" s="119"/>
      <c r="UZJ12" s="119"/>
      <c r="UZK12" s="119"/>
      <c r="UZL12" s="119"/>
      <c r="UZM12" s="119"/>
      <c r="UZN12" s="119"/>
      <c r="UZO12" s="119"/>
      <c r="UZP12" s="119"/>
      <c r="UZQ12" s="119"/>
      <c r="UZR12" s="119"/>
      <c r="UZS12" s="120"/>
      <c r="UZT12" s="120"/>
      <c r="UZU12" s="120"/>
      <c r="UZV12" s="59"/>
      <c r="UZW12" s="119"/>
      <c r="UZX12" s="119"/>
      <c r="UZY12" s="119"/>
      <c r="UZZ12" s="119"/>
      <c r="VAA12" s="119"/>
      <c r="VAB12" s="119"/>
      <c r="VAC12" s="119"/>
      <c r="VAD12" s="119"/>
      <c r="VAE12" s="119"/>
      <c r="VAF12" s="119"/>
      <c r="VAG12" s="119"/>
      <c r="VAH12" s="119"/>
      <c r="VAI12" s="120"/>
      <c r="VAJ12" s="120"/>
      <c r="VAK12" s="120"/>
      <c r="VAL12" s="59"/>
      <c r="VAM12" s="119"/>
      <c r="VAN12" s="119"/>
      <c r="VAO12" s="119"/>
      <c r="VAP12" s="119"/>
      <c r="VAQ12" s="119"/>
      <c r="VAR12" s="119"/>
      <c r="VAS12" s="119"/>
      <c r="VAT12" s="119"/>
      <c r="VAU12" s="119"/>
      <c r="VAV12" s="119"/>
      <c r="VAW12" s="119"/>
      <c r="VAX12" s="119"/>
      <c r="VAY12" s="120"/>
      <c r="VAZ12" s="120"/>
      <c r="VBA12" s="120"/>
      <c r="VBB12" s="59"/>
      <c r="VBC12" s="119"/>
      <c r="VBD12" s="119"/>
      <c r="VBE12" s="119"/>
      <c r="VBF12" s="119"/>
      <c r="VBG12" s="119"/>
      <c r="VBH12" s="119"/>
      <c r="VBI12" s="119"/>
      <c r="VBJ12" s="119"/>
      <c r="VBK12" s="119"/>
      <c r="VBL12" s="119"/>
      <c r="VBM12" s="119"/>
      <c r="VBN12" s="119"/>
      <c r="VBO12" s="120"/>
      <c r="VBP12" s="120"/>
      <c r="VBQ12" s="120"/>
      <c r="VBR12" s="59"/>
      <c r="VBS12" s="119"/>
      <c r="VBT12" s="119"/>
      <c r="VBU12" s="119"/>
      <c r="VBV12" s="119"/>
      <c r="VBW12" s="119"/>
      <c r="VBX12" s="119"/>
      <c r="VBY12" s="119"/>
      <c r="VBZ12" s="119"/>
      <c r="VCA12" s="119"/>
      <c r="VCB12" s="119"/>
      <c r="VCC12" s="119"/>
      <c r="VCD12" s="119"/>
      <c r="VCE12" s="120"/>
      <c r="VCF12" s="120"/>
      <c r="VCG12" s="120"/>
      <c r="VCH12" s="59"/>
      <c r="VCI12" s="119"/>
      <c r="VCJ12" s="119"/>
      <c r="VCK12" s="119"/>
      <c r="VCL12" s="119"/>
      <c r="VCM12" s="119"/>
      <c r="VCN12" s="119"/>
      <c r="VCO12" s="119"/>
      <c r="VCP12" s="119"/>
      <c r="VCQ12" s="119"/>
      <c r="VCR12" s="119"/>
      <c r="VCS12" s="119"/>
      <c r="VCT12" s="119"/>
      <c r="VCU12" s="120"/>
      <c r="VCV12" s="120"/>
      <c r="VCW12" s="120"/>
      <c r="VCX12" s="59"/>
      <c r="VCY12" s="119"/>
      <c r="VCZ12" s="119"/>
      <c r="VDA12" s="119"/>
      <c r="VDB12" s="119"/>
      <c r="VDC12" s="119"/>
      <c r="VDD12" s="119"/>
      <c r="VDE12" s="119"/>
      <c r="VDF12" s="119"/>
      <c r="VDG12" s="119"/>
      <c r="VDH12" s="119"/>
      <c r="VDI12" s="119"/>
      <c r="VDJ12" s="119"/>
      <c r="VDK12" s="120"/>
      <c r="VDL12" s="120"/>
      <c r="VDM12" s="120"/>
      <c r="VDN12" s="59"/>
      <c r="VDO12" s="119"/>
      <c r="VDP12" s="119"/>
      <c r="VDQ12" s="119"/>
      <c r="VDR12" s="119"/>
      <c r="VDS12" s="119"/>
      <c r="VDT12" s="119"/>
      <c r="VDU12" s="119"/>
      <c r="VDV12" s="119"/>
      <c r="VDW12" s="119"/>
      <c r="VDX12" s="119"/>
      <c r="VDY12" s="119"/>
      <c r="VDZ12" s="119"/>
      <c r="VEA12" s="120"/>
      <c r="VEB12" s="120"/>
      <c r="VEC12" s="120"/>
      <c r="VED12" s="59"/>
      <c r="VEE12" s="119"/>
      <c r="VEF12" s="119"/>
      <c r="VEG12" s="119"/>
      <c r="VEH12" s="119"/>
      <c r="VEI12" s="119"/>
      <c r="VEJ12" s="119"/>
      <c r="VEK12" s="119"/>
      <c r="VEL12" s="119"/>
      <c r="VEM12" s="119"/>
      <c r="VEN12" s="119"/>
      <c r="VEO12" s="119"/>
      <c r="VEP12" s="119"/>
      <c r="VEQ12" s="120"/>
      <c r="VER12" s="120"/>
      <c r="VES12" s="120"/>
      <c r="VET12" s="59"/>
      <c r="VEU12" s="119"/>
      <c r="VEV12" s="119"/>
      <c r="VEW12" s="119"/>
      <c r="VEX12" s="119"/>
      <c r="VEY12" s="119"/>
      <c r="VEZ12" s="119"/>
      <c r="VFA12" s="119"/>
      <c r="VFB12" s="119"/>
      <c r="VFC12" s="119"/>
      <c r="VFD12" s="119"/>
      <c r="VFE12" s="119"/>
      <c r="VFF12" s="119"/>
      <c r="VFG12" s="120"/>
      <c r="VFH12" s="120"/>
      <c r="VFI12" s="120"/>
      <c r="VFJ12" s="59"/>
      <c r="VFK12" s="119"/>
      <c r="VFL12" s="119"/>
      <c r="VFM12" s="119"/>
      <c r="VFN12" s="119"/>
      <c r="VFO12" s="119"/>
      <c r="VFP12" s="119"/>
      <c r="VFQ12" s="119"/>
      <c r="VFR12" s="119"/>
      <c r="VFS12" s="119"/>
      <c r="VFT12" s="119"/>
      <c r="VFU12" s="119"/>
      <c r="VFV12" s="119"/>
      <c r="VFW12" s="120"/>
      <c r="VFX12" s="120"/>
      <c r="VFY12" s="120"/>
      <c r="VFZ12" s="59"/>
      <c r="VGA12" s="119"/>
      <c r="VGB12" s="119"/>
      <c r="VGC12" s="119"/>
      <c r="VGD12" s="119"/>
      <c r="VGE12" s="119"/>
      <c r="VGF12" s="119"/>
      <c r="VGG12" s="119"/>
      <c r="VGH12" s="119"/>
      <c r="VGI12" s="119"/>
      <c r="VGJ12" s="119"/>
      <c r="VGK12" s="119"/>
      <c r="VGL12" s="119"/>
      <c r="VGM12" s="120"/>
      <c r="VGN12" s="120"/>
      <c r="VGO12" s="120"/>
      <c r="VGP12" s="59"/>
      <c r="VGQ12" s="119"/>
      <c r="VGR12" s="119"/>
      <c r="VGS12" s="119"/>
      <c r="VGT12" s="119"/>
      <c r="VGU12" s="119"/>
      <c r="VGV12" s="119"/>
      <c r="VGW12" s="119"/>
      <c r="VGX12" s="119"/>
      <c r="VGY12" s="119"/>
      <c r="VGZ12" s="119"/>
      <c r="VHA12" s="119"/>
      <c r="VHB12" s="119"/>
      <c r="VHC12" s="120"/>
      <c r="VHD12" s="120"/>
      <c r="VHE12" s="120"/>
      <c r="VHF12" s="59"/>
      <c r="VHG12" s="119"/>
      <c r="VHH12" s="119"/>
      <c r="VHI12" s="119"/>
      <c r="VHJ12" s="119"/>
      <c r="VHK12" s="119"/>
      <c r="VHL12" s="119"/>
      <c r="VHM12" s="119"/>
      <c r="VHN12" s="119"/>
      <c r="VHO12" s="119"/>
      <c r="VHP12" s="119"/>
      <c r="VHQ12" s="119"/>
      <c r="VHR12" s="119"/>
      <c r="VHS12" s="120"/>
      <c r="VHT12" s="120"/>
      <c r="VHU12" s="120"/>
      <c r="VHV12" s="59"/>
      <c r="VHW12" s="119"/>
      <c r="VHX12" s="119"/>
      <c r="VHY12" s="119"/>
      <c r="VHZ12" s="119"/>
      <c r="VIA12" s="119"/>
      <c r="VIB12" s="119"/>
      <c r="VIC12" s="119"/>
      <c r="VID12" s="119"/>
      <c r="VIE12" s="119"/>
      <c r="VIF12" s="119"/>
      <c r="VIG12" s="119"/>
      <c r="VIH12" s="119"/>
      <c r="VII12" s="120"/>
      <c r="VIJ12" s="120"/>
      <c r="VIK12" s="120"/>
      <c r="VIL12" s="59"/>
      <c r="VIM12" s="119"/>
      <c r="VIN12" s="119"/>
      <c r="VIO12" s="119"/>
      <c r="VIP12" s="119"/>
      <c r="VIQ12" s="119"/>
      <c r="VIR12" s="119"/>
      <c r="VIS12" s="119"/>
      <c r="VIT12" s="119"/>
      <c r="VIU12" s="119"/>
      <c r="VIV12" s="119"/>
      <c r="VIW12" s="119"/>
      <c r="VIX12" s="119"/>
      <c r="VIY12" s="120"/>
      <c r="VIZ12" s="120"/>
      <c r="VJA12" s="120"/>
      <c r="VJB12" s="59"/>
      <c r="VJC12" s="119"/>
      <c r="VJD12" s="119"/>
      <c r="VJE12" s="119"/>
      <c r="VJF12" s="119"/>
      <c r="VJG12" s="119"/>
      <c r="VJH12" s="119"/>
      <c r="VJI12" s="119"/>
      <c r="VJJ12" s="119"/>
      <c r="VJK12" s="119"/>
      <c r="VJL12" s="119"/>
      <c r="VJM12" s="119"/>
      <c r="VJN12" s="119"/>
      <c r="VJO12" s="120"/>
      <c r="VJP12" s="120"/>
      <c r="VJQ12" s="120"/>
      <c r="VJR12" s="59"/>
      <c r="VJS12" s="119"/>
      <c r="VJT12" s="119"/>
      <c r="VJU12" s="119"/>
      <c r="VJV12" s="119"/>
      <c r="VJW12" s="119"/>
      <c r="VJX12" s="119"/>
      <c r="VJY12" s="119"/>
      <c r="VJZ12" s="119"/>
      <c r="VKA12" s="119"/>
      <c r="VKB12" s="119"/>
      <c r="VKC12" s="119"/>
      <c r="VKD12" s="119"/>
      <c r="VKE12" s="120"/>
      <c r="VKF12" s="120"/>
      <c r="VKG12" s="120"/>
      <c r="VKH12" s="59"/>
      <c r="VKI12" s="119"/>
      <c r="VKJ12" s="119"/>
      <c r="VKK12" s="119"/>
      <c r="VKL12" s="119"/>
      <c r="VKM12" s="119"/>
      <c r="VKN12" s="119"/>
      <c r="VKO12" s="119"/>
      <c r="VKP12" s="119"/>
      <c r="VKQ12" s="119"/>
      <c r="VKR12" s="119"/>
      <c r="VKS12" s="119"/>
      <c r="VKT12" s="119"/>
      <c r="VKU12" s="120"/>
      <c r="VKV12" s="120"/>
      <c r="VKW12" s="120"/>
      <c r="VKX12" s="59"/>
      <c r="VKY12" s="119"/>
      <c r="VKZ12" s="119"/>
      <c r="VLA12" s="119"/>
      <c r="VLB12" s="119"/>
      <c r="VLC12" s="119"/>
      <c r="VLD12" s="119"/>
      <c r="VLE12" s="119"/>
      <c r="VLF12" s="119"/>
      <c r="VLG12" s="119"/>
      <c r="VLH12" s="119"/>
      <c r="VLI12" s="119"/>
      <c r="VLJ12" s="119"/>
      <c r="VLK12" s="120"/>
      <c r="VLL12" s="120"/>
      <c r="VLM12" s="120"/>
      <c r="VLN12" s="59"/>
      <c r="VLO12" s="119"/>
      <c r="VLP12" s="119"/>
      <c r="VLQ12" s="119"/>
      <c r="VLR12" s="119"/>
      <c r="VLS12" s="119"/>
      <c r="VLT12" s="119"/>
      <c r="VLU12" s="119"/>
      <c r="VLV12" s="119"/>
      <c r="VLW12" s="119"/>
      <c r="VLX12" s="119"/>
      <c r="VLY12" s="119"/>
      <c r="VLZ12" s="119"/>
      <c r="VMA12" s="120"/>
      <c r="VMB12" s="120"/>
      <c r="VMC12" s="120"/>
      <c r="VMD12" s="59"/>
      <c r="VME12" s="119"/>
      <c r="VMF12" s="119"/>
      <c r="VMG12" s="119"/>
      <c r="VMH12" s="119"/>
      <c r="VMI12" s="119"/>
      <c r="VMJ12" s="119"/>
      <c r="VMK12" s="119"/>
      <c r="VML12" s="119"/>
      <c r="VMM12" s="119"/>
      <c r="VMN12" s="119"/>
      <c r="VMO12" s="119"/>
      <c r="VMP12" s="119"/>
      <c r="VMQ12" s="120"/>
      <c r="VMR12" s="120"/>
      <c r="VMS12" s="120"/>
      <c r="VMT12" s="59"/>
      <c r="VMU12" s="119"/>
      <c r="VMV12" s="119"/>
      <c r="VMW12" s="119"/>
      <c r="VMX12" s="119"/>
      <c r="VMY12" s="119"/>
      <c r="VMZ12" s="119"/>
      <c r="VNA12" s="119"/>
      <c r="VNB12" s="119"/>
      <c r="VNC12" s="119"/>
      <c r="VND12" s="119"/>
      <c r="VNE12" s="119"/>
      <c r="VNF12" s="119"/>
      <c r="VNG12" s="120"/>
      <c r="VNH12" s="120"/>
      <c r="VNI12" s="120"/>
      <c r="VNJ12" s="59"/>
      <c r="VNK12" s="119"/>
      <c r="VNL12" s="119"/>
      <c r="VNM12" s="119"/>
      <c r="VNN12" s="119"/>
      <c r="VNO12" s="119"/>
      <c r="VNP12" s="119"/>
      <c r="VNQ12" s="119"/>
      <c r="VNR12" s="119"/>
      <c r="VNS12" s="119"/>
      <c r="VNT12" s="119"/>
      <c r="VNU12" s="119"/>
      <c r="VNV12" s="119"/>
      <c r="VNW12" s="120"/>
      <c r="VNX12" s="120"/>
      <c r="VNY12" s="120"/>
      <c r="VNZ12" s="59"/>
      <c r="VOA12" s="119"/>
      <c r="VOB12" s="119"/>
      <c r="VOC12" s="119"/>
      <c r="VOD12" s="119"/>
      <c r="VOE12" s="119"/>
      <c r="VOF12" s="119"/>
      <c r="VOG12" s="119"/>
      <c r="VOH12" s="119"/>
      <c r="VOI12" s="119"/>
      <c r="VOJ12" s="119"/>
      <c r="VOK12" s="119"/>
      <c r="VOL12" s="119"/>
      <c r="VOM12" s="120"/>
      <c r="VON12" s="120"/>
      <c r="VOO12" s="120"/>
      <c r="VOP12" s="59"/>
      <c r="VOQ12" s="119"/>
      <c r="VOR12" s="119"/>
      <c r="VOS12" s="119"/>
      <c r="VOT12" s="119"/>
      <c r="VOU12" s="119"/>
      <c r="VOV12" s="119"/>
      <c r="VOW12" s="119"/>
      <c r="VOX12" s="119"/>
      <c r="VOY12" s="119"/>
      <c r="VOZ12" s="119"/>
      <c r="VPA12" s="119"/>
      <c r="VPB12" s="119"/>
      <c r="VPC12" s="120"/>
      <c r="VPD12" s="120"/>
      <c r="VPE12" s="120"/>
      <c r="VPF12" s="59"/>
      <c r="VPG12" s="119"/>
      <c r="VPH12" s="119"/>
      <c r="VPI12" s="119"/>
      <c r="VPJ12" s="119"/>
      <c r="VPK12" s="119"/>
      <c r="VPL12" s="119"/>
      <c r="VPM12" s="119"/>
      <c r="VPN12" s="119"/>
      <c r="VPO12" s="119"/>
      <c r="VPP12" s="119"/>
      <c r="VPQ12" s="119"/>
      <c r="VPR12" s="119"/>
      <c r="VPS12" s="120"/>
      <c r="VPT12" s="120"/>
      <c r="VPU12" s="120"/>
      <c r="VPV12" s="59"/>
      <c r="VPW12" s="119"/>
      <c r="VPX12" s="119"/>
      <c r="VPY12" s="119"/>
      <c r="VPZ12" s="119"/>
      <c r="VQA12" s="119"/>
      <c r="VQB12" s="119"/>
      <c r="VQC12" s="119"/>
      <c r="VQD12" s="119"/>
      <c r="VQE12" s="119"/>
      <c r="VQF12" s="119"/>
      <c r="VQG12" s="119"/>
      <c r="VQH12" s="119"/>
      <c r="VQI12" s="120"/>
      <c r="VQJ12" s="120"/>
      <c r="VQK12" s="120"/>
      <c r="VQL12" s="59"/>
      <c r="VQM12" s="119"/>
      <c r="VQN12" s="119"/>
      <c r="VQO12" s="119"/>
      <c r="VQP12" s="119"/>
      <c r="VQQ12" s="119"/>
      <c r="VQR12" s="119"/>
      <c r="VQS12" s="119"/>
      <c r="VQT12" s="119"/>
      <c r="VQU12" s="119"/>
      <c r="VQV12" s="119"/>
      <c r="VQW12" s="119"/>
      <c r="VQX12" s="119"/>
      <c r="VQY12" s="120"/>
      <c r="VQZ12" s="120"/>
      <c r="VRA12" s="120"/>
      <c r="VRB12" s="59"/>
      <c r="VRC12" s="119"/>
      <c r="VRD12" s="119"/>
      <c r="VRE12" s="119"/>
      <c r="VRF12" s="119"/>
      <c r="VRG12" s="119"/>
      <c r="VRH12" s="119"/>
      <c r="VRI12" s="119"/>
      <c r="VRJ12" s="119"/>
      <c r="VRK12" s="119"/>
      <c r="VRL12" s="119"/>
      <c r="VRM12" s="119"/>
      <c r="VRN12" s="119"/>
      <c r="VRO12" s="120"/>
      <c r="VRP12" s="120"/>
      <c r="VRQ12" s="120"/>
      <c r="VRR12" s="59"/>
      <c r="VRS12" s="119"/>
      <c r="VRT12" s="119"/>
      <c r="VRU12" s="119"/>
      <c r="VRV12" s="119"/>
      <c r="VRW12" s="119"/>
      <c r="VRX12" s="119"/>
      <c r="VRY12" s="119"/>
      <c r="VRZ12" s="119"/>
      <c r="VSA12" s="119"/>
      <c r="VSB12" s="119"/>
      <c r="VSC12" s="119"/>
      <c r="VSD12" s="119"/>
      <c r="VSE12" s="120"/>
      <c r="VSF12" s="120"/>
      <c r="VSG12" s="120"/>
      <c r="VSH12" s="59"/>
      <c r="VSI12" s="119"/>
      <c r="VSJ12" s="119"/>
      <c r="VSK12" s="119"/>
      <c r="VSL12" s="119"/>
      <c r="VSM12" s="119"/>
      <c r="VSN12" s="119"/>
      <c r="VSO12" s="119"/>
      <c r="VSP12" s="119"/>
      <c r="VSQ12" s="119"/>
      <c r="VSR12" s="119"/>
      <c r="VSS12" s="119"/>
      <c r="VST12" s="119"/>
      <c r="VSU12" s="120"/>
      <c r="VSV12" s="120"/>
      <c r="VSW12" s="120"/>
      <c r="VSX12" s="59"/>
      <c r="VSY12" s="119"/>
      <c r="VSZ12" s="119"/>
      <c r="VTA12" s="119"/>
      <c r="VTB12" s="119"/>
      <c r="VTC12" s="119"/>
      <c r="VTD12" s="119"/>
      <c r="VTE12" s="119"/>
      <c r="VTF12" s="119"/>
      <c r="VTG12" s="119"/>
      <c r="VTH12" s="119"/>
      <c r="VTI12" s="119"/>
      <c r="VTJ12" s="119"/>
      <c r="VTK12" s="120"/>
      <c r="VTL12" s="120"/>
      <c r="VTM12" s="120"/>
      <c r="VTN12" s="59"/>
      <c r="VTO12" s="119"/>
      <c r="VTP12" s="119"/>
      <c r="VTQ12" s="119"/>
      <c r="VTR12" s="119"/>
      <c r="VTS12" s="119"/>
      <c r="VTT12" s="119"/>
      <c r="VTU12" s="119"/>
      <c r="VTV12" s="119"/>
      <c r="VTW12" s="119"/>
      <c r="VTX12" s="119"/>
      <c r="VTY12" s="119"/>
      <c r="VTZ12" s="119"/>
      <c r="VUA12" s="120"/>
      <c r="VUB12" s="120"/>
      <c r="VUC12" s="120"/>
      <c r="VUD12" s="59"/>
      <c r="VUE12" s="119"/>
      <c r="VUF12" s="119"/>
      <c r="VUG12" s="119"/>
      <c r="VUH12" s="119"/>
      <c r="VUI12" s="119"/>
      <c r="VUJ12" s="119"/>
      <c r="VUK12" s="119"/>
      <c r="VUL12" s="119"/>
      <c r="VUM12" s="119"/>
      <c r="VUN12" s="119"/>
      <c r="VUO12" s="119"/>
      <c r="VUP12" s="119"/>
      <c r="VUQ12" s="120"/>
      <c r="VUR12" s="120"/>
      <c r="VUS12" s="120"/>
      <c r="VUT12" s="59"/>
      <c r="VUU12" s="119"/>
      <c r="VUV12" s="119"/>
      <c r="VUW12" s="119"/>
      <c r="VUX12" s="119"/>
      <c r="VUY12" s="119"/>
      <c r="VUZ12" s="119"/>
      <c r="VVA12" s="119"/>
      <c r="VVB12" s="119"/>
      <c r="VVC12" s="119"/>
      <c r="VVD12" s="119"/>
      <c r="VVE12" s="119"/>
      <c r="VVF12" s="119"/>
      <c r="VVG12" s="120"/>
      <c r="VVH12" s="120"/>
      <c r="VVI12" s="120"/>
      <c r="VVJ12" s="59"/>
      <c r="VVK12" s="119"/>
      <c r="VVL12" s="119"/>
      <c r="VVM12" s="119"/>
      <c r="VVN12" s="119"/>
      <c r="VVO12" s="119"/>
      <c r="VVP12" s="119"/>
      <c r="VVQ12" s="119"/>
      <c r="VVR12" s="119"/>
      <c r="VVS12" s="119"/>
      <c r="VVT12" s="119"/>
      <c r="VVU12" s="119"/>
      <c r="VVV12" s="119"/>
      <c r="VVW12" s="120"/>
      <c r="VVX12" s="120"/>
      <c r="VVY12" s="120"/>
      <c r="VVZ12" s="59"/>
      <c r="VWA12" s="119"/>
      <c r="VWB12" s="119"/>
      <c r="VWC12" s="119"/>
      <c r="VWD12" s="119"/>
      <c r="VWE12" s="119"/>
      <c r="VWF12" s="119"/>
      <c r="VWG12" s="119"/>
      <c r="VWH12" s="119"/>
      <c r="VWI12" s="119"/>
      <c r="VWJ12" s="119"/>
      <c r="VWK12" s="119"/>
      <c r="VWL12" s="119"/>
      <c r="VWM12" s="120"/>
      <c r="VWN12" s="120"/>
      <c r="VWO12" s="120"/>
      <c r="VWP12" s="59"/>
      <c r="VWQ12" s="119"/>
      <c r="VWR12" s="119"/>
      <c r="VWS12" s="119"/>
      <c r="VWT12" s="119"/>
      <c r="VWU12" s="119"/>
      <c r="VWV12" s="119"/>
      <c r="VWW12" s="119"/>
      <c r="VWX12" s="119"/>
      <c r="VWY12" s="119"/>
      <c r="VWZ12" s="119"/>
      <c r="VXA12" s="119"/>
      <c r="VXB12" s="119"/>
      <c r="VXC12" s="120"/>
      <c r="VXD12" s="120"/>
      <c r="VXE12" s="120"/>
      <c r="VXF12" s="59"/>
      <c r="VXG12" s="119"/>
      <c r="VXH12" s="119"/>
      <c r="VXI12" s="119"/>
      <c r="VXJ12" s="119"/>
      <c r="VXK12" s="119"/>
      <c r="VXL12" s="119"/>
      <c r="VXM12" s="119"/>
      <c r="VXN12" s="119"/>
      <c r="VXO12" s="119"/>
      <c r="VXP12" s="119"/>
      <c r="VXQ12" s="119"/>
      <c r="VXR12" s="119"/>
      <c r="VXS12" s="120"/>
      <c r="VXT12" s="120"/>
      <c r="VXU12" s="120"/>
      <c r="VXV12" s="59"/>
      <c r="VXW12" s="119"/>
      <c r="VXX12" s="119"/>
      <c r="VXY12" s="119"/>
      <c r="VXZ12" s="119"/>
      <c r="VYA12" s="119"/>
      <c r="VYB12" s="119"/>
      <c r="VYC12" s="119"/>
      <c r="VYD12" s="119"/>
      <c r="VYE12" s="119"/>
      <c r="VYF12" s="119"/>
      <c r="VYG12" s="119"/>
      <c r="VYH12" s="119"/>
      <c r="VYI12" s="120"/>
      <c r="VYJ12" s="120"/>
      <c r="VYK12" s="120"/>
      <c r="VYL12" s="59"/>
      <c r="VYM12" s="119"/>
      <c r="VYN12" s="119"/>
      <c r="VYO12" s="119"/>
      <c r="VYP12" s="119"/>
      <c r="VYQ12" s="119"/>
      <c r="VYR12" s="119"/>
      <c r="VYS12" s="119"/>
      <c r="VYT12" s="119"/>
      <c r="VYU12" s="119"/>
      <c r="VYV12" s="119"/>
      <c r="VYW12" s="119"/>
      <c r="VYX12" s="119"/>
      <c r="VYY12" s="120"/>
      <c r="VYZ12" s="120"/>
      <c r="VZA12" s="120"/>
      <c r="VZB12" s="59"/>
      <c r="VZC12" s="119"/>
      <c r="VZD12" s="119"/>
      <c r="VZE12" s="119"/>
      <c r="VZF12" s="119"/>
      <c r="VZG12" s="119"/>
      <c r="VZH12" s="119"/>
      <c r="VZI12" s="119"/>
      <c r="VZJ12" s="119"/>
      <c r="VZK12" s="119"/>
      <c r="VZL12" s="119"/>
      <c r="VZM12" s="119"/>
      <c r="VZN12" s="119"/>
      <c r="VZO12" s="120"/>
      <c r="VZP12" s="120"/>
      <c r="VZQ12" s="120"/>
      <c r="VZR12" s="59"/>
      <c r="VZS12" s="119"/>
      <c r="VZT12" s="119"/>
      <c r="VZU12" s="119"/>
      <c r="VZV12" s="119"/>
      <c r="VZW12" s="119"/>
      <c r="VZX12" s="119"/>
      <c r="VZY12" s="119"/>
      <c r="VZZ12" s="119"/>
      <c r="WAA12" s="119"/>
      <c r="WAB12" s="119"/>
      <c r="WAC12" s="119"/>
      <c r="WAD12" s="119"/>
      <c r="WAE12" s="120"/>
      <c r="WAF12" s="120"/>
      <c r="WAG12" s="120"/>
      <c r="WAH12" s="59"/>
      <c r="WAI12" s="119"/>
      <c r="WAJ12" s="119"/>
      <c r="WAK12" s="119"/>
      <c r="WAL12" s="119"/>
      <c r="WAM12" s="119"/>
      <c r="WAN12" s="119"/>
      <c r="WAO12" s="119"/>
      <c r="WAP12" s="119"/>
      <c r="WAQ12" s="119"/>
      <c r="WAR12" s="119"/>
      <c r="WAS12" s="119"/>
      <c r="WAT12" s="119"/>
      <c r="WAU12" s="120"/>
      <c r="WAV12" s="120"/>
      <c r="WAW12" s="120"/>
      <c r="WAX12" s="59"/>
      <c r="WAY12" s="119"/>
      <c r="WAZ12" s="119"/>
      <c r="WBA12" s="119"/>
      <c r="WBB12" s="119"/>
      <c r="WBC12" s="119"/>
      <c r="WBD12" s="119"/>
      <c r="WBE12" s="119"/>
      <c r="WBF12" s="119"/>
      <c r="WBG12" s="119"/>
      <c r="WBH12" s="119"/>
      <c r="WBI12" s="119"/>
      <c r="WBJ12" s="119"/>
      <c r="WBK12" s="120"/>
      <c r="WBL12" s="120"/>
      <c r="WBM12" s="120"/>
      <c r="WBN12" s="59"/>
      <c r="WBO12" s="119"/>
      <c r="WBP12" s="119"/>
      <c r="WBQ12" s="119"/>
      <c r="WBR12" s="119"/>
      <c r="WBS12" s="119"/>
      <c r="WBT12" s="119"/>
      <c r="WBU12" s="119"/>
      <c r="WBV12" s="119"/>
      <c r="WBW12" s="119"/>
      <c r="WBX12" s="119"/>
      <c r="WBY12" s="119"/>
      <c r="WBZ12" s="119"/>
      <c r="WCA12" s="120"/>
      <c r="WCB12" s="120"/>
      <c r="WCC12" s="120"/>
      <c r="WCD12" s="59"/>
      <c r="WCE12" s="119"/>
      <c r="WCF12" s="119"/>
      <c r="WCG12" s="119"/>
      <c r="WCH12" s="119"/>
      <c r="WCI12" s="119"/>
      <c r="WCJ12" s="119"/>
      <c r="WCK12" s="119"/>
      <c r="WCL12" s="119"/>
      <c r="WCM12" s="119"/>
      <c r="WCN12" s="119"/>
      <c r="WCO12" s="119"/>
      <c r="WCP12" s="119"/>
      <c r="WCQ12" s="120"/>
      <c r="WCR12" s="120"/>
      <c r="WCS12" s="120"/>
      <c r="WCT12" s="59"/>
      <c r="WCU12" s="119"/>
      <c r="WCV12" s="119"/>
      <c r="WCW12" s="119"/>
      <c r="WCX12" s="119"/>
      <c r="WCY12" s="119"/>
      <c r="WCZ12" s="119"/>
      <c r="WDA12" s="119"/>
      <c r="WDB12" s="119"/>
      <c r="WDC12" s="119"/>
      <c r="WDD12" s="119"/>
      <c r="WDE12" s="119"/>
      <c r="WDF12" s="119"/>
      <c r="WDG12" s="120"/>
      <c r="WDH12" s="120"/>
      <c r="WDI12" s="120"/>
      <c r="WDJ12" s="59"/>
      <c r="WDK12" s="119"/>
      <c r="WDL12" s="119"/>
      <c r="WDM12" s="119"/>
      <c r="WDN12" s="119"/>
      <c r="WDO12" s="119"/>
      <c r="WDP12" s="119"/>
      <c r="WDQ12" s="119"/>
      <c r="WDR12" s="119"/>
      <c r="WDS12" s="119"/>
      <c r="WDT12" s="119"/>
      <c r="WDU12" s="119"/>
      <c r="WDV12" s="119"/>
      <c r="WDW12" s="120"/>
      <c r="WDX12" s="120"/>
      <c r="WDY12" s="120"/>
      <c r="WDZ12" s="59"/>
      <c r="WEA12" s="119"/>
      <c r="WEB12" s="119"/>
      <c r="WEC12" s="119"/>
      <c r="WED12" s="119"/>
      <c r="WEE12" s="119"/>
      <c r="WEF12" s="119"/>
      <c r="WEG12" s="119"/>
      <c r="WEH12" s="119"/>
      <c r="WEI12" s="119"/>
      <c r="WEJ12" s="119"/>
      <c r="WEK12" s="119"/>
      <c r="WEL12" s="119"/>
      <c r="WEM12" s="120"/>
      <c r="WEN12" s="120"/>
      <c r="WEO12" s="120"/>
      <c r="WEP12" s="59"/>
      <c r="WEQ12" s="119"/>
      <c r="WER12" s="119"/>
      <c r="WES12" s="119"/>
      <c r="WET12" s="119"/>
      <c r="WEU12" s="119"/>
      <c r="WEV12" s="119"/>
      <c r="WEW12" s="119"/>
      <c r="WEX12" s="119"/>
      <c r="WEY12" s="119"/>
      <c r="WEZ12" s="119"/>
      <c r="WFA12" s="119"/>
      <c r="WFB12" s="119"/>
      <c r="WFC12" s="120"/>
      <c r="WFD12" s="120"/>
      <c r="WFE12" s="120"/>
      <c r="WFF12" s="59"/>
      <c r="WFG12" s="119"/>
      <c r="WFH12" s="119"/>
      <c r="WFI12" s="119"/>
      <c r="WFJ12" s="119"/>
      <c r="WFK12" s="119"/>
      <c r="WFL12" s="119"/>
      <c r="WFM12" s="119"/>
      <c r="WFN12" s="119"/>
      <c r="WFO12" s="119"/>
      <c r="WFP12" s="119"/>
      <c r="WFQ12" s="119"/>
      <c r="WFR12" s="119"/>
      <c r="WFS12" s="120"/>
      <c r="WFT12" s="120"/>
      <c r="WFU12" s="120"/>
      <c r="WFV12" s="59"/>
      <c r="WFW12" s="119"/>
      <c r="WFX12" s="119"/>
      <c r="WFY12" s="119"/>
      <c r="WFZ12" s="119"/>
      <c r="WGA12" s="119"/>
      <c r="WGB12" s="119"/>
      <c r="WGC12" s="119"/>
      <c r="WGD12" s="119"/>
      <c r="WGE12" s="119"/>
      <c r="WGF12" s="119"/>
      <c r="WGG12" s="119"/>
      <c r="WGH12" s="119"/>
      <c r="WGI12" s="120"/>
      <c r="WGJ12" s="120"/>
      <c r="WGK12" s="120"/>
      <c r="WGL12" s="59"/>
      <c r="WGM12" s="119"/>
      <c r="WGN12" s="119"/>
      <c r="WGO12" s="119"/>
      <c r="WGP12" s="119"/>
      <c r="WGQ12" s="119"/>
      <c r="WGR12" s="119"/>
      <c r="WGS12" s="119"/>
      <c r="WGT12" s="119"/>
      <c r="WGU12" s="119"/>
      <c r="WGV12" s="119"/>
      <c r="WGW12" s="119"/>
      <c r="WGX12" s="119"/>
      <c r="WGY12" s="120"/>
      <c r="WGZ12" s="120"/>
      <c r="WHA12" s="120"/>
      <c r="WHB12" s="59"/>
      <c r="WHC12" s="119"/>
      <c r="WHD12" s="119"/>
      <c r="WHE12" s="119"/>
      <c r="WHF12" s="119"/>
      <c r="WHG12" s="119"/>
      <c r="WHH12" s="119"/>
      <c r="WHI12" s="119"/>
      <c r="WHJ12" s="119"/>
      <c r="WHK12" s="119"/>
      <c r="WHL12" s="119"/>
      <c r="WHM12" s="119"/>
      <c r="WHN12" s="119"/>
      <c r="WHO12" s="120"/>
      <c r="WHP12" s="120"/>
      <c r="WHQ12" s="120"/>
      <c r="WHR12" s="59"/>
      <c r="WHS12" s="119"/>
      <c r="WHT12" s="119"/>
      <c r="WHU12" s="119"/>
      <c r="WHV12" s="119"/>
      <c r="WHW12" s="119"/>
      <c r="WHX12" s="119"/>
      <c r="WHY12" s="119"/>
      <c r="WHZ12" s="119"/>
      <c r="WIA12" s="119"/>
      <c r="WIB12" s="119"/>
      <c r="WIC12" s="119"/>
      <c r="WID12" s="119"/>
      <c r="WIE12" s="120"/>
      <c r="WIF12" s="120"/>
      <c r="WIG12" s="120"/>
      <c r="WIH12" s="59"/>
      <c r="WII12" s="119"/>
      <c r="WIJ12" s="119"/>
      <c r="WIK12" s="119"/>
      <c r="WIL12" s="119"/>
      <c r="WIM12" s="119"/>
      <c r="WIN12" s="119"/>
      <c r="WIO12" s="119"/>
      <c r="WIP12" s="119"/>
      <c r="WIQ12" s="119"/>
      <c r="WIR12" s="119"/>
      <c r="WIS12" s="119"/>
      <c r="WIT12" s="119"/>
      <c r="WIU12" s="120"/>
      <c r="WIV12" s="120"/>
      <c r="WIW12" s="120"/>
      <c r="WIX12" s="59"/>
      <c r="WIY12" s="119"/>
      <c r="WIZ12" s="119"/>
      <c r="WJA12" s="119"/>
      <c r="WJB12" s="119"/>
      <c r="WJC12" s="119"/>
      <c r="WJD12" s="119"/>
      <c r="WJE12" s="119"/>
      <c r="WJF12" s="119"/>
      <c r="WJG12" s="119"/>
      <c r="WJH12" s="119"/>
      <c r="WJI12" s="119"/>
      <c r="WJJ12" s="119"/>
      <c r="WJK12" s="120"/>
      <c r="WJL12" s="120"/>
      <c r="WJM12" s="120"/>
      <c r="WJN12" s="59"/>
      <c r="WJO12" s="119"/>
      <c r="WJP12" s="119"/>
      <c r="WJQ12" s="119"/>
      <c r="WJR12" s="119"/>
      <c r="WJS12" s="119"/>
      <c r="WJT12" s="119"/>
      <c r="WJU12" s="119"/>
      <c r="WJV12" s="119"/>
      <c r="WJW12" s="119"/>
      <c r="WJX12" s="119"/>
      <c r="WJY12" s="119"/>
      <c r="WJZ12" s="119"/>
      <c r="WKA12" s="120"/>
      <c r="WKB12" s="120"/>
      <c r="WKC12" s="120"/>
      <c r="WKD12" s="59"/>
      <c r="WKE12" s="119"/>
      <c r="WKF12" s="119"/>
      <c r="WKG12" s="119"/>
      <c r="WKH12" s="119"/>
      <c r="WKI12" s="119"/>
      <c r="WKJ12" s="119"/>
      <c r="WKK12" s="119"/>
      <c r="WKL12" s="119"/>
      <c r="WKM12" s="119"/>
      <c r="WKN12" s="119"/>
      <c r="WKO12" s="119"/>
      <c r="WKP12" s="119"/>
      <c r="WKQ12" s="120"/>
      <c r="WKR12" s="120"/>
      <c r="WKS12" s="120"/>
      <c r="WKT12" s="59"/>
      <c r="WKU12" s="119"/>
      <c r="WKV12" s="119"/>
      <c r="WKW12" s="119"/>
      <c r="WKX12" s="119"/>
      <c r="WKY12" s="119"/>
      <c r="WKZ12" s="119"/>
      <c r="WLA12" s="119"/>
      <c r="WLB12" s="119"/>
      <c r="WLC12" s="119"/>
      <c r="WLD12" s="119"/>
      <c r="WLE12" s="119"/>
      <c r="WLF12" s="119"/>
      <c r="WLG12" s="120"/>
      <c r="WLH12" s="120"/>
      <c r="WLI12" s="120"/>
      <c r="WLJ12" s="59"/>
      <c r="WLK12" s="119"/>
      <c r="WLL12" s="119"/>
      <c r="WLM12" s="119"/>
      <c r="WLN12" s="119"/>
      <c r="WLO12" s="119"/>
      <c r="WLP12" s="119"/>
      <c r="WLQ12" s="119"/>
      <c r="WLR12" s="119"/>
      <c r="WLS12" s="119"/>
      <c r="WLT12" s="119"/>
      <c r="WLU12" s="119"/>
      <c r="WLV12" s="119"/>
      <c r="WLW12" s="120"/>
      <c r="WLX12" s="120"/>
      <c r="WLY12" s="120"/>
      <c r="WLZ12" s="59"/>
      <c r="WMA12" s="119"/>
      <c r="WMB12" s="119"/>
      <c r="WMC12" s="119"/>
      <c r="WMD12" s="119"/>
      <c r="WME12" s="119"/>
      <c r="WMF12" s="119"/>
      <c r="WMG12" s="119"/>
      <c r="WMH12" s="119"/>
      <c r="WMI12" s="119"/>
      <c r="WMJ12" s="119"/>
      <c r="WMK12" s="119"/>
      <c r="WML12" s="119"/>
      <c r="WMM12" s="120"/>
      <c r="WMN12" s="120"/>
      <c r="WMO12" s="120"/>
      <c r="WMP12" s="59"/>
      <c r="WMQ12" s="119"/>
      <c r="WMR12" s="119"/>
      <c r="WMS12" s="119"/>
      <c r="WMT12" s="119"/>
      <c r="WMU12" s="119"/>
      <c r="WMV12" s="119"/>
      <c r="WMW12" s="119"/>
      <c r="WMX12" s="119"/>
      <c r="WMY12" s="119"/>
      <c r="WMZ12" s="119"/>
      <c r="WNA12" s="119"/>
      <c r="WNB12" s="119"/>
      <c r="WNC12" s="120"/>
      <c r="WND12" s="120"/>
      <c r="WNE12" s="120"/>
      <c r="WNF12" s="59"/>
      <c r="WNG12" s="119"/>
      <c r="WNH12" s="119"/>
      <c r="WNI12" s="119"/>
      <c r="WNJ12" s="119"/>
      <c r="WNK12" s="119"/>
      <c r="WNL12" s="119"/>
      <c r="WNM12" s="119"/>
      <c r="WNN12" s="119"/>
      <c r="WNO12" s="119"/>
      <c r="WNP12" s="119"/>
      <c r="WNQ12" s="119"/>
      <c r="WNR12" s="119"/>
      <c r="WNS12" s="120"/>
      <c r="WNT12" s="120"/>
      <c r="WNU12" s="120"/>
      <c r="WNV12" s="59"/>
      <c r="WNW12" s="119"/>
      <c r="WNX12" s="119"/>
      <c r="WNY12" s="119"/>
      <c r="WNZ12" s="119"/>
      <c r="WOA12" s="119"/>
      <c r="WOB12" s="119"/>
      <c r="WOC12" s="119"/>
      <c r="WOD12" s="119"/>
      <c r="WOE12" s="119"/>
      <c r="WOF12" s="119"/>
      <c r="WOG12" s="119"/>
      <c r="WOH12" s="119"/>
      <c r="WOI12" s="120"/>
      <c r="WOJ12" s="120"/>
      <c r="WOK12" s="120"/>
      <c r="WOL12" s="59"/>
      <c r="WOM12" s="119"/>
      <c r="WON12" s="119"/>
      <c r="WOO12" s="119"/>
      <c r="WOP12" s="119"/>
      <c r="WOQ12" s="119"/>
      <c r="WOR12" s="119"/>
      <c r="WOS12" s="119"/>
      <c r="WOT12" s="119"/>
      <c r="WOU12" s="119"/>
      <c r="WOV12" s="119"/>
      <c r="WOW12" s="119"/>
      <c r="WOX12" s="119"/>
      <c r="WOY12" s="120"/>
      <c r="WOZ12" s="120"/>
      <c r="WPA12" s="120"/>
      <c r="WPB12" s="59"/>
      <c r="WPC12" s="119"/>
      <c r="WPD12" s="119"/>
      <c r="WPE12" s="119"/>
      <c r="WPF12" s="119"/>
      <c r="WPG12" s="119"/>
      <c r="WPH12" s="119"/>
      <c r="WPI12" s="119"/>
      <c r="WPJ12" s="119"/>
      <c r="WPK12" s="119"/>
      <c r="WPL12" s="119"/>
      <c r="WPM12" s="119"/>
      <c r="WPN12" s="119"/>
      <c r="WPO12" s="120"/>
      <c r="WPP12" s="120"/>
      <c r="WPQ12" s="120"/>
      <c r="WPR12" s="59"/>
      <c r="WPS12" s="119"/>
      <c r="WPT12" s="119"/>
      <c r="WPU12" s="119"/>
      <c r="WPV12" s="119"/>
      <c r="WPW12" s="119"/>
      <c r="WPX12" s="119"/>
      <c r="WPY12" s="119"/>
      <c r="WPZ12" s="119"/>
      <c r="WQA12" s="119"/>
      <c r="WQB12" s="119"/>
      <c r="WQC12" s="119"/>
      <c r="WQD12" s="119"/>
      <c r="WQE12" s="120"/>
      <c r="WQF12" s="120"/>
      <c r="WQG12" s="120"/>
      <c r="WQH12" s="59"/>
      <c r="WQI12" s="119"/>
      <c r="WQJ12" s="119"/>
      <c r="WQK12" s="119"/>
      <c r="WQL12" s="119"/>
      <c r="WQM12" s="119"/>
      <c r="WQN12" s="119"/>
      <c r="WQO12" s="119"/>
      <c r="WQP12" s="119"/>
      <c r="WQQ12" s="119"/>
      <c r="WQR12" s="119"/>
      <c r="WQS12" s="119"/>
      <c r="WQT12" s="119"/>
      <c r="WQU12" s="120"/>
      <c r="WQV12" s="120"/>
      <c r="WQW12" s="120"/>
      <c r="WQX12" s="59"/>
      <c r="WQY12" s="119"/>
      <c r="WQZ12" s="119"/>
      <c r="WRA12" s="119"/>
      <c r="WRB12" s="119"/>
      <c r="WRC12" s="119"/>
      <c r="WRD12" s="119"/>
      <c r="WRE12" s="119"/>
      <c r="WRF12" s="119"/>
      <c r="WRG12" s="119"/>
      <c r="WRH12" s="119"/>
      <c r="WRI12" s="119"/>
      <c r="WRJ12" s="119"/>
      <c r="WRK12" s="120"/>
      <c r="WRL12" s="120"/>
      <c r="WRM12" s="120"/>
      <c r="WRN12" s="59"/>
      <c r="WRO12" s="119"/>
      <c r="WRP12" s="119"/>
      <c r="WRQ12" s="119"/>
      <c r="WRR12" s="119"/>
      <c r="WRS12" s="119"/>
      <c r="WRT12" s="119"/>
      <c r="WRU12" s="119"/>
      <c r="WRV12" s="119"/>
      <c r="WRW12" s="119"/>
      <c r="WRX12" s="119"/>
      <c r="WRY12" s="119"/>
      <c r="WRZ12" s="119"/>
      <c r="WSA12" s="120"/>
      <c r="WSB12" s="120"/>
      <c r="WSC12" s="120"/>
      <c r="WSD12" s="59"/>
      <c r="WSE12" s="119"/>
      <c r="WSF12" s="119"/>
      <c r="WSG12" s="119"/>
      <c r="WSH12" s="119"/>
      <c r="WSI12" s="119"/>
      <c r="WSJ12" s="119"/>
      <c r="WSK12" s="119"/>
      <c r="WSL12" s="119"/>
      <c r="WSM12" s="119"/>
      <c r="WSN12" s="119"/>
      <c r="WSO12" s="119"/>
      <c r="WSP12" s="119"/>
      <c r="WSQ12" s="120"/>
      <c r="WSR12" s="120"/>
      <c r="WSS12" s="120"/>
      <c r="WST12" s="59"/>
      <c r="WSU12" s="119"/>
      <c r="WSV12" s="119"/>
      <c r="WSW12" s="119"/>
      <c r="WSX12" s="119"/>
      <c r="WSY12" s="119"/>
      <c r="WSZ12" s="119"/>
      <c r="WTA12" s="119"/>
      <c r="WTB12" s="119"/>
      <c r="WTC12" s="119"/>
      <c r="WTD12" s="119"/>
      <c r="WTE12" s="119"/>
      <c r="WTF12" s="119"/>
      <c r="WTG12" s="120"/>
      <c r="WTH12" s="120"/>
      <c r="WTI12" s="120"/>
      <c r="WTJ12" s="59"/>
      <c r="WTK12" s="119"/>
      <c r="WTL12" s="119"/>
      <c r="WTM12" s="119"/>
      <c r="WTN12" s="119"/>
      <c r="WTO12" s="119"/>
      <c r="WTP12" s="119"/>
      <c r="WTQ12" s="119"/>
      <c r="WTR12" s="119"/>
      <c r="WTS12" s="119"/>
      <c r="WTT12" s="119"/>
      <c r="WTU12" s="119"/>
      <c r="WTV12" s="119"/>
      <c r="WTW12" s="120"/>
      <c r="WTX12" s="120"/>
      <c r="WTY12" s="120"/>
      <c r="WTZ12" s="59"/>
      <c r="WUA12" s="119"/>
      <c r="WUB12" s="119"/>
      <c r="WUC12" s="119"/>
      <c r="WUD12" s="119"/>
      <c r="WUE12" s="119"/>
      <c r="WUF12" s="119"/>
      <c r="WUG12" s="119"/>
      <c r="WUH12" s="119"/>
      <c r="WUI12" s="119"/>
      <c r="WUJ12" s="119"/>
      <c r="WUK12" s="119"/>
      <c r="WUL12" s="119"/>
      <c r="WUM12" s="120"/>
      <c r="WUN12" s="120"/>
      <c r="WUO12" s="120"/>
      <c r="WUP12" s="59"/>
      <c r="WUQ12" s="119"/>
      <c r="WUR12" s="119"/>
      <c r="WUS12" s="119"/>
      <c r="WUT12" s="119"/>
      <c r="WUU12" s="119"/>
      <c r="WUV12" s="119"/>
      <c r="WUW12" s="119"/>
      <c r="WUX12" s="119"/>
      <c r="WUY12" s="119"/>
      <c r="WUZ12" s="119"/>
      <c r="WVA12" s="119"/>
      <c r="WVB12" s="119"/>
      <c r="WVC12" s="120"/>
      <c r="WVD12" s="120"/>
      <c r="WVE12" s="120"/>
      <c r="WVF12" s="59"/>
      <c r="WVG12" s="119"/>
      <c r="WVH12" s="119"/>
      <c r="WVI12" s="119"/>
      <c r="WVJ12" s="119"/>
      <c r="WVK12" s="119"/>
      <c r="WVL12" s="119"/>
      <c r="WVM12" s="119"/>
      <c r="WVN12" s="119"/>
      <c r="WVO12" s="119"/>
      <c r="WVP12" s="119"/>
      <c r="WVQ12" s="119"/>
      <c r="WVR12" s="119"/>
      <c r="WVS12" s="120"/>
      <c r="WVT12" s="120"/>
      <c r="WVU12" s="120"/>
      <c r="WVV12" s="59"/>
      <c r="WVW12" s="119"/>
      <c r="WVX12" s="119"/>
      <c r="WVY12" s="119"/>
      <c r="WVZ12" s="119"/>
      <c r="WWA12" s="119"/>
      <c r="WWB12" s="119"/>
      <c r="WWC12" s="119"/>
      <c r="WWD12" s="119"/>
      <c r="WWE12" s="119"/>
      <c r="WWF12" s="119"/>
      <c r="WWG12" s="119"/>
      <c r="WWH12" s="119"/>
      <c r="WWI12" s="120"/>
      <c r="WWJ12" s="120"/>
      <c r="WWK12" s="120"/>
      <c r="WWL12" s="59"/>
      <c r="WWM12" s="119"/>
      <c r="WWN12" s="119"/>
      <c r="WWO12" s="119"/>
      <c r="WWP12" s="119"/>
      <c r="WWQ12" s="119"/>
      <c r="WWR12" s="119"/>
      <c r="WWS12" s="119"/>
      <c r="WWT12" s="119"/>
      <c r="WWU12" s="119"/>
      <c r="WWV12" s="119"/>
      <c r="WWW12" s="119"/>
      <c r="WWX12" s="119"/>
      <c r="WWY12" s="120"/>
      <c r="WWZ12" s="120"/>
      <c r="WXA12" s="120"/>
      <c r="WXB12" s="59"/>
      <c r="WXC12" s="119"/>
      <c r="WXD12" s="119"/>
      <c r="WXE12" s="119"/>
      <c r="WXF12" s="119"/>
      <c r="WXG12" s="119"/>
      <c r="WXH12" s="119"/>
      <c r="WXI12" s="119"/>
      <c r="WXJ12" s="119"/>
      <c r="WXK12" s="119"/>
      <c r="WXL12" s="119"/>
      <c r="WXM12" s="119"/>
      <c r="WXN12" s="119"/>
      <c r="WXO12" s="120"/>
      <c r="WXP12" s="120"/>
      <c r="WXQ12" s="120"/>
      <c r="WXR12" s="59"/>
      <c r="WXS12" s="119"/>
      <c r="WXT12" s="119"/>
      <c r="WXU12" s="119"/>
      <c r="WXV12" s="119"/>
      <c r="WXW12" s="119"/>
      <c r="WXX12" s="119"/>
      <c r="WXY12" s="119"/>
      <c r="WXZ12" s="119"/>
      <c r="WYA12" s="119"/>
      <c r="WYB12" s="119"/>
      <c r="WYC12" s="119"/>
      <c r="WYD12" s="119"/>
      <c r="WYE12" s="120"/>
      <c r="WYF12" s="120"/>
      <c r="WYG12" s="120"/>
      <c r="WYH12" s="59"/>
      <c r="WYI12" s="119"/>
      <c r="WYJ12" s="119"/>
      <c r="WYK12" s="119"/>
      <c r="WYL12" s="119"/>
      <c r="WYM12" s="119"/>
      <c r="WYN12" s="119"/>
      <c r="WYO12" s="119"/>
      <c r="WYP12" s="119"/>
      <c r="WYQ12" s="119"/>
      <c r="WYR12" s="119"/>
      <c r="WYS12" s="119"/>
      <c r="WYT12" s="119"/>
      <c r="WYU12" s="120"/>
      <c r="WYV12" s="120"/>
      <c r="WYW12" s="120"/>
      <c r="WYX12" s="59"/>
      <c r="WYY12" s="119"/>
      <c r="WYZ12" s="119"/>
      <c r="WZA12" s="119"/>
      <c r="WZB12" s="119"/>
      <c r="WZC12" s="119"/>
      <c r="WZD12" s="119"/>
      <c r="WZE12" s="119"/>
      <c r="WZF12" s="119"/>
      <c r="WZG12" s="119"/>
      <c r="WZH12" s="119"/>
      <c r="WZI12" s="119"/>
      <c r="WZJ12" s="119"/>
      <c r="WZK12" s="120"/>
      <c r="WZL12" s="120"/>
      <c r="WZM12" s="120"/>
      <c r="WZN12" s="59"/>
      <c r="WZO12" s="119"/>
      <c r="WZP12" s="119"/>
      <c r="WZQ12" s="119"/>
      <c r="WZR12" s="119"/>
      <c r="WZS12" s="119"/>
      <c r="WZT12" s="119"/>
      <c r="WZU12" s="119"/>
      <c r="WZV12" s="119"/>
      <c r="WZW12" s="119"/>
      <c r="WZX12" s="119"/>
      <c r="WZY12" s="119"/>
      <c r="WZZ12" s="119"/>
      <c r="XAA12" s="120"/>
      <c r="XAB12" s="120"/>
      <c r="XAC12" s="120"/>
      <c r="XAD12" s="59"/>
      <c r="XAE12" s="119"/>
      <c r="XAF12" s="119"/>
      <c r="XAG12" s="119"/>
      <c r="XAH12" s="119"/>
      <c r="XAI12" s="119"/>
      <c r="XAJ12" s="119"/>
      <c r="XAK12" s="119"/>
      <c r="XAL12" s="119"/>
      <c r="XAM12" s="119"/>
      <c r="XAN12" s="119"/>
      <c r="XAO12" s="119"/>
      <c r="XAP12" s="119"/>
      <c r="XAQ12" s="120"/>
      <c r="XAR12" s="120"/>
      <c r="XAS12" s="120"/>
      <c r="XAT12" s="59"/>
      <c r="XAU12" s="119"/>
      <c r="XAV12" s="119"/>
      <c r="XAW12" s="119"/>
      <c r="XAX12" s="119"/>
      <c r="XAY12" s="119"/>
      <c r="XAZ12" s="119"/>
      <c r="XBA12" s="119"/>
      <c r="XBB12" s="119"/>
      <c r="XBC12" s="119"/>
      <c r="XBD12" s="119"/>
      <c r="XBE12" s="119"/>
      <c r="XBF12" s="119"/>
      <c r="XBG12" s="120"/>
      <c r="XBH12" s="120"/>
      <c r="XBI12" s="120"/>
      <c r="XBJ12" s="59"/>
      <c r="XBK12" s="119"/>
      <c r="XBL12" s="119"/>
      <c r="XBM12" s="119"/>
      <c r="XBN12" s="119"/>
      <c r="XBO12" s="119"/>
      <c r="XBP12" s="119"/>
      <c r="XBQ12" s="119"/>
      <c r="XBR12" s="119"/>
      <c r="XBS12" s="119"/>
      <c r="XBT12" s="119"/>
      <c r="XBU12" s="119"/>
      <c r="XBV12" s="119"/>
      <c r="XBW12" s="120"/>
      <c r="XBX12" s="120"/>
      <c r="XBY12" s="120"/>
      <c r="XBZ12" s="59"/>
      <c r="XCA12" s="119"/>
      <c r="XCB12" s="119"/>
      <c r="XCC12" s="119"/>
      <c r="XCD12" s="119"/>
      <c r="XCE12" s="119"/>
      <c r="XCF12" s="119"/>
      <c r="XCG12" s="119"/>
      <c r="XCH12" s="119"/>
      <c r="XCI12" s="119"/>
      <c r="XCJ12" s="119"/>
      <c r="XCK12" s="119"/>
      <c r="XCL12" s="119"/>
      <c r="XCM12" s="120"/>
      <c r="XCN12" s="120"/>
      <c r="XCO12" s="120"/>
      <c r="XCP12" s="59"/>
      <c r="XCQ12" s="119"/>
      <c r="XCR12" s="119"/>
      <c r="XCS12" s="119"/>
      <c r="XCT12" s="119"/>
      <c r="XCU12" s="119"/>
      <c r="XCV12" s="119"/>
      <c r="XCW12" s="119"/>
      <c r="XCX12" s="119"/>
      <c r="XCY12" s="119"/>
      <c r="XCZ12" s="119"/>
      <c r="XDA12" s="119"/>
      <c r="XDB12" s="119"/>
      <c r="XDC12" s="120"/>
      <c r="XDD12" s="120"/>
      <c r="XDE12" s="120"/>
      <c r="XDF12" s="59"/>
      <c r="XDG12" s="119"/>
      <c r="XDH12" s="119"/>
      <c r="XDI12" s="119"/>
      <c r="XDJ12" s="119"/>
      <c r="XDK12" s="119"/>
      <c r="XDL12" s="119"/>
      <c r="XDM12" s="119"/>
      <c r="XDN12" s="119"/>
      <c r="XDO12" s="119"/>
      <c r="XDP12" s="119"/>
      <c r="XDQ12" s="119"/>
      <c r="XDR12" s="119"/>
      <c r="XDS12" s="120"/>
      <c r="XDT12" s="120"/>
      <c r="XDU12" s="120"/>
      <c r="XDV12" s="59"/>
      <c r="XDW12" s="119"/>
      <c r="XDX12" s="119"/>
      <c r="XDY12" s="119"/>
      <c r="XDZ12" s="119"/>
      <c r="XEA12" s="119"/>
      <c r="XEB12" s="119"/>
      <c r="XEC12" s="119"/>
      <c r="XED12" s="119"/>
      <c r="XEE12" s="119"/>
      <c r="XEF12" s="119"/>
      <c r="XEG12" s="119"/>
      <c r="XEH12" s="119"/>
      <c r="XEI12" s="120"/>
      <c r="XEJ12" s="120"/>
      <c r="XEK12" s="120"/>
      <c r="XEL12" s="59"/>
      <c r="XEM12" s="119"/>
      <c r="XEN12" s="119"/>
      <c r="XEO12" s="119"/>
      <c r="XEP12" s="119"/>
      <c r="XEQ12" s="119"/>
      <c r="XER12" s="119"/>
      <c r="XES12" s="119"/>
      <c r="XET12" s="119"/>
      <c r="XEU12" s="119"/>
      <c r="XEV12" s="119"/>
      <c r="XEW12" s="119"/>
      <c r="XEX12" s="119"/>
    </row>
    <row r="13" spans="1:16378">
      <c r="A13" s="120" t="s">
        <v>836</v>
      </c>
      <c r="B13" s="135">
        <v>0.5</v>
      </c>
      <c r="C13" s="120" t="s">
        <v>118</v>
      </c>
      <c r="D13" s="59" t="s">
        <v>221</v>
      </c>
      <c r="E13" s="119">
        <v>2</v>
      </c>
      <c r="F13" s="119">
        <v>3500</v>
      </c>
      <c r="G13" s="119">
        <f t="shared" si="2"/>
        <v>3500</v>
      </c>
      <c r="H13" s="119">
        <v>12</v>
      </c>
      <c r="I13" s="119">
        <f t="shared" si="3"/>
        <v>21630</v>
      </c>
      <c r="J13" s="119">
        <v>12</v>
      </c>
      <c r="K13" s="119">
        <f t="shared" si="4"/>
        <v>22278.9</v>
      </c>
      <c r="L13" s="119">
        <v>2</v>
      </c>
      <c r="M13" s="119">
        <f t="shared" si="5"/>
        <v>3824.5445</v>
      </c>
      <c r="N13" s="119">
        <v>0</v>
      </c>
      <c r="O13" s="119">
        <f t="shared" ref="O13" si="8">(N13*F13*$B$5*$B$5*$B$5*$B$5)</f>
        <v>0</v>
      </c>
      <c r="P13" s="119">
        <f t="shared" ref="P13" si="9">SUM(G13+I13+K13+M13+O13)</f>
        <v>51233.444499999998</v>
      </c>
      <c r="Q13" s="120"/>
      <c r="R13" s="119">
        <f>SUM(P13:Q13)</f>
        <v>51233.444499999998</v>
      </c>
      <c r="S13" s="119"/>
      <c r="T13" s="119"/>
      <c r="U13" s="119"/>
      <c r="V13" s="119"/>
      <c r="W13" s="119"/>
      <c r="X13" s="119"/>
      <c r="Y13" s="119"/>
      <c r="Z13" s="119"/>
      <c r="AA13" s="120"/>
      <c r="AB13" s="120"/>
      <c r="AC13" s="120"/>
      <c r="AD13" s="5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20"/>
      <c r="AR13" s="120"/>
      <c r="AS13" s="120"/>
      <c r="AT13" s="5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20"/>
      <c r="BH13" s="120"/>
      <c r="BI13" s="120"/>
      <c r="BJ13" s="5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20"/>
      <c r="BX13" s="120"/>
      <c r="BY13" s="120"/>
      <c r="BZ13" s="5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20"/>
      <c r="CN13" s="120"/>
      <c r="CO13" s="120"/>
      <c r="CP13" s="5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20"/>
      <c r="DD13" s="120"/>
      <c r="DE13" s="120"/>
      <c r="DF13" s="5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20"/>
      <c r="DT13" s="120"/>
      <c r="DU13" s="120"/>
      <c r="DV13" s="5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20"/>
      <c r="EJ13" s="120"/>
      <c r="EK13" s="120"/>
      <c r="EL13" s="5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20"/>
      <c r="EZ13" s="120"/>
      <c r="FA13" s="120"/>
      <c r="FB13" s="5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20"/>
      <c r="FP13" s="120"/>
      <c r="FQ13" s="120"/>
      <c r="FR13" s="5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20"/>
      <c r="GF13" s="120"/>
      <c r="GG13" s="120"/>
      <c r="GH13" s="5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20"/>
      <c r="GV13" s="120"/>
      <c r="GW13" s="120"/>
      <c r="GX13" s="5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20"/>
      <c r="HL13" s="120"/>
      <c r="HM13" s="120"/>
      <c r="HN13" s="5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20"/>
      <c r="IB13" s="120"/>
      <c r="IC13" s="120"/>
      <c r="ID13" s="5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20"/>
      <c r="IR13" s="120"/>
      <c r="IS13" s="120"/>
      <c r="IT13" s="5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20"/>
      <c r="JH13" s="120"/>
      <c r="JI13" s="120"/>
      <c r="JJ13" s="5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20"/>
      <c r="JX13" s="120"/>
      <c r="JY13" s="120"/>
      <c r="JZ13" s="5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20"/>
      <c r="KN13" s="120"/>
      <c r="KO13" s="120"/>
      <c r="KP13" s="5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20"/>
      <c r="LD13" s="120"/>
      <c r="LE13" s="120"/>
      <c r="LF13" s="5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20"/>
      <c r="LT13" s="120"/>
      <c r="LU13" s="120"/>
      <c r="LV13" s="5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20"/>
      <c r="MJ13" s="120"/>
      <c r="MK13" s="120"/>
      <c r="ML13" s="5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20"/>
      <c r="MZ13" s="120"/>
      <c r="NA13" s="120"/>
      <c r="NB13" s="5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20"/>
      <c r="NP13" s="120"/>
      <c r="NQ13" s="120"/>
      <c r="NR13" s="5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20"/>
      <c r="OF13" s="120"/>
      <c r="OG13" s="120"/>
      <c r="OH13" s="5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20"/>
      <c r="OV13" s="120"/>
      <c r="OW13" s="120"/>
      <c r="OX13" s="5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20"/>
      <c r="PL13" s="120"/>
      <c r="PM13" s="120"/>
      <c r="PN13" s="5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20"/>
      <c r="QB13" s="120"/>
      <c r="QC13" s="120"/>
      <c r="QD13" s="5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20"/>
      <c r="QR13" s="120"/>
      <c r="QS13" s="120"/>
      <c r="QT13" s="5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20"/>
      <c r="RH13" s="120"/>
      <c r="RI13" s="120"/>
      <c r="RJ13" s="5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20"/>
      <c r="RX13" s="120"/>
      <c r="RY13" s="120"/>
      <c r="RZ13" s="5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20"/>
      <c r="SN13" s="120"/>
      <c r="SO13" s="120"/>
      <c r="SP13" s="5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20"/>
      <c r="TD13" s="120"/>
      <c r="TE13" s="120"/>
      <c r="TF13" s="5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20"/>
      <c r="TT13" s="120"/>
      <c r="TU13" s="120"/>
      <c r="TV13" s="5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20"/>
      <c r="UJ13" s="120"/>
      <c r="UK13" s="120"/>
      <c r="UL13" s="5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20"/>
      <c r="UZ13" s="120"/>
      <c r="VA13" s="120"/>
      <c r="VB13" s="5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20"/>
      <c r="VP13" s="120"/>
      <c r="VQ13" s="120"/>
      <c r="VR13" s="5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20"/>
      <c r="WF13" s="120"/>
      <c r="WG13" s="120"/>
      <c r="WH13" s="5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20"/>
      <c r="WV13" s="120"/>
      <c r="WW13" s="120"/>
      <c r="WX13" s="5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20"/>
      <c r="XL13" s="120"/>
      <c r="XM13" s="120"/>
      <c r="XN13" s="5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20"/>
      <c r="YB13" s="120"/>
      <c r="YC13" s="120"/>
      <c r="YD13" s="5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20"/>
      <c r="YR13" s="120"/>
      <c r="YS13" s="120"/>
      <c r="YT13" s="5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20"/>
      <c r="ZH13" s="120"/>
      <c r="ZI13" s="120"/>
      <c r="ZJ13" s="5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20"/>
      <c r="ZX13" s="120"/>
      <c r="ZY13" s="120"/>
      <c r="ZZ13" s="5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20"/>
      <c r="AAN13" s="120"/>
      <c r="AAO13" s="120"/>
      <c r="AAP13" s="5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20"/>
      <c r="ABD13" s="120"/>
      <c r="ABE13" s="120"/>
      <c r="ABF13" s="5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20"/>
      <c r="ABT13" s="120"/>
      <c r="ABU13" s="120"/>
      <c r="ABV13" s="5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20"/>
      <c r="ACJ13" s="120"/>
      <c r="ACK13" s="120"/>
      <c r="ACL13" s="5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20"/>
      <c r="ACZ13" s="120"/>
      <c r="ADA13" s="120"/>
      <c r="ADB13" s="5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20"/>
      <c r="ADP13" s="120"/>
      <c r="ADQ13" s="120"/>
      <c r="ADR13" s="5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20"/>
      <c r="AEF13" s="120"/>
      <c r="AEG13" s="120"/>
      <c r="AEH13" s="5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20"/>
      <c r="AEV13" s="120"/>
      <c r="AEW13" s="120"/>
      <c r="AEX13" s="5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20"/>
      <c r="AFL13" s="120"/>
      <c r="AFM13" s="120"/>
      <c r="AFN13" s="5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20"/>
      <c r="AGB13" s="120"/>
      <c r="AGC13" s="120"/>
      <c r="AGD13" s="5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20"/>
      <c r="AGR13" s="120"/>
      <c r="AGS13" s="120"/>
      <c r="AGT13" s="5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20"/>
      <c r="AHH13" s="120"/>
      <c r="AHI13" s="120"/>
      <c r="AHJ13" s="5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20"/>
      <c r="AHX13" s="120"/>
      <c r="AHY13" s="120"/>
      <c r="AHZ13" s="5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20"/>
      <c r="AIN13" s="120"/>
      <c r="AIO13" s="120"/>
      <c r="AIP13" s="5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20"/>
      <c r="AJD13" s="120"/>
      <c r="AJE13" s="120"/>
      <c r="AJF13" s="5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20"/>
      <c r="AJT13" s="120"/>
      <c r="AJU13" s="120"/>
      <c r="AJV13" s="5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20"/>
      <c r="AKJ13" s="120"/>
      <c r="AKK13" s="120"/>
      <c r="AKL13" s="5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20"/>
      <c r="AKZ13" s="120"/>
      <c r="ALA13" s="120"/>
      <c r="ALB13" s="5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20"/>
      <c r="ALP13" s="120"/>
      <c r="ALQ13" s="120"/>
      <c r="ALR13" s="5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20"/>
      <c r="AMF13" s="120"/>
      <c r="AMG13" s="120"/>
      <c r="AMH13" s="5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20"/>
      <c r="AMV13" s="120"/>
      <c r="AMW13" s="120"/>
      <c r="AMX13" s="5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20"/>
      <c r="ANL13" s="120"/>
      <c r="ANM13" s="120"/>
      <c r="ANN13" s="5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20"/>
      <c r="AOB13" s="120"/>
      <c r="AOC13" s="120"/>
      <c r="AOD13" s="5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20"/>
      <c r="AOR13" s="120"/>
      <c r="AOS13" s="120"/>
      <c r="AOT13" s="5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20"/>
      <c r="APH13" s="120"/>
      <c r="API13" s="120"/>
      <c r="APJ13" s="5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20"/>
      <c r="APX13" s="120"/>
      <c r="APY13" s="120"/>
      <c r="APZ13" s="5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20"/>
      <c r="AQN13" s="120"/>
      <c r="AQO13" s="120"/>
      <c r="AQP13" s="5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20"/>
      <c r="ARD13" s="120"/>
      <c r="ARE13" s="120"/>
      <c r="ARF13" s="5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20"/>
      <c r="ART13" s="120"/>
      <c r="ARU13" s="120"/>
      <c r="ARV13" s="5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20"/>
      <c r="ASJ13" s="120"/>
      <c r="ASK13" s="120"/>
      <c r="ASL13" s="5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20"/>
      <c r="ASZ13" s="120"/>
      <c r="ATA13" s="120"/>
      <c r="ATB13" s="5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20"/>
      <c r="ATP13" s="120"/>
      <c r="ATQ13" s="120"/>
      <c r="ATR13" s="5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20"/>
      <c r="AUF13" s="120"/>
      <c r="AUG13" s="120"/>
      <c r="AUH13" s="5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20"/>
      <c r="AUV13" s="120"/>
      <c r="AUW13" s="120"/>
      <c r="AUX13" s="5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20"/>
      <c r="AVL13" s="120"/>
      <c r="AVM13" s="120"/>
      <c r="AVN13" s="5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20"/>
      <c r="AWB13" s="120"/>
      <c r="AWC13" s="120"/>
      <c r="AWD13" s="5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20"/>
      <c r="AWR13" s="120"/>
      <c r="AWS13" s="120"/>
      <c r="AWT13" s="5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20"/>
      <c r="AXH13" s="120"/>
      <c r="AXI13" s="120"/>
      <c r="AXJ13" s="5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20"/>
      <c r="AXX13" s="120"/>
      <c r="AXY13" s="120"/>
      <c r="AXZ13" s="5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20"/>
      <c r="AYN13" s="120"/>
      <c r="AYO13" s="120"/>
      <c r="AYP13" s="5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20"/>
      <c r="AZD13" s="120"/>
      <c r="AZE13" s="120"/>
      <c r="AZF13" s="59"/>
      <c r="AZG13" s="119"/>
      <c r="AZH13" s="119"/>
      <c r="AZI13" s="119"/>
      <c r="AZJ13" s="119"/>
      <c r="AZK13" s="119"/>
      <c r="AZL13" s="119"/>
      <c r="AZM13" s="119"/>
      <c r="AZN13" s="119"/>
      <c r="AZO13" s="119"/>
      <c r="AZP13" s="119"/>
      <c r="AZQ13" s="119"/>
      <c r="AZR13" s="119"/>
      <c r="AZS13" s="120"/>
      <c r="AZT13" s="120"/>
      <c r="AZU13" s="120"/>
      <c r="AZV13" s="59"/>
      <c r="AZW13" s="119"/>
      <c r="AZX13" s="119"/>
      <c r="AZY13" s="119"/>
      <c r="AZZ13" s="119"/>
      <c r="BAA13" s="119"/>
      <c r="BAB13" s="119"/>
      <c r="BAC13" s="119"/>
      <c r="BAD13" s="119"/>
      <c r="BAE13" s="119"/>
      <c r="BAF13" s="119"/>
      <c r="BAG13" s="119"/>
      <c r="BAH13" s="119"/>
      <c r="BAI13" s="120"/>
      <c r="BAJ13" s="120"/>
      <c r="BAK13" s="120"/>
      <c r="BAL13" s="59"/>
      <c r="BAM13" s="119"/>
      <c r="BAN13" s="119"/>
      <c r="BAO13" s="119"/>
      <c r="BAP13" s="119"/>
      <c r="BAQ13" s="119"/>
      <c r="BAR13" s="119"/>
      <c r="BAS13" s="119"/>
      <c r="BAT13" s="119"/>
      <c r="BAU13" s="119"/>
      <c r="BAV13" s="119"/>
      <c r="BAW13" s="119"/>
      <c r="BAX13" s="119"/>
      <c r="BAY13" s="120"/>
      <c r="BAZ13" s="120"/>
      <c r="BBA13" s="120"/>
      <c r="BBB13" s="59"/>
      <c r="BBC13" s="119"/>
      <c r="BBD13" s="119"/>
      <c r="BBE13" s="119"/>
      <c r="BBF13" s="119"/>
      <c r="BBG13" s="119"/>
      <c r="BBH13" s="119"/>
      <c r="BBI13" s="119"/>
      <c r="BBJ13" s="119"/>
      <c r="BBK13" s="119"/>
      <c r="BBL13" s="119"/>
      <c r="BBM13" s="119"/>
      <c r="BBN13" s="119"/>
      <c r="BBO13" s="120"/>
      <c r="BBP13" s="120"/>
      <c r="BBQ13" s="120"/>
      <c r="BBR13" s="59"/>
      <c r="BBS13" s="119"/>
      <c r="BBT13" s="119"/>
      <c r="BBU13" s="119"/>
      <c r="BBV13" s="119"/>
      <c r="BBW13" s="119"/>
      <c r="BBX13" s="119"/>
      <c r="BBY13" s="119"/>
      <c r="BBZ13" s="119"/>
      <c r="BCA13" s="119"/>
      <c r="BCB13" s="119"/>
      <c r="BCC13" s="119"/>
      <c r="BCD13" s="119"/>
      <c r="BCE13" s="120"/>
      <c r="BCF13" s="120"/>
      <c r="BCG13" s="120"/>
      <c r="BCH13" s="59"/>
      <c r="BCI13" s="119"/>
      <c r="BCJ13" s="119"/>
      <c r="BCK13" s="119"/>
      <c r="BCL13" s="119"/>
      <c r="BCM13" s="119"/>
      <c r="BCN13" s="119"/>
      <c r="BCO13" s="119"/>
      <c r="BCP13" s="119"/>
      <c r="BCQ13" s="119"/>
      <c r="BCR13" s="119"/>
      <c r="BCS13" s="119"/>
      <c r="BCT13" s="119"/>
      <c r="BCU13" s="120"/>
      <c r="BCV13" s="120"/>
      <c r="BCW13" s="120"/>
      <c r="BCX13" s="59"/>
      <c r="BCY13" s="119"/>
      <c r="BCZ13" s="119"/>
      <c r="BDA13" s="119"/>
      <c r="BDB13" s="119"/>
      <c r="BDC13" s="119"/>
      <c r="BDD13" s="119"/>
      <c r="BDE13" s="119"/>
      <c r="BDF13" s="119"/>
      <c r="BDG13" s="119"/>
      <c r="BDH13" s="119"/>
      <c r="BDI13" s="119"/>
      <c r="BDJ13" s="119"/>
      <c r="BDK13" s="120"/>
      <c r="BDL13" s="120"/>
      <c r="BDM13" s="120"/>
      <c r="BDN13" s="59"/>
      <c r="BDO13" s="119"/>
      <c r="BDP13" s="119"/>
      <c r="BDQ13" s="119"/>
      <c r="BDR13" s="119"/>
      <c r="BDS13" s="119"/>
      <c r="BDT13" s="119"/>
      <c r="BDU13" s="119"/>
      <c r="BDV13" s="119"/>
      <c r="BDW13" s="119"/>
      <c r="BDX13" s="119"/>
      <c r="BDY13" s="119"/>
      <c r="BDZ13" s="119"/>
      <c r="BEA13" s="120"/>
      <c r="BEB13" s="120"/>
      <c r="BEC13" s="120"/>
      <c r="BED13" s="59"/>
      <c r="BEE13" s="119"/>
      <c r="BEF13" s="119"/>
      <c r="BEG13" s="119"/>
      <c r="BEH13" s="119"/>
      <c r="BEI13" s="119"/>
      <c r="BEJ13" s="119"/>
      <c r="BEK13" s="119"/>
      <c r="BEL13" s="119"/>
      <c r="BEM13" s="119"/>
      <c r="BEN13" s="119"/>
      <c r="BEO13" s="119"/>
      <c r="BEP13" s="119"/>
      <c r="BEQ13" s="120"/>
      <c r="BER13" s="120"/>
      <c r="BES13" s="120"/>
      <c r="BET13" s="59"/>
      <c r="BEU13" s="119"/>
      <c r="BEV13" s="119"/>
      <c r="BEW13" s="119"/>
      <c r="BEX13" s="119"/>
      <c r="BEY13" s="119"/>
      <c r="BEZ13" s="119"/>
      <c r="BFA13" s="119"/>
      <c r="BFB13" s="119"/>
      <c r="BFC13" s="119"/>
      <c r="BFD13" s="119"/>
      <c r="BFE13" s="119"/>
      <c r="BFF13" s="119"/>
      <c r="BFG13" s="120"/>
      <c r="BFH13" s="120"/>
      <c r="BFI13" s="120"/>
      <c r="BFJ13" s="59"/>
      <c r="BFK13" s="119"/>
      <c r="BFL13" s="119"/>
      <c r="BFM13" s="119"/>
      <c r="BFN13" s="119"/>
      <c r="BFO13" s="119"/>
      <c r="BFP13" s="119"/>
      <c r="BFQ13" s="119"/>
      <c r="BFR13" s="119"/>
      <c r="BFS13" s="119"/>
      <c r="BFT13" s="119"/>
      <c r="BFU13" s="119"/>
      <c r="BFV13" s="119"/>
      <c r="BFW13" s="120"/>
      <c r="BFX13" s="120"/>
      <c r="BFY13" s="120"/>
      <c r="BFZ13" s="59"/>
      <c r="BGA13" s="119"/>
      <c r="BGB13" s="119"/>
      <c r="BGC13" s="119"/>
      <c r="BGD13" s="119"/>
      <c r="BGE13" s="119"/>
      <c r="BGF13" s="119"/>
      <c r="BGG13" s="119"/>
      <c r="BGH13" s="119"/>
      <c r="BGI13" s="119"/>
      <c r="BGJ13" s="119"/>
      <c r="BGK13" s="119"/>
      <c r="BGL13" s="119"/>
      <c r="BGM13" s="120"/>
      <c r="BGN13" s="120"/>
      <c r="BGO13" s="120"/>
      <c r="BGP13" s="59"/>
      <c r="BGQ13" s="119"/>
      <c r="BGR13" s="119"/>
      <c r="BGS13" s="119"/>
      <c r="BGT13" s="119"/>
      <c r="BGU13" s="119"/>
      <c r="BGV13" s="119"/>
      <c r="BGW13" s="119"/>
      <c r="BGX13" s="119"/>
      <c r="BGY13" s="119"/>
      <c r="BGZ13" s="119"/>
      <c r="BHA13" s="119"/>
      <c r="BHB13" s="119"/>
      <c r="BHC13" s="120"/>
      <c r="BHD13" s="120"/>
      <c r="BHE13" s="120"/>
      <c r="BHF13" s="59"/>
      <c r="BHG13" s="119"/>
      <c r="BHH13" s="119"/>
      <c r="BHI13" s="119"/>
      <c r="BHJ13" s="119"/>
      <c r="BHK13" s="119"/>
      <c r="BHL13" s="119"/>
      <c r="BHM13" s="119"/>
      <c r="BHN13" s="119"/>
      <c r="BHO13" s="119"/>
      <c r="BHP13" s="119"/>
      <c r="BHQ13" s="119"/>
      <c r="BHR13" s="119"/>
      <c r="BHS13" s="120"/>
      <c r="BHT13" s="120"/>
      <c r="BHU13" s="120"/>
      <c r="BHV13" s="59"/>
      <c r="BHW13" s="119"/>
      <c r="BHX13" s="119"/>
      <c r="BHY13" s="119"/>
      <c r="BHZ13" s="119"/>
      <c r="BIA13" s="119"/>
      <c r="BIB13" s="119"/>
      <c r="BIC13" s="119"/>
      <c r="BID13" s="119"/>
      <c r="BIE13" s="119"/>
      <c r="BIF13" s="119"/>
      <c r="BIG13" s="119"/>
      <c r="BIH13" s="119"/>
      <c r="BII13" s="120"/>
      <c r="BIJ13" s="120"/>
      <c r="BIK13" s="120"/>
      <c r="BIL13" s="59"/>
      <c r="BIM13" s="119"/>
      <c r="BIN13" s="119"/>
      <c r="BIO13" s="119"/>
      <c r="BIP13" s="119"/>
      <c r="BIQ13" s="119"/>
      <c r="BIR13" s="119"/>
      <c r="BIS13" s="119"/>
      <c r="BIT13" s="119"/>
      <c r="BIU13" s="119"/>
      <c r="BIV13" s="119"/>
      <c r="BIW13" s="119"/>
      <c r="BIX13" s="119"/>
      <c r="BIY13" s="120"/>
      <c r="BIZ13" s="120"/>
      <c r="BJA13" s="120"/>
      <c r="BJB13" s="59"/>
      <c r="BJC13" s="119"/>
      <c r="BJD13" s="119"/>
      <c r="BJE13" s="119"/>
      <c r="BJF13" s="119"/>
      <c r="BJG13" s="119"/>
      <c r="BJH13" s="119"/>
      <c r="BJI13" s="119"/>
      <c r="BJJ13" s="119"/>
      <c r="BJK13" s="119"/>
      <c r="BJL13" s="119"/>
      <c r="BJM13" s="119"/>
      <c r="BJN13" s="119"/>
      <c r="BJO13" s="120"/>
      <c r="BJP13" s="120"/>
      <c r="BJQ13" s="120"/>
      <c r="BJR13" s="59"/>
      <c r="BJS13" s="119"/>
      <c r="BJT13" s="119"/>
      <c r="BJU13" s="119"/>
      <c r="BJV13" s="119"/>
      <c r="BJW13" s="119"/>
      <c r="BJX13" s="119"/>
      <c r="BJY13" s="119"/>
      <c r="BJZ13" s="119"/>
      <c r="BKA13" s="119"/>
      <c r="BKB13" s="119"/>
      <c r="BKC13" s="119"/>
      <c r="BKD13" s="119"/>
      <c r="BKE13" s="120"/>
      <c r="BKF13" s="120"/>
      <c r="BKG13" s="120"/>
      <c r="BKH13" s="59"/>
      <c r="BKI13" s="119"/>
      <c r="BKJ13" s="119"/>
      <c r="BKK13" s="119"/>
      <c r="BKL13" s="119"/>
      <c r="BKM13" s="119"/>
      <c r="BKN13" s="119"/>
      <c r="BKO13" s="119"/>
      <c r="BKP13" s="119"/>
      <c r="BKQ13" s="119"/>
      <c r="BKR13" s="119"/>
      <c r="BKS13" s="119"/>
      <c r="BKT13" s="119"/>
      <c r="BKU13" s="120"/>
      <c r="BKV13" s="120"/>
      <c r="BKW13" s="120"/>
      <c r="BKX13" s="59"/>
      <c r="BKY13" s="119"/>
      <c r="BKZ13" s="119"/>
      <c r="BLA13" s="119"/>
      <c r="BLB13" s="119"/>
      <c r="BLC13" s="119"/>
      <c r="BLD13" s="119"/>
      <c r="BLE13" s="119"/>
      <c r="BLF13" s="119"/>
      <c r="BLG13" s="119"/>
      <c r="BLH13" s="119"/>
      <c r="BLI13" s="119"/>
      <c r="BLJ13" s="119"/>
      <c r="BLK13" s="120"/>
      <c r="BLL13" s="120"/>
      <c r="BLM13" s="120"/>
      <c r="BLN13" s="59"/>
      <c r="BLO13" s="119"/>
      <c r="BLP13" s="119"/>
      <c r="BLQ13" s="119"/>
      <c r="BLR13" s="119"/>
      <c r="BLS13" s="119"/>
      <c r="BLT13" s="119"/>
      <c r="BLU13" s="119"/>
      <c r="BLV13" s="119"/>
      <c r="BLW13" s="119"/>
      <c r="BLX13" s="119"/>
      <c r="BLY13" s="119"/>
      <c r="BLZ13" s="119"/>
      <c r="BMA13" s="120"/>
      <c r="BMB13" s="120"/>
      <c r="BMC13" s="120"/>
      <c r="BMD13" s="59"/>
      <c r="BME13" s="119"/>
      <c r="BMF13" s="119"/>
      <c r="BMG13" s="119"/>
      <c r="BMH13" s="119"/>
      <c r="BMI13" s="119"/>
      <c r="BMJ13" s="119"/>
      <c r="BMK13" s="119"/>
      <c r="BML13" s="119"/>
      <c r="BMM13" s="119"/>
      <c r="BMN13" s="119"/>
      <c r="BMO13" s="119"/>
      <c r="BMP13" s="119"/>
      <c r="BMQ13" s="120"/>
      <c r="BMR13" s="120"/>
      <c r="BMS13" s="120"/>
      <c r="BMT13" s="59"/>
      <c r="BMU13" s="119"/>
      <c r="BMV13" s="119"/>
      <c r="BMW13" s="119"/>
      <c r="BMX13" s="119"/>
      <c r="BMY13" s="119"/>
      <c r="BMZ13" s="119"/>
      <c r="BNA13" s="119"/>
      <c r="BNB13" s="119"/>
      <c r="BNC13" s="119"/>
      <c r="BND13" s="119"/>
      <c r="BNE13" s="119"/>
      <c r="BNF13" s="119"/>
      <c r="BNG13" s="120"/>
      <c r="BNH13" s="120"/>
      <c r="BNI13" s="120"/>
      <c r="BNJ13" s="59"/>
      <c r="BNK13" s="119"/>
      <c r="BNL13" s="119"/>
      <c r="BNM13" s="119"/>
      <c r="BNN13" s="119"/>
      <c r="BNO13" s="119"/>
      <c r="BNP13" s="119"/>
      <c r="BNQ13" s="119"/>
      <c r="BNR13" s="119"/>
      <c r="BNS13" s="119"/>
      <c r="BNT13" s="119"/>
      <c r="BNU13" s="119"/>
      <c r="BNV13" s="119"/>
      <c r="BNW13" s="120"/>
      <c r="BNX13" s="120"/>
      <c r="BNY13" s="120"/>
      <c r="BNZ13" s="59"/>
      <c r="BOA13" s="119"/>
      <c r="BOB13" s="119"/>
      <c r="BOC13" s="119"/>
      <c r="BOD13" s="119"/>
      <c r="BOE13" s="119"/>
      <c r="BOF13" s="119"/>
      <c r="BOG13" s="119"/>
      <c r="BOH13" s="119"/>
      <c r="BOI13" s="119"/>
      <c r="BOJ13" s="119"/>
      <c r="BOK13" s="119"/>
      <c r="BOL13" s="119"/>
      <c r="BOM13" s="120"/>
      <c r="BON13" s="120"/>
      <c r="BOO13" s="120"/>
      <c r="BOP13" s="59"/>
      <c r="BOQ13" s="119"/>
      <c r="BOR13" s="119"/>
      <c r="BOS13" s="119"/>
      <c r="BOT13" s="119"/>
      <c r="BOU13" s="119"/>
      <c r="BOV13" s="119"/>
      <c r="BOW13" s="119"/>
      <c r="BOX13" s="119"/>
      <c r="BOY13" s="119"/>
      <c r="BOZ13" s="119"/>
      <c r="BPA13" s="119"/>
      <c r="BPB13" s="119"/>
      <c r="BPC13" s="120"/>
      <c r="BPD13" s="120"/>
      <c r="BPE13" s="120"/>
      <c r="BPF13" s="59"/>
      <c r="BPG13" s="119"/>
      <c r="BPH13" s="119"/>
      <c r="BPI13" s="119"/>
      <c r="BPJ13" s="119"/>
      <c r="BPK13" s="119"/>
      <c r="BPL13" s="119"/>
      <c r="BPM13" s="119"/>
      <c r="BPN13" s="119"/>
      <c r="BPO13" s="119"/>
      <c r="BPP13" s="119"/>
      <c r="BPQ13" s="119"/>
      <c r="BPR13" s="119"/>
      <c r="BPS13" s="120"/>
      <c r="BPT13" s="120"/>
      <c r="BPU13" s="120"/>
      <c r="BPV13" s="59"/>
      <c r="BPW13" s="119"/>
      <c r="BPX13" s="119"/>
      <c r="BPY13" s="119"/>
      <c r="BPZ13" s="119"/>
      <c r="BQA13" s="119"/>
      <c r="BQB13" s="119"/>
      <c r="BQC13" s="119"/>
      <c r="BQD13" s="119"/>
      <c r="BQE13" s="119"/>
      <c r="BQF13" s="119"/>
      <c r="BQG13" s="119"/>
      <c r="BQH13" s="119"/>
      <c r="BQI13" s="120"/>
      <c r="BQJ13" s="120"/>
      <c r="BQK13" s="120"/>
      <c r="BQL13" s="59"/>
      <c r="BQM13" s="119"/>
      <c r="BQN13" s="119"/>
      <c r="BQO13" s="119"/>
      <c r="BQP13" s="119"/>
      <c r="BQQ13" s="119"/>
      <c r="BQR13" s="119"/>
      <c r="BQS13" s="119"/>
      <c r="BQT13" s="119"/>
      <c r="BQU13" s="119"/>
      <c r="BQV13" s="119"/>
      <c r="BQW13" s="119"/>
      <c r="BQX13" s="119"/>
      <c r="BQY13" s="120"/>
      <c r="BQZ13" s="120"/>
      <c r="BRA13" s="120"/>
      <c r="BRB13" s="59"/>
      <c r="BRC13" s="119"/>
      <c r="BRD13" s="119"/>
      <c r="BRE13" s="119"/>
      <c r="BRF13" s="119"/>
      <c r="BRG13" s="119"/>
      <c r="BRH13" s="119"/>
      <c r="BRI13" s="119"/>
      <c r="BRJ13" s="119"/>
      <c r="BRK13" s="119"/>
      <c r="BRL13" s="119"/>
      <c r="BRM13" s="119"/>
      <c r="BRN13" s="119"/>
      <c r="BRO13" s="120"/>
      <c r="BRP13" s="120"/>
      <c r="BRQ13" s="120"/>
      <c r="BRR13" s="59"/>
      <c r="BRS13" s="119"/>
      <c r="BRT13" s="119"/>
      <c r="BRU13" s="119"/>
      <c r="BRV13" s="119"/>
      <c r="BRW13" s="119"/>
      <c r="BRX13" s="119"/>
      <c r="BRY13" s="119"/>
      <c r="BRZ13" s="119"/>
      <c r="BSA13" s="119"/>
      <c r="BSB13" s="119"/>
      <c r="BSC13" s="119"/>
      <c r="BSD13" s="119"/>
      <c r="BSE13" s="120"/>
      <c r="BSF13" s="120"/>
      <c r="BSG13" s="120"/>
      <c r="BSH13" s="59"/>
      <c r="BSI13" s="119"/>
      <c r="BSJ13" s="119"/>
      <c r="BSK13" s="119"/>
      <c r="BSL13" s="119"/>
      <c r="BSM13" s="119"/>
      <c r="BSN13" s="119"/>
      <c r="BSO13" s="119"/>
      <c r="BSP13" s="119"/>
      <c r="BSQ13" s="119"/>
      <c r="BSR13" s="119"/>
      <c r="BSS13" s="119"/>
      <c r="BST13" s="119"/>
      <c r="BSU13" s="120"/>
      <c r="BSV13" s="120"/>
      <c r="BSW13" s="120"/>
      <c r="BSX13" s="59"/>
      <c r="BSY13" s="119"/>
      <c r="BSZ13" s="119"/>
      <c r="BTA13" s="119"/>
      <c r="BTB13" s="119"/>
      <c r="BTC13" s="119"/>
      <c r="BTD13" s="119"/>
      <c r="BTE13" s="119"/>
      <c r="BTF13" s="119"/>
      <c r="BTG13" s="119"/>
      <c r="BTH13" s="119"/>
      <c r="BTI13" s="119"/>
      <c r="BTJ13" s="119"/>
      <c r="BTK13" s="120"/>
      <c r="BTL13" s="120"/>
      <c r="BTM13" s="120"/>
      <c r="BTN13" s="59"/>
      <c r="BTO13" s="119"/>
      <c r="BTP13" s="119"/>
      <c r="BTQ13" s="119"/>
      <c r="BTR13" s="119"/>
      <c r="BTS13" s="119"/>
      <c r="BTT13" s="119"/>
      <c r="BTU13" s="119"/>
      <c r="BTV13" s="119"/>
      <c r="BTW13" s="119"/>
      <c r="BTX13" s="119"/>
      <c r="BTY13" s="119"/>
      <c r="BTZ13" s="119"/>
      <c r="BUA13" s="120"/>
      <c r="BUB13" s="120"/>
      <c r="BUC13" s="120"/>
      <c r="BUD13" s="59"/>
      <c r="BUE13" s="119"/>
      <c r="BUF13" s="119"/>
      <c r="BUG13" s="119"/>
      <c r="BUH13" s="119"/>
      <c r="BUI13" s="119"/>
      <c r="BUJ13" s="119"/>
      <c r="BUK13" s="119"/>
      <c r="BUL13" s="119"/>
      <c r="BUM13" s="119"/>
      <c r="BUN13" s="119"/>
      <c r="BUO13" s="119"/>
      <c r="BUP13" s="119"/>
      <c r="BUQ13" s="120"/>
      <c r="BUR13" s="120"/>
      <c r="BUS13" s="120"/>
      <c r="BUT13" s="59"/>
      <c r="BUU13" s="119"/>
      <c r="BUV13" s="119"/>
      <c r="BUW13" s="119"/>
      <c r="BUX13" s="119"/>
      <c r="BUY13" s="119"/>
      <c r="BUZ13" s="119"/>
      <c r="BVA13" s="119"/>
      <c r="BVB13" s="119"/>
      <c r="BVC13" s="119"/>
      <c r="BVD13" s="119"/>
      <c r="BVE13" s="119"/>
      <c r="BVF13" s="119"/>
      <c r="BVG13" s="120"/>
      <c r="BVH13" s="120"/>
      <c r="BVI13" s="120"/>
      <c r="BVJ13" s="59"/>
      <c r="BVK13" s="119"/>
      <c r="BVL13" s="119"/>
      <c r="BVM13" s="119"/>
      <c r="BVN13" s="119"/>
      <c r="BVO13" s="119"/>
      <c r="BVP13" s="119"/>
      <c r="BVQ13" s="119"/>
      <c r="BVR13" s="119"/>
      <c r="BVS13" s="119"/>
      <c r="BVT13" s="119"/>
      <c r="BVU13" s="119"/>
      <c r="BVV13" s="119"/>
      <c r="BVW13" s="120"/>
      <c r="BVX13" s="120"/>
      <c r="BVY13" s="120"/>
      <c r="BVZ13" s="59"/>
      <c r="BWA13" s="119"/>
      <c r="BWB13" s="119"/>
      <c r="BWC13" s="119"/>
      <c r="BWD13" s="119"/>
      <c r="BWE13" s="119"/>
      <c r="BWF13" s="119"/>
      <c r="BWG13" s="119"/>
      <c r="BWH13" s="119"/>
      <c r="BWI13" s="119"/>
      <c r="BWJ13" s="119"/>
      <c r="BWK13" s="119"/>
      <c r="BWL13" s="119"/>
      <c r="BWM13" s="120"/>
      <c r="BWN13" s="120"/>
      <c r="BWO13" s="120"/>
      <c r="BWP13" s="59"/>
      <c r="BWQ13" s="119"/>
      <c r="BWR13" s="119"/>
      <c r="BWS13" s="119"/>
      <c r="BWT13" s="119"/>
      <c r="BWU13" s="119"/>
      <c r="BWV13" s="119"/>
      <c r="BWW13" s="119"/>
      <c r="BWX13" s="119"/>
      <c r="BWY13" s="119"/>
      <c r="BWZ13" s="119"/>
      <c r="BXA13" s="119"/>
      <c r="BXB13" s="119"/>
      <c r="BXC13" s="120"/>
      <c r="BXD13" s="120"/>
      <c r="BXE13" s="120"/>
      <c r="BXF13" s="59"/>
      <c r="BXG13" s="119"/>
      <c r="BXH13" s="119"/>
      <c r="BXI13" s="119"/>
      <c r="BXJ13" s="119"/>
      <c r="BXK13" s="119"/>
      <c r="BXL13" s="119"/>
      <c r="BXM13" s="119"/>
      <c r="BXN13" s="119"/>
      <c r="BXO13" s="119"/>
      <c r="BXP13" s="119"/>
      <c r="BXQ13" s="119"/>
      <c r="BXR13" s="119"/>
      <c r="BXS13" s="120"/>
      <c r="BXT13" s="120"/>
      <c r="BXU13" s="120"/>
      <c r="BXV13" s="59"/>
      <c r="BXW13" s="119"/>
      <c r="BXX13" s="119"/>
      <c r="BXY13" s="119"/>
      <c r="BXZ13" s="119"/>
      <c r="BYA13" s="119"/>
      <c r="BYB13" s="119"/>
      <c r="BYC13" s="119"/>
      <c r="BYD13" s="119"/>
      <c r="BYE13" s="119"/>
      <c r="BYF13" s="119"/>
      <c r="BYG13" s="119"/>
      <c r="BYH13" s="119"/>
      <c r="BYI13" s="120"/>
      <c r="BYJ13" s="120"/>
      <c r="BYK13" s="120"/>
      <c r="BYL13" s="59"/>
      <c r="BYM13" s="119"/>
      <c r="BYN13" s="119"/>
      <c r="BYO13" s="119"/>
      <c r="BYP13" s="119"/>
      <c r="BYQ13" s="119"/>
      <c r="BYR13" s="119"/>
      <c r="BYS13" s="119"/>
      <c r="BYT13" s="119"/>
      <c r="BYU13" s="119"/>
      <c r="BYV13" s="119"/>
      <c r="BYW13" s="119"/>
      <c r="BYX13" s="119"/>
      <c r="BYY13" s="120"/>
      <c r="BYZ13" s="120"/>
      <c r="BZA13" s="120"/>
      <c r="BZB13" s="59"/>
      <c r="BZC13" s="119"/>
      <c r="BZD13" s="119"/>
      <c r="BZE13" s="119"/>
      <c r="BZF13" s="119"/>
      <c r="BZG13" s="119"/>
      <c r="BZH13" s="119"/>
      <c r="BZI13" s="119"/>
      <c r="BZJ13" s="119"/>
      <c r="BZK13" s="119"/>
      <c r="BZL13" s="119"/>
      <c r="BZM13" s="119"/>
      <c r="BZN13" s="119"/>
      <c r="BZO13" s="120"/>
      <c r="BZP13" s="120"/>
      <c r="BZQ13" s="120"/>
      <c r="BZR13" s="59"/>
      <c r="BZS13" s="119"/>
      <c r="BZT13" s="119"/>
      <c r="BZU13" s="119"/>
      <c r="BZV13" s="119"/>
      <c r="BZW13" s="119"/>
      <c r="BZX13" s="119"/>
      <c r="BZY13" s="119"/>
      <c r="BZZ13" s="119"/>
      <c r="CAA13" s="119"/>
      <c r="CAB13" s="119"/>
      <c r="CAC13" s="119"/>
      <c r="CAD13" s="119"/>
      <c r="CAE13" s="120"/>
      <c r="CAF13" s="120"/>
      <c r="CAG13" s="120"/>
      <c r="CAH13" s="59"/>
      <c r="CAI13" s="119"/>
      <c r="CAJ13" s="119"/>
      <c r="CAK13" s="119"/>
      <c r="CAL13" s="119"/>
      <c r="CAM13" s="119"/>
      <c r="CAN13" s="119"/>
      <c r="CAO13" s="119"/>
      <c r="CAP13" s="119"/>
      <c r="CAQ13" s="119"/>
      <c r="CAR13" s="119"/>
      <c r="CAS13" s="119"/>
      <c r="CAT13" s="119"/>
      <c r="CAU13" s="120"/>
      <c r="CAV13" s="120"/>
      <c r="CAW13" s="120"/>
      <c r="CAX13" s="59"/>
      <c r="CAY13" s="119"/>
      <c r="CAZ13" s="119"/>
      <c r="CBA13" s="119"/>
      <c r="CBB13" s="119"/>
      <c r="CBC13" s="119"/>
      <c r="CBD13" s="119"/>
      <c r="CBE13" s="119"/>
      <c r="CBF13" s="119"/>
      <c r="CBG13" s="119"/>
      <c r="CBH13" s="119"/>
      <c r="CBI13" s="119"/>
      <c r="CBJ13" s="119"/>
      <c r="CBK13" s="120"/>
      <c r="CBL13" s="120"/>
      <c r="CBM13" s="120"/>
      <c r="CBN13" s="59"/>
      <c r="CBO13" s="119"/>
      <c r="CBP13" s="119"/>
      <c r="CBQ13" s="119"/>
      <c r="CBR13" s="119"/>
      <c r="CBS13" s="119"/>
      <c r="CBT13" s="119"/>
      <c r="CBU13" s="119"/>
      <c r="CBV13" s="119"/>
      <c r="CBW13" s="119"/>
      <c r="CBX13" s="119"/>
      <c r="CBY13" s="119"/>
      <c r="CBZ13" s="119"/>
      <c r="CCA13" s="120"/>
      <c r="CCB13" s="120"/>
      <c r="CCC13" s="120"/>
      <c r="CCD13" s="59"/>
      <c r="CCE13" s="119"/>
      <c r="CCF13" s="119"/>
      <c r="CCG13" s="119"/>
      <c r="CCH13" s="119"/>
      <c r="CCI13" s="119"/>
      <c r="CCJ13" s="119"/>
      <c r="CCK13" s="119"/>
      <c r="CCL13" s="119"/>
      <c r="CCM13" s="119"/>
      <c r="CCN13" s="119"/>
      <c r="CCO13" s="119"/>
      <c r="CCP13" s="119"/>
      <c r="CCQ13" s="120"/>
      <c r="CCR13" s="120"/>
      <c r="CCS13" s="120"/>
      <c r="CCT13" s="59"/>
      <c r="CCU13" s="119"/>
      <c r="CCV13" s="119"/>
      <c r="CCW13" s="119"/>
      <c r="CCX13" s="119"/>
      <c r="CCY13" s="119"/>
      <c r="CCZ13" s="119"/>
      <c r="CDA13" s="119"/>
      <c r="CDB13" s="119"/>
      <c r="CDC13" s="119"/>
      <c r="CDD13" s="119"/>
      <c r="CDE13" s="119"/>
      <c r="CDF13" s="119"/>
      <c r="CDG13" s="120"/>
      <c r="CDH13" s="120"/>
      <c r="CDI13" s="120"/>
      <c r="CDJ13" s="59"/>
      <c r="CDK13" s="119"/>
      <c r="CDL13" s="119"/>
      <c r="CDM13" s="119"/>
      <c r="CDN13" s="119"/>
      <c r="CDO13" s="119"/>
      <c r="CDP13" s="119"/>
      <c r="CDQ13" s="119"/>
      <c r="CDR13" s="119"/>
      <c r="CDS13" s="119"/>
      <c r="CDT13" s="119"/>
      <c r="CDU13" s="119"/>
      <c r="CDV13" s="119"/>
      <c r="CDW13" s="120"/>
      <c r="CDX13" s="120"/>
      <c r="CDY13" s="120"/>
      <c r="CDZ13" s="59"/>
      <c r="CEA13" s="119"/>
      <c r="CEB13" s="119"/>
      <c r="CEC13" s="119"/>
      <c r="CED13" s="119"/>
      <c r="CEE13" s="119"/>
      <c r="CEF13" s="119"/>
      <c r="CEG13" s="119"/>
      <c r="CEH13" s="119"/>
      <c r="CEI13" s="119"/>
      <c r="CEJ13" s="119"/>
      <c r="CEK13" s="119"/>
      <c r="CEL13" s="119"/>
      <c r="CEM13" s="120"/>
      <c r="CEN13" s="120"/>
      <c r="CEO13" s="120"/>
      <c r="CEP13" s="59"/>
      <c r="CEQ13" s="119"/>
      <c r="CER13" s="119"/>
      <c r="CES13" s="119"/>
      <c r="CET13" s="119"/>
      <c r="CEU13" s="119"/>
      <c r="CEV13" s="119"/>
      <c r="CEW13" s="119"/>
      <c r="CEX13" s="119"/>
      <c r="CEY13" s="119"/>
      <c r="CEZ13" s="119"/>
      <c r="CFA13" s="119"/>
      <c r="CFB13" s="119"/>
      <c r="CFC13" s="120"/>
      <c r="CFD13" s="120"/>
      <c r="CFE13" s="120"/>
      <c r="CFF13" s="59"/>
      <c r="CFG13" s="119"/>
      <c r="CFH13" s="119"/>
      <c r="CFI13" s="119"/>
      <c r="CFJ13" s="119"/>
      <c r="CFK13" s="119"/>
      <c r="CFL13" s="119"/>
      <c r="CFM13" s="119"/>
      <c r="CFN13" s="119"/>
      <c r="CFO13" s="119"/>
      <c r="CFP13" s="119"/>
      <c r="CFQ13" s="119"/>
      <c r="CFR13" s="119"/>
      <c r="CFS13" s="120"/>
      <c r="CFT13" s="120"/>
      <c r="CFU13" s="120"/>
      <c r="CFV13" s="59"/>
      <c r="CFW13" s="119"/>
      <c r="CFX13" s="119"/>
      <c r="CFY13" s="119"/>
      <c r="CFZ13" s="119"/>
      <c r="CGA13" s="119"/>
      <c r="CGB13" s="119"/>
      <c r="CGC13" s="119"/>
      <c r="CGD13" s="119"/>
      <c r="CGE13" s="119"/>
      <c r="CGF13" s="119"/>
      <c r="CGG13" s="119"/>
      <c r="CGH13" s="119"/>
      <c r="CGI13" s="120"/>
      <c r="CGJ13" s="120"/>
      <c r="CGK13" s="120"/>
      <c r="CGL13" s="59"/>
      <c r="CGM13" s="119"/>
      <c r="CGN13" s="119"/>
      <c r="CGO13" s="119"/>
      <c r="CGP13" s="119"/>
      <c r="CGQ13" s="119"/>
      <c r="CGR13" s="119"/>
      <c r="CGS13" s="119"/>
      <c r="CGT13" s="119"/>
      <c r="CGU13" s="119"/>
      <c r="CGV13" s="119"/>
      <c r="CGW13" s="119"/>
      <c r="CGX13" s="119"/>
      <c r="CGY13" s="120"/>
      <c r="CGZ13" s="120"/>
      <c r="CHA13" s="120"/>
      <c r="CHB13" s="59"/>
      <c r="CHC13" s="119"/>
      <c r="CHD13" s="119"/>
      <c r="CHE13" s="119"/>
      <c r="CHF13" s="119"/>
      <c r="CHG13" s="119"/>
      <c r="CHH13" s="119"/>
      <c r="CHI13" s="119"/>
      <c r="CHJ13" s="119"/>
      <c r="CHK13" s="119"/>
      <c r="CHL13" s="119"/>
      <c r="CHM13" s="119"/>
      <c r="CHN13" s="119"/>
      <c r="CHO13" s="120"/>
      <c r="CHP13" s="120"/>
      <c r="CHQ13" s="120"/>
      <c r="CHR13" s="59"/>
      <c r="CHS13" s="119"/>
      <c r="CHT13" s="119"/>
      <c r="CHU13" s="119"/>
      <c r="CHV13" s="119"/>
      <c r="CHW13" s="119"/>
      <c r="CHX13" s="119"/>
      <c r="CHY13" s="119"/>
      <c r="CHZ13" s="119"/>
      <c r="CIA13" s="119"/>
      <c r="CIB13" s="119"/>
      <c r="CIC13" s="119"/>
      <c r="CID13" s="119"/>
      <c r="CIE13" s="120"/>
      <c r="CIF13" s="120"/>
      <c r="CIG13" s="120"/>
      <c r="CIH13" s="59"/>
      <c r="CII13" s="119"/>
      <c r="CIJ13" s="119"/>
      <c r="CIK13" s="119"/>
      <c r="CIL13" s="119"/>
      <c r="CIM13" s="119"/>
      <c r="CIN13" s="119"/>
      <c r="CIO13" s="119"/>
      <c r="CIP13" s="119"/>
      <c r="CIQ13" s="119"/>
      <c r="CIR13" s="119"/>
      <c r="CIS13" s="119"/>
      <c r="CIT13" s="119"/>
      <c r="CIU13" s="120"/>
      <c r="CIV13" s="120"/>
      <c r="CIW13" s="120"/>
      <c r="CIX13" s="59"/>
      <c r="CIY13" s="119"/>
      <c r="CIZ13" s="119"/>
      <c r="CJA13" s="119"/>
      <c r="CJB13" s="119"/>
      <c r="CJC13" s="119"/>
      <c r="CJD13" s="119"/>
      <c r="CJE13" s="119"/>
      <c r="CJF13" s="119"/>
      <c r="CJG13" s="119"/>
      <c r="CJH13" s="119"/>
      <c r="CJI13" s="119"/>
      <c r="CJJ13" s="119"/>
      <c r="CJK13" s="120"/>
      <c r="CJL13" s="120"/>
      <c r="CJM13" s="120"/>
      <c r="CJN13" s="59"/>
      <c r="CJO13" s="119"/>
      <c r="CJP13" s="119"/>
      <c r="CJQ13" s="119"/>
      <c r="CJR13" s="119"/>
      <c r="CJS13" s="119"/>
      <c r="CJT13" s="119"/>
      <c r="CJU13" s="119"/>
      <c r="CJV13" s="119"/>
      <c r="CJW13" s="119"/>
      <c r="CJX13" s="119"/>
      <c r="CJY13" s="119"/>
      <c r="CJZ13" s="119"/>
      <c r="CKA13" s="120"/>
      <c r="CKB13" s="120"/>
      <c r="CKC13" s="120"/>
      <c r="CKD13" s="59"/>
      <c r="CKE13" s="119"/>
      <c r="CKF13" s="119"/>
      <c r="CKG13" s="119"/>
      <c r="CKH13" s="119"/>
      <c r="CKI13" s="119"/>
      <c r="CKJ13" s="119"/>
      <c r="CKK13" s="119"/>
      <c r="CKL13" s="119"/>
      <c r="CKM13" s="119"/>
      <c r="CKN13" s="119"/>
      <c r="CKO13" s="119"/>
      <c r="CKP13" s="119"/>
      <c r="CKQ13" s="120"/>
      <c r="CKR13" s="120"/>
      <c r="CKS13" s="120"/>
      <c r="CKT13" s="59"/>
      <c r="CKU13" s="119"/>
      <c r="CKV13" s="119"/>
      <c r="CKW13" s="119"/>
      <c r="CKX13" s="119"/>
      <c r="CKY13" s="119"/>
      <c r="CKZ13" s="119"/>
      <c r="CLA13" s="119"/>
      <c r="CLB13" s="119"/>
      <c r="CLC13" s="119"/>
      <c r="CLD13" s="119"/>
      <c r="CLE13" s="119"/>
      <c r="CLF13" s="119"/>
      <c r="CLG13" s="120"/>
      <c r="CLH13" s="120"/>
      <c r="CLI13" s="120"/>
      <c r="CLJ13" s="59"/>
      <c r="CLK13" s="119"/>
      <c r="CLL13" s="119"/>
      <c r="CLM13" s="119"/>
      <c r="CLN13" s="119"/>
      <c r="CLO13" s="119"/>
      <c r="CLP13" s="119"/>
      <c r="CLQ13" s="119"/>
      <c r="CLR13" s="119"/>
      <c r="CLS13" s="119"/>
      <c r="CLT13" s="119"/>
      <c r="CLU13" s="119"/>
      <c r="CLV13" s="119"/>
      <c r="CLW13" s="120"/>
      <c r="CLX13" s="120"/>
      <c r="CLY13" s="120"/>
      <c r="CLZ13" s="59"/>
      <c r="CMA13" s="119"/>
      <c r="CMB13" s="119"/>
      <c r="CMC13" s="119"/>
      <c r="CMD13" s="119"/>
      <c r="CME13" s="119"/>
      <c r="CMF13" s="119"/>
      <c r="CMG13" s="119"/>
      <c r="CMH13" s="119"/>
      <c r="CMI13" s="119"/>
      <c r="CMJ13" s="119"/>
      <c r="CMK13" s="119"/>
      <c r="CML13" s="119"/>
      <c r="CMM13" s="120"/>
      <c r="CMN13" s="120"/>
      <c r="CMO13" s="120"/>
      <c r="CMP13" s="59"/>
      <c r="CMQ13" s="119"/>
      <c r="CMR13" s="119"/>
      <c r="CMS13" s="119"/>
      <c r="CMT13" s="119"/>
      <c r="CMU13" s="119"/>
      <c r="CMV13" s="119"/>
      <c r="CMW13" s="119"/>
      <c r="CMX13" s="119"/>
      <c r="CMY13" s="119"/>
      <c r="CMZ13" s="119"/>
      <c r="CNA13" s="119"/>
      <c r="CNB13" s="119"/>
      <c r="CNC13" s="120"/>
      <c r="CND13" s="120"/>
      <c r="CNE13" s="120"/>
      <c r="CNF13" s="59"/>
      <c r="CNG13" s="119"/>
      <c r="CNH13" s="119"/>
      <c r="CNI13" s="119"/>
      <c r="CNJ13" s="119"/>
      <c r="CNK13" s="119"/>
      <c r="CNL13" s="119"/>
      <c r="CNM13" s="119"/>
      <c r="CNN13" s="119"/>
      <c r="CNO13" s="119"/>
      <c r="CNP13" s="119"/>
      <c r="CNQ13" s="119"/>
      <c r="CNR13" s="119"/>
      <c r="CNS13" s="120"/>
      <c r="CNT13" s="120"/>
      <c r="CNU13" s="120"/>
      <c r="CNV13" s="59"/>
      <c r="CNW13" s="119"/>
      <c r="CNX13" s="119"/>
      <c r="CNY13" s="119"/>
      <c r="CNZ13" s="119"/>
      <c r="COA13" s="119"/>
      <c r="COB13" s="119"/>
      <c r="COC13" s="119"/>
      <c r="COD13" s="119"/>
      <c r="COE13" s="119"/>
      <c r="COF13" s="119"/>
      <c r="COG13" s="119"/>
      <c r="COH13" s="119"/>
      <c r="COI13" s="120"/>
      <c r="COJ13" s="120"/>
      <c r="COK13" s="120"/>
      <c r="COL13" s="59"/>
      <c r="COM13" s="119"/>
      <c r="CON13" s="119"/>
      <c r="COO13" s="119"/>
      <c r="COP13" s="119"/>
      <c r="COQ13" s="119"/>
      <c r="COR13" s="119"/>
      <c r="COS13" s="119"/>
      <c r="COT13" s="119"/>
      <c r="COU13" s="119"/>
      <c r="COV13" s="119"/>
      <c r="COW13" s="119"/>
      <c r="COX13" s="119"/>
      <c r="COY13" s="120"/>
      <c r="COZ13" s="120"/>
      <c r="CPA13" s="120"/>
      <c r="CPB13" s="59"/>
      <c r="CPC13" s="119"/>
      <c r="CPD13" s="119"/>
      <c r="CPE13" s="119"/>
      <c r="CPF13" s="119"/>
      <c r="CPG13" s="119"/>
      <c r="CPH13" s="119"/>
      <c r="CPI13" s="119"/>
      <c r="CPJ13" s="119"/>
      <c r="CPK13" s="119"/>
      <c r="CPL13" s="119"/>
      <c r="CPM13" s="119"/>
      <c r="CPN13" s="119"/>
      <c r="CPO13" s="120"/>
      <c r="CPP13" s="120"/>
      <c r="CPQ13" s="120"/>
      <c r="CPR13" s="59"/>
      <c r="CPS13" s="119"/>
      <c r="CPT13" s="119"/>
      <c r="CPU13" s="119"/>
      <c r="CPV13" s="119"/>
      <c r="CPW13" s="119"/>
      <c r="CPX13" s="119"/>
      <c r="CPY13" s="119"/>
      <c r="CPZ13" s="119"/>
      <c r="CQA13" s="119"/>
      <c r="CQB13" s="119"/>
      <c r="CQC13" s="119"/>
      <c r="CQD13" s="119"/>
      <c r="CQE13" s="120"/>
      <c r="CQF13" s="120"/>
      <c r="CQG13" s="120"/>
      <c r="CQH13" s="59"/>
      <c r="CQI13" s="119"/>
      <c r="CQJ13" s="119"/>
      <c r="CQK13" s="119"/>
      <c r="CQL13" s="119"/>
      <c r="CQM13" s="119"/>
      <c r="CQN13" s="119"/>
      <c r="CQO13" s="119"/>
      <c r="CQP13" s="119"/>
      <c r="CQQ13" s="119"/>
      <c r="CQR13" s="119"/>
      <c r="CQS13" s="119"/>
      <c r="CQT13" s="119"/>
      <c r="CQU13" s="120"/>
      <c r="CQV13" s="120"/>
      <c r="CQW13" s="120"/>
      <c r="CQX13" s="59"/>
      <c r="CQY13" s="119"/>
      <c r="CQZ13" s="119"/>
      <c r="CRA13" s="119"/>
      <c r="CRB13" s="119"/>
      <c r="CRC13" s="119"/>
      <c r="CRD13" s="119"/>
      <c r="CRE13" s="119"/>
      <c r="CRF13" s="119"/>
      <c r="CRG13" s="119"/>
      <c r="CRH13" s="119"/>
      <c r="CRI13" s="119"/>
      <c r="CRJ13" s="119"/>
      <c r="CRK13" s="120"/>
      <c r="CRL13" s="120"/>
      <c r="CRM13" s="120"/>
      <c r="CRN13" s="59"/>
      <c r="CRO13" s="119"/>
      <c r="CRP13" s="119"/>
      <c r="CRQ13" s="119"/>
      <c r="CRR13" s="119"/>
      <c r="CRS13" s="119"/>
      <c r="CRT13" s="119"/>
      <c r="CRU13" s="119"/>
      <c r="CRV13" s="119"/>
      <c r="CRW13" s="119"/>
      <c r="CRX13" s="119"/>
      <c r="CRY13" s="119"/>
      <c r="CRZ13" s="119"/>
      <c r="CSA13" s="120"/>
      <c r="CSB13" s="120"/>
      <c r="CSC13" s="120"/>
      <c r="CSD13" s="59"/>
      <c r="CSE13" s="119"/>
      <c r="CSF13" s="119"/>
      <c r="CSG13" s="119"/>
      <c r="CSH13" s="119"/>
      <c r="CSI13" s="119"/>
      <c r="CSJ13" s="119"/>
      <c r="CSK13" s="119"/>
      <c r="CSL13" s="119"/>
      <c r="CSM13" s="119"/>
      <c r="CSN13" s="119"/>
      <c r="CSO13" s="119"/>
      <c r="CSP13" s="119"/>
      <c r="CSQ13" s="120"/>
      <c r="CSR13" s="120"/>
      <c r="CSS13" s="120"/>
      <c r="CST13" s="59"/>
      <c r="CSU13" s="119"/>
      <c r="CSV13" s="119"/>
      <c r="CSW13" s="119"/>
      <c r="CSX13" s="119"/>
      <c r="CSY13" s="119"/>
      <c r="CSZ13" s="119"/>
      <c r="CTA13" s="119"/>
      <c r="CTB13" s="119"/>
      <c r="CTC13" s="119"/>
      <c r="CTD13" s="119"/>
      <c r="CTE13" s="119"/>
      <c r="CTF13" s="119"/>
      <c r="CTG13" s="120"/>
      <c r="CTH13" s="120"/>
      <c r="CTI13" s="120"/>
      <c r="CTJ13" s="59"/>
      <c r="CTK13" s="119"/>
      <c r="CTL13" s="119"/>
      <c r="CTM13" s="119"/>
      <c r="CTN13" s="119"/>
      <c r="CTO13" s="119"/>
      <c r="CTP13" s="119"/>
      <c r="CTQ13" s="119"/>
      <c r="CTR13" s="119"/>
      <c r="CTS13" s="119"/>
      <c r="CTT13" s="119"/>
      <c r="CTU13" s="119"/>
      <c r="CTV13" s="119"/>
      <c r="CTW13" s="120"/>
      <c r="CTX13" s="120"/>
      <c r="CTY13" s="120"/>
      <c r="CTZ13" s="59"/>
      <c r="CUA13" s="119"/>
      <c r="CUB13" s="119"/>
      <c r="CUC13" s="119"/>
      <c r="CUD13" s="119"/>
      <c r="CUE13" s="119"/>
      <c r="CUF13" s="119"/>
      <c r="CUG13" s="119"/>
      <c r="CUH13" s="119"/>
      <c r="CUI13" s="119"/>
      <c r="CUJ13" s="119"/>
      <c r="CUK13" s="119"/>
      <c r="CUL13" s="119"/>
      <c r="CUM13" s="120"/>
      <c r="CUN13" s="120"/>
      <c r="CUO13" s="120"/>
      <c r="CUP13" s="59"/>
      <c r="CUQ13" s="119"/>
      <c r="CUR13" s="119"/>
      <c r="CUS13" s="119"/>
      <c r="CUT13" s="119"/>
      <c r="CUU13" s="119"/>
      <c r="CUV13" s="119"/>
      <c r="CUW13" s="119"/>
      <c r="CUX13" s="119"/>
      <c r="CUY13" s="119"/>
      <c r="CUZ13" s="119"/>
      <c r="CVA13" s="119"/>
      <c r="CVB13" s="119"/>
      <c r="CVC13" s="120"/>
      <c r="CVD13" s="120"/>
      <c r="CVE13" s="120"/>
      <c r="CVF13" s="59"/>
      <c r="CVG13" s="119"/>
      <c r="CVH13" s="119"/>
      <c r="CVI13" s="119"/>
      <c r="CVJ13" s="119"/>
      <c r="CVK13" s="119"/>
      <c r="CVL13" s="119"/>
      <c r="CVM13" s="119"/>
      <c r="CVN13" s="119"/>
      <c r="CVO13" s="119"/>
      <c r="CVP13" s="119"/>
      <c r="CVQ13" s="119"/>
      <c r="CVR13" s="119"/>
      <c r="CVS13" s="120"/>
      <c r="CVT13" s="120"/>
      <c r="CVU13" s="120"/>
      <c r="CVV13" s="59"/>
      <c r="CVW13" s="119"/>
      <c r="CVX13" s="119"/>
      <c r="CVY13" s="119"/>
      <c r="CVZ13" s="119"/>
      <c r="CWA13" s="119"/>
      <c r="CWB13" s="119"/>
      <c r="CWC13" s="119"/>
      <c r="CWD13" s="119"/>
      <c r="CWE13" s="119"/>
      <c r="CWF13" s="119"/>
      <c r="CWG13" s="119"/>
      <c r="CWH13" s="119"/>
      <c r="CWI13" s="120"/>
      <c r="CWJ13" s="120"/>
      <c r="CWK13" s="120"/>
      <c r="CWL13" s="59"/>
      <c r="CWM13" s="119"/>
      <c r="CWN13" s="119"/>
      <c r="CWO13" s="119"/>
      <c r="CWP13" s="119"/>
      <c r="CWQ13" s="119"/>
      <c r="CWR13" s="119"/>
      <c r="CWS13" s="119"/>
      <c r="CWT13" s="119"/>
      <c r="CWU13" s="119"/>
      <c r="CWV13" s="119"/>
      <c r="CWW13" s="119"/>
      <c r="CWX13" s="119"/>
      <c r="CWY13" s="120"/>
      <c r="CWZ13" s="120"/>
      <c r="CXA13" s="120"/>
      <c r="CXB13" s="59"/>
      <c r="CXC13" s="119"/>
      <c r="CXD13" s="119"/>
      <c r="CXE13" s="119"/>
      <c r="CXF13" s="119"/>
      <c r="CXG13" s="119"/>
      <c r="CXH13" s="119"/>
      <c r="CXI13" s="119"/>
      <c r="CXJ13" s="119"/>
      <c r="CXK13" s="119"/>
      <c r="CXL13" s="119"/>
      <c r="CXM13" s="119"/>
      <c r="CXN13" s="119"/>
      <c r="CXO13" s="120"/>
      <c r="CXP13" s="120"/>
      <c r="CXQ13" s="120"/>
      <c r="CXR13" s="59"/>
      <c r="CXS13" s="119"/>
      <c r="CXT13" s="119"/>
      <c r="CXU13" s="119"/>
      <c r="CXV13" s="119"/>
      <c r="CXW13" s="119"/>
      <c r="CXX13" s="119"/>
      <c r="CXY13" s="119"/>
      <c r="CXZ13" s="119"/>
      <c r="CYA13" s="119"/>
      <c r="CYB13" s="119"/>
      <c r="CYC13" s="119"/>
      <c r="CYD13" s="119"/>
      <c r="CYE13" s="120"/>
      <c r="CYF13" s="120"/>
      <c r="CYG13" s="120"/>
      <c r="CYH13" s="59"/>
      <c r="CYI13" s="119"/>
      <c r="CYJ13" s="119"/>
      <c r="CYK13" s="119"/>
      <c r="CYL13" s="119"/>
      <c r="CYM13" s="119"/>
      <c r="CYN13" s="119"/>
      <c r="CYO13" s="119"/>
      <c r="CYP13" s="119"/>
      <c r="CYQ13" s="119"/>
      <c r="CYR13" s="119"/>
      <c r="CYS13" s="119"/>
      <c r="CYT13" s="119"/>
      <c r="CYU13" s="120"/>
      <c r="CYV13" s="120"/>
      <c r="CYW13" s="120"/>
      <c r="CYX13" s="59"/>
      <c r="CYY13" s="119"/>
      <c r="CYZ13" s="119"/>
      <c r="CZA13" s="119"/>
      <c r="CZB13" s="119"/>
      <c r="CZC13" s="119"/>
      <c r="CZD13" s="119"/>
      <c r="CZE13" s="119"/>
      <c r="CZF13" s="119"/>
      <c r="CZG13" s="119"/>
      <c r="CZH13" s="119"/>
      <c r="CZI13" s="119"/>
      <c r="CZJ13" s="119"/>
      <c r="CZK13" s="120"/>
      <c r="CZL13" s="120"/>
      <c r="CZM13" s="120"/>
      <c r="CZN13" s="59"/>
      <c r="CZO13" s="119"/>
      <c r="CZP13" s="119"/>
      <c r="CZQ13" s="119"/>
      <c r="CZR13" s="119"/>
      <c r="CZS13" s="119"/>
      <c r="CZT13" s="119"/>
      <c r="CZU13" s="119"/>
      <c r="CZV13" s="119"/>
      <c r="CZW13" s="119"/>
      <c r="CZX13" s="119"/>
      <c r="CZY13" s="119"/>
      <c r="CZZ13" s="119"/>
      <c r="DAA13" s="120"/>
      <c r="DAB13" s="120"/>
      <c r="DAC13" s="120"/>
      <c r="DAD13" s="59"/>
      <c r="DAE13" s="119"/>
      <c r="DAF13" s="119"/>
      <c r="DAG13" s="119"/>
      <c r="DAH13" s="119"/>
      <c r="DAI13" s="119"/>
      <c r="DAJ13" s="119"/>
      <c r="DAK13" s="119"/>
      <c r="DAL13" s="119"/>
      <c r="DAM13" s="119"/>
      <c r="DAN13" s="119"/>
      <c r="DAO13" s="119"/>
      <c r="DAP13" s="119"/>
      <c r="DAQ13" s="120"/>
      <c r="DAR13" s="120"/>
      <c r="DAS13" s="120"/>
      <c r="DAT13" s="59"/>
      <c r="DAU13" s="119"/>
      <c r="DAV13" s="119"/>
      <c r="DAW13" s="119"/>
      <c r="DAX13" s="119"/>
      <c r="DAY13" s="119"/>
      <c r="DAZ13" s="119"/>
      <c r="DBA13" s="119"/>
      <c r="DBB13" s="119"/>
      <c r="DBC13" s="119"/>
      <c r="DBD13" s="119"/>
      <c r="DBE13" s="119"/>
      <c r="DBF13" s="119"/>
      <c r="DBG13" s="120"/>
      <c r="DBH13" s="120"/>
      <c r="DBI13" s="120"/>
      <c r="DBJ13" s="59"/>
      <c r="DBK13" s="119"/>
      <c r="DBL13" s="119"/>
      <c r="DBM13" s="119"/>
      <c r="DBN13" s="119"/>
      <c r="DBO13" s="119"/>
      <c r="DBP13" s="119"/>
      <c r="DBQ13" s="119"/>
      <c r="DBR13" s="119"/>
      <c r="DBS13" s="119"/>
      <c r="DBT13" s="119"/>
      <c r="DBU13" s="119"/>
      <c r="DBV13" s="119"/>
      <c r="DBW13" s="120"/>
      <c r="DBX13" s="120"/>
      <c r="DBY13" s="120"/>
      <c r="DBZ13" s="59"/>
      <c r="DCA13" s="119"/>
      <c r="DCB13" s="119"/>
      <c r="DCC13" s="119"/>
      <c r="DCD13" s="119"/>
      <c r="DCE13" s="119"/>
      <c r="DCF13" s="119"/>
      <c r="DCG13" s="119"/>
      <c r="DCH13" s="119"/>
      <c r="DCI13" s="119"/>
      <c r="DCJ13" s="119"/>
      <c r="DCK13" s="119"/>
      <c r="DCL13" s="119"/>
      <c r="DCM13" s="120"/>
      <c r="DCN13" s="120"/>
      <c r="DCO13" s="120"/>
      <c r="DCP13" s="59"/>
      <c r="DCQ13" s="119"/>
      <c r="DCR13" s="119"/>
      <c r="DCS13" s="119"/>
      <c r="DCT13" s="119"/>
      <c r="DCU13" s="119"/>
      <c r="DCV13" s="119"/>
      <c r="DCW13" s="119"/>
      <c r="DCX13" s="119"/>
      <c r="DCY13" s="119"/>
      <c r="DCZ13" s="119"/>
      <c r="DDA13" s="119"/>
      <c r="DDB13" s="119"/>
      <c r="DDC13" s="120"/>
      <c r="DDD13" s="120"/>
      <c r="DDE13" s="120"/>
      <c r="DDF13" s="59"/>
      <c r="DDG13" s="119"/>
      <c r="DDH13" s="119"/>
      <c r="DDI13" s="119"/>
      <c r="DDJ13" s="119"/>
      <c r="DDK13" s="119"/>
      <c r="DDL13" s="119"/>
      <c r="DDM13" s="119"/>
      <c r="DDN13" s="119"/>
      <c r="DDO13" s="119"/>
      <c r="DDP13" s="119"/>
      <c r="DDQ13" s="119"/>
      <c r="DDR13" s="119"/>
      <c r="DDS13" s="120"/>
      <c r="DDT13" s="120"/>
      <c r="DDU13" s="120"/>
      <c r="DDV13" s="59"/>
      <c r="DDW13" s="119"/>
      <c r="DDX13" s="119"/>
      <c r="DDY13" s="119"/>
      <c r="DDZ13" s="119"/>
      <c r="DEA13" s="119"/>
      <c r="DEB13" s="119"/>
      <c r="DEC13" s="119"/>
      <c r="DED13" s="119"/>
      <c r="DEE13" s="119"/>
      <c r="DEF13" s="119"/>
      <c r="DEG13" s="119"/>
      <c r="DEH13" s="119"/>
      <c r="DEI13" s="120"/>
      <c r="DEJ13" s="120"/>
      <c r="DEK13" s="120"/>
      <c r="DEL13" s="59"/>
      <c r="DEM13" s="119"/>
      <c r="DEN13" s="119"/>
      <c r="DEO13" s="119"/>
      <c r="DEP13" s="119"/>
      <c r="DEQ13" s="119"/>
      <c r="DER13" s="119"/>
      <c r="DES13" s="119"/>
      <c r="DET13" s="119"/>
      <c r="DEU13" s="119"/>
      <c r="DEV13" s="119"/>
      <c r="DEW13" s="119"/>
      <c r="DEX13" s="119"/>
      <c r="DEY13" s="120"/>
      <c r="DEZ13" s="120"/>
      <c r="DFA13" s="120"/>
      <c r="DFB13" s="59"/>
      <c r="DFC13" s="119"/>
      <c r="DFD13" s="119"/>
      <c r="DFE13" s="119"/>
      <c r="DFF13" s="119"/>
      <c r="DFG13" s="119"/>
      <c r="DFH13" s="119"/>
      <c r="DFI13" s="119"/>
      <c r="DFJ13" s="119"/>
      <c r="DFK13" s="119"/>
      <c r="DFL13" s="119"/>
      <c r="DFM13" s="119"/>
      <c r="DFN13" s="119"/>
      <c r="DFO13" s="120"/>
      <c r="DFP13" s="120"/>
      <c r="DFQ13" s="120"/>
      <c r="DFR13" s="59"/>
      <c r="DFS13" s="119"/>
      <c r="DFT13" s="119"/>
      <c r="DFU13" s="119"/>
      <c r="DFV13" s="119"/>
      <c r="DFW13" s="119"/>
      <c r="DFX13" s="119"/>
      <c r="DFY13" s="119"/>
      <c r="DFZ13" s="119"/>
      <c r="DGA13" s="119"/>
      <c r="DGB13" s="119"/>
      <c r="DGC13" s="119"/>
      <c r="DGD13" s="119"/>
      <c r="DGE13" s="120"/>
      <c r="DGF13" s="120"/>
      <c r="DGG13" s="120"/>
      <c r="DGH13" s="59"/>
      <c r="DGI13" s="119"/>
      <c r="DGJ13" s="119"/>
      <c r="DGK13" s="119"/>
      <c r="DGL13" s="119"/>
      <c r="DGM13" s="119"/>
      <c r="DGN13" s="119"/>
      <c r="DGO13" s="119"/>
      <c r="DGP13" s="119"/>
      <c r="DGQ13" s="119"/>
      <c r="DGR13" s="119"/>
      <c r="DGS13" s="119"/>
      <c r="DGT13" s="119"/>
      <c r="DGU13" s="120"/>
      <c r="DGV13" s="120"/>
      <c r="DGW13" s="120"/>
      <c r="DGX13" s="59"/>
      <c r="DGY13" s="119"/>
      <c r="DGZ13" s="119"/>
      <c r="DHA13" s="119"/>
      <c r="DHB13" s="119"/>
      <c r="DHC13" s="119"/>
      <c r="DHD13" s="119"/>
      <c r="DHE13" s="119"/>
      <c r="DHF13" s="119"/>
      <c r="DHG13" s="119"/>
      <c r="DHH13" s="119"/>
      <c r="DHI13" s="119"/>
      <c r="DHJ13" s="119"/>
      <c r="DHK13" s="120"/>
      <c r="DHL13" s="120"/>
      <c r="DHM13" s="120"/>
      <c r="DHN13" s="59"/>
      <c r="DHO13" s="119"/>
      <c r="DHP13" s="119"/>
      <c r="DHQ13" s="119"/>
      <c r="DHR13" s="119"/>
      <c r="DHS13" s="119"/>
      <c r="DHT13" s="119"/>
      <c r="DHU13" s="119"/>
      <c r="DHV13" s="119"/>
      <c r="DHW13" s="119"/>
      <c r="DHX13" s="119"/>
      <c r="DHY13" s="119"/>
      <c r="DHZ13" s="119"/>
      <c r="DIA13" s="120"/>
      <c r="DIB13" s="120"/>
      <c r="DIC13" s="120"/>
      <c r="DID13" s="59"/>
      <c r="DIE13" s="119"/>
      <c r="DIF13" s="119"/>
      <c r="DIG13" s="119"/>
      <c r="DIH13" s="119"/>
      <c r="DII13" s="119"/>
      <c r="DIJ13" s="119"/>
      <c r="DIK13" s="119"/>
      <c r="DIL13" s="119"/>
      <c r="DIM13" s="119"/>
      <c r="DIN13" s="119"/>
      <c r="DIO13" s="119"/>
      <c r="DIP13" s="119"/>
      <c r="DIQ13" s="120"/>
      <c r="DIR13" s="120"/>
      <c r="DIS13" s="120"/>
      <c r="DIT13" s="59"/>
      <c r="DIU13" s="119"/>
      <c r="DIV13" s="119"/>
      <c r="DIW13" s="119"/>
      <c r="DIX13" s="119"/>
      <c r="DIY13" s="119"/>
      <c r="DIZ13" s="119"/>
      <c r="DJA13" s="119"/>
      <c r="DJB13" s="119"/>
      <c r="DJC13" s="119"/>
      <c r="DJD13" s="119"/>
      <c r="DJE13" s="119"/>
      <c r="DJF13" s="119"/>
      <c r="DJG13" s="120"/>
      <c r="DJH13" s="120"/>
      <c r="DJI13" s="120"/>
      <c r="DJJ13" s="59"/>
      <c r="DJK13" s="119"/>
      <c r="DJL13" s="119"/>
      <c r="DJM13" s="119"/>
      <c r="DJN13" s="119"/>
      <c r="DJO13" s="119"/>
      <c r="DJP13" s="119"/>
      <c r="DJQ13" s="119"/>
      <c r="DJR13" s="119"/>
      <c r="DJS13" s="119"/>
      <c r="DJT13" s="119"/>
      <c r="DJU13" s="119"/>
      <c r="DJV13" s="119"/>
      <c r="DJW13" s="120"/>
      <c r="DJX13" s="120"/>
      <c r="DJY13" s="120"/>
      <c r="DJZ13" s="59"/>
      <c r="DKA13" s="119"/>
      <c r="DKB13" s="119"/>
      <c r="DKC13" s="119"/>
      <c r="DKD13" s="119"/>
      <c r="DKE13" s="119"/>
      <c r="DKF13" s="119"/>
      <c r="DKG13" s="119"/>
      <c r="DKH13" s="119"/>
      <c r="DKI13" s="119"/>
      <c r="DKJ13" s="119"/>
      <c r="DKK13" s="119"/>
      <c r="DKL13" s="119"/>
      <c r="DKM13" s="120"/>
      <c r="DKN13" s="120"/>
      <c r="DKO13" s="120"/>
      <c r="DKP13" s="59"/>
      <c r="DKQ13" s="119"/>
      <c r="DKR13" s="119"/>
      <c r="DKS13" s="119"/>
      <c r="DKT13" s="119"/>
      <c r="DKU13" s="119"/>
      <c r="DKV13" s="119"/>
      <c r="DKW13" s="119"/>
      <c r="DKX13" s="119"/>
      <c r="DKY13" s="119"/>
      <c r="DKZ13" s="119"/>
      <c r="DLA13" s="119"/>
      <c r="DLB13" s="119"/>
      <c r="DLC13" s="120"/>
      <c r="DLD13" s="120"/>
      <c r="DLE13" s="120"/>
      <c r="DLF13" s="59"/>
      <c r="DLG13" s="119"/>
      <c r="DLH13" s="119"/>
      <c r="DLI13" s="119"/>
      <c r="DLJ13" s="119"/>
      <c r="DLK13" s="119"/>
      <c r="DLL13" s="119"/>
      <c r="DLM13" s="119"/>
      <c r="DLN13" s="119"/>
      <c r="DLO13" s="119"/>
      <c r="DLP13" s="119"/>
      <c r="DLQ13" s="119"/>
      <c r="DLR13" s="119"/>
      <c r="DLS13" s="120"/>
      <c r="DLT13" s="120"/>
      <c r="DLU13" s="120"/>
      <c r="DLV13" s="59"/>
      <c r="DLW13" s="119"/>
      <c r="DLX13" s="119"/>
      <c r="DLY13" s="119"/>
      <c r="DLZ13" s="119"/>
      <c r="DMA13" s="119"/>
      <c r="DMB13" s="119"/>
      <c r="DMC13" s="119"/>
      <c r="DMD13" s="119"/>
      <c r="DME13" s="119"/>
      <c r="DMF13" s="119"/>
      <c r="DMG13" s="119"/>
      <c r="DMH13" s="119"/>
      <c r="DMI13" s="120"/>
      <c r="DMJ13" s="120"/>
      <c r="DMK13" s="120"/>
      <c r="DML13" s="59"/>
      <c r="DMM13" s="119"/>
      <c r="DMN13" s="119"/>
      <c r="DMO13" s="119"/>
      <c r="DMP13" s="119"/>
      <c r="DMQ13" s="119"/>
      <c r="DMR13" s="119"/>
      <c r="DMS13" s="119"/>
      <c r="DMT13" s="119"/>
      <c r="DMU13" s="119"/>
      <c r="DMV13" s="119"/>
      <c r="DMW13" s="119"/>
      <c r="DMX13" s="119"/>
      <c r="DMY13" s="120"/>
      <c r="DMZ13" s="120"/>
      <c r="DNA13" s="120"/>
      <c r="DNB13" s="59"/>
      <c r="DNC13" s="119"/>
      <c r="DND13" s="119"/>
      <c r="DNE13" s="119"/>
      <c r="DNF13" s="119"/>
      <c r="DNG13" s="119"/>
      <c r="DNH13" s="119"/>
      <c r="DNI13" s="119"/>
      <c r="DNJ13" s="119"/>
      <c r="DNK13" s="119"/>
      <c r="DNL13" s="119"/>
      <c r="DNM13" s="119"/>
      <c r="DNN13" s="119"/>
      <c r="DNO13" s="120"/>
      <c r="DNP13" s="120"/>
      <c r="DNQ13" s="120"/>
      <c r="DNR13" s="59"/>
      <c r="DNS13" s="119"/>
      <c r="DNT13" s="119"/>
      <c r="DNU13" s="119"/>
      <c r="DNV13" s="119"/>
      <c r="DNW13" s="119"/>
      <c r="DNX13" s="119"/>
      <c r="DNY13" s="119"/>
      <c r="DNZ13" s="119"/>
      <c r="DOA13" s="119"/>
      <c r="DOB13" s="119"/>
      <c r="DOC13" s="119"/>
      <c r="DOD13" s="119"/>
      <c r="DOE13" s="120"/>
      <c r="DOF13" s="120"/>
      <c r="DOG13" s="120"/>
      <c r="DOH13" s="59"/>
      <c r="DOI13" s="119"/>
      <c r="DOJ13" s="119"/>
      <c r="DOK13" s="119"/>
      <c r="DOL13" s="119"/>
      <c r="DOM13" s="119"/>
      <c r="DON13" s="119"/>
      <c r="DOO13" s="119"/>
      <c r="DOP13" s="119"/>
      <c r="DOQ13" s="119"/>
      <c r="DOR13" s="119"/>
      <c r="DOS13" s="119"/>
      <c r="DOT13" s="119"/>
      <c r="DOU13" s="120"/>
      <c r="DOV13" s="120"/>
      <c r="DOW13" s="120"/>
      <c r="DOX13" s="59"/>
      <c r="DOY13" s="119"/>
      <c r="DOZ13" s="119"/>
      <c r="DPA13" s="119"/>
      <c r="DPB13" s="119"/>
      <c r="DPC13" s="119"/>
      <c r="DPD13" s="119"/>
      <c r="DPE13" s="119"/>
      <c r="DPF13" s="119"/>
      <c r="DPG13" s="119"/>
      <c r="DPH13" s="119"/>
      <c r="DPI13" s="119"/>
      <c r="DPJ13" s="119"/>
      <c r="DPK13" s="120"/>
      <c r="DPL13" s="120"/>
      <c r="DPM13" s="120"/>
      <c r="DPN13" s="59"/>
      <c r="DPO13" s="119"/>
      <c r="DPP13" s="119"/>
      <c r="DPQ13" s="119"/>
      <c r="DPR13" s="119"/>
      <c r="DPS13" s="119"/>
      <c r="DPT13" s="119"/>
      <c r="DPU13" s="119"/>
      <c r="DPV13" s="119"/>
      <c r="DPW13" s="119"/>
      <c r="DPX13" s="119"/>
      <c r="DPY13" s="119"/>
      <c r="DPZ13" s="119"/>
      <c r="DQA13" s="120"/>
      <c r="DQB13" s="120"/>
      <c r="DQC13" s="120"/>
      <c r="DQD13" s="59"/>
      <c r="DQE13" s="119"/>
      <c r="DQF13" s="119"/>
      <c r="DQG13" s="119"/>
      <c r="DQH13" s="119"/>
      <c r="DQI13" s="119"/>
      <c r="DQJ13" s="119"/>
      <c r="DQK13" s="119"/>
      <c r="DQL13" s="119"/>
      <c r="DQM13" s="119"/>
      <c r="DQN13" s="119"/>
      <c r="DQO13" s="119"/>
      <c r="DQP13" s="119"/>
      <c r="DQQ13" s="120"/>
      <c r="DQR13" s="120"/>
      <c r="DQS13" s="120"/>
      <c r="DQT13" s="59"/>
      <c r="DQU13" s="119"/>
      <c r="DQV13" s="119"/>
      <c r="DQW13" s="119"/>
      <c r="DQX13" s="119"/>
      <c r="DQY13" s="119"/>
      <c r="DQZ13" s="119"/>
      <c r="DRA13" s="119"/>
      <c r="DRB13" s="119"/>
      <c r="DRC13" s="119"/>
      <c r="DRD13" s="119"/>
      <c r="DRE13" s="119"/>
      <c r="DRF13" s="119"/>
      <c r="DRG13" s="120"/>
      <c r="DRH13" s="120"/>
      <c r="DRI13" s="120"/>
      <c r="DRJ13" s="59"/>
      <c r="DRK13" s="119"/>
      <c r="DRL13" s="119"/>
      <c r="DRM13" s="119"/>
      <c r="DRN13" s="119"/>
      <c r="DRO13" s="119"/>
      <c r="DRP13" s="119"/>
      <c r="DRQ13" s="119"/>
      <c r="DRR13" s="119"/>
      <c r="DRS13" s="119"/>
      <c r="DRT13" s="119"/>
      <c r="DRU13" s="119"/>
      <c r="DRV13" s="119"/>
      <c r="DRW13" s="120"/>
      <c r="DRX13" s="120"/>
      <c r="DRY13" s="120"/>
      <c r="DRZ13" s="59"/>
      <c r="DSA13" s="119"/>
      <c r="DSB13" s="119"/>
      <c r="DSC13" s="119"/>
      <c r="DSD13" s="119"/>
      <c r="DSE13" s="119"/>
      <c r="DSF13" s="119"/>
      <c r="DSG13" s="119"/>
      <c r="DSH13" s="119"/>
      <c r="DSI13" s="119"/>
      <c r="DSJ13" s="119"/>
      <c r="DSK13" s="119"/>
      <c r="DSL13" s="119"/>
      <c r="DSM13" s="120"/>
      <c r="DSN13" s="120"/>
      <c r="DSO13" s="120"/>
      <c r="DSP13" s="59"/>
      <c r="DSQ13" s="119"/>
      <c r="DSR13" s="119"/>
      <c r="DSS13" s="119"/>
      <c r="DST13" s="119"/>
      <c r="DSU13" s="119"/>
      <c r="DSV13" s="119"/>
      <c r="DSW13" s="119"/>
      <c r="DSX13" s="119"/>
      <c r="DSY13" s="119"/>
      <c r="DSZ13" s="119"/>
      <c r="DTA13" s="119"/>
      <c r="DTB13" s="119"/>
      <c r="DTC13" s="120"/>
      <c r="DTD13" s="120"/>
      <c r="DTE13" s="120"/>
      <c r="DTF13" s="59"/>
      <c r="DTG13" s="119"/>
      <c r="DTH13" s="119"/>
      <c r="DTI13" s="119"/>
      <c r="DTJ13" s="119"/>
      <c r="DTK13" s="119"/>
      <c r="DTL13" s="119"/>
      <c r="DTM13" s="119"/>
      <c r="DTN13" s="119"/>
      <c r="DTO13" s="119"/>
      <c r="DTP13" s="119"/>
      <c r="DTQ13" s="119"/>
      <c r="DTR13" s="119"/>
      <c r="DTS13" s="120"/>
      <c r="DTT13" s="120"/>
      <c r="DTU13" s="120"/>
      <c r="DTV13" s="59"/>
      <c r="DTW13" s="119"/>
      <c r="DTX13" s="119"/>
      <c r="DTY13" s="119"/>
      <c r="DTZ13" s="119"/>
      <c r="DUA13" s="119"/>
      <c r="DUB13" s="119"/>
      <c r="DUC13" s="119"/>
      <c r="DUD13" s="119"/>
      <c r="DUE13" s="119"/>
      <c r="DUF13" s="119"/>
      <c r="DUG13" s="119"/>
      <c r="DUH13" s="119"/>
      <c r="DUI13" s="120"/>
      <c r="DUJ13" s="120"/>
      <c r="DUK13" s="120"/>
      <c r="DUL13" s="59"/>
      <c r="DUM13" s="119"/>
      <c r="DUN13" s="119"/>
      <c r="DUO13" s="119"/>
      <c r="DUP13" s="119"/>
      <c r="DUQ13" s="119"/>
      <c r="DUR13" s="119"/>
      <c r="DUS13" s="119"/>
      <c r="DUT13" s="119"/>
      <c r="DUU13" s="119"/>
      <c r="DUV13" s="119"/>
      <c r="DUW13" s="119"/>
      <c r="DUX13" s="119"/>
      <c r="DUY13" s="120"/>
      <c r="DUZ13" s="120"/>
      <c r="DVA13" s="120"/>
      <c r="DVB13" s="59"/>
      <c r="DVC13" s="119"/>
      <c r="DVD13" s="119"/>
      <c r="DVE13" s="119"/>
      <c r="DVF13" s="119"/>
      <c r="DVG13" s="119"/>
      <c r="DVH13" s="119"/>
      <c r="DVI13" s="119"/>
      <c r="DVJ13" s="119"/>
      <c r="DVK13" s="119"/>
      <c r="DVL13" s="119"/>
      <c r="DVM13" s="119"/>
      <c r="DVN13" s="119"/>
      <c r="DVO13" s="120"/>
      <c r="DVP13" s="120"/>
      <c r="DVQ13" s="120"/>
      <c r="DVR13" s="59"/>
      <c r="DVS13" s="119"/>
      <c r="DVT13" s="119"/>
      <c r="DVU13" s="119"/>
      <c r="DVV13" s="119"/>
      <c r="DVW13" s="119"/>
      <c r="DVX13" s="119"/>
      <c r="DVY13" s="119"/>
      <c r="DVZ13" s="119"/>
      <c r="DWA13" s="119"/>
      <c r="DWB13" s="119"/>
      <c r="DWC13" s="119"/>
      <c r="DWD13" s="119"/>
      <c r="DWE13" s="120"/>
      <c r="DWF13" s="120"/>
      <c r="DWG13" s="120"/>
      <c r="DWH13" s="59"/>
      <c r="DWI13" s="119"/>
      <c r="DWJ13" s="119"/>
      <c r="DWK13" s="119"/>
      <c r="DWL13" s="119"/>
      <c r="DWM13" s="119"/>
      <c r="DWN13" s="119"/>
      <c r="DWO13" s="119"/>
      <c r="DWP13" s="119"/>
      <c r="DWQ13" s="119"/>
      <c r="DWR13" s="119"/>
      <c r="DWS13" s="119"/>
      <c r="DWT13" s="119"/>
      <c r="DWU13" s="120"/>
      <c r="DWV13" s="120"/>
      <c r="DWW13" s="120"/>
      <c r="DWX13" s="59"/>
      <c r="DWY13" s="119"/>
      <c r="DWZ13" s="119"/>
      <c r="DXA13" s="119"/>
      <c r="DXB13" s="119"/>
      <c r="DXC13" s="119"/>
      <c r="DXD13" s="119"/>
      <c r="DXE13" s="119"/>
      <c r="DXF13" s="119"/>
      <c r="DXG13" s="119"/>
      <c r="DXH13" s="119"/>
      <c r="DXI13" s="119"/>
      <c r="DXJ13" s="119"/>
      <c r="DXK13" s="120"/>
      <c r="DXL13" s="120"/>
      <c r="DXM13" s="120"/>
      <c r="DXN13" s="59"/>
      <c r="DXO13" s="119"/>
      <c r="DXP13" s="119"/>
      <c r="DXQ13" s="119"/>
      <c r="DXR13" s="119"/>
      <c r="DXS13" s="119"/>
      <c r="DXT13" s="119"/>
      <c r="DXU13" s="119"/>
      <c r="DXV13" s="119"/>
      <c r="DXW13" s="119"/>
      <c r="DXX13" s="119"/>
      <c r="DXY13" s="119"/>
      <c r="DXZ13" s="119"/>
      <c r="DYA13" s="120"/>
      <c r="DYB13" s="120"/>
      <c r="DYC13" s="120"/>
      <c r="DYD13" s="59"/>
      <c r="DYE13" s="119"/>
      <c r="DYF13" s="119"/>
      <c r="DYG13" s="119"/>
      <c r="DYH13" s="119"/>
      <c r="DYI13" s="119"/>
      <c r="DYJ13" s="119"/>
      <c r="DYK13" s="119"/>
      <c r="DYL13" s="119"/>
      <c r="DYM13" s="119"/>
      <c r="DYN13" s="119"/>
      <c r="DYO13" s="119"/>
      <c r="DYP13" s="119"/>
      <c r="DYQ13" s="120"/>
      <c r="DYR13" s="120"/>
      <c r="DYS13" s="120"/>
      <c r="DYT13" s="59"/>
      <c r="DYU13" s="119"/>
      <c r="DYV13" s="119"/>
      <c r="DYW13" s="119"/>
      <c r="DYX13" s="119"/>
      <c r="DYY13" s="119"/>
      <c r="DYZ13" s="119"/>
      <c r="DZA13" s="119"/>
      <c r="DZB13" s="119"/>
      <c r="DZC13" s="119"/>
      <c r="DZD13" s="119"/>
      <c r="DZE13" s="119"/>
      <c r="DZF13" s="119"/>
      <c r="DZG13" s="120"/>
      <c r="DZH13" s="120"/>
      <c r="DZI13" s="120"/>
      <c r="DZJ13" s="59"/>
      <c r="DZK13" s="119"/>
      <c r="DZL13" s="119"/>
      <c r="DZM13" s="119"/>
      <c r="DZN13" s="119"/>
      <c r="DZO13" s="119"/>
      <c r="DZP13" s="119"/>
      <c r="DZQ13" s="119"/>
      <c r="DZR13" s="119"/>
      <c r="DZS13" s="119"/>
      <c r="DZT13" s="119"/>
      <c r="DZU13" s="119"/>
      <c r="DZV13" s="119"/>
      <c r="DZW13" s="120"/>
      <c r="DZX13" s="120"/>
      <c r="DZY13" s="120"/>
      <c r="DZZ13" s="59"/>
      <c r="EAA13" s="119"/>
      <c r="EAB13" s="119"/>
      <c r="EAC13" s="119"/>
      <c r="EAD13" s="119"/>
      <c r="EAE13" s="119"/>
      <c r="EAF13" s="119"/>
      <c r="EAG13" s="119"/>
      <c r="EAH13" s="119"/>
      <c r="EAI13" s="119"/>
      <c r="EAJ13" s="119"/>
      <c r="EAK13" s="119"/>
      <c r="EAL13" s="119"/>
      <c r="EAM13" s="120"/>
      <c r="EAN13" s="120"/>
      <c r="EAO13" s="120"/>
      <c r="EAP13" s="59"/>
      <c r="EAQ13" s="119"/>
      <c r="EAR13" s="119"/>
      <c r="EAS13" s="119"/>
      <c r="EAT13" s="119"/>
      <c r="EAU13" s="119"/>
      <c r="EAV13" s="119"/>
      <c r="EAW13" s="119"/>
      <c r="EAX13" s="119"/>
      <c r="EAY13" s="119"/>
      <c r="EAZ13" s="119"/>
      <c r="EBA13" s="119"/>
      <c r="EBB13" s="119"/>
      <c r="EBC13" s="120"/>
      <c r="EBD13" s="120"/>
      <c r="EBE13" s="120"/>
      <c r="EBF13" s="59"/>
      <c r="EBG13" s="119"/>
      <c r="EBH13" s="119"/>
      <c r="EBI13" s="119"/>
      <c r="EBJ13" s="119"/>
      <c r="EBK13" s="119"/>
      <c r="EBL13" s="119"/>
      <c r="EBM13" s="119"/>
      <c r="EBN13" s="119"/>
      <c r="EBO13" s="119"/>
      <c r="EBP13" s="119"/>
      <c r="EBQ13" s="119"/>
      <c r="EBR13" s="119"/>
      <c r="EBS13" s="120"/>
      <c r="EBT13" s="120"/>
      <c r="EBU13" s="120"/>
      <c r="EBV13" s="59"/>
      <c r="EBW13" s="119"/>
      <c r="EBX13" s="119"/>
      <c r="EBY13" s="119"/>
      <c r="EBZ13" s="119"/>
      <c r="ECA13" s="119"/>
      <c r="ECB13" s="119"/>
      <c r="ECC13" s="119"/>
      <c r="ECD13" s="119"/>
      <c r="ECE13" s="119"/>
      <c r="ECF13" s="119"/>
      <c r="ECG13" s="119"/>
      <c r="ECH13" s="119"/>
      <c r="ECI13" s="120"/>
      <c r="ECJ13" s="120"/>
      <c r="ECK13" s="120"/>
      <c r="ECL13" s="59"/>
      <c r="ECM13" s="119"/>
      <c r="ECN13" s="119"/>
      <c r="ECO13" s="119"/>
      <c r="ECP13" s="119"/>
      <c r="ECQ13" s="119"/>
      <c r="ECR13" s="119"/>
      <c r="ECS13" s="119"/>
      <c r="ECT13" s="119"/>
      <c r="ECU13" s="119"/>
      <c r="ECV13" s="119"/>
      <c r="ECW13" s="119"/>
      <c r="ECX13" s="119"/>
      <c r="ECY13" s="120"/>
      <c r="ECZ13" s="120"/>
      <c r="EDA13" s="120"/>
      <c r="EDB13" s="59"/>
      <c r="EDC13" s="119"/>
      <c r="EDD13" s="119"/>
      <c r="EDE13" s="119"/>
      <c r="EDF13" s="119"/>
      <c r="EDG13" s="119"/>
      <c r="EDH13" s="119"/>
      <c r="EDI13" s="119"/>
      <c r="EDJ13" s="119"/>
      <c r="EDK13" s="119"/>
      <c r="EDL13" s="119"/>
      <c r="EDM13" s="119"/>
      <c r="EDN13" s="119"/>
      <c r="EDO13" s="120"/>
      <c r="EDP13" s="120"/>
      <c r="EDQ13" s="120"/>
      <c r="EDR13" s="59"/>
      <c r="EDS13" s="119"/>
      <c r="EDT13" s="119"/>
      <c r="EDU13" s="119"/>
      <c r="EDV13" s="119"/>
      <c r="EDW13" s="119"/>
      <c r="EDX13" s="119"/>
      <c r="EDY13" s="119"/>
      <c r="EDZ13" s="119"/>
      <c r="EEA13" s="119"/>
      <c r="EEB13" s="119"/>
      <c r="EEC13" s="119"/>
      <c r="EED13" s="119"/>
      <c r="EEE13" s="120"/>
      <c r="EEF13" s="120"/>
      <c r="EEG13" s="120"/>
      <c r="EEH13" s="59"/>
      <c r="EEI13" s="119"/>
      <c r="EEJ13" s="119"/>
      <c r="EEK13" s="119"/>
      <c r="EEL13" s="119"/>
      <c r="EEM13" s="119"/>
      <c r="EEN13" s="119"/>
      <c r="EEO13" s="119"/>
      <c r="EEP13" s="119"/>
      <c r="EEQ13" s="119"/>
      <c r="EER13" s="119"/>
      <c r="EES13" s="119"/>
      <c r="EET13" s="119"/>
      <c r="EEU13" s="120"/>
      <c r="EEV13" s="120"/>
      <c r="EEW13" s="120"/>
      <c r="EEX13" s="59"/>
      <c r="EEY13" s="119"/>
      <c r="EEZ13" s="119"/>
      <c r="EFA13" s="119"/>
      <c r="EFB13" s="119"/>
      <c r="EFC13" s="119"/>
      <c r="EFD13" s="119"/>
      <c r="EFE13" s="119"/>
      <c r="EFF13" s="119"/>
      <c r="EFG13" s="119"/>
      <c r="EFH13" s="119"/>
      <c r="EFI13" s="119"/>
      <c r="EFJ13" s="119"/>
      <c r="EFK13" s="120"/>
      <c r="EFL13" s="120"/>
      <c r="EFM13" s="120"/>
      <c r="EFN13" s="59"/>
      <c r="EFO13" s="119"/>
      <c r="EFP13" s="119"/>
      <c r="EFQ13" s="119"/>
      <c r="EFR13" s="119"/>
      <c r="EFS13" s="119"/>
      <c r="EFT13" s="119"/>
      <c r="EFU13" s="119"/>
      <c r="EFV13" s="119"/>
      <c r="EFW13" s="119"/>
      <c r="EFX13" s="119"/>
      <c r="EFY13" s="119"/>
      <c r="EFZ13" s="119"/>
      <c r="EGA13" s="120"/>
      <c r="EGB13" s="120"/>
      <c r="EGC13" s="120"/>
      <c r="EGD13" s="59"/>
      <c r="EGE13" s="119"/>
      <c r="EGF13" s="119"/>
      <c r="EGG13" s="119"/>
      <c r="EGH13" s="119"/>
      <c r="EGI13" s="119"/>
      <c r="EGJ13" s="119"/>
      <c r="EGK13" s="119"/>
      <c r="EGL13" s="119"/>
      <c r="EGM13" s="119"/>
      <c r="EGN13" s="119"/>
      <c r="EGO13" s="119"/>
      <c r="EGP13" s="119"/>
      <c r="EGQ13" s="120"/>
      <c r="EGR13" s="120"/>
      <c r="EGS13" s="120"/>
      <c r="EGT13" s="59"/>
      <c r="EGU13" s="119"/>
      <c r="EGV13" s="119"/>
      <c r="EGW13" s="119"/>
      <c r="EGX13" s="119"/>
      <c r="EGY13" s="119"/>
      <c r="EGZ13" s="119"/>
      <c r="EHA13" s="119"/>
      <c r="EHB13" s="119"/>
      <c r="EHC13" s="119"/>
      <c r="EHD13" s="119"/>
      <c r="EHE13" s="119"/>
      <c r="EHF13" s="119"/>
      <c r="EHG13" s="120"/>
      <c r="EHH13" s="120"/>
      <c r="EHI13" s="120"/>
      <c r="EHJ13" s="59"/>
      <c r="EHK13" s="119"/>
      <c r="EHL13" s="119"/>
      <c r="EHM13" s="119"/>
      <c r="EHN13" s="119"/>
      <c r="EHO13" s="119"/>
      <c r="EHP13" s="119"/>
      <c r="EHQ13" s="119"/>
      <c r="EHR13" s="119"/>
      <c r="EHS13" s="119"/>
      <c r="EHT13" s="119"/>
      <c r="EHU13" s="119"/>
      <c r="EHV13" s="119"/>
      <c r="EHW13" s="120"/>
      <c r="EHX13" s="120"/>
      <c r="EHY13" s="120"/>
      <c r="EHZ13" s="59"/>
      <c r="EIA13" s="119"/>
      <c r="EIB13" s="119"/>
      <c r="EIC13" s="119"/>
      <c r="EID13" s="119"/>
      <c r="EIE13" s="119"/>
      <c r="EIF13" s="119"/>
      <c r="EIG13" s="119"/>
      <c r="EIH13" s="119"/>
      <c r="EII13" s="119"/>
      <c r="EIJ13" s="119"/>
      <c r="EIK13" s="119"/>
      <c r="EIL13" s="119"/>
      <c r="EIM13" s="120"/>
      <c r="EIN13" s="120"/>
      <c r="EIO13" s="120"/>
      <c r="EIP13" s="59"/>
      <c r="EIQ13" s="119"/>
      <c r="EIR13" s="119"/>
      <c r="EIS13" s="119"/>
      <c r="EIT13" s="119"/>
      <c r="EIU13" s="119"/>
      <c r="EIV13" s="119"/>
      <c r="EIW13" s="119"/>
      <c r="EIX13" s="119"/>
      <c r="EIY13" s="119"/>
      <c r="EIZ13" s="119"/>
      <c r="EJA13" s="119"/>
      <c r="EJB13" s="119"/>
      <c r="EJC13" s="120"/>
      <c r="EJD13" s="120"/>
      <c r="EJE13" s="120"/>
      <c r="EJF13" s="59"/>
      <c r="EJG13" s="119"/>
      <c r="EJH13" s="119"/>
      <c r="EJI13" s="119"/>
      <c r="EJJ13" s="119"/>
      <c r="EJK13" s="119"/>
      <c r="EJL13" s="119"/>
      <c r="EJM13" s="119"/>
      <c r="EJN13" s="119"/>
      <c r="EJO13" s="119"/>
      <c r="EJP13" s="119"/>
      <c r="EJQ13" s="119"/>
      <c r="EJR13" s="119"/>
      <c r="EJS13" s="120"/>
      <c r="EJT13" s="120"/>
      <c r="EJU13" s="120"/>
      <c r="EJV13" s="59"/>
      <c r="EJW13" s="119"/>
      <c r="EJX13" s="119"/>
      <c r="EJY13" s="119"/>
      <c r="EJZ13" s="119"/>
      <c r="EKA13" s="119"/>
      <c r="EKB13" s="119"/>
      <c r="EKC13" s="119"/>
      <c r="EKD13" s="119"/>
      <c r="EKE13" s="119"/>
      <c r="EKF13" s="119"/>
      <c r="EKG13" s="119"/>
      <c r="EKH13" s="119"/>
      <c r="EKI13" s="120"/>
      <c r="EKJ13" s="120"/>
      <c r="EKK13" s="120"/>
      <c r="EKL13" s="59"/>
      <c r="EKM13" s="119"/>
      <c r="EKN13" s="119"/>
      <c r="EKO13" s="119"/>
      <c r="EKP13" s="119"/>
      <c r="EKQ13" s="119"/>
      <c r="EKR13" s="119"/>
      <c r="EKS13" s="119"/>
      <c r="EKT13" s="119"/>
      <c r="EKU13" s="119"/>
      <c r="EKV13" s="119"/>
      <c r="EKW13" s="119"/>
      <c r="EKX13" s="119"/>
      <c r="EKY13" s="120"/>
      <c r="EKZ13" s="120"/>
      <c r="ELA13" s="120"/>
      <c r="ELB13" s="59"/>
      <c r="ELC13" s="119"/>
      <c r="ELD13" s="119"/>
      <c r="ELE13" s="119"/>
      <c r="ELF13" s="119"/>
      <c r="ELG13" s="119"/>
      <c r="ELH13" s="119"/>
      <c r="ELI13" s="119"/>
      <c r="ELJ13" s="119"/>
      <c r="ELK13" s="119"/>
      <c r="ELL13" s="119"/>
      <c r="ELM13" s="119"/>
      <c r="ELN13" s="119"/>
      <c r="ELO13" s="120"/>
      <c r="ELP13" s="120"/>
      <c r="ELQ13" s="120"/>
      <c r="ELR13" s="59"/>
      <c r="ELS13" s="119"/>
      <c r="ELT13" s="119"/>
      <c r="ELU13" s="119"/>
      <c r="ELV13" s="119"/>
      <c r="ELW13" s="119"/>
      <c r="ELX13" s="119"/>
      <c r="ELY13" s="119"/>
      <c r="ELZ13" s="119"/>
      <c r="EMA13" s="119"/>
      <c r="EMB13" s="119"/>
      <c r="EMC13" s="119"/>
      <c r="EMD13" s="119"/>
      <c r="EME13" s="120"/>
      <c r="EMF13" s="120"/>
      <c r="EMG13" s="120"/>
      <c r="EMH13" s="59"/>
      <c r="EMI13" s="119"/>
      <c r="EMJ13" s="119"/>
      <c r="EMK13" s="119"/>
      <c r="EML13" s="119"/>
      <c r="EMM13" s="119"/>
      <c r="EMN13" s="119"/>
      <c r="EMO13" s="119"/>
      <c r="EMP13" s="119"/>
      <c r="EMQ13" s="119"/>
      <c r="EMR13" s="119"/>
      <c r="EMS13" s="119"/>
      <c r="EMT13" s="119"/>
      <c r="EMU13" s="120"/>
      <c r="EMV13" s="120"/>
      <c r="EMW13" s="120"/>
      <c r="EMX13" s="59"/>
      <c r="EMY13" s="119"/>
      <c r="EMZ13" s="119"/>
      <c r="ENA13" s="119"/>
      <c r="ENB13" s="119"/>
      <c r="ENC13" s="119"/>
      <c r="END13" s="119"/>
      <c r="ENE13" s="119"/>
      <c r="ENF13" s="119"/>
      <c r="ENG13" s="119"/>
      <c r="ENH13" s="119"/>
      <c r="ENI13" s="119"/>
      <c r="ENJ13" s="119"/>
      <c r="ENK13" s="120"/>
      <c r="ENL13" s="120"/>
      <c r="ENM13" s="120"/>
      <c r="ENN13" s="59"/>
      <c r="ENO13" s="119"/>
      <c r="ENP13" s="119"/>
      <c r="ENQ13" s="119"/>
      <c r="ENR13" s="119"/>
      <c r="ENS13" s="119"/>
      <c r="ENT13" s="119"/>
      <c r="ENU13" s="119"/>
      <c r="ENV13" s="119"/>
      <c r="ENW13" s="119"/>
      <c r="ENX13" s="119"/>
      <c r="ENY13" s="119"/>
      <c r="ENZ13" s="119"/>
      <c r="EOA13" s="120"/>
      <c r="EOB13" s="120"/>
      <c r="EOC13" s="120"/>
      <c r="EOD13" s="59"/>
      <c r="EOE13" s="119"/>
      <c r="EOF13" s="119"/>
      <c r="EOG13" s="119"/>
      <c r="EOH13" s="119"/>
      <c r="EOI13" s="119"/>
      <c r="EOJ13" s="119"/>
      <c r="EOK13" s="119"/>
      <c r="EOL13" s="119"/>
      <c r="EOM13" s="119"/>
      <c r="EON13" s="119"/>
      <c r="EOO13" s="119"/>
      <c r="EOP13" s="119"/>
      <c r="EOQ13" s="120"/>
      <c r="EOR13" s="120"/>
      <c r="EOS13" s="120"/>
      <c r="EOT13" s="59"/>
      <c r="EOU13" s="119"/>
      <c r="EOV13" s="119"/>
      <c r="EOW13" s="119"/>
      <c r="EOX13" s="119"/>
      <c r="EOY13" s="119"/>
      <c r="EOZ13" s="119"/>
      <c r="EPA13" s="119"/>
      <c r="EPB13" s="119"/>
      <c r="EPC13" s="119"/>
      <c r="EPD13" s="119"/>
      <c r="EPE13" s="119"/>
      <c r="EPF13" s="119"/>
      <c r="EPG13" s="120"/>
      <c r="EPH13" s="120"/>
      <c r="EPI13" s="120"/>
      <c r="EPJ13" s="59"/>
      <c r="EPK13" s="119"/>
      <c r="EPL13" s="119"/>
      <c r="EPM13" s="119"/>
      <c r="EPN13" s="119"/>
      <c r="EPO13" s="119"/>
      <c r="EPP13" s="119"/>
      <c r="EPQ13" s="119"/>
      <c r="EPR13" s="119"/>
      <c r="EPS13" s="119"/>
      <c r="EPT13" s="119"/>
      <c r="EPU13" s="119"/>
      <c r="EPV13" s="119"/>
      <c r="EPW13" s="120"/>
      <c r="EPX13" s="120"/>
      <c r="EPY13" s="120"/>
      <c r="EPZ13" s="59"/>
      <c r="EQA13" s="119"/>
      <c r="EQB13" s="119"/>
      <c r="EQC13" s="119"/>
      <c r="EQD13" s="119"/>
      <c r="EQE13" s="119"/>
      <c r="EQF13" s="119"/>
      <c r="EQG13" s="119"/>
      <c r="EQH13" s="119"/>
      <c r="EQI13" s="119"/>
      <c r="EQJ13" s="119"/>
      <c r="EQK13" s="119"/>
      <c r="EQL13" s="119"/>
      <c r="EQM13" s="120"/>
      <c r="EQN13" s="120"/>
      <c r="EQO13" s="120"/>
      <c r="EQP13" s="59"/>
      <c r="EQQ13" s="119"/>
      <c r="EQR13" s="119"/>
      <c r="EQS13" s="119"/>
      <c r="EQT13" s="119"/>
      <c r="EQU13" s="119"/>
      <c r="EQV13" s="119"/>
      <c r="EQW13" s="119"/>
      <c r="EQX13" s="119"/>
      <c r="EQY13" s="119"/>
      <c r="EQZ13" s="119"/>
      <c r="ERA13" s="119"/>
      <c r="ERB13" s="119"/>
      <c r="ERC13" s="120"/>
      <c r="ERD13" s="120"/>
      <c r="ERE13" s="120"/>
      <c r="ERF13" s="59"/>
      <c r="ERG13" s="119"/>
      <c r="ERH13" s="119"/>
      <c r="ERI13" s="119"/>
      <c r="ERJ13" s="119"/>
      <c r="ERK13" s="119"/>
      <c r="ERL13" s="119"/>
      <c r="ERM13" s="119"/>
      <c r="ERN13" s="119"/>
      <c r="ERO13" s="119"/>
      <c r="ERP13" s="119"/>
      <c r="ERQ13" s="119"/>
      <c r="ERR13" s="119"/>
      <c r="ERS13" s="120"/>
      <c r="ERT13" s="120"/>
      <c r="ERU13" s="120"/>
      <c r="ERV13" s="59"/>
      <c r="ERW13" s="119"/>
      <c r="ERX13" s="119"/>
      <c r="ERY13" s="119"/>
      <c r="ERZ13" s="119"/>
      <c r="ESA13" s="119"/>
      <c r="ESB13" s="119"/>
      <c r="ESC13" s="119"/>
      <c r="ESD13" s="119"/>
      <c r="ESE13" s="119"/>
      <c r="ESF13" s="119"/>
      <c r="ESG13" s="119"/>
      <c r="ESH13" s="119"/>
      <c r="ESI13" s="120"/>
      <c r="ESJ13" s="120"/>
      <c r="ESK13" s="120"/>
      <c r="ESL13" s="59"/>
      <c r="ESM13" s="119"/>
      <c r="ESN13" s="119"/>
      <c r="ESO13" s="119"/>
      <c r="ESP13" s="119"/>
      <c r="ESQ13" s="119"/>
      <c r="ESR13" s="119"/>
      <c r="ESS13" s="119"/>
      <c r="EST13" s="119"/>
      <c r="ESU13" s="119"/>
      <c r="ESV13" s="119"/>
      <c r="ESW13" s="119"/>
      <c r="ESX13" s="119"/>
      <c r="ESY13" s="120"/>
      <c r="ESZ13" s="120"/>
      <c r="ETA13" s="120"/>
      <c r="ETB13" s="59"/>
      <c r="ETC13" s="119"/>
      <c r="ETD13" s="119"/>
      <c r="ETE13" s="119"/>
      <c r="ETF13" s="119"/>
      <c r="ETG13" s="119"/>
      <c r="ETH13" s="119"/>
      <c r="ETI13" s="119"/>
      <c r="ETJ13" s="119"/>
      <c r="ETK13" s="119"/>
      <c r="ETL13" s="119"/>
      <c r="ETM13" s="119"/>
      <c r="ETN13" s="119"/>
      <c r="ETO13" s="120"/>
      <c r="ETP13" s="120"/>
      <c r="ETQ13" s="120"/>
      <c r="ETR13" s="59"/>
      <c r="ETS13" s="119"/>
      <c r="ETT13" s="119"/>
      <c r="ETU13" s="119"/>
      <c r="ETV13" s="119"/>
      <c r="ETW13" s="119"/>
      <c r="ETX13" s="119"/>
      <c r="ETY13" s="119"/>
      <c r="ETZ13" s="119"/>
      <c r="EUA13" s="119"/>
      <c r="EUB13" s="119"/>
      <c r="EUC13" s="119"/>
      <c r="EUD13" s="119"/>
      <c r="EUE13" s="120"/>
      <c r="EUF13" s="120"/>
      <c r="EUG13" s="120"/>
      <c r="EUH13" s="59"/>
      <c r="EUI13" s="119"/>
      <c r="EUJ13" s="119"/>
      <c r="EUK13" s="119"/>
      <c r="EUL13" s="119"/>
      <c r="EUM13" s="119"/>
      <c r="EUN13" s="119"/>
      <c r="EUO13" s="119"/>
      <c r="EUP13" s="119"/>
      <c r="EUQ13" s="119"/>
      <c r="EUR13" s="119"/>
      <c r="EUS13" s="119"/>
      <c r="EUT13" s="119"/>
      <c r="EUU13" s="120"/>
      <c r="EUV13" s="120"/>
      <c r="EUW13" s="120"/>
      <c r="EUX13" s="59"/>
      <c r="EUY13" s="119"/>
      <c r="EUZ13" s="119"/>
      <c r="EVA13" s="119"/>
      <c r="EVB13" s="119"/>
      <c r="EVC13" s="119"/>
      <c r="EVD13" s="119"/>
      <c r="EVE13" s="119"/>
      <c r="EVF13" s="119"/>
      <c r="EVG13" s="119"/>
      <c r="EVH13" s="119"/>
      <c r="EVI13" s="119"/>
      <c r="EVJ13" s="119"/>
      <c r="EVK13" s="120"/>
      <c r="EVL13" s="120"/>
      <c r="EVM13" s="120"/>
      <c r="EVN13" s="59"/>
      <c r="EVO13" s="119"/>
      <c r="EVP13" s="119"/>
      <c r="EVQ13" s="119"/>
      <c r="EVR13" s="119"/>
      <c r="EVS13" s="119"/>
      <c r="EVT13" s="119"/>
      <c r="EVU13" s="119"/>
      <c r="EVV13" s="119"/>
      <c r="EVW13" s="119"/>
      <c r="EVX13" s="119"/>
      <c r="EVY13" s="119"/>
      <c r="EVZ13" s="119"/>
      <c r="EWA13" s="120"/>
      <c r="EWB13" s="120"/>
      <c r="EWC13" s="120"/>
      <c r="EWD13" s="59"/>
      <c r="EWE13" s="119"/>
      <c r="EWF13" s="119"/>
      <c r="EWG13" s="119"/>
      <c r="EWH13" s="119"/>
      <c r="EWI13" s="119"/>
      <c r="EWJ13" s="119"/>
      <c r="EWK13" s="119"/>
      <c r="EWL13" s="119"/>
      <c r="EWM13" s="119"/>
      <c r="EWN13" s="119"/>
      <c r="EWO13" s="119"/>
      <c r="EWP13" s="119"/>
      <c r="EWQ13" s="120"/>
      <c r="EWR13" s="120"/>
      <c r="EWS13" s="120"/>
      <c r="EWT13" s="59"/>
      <c r="EWU13" s="119"/>
      <c r="EWV13" s="119"/>
      <c r="EWW13" s="119"/>
      <c r="EWX13" s="119"/>
      <c r="EWY13" s="119"/>
      <c r="EWZ13" s="119"/>
      <c r="EXA13" s="119"/>
      <c r="EXB13" s="119"/>
      <c r="EXC13" s="119"/>
      <c r="EXD13" s="119"/>
      <c r="EXE13" s="119"/>
      <c r="EXF13" s="119"/>
      <c r="EXG13" s="120"/>
      <c r="EXH13" s="120"/>
      <c r="EXI13" s="120"/>
      <c r="EXJ13" s="59"/>
      <c r="EXK13" s="119"/>
      <c r="EXL13" s="119"/>
      <c r="EXM13" s="119"/>
      <c r="EXN13" s="119"/>
      <c r="EXO13" s="119"/>
      <c r="EXP13" s="119"/>
      <c r="EXQ13" s="119"/>
      <c r="EXR13" s="119"/>
      <c r="EXS13" s="119"/>
      <c r="EXT13" s="119"/>
      <c r="EXU13" s="119"/>
      <c r="EXV13" s="119"/>
      <c r="EXW13" s="120"/>
      <c r="EXX13" s="120"/>
      <c r="EXY13" s="120"/>
      <c r="EXZ13" s="59"/>
      <c r="EYA13" s="119"/>
      <c r="EYB13" s="119"/>
      <c r="EYC13" s="119"/>
      <c r="EYD13" s="119"/>
      <c r="EYE13" s="119"/>
      <c r="EYF13" s="119"/>
      <c r="EYG13" s="119"/>
      <c r="EYH13" s="119"/>
      <c r="EYI13" s="119"/>
      <c r="EYJ13" s="119"/>
      <c r="EYK13" s="119"/>
      <c r="EYL13" s="119"/>
      <c r="EYM13" s="120"/>
      <c r="EYN13" s="120"/>
      <c r="EYO13" s="120"/>
      <c r="EYP13" s="59"/>
      <c r="EYQ13" s="119"/>
      <c r="EYR13" s="119"/>
      <c r="EYS13" s="119"/>
      <c r="EYT13" s="119"/>
      <c r="EYU13" s="119"/>
      <c r="EYV13" s="119"/>
      <c r="EYW13" s="119"/>
      <c r="EYX13" s="119"/>
      <c r="EYY13" s="119"/>
      <c r="EYZ13" s="119"/>
      <c r="EZA13" s="119"/>
      <c r="EZB13" s="119"/>
      <c r="EZC13" s="120"/>
      <c r="EZD13" s="120"/>
      <c r="EZE13" s="120"/>
      <c r="EZF13" s="59"/>
      <c r="EZG13" s="119"/>
      <c r="EZH13" s="119"/>
      <c r="EZI13" s="119"/>
      <c r="EZJ13" s="119"/>
      <c r="EZK13" s="119"/>
      <c r="EZL13" s="119"/>
      <c r="EZM13" s="119"/>
      <c r="EZN13" s="119"/>
      <c r="EZO13" s="119"/>
      <c r="EZP13" s="119"/>
      <c r="EZQ13" s="119"/>
      <c r="EZR13" s="119"/>
      <c r="EZS13" s="120"/>
      <c r="EZT13" s="120"/>
      <c r="EZU13" s="120"/>
      <c r="EZV13" s="59"/>
      <c r="EZW13" s="119"/>
      <c r="EZX13" s="119"/>
      <c r="EZY13" s="119"/>
      <c r="EZZ13" s="119"/>
      <c r="FAA13" s="119"/>
      <c r="FAB13" s="119"/>
      <c r="FAC13" s="119"/>
      <c r="FAD13" s="119"/>
      <c r="FAE13" s="119"/>
      <c r="FAF13" s="119"/>
      <c r="FAG13" s="119"/>
      <c r="FAH13" s="119"/>
      <c r="FAI13" s="120"/>
      <c r="FAJ13" s="120"/>
      <c r="FAK13" s="120"/>
      <c r="FAL13" s="59"/>
      <c r="FAM13" s="119"/>
      <c r="FAN13" s="119"/>
      <c r="FAO13" s="119"/>
      <c r="FAP13" s="119"/>
      <c r="FAQ13" s="119"/>
      <c r="FAR13" s="119"/>
      <c r="FAS13" s="119"/>
      <c r="FAT13" s="119"/>
      <c r="FAU13" s="119"/>
      <c r="FAV13" s="119"/>
      <c r="FAW13" s="119"/>
      <c r="FAX13" s="119"/>
      <c r="FAY13" s="120"/>
      <c r="FAZ13" s="120"/>
      <c r="FBA13" s="120"/>
      <c r="FBB13" s="59"/>
      <c r="FBC13" s="119"/>
      <c r="FBD13" s="119"/>
      <c r="FBE13" s="119"/>
      <c r="FBF13" s="119"/>
      <c r="FBG13" s="119"/>
      <c r="FBH13" s="119"/>
      <c r="FBI13" s="119"/>
      <c r="FBJ13" s="119"/>
      <c r="FBK13" s="119"/>
      <c r="FBL13" s="119"/>
      <c r="FBM13" s="119"/>
      <c r="FBN13" s="119"/>
      <c r="FBO13" s="120"/>
      <c r="FBP13" s="120"/>
      <c r="FBQ13" s="120"/>
      <c r="FBR13" s="59"/>
      <c r="FBS13" s="119"/>
      <c r="FBT13" s="119"/>
      <c r="FBU13" s="119"/>
      <c r="FBV13" s="119"/>
      <c r="FBW13" s="119"/>
      <c r="FBX13" s="119"/>
      <c r="FBY13" s="119"/>
      <c r="FBZ13" s="119"/>
      <c r="FCA13" s="119"/>
      <c r="FCB13" s="119"/>
      <c r="FCC13" s="119"/>
      <c r="FCD13" s="119"/>
      <c r="FCE13" s="120"/>
      <c r="FCF13" s="120"/>
      <c r="FCG13" s="120"/>
      <c r="FCH13" s="59"/>
      <c r="FCI13" s="119"/>
      <c r="FCJ13" s="119"/>
      <c r="FCK13" s="119"/>
      <c r="FCL13" s="119"/>
      <c r="FCM13" s="119"/>
      <c r="FCN13" s="119"/>
      <c r="FCO13" s="119"/>
      <c r="FCP13" s="119"/>
      <c r="FCQ13" s="119"/>
      <c r="FCR13" s="119"/>
      <c r="FCS13" s="119"/>
      <c r="FCT13" s="119"/>
      <c r="FCU13" s="120"/>
      <c r="FCV13" s="120"/>
      <c r="FCW13" s="120"/>
      <c r="FCX13" s="59"/>
      <c r="FCY13" s="119"/>
      <c r="FCZ13" s="119"/>
      <c r="FDA13" s="119"/>
      <c r="FDB13" s="119"/>
      <c r="FDC13" s="119"/>
      <c r="FDD13" s="119"/>
      <c r="FDE13" s="119"/>
      <c r="FDF13" s="119"/>
      <c r="FDG13" s="119"/>
      <c r="FDH13" s="119"/>
      <c r="FDI13" s="119"/>
      <c r="FDJ13" s="119"/>
      <c r="FDK13" s="120"/>
      <c r="FDL13" s="120"/>
      <c r="FDM13" s="120"/>
      <c r="FDN13" s="59"/>
      <c r="FDO13" s="119"/>
      <c r="FDP13" s="119"/>
      <c r="FDQ13" s="119"/>
      <c r="FDR13" s="119"/>
      <c r="FDS13" s="119"/>
      <c r="FDT13" s="119"/>
      <c r="FDU13" s="119"/>
      <c r="FDV13" s="119"/>
      <c r="FDW13" s="119"/>
      <c r="FDX13" s="119"/>
      <c r="FDY13" s="119"/>
      <c r="FDZ13" s="119"/>
      <c r="FEA13" s="120"/>
      <c r="FEB13" s="120"/>
      <c r="FEC13" s="120"/>
      <c r="FED13" s="59"/>
      <c r="FEE13" s="119"/>
      <c r="FEF13" s="119"/>
      <c r="FEG13" s="119"/>
      <c r="FEH13" s="119"/>
      <c r="FEI13" s="119"/>
      <c r="FEJ13" s="119"/>
      <c r="FEK13" s="119"/>
      <c r="FEL13" s="119"/>
      <c r="FEM13" s="119"/>
      <c r="FEN13" s="119"/>
      <c r="FEO13" s="119"/>
      <c r="FEP13" s="119"/>
      <c r="FEQ13" s="120"/>
      <c r="FER13" s="120"/>
      <c r="FES13" s="120"/>
      <c r="FET13" s="59"/>
      <c r="FEU13" s="119"/>
      <c r="FEV13" s="119"/>
      <c r="FEW13" s="119"/>
      <c r="FEX13" s="119"/>
      <c r="FEY13" s="119"/>
      <c r="FEZ13" s="119"/>
      <c r="FFA13" s="119"/>
      <c r="FFB13" s="119"/>
      <c r="FFC13" s="119"/>
      <c r="FFD13" s="119"/>
      <c r="FFE13" s="119"/>
      <c r="FFF13" s="119"/>
      <c r="FFG13" s="120"/>
      <c r="FFH13" s="120"/>
      <c r="FFI13" s="120"/>
      <c r="FFJ13" s="59"/>
      <c r="FFK13" s="119"/>
      <c r="FFL13" s="119"/>
      <c r="FFM13" s="119"/>
      <c r="FFN13" s="119"/>
      <c r="FFO13" s="119"/>
      <c r="FFP13" s="119"/>
      <c r="FFQ13" s="119"/>
      <c r="FFR13" s="119"/>
      <c r="FFS13" s="119"/>
      <c r="FFT13" s="119"/>
      <c r="FFU13" s="119"/>
      <c r="FFV13" s="119"/>
      <c r="FFW13" s="120"/>
      <c r="FFX13" s="120"/>
      <c r="FFY13" s="120"/>
      <c r="FFZ13" s="59"/>
      <c r="FGA13" s="119"/>
      <c r="FGB13" s="119"/>
      <c r="FGC13" s="119"/>
      <c r="FGD13" s="119"/>
      <c r="FGE13" s="119"/>
      <c r="FGF13" s="119"/>
      <c r="FGG13" s="119"/>
      <c r="FGH13" s="119"/>
      <c r="FGI13" s="119"/>
      <c r="FGJ13" s="119"/>
      <c r="FGK13" s="119"/>
      <c r="FGL13" s="119"/>
      <c r="FGM13" s="120"/>
      <c r="FGN13" s="120"/>
      <c r="FGO13" s="120"/>
      <c r="FGP13" s="59"/>
      <c r="FGQ13" s="119"/>
      <c r="FGR13" s="119"/>
      <c r="FGS13" s="119"/>
      <c r="FGT13" s="119"/>
      <c r="FGU13" s="119"/>
      <c r="FGV13" s="119"/>
      <c r="FGW13" s="119"/>
      <c r="FGX13" s="119"/>
      <c r="FGY13" s="119"/>
      <c r="FGZ13" s="119"/>
      <c r="FHA13" s="119"/>
      <c r="FHB13" s="119"/>
      <c r="FHC13" s="120"/>
      <c r="FHD13" s="120"/>
      <c r="FHE13" s="120"/>
      <c r="FHF13" s="59"/>
      <c r="FHG13" s="119"/>
      <c r="FHH13" s="119"/>
      <c r="FHI13" s="119"/>
      <c r="FHJ13" s="119"/>
      <c r="FHK13" s="119"/>
      <c r="FHL13" s="119"/>
      <c r="FHM13" s="119"/>
      <c r="FHN13" s="119"/>
      <c r="FHO13" s="119"/>
      <c r="FHP13" s="119"/>
      <c r="FHQ13" s="119"/>
      <c r="FHR13" s="119"/>
      <c r="FHS13" s="120"/>
      <c r="FHT13" s="120"/>
      <c r="FHU13" s="120"/>
      <c r="FHV13" s="59"/>
      <c r="FHW13" s="119"/>
      <c r="FHX13" s="119"/>
      <c r="FHY13" s="119"/>
      <c r="FHZ13" s="119"/>
      <c r="FIA13" s="119"/>
      <c r="FIB13" s="119"/>
      <c r="FIC13" s="119"/>
      <c r="FID13" s="119"/>
      <c r="FIE13" s="119"/>
      <c r="FIF13" s="119"/>
      <c r="FIG13" s="119"/>
      <c r="FIH13" s="119"/>
      <c r="FII13" s="120"/>
      <c r="FIJ13" s="120"/>
      <c r="FIK13" s="120"/>
      <c r="FIL13" s="59"/>
      <c r="FIM13" s="119"/>
      <c r="FIN13" s="119"/>
      <c r="FIO13" s="119"/>
      <c r="FIP13" s="119"/>
      <c r="FIQ13" s="119"/>
      <c r="FIR13" s="119"/>
      <c r="FIS13" s="119"/>
      <c r="FIT13" s="119"/>
      <c r="FIU13" s="119"/>
      <c r="FIV13" s="119"/>
      <c r="FIW13" s="119"/>
      <c r="FIX13" s="119"/>
      <c r="FIY13" s="120"/>
      <c r="FIZ13" s="120"/>
      <c r="FJA13" s="120"/>
      <c r="FJB13" s="59"/>
      <c r="FJC13" s="119"/>
      <c r="FJD13" s="119"/>
      <c r="FJE13" s="119"/>
      <c r="FJF13" s="119"/>
      <c r="FJG13" s="119"/>
      <c r="FJH13" s="119"/>
      <c r="FJI13" s="119"/>
      <c r="FJJ13" s="119"/>
      <c r="FJK13" s="119"/>
      <c r="FJL13" s="119"/>
      <c r="FJM13" s="119"/>
      <c r="FJN13" s="119"/>
      <c r="FJO13" s="120"/>
      <c r="FJP13" s="120"/>
      <c r="FJQ13" s="120"/>
      <c r="FJR13" s="59"/>
      <c r="FJS13" s="119"/>
      <c r="FJT13" s="119"/>
      <c r="FJU13" s="119"/>
      <c r="FJV13" s="119"/>
      <c r="FJW13" s="119"/>
      <c r="FJX13" s="119"/>
      <c r="FJY13" s="119"/>
      <c r="FJZ13" s="119"/>
      <c r="FKA13" s="119"/>
      <c r="FKB13" s="119"/>
      <c r="FKC13" s="119"/>
      <c r="FKD13" s="119"/>
      <c r="FKE13" s="120"/>
      <c r="FKF13" s="120"/>
      <c r="FKG13" s="120"/>
      <c r="FKH13" s="59"/>
      <c r="FKI13" s="119"/>
      <c r="FKJ13" s="119"/>
      <c r="FKK13" s="119"/>
      <c r="FKL13" s="119"/>
      <c r="FKM13" s="119"/>
      <c r="FKN13" s="119"/>
      <c r="FKO13" s="119"/>
      <c r="FKP13" s="119"/>
      <c r="FKQ13" s="119"/>
      <c r="FKR13" s="119"/>
      <c r="FKS13" s="119"/>
      <c r="FKT13" s="119"/>
      <c r="FKU13" s="120"/>
      <c r="FKV13" s="120"/>
      <c r="FKW13" s="120"/>
      <c r="FKX13" s="59"/>
      <c r="FKY13" s="119"/>
      <c r="FKZ13" s="119"/>
      <c r="FLA13" s="119"/>
      <c r="FLB13" s="119"/>
      <c r="FLC13" s="119"/>
      <c r="FLD13" s="119"/>
      <c r="FLE13" s="119"/>
      <c r="FLF13" s="119"/>
      <c r="FLG13" s="119"/>
      <c r="FLH13" s="119"/>
      <c r="FLI13" s="119"/>
      <c r="FLJ13" s="119"/>
      <c r="FLK13" s="120"/>
      <c r="FLL13" s="120"/>
      <c r="FLM13" s="120"/>
      <c r="FLN13" s="59"/>
      <c r="FLO13" s="119"/>
      <c r="FLP13" s="119"/>
      <c r="FLQ13" s="119"/>
      <c r="FLR13" s="119"/>
      <c r="FLS13" s="119"/>
      <c r="FLT13" s="119"/>
      <c r="FLU13" s="119"/>
      <c r="FLV13" s="119"/>
      <c r="FLW13" s="119"/>
      <c r="FLX13" s="119"/>
      <c r="FLY13" s="119"/>
      <c r="FLZ13" s="119"/>
      <c r="FMA13" s="120"/>
      <c r="FMB13" s="120"/>
      <c r="FMC13" s="120"/>
      <c r="FMD13" s="59"/>
      <c r="FME13" s="119"/>
      <c r="FMF13" s="119"/>
      <c r="FMG13" s="119"/>
      <c r="FMH13" s="119"/>
      <c r="FMI13" s="119"/>
      <c r="FMJ13" s="119"/>
      <c r="FMK13" s="119"/>
      <c r="FML13" s="119"/>
      <c r="FMM13" s="119"/>
      <c r="FMN13" s="119"/>
      <c r="FMO13" s="119"/>
      <c r="FMP13" s="119"/>
      <c r="FMQ13" s="120"/>
      <c r="FMR13" s="120"/>
      <c r="FMS13" s="120"/>
      <c r="FMT13" s="59"/>
      <c r="FMU13" s="119"/>
      <c r="FMV13" s="119"/>
      <c r="FMW13" s="119"/>
      <c r="FMX13" s="119"/>
      <c r="FMY13" s="119"/>
      <c r="FMZ13" s="119"/>
      <c r="FNA13" s="119"/>
      <c r="FNB13" s="119"/>
      <c r="FNC13" s="119"/>
      <c r="FND13" s="119"/>
      <c r="FNE13" s="119"/>
      <c r="FNF13" s="119"/>
      <c r="FNG13" s="120"/>
      <c r="FNH13" s="120"/>
      <c r="FNI13" s="120"/>
      <c r="FNJ13" s="59"/>
      <c r="FNK13" s="119"/>
      <c r="FNL13" s="119"/>
      <c r="FNM13" s="119"/>
      <c r="FNN13" s="119"/>
      <c r="FNO13" s="119"/>
      <c r="FNP13" s="119"/>
      <c r="FNQ13" s="119"/>
      <c r="FNR13" s="119"/>
      <c r="FNS13" s="119"/>
      <c r="FNT13" s="119"/>
      <c r="FNU13" s="119"/>
      <c r="FNV13" s="119"/>
      <c r="FNW13" s="120"/>
      <c r="FNX13" s="120"/>
      <c r="FNY13" s="120"/>
      <c r="FNZ13" s="59"/>
      <c r="FOA13" s="119"/>
      <c r="FOB13" s="119"/>
      <c r="FOC13" s="119"/>
      <c r="FOD13" s="119"/>
      <c r="FOE13" s="119"/>
      <c r="FOF13" s="119"/>
      <c r="FOG13" s="119"/>
      <c r="FOH13" s="119"/>
      <c r="FOI13" s="119"/>
      <c r="FOJ13" s="119"/>
      <c r="FOK13" s="119"/>
      <c r="FOL13" s="119"/>
      <c r="FOM13" s="120"/>
      <c r="FON13" s="120"/>
      <c r="FOO13" s="120"/>
      <c r="FOP13" s="59"/>
      <c r="FOQ13" s="119"/>
      <c r="FOR13" s="119"/>
      <c r="FOS13" s="119"/>
      <c r="FOT13" s="119"/>
      <c r="FOU13" s="119"/>
      <c r="FOV13" s="119"/>
      <c r="FOW13" s="119"/>
      <c r="FOX13" s="119"/>
      <c r="FOY13" s="119"/>
      <c r="FOZ13" s="119"/>
      <c r="FPA13" s="119"/>
      <c r="FPB13" s="119"/>
      <c r="FPC13" s="120"/>
      <c r="FPD13" s="120"/>
      <c r="FPE13" s="120"/>
      <c r="FPF13" s="59"/>
      <c r="FPG13" s="119"/>
      <c r="FPH13" s="119"/>
      <c r="FPI13" s="119"/>
      <c r="FPJ13" s="119"/>
      <c r="FPK13" s="119"/>
      <c r="FPL13" s="119"/>
      <c r="FPM13" s="119"/>
      <c r="FPN13" s="119"/>
      <c r="FPO13" s="119"/>
      <c r="FPP13" s="119"/>
      <c r="FPQ13" s="119"/>
      <c r="FPR13" s="119"/>
      <c r="FPS13" s="120"/>
      <c r="FPT13" s="120"/>
      <c r="FPU13" s="120"/>
      <c r="FPV13" s="59"/>
      <c r="FPW13" s="119"/>
      <c r="FPX13" s="119"/>
      <c r="FPY13" s="119"/>
      <c r="FPZ13" s="119"/>
      <c r="FQA13" s="119"/>
      <c r="FQB13" s="119"/>
      <c r="FQC13" s="119"/>
      <c r="FQD13" s="119"/>
      <c r="FQE13" s="119"/>
      <c r="FQF13" s="119"/>
      <c r="FQG13" s="119"/>
      <c r="FQH13" s="119"/>
      <c r="FQI13" s="120"/>
      <c r="FQJ13" s="120"/>
      <c r="FQK13" s="120"/>
      <c r="FQL13" s="59"/>
      <c r="FQM13" s="119"/>
      <c r="FQN13" s="119"/>
      <c r="FQO13" s="119"/>
      <c r="FQP13" s="119"/>
      <c r="FQQ13" s="119"/>
      <c r="FQR13" s="119"/>
      <c r="FQS13" s="119"/>
      <c r="FQT13" s="119"/>
      <c r="FQU13" s="119"/>
      <c r="FQV13" s="119"/>
      <c r="FQW13" s="119"/>
      <c r="FQX13" s="119"/>
      <c r="FQY13" s="120"/>
      <c r="FQZ13" s="120"/>
      <c r="FRA13" s="120"/>
      <c r="FRB13" s="59"/>
      <c r="FRC13" s="119"/>
      <c r="FRD13" s="119"/>
      <c r="FRE13" s="119"/>
      <c r="FRF13" s="119"/>
      <c r="FRG13" s="119"/>
      <c r="FRH13" s="119"/>
      <c r="FRI13" s="119"/>
      <c r="FRJ13" s="119"/>
      <c r="FRK13" s="119"/>
      <c r="FRL13" s="119"/>
      <c r="FRM13" s="119"/>
      <c r="FRN13" s="119"/>
      <c r="FRO13" s="120"/>
      <c r="FRP13" s="120"/>
      <c r="FRQ13" s="120"/>
      <c r="FRR13" s="59"/>
      <c r="FRS13" s="119"/>
      <c r="FRT13" s="119"/>
      <c r="FRU13" s="119"/>
      <c r="FRV13" s="119"/>
      <c r="FRW13" s="119"/>
      <c r="FRX13" s="119"/>
      <c r="FRY13" s="119"/>
      <c r="FRZ13" s="119"/>
      <c r="FSA13" s="119"/>
      <c r="FSB13" s="119"/>
      <c r="FSC13" s="119"/>
      <c r="FSD13" s="119"/>
      <c r="FSE13" s="120"/>
      <c r="FSF13" s="120"/>
      <c r="FSG13" s="120"/>
      <c r="FSH13" s="59"/>
      <c r="FSI13" s="119"/>
      <c r="FSJ13" s="119"/>
      <c r="FSK13" s="119"/>
      <c r="FSL13" s="119"/>
      <c r="FSM13" s="119"/>
      <c r="FSN13" s="119"/>
      <c r="FSO13" s="119"/>
      <c r="FSP13" s="119"/>
      <c r="FSQ13" s="119"/>
      <c r="FSR13" s="119"/>
      <c r="FSS13" s="119"/>
      <c r="FST13" s="119"/>
      <c r="FSU13" s="120"/>
      <c r="FSV13" s="120"/>
      <c r="FSW13" s="120"/>
      <c r="FSX13" s="59"/>
      <c r="FSY13" s="119"/>
      <c r="FSZ13" s="119"/>
      <c r="FTA13" s="119"/>
      <c r="FTB13" s="119"/>
      <c r="FTC13" s="119"/>
      <c r="FTD13" s="119"/>
      <c r="FTE13" s="119"/>
      <c r="FTF13" s="119"/>
      <c r="FTG13" s="119"/>
      <c r="FTH13" s="119"/>
      <c r="FTI13" s="119"/>
      <c r="FTJ13" s="119"/>
      <c r="FTK13" s="120"/>
      <c r="FTL13" s="120"/>
      <c r="FTM13" s="120"/>
      <c r="FTN13" s="59"/>
      <c r="FTO13" s="119"/>
      <c r="FTP13" s="119"/>
      <c r="FTQ13" s="119"/>
      <c r="FTR13" s="119"/>
      <c r="FTS13" s="119"/>
      <c r="FTT13" s="119"/>
      <c r="FTU13" s="119"/>
      <c r="FTV13" s="119"/>
      <c r="FTW13" s="119"/>
      <c r="FTX13" s="119"/>
      <c r="FTY13" s="119"/>
      <c r="FTZ13" s="119"/>
      <c r="FUA13" s="120"/>
      <c r="FUB13" s="120"/>
      <c r="FUC13" s="120"/>
      <c r="FUD13" s="59"/>
      <c r="FUE13" s="119"/>
      <c r="FUF13" s="119"/>
      <c r="FUG13" s="119"/>
      <c r="FUH13" s="119"/>
      <c r="FUI13" s="119"/>
      <c r="FUJ13" s="119"/>
      <c r="FUK13" s="119"/>
      <c r="FUL13" s="119"/>
      <c r="FUM13" s="119"/>
      <c r="FUN13" s="119"/>
      <c r="FUO13" s="119"/>
      <c r="FUP13" s="119"/>
      <c r="FUQ13" s="120"/>
      <c r="FUR13" s="120"/>
      <c r="FUS13" s="120"/>
      <c r="FUT13" s="59"/>
      <c r="FUU13" s="119"/>
      <c r="FUV13" s="119"/>
      <c r="FUW13" s="119"/>
      <c r="FUX13" s="119"/>
      <c r="FUY13" s="119"/>
      <c r="FUZ13" s="119"/>
      <c r="FVA13" s="119"/>
      <c r="FVB13" s="119"/>
      <c r="FVC13" s="119"/>
      <c r="FVD13" s="119"/>
      <c r="FVE13" s="119"/>
      <c r="FVF13" s="119"/>
      <c r="FVG13" s="120"/>
      <c r="FVH13" s="120"/>
      <c r="FVI13" s="120"/>
      <c r="FVJ13" s="59"/>
      <c r="FVK13" s="119"/>
      <c r="FVL13" s="119"/>
      <c r="FVM13" s="119"/>
      <c r="FVN13" s="119"/>
      <c r="FVO13" s="119"/>
      <c r="FVP13" s="119"/>
      <c r="FVQ13" s="119"/>
      <c r="FVR13" s="119"/>
      <c r="FVS13" s="119"/>
      <c r="FVT13" s="119"/>
      <c r="FVU13" s="119"/>
      <c r="FVV13" s="119"/>
      <c r="FVW13" s="120"/>
      <c r="FVX13" s="120"/>
      <c r="FVY13" s="120"/>
      <c r="FVZ13" s="59"/>
      <c r="FWA13" s="119"/>
      <c r="FWB13" s="119"/>
      <c r="FWC13" s="119"/>
      <c r="FWD13" s="119"/>
      <c r="FWE13" s="119"/>
      <c r="FWF13" s="119"/>
      <c r="FWG13" s="119"/>
      <c r="FWH13" s="119"/>
      <c r="FWI13" s="119"/>
      <c r="FWJ13" s="119"/>
      <c r="FWK13" s="119"/>
      <c r="FWL13" s="119"/>
      <c r="FWM13" s="120"/>
      <c r="FWN13" s="120"/>
      <c r="FWO13" s="120"/>
      <c r="FWP13" s="59"/>
      <c r="FWQ13" s="119"/>
      <c r="FWR13" s="119"/>
      <c r="FWS13" s="119"/>
      <c r="FWT13" s="119"/>
      <c r="FWU13" s="119"/>
      <c r="FWV13" s="119"/>
      <c r="FWW13" s="119"/>
      <c r="FWX13" s="119"/>
      <c r="FWY13" s="119"/>
      <c r="FWZ13" s="119"/>
      <c r="FXA13" s="119"/>
      <c r="FXB13" s="119"/>
      <c r="FXC13" s="120"/>
      <c r="FXD13" s="120"/>
      <c r="FXE13" s="120"/>
      <c r="FXF13" s="59"/>
      <c r="FXG13" s="119"/>
      <c r="FXH13" s="119"/>
      <c r="FXI13" s="119"/>
      <c r="FXJ13" s="119"/>
      <c r="FXK13" s="119"/>
      <c r="FXL13" s="119"/>
      <c r="FXM13" s="119"/>
      <c r="FXN13" s="119"/>
      <c r="FXO13" s="119"/>
      <c r="FXP13" s="119"/>
      <c r="FXQ13" s="119"/>
      <c r="FXR13" s="119"/>
      <c r="FXS13" s="120"/>
      <c r="FXT13" s="120"/>
      <c r="FXU13" s="120"/>
      <c r="FXV13" s="59"/>
      <c r="FXW13" s="119"/>
      <c r="FXX13" s="119"/>
      <c r="FXY13" s="119"/>
      <c r="FXZ13" s="119"/>
      <c r="FYA13" s="119"/>
      <c r="FYB13" s="119"/>
      <c r="FYC13" s="119"/>
      <c r="FYD13" s="119"/>
      <c r="FYE13" s="119"/>
      <c r="FYF13" s="119"/>
      <c r="FYG13" s="119"/>
      <c r="FYH13" s="119"/>
      <c r="FYI13" s="120"/>
      <c r="FYJ13" s="120"/>
      <c r="FYK13" s="120"/>
      <c r="FYL13" s="59"/>
      <c r="FYM13" s="119"/>
      <c r="FYN13" s="119"/>
      <c r="FYO13" s="119"/>
      <c r="FYP13" s="119"/>
      <c r="FYQ13" s="119"/>
      <c r="FYR13" s="119"/>
      <c r="FYS13" s="119"/>
      <c r="FYT13" s="119"/>
      <c r="FYU13" s="119"/>
      <c r="FYV13" s="119"/>
      <c r="FYW13" s="119"/>
      <c r="FYX13" s="119"/>
      <c r="FYY13" s="120"/>
      <c r="FYZ13" s="120"/>
      <c r="FZA13" s="120"/>
      <c r="FZB13" s="59"/>
      <c r="FZC13" s="119"/>
      <c r="FZD13" s="119"/>
      <c r="FZE13" s="119"/>
      <c r="FZF13" s="119"/>
      <c r="FZG13" s="119"/>
      <c r="FZH13" s="119"/>
      <c r="FZI13" s="119"/>
      <c r="FZJ13" s="119"/>
      <c r="FZK13" s="119"/>
      <c r="FZL13" s="119"/>
      <c r="FZM13" s="119"/>
      <c r="FZN13" s="119"/>
      <c r="FZO13" s="120"/>
      <c r="FZP13" s="120"/>
      <c r="FZQ13" s="120"/>
      <c r="FZR13" s="59"/>
      <c r="FZS13" s="119"/>
      <c r="FZT13" s="119"/>
      <c r="FZU13" s="119"/>
      <c r="FZV13" s="119"/>
      <c r="FZW13" s="119"/>
      <c r="FZX13" s="119"/>
      <c r="FZY13" s="119"/>
      <c r="FZZ13" s="119"/>
      <c r="GAA13" s="119"/>
      <c r="GAB13" s="119"/>
      <c r="GAC13" s="119"/>
      <c r="GAD13" s="119"/>
      <c r="GAE13" s="120"/>
      <c r="GAF13" s="120"/>
      <c r="GAG13" s="120"/>
      <c r="GAH13" s="59"/>
      <c r="GAI13" s="119"/>
      <c r="GAJ13" s="119"/>
      <c r="GAK13" s="119"/>
      <c r="GAL13" s="119"/>
      <c r="GAM13" s="119"/>
      <c r="GAN13" s="119"/>
      <c r="GAO13" s="119"/>
      <c r="GAP13" s="119"/>
      <c r="GAQ13" s="119"/>
      <c r="GAR13" s="119"/>
      <c r="GAS13" s="119"/>
      <c r="GAT13" s="119"/>
      <c r="GAU13" s="120"/>
      <c r="GAV13" s="120"/>
      <c r="GAW13" s="120"/>
      <c r="GAX13" s="59"/>
      <c r="GAY13" s="119"/>
      <c r="GAZ13" s="119"/>
      <c r="GBA13" s="119"/>
      <c r="GBB13" s="119"/>
      <c r="GBC13" s="119"/>
      <c r="GBD13" s="119"/>
      <c r="GBE13" s="119"/>
      <c r="GBF13" s="119"/>
      <c r="GBG13" s="119"/>
      <c r="GBH13" s="119"/>
      <c r="GBI13" s="119"/>
      <c r="GBJ13" s="119"/>
      <c r="GBK13" s="120"/>
      <c r="GBL13" s="120"/>
      <c r="GBM13" s="120"/>
      <c r="GBN13" s="59"/>
      <c r="GBO13" s="119"/>
      <c r="GBP13" s="119"/>
      <c r="GBQ13" s="119"/>
      <c r="GBR13" s="119"/>
      <c r="GBS13" s="119"/>
      <c r="GBT13" s="119"/>
      <c r="GBU13" s="119"/>
      <c r="GBV13" s="119"/>
      <c r="GBW13" s="119"/>
      <c r="GBX13" s="119"/>
      <c r="GBY13" s="119"/>
      <c r="GBZ13" s="119"/>
      <c r="GCA13" s="120"/>
      <c r="GCB13" s="120"/>
      <c r="GCC13" s="120"/>
      <c r="GCD13" s="59"/>
      <c r="GCE13" s="119"/>
      <c r="GCF13" s="119"/>
      <c r="GCG13" s="119"/>
      <c r="GCH13" s="119"/>
      <c r="GCI13" s="119"/>
      <c r="GCJ13" s="119"/>
      <c r="GCK13" s="119"/>
      <c r="GCL13" s="119"/>
      <c r="GCM13" s="119"/>
      <c r="GCN13" s="119"/>
      <c r="GCO13" s="119"/>
      <c r="GCP13" s="119"/>
      <c r="GCQ13" s="120"/>
      <c r="GCR13" s="120"/>
      <c r="GCS13" s="120"/>
      <c r="GCT13" s="59"/>
      <c r="GCU13" s="119"/>
      <c r="GCV13" s="119"/>
      <c r="GCW13" s="119"/>
      <c r="GCX13" s="119"/>
      <c r="GCY13" s="119"/>
      <c r="GCZ13" s="119"/>
      <c r="GDA13" s="119"/>
      <c r="GDB13" s="119"/>
      <c r="GDC13" s="119"/>
      <c r="GDD13" s="119"/>
      <c r="GDE13" s="119"/>
      <c r="GDF13" s="119"/>
      <c r="GDG13" s="120"/>
      <c r="GDH13" s="120"/>
      <c r="GDI13" s="120"/>
      <c r="GDJ13" s="59"/>
      <c r="GDK13" s="119"/>
      <c r="GDL13" s="119"/>
      <c r="GDM13" s="119"/>
      <c r="GDN13" s="119"/>
      <c r="GDO13" s="119"/>
      <c r="GDP13" s="119"/>
      <c r="GDQ13" s="119"/>
      <c r="GDR13" s="119"/>
      <c r="GDS13" s="119"/>
      <c r="GDT13" s="119"/>
      <c r="GDU13" s="119"/>
      <c r="GDV13" s="119"/>
      <c r="GDW13" s="120"/>
      <c r="GDX13" s="120"/>
      <c r="GDY13" s="120"/>
      <c r="GDZ13" s="59"/>
      <c r="GEA13" s="119"/>
      <c r="GEB13" s="119"/>
      <c r="GEC13" s="119"/>
      <c r="GED13" s="119"/>
      <c r="GEE13" s="119"/>
      <c r="GEF13" s="119"/>
      <c r="GEG13" s="119"/>
      <c r="GEH13" s="119"/>
      <c r="GEI13" s="119"/>
      <c r="GEJ13" s="119"/>
      <c r="GEK13" s="119"/>
      <c r="GEL13" s="119"/>
      <c r="GEM13" s="120"/>
      <c r="GEN13" s="120"/>
      <c r="GEO13" s="120"/>
      <c r="GEP13" s="59"/>
      <c r="GEQ13" s="119"/>
      <c r="GER13" s="119"/>
      <c r="GES13" s="119"/>
      <c r="GET13" s="119"/>
      <c r="GEU13" s="119"/>
      <c r="GEV13" s="119"/>
      <c r="GEW13" s="119"/>
      <c r="GEX13" s="119"/>
      <c r="GEY13" s="119"/>
      <c r="GEZ13" s="119"/>
      <c r="GFA13" s="119"/>
      <c r="GFB13" s="119"/>
      <c r="GFC13" s="120"/>
      <c r="GFD13" s="120"/>
      <c r="GFE13" s="120"/>
      <c r="GFF13" s="59"/>
      <c r="GFG13" s="119"/>
      <c r="GFH13" s="119"/>
      <c r="GFI13" s="119"/>
      <c r="GFJ13" s="119"/>
      <c r="GFK13" s="119"/>
      <c r="GFL13" s="119"/>
      <c r="GFM13" s="119"/>
      <c r="GFN13" s="119"/>
      <c r="GFO13" s="119"/>
      <c r="GFP13" s="119"/>
      <c r="GFQ13" s="119"/>
      <c r="GFR13" s="119"/>
      <c r="GFS13" s="120"/>
      <c r="GFT13" s="120"/>
      <c r="GFU13" s="120"/>
      <c r="GFV13" s="59"/>
      <c r="GFW13" s="119"/>
      <c r="GFX13" s="119"/>
      <c r="GFY13" s="119"/>
      <c r="GFZ13" s="119"/>
      <c r="GGA13" s="119"/>
      <c r="GGB13" s="119"/>
      <c r="GGC13" s="119"/>
      <c r="GGD13" s="119"/>
      <c r="GGE13" s="119"/>
      <c r="GGF13" s="119"/>
      <c r="GGG13" s="119"/>
      <c r="GGH13" s="119"/>
      <c r="GGI13" s="120"/>
      <c r="GGJ13" s="120"/>
      <c r="GGK13" s="120"/>
      <c r="GGL13" s="59"/>
      <c r="GGM13" s="119"/>
      <c r="GGN13" s="119"/>
      <c r="GGO13" s="119"/>
      <c r="GGP13" s="119"/>
      <c r="GGQ13" s="119"/>
      <c r="GGR13" s="119"/>
      <c r="GGS13" s="119"/>
      <c r="GGT13" s="119"/>
      <c r="GGU13" s="119"/>
      <c r="GGV13" s="119"/>
      <c r="GGW13" s="119"/>
      <c r="GGX13" s="119"/>
      <c r="GGY13" s="120"/>
      <c r="GGZ13" s="120"/>
      <c r="GHA13" s="120"/>
      <c r="GHB13" s="59"/>
      <c r="GHC13" s="119"/>
      <c r="GHD13" s="119"/>
      <c r="GHE13" s="119"/>
      <c r="GHF13" s="119"/>
      <c r="GHG13" s="119"/>
      <c r="GHH13" s="119"/>
      <c r="GHI13" s="119"/>
      <c r="GHJ13" s="119"/>
      <c r="GHK13" s="119"/>
      <c r="GHL13" s="119"/>
      <c r="GHM13" s="119"/>
      <c r="GHN13" s="119"/>
      <c r="GHO13" s="120"/>
      <c r="GHP13" s="120"/>
      <c r="GHQ13" s="120"/>
      <c r="GHR13" s="59"/>
      <c r="GHS13" s="119"/>
      <c r="GHT13" s="119"/>
      <c r="GHU13" s="119"/>
      <c r="GHV13" s="119"/>
      <c r="GHW13" s="119"/>
      <c r="GHX13" s="119"/>
      <c r="GHY13" s="119"/>
      <c r="GHZ13" s="119"/>
      <c r="GIA13" s="119"/>
      <c r="GIB13" s="119"/>
      <c r="GIC13" s="119"/>
      <c r="GID13" s="119"/>
      <c r="GIE13" s="120"/>
      <c r="GIF13" s="120"/>
      <c r="GIG13" s="120"/>
      <c r="GIH13" s="59"/>
      <c r="GII13" s="119"/>
      <c r="GIJ13" s="119"/>
      <c r="GIK13" s="119"/>
      <c r="GIL13" s="119"/>
      <c r="GIM13" s="119"/>
      <c r="GIN13" s="119"/>
      <c r="GIO13" s="119"/>
      <c r="GIP13" s="119"/>
      <c r="GIQ13" s="119"/>
      <c r="GIR13" s="119"/>
      <c r="GIS13" s="119"/>
      <c r="GIT13" s="119"/>
      <c r="GIU13" s="120"/>
      <c r="GIV13" s="120"/>
      <c r="GIW13" s="120"/>
      <c r="GIX13" s="59"/>
      <c r="GIY13" s="119"/>
      <c r="GIZ13" s="119"/>
      <c r="GJA13" s="119"/>
      <c r="GJB13" s="119"/>
      <c r="GJC13" s="119"/>
      <c r="GJD13" s="119"/>
      <c r="GJE13" s="119"/>
      <c r="GJF13" s="119"/>
      <c r="GJG13" s="119"/>
      <c r="GJH13" s="119"/>
      <c r="GJI13" s="119"/>
      <c r="GJJ13" s="119"/>
      <c r="GJK13" s="120"/>
      <c r="GJL13" s="120"/>
      <c r="GJM13" s="120"/>
      <c r="GJN13" s="59"/>
      <c r="GJO13" s="119"/>
      <c r="GJP13" s="119"/>
      <c r="GJQ13" s="119"/>
      <c r="GJR13" s="119"/>
      <c r="GJS13" s="119"/>
      <c r="GJT13" s="119"/>
      <c r="GJU13" s="119"/>
      <c r="GJV13" s="119"/>
      <c r="GJW13" s="119"/>
      <c r="GJX13" s="119"/>
      <c r="GJY13" s="119"/>
      <c r="GJZ13" s="119"/>
      <c r="GKA13" s="120"/>
      <c r="GKB13" s="120"/>
      <c r="GKC13" s="120"/>
      <c r="GKD13" s="59"/>
      <c r="GKE13" s="119"/>
      <c r="GKF13" s="119"/>
      <c r="GKG13" s="119"/>
      <c r="GKH13" s="119"/>
      <c r="GKI13" s="119"/>
      <c r="GKJ13" s="119"/>
      <c r="GKK13" s="119"/>
      <c r="GKL13" s="119"/>
      <c r="GKM13" s="119"/>
      <c r="GKN13" s="119"/>
      <c r="GKO13" s="119"/>
      <c r="GKP13" s="119"/>
      <c r="GKQ13" s="120"/>
      <c r="GKR13" s="120"/>
      <c r="GKS13" s="120"/>
      <c r="GKT13" s="59"/>
      <c r="GKU13" s="119"/>
      <c r="GKV13" s="119"/>
      <c r="GKW13" s="119"/>
      <c r="GKX13" s="119"/>
      <c r="GKY13" s="119"/>
      <c r="GKZ13" s="119"/>
      <c r="GLA13" s="119"/>
      <c r="GLB13" s="119"/>
      <c r="GLC13" s="119"/>
      <c r="GLD13" s="119"/>
      <c r="GLE13" s="119"/>
      <c r="GLF13" s="119"/>
      <c r="GLG13" s="120"/>
      <c r="GLH13" s="120"/>
      <c r="GLI13" s="120"/>
      <c r="GLJ13" s="59"/>
      <c r="GLK13" s="119"/>
      <c r="GLL13" s="119"/>
      <c r="GLM13" s="119"/>
      <c r="GLN13" s="119"/>
      <c r="GLO13" s="119"/>
      <c r="GLP13" s="119"/>
      <c r="GLQ13" s="119"/>
      <c r="GLR13" s="119"/>
      <c r="GLS13" s="119"/>
      <c r="GLT13" s="119"/>
      <c r="GLU13" s="119"/>
      <c r="GLV13" s="119"/>
      <c r="GLW13" s="120"/>
      <c r="GLX13" s="120"/>
      <c r="GLY13" s="120"/>
      <c r="GLZ13" s="59"/>
      <c r="GMA13" s="119"/>
      <c r="GMB13" s="119"/>
      <c r="GMC13" s="119"/>
      <c r="GMD13" s="119"/>
      <c r="GME13" s="119"/>
      <c r="GMF13" s="119"/>
      <c r="GMG13" s="119"/>
      <c r="GMH13" s="119"/>
      <c r="GMI13" s="119"/>
      <c r="GMJ13" s="119"/>
      <c r="GMK13" s="119"/>
      <c r="GML13" s="119"/>
      <c r="GMM13" s="120"/>
      <c r="GMN13" s="120"/>
      <c r="GMO13" s="120"/>
      <c r="GMP13" s="59"/>
      <c r="GMQ13" s="119"/>
      <c r="GMR13" s="119"/>
      <c r="GMS13" s="119"/>
      <c r="GMT13" s="119"/>
      <c r="GMU13" s="119"/>
      <c r="GMV13" s="119"/>
      <c r="GMW13" s="119"/>
      <c r="GMX13" s="119"/>
      <c r="GMY13" s="119"/>
      <c r="GMZ13" s="119"/>
      <c r="GNA13" s="119"/>
      <c r="GNB13" s="119"/>
      <c r="GNC13" s="120"/>
      <c r="GND13" s="120"/>
      <c r="GNE13" s="120"/>
      <c r="GNF13" s="59"/>
      <c r="GNG13" s="119"/>
      <c r="GNH13" s="119"/>
      <c r="GNI13" s="119"/>
      <c r="GNJ13" s="119"/>
      <c r="GNK13" s="119"/>
      <c r="GNL13" s="119"/>
      <c r="GNM13" s="119"/>
      <c r="GNN13" s="119"/>
      <c r="GNO13" s="119"/>
      <c r="GNP13" s="119"/>
      <c r="GNQ13" s="119"/>
      <c r="GNR13" s="119"/>
      <c r="GNS13" s="120"/>
      <c r="GNT13" s="120"/>
      <c r="GNU13" s="120"/>
      <c r="GNV13" s="59"/>
      <c r="GNW13" s="119"/>
      <c r="GNX13" s="119"/>
      <c r="GNY13" s="119"/>
      <c r="GNZ13" s="119"/>
      <c r="GOA13" s="119"/>
      <c r="GOB13" s="119"/>
      <c r="GOC13" s="119"/>
      <c r="GOD13" s="119"/>
      <c r="GOE13" s="119"/>
      <c r="GOF13" s="119"/>
      <c r="GOG13" s="119"/>
      <c r="GOH13" s="119"/>
      <c r="GOI13" s="120"/>
      <c r="GOJ13" s="120"/>
      <c r="GOK13" s="120"/>
      <c r="GOL13" s="59"/>
      <c r="GOM13" s="119"/>
      <c r="GON13" s="119"/>
      <c r="GOO13" s="119"/>
      <c r="GOP13" s="119"/>
      <c r="GOQ13" s="119"/>
      <c r="GOR13" s="119"/>
      <c r="GOS13" s="119"/>
      <c r="GOT13" s="119"/>
      <c r="GOU13" s="119"/>
      <c r="GOV13" s="119"/>
      <c r="GOW13" s="119"/>
      <c r="GOX13" s="119"/>
      <c r="GOY13" s="120"/>
      <c r="GOZ13" s="120"/>
      <c r="GPA13" s="120"/>
      <c r="GPB13" s="59"/>
      <c r="GPC13" s="119"/>
      <c r="GPD13" s="119"/>
      <c r="GPE13" s="119"/>
      <c r="GPF13" s="119"/>
      <c r="GPG13" s="119"/>
      <c r="GPH13" s="119"/>
      <c r="GPI13" s="119"/>
      <c r="GPJ13" s="119"/>
      <c r="GPK13" s="119"/>
      <c r="GPL13" s="119"/>
      <c r="GPM13" s="119"/>
      <c r="GPN13" s="119"/>
      <c r="GPO13" s="120"/>
      <c r="GPP13" s="120"/>
      <c r="GPQ13" s="120"/>
      <c r="GPR13" s="59"/>
      <c r="GPS13" s="119"/>
      <c r="GPT13" s="119"/>
      <c r="GPU13" s="119"/>
      <c r="GPV13" s="119"/>
      <c r="GPW13" s="119"/>
      <c r="GPX13" s="119"/>
      <c r="GPY13" s="119"/>
      <c r="GPZ13" s="119"/>
      <c r="GQA13" s="119"/>
      <c r="GQB13" s="119"/>
      <c r="GQC13" s="119"/>
      <c r="GQD13" s="119"/>
      <c r="GQE13" s="120"/>
      <c r="GQF13" s="120"/>
      <c r="GQG13" s="120"/>
      <c r="GQH13" s="59"/>
      <c r="GQI13" s="119"/>
      <c r="GQJ13" s="119"/>
      <c r="GQK13" s="119"/>
      <c r="GQL13" s="119"/>
      <c r="GQM13" s="119"/>
      <c r="GQN13" s="119"/>
      <c r="GQO13" s="119"/>
      <c r="GQP13" s="119"/>
      <c r="GQQ13" s="119"/>
      <c r="GQR13" s="119"/>
      <c r="GQS13" s="119"/>
      <c r="GQT13" s="119"/>
      <c r="GQU13" s="120"/>
      <c r="GQV13" s="120"/>
      <c r="GQW13" s="120"/>
      <c r="GQX13" s="59"/>
      <c r="GQY13" s="119"/>
      <c r="GQZ13" s="119"/>
      <c r="GRA13" s="119"/>
      <c r="GRB13" s="119"/>
      <c r="GRC13" s="119"/>
      <c r="GRD13" s="119"/>
      <c r="GRE13" s="119"/>
      <c r="GRF13" s="119"/>
      <c r="GRG13" s="119"/>
      <c r="GRH13" s="119"/>
      <c r="GRI13" s="119"/>
      <c r="GRJ13" s="119"/>
      <c r="GRK13" s="120"/>
      <c r="GRL13" s="120"/>
      <c r="GRM13" s="120"/>
      <c r="GRN13" s="59"/>
      <c r="GRO13" s="119"/>
      <c r="GRP13" s="119"/>
      <c r="GRQ13" s="119"/>
      <c r="GRR13" s="119"/>
      <c r="GRS13" s="119"/>
      <c r="GRT13" s="119"/>
      <c r="GRU13" s="119"/>
      <c r="GRV13" s="119"/>
      <c r="GRW13" s="119"/>
      <c r="GRX13" s="119"/>
      <c r="GRY13" s="119"/>
      <c r="GRZ13" s="119"/>
      <c r="GSA13" s="120"/>
      <c r="GSB13" s="120"/>
      <c r="GSC13" s="120"/>
      <c r="GSD13" s="59"/>
      <c r="GSE13" s="119"/>
      <c r="GSF13" s="119"/>
      <c r="GSG13" s="119"/>
      <c r="GSH13" s="119"/>
      <c r="GSI13" s="119"/>
      <c r="GSJ13" s="119"/>
      <c r="GSK13" s="119"/>
      <c r="GSL13" s="119"/>
      <c r="GSM13" s="119"/>
      <c r="GSN13" s="119"/>
      <c r="GSO13" s="119"/>
      <c r="GSP13" s="119"/>
      <c r="GSQ13" s="120"/>
      <c r="GSR13" s="120"/>
      <c r="GSS13" s="120"/>
      <c r="GST13" s="59"/>
      <c r="GSU13" s="119"/>
      <c r="GSV13" s="119"/>
      <c r="GSW13" s="119"/>
      <c r="GSX13" s="119"/>
      <c r="GSY13" s="119"/>
      <c r="GSZ13" s="119"/>
      <c r="GTA13" s="119"/>
      <c r="GTB13" s="119"/>
      <c r="GTC13" s="119"/>
      <c r="GTD13" s="119"/>
      <c r="GTE13" s="119"/>
      <c r="GTF13" s="119"/>
      <c r="GTG13" s="120"/>
      <c r="GTH13" s="120"/>
      <c r="GTI13" s="120"/>
      <c r="GTJ13" s="59"/>
      <c r="GTK13" s="119"/>
      <c r="GTL13" s="119"/>
      <c r="GTM13" s="119"/>
      <c r="GTN13" s="119"/>
      <c r="GTO13" s="119"/>
      <c r="GTP13" s="119"/>
      <c r="GTQ13" s="119"/>
      <c r="GTR13" s="119"/>
      <c r="GTS13" s="119"/>
      <c r="GTT13" s="119"/>
      <c r="GTU13" s="119"/>
      <c r="GTV13" s="119"/>
      <c r="GTW13" s="120"/>
      <c r="GTX13" s="120"/>
      <c r="GTY13" s="120"/>
      <c r="GTZ13" s="59"/>
      <c r="GUA13" s="119"/>
      <c r="GUB13" s="119"/>
      <c r="GUC13" s="119"/>
      <c r="GUD13" s="119"/>
      <c r="GUE13" s="119"/>
      <c r="GUF13" s="119"/>
      <c r="GUG13" s="119"/>
      <c r="GUH13" s="119"/>
      <c r="GUI13" s="119"/>
      <c r="GUJ13" s="119"/>
      <c r="GUK13" s="119"/>
      <c r="GUL13" s="119"/>
      <c r="GUM13" s="120"/>
      <c r="GUN13" s="120"/>
      <c r="GUO13" s="120"/>
      <c r="GUP13" s="59"/>
      <c r="GUQ13" s="119"/>
      <c r="GUR13" s="119"/>
      <c r="GUS13" s="119"/>
      <c r="GUT13" s="119"/>
      <c r="GUU13" s="119"/>
      <c r="GUV13" s="119"/>
      <c r="GUW13" s="119"/>
      <c r="GUX13" s="119"/>
      <c r="GUY13" s="119"/>
      <c r="GUZ13" s="119"/>
      <c r="GVA13" s="119"/>
      <c r="GVB13" s="119"/>
      <c r="GVC13" s="120"/>
      <c r="GVD13" s="120"/>
      <c r="GVE13" s="120"/>
      <c r="GVF13" s="59"/>
      <c r="GVG13" s="119"/>
      <c r="GVH13" s="119"/>
      <c r="GVI13" s="119"/>
      <c r="GVJ13" s="119"/>
      <c r="GVK13" s="119"/>
      <c r="GVL13" s="119"/>
      <c r="GVM13" s="119"/>
      <c r="GVN13" s="119"/>
      <c r="GVO13" s="119"/>
      <c r="GVP13" s="119"/>
      <c r="GVQ13" s="119"/>
      <c r="GVR13" s="119"/>
      <c r="GVS13" s="120"/>
      <c r="GVT13" s="120"/>
      <c r="GVU13" s="120"/>
      <c r="GVV13" s="59"/>
      <c r="GVW13" s="119"/>
      <c r="GVX13" s="119"/>
      <c r="GVY13" s="119"/>
      <c r="GVZ13" s="119"/>
      <c r="GWA13" s="119"/>
      <c r="GWB13" s="119"/>
      <c r="GWC13" s="119"/>
      <c r="GWD13" s="119"/>
      <c r="GWE13" s="119"/>
      <c r="GWF13" s="119"/>
      <c r="GWG13" s="119"/>
      <c r="GWH13" s="119"/>
      <c r="GWI13" s="120"/>
      <c r="GWJ13" s="120"/>
      <c r="GWK13" s="120"/>
      <c r="GWL13" s="59"/>
      <c r="GWM13" s="119"/>
      <c r="GWN13" s="119"/>
      <c r="GWO13" s="119"/>
      <c r="GWP13" s="119"/>
      <c r="GWQ13" s="119"/>
      <c r="GWR13" s="119"/>
      <c r="GWS13" s="119"/>
      <c r="GWT13" s="119"/>
      <c r="GWU13" s="119"/>
      <c r="GWV13" s="119"/>
      <c r="GWW13" s="119"/>
      <c r="GWX13" s="119"/>
      <c r="GWY13" s="120"/>
      <c r="GWZ13" s="120"/>
      <c r="GXA13" s="120"/>
      <c r="GXB13" s="59"/>
      <c r="GXC13" s="119"/>
      <c r="GXD13" s="119"/>
      <c r="GXE13" s="119"/>
      <c r="GXF13" s="119"/>
      <c r="GXG13" s="119"/>
      <c r="GXH13" s="119"/>
      <c r="GXI13" s="119"/>
      <c r="GXJ13" s="119"/>
      <c r="GXK13" s="119"/>
      <c r="GXL13" s="119"/>
      <c r="GXM13" s="119"/>
      <c r="GXN13" s="119"/>
      <c r="GXO13" s="120"/>
      <c r="GXP13" s="120"/>
      <c r="GXQ13" s="120"/>
      <c r="GXR13" s="59"/>
      <c r="GXS13" s="119"/>
      <c r="GXT13" s="119"/>
      <c r="GXU13" s="119"/>
      <c r="GXV13" s="119"/>
      <c r="GXW13" s="119"/>
      <c r="GXX13" s="119"/>
      <c r="GXY13" s="119"/>
      <c r="GXZ13" s="119"/>
      <c r="GYA13" s="119"/>
      <c r="GYB13" s="119"/>
      <c r="GYC13" s="119"/>
      <c r="GYD13" s="119"/>
      <c r="GYE13" s="120"/>
      <c r="GYF13" s="120"/>
      <c r="GYG13" s="120"/>
      <c r="GYH13" s="59"/>
      <c r="GYI13" s="119"/>
      <c r="GYJ13" s="119"/>
      <c r="GYK13" s="119"/>
      <c r="GYL13" s="119"/>
      <c r="GYM13" s="119"/>
      <c r="GYN13" s="119"/>
      <c r="GYO13" s="119"/>
      <c r="GYP13" s="119"/>
      <c r="GYQ13" s="119"/>
      <c r="GYR13" s="119"/>
      <c r="GYS13" s="119"/>
      <c r="GYT13" s="119"/>
      <c r="GYU13" s="120"/>
      <c r="GYV13" s="120"/>
      <c r="GYW13" s="120"/>
      <c r="GYX13" s="59"/>
      <c r="GYY13" s="119"/>
      <c r="GYZ13" s="119"/>
      <c r="GZA13" s="119"/>
      <c r="GZB13" s="119"/>
      <c r="GZC13" s="119"/>
      <c r="GZD13" s="119"/>
      <c r="GZE13" s="119"/>
      <c r="GZF13" s="119"/>
      <c r="GZG13" s="119"/>
      <c r="GZH13" s="119"/>
      <c r="GZI13" s="119"/>
      <c r="GZJ13" s="119"/>
      <c r="GZK13" s="120"/>
      <c r="GZL13" s="120"/>
      <c r="GZM13" s="120"/>
      <c r="GZN13" s="59"/>
      <c r="GZO13" s="119"/>
      <c r="GZP13" s="119"/>
      <c r="GZQ13" s="119"/>
      <c r="GZR13" s="119"/>
      <c r="GZS13" s="119"/>
      <c r="GZT13" s="119"/>
      <c r="GZU13" s="119"/>
      <c r="GZV13" s="119"/>
      <c r="GZW13" s="119"/>
      <c r="GZX13" s="119"/>
      <c r="GZY13" s="119"/>
      <c r="GZZ13" s="119"/>
      <c r="HAA13" s="120"/>
      <c r="HAB13" s="120"/>
      <c r="HAC13" s="120"/>
      <c r="HAD13" s="59"/>
      <c r="HAE13" s="119"/>
      <c r="HAF13" s="119"/>
      <c r="HAG13" s="119"/>
      <c r="HAH13" s="119"/>
      <c r="HAI13" s="119"/>
      <c r="HAJ13" s="119"/>
      <c r="HAK13" s="119"/>
      <c r="HAL13" s="119"/>
      <c r="HAM13" s="119"/>
      <c r="HAN13" s="119"/>
      <c r="HAO13" s="119"/>
      <c r="HAP13" s="119"/>
      <c r="HAQ13" s="120"/>
      <c r="HAR13" s="120"/>
      <c r="HAS13" s="120"/>
      <c r="HAT13" s="59"/>
      <c r="HAU13" s="119"/>
      <c r="HAV13" s="119"/>
      <c r="HAW13" s="119"/>
      <c r="HAX13" s="119"/>
      <c r="HAY13" s="119"/>
      <c r="HAZ13" s="119"/>
      <c r="HBA13" s="119"/>
      <c r="HBB13" s="119"/>
      <c r="HBC13" s="119"/>
      <c r="HBD13" s="119"/>
      <c r="HBE13" s="119"/>
      <c r="HBF13" s="119"/>
      <c r="HBG13" s="120"/>
      <c r="HBH13" s="120"/>
      <c r="HBI13" s="120"/>
      <c r="HBJ13" s="59"/>
      <c r="HBK13" s="119"/>
      <c r="HBL13" s="119"/>
      <c r="HBM13" s="119"/>
      <c r="HBN13" s="119"/>
      <c r="HBO13" s="119"/>
      <c r="HBP13" s="119"/>
      <c r="HBQ13" s="119"/>
      <c r="HBR13" s="119"/>
      <c r="HBS13" s="119"/>
      <c r="HBT13" s="119"/>
      <c r="HBU13" s="119"/>
      <c r="HBV13" s="119"/>
      <c r="HBW13" s="120"/>
      <c r="HBX13" s="120"/>
      <c r="HBY13" s="120"/>
      <c r="HBZ13" s="59"/>
      <c r="HCA13" s="119"/>
      <c r="HCB13" s="119"/>
      <c r="HCC13" s="119"/>
      <c r="HCD13" s="119"/>
      <c r="HCE13" s="119"/>
      <c r="HCF13" s="119"/>
      <c r="HCG13" s="119"/>
      <c r="HCH13" s="119"/>
      <c r="HCI13" s="119"/>
      <c r="HCJ13" s="119"/>
      <c r="HCK13" s="119"/>
      <c r="HCL13" s="119"/>
      <c r="HCM13" s="120"/>
      <c r="HCN13" s="120"/>
      <c r="HCO13" s="120"/>
      <c r="HCP13" s="59"/>
      <c r="HCQ13" s="119"/>
      <c r="HCR13" s="119"/>
      <c r="HCS13" s="119"/>
      <c r="HCT13" s="119"/>
      <c r="HCU13" s="119"/>
      <c r="HCV13" s="119"/>
      <c r="HCW13" s="119"/>
      <c r="HCX13" s="119"/>
      <c r="HCY13" s="119"/>
      <c r="HCZ13" s="119"/>
      <c r="HDA13" s="119"/>
      <c r="HDB13" s="119"/>
      <c r="HDC13" s="120"/>
      <c r="HDD13" s="120"/>
      <c r="HDE13" s="120"/>
      <c r="HDF13" s="59"/>
      <c r="HDG13" s="119"/>
      <c r="HDH13" s="119"/>
      <c r="HDI13" s="119"/>
      <c r="HDJ13" s="119"/>
      <c r="HDK13" s="119"/>
      <c r="HDL13" s="119"/>
      <c r="HDM13" s="119"/>
      <c r="HDN13" s="119"/>
      <c r="HDO13" s="119"/>
      <c r="HDP13" s="119"/>
      <c r="HDQ13" s="119"/>
      <c r="HDR13" s="119"/>
      <c r="HDS13" s="120"/>
      <c r="HDT13" s="120"/>
      <c r="HDU13" s="120"/>
      <c r="HDV13" s="59"/>
      <c r="HDW13" s="119"/>
      <c r="HDX13" s="119"/>
      <c r="HDY13" s="119"/>
      <c r="HDZ13" s="119"/>
      <c r="HEA13" s="119"/>
      <c r="HEB13" s="119"/>
      <c r="HEC13" s="119"/>
      <c r="HED13" s="119"/>
      <c r="HEE13" s="119"/>
      <c r="HEF13" s="119"/>
      <c r="HEG13" s="119"/>
      <c r="HEH13" s="119"/>
      <c r="HEI13" s="120"/>
      <c r="HEJ13" s="120"/>
      <c r="HEK13" s="120"/>
      <c r="HEL13" s="59"/>
      <c r="HEM13" s="119"/>
      <c r="HEN13" s="119"/>
      <c r="HEO13" s="119"/>
      <c r="HEP13" s="119"/>
      <c r="HEQ13" s="119"/>
      <c r="HER13" s="119"/>
      <c r="HES13" s="119"/>
      <c r="HET13" s="119"/>
      <c r="HEU13" s="119"/>
      <c r="HEV13" s="119"/>
      <c r="HEW13" s="119"/>
      <c r="HEX13" s="119"/>
      <c r="HEY13" s="120"/>
      <c r="HEZ13" s="120"/>
      <c r="HFA13" s="120"/>
      <c r="HFB13" s="59"/>
      <c r="HFC13" s="119"/>
      <c r="HFD13" s="119"/>
      <c r="HFE13" s="119"/>
      <c r="HFF13" s="119"/>
      <c r="HFG13" s="119"/>
      <c r="HFH13" s="119"/>
      <c r="HFI13" s="119"/>
      <c r="HFJ13" s="119"/>
      <c r="HFK13" s="119"/>
      <c r="HFL13" s="119"/>
      <c r="HFM13" s="119"/>
      <c r="HFN13" s="119"/>
      <c r="HFO13" s="120"/>
      <c r="HFP13" s="120"/>
      <c r="HFQ13" s="120"/>
      <c r="HFR13" s="59"/>
      <c r="HFS13" s="119"/>
      <c r="HFT13" s="119"/>
      <c r="HFU13" s="119"/>
      <c r="HFV13" s="119"/>
      <c r="HFW13" s="119"/>
      <c r="HFX13" s="119"/>
      <c r="HFY13" s="119"/>
      <c r="HFZ13" s="119"/>
      <c r="HGA13" s="119"/>
      <c r="HGB13" s="119"/>
      <c r="HGC13" s="119"/>
      <c r="HGD13" s="119"/>
      <c r="HGE13" s="120"/>
      <c r="HGF13" s="120"/>
      <c r="HGG13" s="120"/>
      <c r="HGH13" s="59"/>
      <c r="HGI13" s="119"/>
      <c r="HGJ13" s="119"/>
      <c r="HGK13" s="119"/>
      <c r="HGL13" s="119"/>
      <c r="HGM13" s="119"/>
      <c r="HGN13" s="119"/>
      <c r="HGO13" s="119"/>
      <c r="HGP13" s="119"/>
      <c r="HGQ13" s="119"/>
      <c r="HGR13" s="119"/>
      <c r="HGS13" s="119"/>
      <c r="HGT13" s="119"/>
      <c r="HGU13" s="120"/>
      <c r="HGV13" s="120"/>
      <c r="HGW13" s="120"/>
      <c r="HGX13" s="59"/>
      <c r="HGY13" s="119"/>
      <c r="HGZ13" s="119"/>
      <c r="HHA13" s="119"/>
      <c r="HHB13" s="119"/>
      <c r="HHC13" s="119"/>
      <c r="HHD13" s="119"/>
      <c r="HHE13" s="119"/>
      <c r="HHF13" s="119"/>
      <c r="HHG13" s="119"/>
      <c r="HHH13" s="119"/>
      <c r="HHI13" s="119"/>
      <c r="HHJ13" s="119"/>
      <c r="HHK13" s="120"/>
      <c r="HHL13" s="120"/>
      <c r="HHM13" s="120"/>
      <c r="HHN13" s="59"/>
      <c r="HHO13" s="119"/>
      <c r="HHP13" s="119"/>
      <c r="HHQ13" s="119"/>
      <c r="HHR13" s="119"/>
      <c r="HHS13" s="119"/>
      <c r="HHT13" s="119"/>
      <c r="HHU13" s="119"/>
      <c r="HHV13" s="119"/>
      <c r="HHW13" s="119"/>
      <c r="HHX13" s="119"/>
      <c r="HHY13" s="119"/>
      <c r="HHZ13" s="119"/>
      <c r="HIA13" s="120"/>
      <c r="HIB13" s="120"/>
      <c r="HIC13" s="120"/>
      <c r="HID13" s="59"/>
      <c r="HIE13" s="119"/>
      <c r="HIF13" s="119"/>
      <c r="HIG13" s="119"/>
      <c r="HIH13" s="119"/>
      <c r="HII13" s="119"/>
      <c r="HIJ13" s="119"/>
      <c r="HIK13" s="119"/>
      <c r="HIL13" s="119"/>
      <c r="HIM13" s="119"/>
      <c r="HIN13" s="119"/>
      <c r="HIO13" s="119"/>
      <c r="HIP13" s="119"/>
      <c r="HIQ13" s="120"/>
      <c r="HIR13" s="120"/>
      <c r="HIS13" s="120"/>
      <c r="HIT13" s="59"/>
      <c r="HIU13" s="119"/>
      <c r="HIV13" s="119"/>
      <c r="HIW13" s="119"/>
      <c r="HIX13" s="119"/>
      <c r="HIY13" s="119"/>
      <c r="HIZ13" s="119"/>
      <c r="HJA13" s="119"/>
      <c r="HJB13" s="119"/>
      <c r="HJC13" s="119"/>
      <c r="HJD13" s="119"/>
      <c r="HJE13" s="119"/>
      <c r="HJF13" s="119"/>
      <c r="HJG13" s="120"/>
      <c r="HJH13" s="120"/>
      <c r="HJI13" s="120"/>
      <c r="HJJ13" s="59"/>
      <c r="HJK13" s="119"/>
      <c r="HJL13" s="119"/>
      <c r="HJM13" s="119"/>
      <c r="HJN13" s="119"/>
      <c r="HJO13" s="119"/>
      <c r="HJP13" s="119"/>
      <c r="HJQ13" s="119"/>
      <c r="HJR13" s="119"/>
      <c r="HJS13" s="119"/>
      <c r="HJT13" s="119"/>
      <c r="HJU13" s="119"/>
      <c r="HJV13" s="119"/>
      <c r="HJW13" s="120"/>
      <c r="HJX13" s="120"/>
      <c r="HJY13" s="120"/>
      <c r="HJZ13" s="59"/>
      <c r="HKA13" s="119"/>
      <c r="HKB13" s="119"/>
      <c r="HKC13" s="119"/>
      <c r="HKD13" s="119"/>
      <c r="HKE13" s="119"/>
      <c r="HKF13" s="119"/>
      <c r="HKG13" s="119"/>
      <c r="HKH13" s="119"/>
      <c r="HKI13" s="119"/>
      <c r="HKJ13" s="119"/>
      <c r="HKK13" s="119"/>
      <c r="HKL13" s="119"/>
      <c r="HKM13" s="120"/>
      <c r="HKN13" s="120"/>
      <c r="HKO13" s="120"/>
      <c r="HKP13" s="59"/>
      <c r="HKQ13" s="119"/>
      <c r="HKR13" s="119"/>
      <c r="HKS13" s="119"/>
      <c r="HKT13" s="119"/>
      <c r="HKU13" s="119"/>
      <c r="HKV13" s="119"/>
      <c r="HKW13" s="119"/>
      <c r="HKX13" s="119"/>
      <c r="HKY13" s="119"/>
      <c r="HKZ13" s="119"/>
      <c r="HLA13" s="119"/>
      <c r="HLB13" s="119"/>
      <c r="HLC13" s="120"/>
      <c r="HLD13" s="120"/>
      <c r="HLE13" s="120"/>
      <c r="HLF13" s="59"/>
      <c r="HLG13" s="119"/>
      <c r="HLH13" s="119"/>
      <c r="HLI13" s="119"/>
      <c r="HLJ13" s="119"/>
      <c r="HLK13" s="119"/>
      <c r="HLL13" s="119"/>
      <c r="HLM13" s="119"/>
      <c r="HLN13" s="119"/>
      <c r="HLO13" s="119"/>
      <c r="HLP13" s="119"/>
      <c r="HLQ13" s="119"/>
      <c r="HLR13" s="119"/>
      <c r="HLS13" s="120"/>
      <c r="HLT13" s="120"/>
      <c r="HLU13" s="120"/>
      <c r="HLV13" s="59"/>
      <c r="HLW13" s="119"/>
      <c r="HLX13" s="119"/>
      <c r="HLY13" s="119"/>
      <c r="HLZ13" s="119"/>
      <c r="HMA13" s="119"/>
      <c r="HMB13" s="119"/>
      <c r="HMC13" s="119"/>
      <c r="HMD13" s="119"/>
      <c r="HME13" s="119"/>
      <c r="HMF13" s="119"/>
      <c r="HMG13" s="119"/>
      <c r="HMH13" s="119"/>
      <c r="HMI13" s="120"/>
      <c r="HMJ13" s="120"/>
      <c r="HMK13" s="120"/>
      <c r="HML13" s="59"/>
      <c r="HMM13" s="119"/>
      <c r="HMN13" s="119"/>
      <c r="HMO13" s="119"/>
      <c r="HMP13" s="119"/>
      <c r="HMQ13" s="119"/>
      <c r="HMR13" s="119"/>
      <c r="HMS13" s="119"/>
      <c r="HMT13" s="119"/>
      <c r="HMU13" s="119"/>
      <c r="HMV13" s="119"/>
      <c r="HMW13" s="119"/>
      <c r="HMX13" s="119"/>
      <c r="HMY13" s="120"/>
      <c r="HMZ13" s="120"/>
      <c r="HNA13" s="120"/>
      <c r="HNB13" s="59"/>
      <c r="HNC13" s="119"/>
      <c r="HND13" s="119"/>
      <c r="HNE13" s="119"/>
      <c r="HNF13" s="119"/>
      <c r="HNG13" s="119"/>
      <c r="HNH13" s="119"/>
      <c r="HNI13" s="119"/>
      <c r="HNJ13" s="119"/>
      <c r="HNK13" s="119"/>
      <c r="HNL13" s="119"/>
      <c r="HNM13" s="119"/>
      <c r="HNN13" s="119"/>
      <c r="HNO13" s="120"/>
      <c r="HNP13" s="120"/>
      <c r="HNQ13" s="120"/>
      <c r="HNR13" s="59"/>
      <c r="HNS13" s="119"/>
      <c r="HNT13" s="119"/>
      <c r="HNU13" s="119"/>
      <c r="HNV13" s="119"/>
      <c r="HNW13" s="119"/>
      <c r="HNX13" s="119"/>
      <c r="HNY13" s="119"/>
      <c r="HNZ13" s="119"/>
      <c r="HOA13" s="119"/>
      <c r="HOB13" s="119"/>
      <c r="HOC13" s="119"/>
      <c r="HOD13" s="119"/>
      <c r="HOE13" s="120"/>
      <c r="HOF13" s="120"/>
      <c r="HOG13" s="120"/>
      <c r="HOH13" s="59"/>
      <c r="HOI13" s="119"/>
      <c r="HOJ13" s="119"/>
      <c r="HOK13" s="119"/>
      <c r="HOL13" s="119"/>
      <c r="HOM13" s="119"/>
      <c r="HON13" s="119"/>
      <c r="HOO13" s="119"/>
      <c r="HOP13" s="119"/>
      <c r="HOQ13" s="119"/>
      <c r="HOR13" s="119"/>
      <c r="HOS13" s="119"/>
      <c r="HOT13" s="119"/>
      <c r="HOU13" s="120"/>
      <c r="HOV13" s="120"/>
      <c r="HOW13" s="120"/>
      <c r="HOX13" s="59"/>
      <c r="HOY13" s="119"/>
      <c r="HOZ13" s="119"/>
      <c r="HPA13" s="119"/>
      <c r="HPB13" s="119"/>
      <c r="HPC13" s="119"/>
      <c r="HPD13" s="119"/>
      <c r="HPE13" s="119"/>
      <c r="HPF13" s="119"/>
      <c r="HPG13" s="119"/>
      <c r="HPH13" s="119"/>
      <c r="HPI13" s="119"/>
      <c r="HPJ13" s="119"/>
      <c r="HPK13" s="120"/>
      <c r="HPL13" s="120"/>
      <c r="HPM13" s="120"/>
      <c r="HPN13" s="59"/>
      <c r="HPO13" s="119"/>
      <c r="HPP13" s="119"/>
      <c r="HPQ13" s="119"/>
      <c r="HPR13" s="119"/>
      <c r="HPS13" s="119"/>
      <c r="HPT13" s="119"/>
      <c r="HPU13" s="119"/>
      <c r="HPV13" s="119"/>
      <c r="HPW13" s="119"/>
      <c r="HPX13" s="119"/>
      <c r="HPY13" s="119"/>
      <c r="HPZ13" s="119"/>
      <c r="HQA13" s="120"/>
      <c r="HQB13" s="120"/>
      <c r="HQC13" s="120"/>
      <c r="HQD13" s="59"/>
      <c r="HQE13" s="119"/>
      <c r="HQF13" s="119"/>
      <c r="HQG13" s="119"/>
      <c r="HQH13" s="119"/>
      <c r="HQI13" s="119"/>
      <c r="HQJ13" s="119"/>
      <c r="HQK13" s="119"/>
      <c r="HQL13" s="119"/>
      <c r="HQM13" s="119"/>
      <c r="HQN13" s="119"/>
      <c r="HQO13" s="119"/>
      <c r="HQP13" s="119"/>
      <c r="HQQ13" s="120"/>
      <c r="HQR13" s="120"/>
      <c r="HQS13" s="120"/>
      <c r="HQT13" s="59"/>
      <c r="HQU13" s="119"/>
      <c r="HQV13" s="119"/>
      <c r="HQW13" s="119"/>
      <c r="HQX13" s="119"/>
      <c r="HQY13" s="119"/>
      <c r="HQZ13" s="119"/>
      <c r="HRA13" s="119"/>
      <c r="HRB13" s="119"/>
      <c r="HRC13" s="119"/>
      <c r="HRD13" s="119"/>
      <c r="HRE13" s="119"/>
      <c r="HRF13" s="119"/>
      <c r="HRG13" s="120"/>
      <c r="HRH13" s="120"/>
      <c r="HRI13" s="120"/>
      <c r="HRJ13" s="59"/>
      <c r="HRK13" s="119"/>
      <c r="HRL13" s="119"/>
      <c r="HRM13" s="119"/>
      <c r="HRN13" s="119"/>
      <c r="HRO13" s="119"/>
      <c r="HRP13" s="119"/>
      <c r="HRQ13" s="119"/>
      <c r="HRR13" s="119"/>
      <c r="HRS13" s="119"/>
      <c r="HRT13" s="119"/>
      <c r="HRU13" s="119"/>
      <c r="HRV13" s="119"/>
      <c r="HRW13" s="120"/>
      <c r="HRX13" s="120"/>
      <c r="HRY13" s="120"/>
      <c r="HRZ13" s="59"/>
      <c r="HSA13" s="119"/>
      <c r="HSB13" s="119"/>
      <c r="HSC13" s="119"/>
      <c r="HSD13" s="119"/>
      <c r="HSE13" s="119"/>
      <c r="HSF13" s="119"/>
      <c r="HSG13" s="119"/>
      <c r="HSH13" s="119"/>
      <c r="HSI13" s="119"/>
      <c r="HSJ13" s="119"/>
      <c r="HSK13" s="119"/>
      <c r="HSL13" s="119"/>
      <c r="HSM13" s="120"/>
      <c r="HSN13" s="120"/>
      <c r="HSO13" s="120"/>
      <c r="HSP13" s="59"/>
      <c r="HSQ13" s="119"/>
      <c r="HSR13" s="119"/>
      <c r="HSS13" s="119"/>
      <c r="HST13" s="119"/>
      <c r="HSU13" s="119"/>
      <c r="HSV13" s="119"/>
      <c r="HSW13" s="119"/>
      <c r="HSX13" s="119"/>
      <c r="HSY13" s="119"/>
      <c r="HSZ13" s="119"/>
      <c r="HTA13" s="119"/>
      <c r="HTB13" s="119"/>
      <c r="HTC13" s="120"/>
      <c r="HTD13" s="120"/>
      <c r="HTE13" s="120"/>
      <c r="HTF13" s="59"/>
      <c r="HTG13" s="119"/>
      <c r="HTH13" s="119"/>
      <c r="HTI13" s="119"/>
      <c r="HTJ13" s="119"/>
      <c r="HTK13" s="119"/>
      <c r="HTL13" s="119"/>
      <c r="HTM13" s="119"/>
      <c r="HTN13" s="119"/>
      <c r="HTO13" s="119"/>
      <c r="HTP13" s="119"/>
      <c r="HTQ13" s="119"/>
      <c r="HTR13" s="119"/>
      <c r="HTS13" s="120"/>
      <c r="HTT13" s="120"/>
      <c r="HTU13" s="120"/>
      <c r="HTV13" s="59"/>
      <c r="HTW13" s="119"/>
      <c r="HTX13" s="119"/>
      <c r="HTY13" s="119"/>
      <c r="HTZ13" s="119"/>
      <c r="HUA13" s="119"/>
      <c r="HUB13" s="119"/>
      <c r="HUC13" s="119"/>
      <c r="HUD13" s="119"/>
      <c r="HUE13" s="119"/>
      <c r="HUF13" s="119"/>
      <c r="HUG13" s="119"/>
      <c r="HUH13" s="119"/>
      <c r="HUI13" s="120"/>
      <c r="HUJ13" s="120"/>
      <c r="HUK13" s="120"/>
      <c r="HUL13" s="59"/>
      <c r="HUM13" s="119"/>
      <c r="HUN13" s="119"/>
      <c r="HUO13" s="119"/>
      <c r="HUP13" s="119"/>
      <c r="HUQ13" s="119"/>
      <c r="HUR13" s="119"/>
      <c r="HUS13" s="119"/>
      <c r="HUT13" s="119"/>
      <c r="HUU13" s="119"/>
      <c r="HUV13" s="119"/>
      <c r="HUW13" s="119"/>
      <c r="HUX13" s="119"/>
      <c r="HUY13" s="120"/>
      <c r="HUZ13" s="120"/>
      <c r="HVA13" s="120"/>
      <c r="HVB13" s="59"/>
      <c r="HVC13" s="119"/>
      <c r="HVD13" s="119"/>
      <c r="HVE13" s="119"/>
      <c r="HVF13" s="119"/>
      <c r="HVG13" s="119"/>
      <c r="HVH13" s="119"/>
      <c r="HVI13" s="119"/>
      <c r="HVJ13" s="119"/>
      <c r="HVK13" s="119"/>
      <c r="HVL13" s="119"/>
      <c r="HVM13" s="119"/>
      <c r="HVN13" s="119"/>
      <c r="HVO13" s="120"/>
      <c r="HVP13" s="120"/>
      <c r="HVQ13" s="120"/>
      <c r="HVR13" s="59"/>
      <c r="HVS13" s="119"/>
      <c r="HVT13" s="119"/>
      <c r="HVU13" s="119"/>
      <c r="HVV13" s="119"/>
      <c r="HVW13" s="119"/>
      <c r="HVX13" s="119"/>
      <c r="HVY13" s="119"/>
      <c r="HVZ13" s="119"/>
      <c r="HWA13" s="119"/>
      <c r="HWB13" s="119"/>
      <c r="HWC13" s="119"/>
      <c r="HWD13" s="119"/>
      <c r="HWE13" s="120"/>
      <c r="HWF13" s="120"/>
      <c r="HWG13" s="120"/>
      <c r="HWH13" s="59"/>
      <c r="HWI13" s="119"/>
      <c r="HWJ13" s="119"/>
      <c r="HWK13" s="119"/>
      <c r="HWL13" s="119"/>
      <c r="HWM13" s="119"/>
      <c r="HWN13" s="119"/>
      <c r="HWO13" s="119"/>
      <c r="HWP13" s="119"/>
      <c r="HWQ13" s="119"/>
      <c r="HWR13" s="119"/>
      <c r="HWS13" s="119"/>
      <c r="HWT13" s="119"/>
      <c r="HWU13" s="120"/>
      <c r="HWV13" s="120"/>
      <c r="HWW13" s="120"/>
      <c r="HWX13" s="59"/>
      <c r="HWY13" s="119"/>
      <c r="HWZ13" s="119"/>
      <c r="HXA13" s="119"/>
      <c r="HXB13" s="119"/>
      <c r="HXC13" s="119"/>
      <c r="HXD13" s="119"/>
      <c r="HXE13" s="119"/>
      <c r="HXF13" s="119"/>
      <c r="HXG13" s="119"/>
      <c r="HXH13" s="119"/>
      <c r="HXI13" s="119"/>
      <c r="HXJ13" s="119"/>
      <c r="HXK13" s="120"/>
      <c r="HXL13" s="120"/>
      <c r="HXM13" s="120"/>
      <c r="HXN13" s="59"/>
      <c r="HXO13" s="119"/>
      <c r="HXP13" s="119"/>
      <c r="HXQ13" s="119"/>
      <c r="HXR13" s="119"/>
      <c r="HXS13" s="119"/>
      <c r="HXT13" s="119"/>
      <c r="HXU13" s="119"/>
      <c r="HXV13" s="119"/>
      <c r="HXW13" s="119"/>
      <c r="HXX13" s="119"/>
      <c r="HXY13" s="119"/>
      <c r="HXZ13" s="119"/>
      <c r="HYA13" s="120"/>
      <c r="HYB13" s="120"/>
      <c r="HYC13" s="120"/>
      <c r="HYD13" s="59"/>
      <c r="HYE13" s="119"/>
      <c r="HYF13" s="119"/>
      <c r="HYG13" s="119"/>
      <c r="HYH13" s="119"/>
      <c r="HYI13" s="119"/>
      <c r="HYJ13" s="119"/>
      <c r="HYK13" s="119"/>
      <c r="HYL13" s="119"/>
      <c r="HYM13" s="119"/>
      <c r="HYN13" s="119"/>
      <c r="HYO13" s="119"/>
      <c r="HYP13" s="119"/>
      <c r="HYQ13" s="120"/>
      <c r="HYR13" s="120"/>
      <c r="HYS13" s="120"/>
      <c r="HYT13" s="59"/>
      <c r="HYU13" s="119"/>
      <c r="HYV13" s="119"/>
      <c r="HYW13" s="119"/>
      <c r="HYX13" s="119"/>
      <c r="HYY13" s="119"/>
      <c r="HYZ13" s="119"/>
      <c r="HZA13" s="119"/>
      <c r="HZB13" s="119"/>
      <c r="HZC13" s="119"/>
      <c r="HZD13" s="119"/>
      <c r="HZE13" s="119"/>
      <c r="HZF13" s="119"/>
      <c r="HZG13" s="120"/>
      <c r="HZH13" s="120"/>
      <c r="HZI13" s="120"/>
      <c r="HZJ13" s="59"/>
      <c r="HZK13" s="119"/>
      <c r="HZL13" s="119"/>
      <c r="HZM13" s="119"/>
      <c r="HZN13" s="119"/>
      <c r="HZO13" s="119"/>
      <c r="HZP13" s="119"/>
      <c r="HZQ13" s="119"/>
      <c r="HZR13" s="119"/>
      <c r="HZS13" s="119"/>
      <c r="HZT13" s="119"/>
      <c r="HZU13" s="119"/>
      <c r="HZV13" s="119"/>
      <c r="HZW13" s="120"/>
      <c r="HZX13" s="120"/>
      <c r="HZY13" s="120"/>
      <c r="HZZ13" s="59"/>
      <c r="IAA13" s="119"/>
      <c r="IAB13" s="119"/>
      <c r="IAC13" s="119"/>
      <c r="IAD13" s="119"/>
      <c r="IAE13" s="119"/>
      <c r="IAF13" s="119"/>
      <c r="IAG13" s="119"/>
      <c r="IAH13" s="119"/>
      <c r="IAI13" s="119"/>
      <c r="IAJ13" s="119"/>
      <c r="IAK13" s="119"/>
      <c r="IAL13" s="119"/>
      <c r="IAM13" s="120"/>
      <c r="IAN13" s="120"/>
      <c r="IAO13" s="120"/>
      <c r="IAP13" s="59"/>
      <c r="IAQ13" s="119"/>
      <c r="IAR13" s="119"/>
      <c r="IAS13" s="119"/>
      <c r="IAT13" s="119"/>
      <c r="IAU13" s="119"/>
      <c r="IAV13" s="119"/>
      <c r="IAW13" s="119"/>
      <c r="IAX13" s="119"/>
      <c r="IAY13" s="119"/>
      <c r="IAZ13" s="119"/>
      <c r="IBA13" s="119"/>
      <c r="IBB13" s="119"/>
      <c r="IBC13" s="120"/>
      <c r="IBD13" s="120"/>
      <c r="IBE13" s="120"/>
      <c r="IBF13" s="59"/>
      <c r="IBG13" s="119"/>
      <c r="IBH13" s="119"/>
      <c r="IBI13" s="119"/>
      <c r="IBJ13" s="119"/>
      <c r="IBK13" s="119"/>
      <c r="IBL13" s="119"/>
      <c r="IBM13" s="119"/>
      <c r="IBN13" s="119"/>
      <c r="IBO13" s="119"/>
      <c r="IBP13" s="119"/>
      <c r="IBQ13" s="119"/>
      <c r="IBR13" s="119"/>
      <c r="IBS13" s="120"/>
      <c r="IBT13" s="120"/>
      <c r="IBU13" s="120"/>
      <c r="IBV13" s="59"/>
      <c r="IBW13" s="119"/>
      <c r="IBX13" s="119"/>
      <c r="IBY13" s="119"/>
      <c r="IBZ13" s="119"/>
      <c r="ICA13" s="119"/>
      <c r="ICB13" s="119"/>
      <c r="ICC13" s="119"/>
      <c r="ICD13" s="119"/>
      <c r="ICE13" s="119"/>
      <c r="ICF13" s="119"/>
      <c r="ICG13" s="119"/>
      <c r="ICH13" s="119"/>
      <c r="ICI13" s="120"/>
      <c r="ICJ13" s="120"/>
      <c r="ICK13" s="120"/>
      <c r="ICL13" s="59"/>
      <c r="ICM13" s="119"/>
      <c r="ICN13" s="119"/>
      <c r="ICO13" s="119"/>
      <c r="ICP13" s="119"/>
      <c r="ICQ13" s="119"/>
      <c r="ICR13" s="119"/>
      <c r="ICS13" s="119"/>
      <c r="ICT13" s="119"/>
      <c r="ICU13" s="119"/>
      <c r="ICV13" s="119"/>
      <c r="ICW13" s="119"/>
      <c r="ICX13" s="119"/>
      <c r="ICY13" s="120"/>
      <c r="ICZ13" s="120"/>
      <c r="IDA13" s="120"/>
      <c r="IDB13" s="59"/>
      <c r="IDC13" s="119"/>
      <c r="IDD13" s="119"/>
      <c r="IDE13" s="119"/>
      <c r="IDF13" s="119"/>
      <c r="IDG13" s="119"/>
      <c r="IDH13" s="119"/>
      <c r="IDI13" s="119"/>
      <c r="IDJ13" s="119"/>
      <c r="IDK13" s="119"/>
      <c r="IDL13" s="119"/>
      <c r="IDM13" s="119"/>
      <c r="IDN13" s="119"/>
      <c r="IDO13" s="120"/>
      <c r="IDP13" s="120"/>
      <c r="IDQ13" s="120"/>
      <c r="IDR13" s="59"/>
      <c r="IDS13" s="119"/>
      <c r="IDT13" s="119"/>
      <c r="IDU13" s="119"/>
      <c r="IDV13" s="119"/>
      <c r="IDW13" s="119"/>
      <c r="IDX13" s="119"/>
      <c r="IDY13" s="119"/>
      <c r="IDZ13" s="119"/>
      <c r="IEA13" s="119"/>
      <c r="IEB13" s="119"/>
      <c r="IEC13" s="119"/>
      <c r="IED13" s="119"/>
      <c r="IEE13" s="120"/>
      <c r="IEF13" s="120"/>
      <c r="IEG13" s="120"/>
      <c r="IEH13" s="59"/>
      <c r="IEI13" s="119"/>
      <c r="IEJ13" s="119"/>
      <c r="IEK13" s="119"/>
      <c r="IEL13" s="119"/>
      <c r="IEM13" s="119"/>
      <c r="IEN13" s="119"/>
      <c r="IEO13" s="119"/>
      <c r="IEP13" s="119"/>
      <c r="IEQ13" s="119"/>
      <c r="IER13" s="119"/>
      <c r="IES13" s="119"/>
      <c r="IET13" s="119"/>
      <c r="IEU13" s="120"/>
      <c r="IEV13" s="120"/>
      <c r="IEW13" s="120"/>
      <c r="IEX13" s="59"/>
      <c r="IEY13" s="119"/>
      <c r="IEZ13" s="119"/>
      <c r="IFA13" s="119"/>
      <c r="IFB13" s="119"/>
      <c r="IFC13" s="119"/>
      <c r="IFD13" s="119"/>
      <c r="IFE13" s="119"/>
      <c r="IFF13" s="119"/>
      <c r="IFG13" s="119"/>
      <c r="IFH13" s="119"/>
      <c r="IFI13" s="119"/>
      <c r="IFJ13" s="119"/>
      <c r="IFK13" s="120"/>
      <c r="IFL13" s="120"/>
      <c r="IFM13" s="120"/>
      <c r="IFN13" s="59"/>
      <c r="IFO13" s="119"/>
      <c r="IFP13" s="119"/>
      <c r="IFQ13" s="119"/>
      <c r="IFR13" s="119"/>
      <c r="IFS13" s="119"/>
      <c r="IFT13" s="119"/>
      <c r="IFU13" s="119"/>
      <c r="IFV13" s="119"/>
      <c r="IFW13" s="119"/>
      <c r="IFX13" s="119"/>
      <c r="IFY13" s="119"/>
      <c r="IFZ13" s="119"/>
      <c r="IGA13" s="120"/>
      <c r="IGB13" s="120"/>
      <c r="IGC13" s="120"/>
      <c r="IGD13" s="59"/>
      <c r="IGE13" s="119"/>
      <c r="IGF13" s="119"/>
      <c r="IGG13" s="119"/>
      <c r="IGH13" s="119"/>
      <c r="IGI13" s="119"/>
      <c r="IGJ13" s="119"/>
      <c r="IGK13" s="119"/>
      <c r="IGL13" s="119"/>
      <c r="IGM13" s="119"/>
      <c r="IGN13" s="119"/>
      <c r="IGO13" s="119"/>
      <c r="IGP13" s="119"/>
      <c r="IGQ13" s="120"/>
      <c r="IGR13" s="120"/>
      <c r="IGS13" s="120"/>
      <c r="IGT13" s="59"/>
      <c r="IGU13" s="119"/>
      <c r="IGV13" s="119"/>
      <c r="IGW13" s="119"/>
      <c r="IGX13" s="119"/>
      <c r="IGY13" s="119"/>
      <c r="IGZ13" s="119"/>
      <c r="IHA13" s="119"/>
      <c r="IHB13" s="119"/>
      <c r="IHC13" s="119"/>
      <c r="IHD13" s="119"/>
      <c r="IHE13" s="119"/>
      <c r="IHF13" s="119"/>
      <c r="IHG13" s="120"/>
      <c r="IHH13" s="120"/>
      <c r="IHI13" s="120"/>
      <c r="IHJ13" s="59"/>
      <c r="IHK13" s="119"/>
      <c r="IHL13" s="119"/>
      <c r="IHM13" s="119"/>
      <c r="IHN13" s="119"/>
      <c r="IHO13" s="119"/>
      <c r="IHP13" s="119"/>
      <c r="IHQ13" s="119"/>
      <c r="IHR13" s="119"/>
      <c r="IHS13" s="119"/>
      <c r="IHT13" s="119"/>
      <c r="IHU13" s="119"/>
      <c r="IHV13" s="119"/>
      <c r="IHW13" s="120"/>
      <c r="IHX13" s="120"/>
      <c r="IHY13" s="120"/>
      <c r="IHZ13" s="59"/>
      <c r="IIA13" s="119"/>
      <c r="IIB13" s="119"/>
      <c r="IIC13" s="119"/>
      <c r="IID13" s="119"/>
      <c r="IIE13" s="119"/>
      <c r="IIF13" s="119"/>
      <c r="IIG13" s="119"/>
      <c r="IIH13" s="119"/>
      <c r="III13" s="119"/>
      <c r="IIJ13" s="119"/>
      <c r="IIK13" s="119"/>
      <c r="IIL13" s="119"/>
      <c r="IIM13" s="120"/>
      <c r="IIN13" s="120"/>
      <c r="IIO13" s="120"/>
      <c r="IIP13" s="59"/>
      <c r="IIQ13" s="119"/>
      <c r="IIR13" s="119"/>
      <c r="IIS13" s="119"/>
      <c r="IIT13" s="119"/>
      <c r="IIU13" s="119"/>
      <c r="IIV13" s="119"/>
      <c r="IIW13" s="119"/>
      <c r="IIX13" s="119"/>
      <c r="IIY13" s="119"/>
      <c r="IIZ13" s="119"/>
      <c r="IJA13" s="119"/>
      <c r="IJB13" s="119"/>
      <c r="IJC13" s="120"/>
      <c r="IJD13" s="120"/>
      <c r="IJE13" s="120"/>
      <c r="IJF13" s="59"/>
      <c r="IJG13" s="119"/>
      <c r="IJH13" s="119"/>
      <c r="IJI13" s="119"/>
      <c r="IJJ13" s="119"/>
      <c r="IJK13" s="119"/>
      <c r="IJL13" s="119"/>
      <c r="IJM13" s="119"/>
      <c r="IJN13" s="119"/>
      <c r="IJO13" s="119"/>
      <c r="IJP13" s="119"/>
      <c r="IJQ13" s="119"/>
      <c r="IJR13" s="119"/>
      <c r="IJS13" s="120"/>
      <c r="IJT13" s="120"/>
      <c r="IJU13" s="120"/>
      <c r="IJV13" s="59"/>
      <c r="IJW13" s="119"/>
      <c r="IJX13" s="119"/>
      <c r="IJY13" s="119"/>
      <c r="IJZ13" s="119"/>
      <c r="IKA13" s="119"/>
      <c r="IKB13" s="119"/>
      <c r="IKC13" s="119"/>
      <c r="IKD13" s="119"/>
      <c r="IKE13" s="119"/>
      <c r="IKF13" s="119"/>
      <c r="IKG13" s="119"/>
      <c r="IKH13" s="119"/>
      <c r="IKI13" s="120"/>
      <c r="IKJ13" s="120"/>
      <c r="IKK13" s="120"/>
      <c r="IKL13" s="59"/>
      <c r="IKM13" s="119"/>
      <c r="IKN13" s="119"/>
      <c r="IKO13" s="119"/>
      <c r="IKP13" s="119"/>
      <c r="IKQ13" s="119"/>
      <c r="IKR13" s="119"/>
      <c r="IKS13" s="119"/>
      <c r="IKT13" s="119"/>
      <c r="IKU13" s="119"/>
      <c r="IKV13" s="119"/>
      <c r="IKW13" s="119"/>
      <c r="IKX13" s="119"/>
      <c r="IKY13" s="120"/>
      <c r="IKZ13" s="120"/>
      <c r="ILA13" s="120"/>
      <c r="ILB13" s="59"/>
      <c r="ILC13" s="119"/>
      <c r="ILD13" s="119"/>
      <c r="ILE13" s="119"/>
      <c r="ILF13" s="119"/>
      <c r="ILG13" s="119"/>
      <c r="ILH13" s="119"/>
      <c r="ILI13" s="119"/>
      <c r="ILJ13" s="119"/>
      <c r="ILK13" s="119"/>
      <c r="ILL13" s="119"/>
      <c r="ILM13" s="119"/>
      <c r="ILN13" s="119"/>
      <c r="ILO13" s="120"/>
      <c r="ILP13" s="120"/>
      <c r="ILQ13" s="120"/>
      <c r="ILR13" s="59"/>
      <c r="ILS13" s="119"/>
      <c r="ILT13" s="119"/>
      <c r="ILU13" s="119"/>
      <c r="ILV13" s="119"/>
      <c r="ILW13" s="119"/>
      <c r="ILX13" s="119"/>
      <c r="ILY13" s="119"/>
      <c r="ILZ13" s="119"/>
      <c r="IMA13" s="119"/>
      <c r="IMB13" s="119"/>
      <c r="IMC13" s="119"/>
      <c r="IMD13" s="119"/>
      <c r="IME13" s="120"/>
      <c r="IMF13" s="120"/>
      <c r="IMG13" s="120"/>
      <c r="IMH13" s="59"/>
      <c r="IMI13" s="119"/>
      <c r="IMJ13" s="119"/>
      <c r="IMK13" s="119"/>
      <c r="IML13" s="119"/>
      <c r="IMM13" s="119"/>
      <c r="IMN13" s="119"/>
      <c r="IMO13" s="119"/>
      <c r="IMP13" s="119"/>
      <c r="IMQ13" s="119"/>
      <c r="IMR13" s="119"/>
      <c r="IMS13" s="119"/>
      <c r="IMT13" s="119"/>
      <c r="IMU13" s="120"/>
      <c r="IMV13" s="120"/>
      <c r="IMW13" s="120"/>
      <c r="IMX13" s="59"/>
      <c r="IMY13" s="119"/>
      <c r="IMZ13" s="119"/>
      <c r="INA13" s="119"/>
      <c r="INB13" s="119"/>
      <c r="INC13" s="119"/>
      <c r="IND13" s="119"/>
      <c r="INE13" s="119"/>
      <c r="INF13" s="119"/>
      <c r="ING13" s="119"/>
      <c r="INH13" s="119"/>
      <c r="INI13" s="119"/>
      <c r="INJ13" s="119"/>
      <c r="INK13" s="120"/>
      <c r="INL13" s="120"/>
      <c r="INM13" s="120"/>
      <c r="INN13" s="59"/>
      <c r="INO13" s="119"/>
      <c r="INP13" s="119"/>
      <c r="INQ13" s="119"/>
      <c r="INR13" s="119"/>
      <c r="INS13" s="119"/>
      <c r="INT13" s="119"/>
      <c r="INU13" s="119"/>
      <c r="INV13" s="119"/>
      <c r="INW13" s="119"/>
      <c r="INX13" s="119"/>
      <c r="INY13" s="119"/>
      <c r="INZ13" s="119"/>
      <c r="IOA13" s="120"/>
      <c r="IOB13" s="120"/>
      <c r="IOC13" s="120"/>
      <c r="IOD13" s="59"/>
      <c r="IOE13" s="119"/>
      <c r="IOF13" s="119"/>
      <c r="IOG13" s="119"/>
      <c r="IOH13" s="119"/>
      <c r="IOI13" s="119"/>
      <c r="IOJ13" s="119"/>
      <c r="IOK13" s="119"/>
      <c r="IOL13" s="119"/>
      <c r="IOM13" s="119"/>
      <c r="ION13" s="119"/>
      <c r="IOO13" s="119"/>
      <c r="IOP13" s="119"/>
      <c r="IOQ13" s="120"/>
      <c r="IOR13" s="120"/>
      <c r="IOS13" s="120"/>
      <c r="IOT13" s="59"/>
      <c r="IOU13" s="119"/>
      <c r="IOV13" s="119"/>
      <c r="IOW13" s="119"/>
      <c r="IOX13" s="119"/>
      <c r="IOY13" s="119"/>
      <c r="IOZ13" s="119"/>
      <c r="IPA13" s="119"/>
      <c r="IPB13" s="119"/>
      <c r="IPC13" s="119"/>
      <c r="IPD13" s="119"/>
      <c r="IPE13" s="119"/>
      <c r="IPF13" s="119"/>
      <c r="IPG13" s="120"/>
      <c r="IPH13" s="120"/>
      <c r="IPI13" s="120"/>
      <c r="IPJ13" s="59"/>
      <c r="IPK13" s="119"/>
      <c r="IPL13" s="119"/>
      <c r="IPM13" s="119"/>
      <c r="IPN13" s="119"/>
      <c r="IPO13" s="119"/>
      <c r="IPP13" s="119"/>
      <c r="IPQ13" s="119"/>
      <c r="IPR13" s="119"/>
      <c r="IPS13" s="119"/>
      <c r="IPT13" s="119"/>
      <c r="IPU13" s="119"/>
      <c r="IPV13" s="119"/>
      <c r="IPW13" s="120"/>
      <c r="IPX13" s="120"/>
      <c r="IPY13" s="120"/>
      <c r="IPZ13" s="59"/>
      <c r="IQA13" s="119"/>
      <c r="IQB13" s="119"/>
      <c r="IQC13" s="119"/>
      <c r="IQD13" s="119"/>
      <c r="IQE13" s="119"/>
      <c r="IQF13" s="119"/>
      <c r="IQG13" s="119"/>
      <c r="IQH13" s="119"/>
      <c r="IQI13" s="119"/>
      <c r="IQJ13" s="119"/>
      <c r="IQK13" s="119"/>
      <c r="IQL13" s="119"/>
      <c r="IQM13" s="120"/>
      <c r="IQN13" s="120"/>
      <c r="IQO13" s="120"/>
      <c r="IQP13" s="59"/>
      <c r="IQQ13" s="119"/>
      <c r="IQR13" s="119"/>
      <c r="IQS13" s="119"/>
      <c r="IQT13" s="119"/>
      <c r="IQU13" s="119"/>
      <c r="IQV13" s="119"/>
      <c r="IQW13" s="119"/>
      <c r="IQX13" s="119"/>
      <c r="IQY13" s="119"/>
      <c r="IQZ13" s="119"/>
      <c r="IRA13" s="119"/>
      <c r="IRB13" s="119"/>
      <c r="IRC13" s="120"/>
      <c r="IRD13" s="120"/>
      <c r="IRE13" s="120"/>
      <c r="IRF13" s="59"/>
      <c r="IRG13" s="119"/>
      <c r="IRH13" s="119"/>
      <c r="IRI13" s="119"/>
      <c r="IRJ13" s="119"/>
      <c r="IRK13" s="119"/>
      <c r="IRL13" s="119"/>
      <c r="IRM13" s="119"/>
      <c r="IRN13" s="119"/>
      <c r="IRO13" s="119"/>
      <c r="IRP13" s="119"/>
      <c r="IRQ13" s="119"/>
      <c r="IRR13" s="119"/>
      <c r="IRS13" s="120"/>
      <c r="IRT13" s="120"/>
      <c r="IRU13" s="120"/>
      <c r="IRV13" s="59"/>
      <c r="IRW13" s="119"/>
      <c r="IRX13" s="119"/>
      <c r="IRY13" s="119"/>
      <c r="IRZ13" s="119"/>
      <c r="ISA13" s="119"/>
      <c r="ISB13" s="119"/>
      <c r="ISC13" s="119"/>
      <c r="ISD13" s="119"/>
      <c r="ISE13" s="119"/>
      <c r="ISF13" s="119"/>
      <c r="ISG13" s="119"/>
      <c r="ISH13" s="119"/>
      <c r="ISI13" s="120"/>
      <c r="ISJ13" s="120"/>
      <c r="ISK13" s="120"/>
      <c r="ISL13" s="59"/>
      <c r="ISM13" s="119"/>
      <c r="ISN13" s="119"/>
      <c r="ISO13" s="119"/>
      <c r="ISP13" s="119"/>
      <c r="ISQ13" s="119"/>
      <c r="ISR13" s="119"/>
      <c r="ISS13" s="119"/>
      <c r="IST13" s="119"/>
      <c r="ISU13" s="119"/>
      <c r="ISV13" s="119"/>
      <c r="ISW13" s="119"/>
      <c r="ISX13" s="119"/>
      <c r="ISY13" s="120"/>
      <c r="ISZ13" s="120"/>
      <c r="ITA13" s="120"/>
      <c r="ITB13" s="59"/>
      <c r="ITC13" s="119"/>
      <c r="ITD13" s="119"/>
      <c r="ITE13" s="119"/>
      <c r="ITF13" s="119"/>
      <c r="ITG13" s="119"/>
      <c r="ITH13" s="119"/>
      <c r="ITI13" s="119"/>
      <c r="ITJ13" s="119"/>
      <c r="ITK13" s="119"/>
      <c r="ITL13" s="119"/>
      <c r="ITM13" s="119"/>
      <c r="ITN13" s="119"/>
      <c r="ITO13" s="120"/>
      <c r="ITP13" s="120"/>
      <c r="ITQ13" s="120"/>
      <c r="ITR13" s="59"/>
      <c r="ITS13" s="119"/>
      <c r="ITT13" s="119"/>
      <c r="ITU13" s="119"/>
      <c r="ITV13" s="119"/>
      <c r="ITW13" s="119"/>
      <c r="ITX13" s="119"/>
      <c r="ITY13" s="119"/>
      <c r="ITZ13" s="119"/>
      <c r="IUA13" s="119"/>
      <c r="IUB13" s="119"/>
      <c r="IUC13" s="119"/>
      <c r="IUD13" s="119"/>
      <c r="IUE13" s="120"/>
      <c r="IUF13" s="120"/>
      <c r="IUG13" s="120"/>
      <c r="IUH13" s="59"/>
      <c r="IUI13" s="119"/>
      <c r="IUJ13" s="119"/>
      <c r="IUK13" s="119"/>
      <c r="IUL13" s="119"/>
      <c r="IUM13" s="119"/>
      <c r="IUN13" s="119"/>
      <c r="IUO13" s="119"/>
      <c r="IUP13" s="119"/>
      <c r="IUQ13" s="119"/>
      <c r="IUR13" s="119"/>
      <c r="IUS13" s="119"/>
      <c r="IUT13" s="119"/>
      <c r="IUU13" s="120"/>
      <c r="IUV13" s="120"/>
      <c r="IUW13" s="120"/>
      <c r="IUX13" s="59"/>
      <c r="IUY13" s="119"/>
      <c r="IUZ13" s="119"/>
      <c r="IVA13" s="119"/>
      <c r="IVB13" s="119"/>
      <c r="IVC13" s="119"/>
      <c r="IVD13" s="119"/>
      <c r="IVE13" s="119"/>
      <c r="IVF13" s="119"/>
      <c r="IVG13" s="119"/>
      <c r="IVH13" s="119"/>
      <c r="IVI13" s="119"/>
      <c r="IVJ13" s="119"/>
      <c r="IVK13" s="120"/>
      <c r="IVL13" s="120"/>
      <c r="IVM13" s="120"/>
      <c r="IVN13" s="59"/>
      <c r="IVO13" s="119"/>
      <c r="IVP13" s="119"/>
      <c r="IVQ13" s="119"/>
      <c r="IVR13" s="119"/>
      <c r="IVS13" s="119"/>
      <c r="IVT13" s="119"/>
      <c r="IVU13" s="119"/>
      <c r="IVV13" s="119"/>
      <c r="IVW13" s="119"/>
      <c r="IVX13" s="119"/>
      <c r="IVY13" s="119"/>
      <c r="IVZ13" s="119"/>
      <c r="IWA13" s="120"/>
      <c r="IWB13" s="120"/>
      <c r="IWC13" s="120"/>
      <c r="IWD13" s="59"/>
      <c r="IWE13" s="119"/>
      <c r="IWF13" s="119"/>
      <c r="IWG13" s="119"/>
      <c r="IWH13" s="119"/>
      <c r="IWI13" s="119"/>
      <c r="IWJ13" s="119"/>
      <c r="IWK13" s="119"/>
      <c r="IWL13" s="119"/>
      <c r="IWM13" s="119"/>
      <c r="IWN13" s="119"/>
      <c r="IWO13" s="119"/>
      <c r="IWP13" s="119"/>
      <c r="IWQ13" s="120"/>
      <c r="IWR13" s="120"/>
      <c r="IWS13" s="120"/>
      <c r="IWT13" s="59"/>
      <c r="IWU13" s="119"/>
      <c r="IWV13" s="119"/>
      <c r="IWW13" s="119"/>
      <c r="IWX13" s="119"/>
      <c r="IWY13" s="119"/>
      <c r="IWZ13" s="119"/>
      <c r="IXA13" s="119"/>
      <c r="IXB13" s="119"/>
      <c r="IXC13" s="119"/>
      <c r="IXD13" s="119"/>
      <c r="IXE13" s="119"/>
      <c r="IXF13" s="119"/>
      <c r="IXG13" s="120"/>
      <c r="IXH13" s="120"/>
      <c r="IXI13" s="120"/>
      <c r="IXJ13" s="59"/>
      <c r="IXK13" s="119"/>
      <c r="IXL13" s="119"/>
      <c r="IXM13" s="119"/>
      <c r="IXN13" s="119"/>
      <c r="IXO13" s="119"/>
      <c r="IXP13" s="119"/>
      <c r="IXQ13" s="119"/>
      <c r="IXR13" s="119"/>
      <c r="IXS13" s="119"/>
      <c r="IXT13" s="119"/>
      <c r="IXU13" s="119"/>
      <c r="IXV13" s="119"/>
      <c r="IXW13" s="120"/>
      <c r="IXX13" s="120"/>
      <c r="IXY13" s="120"/>
      <c r="IXZ13" s="59"/>
      <c r="IYA13" s="119"/>
      <c r="IYB13" s="119"/>
      <c r="IYC13" s="119"/>
      <c r="IYD13" s="119"/>
      <c r="IYE13" s="119"/>
      <c r="IYF13" s="119"/>
      <c r="IYG13" s="119"/>
      <c r="IYH13" s="119"/>
      <c r="IYI13" s="119"/>
      <c r="IYJ13" s="119"/>
      <c r="IYK13" s="119"/>
      <c r="IYL13" s="119"/>
      <c r="IYM13" s="120"/>
      <c r="IYN13" s="120"/>
      <c r="IYO13" s="120"/>
      <c r="IYP13" s="59"/>
      <c r="IYQ13" s="119"/>
      <c r="IYR13" s="119"/>
      <c r="IYS13" s="119"/>
      <c r="IYT13" s="119"/>
      <c r="IYU13" s="119"/>
      <c r="IYV13" s="119"/>
      <c r="IYW13" s="119"/>
      <c r="IYX13" s="119"/>
      <c r="IYY13" s="119"/>
      <c r="IYZ13" s="119"/>
      <c r="IZA13" s="119"/>
      <c r="IZB13" s="119"/>
      <c r="IZC13" s="120"/>
      <c r="IZD13" s="120"/>
      <c r="IZE13" s="120"/>
      <c r="IZF13" s="59"/>
      <c r="IZG13" s="119"/>
      <c r="IZH13" s="119"/>
      <c r="IZI13" s="119"/>
      <c r="IZJ13" s="119"/>
      <c r="IZK13" s="119"/>
      <c r="IZL13" s="119"/>
      <c r="IZM13" s="119"/>
      <c r="IZN13" s="119"/>
      <c r="IZO13" s="119"/>
      <c r="IZP13" s="119"/>
      <c r="IZQ13" s="119"/>
      <c r="IZR13" s="119"/>
      <c r="IZS13" s="120"/>
      <c r="IZT13" s="120"/>
      <c r="IZU13" s="120"/>
      <c r="IZV13" s="59"/>
      <c r="IZW13" s="119"/>
      <c r="IZX13" s="119"/>
      <c r="IZY13" s="119"/>
      <c r="IZZ13" s="119"/>
      <c r="JAA13" s="119"/>
      <c r="JAB13" s="119"/>
      <c r="JAC13" s="119"/>
      <c r="JAD13" s="119"/>
      <c r="JAE13" s="119"/>
      <c r="JAF13" s="119"/>
      <c r="JAG13" s="119"/>
      <c r="JAH13" s="119"/>
      <c r="JAI13" s="120"/>
      <c r="JAJ13" s="120"/>
      <c r="JAK13" s="120"/>
      <c r="JAL13" s="59"/>
      <c r="JAM13" s="119"/>
      <c r="JAN13" s="119"/>
      <c r="JAO13" s="119"/>
      <c r="JAP13" s="119"/>
      <c r="JAQ13" s="119"/>
      <c r="JAR13" s="119"/>
      <c r="JAS13" s="119"/>
      <c r="JAT13" s="119"/>
      <c r="JAU13" s="119"/>
      <c r="JAV13" s="119"/>
      <c r="JAW13" s="119"/>
      <c r="JAX13" s="119"/>
      <c r="JAY13" s="120"/>
      <c r="JAZ13" s="120"/>
      <c r="JBA13" s="120"/>
      <c r="JBB13" s="59"/>
      <c r="JBC13" s="119"/>
      <c r="JBD13" s="119"/>
      <c r="JBE13" s="119"/>
      <c r="JBF13" s="119"/>
      <c r="JBG13" s="119"/>
      <c r="JBH13" s="119"/>
      <c r="JBI13" s="119"/>
      <c r="JBJ13" s="119"/>
      <c r="JBK13" s="119"/>
      <c r="JBL13" s="119"/>
      <c r="JBM13" s="119"/>
      <c r="JBN13" s="119"/>
      <c r="JBO13" s="120"/>
      <c r="JBP13" s="120"/>
      <c r="JBQ13" s="120"/>
      <c r="JBR13" s="59"/>
      <c r="JBS13" s="119"/>
      <c r="JBT13" s="119"/>
      <c r="JBU13" s="119"/>
      <c r="JBV13" s="119"/>
      <c r="JBW13" s="119"/>
      <c r="JBX13" s="119"/>
      <c r="JBY13" s="119"/>
      <c r="JBZ13" s="119"/>
      <c r="JCA13" s="119"/>
      <c r="JCB13" s="119"/>
      <c r="JCC13" s="119"/>
      <c r="JCD13" s="119"/>
      <c r="JCE13" s="120"/>
      <c r="JCF13" s="120"/>
      <c r="JCG13" s="120"/>
      <c r="JCH13" s="59"/>
      <c r="JCI13" s="119"/>
      <c r="JCJ13" s="119"/>
      <c r="JCK13" s="119"/>
      <c r="JCL13" s="119"/>
      <c r="JCM13" s="119"/>
      <c r="JCN13" s="119"/>
      <c r="JCO13" s="119"/>
      <c r="JCP13" s="119"/>
      <c r="JCQ13" s="119"/>
      <c r="JCR13" s="119"/>
      <c r="JCS13" s="119"/>
      <c r="JCT13" s="119"/>
      <c r="JCU13" s="120"/>
      <c r="JCV13" s="120"/>
      <c r="JCW13" s="120"/>
      <c r="JCX13" s="59"/>
      <c r="JCY13" s="119"/>
      <c r="JCZ13" s="119"/>
      <c r="JDA13" s="119"/>
      <c r="JDB13" s="119"/>
      <c r="JDC13" s="119"/>
      <c r="JDD13" s="119"/>
      <c r="JDE13" s="119"/>
      <c r="JDF13" s="119"/>
      <c r="JDG13" s="119"/>
      <c r="JDH13" s="119"/>
      <c r="JDI13" s="119"/>
      <c r="JDJ13" s="119"/>
      <c r="JDK13" s="120"/>
      <c r="JDL13" s="120"/>
      <c r="JDM13" s="120"/>
      <c r="JDN13" s="59"/>
      <c r="JDO13" s="119"/>
      <c r="JDP13" s="119"/>
      <c r="JDQ13" s="119"/>
      <c r="JDR13" s="119"/>
      <c r="JDS13" s="119"/>
      <c r="JDT13" s="119"/>
      <c r="JDU13" s="119"/>
      <c r="JDV13" s="119"/>
      <c r="JDW13" s="119"/>
      <c r="JDX13" s="119"/>
      <c r="JDY13" s="119"/>
      <c r="JDZ13" s="119"/>
      <c r="JEA13" s="120"/>
      <c r="JEB13" s="120"/>
      <c r="JEC13" s="120"/>
      <c r="JED13" s="59"/>
      <c r="JEE13" s="119"/>
      <c r="JEF13" s="119"/>
      <c r="JEG13" s="119"/>
      <c r="JEH13" s="119"/>
      <c r="JEI13" s="119"/>
      <c r="JEJ13" s="119"/>
      <c r="JEK13" s="119"/>
      <c r="JEL13" s="119"/>
      <c r="JEM13" s="119"/>
      <c r="JEN13" s="119"/>
      <c r="JEO13" s="119"/>
      <c r="JEP13" s="119"/>
      <c r="JEQ13" s="120"/>
      <c r="JER13" s="120"/>
      <c r="JES13" s="120"/>
      <c r="JET13" s="59"/>
      <c r="JEU13" s="119"/>
      <c r="JEV13" s="119"/>
      <c r="JEW13" s="119"/>
      <c r="JEX13" s="119"/>
      <c r="JEY13" s="119"/>
      <c r="JEZ13" s="119"/>
      <c r="JFA13" s="119"/>
      <c r="JFB13" s="119"/>
      <c r="JFC13" s="119"/>
      <c r="JFD13" s="119"/>
      <c r="JFE13" s="119"/>
      <c r="JFF13" s="119"/>
      <c r="JFG13" s="120"/>
      <c r="JFH13" s="120"/>
      <c r="JFI13" s="120"/>
      <c r="JFJ13" s="59"/>
      <c r="JFK13" s="119"/>
      <c r="JFL13" s="119"/>
      <c r="JFM13" s="119"/>
      <c r="JFN13" s="119"/>
      <c r="JFO13" s="119"/>
      <c r="JFP13" s="119"/>
      <c r="JFQ13" s="119"/>
      <c r="JFR13" s="119"/>
      <c r="JFS13" s="119"/>
      <c r="JFT13" s="119"/>
      <c r="JFU13" s="119"/>
      <c r="JFV13" s="119"/>
      <c r="JFW13" s="120"/>
      <c r="JFX13" s="120"/>
      <c r="JFY13" s="120"/>
      <c r="JFZ13" s="59"/>
      <c r="JGA13" s="119"/>
      <c r="JGB13" s="119"/>
      <c r="JGC13" s="119"/>
      <c r="JGD13" s="119"/>
      <c r="JGE13" s="119"/>
      <c r="JGF13" s="119"/>
      <c r="JGG13" s="119"/>
      <c r="JGH13" s="119"/>
      <c r="JGI13" s="119"/>
      <c r="JGJ13" s="119"/>
      <c r="JGK13" s="119"/>
      <c r="JGL13" s="119"/>
      <c r="JGM13" s="120"/>
      <c r="JGN13" s="120"/>
      <c r="JGO13" s="120"/>
      <c r="JGP13" s="59"/>
      <c r="JGQ13" s="119"/>
      <c r="JGR13" s="119"/>
      <c r="JGS13" s="119"/>
      <c r="JGT13" s="119"/>
      <c r="JGU13" s="119"/>
      <c r="JGV13" s="119"/>
      <c r="JGW13" s="119"/>
      <c r="JGX13" s="119"/>
      <c r="JGY13" s="119"/>
      <c r="JGZ13" s="119"/>
      <c r="JHA13" s="119"/>
      <c r="JHB13" s="119"/>
      <c r="JHC13" s="120"/>
      <c r="JHD13" s="120"/>
      <c r="JHE13" s="120"/>
      <c r="JHF13" s="59"/>
      <c r="JHG13" s="119"/>
      <c r="JHH13" s="119"/>
      <c r="JHI13" s="119"/>
      <c r="JHJ13" s="119"/>
      <c r="JHK13" s="119"/>
      <c r="JHL13" s="119"/>
      <c r="JHM13" s="119"/>
      <c r="JHN13" s="119"/>
      <c r="JHO13" s="119"/>
      <c r="JHP13" s="119"/>
      <c r="JHQ13" s="119"/>
      <c r="JHR13" s="119"/>
      <c r="JHS13" s="120"/>
      <c r="JHT13" s="120"/>
      <c r="JHU13" s="120"/>
      <c r="JHV13" s="59"/>
      <c r="JHW13" s="119"/>
      <c r="JHX13" s="119"/>
      <c r="JHY13" s="119"/>
      <c r="JHZ13" s="119"/>
      <c r="JIA13" s="119"/>
      <c r="JIB13" s="119"/>
      <c r="JIC13" s="119"/>
      <c r="JID13" s="119"/>
      <c r="JIE13" s="119"/>
      <c r="JIF13" s="119"/>
      <c r="JIG13" s="119"/>
      <c r="JIH13" s="119"/>
      <c r="JII13" s="120"/>
      <c r="JIJ13" s="120"/>
      <c r="JIK13" s="120"/>
      <c r="JIL13" s="59"/>
      <c r="JIM13" s="119"/>
      <c r="JIN13" s="119"/>
      <c r="JIO13" s="119"/>
      <c r="JIP13" s="119"/>
      <c r="JIQ13" s="119"/>
      <c r="JIR13" s="119"/>
      <c r="JIS13" s="119"/>
      <c r="JIT13" s="119"/>
      <c r="JIU13" s="119"/>
      <c r="JIV13" s="119"/>
      <c r="JIW13" s="119"/>
      <c r="JIX13" s="119"/>
      <c r="JIY13" s="120"/>
      <c r="JIZ13" s="120"/>
      <c r="JJA13" s="120"/>
      <c r="JJB13" s="59"/>
      <c r="JJC13" s="119"/>
      <c r="JJD13" s="119"/>
      <c r="JJE13" s="119"/>
      <c r="JJF13" s="119"/>
      <c r="JJG13" s="119"/>
      <c r="JJH13" s="119"/>
      <c r="JJI13" s="119"/>
      <c r="JJJ13" s="119"/>
      <c r="JJK13" s="119"/>
      <c r="JJL13" s="119"/>
      <c r="JJM13" s="119"/>
      <c r="JJN13" s="119"/>
      <c r="JJO13" s="120"/>
      <c r="JJP13" s="120"/>
      <c r="JJQ13" s="120"/>
      <c r="JJR13" s="59"/>
      <c r="JJS13" s="119"/>
      <c r="JJT13" s="119"/>
      <c r="JJU13" s="119"/>
      <c r="JJV13" s="119"/>
      <c r="JJW13" s="119"/>
      <c r="JJX13" s="119"/>
      <c r="JJY13" s="119"/>
      <c r="JJZ13" s="119"/>
      <c r="JKA13" s="119"/>
      <c r="JKB13" s="119"/>
      <c r="JKC13" s="119"/>
      <c r="JKD13" s="119"/>
      <c r="JKE13" s="120"/>
      <c r="JKF13" s="120"/>
      <c r="JKG13" s="120"/>
      <c r="JKH13" s="59"/>
      <c r="JKI13" s="119"/>
      <c r="JKJ13" s="119"/>
      <c r="JKK13" s="119"/>
      <c r="JKL13" s="119"/>
      <c r="JKM13" s="119"/>
      <c r="JKN13" s="119"/>
      <c r="JKO13" s="119"/>
      <c r="JKP13" s="119"/>
      <c r="JKQ13" s="119"/>
      <c r="JKR13" s="119"/>
      <c r="JKS13" s="119"/>
      <c r="JKT13" s="119"/>
      <c r="JKU13" s="120"/>
      <c r="JKV13" s="120"/>
      <c r="JKW13" s="120"/>
      <c r="JKX13" s="59"/>
      <c r="JKY13" s="119"/>
      <c r="JKZ13" s="119"/>
      <c r="JLA13" s="119"/>
      <c r="JLB13" s="119"/>
      <c r="JLC13" s="119"/>
      <c r="JLD13" s="119"/>
      <c r="JLE13" s="119"/>
      <c r="JLF13" s="119"/>
      <c r="JLG13" s="119"/>
      <c r="JLH13" s="119"/>
      <c r="JLI13" s="119"/>
      <c r="JLJ13" s="119"/>
      <c r="JLK13" s="120"/>
      <c r="JLL13" s="120"/>
      <c r="JLM13" s="120"/>
      <c r="JLN13" s="59"/>
      <c r="JLO13" s="119"/>
      <c r="JLP13" s="119"/>
      <c r="JLQ13" s="119"/>
      <c r="JLR13" s="119"/>
      <c r="JLS13" s="119"/>
      <c r="JLT13" s="119"/>
      <c r="JLU13" s="119"/>
      <c r="JLV13" s="119"/>
      <c r="JLW13" s="119"/>
      <c r="JLX13" s="119"/>
      <c r="JLY13" s="119"/>
      <c r="JLZ13" s="119"/>
      <c r="JMA13" s="120"/>
      <c r="JMB13" s="120"/>
      <c r="JMC13" s="120"/>
      <c r="JMD13" s="59"/>
      <c r="JME13" s="119"/>
      <c r="JMF13" s="119"/>
      <c r="JMG13" s="119"/>
      <c r="JMH13" s="119"/>
      <c r="JMI13" s="119"/>
      <c r="JMJ13" s="119"/>
      <c r="JMK13" s="119"/>
      <c r="JML13" s="119"/>
      <c r="JMM13" s="119"/>
      <c r="JMN13" s="119"/>
      <c r="JMO13" s="119"/>
      <c r="JMP13" s="119"/>
      <c r="JMQ13" s="120"/>
      <c r="JMR13" s="120"/>
      <c r="JMS13" s="120"/>
      <c r="JMT13" s="59"/>
      <c r="JMU13" s="119"/>
      <c r="JMV13" s="119"/>
      <c r="JMW13" s="119"/>
      <c r="JMX13" s="119"/>
      <c r="JMY13" s="119"/>
      <c r="JMZ13" s="119"/>
      <c r="JNA13" s="119"/>
      <c r="JNB13" s="119"/>
      <c r="JNC13" s="119"/>
      <c r="JND13" s="119"/>
      <c r="JNE13" s="119"/>
      <c r="JNF13" s="119"/>
      <c r="JNG13" s="120"/>
      <c r="JNH13" s="120"/>
      <c r="JNI13" s="120"/>
      <c r="JNJ13" s="59"/>
      <c r="JNK13" s="119"/>
      <c r="JNL13" s="119"/>
      <c r="JNM13" s="119"/>
      <c r="JNN13" s="119"/>
      <c r="JNO13" s="119"/>
      <c r="JNP13" s="119"/>
      <c r="JNQ13" s="119"/>
      <c r="JNR13" s="119"/>
      <c r="JNS13" s="119"/>
      <c r="JNT13" s="119"/>
      <c r="JNU13" s="119"/>
      <c r="JNV13" s="119"/>
      <c r="JNW13" s="120"/>
      <c r="JNX13" s="120"/>
      <c r="JNY13" s="120"/>
      <c r="JNZ13" s="59"/>
      <c r="JOA13" s="119"/>
      <c r="JOB13" s="119"/>
      <c r="JOC13" s="119"/>
      <c r="JOD13" s="119"/>
      <c r="JOE13" s="119"/>
      <c r="JOF13" s="119"/>
      <c r="JOG13" s="119"/>
      <c r="JOH13" s="119"/>
      <c r="JOI13" s="119"/>
      <c r="JOJ13" s="119"/>
      <c r="JOK13" s="119"/>
      <c r="JOL13" s="119"/>
      <c r="JOM13" s="120"/>
      <c r="JON13" s="120"/>
      <c r="JOO13" s="120"/>
      <c r="JOP13" s="59"/>
      <c r="JOQ13" s="119"/>
      <c r="JOR13" s="119"/>
      <c r="JOS13" s="119"/>
      <c r="JOT13" s="119"/>
      <c r="JOU13" s="119"/>
      <c r="JOV13" s="119"/>
      <c r="JOW13" s="119"/>
      <c r="JOX13" s="119"/>
      <c r="JOY13" s="119"/>
      <c r="JOZ13" s="119"/>
      <c r="JPA13" s="119"/>
      <c r="JPB13" s="119"/>
      <c r="JPC13" s="120"/>
      <c r="JPD13" s="120"/>
      <c r="JPE13" s="120"/>
      <c r="JPF13" s="59"/>
      <c r="JPG13" s="119"/>
      <c r="JPH13" s="119"/>
      <c r="JPI13" s="119"/>
      <c r="JPJ13" s="119"/>
      <c r="JPK13" s="119"/>
      <c r="JPL13" s="119"/>
      <c r="JPM13" s="119"/>
      <c r="JPN13" s="119"/>
      <c r="JPO13" s="119"/>
      <c r="JPP13" s="119"/>
      <c r="JPQ13" s="119"/>
      <c r="JPR13" s="119"/>
      <c r="JPS13" s="120"/>
      <c r="JPT13" s="120"/>
      <c r="JPU13" s="120"/>
      <c r="JPV13" s="59"/>
      <c r="JPW13" s="119"/>
      <c r="JPX13" s="119"/>
      <c r="JPY13" s="119"/>
      <c r="JPZ13" s="119"/>
      <c r="JQA13" s="119"/>
      <c r="JQB13" s="119"/>
      <c r="JQC13" s="119"/>
      <c r="JQD13" s="119"/>
      <c r="JQE13" s="119"/>
      <c r="JQF13" s="119"/>
      <c r="JQG13" s="119"/>
      <c r="JQH13" s="119"/>
      <c r="JQI13" s="120"/>
      <c r="JQJ13" s="120"/>
      <c r="JQK13" s="120"/>
      <c r="JQL13" s="59"/>
      <c r="JQM13" s="119"/>
      <c r="JQN13" s="119"/>
      <c r="JQO13" s="119"/>
      <c r="JQP13" s="119"/>
      <c r="JQQ13" s="119"/>
      <c r="JQR13" s="119"/>
      <c r="JQS13" s="119"/>
      <c r="JQT13" s="119"/>
      <c r="JQU13" s="119"/>
      <c r="JQV13" s="119"/>
      <c r="JQW13" s="119"/>
      <c r="JQX13" s="119"/>
      <c r="JQY13" s="120"/>
      <c r="JQZ13" s="120"/>
      <c r="JRA13" s="120"/>
      <c r="JRB13" s="59"/>
      <c r="JRC13" s="119"/>
      <c r="JRD13" s="119"/>
      <c r="JRE13" s="119"/>
      <c r="JRF13" s="119"/>
      <c r="JRG13" s="119"/>
      <c r="JRH13" s="119"/>
      <c r="JRI13" s="119"/>
      <c r="JRJ13" s="119"/>
      <c r="JRK13" s="119"/>
      <c r="JRL13" s="119"/>
      <c r="JRM13" s="119"/>
      <c r="JRN13" s="119"/>
      <c r="JRO13" s="120"/>
      <c r="JRP13" s="120"/>
      <c r="JRQ13" s="120"/>
      <c r="JRR13" s="59"/>
      <c r="JRS13" s="119"/>
      <c r="JRT13" s="119"/>
      <c r="JRU13" s="119"/>
      <c r="JRV13" s="119"/>
      <c r="JRW13" s="119"/>
      <c r="JRX13" s="119"/>
      <c r="JRY13" s="119"/>
      <c r="JRZ13" s="119"/>
      <c r="JSA13" s="119"/>
      <c r="JSB13" s="119"/>
      <c r="JSC13" s="119"/>
      <c r="JSD13" s="119"/>
      <c r="JSE13" s="120"/>
      <c r="JSF13" s="120"/>
      <c r="JSG13" s="120"/>
      <c r="JSH13" s="59"/>
      <c r="JSI13" s="119"/>
      <c r="JSJ13" s="119"/>
      <c r="JSK13" s="119"/>
      <c r="JSL13" s="119"/>
      <c r="JSM13" s="119"/>
      <c r="JSN13" s="119"/>
      <c r="JSO13" s="119"/>
      <c r="JSP13" s="119"/>
      <c r="JSQ13" s="119"/>
      <c r="JSR13" s="119"/>
      <c r="JSS13" s="119"/>
      <c r="JST13" s="119"/>
      <c r="JSU13" s="120"/>
      <c r="JSV13" s="120"/>
      <c r="JSW13" s="120"/>
      <c r="JSX13" s="59"/>
      <c r="JSY13" s="119"/>
      <c r="JSZ13" s="119"/>
      <c r="JTA13" s="119"/>
      <c r="JTB13" s="119"/>
      <c r="JTC13" s="119"/>
      <c r="JTD13" s="119"/>
      <c r="JTE13" s="119"/>
      <c r="JTF13" s="119"/>
      <c r="JTG13" s="119"/>
      <c r="JTH13" s="119"/>
      <c r="JTI13" s="119"/>
      <c r="JTJ13" s="119"/>
      <c r="JTK13" s="120"/>
      <c r="JTL13" s="120"/>
      <c r="JTM13" s="120"/>
      <c r="JTN13" s="59"/>
      <c r="JTO13" s="119"/>
      <c r="JTP13" s="119"/>
      <c r="JTQ13" s="119"/>
      <c r="JTR13" s="119"/>
      <c r="JTS13" s="119"/>
      <c r="JTT13" s="119"/>
      <c r="JTU13" s="119"/>
      <c r="JTV13" s="119"/>
      <c r="JTW13" s="119"/>
      <c r="JTX13" s="119"/>
      <c r="JTY13" s="119"/>
      <c r="JTZ13" s="119"/>
      <c r="JUA13" s="120"/>
      <c r="JUB13" s="120"/>
      <c r="JUC13" s="120"/>
      <c r="JUD13" s="59"/>
      <c r="JUE13" s="119"/>
      <c r="JUF13" s="119"/>
      <c r="JUG13" s="119"/>
      <c r="JUH13" s="119"/>
      <c r="JUI13" s="119"/>
      <c r="JUJ13" s="119"/>
      <c r="JUK13" s="119"/>
      <c r="JUL13" s="119"/>
      <c r="JUM13" s="119"/>
      <c r="JUN13" s="119"/>
      <c r="JUO13" s="119"/>
      <c r="JUP13" s="119"/>
      <c r="JUQ13" s="120"/>
      <c r="JUR13" s="120"/>
      <c r="JUS13" s="120"/>
      <c r="JUT13" s="59"/>
      <c r="JUU13" s="119"/>
      <c r="JUV13" s="119"/>
      <c r="JUW13" s="119"/>
      <c r="JUX13" s="119"/>
      <c r="JUY13" s="119"/>
      <c r="JUZ13" s="119"/>
      <c r="JVA13" s="119"/>
      <c r="JVB13" s="119"/>
      <c r="JVC13" s="119"/>
      <c r="JVD13" s="119"/>
      <c r="JVE13" s="119"/>
      <c r="JVF13" s="119"/>
      <c r="JVG13" s="120"/>
      <c r="JVH13" s="120"/>
      <c r="JVI13" s="120"/>
      <c r="JVJ13" s="59"/>
      <c r="JVK13" s="119"/>
      <c r="JVL13" s="119"/>
      <c r="JVM13" s="119"/>
      <c r="JVN13" s="119"/>
      <c r="JVO13" s="119"/>
      <c r="JVP13" s="119"/>
      <c r="JVQ13" s="119"/>
      <c r="JVR13" s="119"/>
      <c r="JVS13" s="119"/>
      <c r="JVT13" s="119"/>
      <c r="JVU13" s="119"/>
      <c r="JVV13" s="119"/>
      <c r="JVW13" s="120"/>
      <c r="JVX13" s="120"/>
      <c r="JVY13" s="120"/>
      <c r="JVZ13" s="59"/>
      <c r="JWA13" s="119"/>
      <c r="JWB13" s="119"/>
      <c r="JWC13" s="119"/>
      <c r="JWD13" s="119"/>
      <c r="JWE13" s="119"/>
      <c r="JWF13" s="119"/>
      <c r="JWG13" s="119"/>
      <c r="JWH13" s="119"/>
      <c r="JWI13" s="119"/>
      <c r="JWJ13" s="119"/>
      <c r="JWK13" s="119"/>
      <c r="JWL13" s="119"/>
      <c r="JWM13" s="120"/>
      <c r="JWN13" s="120"/>
      <c r="JWO13" s="120"/>
      <c r="JWP13" s="59"/>
      <c r="JWQ13" s="119"/>
      <c r="JWR13" s="119"/>
      <c r="JWS13" s="119"/>
      <c r="JWT13" s="119"/>
      <c r="JWU13" s="119"/>
      <c r="JWV13" s="119"/>
      <c r="JWW13" s="119"/>
      <c r="JWX13" s="119"/>
      <c r="JWY13" s="119"/>
      <c r="JWZ13" s="119"/>
      <c r="JXA13" s="119"/>
      <c r="JXB13" s="119"/>
      <c r="JXC13" s="120"/>
      <c r="JXD13" s="120"/>
      <c r="JXE13" s="120"/>
      <c r="JXF13" s="59"/>
      <c r="JXG13" s="119"/>
      <c r="JXH13" s="119"/>
      <c r="JXI13" s="119"/>
      <c r="JXJ13" s="119"/>
      <c r="JXK13" s="119"/>
      <c r="JXL13" s="119"/>
      <c r="JXM13" s="119"/>
      <c r="JXN13" s="119"/>
      <c r="JXO13" s="119"/>
      <c r="JXP13" s="119"/>
      <c r="JXQ13" s="119"/>
      <c r="JXR13" s="119"/>
      <c r="JXS13" s="120"/>
      <c r="JXT13" s="120"/>
      <c r="JXU13" s="120"/>
      <c r="JXV13" s="59"/>
      <c r="JXW13" s="119"/>
      <c r="JXX13" s="119"/>
      <c r="JXY13" s="119"/>
      <c r="JXZ13" s="119"/>
      <c r="JYA13" s="119"/>
      <c r="JYB13" s="119"/>
      <c r="JYC13" s="119"/>
      <c r="JYD13" s="119"/>
      <c r="JYE13" s="119"/>
      <c r="JYF13" s="119"/>
      <c r="JYG13" s="119"/>
      <c r="JYH13" s="119"/>
      <c r="JYI13" s="120"/>
      <c r="JYJ13" s="120"/>
      <c r="JYK13" s="120"/>
      <c r="JYL13" s="59"/>
      <c r="JYM13" s="119"/>
      <c r="JYN13" s="119"/>
      <c r="JYO13" s="119"/>
      <c r="JYP13" s="119"/>
      <c r="JYQ13" s="119"/>
      <c r="JYR13" s="119"/>
      <c r="JYS13" s="119"/>
      <c r="JYT13" s="119"/>
      <c r="JYU13" s="119"/>
      <c r="JYV13" s="119"/>
      <c r="JYW13" s="119"/>
      <c r="JYX13" s="119"/>
      <c r="JYY13" s="120"/>
      <c r="JYZ13" s="120"/>
      <c r="JZA13" s="120"/>
      <c r="JZB13" s="59"/>
      <c r="JZC13" s="119"/>
      <c r="JZD13" s="119"/>
      <c r="JZE13" s="119"/>
      <c r="JZF13" s="119"/>
      <c r="JZG13" s="119"/>
      <c r="JZH13" s="119"/>
      <c r="JZI13" s="119"/>
      <c r="JZJ13" s="119"/>
      <c r="JZK13" s="119"/>
      <c r="JZL13" s="119"/>
      <c r="JZM13" s="119"/>
      <c r="JZN13" s="119"/>
      <c r="JZO13" s="120"/>
      <c r="JZP13" s="120"/>
      <c r="JZQ13" s="120"/>
      <c r="JZR13" s="59"/>
      <c r="JZS13" s="119"/>
      <c r="JZT13" s="119"/>
      <c r="JZU13" s="119"/>
      <c r="JZV13" s="119"/>
      <c r="JZW13" s="119"/>
      <c r="JZX13" s="119"/>
      <c r="JZY13" s="119"/>
      <c r="JZZ13" s="119"/>
      <c r="KAA13" s="119"/>
      <c r="KAB13" s="119"/>
      <c r="KAC13" s="119"/>
      <c r="KAD13" s="119"/>
      <c r="KAE13" s="120"/>
      <c r="KAF13" s="120"/>
      <c r="KAG13" s="120"/>
      <c r="KAH13" s="59"/>
      <c r="KAI13" s="119"/>
      <c r="KAJ13" s="119"/>
      <c r="KAK13" s="119"/>
      <c r="KAL13" s="119"/>
      <c r="KAM13" s="119"/>
      <c r="KAN13" s="119"/>
      <c r="KAO13" s="119"/>
      <c r="KAP13" s="119"/>
      <c r="KAQ13" s="119"/>
      <c r="KAR13" s="119"/>
      <c r="KAS13" s="119"/>
      <c r="KAT13" s="119"/>
      <c r="KAU13" s="120"/>
      <c r="KAV13" s="120"/>
      <c r="KAW13" s="120"/>
      <c r="KAX13" s="59"/>
      <c r="KAY13" s="119"/>
      <c r="KAZ13" s="119"/>
      <c r="KBA13" s="119"/>
      <c r="KBB13" s="119"/>
      <c r="KBC13" s="119"/>
      <c r="KBD13" s="119"/>
      <c r="KBE13" s="119"/>
      <c r="KBF13" s="119"/>
      <c r="KBG13" s="119"/>
      <c r="KBH13" s="119"/>
      <c r="KBI13" s="119"/>
      <c r="KBJ13" s="119"/>
      <c r="KBK13" s="120"/>
      <c r="KBL13" s="120"/>
      <c r="KBM13" s="120"/>
      <c r="KBN13" s="59"/>
      <c r="KBO13" s="119"/>
      <c r="KBP13" s="119"/>
      <c r="KBQ13" s="119"/>
      <c r="KBR13" s="119"/>
      <c r="KBS13" s="119"/>
      <c r="KBT13" s="119"/>
      <c r="KBU13" s="119"/>
      <c r="KBV13" s="119"/>
      <c r="KBW13" s="119"/>
      <c r="KBX13" s="119"/>
      <c r="KBY13" s="119"/>
      <c r="KBZ13" s="119"/>
      <c r="KCA13" s="120"/>
      <c r="KCB13" s="120"/>
      <c r="KCC13" s="120"/>
      <c r="KCD13" s="59"/>
      <c r="KCE13" s="119"/>
      <c r="KCF13" s="119"/>
      <c r="KCG13" s="119"/>
      <c r="KCH13" s="119"/>
      <c r="KCI13" s="119"/>
      <c r="KCJ13" s="119"/>
      <c r="KCK13" s="119"/>
      <c r="KCL13" s="119"/>
      <c r="KCM13" s="119"/>
      <c r="KCN13" s="119"/>
      <c r="KCO13" s="119"/>
      <c r="KCP13" s="119"/>
      <c r="KCQ13" s="120"/>
      <c r="KCR13" s="120"/>
      <c r="KCS13" s="120"/>
      <c r="KCT13" s="59"/>
      <c r="KCU13" s="119"/>
      <c r="KCV13" s="119"/>
      <c r="KCW13" s="119"/>
      <c r="KCX13" s="119"/>
      <c r="KCY13" s="119"/>
      <c r="KCZ13" s="119"/>
      <c r="KDA13" s="119"/>
      <c r="KDB13" s="119"/>
      <c r="KDC13" s="119"/>
      <c r="KDD13" s="119"/>
      <c r="KDE13" s="119"/>
      <c r="KDF13" s="119"/>
      <c r="KDG13" s="120"/>
      <c r="KDH13" s="120"/>
      <c r="KDI13" s="120"/>
      <c r="KDJ13" s="59"/>
      <c r="KDK13" s="119"/>
      <c r="KDL13" s="119"/>
      <c r="KDM13" s="119"/>
      <c r="KDN13" s="119"/>
      <c r="KDO13" s="119"/>
      <c r="KDP13" s="119"/>
      <c r="KDQ13" s="119"/>
      <c r="KDR13" s="119"/>
      <c r="KDS13" s="119"/>
      <c r="KDT13" s="119"/>
      <c r="KDU13" s="119"/>
      <c r="KDV13" s="119"/>
      <c r="KDW13" s="120"/>
      <c r="KDX13" s="120"/>
      <c r="KDY13" s="120"/>
      <c r="KDZ13" s="59"/>
      <c r="KEA13" s="119"/>
      <c r="KEB13" s="119"/>
      <c r="KEC13" s="119"/>
      <c r="KED13" s="119"/>
      <c r="KEE13" s="119"/>
      <c r="KEF13" s="119"/>
      <c r="KEG13" s="119"/>
      <c r="KEH13" s="119"/>
      <c r="KEI13" s="119"/>
      <c r="KEJ13" s="119"/>
      <c r="KEK13" s="119"/>
      <c r="KEL13" s="119"/>
      <c r="KEM13" s="120"/>
      <c r="KEN13" s="120"/>
      <c r="KEO13" s="120"/>
      <c r="KEP13" s="59"/>
      <c r="KEQ13" s="119"/>
      <c r="KER13" s="119"/>
      <c r="KES13" s="119"/>
      <c r="KET13" s="119"/>
      <c r="KEU13" s="119"/>
      <c r="KEV13" s="119"/>
      <c r="KEW13" s="119"/>
      <c r="KEX13" s="119"/>
      <c r="KEY13" s="119"/>
      <c r="KEZ13" s="119"/>
      <c r="KFA13" s="119"/>
      <c r="KFB13" s="119"/>
      <c r="KFC13" s="120"/>
      <c r="KFD13" s="120"/>
      <c r="KFE13" s="120"/>
      <c r="KFF13" s="59"/>
      <c r="KFG13" s="119"/>
      <c r="KFH13" s="119"/>
      <c r="KFI13" s="119"/>
      <c r="KFJ13" s="119"/>
      <c r="KFK13" s="119"/>
      <c r="KFL13" s="119"/>
      <c r="KFM13" s="119"/>
      <c r="KFN13" s="119"/>
      <c r="KFO13" s="119"/>
      <c r="KFP13" s="119"/>
      <c r="KFQ13" s="119"/>
      <c r="KFR13" s="119"/>
      <c r="KFS13" s="120"/>
      <c r="KFT13" s="120"/>
      <c r="KFU13" s="120"/>
      <c r="KFV13" s="59"/>
      <c r="KFW13" s="119"/>
      <c r="KFX13" s="119"/>
      <c r="KFY13" s="119"/>
      <c r="KFZ13" s="119"/>
      <c r="KGA13" s="119"/>
      <c r="KGB13" s="119"/>
      <c r="KGC13" s="119"/>
      <c r="KGD13" s="119"/>
      <c r="KGE13" s="119"/>
      <c r="KGF13" s="119"/>
      <c r="KGG13" s="119"/>
      <c r="KGH13" s="119"/>
      <c r="KGI13" s="120"/>
      <c r="KGJ13" s="120"/>
      <c r="KGK13" s="120"/>
      <c r="KGL13" s="59"/>
      <c r="KGM13" s="119"/>
      <c r="KGN13" s="119"/>
      <c r="KGO13" s="119"/>
      <c r="KGP13" s="119"/>
      <c r="KGQ13" s="119"/>
      <c r="KGR13" s="119"/>
      <c r="KGS13" s="119"/>
      <c r="KGT13" s="119"/>
      <c r="KGU13" s="119"/>
      <c r="KGV13" s="119"/>
      <c r="KGW13" s="119"/>
      <c r="KGX13" s="119"/>
      <c r="KGY13" s="120"/>
      <c r="KGZ13" s="120"/>
      <c r="KHA13" s="120"/>
      <c r="KHB13" s="59"/>
      <c r="KHC13" s="119"/>
      <c r="KHD13" s="119"/>
      <c r="KHE13" s="119"/>
      <c r="KHF13" s="119"/>
      <c r="KHG13" s="119"/>
      <c r="KHH13" s="119"/>
      <c r="KHI13" s="119"/>
      <c r="KHJ13" s="119"/>
      <c r="KHK13" s="119"/>
      <c r="KHL13" s="119"/>
      <c r="KHM13" s="119"/>
      <c r="KHN13" s="119"/>
      <c r="KHO13" s="120"/>
      <c r="KHP13" s="120"/>
      <c r="KHQ13" s="120"/>
      <c r="KHR13" s="59"/>
      <c r="KHS13" s="119"/>
      <c r="KHT13" s="119"/>
      <c r="KHU13" s="119"/>
      <c r="KHV13" s="119"/>
      <c r="KHW13" s="119"/>
      <c r="KHX13" s="119"/>
      <c r="KHY13" s="119"/>
      <c r="KHZ13" s="119"/>
      <c r="KIA13" s="119"/>
      <c r="KIB13" s="119"/>
      <c r="KIC13" s="119"/>
      <c r="KID13" s="119"/>
      <c r="KIE13" s="120"/>
      <c r="KIF13" s="120"/>
      <c r="KIG13" s="120"/>
      <c r="KIH13" s="59"/>
      <c r="KII13" s="119"/>
      <c r="KIJ13" s="119"/>
      <c r="KIK13" s="119"/>
      <c r="KIL13" s="119"/>
      <c r="KIM13" s="119"/>
      <c r="KIN13" s="119"/>
      <c r="KIO13" s="119"/>
      <c r="KIP13" s="119"/>
      <c r="KIQ13" s="119"/>
      <c r="KIR13" s="119"/>
      <c r="KIS13" s="119"/>
      <c r="KIT13" s="119"/>
      <c r="KIU13" s="120"/>
      <c r="KIV13" s="120"/>
      <c r="KIW13" s="120"/>
      <c r="KIX13" s="59"/>
      <c r="KIY13" s="119"/>
      <c r="KIZ13" s="119"/>
      <c r="KJA13" s="119"/>
      <c r="KJB13" s="119"/>
      <c r="KJC13" s="119"/>
      <c r="KJD13" s="119"/>
      <c r="KJE13" s="119"/>
      <c r="KJF13" s="119"/>
      <c r="KJG13" s="119"/>
      <c r="KJH13" s="119"/>
      <c r="KJI13" s="119"/>
      <c r="KJJ13" s="119"/>
      <c r="KJK13" s="120"/>
      <c r="KJL13" s="120"/>
      <c r="KJM13" s="120"/>
      <c r="KJN13" s="59"/>
      <c r="KJO13" s="119"/>
      <c r="KJP13" s="119"/>
      <c r="KJQ13" s="119"/>
      <c r="KJR13" s="119"/>
      <c r="KJS13" s="119"/>
      <c r="KJT13" s="119"/>
      <c r="KJU13" s="119"/>
      <c r="KJV13" s="119"/>
      <c r="KJW13" s="119"/>
      <c r="KJX13" s="119"/>
      <c r="KJY13" s="119"/>
      <c r="KJZ13" s="119"/>
      <c r="KKA13" s="120"/>
      <c r="KKB13" s="120"/>
      <c r="KKC13" s="120"/>
      <c r="KKD13" s="59"/>
      <c r="KKE13" s="119"/>
      <c r="KKF13" s="119"/>
      <c r="KKG13" s="119"/>
      <c r="KKH13" s="119"/>
      <c r="KKI13" s="119"/>
      <c r="KKJ13" s="119"/>
      <c r="KKK13" s="119"/>
      <c r="KKL13" s="119"/>
      <c r="KKM13" s="119"/>
      <c r="KKN13" s="119"/>
      <c r="KKO13" s="119"/>
      <c r="KKP13" s="119"/>
      <c r="KKQ13" s="120"/>
      <c r="KKR13" s="120"/>
      <c r="KKS13" s="120"/>
      <c r="KKT13" s="59"/>
      <c r="KKU13" s="119"/>
      <c r="KKV13" s="119"/>
      <c r="KKW13" s="119"/>
      <c r="KKX13" s="119"/>
      <c r="KKY13" s="119"/>
      <c r="KKZ13" s="119"/>
      <c r="KLA13" s="119"/>
      <c r="KLB13" s="119"/>
      <c r="KLC13" s="119"/>
      <c r="KLD13" s="119"/>
      <c r="KLE13" s="119"/>
      <c r="KLF13" s="119"/>
      <c r="KLG13" s="120"/>
      <c r="KLH13" s="120"/>
      <c r="KLI13" s="120"/>
      <c r="KLJ13" s="59"/>
      <c r="KLK13" s="119"/>
      <c r="KLL13" s="119"/>
      <c r="KLM13" s="119"/>
      <c r="KLN13" s="119"/>
      <c r="KLO13" s="119"/>
      <c r="KLP13" s="119"/>
      <c r="KLQ13" s="119"/>
      <c r="KLR13" s="119"/>
      <c r="KLS13" s="119"/>
      <c r="KLT13" s="119"/>
      <c r="KLU13" s="119"/>
      <c r="KLV13" s="119"/>
      <c r="KLW13" s="120"/>
      <c r="KLX13" s="120"/>
      <c r="KLY13" s="120"/>
      <c r="KLZ13" s="59"/>
      <c r="KMA13" s="119"/>
      <c r="KMB13" s="119"/>
      <c r="KMC13" s="119"/>
      <c r="KMD13" s="119"/>
      <c r="KME13" s="119"/>
      <c r="KMF13" s="119"/>
      <c r="KMG13" s="119"/>
      <c r="KMH13" s="119"/>
      <c r="KMI13" s="119"/>
      <c r="KMJ13" s="119"/>
      <c r="KMK13" s="119"/>
      <c r="KML13" s="119"/>
      <c r="KMM13" s="120"/>
      <c r="KMN13" s="120"/>
      <c r="KMO13" s="120"/>
      <c r="KMP13" s="59"/>
      <c r="KMQ13" s="119"/>
      <c r="KMR13" s="119"/>
      <c r="KMS13" s="119"/>
      <c r="KMT13" s="119"/>
      <c r="KMU13" s="119"/>
      <c r="KMV13" s="119"/>
      <c r="KMW13" s="119"/>
      <c r="KMX13" s="119"/>
      <c r="KMY13" s="119"/>
      <c r="KMZ13" s="119"/>
      <c r="KNA13" s="119"/>
      <c r="KNB13" s="119"/>
      <c r="KNC13" s="120"/>
      <c r="KND13" s="120"/>
      <c r="KNE13" s="120"/>
      <c r="KNF13" s="59"/>
      <c r="KNG13" s="119"/>
      <c r="KNH13" s="119"/>
      <c r="KNI13" s="119"/>
      <c r="KNJ13" s="119"/>
      <c r="KNK13" s="119"/>
      <c r="KNL13" s="119"/>
      <c r="KNM13" s="119"/>
      <c r="KNN13" s="119"/>
      <c r="KNO13" s="119"/>
      <c r="KNP13" s="119"/>
      <c r="KNQ13" s="119"/>
      <c r="KNR13" s="119"/>
      <c r="KNS13" s="120"/>
      <c r="KNT13" s="120"/>
      <c r="KNU13" s="120"/>
      <c r="KNV13" s="59"/>
      <c r="KNW13" s="119"/>
      <c r="KNX13" s="119"/>
      <c r="KNY13" s="119"/>
      <c r="KNZ13" s="119"/>
      <c r="KOA13" s="119"/>
      <c r="KOB13" s="119"/>
      <c r="KOC13" s="119"/>
      <c r="KOD13" s="119"/>
      <c r="KOE13" s="119"/>
      <c r="KOF13" s="119"/>
      <c r="KOG13" s="119"/>
      <c r="KOH13" s="119"/>
      <c r="KOI13" s="120"/>
      <c r="KOJ13" s="120"/>
      <c r="KOK13" s="120"/>
      <c r="KOL13" s="59"/>
      <c r="KOM13" s="119"/>
      <c r="KON13" s="119"/>
      <c r="KOO13" s="119"/>
      <c r="KOP13" s="119"/>
      <c r="KOQ13" s="119"/>
      <c r="KOR13" s="119"/>
      <c r="KOS13" s="119"/>
      <c r="KOT13" s="119"/>
      <c r="KOU13" s="119"/>
      <c r="KOV13" s="119"/>
      <c r="KOW13" s="119"/>
      <c r="KOX13" s="119"/>
      <c r="KOY13" s="120"/>
      <c r="KOZ13" s="120"/>
      <c r="KPA13" s="120"/>
      <c r="KPB13" s="59"/>
      <c r="KPC13" s="119"/>
      <c r="KPD13" s="119"/>
      <c r="KPE13" s="119"/>
      <c r="KPF13" s="119"/>
      <c r="KPG13" s="119"/>
      <c r="KPH13" s="119"/>
      <c r="KPI13" s="119"/>
      <c r="KPJ13" s="119"/>
      <c r="KPK13" s="119"/>
      <c r="KPL13" s="119"/>
      <c r="KPM13" s="119"/>
      <c r="KPN13" s="119"/>
      <c r="KPO13" s="120"/>
      <c r="KPP13" s="120"/>
      <c r="KPQ13" s="120"/>
      <c r="KPR13" s="59"/>
      <c r="KPS13" s="119"/>
      <c r="KPT13" s="119"/>
      <c r="KPU13" s="119"/>
      <c r="KPV13" s="119"/>
      <c r="KPW13" s="119"/>
      <c r="KPX13" s="119"/>
      <c r="KPY13" s="119"/>
      <c r="KPZ13" s="119"/>
      <c r="KQA13" s="119"/>
      <c r="KQB13" s="119"/>
      <c r="KQC13" s="119"/>
      <c r="KQD13" s="119"/>
      <c r="KQE13" s="120"/>
      <c r="KQF13" s="120"/>
      <c r="KQG13" s="120"/>
      <c r="KQH13" s="59"/>
      <c r="KQI13" s="119"/>
      <c r="KQJ13" s="119"/>
      <c r="KQK13" s="119"/>
      <c r="KQL13" s="119"/>
      <c r="KQM13" s="119"/>
      <c r="KQN13" s="119"/>
      <c r="KQO13" s="119"/>
      <c r="KQP13" s="119"/>
      <c r="KQQ13" s="119"/>
      <c r="KQR13" s="119"/>
      <c r="KQS13" s="119"/>
      <c r="KQT13" s="119"/>
      <c r="KQU13" s="120"/>
      <c r="KQV13" s="120"/>
      <c r="KQW13" s="120"/>
      <c r="KQX13" s="59"/>
      <c r="KQY13" s="119"/>
      <c r="KQZ13" s="119"/>
      <c r="KRA13" s="119"/>
      <c r="KRB13" s="119"/>
      <c r="KRC13" s="119"/>
      <c r="KRD13" s="119"/>
      <c r="KRE13" s="119"/>
      <c r="KRF13" s="119"/>
      <c r="KRG13" s="119"/>
      <c r="KRH13" s="119"/>
      <c r="KRI13" s="119"/>
      <c r="KRJ13" s="119"/>
      <c r="KRK13" s="120"/>
      <c r="KRL13" s="120"/>
      <c r="KRM13" s="120"/>
      <c r="KRN13" s="59"/>
      <c r="KRO13" s="119"/>
      <c r="KRP13" s="119"/>
      <c r="KRQ13" s="119"/>
      <c r="KRR13" s="119"/>
      <c r="KRS13" s="119"/>
      <c r="KRT13" s="119"/>
      <c r="KRU13" s="119"/>
      <c r="KRV13" s="119"/>
      <c r="KRW13" s="119"/>
      <c r="KRX13" s="119"/>
      <c r="KRY13" s="119"/>
      <c r="KRZ13" s="119"/>
      <c r="KSA13" s="120"/>
      <c r="KSB13" s="120"/>
      <c r="KSC13" s="120"/>
      <c r="KSD13" s="59"/>
      <c r="KSE13" s="119"/>
      <c r="KSF13" s="119"/>
      <c r="KSG13" s="119"/>
      <c r="KSH13" s="119"/>
      <c r="KSI13" s="119"/>
      <c r="KSJ13" s="119"/>
      <c r="KSK13" s="119"/>
      <c r="KSL13" s="119"/>
      <c r="KSM13" s="119"/>
      <c r="KSN13" s="119"/>
      <c r="KSO13" s="119"/>
      <c r="KSP13" s="119"/>
      <c r="KSQ13" s="120"/>
      <c r="KSR13" s="120"/>
      <c r="KSS13" s="120"/>
      <c r="KST13" s="59"/>
      <c r="KSU13" s="119"/>
      <c r="KSV13" s="119"/>
      <c r="KSW13" s="119"/>
      <c r="KSX13" s="119"/>
      <c r="KSY13" s="119"/>
      <c r="KSZ13" s="119"/>
      <c r="KTA13" s="119"/>
      <c r="KTB13" s="119"/>
      <c r="KTC13" s="119"/>
      <c r="KTD13" s="119"/>
      <c r="KTE13" s="119"/>
      <c r="KTF13" s="119"/>
      <c r="KTG13" s="120"/>
      <c r="KTH13" s="120"/>
      <c r="KTI13" s="120"/>
      <c r="KTJ13" s="59"/>
      <c r="KTK13" s="119"/>
      <c r="KTL13" s="119"/>
      <c r="KTM13" s="119"/>
      <c r="KTN13" s="119"/>
      <c r="KTO13" s="119"/>
      <c r="KTP13" s="119"/>
      <c r="KTQ13" s="119"/>
      <c r="KTR13" s="119"/>
      <c r="KTS13" s="119"/>
      <c r="KTT13" s="119"/>
      <c r="KTU13" s="119"/>
      <c r="KTV13" s="119"/>
      <c r="KTW13" s="120"/>
      <c r="KTX13" s="120"/>
      <c r="KTY13" s="120"/>
      <c r="KTZ13" s="59"/>
      <c r="KUA13" s="119"/>
      <c r="KUB13" s="119"/>
      <c r="KUC13" s="119"/>
      <c r="KUD13" s="119"/>
      <c r="KUE13" s="119"/>
      <c r="KUF13" s="119"/>
      <c r="KUG13" s="119"/>
      <c r="KUH13" s="119"/>
      <c r="KUI13" s="119"/>
      <c r="KUJ13" s="119"/>
      <c r="KUK13" s="119"/>
      <c r="KUL13" s="119"/>
      <c r="KUM13" s="120"/>
      <c r="KUN13" s="120"/>
      <c r="KUO13" s="120"/>
      <c r="KUP13" s="59"/>
      <c r="KUQ13" s="119"/>
      <c r="KUR13" s="119"/>
      <c r="KUS13" s="119"/>
      <c r="KUT13" s="119"/>
      <c r="KUU13" s="119"/>
      <c r="KUV13" s="119"/>
      <c r="KUW13" s="119"/>
      <c r="KUX13" s="119"/>
      <c r="KUY13" s="119"/>
      <c r="KUZ13" s="119"/>
      <c r="KVA13" s="119"/>
      <c r="KVB13" s="119"/>
      <c r="KVC13" s="120"/>
      <c r="KVD13" s="120"/>
      <c r="KVE13" s="120"/>
      <c r="KVF13" s="59"/>
      <c r="KVG13" s="119"/>
      <c r="KVH13" s="119"/>
      <c r="KVI13" s="119"/>
      <c r="KVJ13" s="119"/>
      <c r="KVK13" s="119"/>
      <c r="KVL13" s="119"/>
      <c r="KVM13" s="119"/>
      <c r="KVN13" s="119"/>
      <c r="KVO13" s="119"/>
      <c r="KVP13" s="119"/>
      <c r="KVQ13" s="119"/>
      <c r="KVR13" s="119"/>
      <c r="KVS13" s="120"/>
      <c r="KVT13" s="120"/>
      <c r="KVU13" s="120"/>
      <c r="KVV13" s="59"/>
      <c r="KVW13" s="119"/>
      <c r="KVX13" s="119"/>
      <c r="KVY13" s="119"/>
      <c r="KVZ13" s="119"/>
      <c r="KWA13" s="119"/>
      <c r="KWB13" s="119"/>
      <c r="KWC13" s="119"/>
      <c r="KWD13" s="119"/>
      <c r="KWE13" s="119"/>
      <c r="KWF13" s="119"/>
      <c r="KWG13" s="119"/>
      <c r="KWH13" s="119"/>
      <c r="KWI13" s="120"/>
      <c r="KWJ13" s="120"/>
      <c r="KWK13" s="120"/>
      <c r="KWL13" s="59"/>
      <c r="KWM13" s="119"/>
      <c r="KWN13" s="119"/>
      <c r="KWO13" s="119"/>
      <c r="KWP13" s="119"/>
      <c r="KWQ13" s="119"/>
      <c r="KWR13" s="119"/>
      <c r="KWS13" s="119"/>
      <c r="KWT13" s="119"/>
      <c r="KWU13" s="119"/>
      <c r="KWV13" s="119"/>
      <c r="KWW13" s="119"/>
      <c r="KWX13" s="119"/>
      <c r="KWY13" s="120"/>
      <c r="KWZ13" s="120"/>
      <c r="KXA13" s="120"/>
      <c r="KXB13" s="59"/>
      <c r="KXC13" s="119"/>
      <c r="KXD13" s="119"/>
      <c r="KXE13" s="119"/>
      <c r="KXF13" s="119"/>
      <c r="KXG13" s="119"/>
      <c r="KXH13" s="119"/>
      <c r="KXI13" s="119"/>
      <c r="KXJ13" s="119"/>
      <c r="KXK13" s="119"/>
      <c r="KXL13" s="119"/>
      <c r="KXM13" s="119"/>
      <c r="KXN13" s="119"/>
      <c r="KXO13" s="120"/>
      <c r="KXP13" s="120"/>
      <c r="KXQ13" s="120"/>
      <c r="KXR13" s="59"/>
      <c r="KXS13" s="119"/>
      <c r="KXT13" s="119"/>
      <c r="KXU13" s="119"/>
      <c r="KXV13" s="119"/>
      <c r="KXW13" s="119"/>
      <c r="KXX13" s="119"/>
      <c r="KXY13" s="119"/>
      <c r="KXZ13" s="119"/>
      <c r="KYA13" s="119"/>
      <c r="KYB13" s="119"/>
      <c r="KYC13" s="119"/>
      <c r="KYD13" s="119"/>
      <c r="KYE13" s="120"/>
      <c r="KYF13" s="120"/>
      <c r="KYG13" s="120"/>
      <c r="KYH13" s="59"/>
      <c r="KYI13" s="119"/>
      <c r="KYJ13" s="119"/>
      <c r="KYK13" s="119"/>
      <c r="KYL13" s="119"/>
      <c r="KYM13" s="119"/>
      <c r="KYN13" s="119"/>
      <c r="KYO13" s="119"/>
      <c r="KYP13" s="119"/>
      <c r="KYQ13" s="119"/>
      <c r="KYR13" s="119"/>
      <c r="KYS13" s="119"/>
      <c r="KYT13" s="119"/>
      <c r="KYU13" s="120"/>
      <c r="KYV13" s="120"/>
      <c r="KYW13" s="120"/>
      <c r="KYX13" s="59"/>
      <c r="KYY13" s="119"/>
      <c r="KYZ13" s="119"/>
      <c r="KZA13" s="119"/>
      <c r="KZB13" s="119"/>
      <c r="KZC13" s="119"/>
      <c r="KZD13" s="119"/>
      <c r="KZE13" s="119"/>
      <c r="KZF13" s="119"/>
      <c r="KZG13" s="119"/>
      <c r="KZH13" s="119"/>
      <c r="KZI13" s="119"/>
      <c r="KZJ13" s="119"/>
      <c r="KZK13" s="120"/>
      <c r="KZL13" s="120"/>
      <c r="KZM13" s="120"/>
      <c r="KZN13" s="59"/>
      <c r="KZO13" s="119"/>
      <c r="KZP13" s="119"/>
      <c r="KZQ13" s="119"/>
      <c r="KZR13" s="119"/>
      <c r="KZS13" s="119"/>
      <c r="KZT13" s="119"/>
      <c r="KZU13" s="119"/>
      <c r="KZV13" s="119"/>
      <c r="KZW13" s="119"/>
      <c r="KZX13" s="119"/>
      <c r="KZY13" s="119"/>
      <c r="KZZ13" s="119"/>
      <c r="LAA13" s="120"/>
      <c r="LAB13" s="120"/>
      <c r="LAC13" s="120"/>
      <c r="LAD13" s="59"/>
      <c r="LAE13" s="119"/>
      <c r="LAF13" s="119"/>
      <c r="LAG13" s="119"/>
      <c r="LAH13" s="119"/>
      <c r="LAI13" s="119"/>
      <c r="LAJ13" s="119"/>
      <c r="LAK13" s="119"/>
      <c r="LAL13" s="119"/>
      <c r="LAM13" s="119"/>
      <c r="LAN13" s="119"/>
      <c r="LAO13" s="119"/>
      <c r="LAP13" s="119"/>
      <c r="LAQ13" s="120"/>
      <c r="LAR13" s="120"/>
      <c r="LAS13" s="120"/>
      <c r="LAT13" s="59"/>
      <c r="LAU13" s="119"/>
      <c r="LAV13" s="119"/>
      <c r="LAW13" s="119"/>
      <c r="LAX13" s="119"/>
      <c r="LAY13" s="119"/>
      <c r="LAZ13" s="119"/>
      <c r="LBA13" s="119"/>
      <c r="LBB13" s="119"/>
      <c r="LBC13" s="119"/>
      <c r="LBD13" s="119"/>
      <c r="LBE13" s="119"/>
      <c r="LBF13" s="119"/>
      <c r="LBG13" s="120"/>
      <c r="LBH13" s="120"/>
      <c r="LBI13" s="120"/>
      <c r="LBJ13" s="59"/>
      <c r="LBK13" s="119"/>
      <c r="LBL13" s="119"/>
      <c r="LBM13" s="119"/>
      <c r="LBN13" s="119"/>
      <c r="LBO13" s="119"/>
      <c r="LBP13" s="119"/>
      <c r="LBQ13" s="119"/>
      <c r="LBR13" s="119"/>
      <c r="LBS13" s="119"/>
      <c r="LBT13" s="119"/>
      <c r="LBU13" s="119"/>
      <c r="LBV13" s="119"/>
      <c r="LBW13" s="120"/>
      <c r="LBX13" s="120"/>
      <c r="LBY13" s="120"/>
      <c r="LBZ13" s="59"/>
      <c r="LCA13" s="119"/>
      <c r="LCB13" s="119"/>
      <c r="LCC13" s="119"/>
      <c r="LCD13" s="119"/>
      <c r="LCE13" s="119"/>
      <c r="LCF13" s="119"/>
      <c r="LCG13" s="119"/>
      <c r="LCH13" s="119"/>
      <c r="LCI13" s="119"/>
      <c r="LCJ13" s="119"/>
      <c r="LCK13" s="119"/>
      <c r="LCL13" s="119"/>
      <c r="LCM13" s="120"/>
      <c r="LCN13" s="120"/>
      <c r="LCO13" s="120"/>
      <c r="LCP13" s="59"/>
      <c r="LCQ13" s="119"/>
      <c r="LCR13" s="119"/>
      <c r="LCS13" s="119"/>
      <c r="LCT13" s="119"/>
      <c r="LCU13" s="119"/>
      <c r="LCV13" s="119"/>
      <c r="LCW13" s="119"/>
      <c r="LCX13" s="119"/>
      <c r="LCY13" s="119"/>
      <c r="LCZ13" s="119"/>
      <c r="LDA13" s="119"/>
      <c r="LDB13" s="119"/>
      <c r="LDC13" s="120"/>
      <c r="LDD13" s="120"/>
      <c r="LDE13" s="120"/>
      <c r="LDF13" s="59"/>
      <c r="LDG13" s="119"/>
      <c r="LDH13" s="119"/>
      <c r="LDI13" s="119"/>
      <c r="LDJ13" s="119"/>
      <c r="LDK13" s="119"/>
      <c r="LDL13" s="119"/>
      <c r="LDM13" s="119"/>
      <c r="LDN13" s="119"/>
      <c r="LDO13" s="119"/>
      <c r="LDP13" s="119"/>
      <c r="LDQ13" s="119"/>
      <c r="LDR13" s="119"/>
      <c r="LDS13" s="120"/>
      <c r="LDT13" s="120"/>
      <c r="LDU13" s="120"/>
      <c r="LDV13" s="59"/>
      <c r="LDW13" s="119"/>
      <c r="LDX13" s="119"/>
      <c r="LDY13" s="119"/>
      <c r="LDZ13" s="119"/>
      <c r="LEA13" s="119"/>
      <c r="LEB13" s="119"/>
      <c r="LEC13" s="119"/>
      <c r="LED13" s="119"/>
      <c r="LEE13" s="119"/>
      <c r="LEF13" s="119"/>
      <c r="LEG13" s="119"/>
      <c r="LEH13" s="119"/>
      <c r="LEI13" s="120"/>
      <c r="LEJ13" s="120"/>
      <c r="LEK13" s="120"/>
      <c r="LEL13" s="59"/>
      <c r="LEM13" s="119"/>
      <c r="LEN13" s="119"/>
      <c r="LEO13" s="119"/>
      <c r="LEP13" s="119"/>
      <c r="LEQ13" s="119"/>
      <c r="LER13" s="119"/>
      <c r="LES13" s="119"/>
      <c r="LET13" s="119"/>
      <c r="LEU13" s="119"/>
      <c r="LEV13" s="119"/>
      <c r="LEW13" s="119"/>
      <c r="LEX13" s="119"/>
      <c r="LEY13" s="120"/>
      <c r="LEZ13" s="120"/>
      <c r="LFA13" s="120"/>
      <c r="LFB13" s="59"/>
      <c r="LFC13" s="119"/>
      <c r="LFD13" s="119"/>
      <c r="LFE13" s="119"/>
      <c r="LFF13" s="119"/>
      <c r="LFG13" s="119"/>
      <c r="LFH13" s="119"/>
      <c r="LFI13" s="119"/>
      <c r="LFJ13" s="119"/>
      <c r="LFK13" s="119"/>
      <c r="LFL13" s="119"/>
      <c r="LFM13" s="119"/>
      <c r="LFN13" s="119"/>
      <c r="LFO13" s="120"/>
      <c r="LFP13" s="120"/>
      <c r="LFQ13" s="120"/>
      <c r="LFR13" s="59"/>
      <c r="LFS13" s="119"/>
      <c r="LFT13" s="119"/>
      <c r="LFU13" s="119"/>
      <c r="LFV13" s="119"/>
      <c r="LFW13" s="119"/>
      <c r="LFX13" s="119"/>
      <c r="LFY13" s="119"/>
      <c r="LFZ13" s="119"/>
      <c r="LGA13" s="119"/>
      <c r="LGB13" s="119"/>
      <c r="LGC13" s="119"/>
      <c r="LGD13" s="119"/>
      <c r="LGE13" s="120"/>
      <c r="LGF13" s="120"/>
      <c r="LGG13" s="120"/>
      <c r="LGH13" s="59"/>
      <c r="LGI13" s="119"/>
      <c r="LGJ13" s="119"/>
      <c r="LGK13" s="119"/>
      <c r="LGL13" s="119"/>
      <c r="LGM13" s="119"/>
      <c r="LGN13" s="119"/>
      <c r="LGO13" s="119"/>
      <c r="LGP13" s="119"/>
      <c r="LGQ13" s="119"/>
      <c r="LGR13" s="119"/>
      <c r="LGS13" s="119"/>
      <c r="LGT13" s="119"/>
      <c r="LGU13" s="120"/>
      <c r="LGV13" s="120"/>
      <c r="LGW13" s="120"/>
      <c r="LGX13" s="59"/>
      <c r="LGY13" s="119"/>
      <c r="LGZ13" s="119"/>
      <c r="LHA13" s="119"/>
      <c r="LHB13" s="119"/>
      <c r="LHC13" s="119"/>
      <c r="LHD13" s="119"/>
      <c r="LHE13" s="119"/>
      <c r="LHF13" s="119"/>
      <c r="LHG13" s="119"/>
      <c r="LHH13" s="119"/>
      <c r="LHI13" s="119"/>
      <c r="LHJ13" s="119"/>
      <c r="LHK13" s="120"/>
      <c r="LHL13" s="120"/>
      <c r="LHM13" s="120"/>
      <c r="LHN13" s="59"/>
      <c r="LHO13" s="119"/>
      <c r="LHP13" s="119"/>
      <c r="LHQ13" s="119"/>
      <c r="LHR13" s="119"/>
      <c r="LHS13" s="119"/>
      <c r="LHT13" s="119"/>
      <c r="LHU13" s="119"/>
      <c r="LHV13" s="119"/>
      <c r="LHW13" s="119"/>
      <c r="LHX13" s="119"/>
      <c r="LHY13" s="119"/>
      <c r="LHZ13" s="119"/>
      <c r="LIA13" s="120"/>
      <c r="LIB13" s="120"/>
      <c r="LIC13" s="120"/>
      <c r="LID13" s="59"/>
      <c r="LIE13" s="119"/>
      <c r="LIF13" s="119"/>
      <c r="LIG13" s="119"/>
      <c r="LIH13" s="119"/>
      <c r="LII13" s="119"/>
      <c r="LIJ13" s="119"/>
      <c r="LIK13" s="119"/>
      <c r="LIL13" s="119"/>
      <c r="LIM13" s="119"/>
      <c r="LIN13" s="119"/>
      <c r="LIO13" s="119"/>
      <c r="LIP13" s="119"/>
      <c r="LIQ13" s="120"/>
      <c r="LIR13" s="120"/>
      <c r="LIS13" s="120"/>
      <c r="LIT13" s="59"/>
      <c r="LIU13" s="119"/>
      <c r="LIV13" s="119"/>
      <c r="LIW13" s="119"/>
      <c r="LIX13" s="119"/>
      <c r="LIY13" s="119"/>
      <c r="LIZ13" s="119"/>
      <c r="LJA13" s="119"/>
      <c r="LJB13" s="119"/>
      <c r="LJC13" s="119"/>
      <c r="LJD13" s="119"/>
      <c r="LJE13" s="119"/>
      <c r="LJF13" s="119"/>
      <c r="LJG13" s="120"/>
      <c r="LJH13" s="120"/>
      <c r="LJI13" s="120"/>
      <c r="LJJ13" s="59"/>
      <c r="LJK13" s="119"/>
      <c r="LJL13" s="119"/>
      <c r="LJM13" s="119"/>
      <c r="LJN13" s="119"/>
      <c r="LJO13" s="119"/>
      <c r="LJP13" s="119"/>
      <c r="LJQ13" s="119"/>
      <c r="LJR13" s="119"/>
      <c r="LJS13" s="119"/>
      <c r="LJT13" s="119"/>
      <c r="LJU13" s="119"/>
      <c r="LJV13" s="119"/>
      <c r="LJW13" s="120"/>
      <c r="LJX13" s="120"/>
      <c r="LJY13" s="120"/>
      <c r="LJZ13" s="59"/>
      <c r="LKA13" s="119"/>
      <c r="LKB13" s="119"/>
      <c r="LKC13" s="119"/>
      <c r="LKD13" s="119"/>
      <c r="LKE13" s="119"/>
      <c r="LKF13" s="119"/>
      <c r="LKG13" s="119"/>
      <c r="LKH13" s="119"/>
      <c r="LKI13" s="119"/>
      <c r="LKJ13" s="119"/>
      <c r="LKK13" s="119"/>
      <c r="LKL13" s="119"/>
      <c r="LKM13" s="120"/>
      <c r="LKN13" s="120"/>
      <c r="LKO13" s="120"/>
      <c r="LKP13" s="59"/>
      <c r="LKQ13" s="119"/>
      <c r="LKR13" s="119"/>
      <c r="LKS13" s="119"/>
      <c r="LKT13" s="119"/>
      <c r="LKU13" s="119"/>
      <c r="LKV13" s="119"/>
      <c r="LKW13" s="119"/>
      <c r="LKX13" s="119"/>
      <c r="LKY13" s="119"/>
      <c r="LKZ13" s="119"/>
      <c r="LLA13" s="119"/>
      <c r="LLB13" s="119"/>
      <c r="LLC13" s="120"/>
      <c r="LLD13" s="120"/>
      <c r="LLE13" s="120"/>
      <c r="LLF13" s="59"/>
      <c r="LLG13" s="119"/>
      <c r="LLH13" s="119"/>
      <c r="LLI13" s="119"/>
      <c r="LLJ13" s="119"/>
      <c r="LLK13" s="119"/>
      <c r="LLL13" s="119"/>
      <c r="LLM13" s="119"/>
      <c r="LLN13" s="119"/>
      <c r="LLO13" s="119"/>
      <c r="LLP13" s="119"/>
      <c r="LLQ13" s="119"/>
      <c r="LLR13" s="119"/>
      <c r="LLS13" s="120"/>
      <c r="LLT13" s="120"/>
      <c r="LLU13" s="120"/>
      <c r="LLV13" s="59"/>
      <c r="LLW13" s="119"/>
      <c r="LLX13" s="119"/>
      <c r="LLY13" s="119"/>
      <c r="LLZ13" s="119"/>
      <c r="LMA13" s="119"/>
      <c r="LMB13" s="119"/>
      <c r="LMC13" s="119"/>
      <c r="LMD13" s="119"/>
      <c r="LME13" s="119"/>
      <c r="LMF13" s="119"/>
      <c r="LMG13" s="119"/>
      <c r="LMH13" s="119"/>
      <c r="LMI13" s="120"/>
      <c r="LMJ13" s="120"/>
      <c r="LMK13" s="120"/>
      <c r="LML13" s="59"/>
      <c r="LMM13" s="119"/>
      <c r="LMN13" s="119"/>
      <c r="LMO13" s="119"/>
      <c r="LMP13" s="119"/>
      <c r="LMQ13" s="119"/>
      <c r="LMR13" s="119"/>
      <c r="LMS13" s="119"/>
      <c r="LMT13" s="119"/>
      <c r="LMU13" s="119"/>
      <c r="LMV13" s="119"/>
      <c r="LMW13" s="119"/>
      <c r="LMX13" s="119"/>
      <c r="LMY13" s="120"/>
      <c r="LMZ13" s="120"/>
      <c r="LNA13" s="120"/>
      <c r="LNB13" s="59"/>
      <c r="LNC13" s="119"/>
      <c r="LND13" s="119"/>
      <c r="LNE13" s="119"/>
      <c r="LNF13" s="119"/>
      <c r="LNG13" s="119"/>
      <c r="LNH13" s="119"/>
      <c r="LNI13" s="119"/>
      <c r="LNJ13" s="119"/>
      <c r="LNK13" s="119"/>
      <c r="LNL13" s="119"/>
      <c r="LNM13" s="119"/>
      <c r="LNN13" s="119"/>
      <c r="LNO13" s="120"/>
      <c r="LNP13" s="120"/>
      <c r="LNQ13" s="120"/>
      <c r="LNR13" s="59"/>
      <c r="LNS13" s="119"/>
      <c r="LNT13" s="119"/>
      <c r="LNU13" s="119"/>
      <c r="LNV13" s="119"/>
      <c r="LNW13" s="119"/>
      <c r="LNX13" s="119"/>
      <c r="LNY13" s="119"/>
      <c r="LNZ13" s="119"/>
      <c r="LOA13" s="119"/>
      <c r="LOB13" s="119"/>
      <c r="LOC13" s="119"/>
      <c r="LOD13" s="119"/>
      <c r="LOE13" s="120"/>
      <c r="LOF13" s="120"/>
      <c r="LOG13" s="120"/>
      <c r="LOH13" s="59"/>
      <c r="LOI13" s="119"/>
      <c r="LOJ13" s="119"/>
      <c r="LOK13" s="119"/>
      <c r="LOL13" s="119"/>
      <c r="LOM13" s="119"/>
      <c r="LON13" s="119"/>
      <c r="LOO13" s="119"/>
      <c r="LOP13" s="119"/>
      <c r="LOQ13" s="119"/>
      <c r="LOR13" s="119"/>
      <c r="LOS13" s="119"/>
      <c r="LOT13" s="119"/>
      <c r="LOU13" s="120"/>
      <c r="LOV13" s="120"/>
      <c r="LOW13" s="120"/>
      <c r="LOX13" s="59"/>
      <c r="LOY13" s="119"/>
      <c r="LOZ13" s="119"/>
      <c r="LPA13" s="119"/>
      <c r="LPB13" s="119"/>
      <c r="LPC13" s="119"/>
      <c r="LPD13" s="119"/>
      <c r="LPE13" s="119"/>
      <c r="LPF13" s="119"/>
      <c r="LPG13" s="119"/>
      <c r="LPH13" s="119"/>
      <c r="LPI13" s="119"/>
      <c r="LPJ13" s="119"/>
      <c r="LPK13" s="120"/>
      <c r="LPL13" s="120"/>
      <c r="LPM13" s="120"/>
      <c r="LPN13" s="59"/>
      <c r="LPO13" s="119"/>
      <c r="LPP13" s="119"/>
      <c r="LPQ13" s="119"/>
      <c r="LPR13" s="119"/>
      <c r="LPS13" s="119"/>
      <c r="LPT13" s="119"/>
      <c r="LPU13" s="119"/>
      <c r="LPV13" s="119"/>
      <c r="LPW13" s="119"/>
      <c r="LPX13" s="119"/>
      <c r="LPY13" s="119"/>
      <c r="LPZ13" s="119"/>
      <c r="LQA13" s="120"/>
      <c r="LQB13" s="120"/>
      <c r="LQC13" s="120"/>
      <c r="LQD13" s="59"/>
      <c r="LQE13" s="119"/>
      <c r="LQF13" s="119"/>
      <c r="LQG13" s="119"/>
      <c r="LQH13" s="119"/>
      <c r="LQI13" s="119"/>
      <c r="LQJ13" s="119"/>
      <c r="LQK13" s="119"/>
      <c r="LQL13" s="119"/>
      <c r="LQM13" s="119"/>
      <c r="LQN13" s="119"/>
      <c r="LQO13" s="119"/>
      <c r="LQP13" s="119"/>
      <c r="LQQ13" s="120"/>
      <c r="LQR13" s="120"/>
      <c r="LQS13" s="120"/>
      <c r="LQT13" s="59"/>
      <c r="LQU13" s="119"/>
      <c r="LQV13" s="119"/>
      <c r="LQW13" s="119"/>
      <c r="LQX13" s="119"/>
      <c r="LQY13" s="119"/>
      <c r="LQZ13" s="119"/>
      <c r="LRA13" s="119"/>
      <c r="LRB13" s="119"/>
      <c r="LRC13" s="119"/>
      <c r="LRD13" s="119"/>
      <c r="LRE13" s="119"/>
      <c r="LRF13" s="119"/>
      <c r="LRG13" s="120"/>
      <c r="LRH13" s="120"/>
      <c r="LRI13" s="120"/>
      <c r="LRJ13" s="59"/>
      <c r="LRK13" s="119"/>
      <c r="LRL13" s="119"/>
      <c r="LRM13" s="119"/>
      <c r="LRN13" s="119"/>
      <c r="LRO13" s="119"/>
      <c r="LRP13" s="119"/>
      <c r="LRQ13" s="119"/>
      <c r="LRR13" s="119"/>
      <c r="LRS13" s="119"/>
      <c r="LRT13" s="119"/>
      <c r="LRU13" s="119"/>
      <c r="LRV13" s="119"/>
      <c r="LRW13" s="120"/>
      <c r="LRX13" s="120"/>
      <c r="LRY13" s="120"/>
      <c r="LRZ13" s="59"/>
      <c r="LSA13" s="119"/>
      <c r="LSB13" s="119"/>
      <c r="LSC13" s="119"/>
      <c r="LSD13" s="119"/>
      <c r="LSE13" s="119"/>
      <c r="LSF13" s="119"/>
      <c r="LSG13" s="119"/>
      <c r="LSH13" s="119"/>
      <c r="LSI13" s="119"/>
      <c r="LSJ13" s="119"/>
      <c r="LSK13" s="119"/>
      <c r="LSL13" s="119"/>
      <c r="LSM13" s="120"/>
      <c r="LSN13" s="120"/>
      <c r="LSO13" s="120"/>
      <c r="LSP13" s="59"/>
      <c r="LSQ13" s="119"/>
      <c r="LSR13" s="119"/>
      <c r="LSS13" s="119"/>
      <c r="LST13" s="119"/>
      <c r="LSU13" s="119"/>
      <c r="LSV13" s="119"/>
      <c r="LSW13" s="119"/>
      <c r="LSX13" s="119"/>
      <c r="LSY13" s="119"/>
      <c r="LSZ13" s="119"/>
      <c r="LTA13" s="119"/>
      <c r="LTB13" s="119"/>
      <c r="LTC13" s="120"/>
      <c r="LTD13" s="120"/>
      <c r="LTE13" s="120"/>
      <c r="LTF13" s="59"/>
      <c r="LTG13" s="119"/>
      <c r="LTH13" s="119"/>
      <c r="LTI13" s="119"/>
      <c r="LTJ13" s="119"/>
      <c r="LTK13" s="119"/>
      <c r="LTL13" s="119"/>
      <c r="LTM13" s="119"/>
      <c r="LTN13" s="119"/>
      <c r="LTO13" s="119"/>
      <c r="LTP13" s="119"/>
      <c r="LTQ13" s="119"/>
      <c r="LTR13" s="119"/>
      <c r="LTS13" s="120"/>
      <c r="LTT13" s="120"/>
      <c r="LTU13" s="120"/>
      <c r="LTV13" s="59"/>
      <c r="LTW13" s="119"/>
      <c r="LTX13" s="119"/>
      <c r="LTY13" s="119"/>
      <c r="LTZ13" s="119"/>
      <c r="LUA13" s="119"/>
      <c r="LUB13" s="119"/>
      <c r="LUC13" s="119"/>
      <c r="LUD13" s="119"/>
      <c r="LUE13" s="119"/>
      <c r="LUF13" s="119"/>
      <c r="LUG13" s="119"/>
      <c r="LUH13" s="119"/>
      <c r="LUI13" s="120"/>
      <c r="LUJ13" s="120"/>
      <c r="LUK13" s="120"/>
      <c r="LUL13" s="59"/>
      <c r="LUM13" s="119"/>
      <c r="LUN13" s="119"/>
      <c r="LUO13" s="119"/>
      <c r="LUP13" s="119"/>
      <c r="LUQ13" s="119"/>
      <c r="LUR13" s="119"/>
      <c r="LUS13" s="119"/>
      <c r="LUT13" s="119"/>
      <c r="LUU13" s="119"/>
      <c r="LUV13" s="119"/>
      <c r="LUW13" s="119"/>
      <c r="LUX13" s="119"/>
      <c r="LUY13" s="120"/>
      <c r="LUZ13" s="120"/>
      <c r="LVA13" s="120"/>
      <c r="LVB13" s="59"/>
      <c r="LVC13" s="119"/>
      <c r="LVD13" s="119"/>
      <c r="LVE13" s="119"/>
      <c r="LVF13" s="119"/>
      <c r="LVG13" s="119"/>
      <c r="LVH13" s="119"/>
      <c r="LVI13" s="119"/>
      <c r="LVJ13" s="119"/>
      <c r="LVK13" s="119"/>
      <c r="LVL13" s="119"/>
      <c r="LVM13" s="119"/>
      <c r="LVN13" s="119"/>
      <c r="LVO13" s="120"/>
      <c r="LVP13" s="120"/>
      <c r="LVQ13" s="120"/>
      <c r="LVR13" s="59"/>
      <c r="LVS13" s="119"/>
      <c r="LVT13" s="119"/>
      <c r="LVU13" s="119"/>
      <c r="LVV13" s="119"/>
      <c r="LVW13" s="119"/>
      <c r="LVX13" s="119"/>
      <c r="LVY13" s="119"/>
      <c r="LVZ13" s="119"/>
      <c r="LWA13" s="119"/>
      <c r="LWB13" s="119"/>
      <c r="LWC13" s="119"/>
      <c r="LWD13" s="119"/>
      <c r="LWE13" s="120"/>
      <c r="LWF13" s="120"/>
      <c r="LWG13" s="120"/>
      <c r="LWH13" s="59"/>
      <c r="LWI13" s="119"/>
      <c r="LWJ13" s="119"/>
      <c r="LWK13" s="119"/>
      <c r="LWL13" s="119"/>
      <c r="LWM13" s="119"/>
      <c r="LWN13" s="119"/>
      <c r="LWO13" s="119"/>
      <c r="LWP13" s="119"/>
      <c r="LWQ13" s="119"/>
      <c r="LWR13" s="119"/>
      <c r="LWS13" s="119"/>
      <c r="LWT13" s="119"/>
      <c r="LWU13" s="120"/>
      <c r="LWV13" s="120"/>
      <c r="LWW13" s="120"/>
      <c r="LWX13" s="59"/>
      <c r="LWY13" s="119"/>
      <c r="LWZ13" s="119"/>
      <c r="LXA13" s="119"/>
      <c r="LXB13" s="119"/>
      <c r="LXC13" s="119"/>
      <c r="LXD13" s="119"/>
      <c r="LXE13" s="119"/>
      <c r="LXF13" s="119"/>
      <c r="LXG13" s="119"/>
      <c r="LXH13" s="119"/>
      <c r="LXI13" s="119"/>
      <c r="LXJ13" s="119"/>
      <c r="LXK13" s="120"/>
      <c r="LXL13" s="120"/>
      <c r="LXM13" s="120"/>
      <c r="LXN13" s="59"/>
      <c r="LXO13" s="119"/>
      <c r="LXP13" s="119"/>
      <c r="LXQ13" s="119"/>
      <c r="LXR13" s="119"/>
      <c r="LXS13" s="119"/>
      <c r="LXT13" s="119"/>
      <c r="LXU13" s="119"/>
      <c r="LXV13" s="119"/>
      <c r="LXW13" s="119"/>
      <c r="LXX13" s="119"/>
      <c r="LXY13" s="119"/>
      <c r="LXZ13" s="119"/>
      <c r="LYA13" s="120"/>
      <c r="LYB13" s="120"/>
      <c r="LYC13" s="120"/>
      <c r="LYD13" s="59"/>
      <c r="LYE13" s="119"/>
      <c r="LYF13" s="119"/>
      <c r="LYG13" s="119"/>
      <c r="LYH13" s="119"/>
      <c r="LYI13" s="119"/>
      <c r="LYJ13" s="119"/>
      <c r="LYK13" s="119"/>
      <c r="LYL13" s="119"/>
      <c r="LYM13" s="119"/>
      <c r="LYN13" s="119"/>
      <c r="LYO13" s="119"/>
      <c r="LYP13" s="119"/>
      <c r="LYQ13" s="120"/>
      <c r="LYR13" s="120"/>
      <c r="LYS13" s="120"/>
      <c r="LYT13" s="59"/>
      <c r="LYU13" s="119"/>
      <c r="LYV13" s="119"/>
      <c r="LYW13" s="119"/>
      <c r="LYX13" s="119"/>
      <c r="LYY13" s="119"/>
      <c r="LYZ13" s="119"/>
      <c r="LZA13" s="119"/>
      <c r="LZB13" s="119"/>
      <c r="LZC13" s="119"/>
      <c r="LZD13" s="119"/>
      <c r="LZE13" s="119"/>
      <c r="LZF13" s="119"/>
      <c r="LZG13" s="120"/>
      <c r="LZH13" s="120"/>
      <c r="LZI13" s="120"/>
      <c r="LZJ13" s="59"/>
      <c r="LZK13" s="119"/>
      <c r="LZL13" s="119"/>
      <c r="LZM13" s="119"/>
      <c r="LZN13" s="119"/>
      <c r="LZO13" s="119"/>
      <c r="LZP13" s="119"/>
      <c r="LZQ13" s="119"/>
      <c r="LZR13" s="119"/>
      <c r="LZS13" s="119"/>
      <c r="LZT13" s="119"/>
      <c r="LZU13" s="119"/>
      <c r="LZV13" s="119"/>
      <c r="LZW13" s="120"/>
      <c r="LZX13" s="120"/>
      <c r="LZY13" s="120"/>
      <c r="LZZ13" s="59"/>
      <c r="MAA13" s="119"/>
      <c r="MAB13" s="119"/>
      <c r="MAC13" s="119"/>
      <c r="MAD13" s="119"/>
      <c r="MAE13" s="119"/>
      <c r="MAF13" s="119"/>
      <c r="MAG13" s="119"/>
      <c r="MAH13" s="119"/>
      <c r="MAI13" s="119"/>
      <c r="MAJ13" s="119"/>
      <c r="MAK13" s="119"/>
      <c r="MAL13" s="119"/>
      <c r="MAM13" s="120"/>
      <c r="MAN13" s="120"/>
      <c r="MAO13" s="120"/>
      <c r="MAP13" s="59"/>
      <c r="MAQ13" s="119"/>
      <c r="MAR13" s="119"/>
      <c r="MAS13" s="119"/>
      <c r="MAT13" s="119"/>
      <c r="MAU13" s="119"/>
      <c r="MAV13" s="119"/>
      <c r="MAW13" s="119"/>
      <c r="MAX13" s="119"/>
      <c r="MAY13" s="119"/>
      <c r="MAZ13" s="119"/>
      <c r="MBA13" s="119"/>
      <c r="MBB13" s="119"/>
      <c r="MBC13" s="120"/>
      <c r="MBD13" s="120"/>
      <c r="MBE13" s="120"/>
      <c r="MBF13" s="59"/>
      <c r="MBG13" s="119"/>
      <c r="MBH13" s="119"/>
      <c r="MBI13" s="119"/>
      <c r="MBJ13" s="119"/>
      <c r="MBK13" s="119"/>
      <c r="MBL13" s="119"/>
      <c r="MBM13" s="119"/>
      <c r="MBN13" s="119"/>
      <c r="MBO13" s="119"/>
      <c r="MBP13" s="119"/>
      <c r="MBQ13" s="119"/>
      <c r="MBR13" s="119"/>
      <c r="MBS13" s="120"/>
      <c r="MBT13" s="120"/>
      <c r="MBU13" s="120"/>
      <c r="MBV13" s="59"/>
      <c r="MBW13" s="119"/>
      <c r="MBX13" s="119"/>
      <c r="MBY13" s="119"/>
      <c r="MBZ13" s="119"/>
      <c r="MCA13" s="119"/>
      <c r="MCB13" s="119"/>
      <c r="MCC13" s="119"/>
      <c r="MCD13" s="119"/>
      <c r="MCE13" s="119"/>
      <c r="MCF13" s="119"/>
      <c r="MCG13" s="119"/>
      <c r="MCH13" s="119"/>
      <c r="MCI13" s="120"/>
      <c r="MCJ13" s="120"/>
      <c r="MCK13" s="120"/>
      <c r="MCL13" s="59"/>
      <c r="MCM13" s="119"/>
      <c r="MCN13" s="119"/>
      <c r="MCO13" s="119"/>
      <c r="MCP13" s="119"/>
      <c r="MCQ13" s="119"/>
      <c r="MCR13" s="119"/>
      <c r="MCS13" s="119"/>
      <c r="MCT13" s="119"/>
      <c r="MCU13" s="119"/>
      <c r="MCV13" s="119"/>
      <c r="MCW13" s="119"/>
      <c r="MCX13" s="119"/>
      <c r="MCY13" s="120"/>
      <c r="MCZ13" s="120"/>
      <c r="MDA13" s="120"/>
      <c r="MDB13" s="59"/>
      <c r="MDC13" s="119"/>
      <c r="MDD13" s="119"/>
      <c r="MDE13" s="119"/>
      <c r="MDF13" s="119"/>
      <c r="MDG13" s="119"/>
      <c r="MDH13" s="119"/>
      <c r="MDI13" s="119"/>
      <c r="MDJ13" s="119"/>
      <c r="MDK13" s="119"/>
      <c r="MDL13" s="119"/>
      <c r="MDM13" s="119"/>
      <c r="MDN13" s="119"/>
      <c r="MDO13" s="120"/>
      <c r="MDP13" s="120"/>
      <c r="MDQ13" s="120"/>
      <c r="MDR13" s="59"/>
      <c r="MDS13" s="119"/>
      <c r="MDT13" s="119"/>
      <c r="MDU13" s="119"/>
      <c r="MDV13" s="119"/>
      <c r="MDW13" s="119"/>
      <c r="MDX13" s="119"/>
      <c r="MDY13" s="119"/>
      <c r="MDZ13" s="119"/>
      <c r="MEA13" s="119"/>
      <c r="MEB13" s="119"/>
      <c r="MEC13" s="119"/>
      <c r="MED13" s="119"/>
      <c r="MEE13" s="120"/>
      <c r="MEF13" s="120"/>
      <c r="MEG13" s="120"/>
      <c r="MEH13" s="59"/>
      <c r="MEI13" s="119"/>
      <c r="MEJ13" s="119"/>
      <c r="MEK13" s="119"/>
      <c r="MEL13" s="119"/>
      <c r="MEM13" s="119"/>
      <c r="MEN13" s="119"/>
      <c r="MEO13" s="119"/>
      <c r="MEP13" s="119"/>
      <c r="MEQ13" s="119"/>
      <c r="MER13" s="119"/>
      <c r="MES13" s="119"/>
      <c r="MET13" s="119"/>
      <c r="MEU13" s="120"/>
      <c r="MEV13" s="120"/>
      <c r="MEW13" s="120"/>
      <c r="MEX13" s="59"/>
      <c r="MEY13" s="119"/>
      <c r="MEZ13" s="119"/>
      <c r="MFA13" s="119"/>
      <c r="MFB13" s="119"/>
      <c r="MFC13" s="119"/>
      <c r="MFD13" s="119"/>
      <c r="MFE13" s="119"/>
      <c r="MFF13" s="119"/>
      <c r="MFG13" s="119"/>
      <c r="MFH13" s="119"/>
      <c r="MFI13" s="119"/>
      <c r="MFJ13" s="119"/>
      <c r="MFK13" s="120"/>
      <c r="MFL13" s="120"/>
      <c r="MFM13" s="120"/>
      <c r="MFN13" s="59"/>
      <c r="MFO13" s="119"/>
      <c r="MFP13" s="119"/>
      <c r="MFQ13" s="119"/>
      <c r="MFR13" s="119"/>
      <c r="MFS13" s="119"/>
      <c r="MFT13" s="119"/>
      <c r="MFU13" s="119"/>
      <c r="MFV13" s="119"/>
      <c r="MFW13" s="119"/>
      <c r="MFX13" s="119"/>
      <c r="MFY13" s="119"/>
      <c r="MFZ13" s="119"/>
      <c r="MGA13" s="120"/>
      <c r="MGB13" s="120"/>
      <c r="MGC13" s="120"/>
      <c r="MGD13" s="59"/>
      <c r="MGE13" s="119"/>
      <c r="MGF13" s="119"/>
      <c r="MGG13" s="119"/>
      <c r="MGH13" s="119"/>
      <c r="MGI13" s="119"/>
      <c r="MGJ13" s="119"/>
      <c r="MGK13" s="119"/>
      <c r="MGL13" s="119"/>
      <c r="MGM13" s="119"/>
      <c r="MGN13" s="119"/>
      <c r="MGO13" s="119"/>
      <c r="MGP13" s="119"/>
      <c r="MGQ13" s="120"/>
      <c r="MGR13" s="120"/>
      <c r="MGS13" s="120"/>
      <c r="MGT13" s="59"/>
      <c r="MGU13" s="119"/>
      <c r="MGV13" s="119"/>
      <c r="MGW13" s="119"/>
      <c r="MGX13" s="119"/>
      <c r="MGY13" s="119"/>
      <c r="MGZ13" s="119"/>
      <c r="MHA13" s="119"/>
      <c r="MHB13" s="119"/>
      <c r="MHC13" s="119"/>
      <c r="MHD13" s="119"/>
      <c r="MHE13" s="119"/>
      <c r="MHF13" s="119"/>
      <c r="MHG13" s="120"/>
      <c r="MHH13" s="120"/>
      <c r="MHI13" s="120"/>
      <c r="MHJ13" s="59"/>
      <c r="MHK13" s="119"/>
      <c r="MHL13" s="119"/>
      <c r="MHM13" s="119"/>
      <c r="MHN13" s="119"/>
      <c r="MHO13" s="119"/>
      <c r="MHP13" s="119"/>
      <c r="MHQ13" s="119"/>
      <c r="MHR13" s="119"/>
      <c r="MHS13" s="119"/>
      <c r="MHT13" s="119"/>
      <c r="MHU13" s="119"/>
      <c r="MHV13" s="119"/>
      <c r="MHW13" s="120"/>
      <c r="MHX13" s="120"/>
      <c r="MHY13" s="120"/>
      <c r="MHZ13" s="59"/>
      <c r="MIA13" s="119"/>
      <c r="MIB13" s="119"/>
      <c r="MIC13" s="119"/>
      <c r="MID13" s="119"/>
      <c r="MIE13" s="119"/>
      <c r="MIF13" s="119"/>
      <c r="MIG13" s="119"/>
      <c r="MIH13" s="119"/>
      <c r="MII13" s="119"/>
      <c r="MIJ13" s="119"/>
      <c r="MIK13" s="119"/>
      <c r="MIL13" s="119"/>
      <c r="MIM13" s="120"/>
      <c r="MIN13" s="120"/>
      <c r="MIO13" s="120"/>
      <c r="MIP13" s="59"/>
      <c r="MIQ13" s="119"/>
      <c r="MIR13" s="119"/>
      <c r="MIS13" s="119"/>
      <c r="MIT13" s="119"/>
      <c r="MIU13" s="119"/>
      <c r="MIV13" s="119"/>
      <c r="MIW13" s="119"/>
      <c r="MIX13" s="119"/>
      <c r="MIY13" s="119"/>
      <c r="MIZ13" s="119"/>
      <c r="MJA13" s="119"/>
      <c r="MJB13" s="119"/>
      <c r="MJC13" s="120"/>
      <c r="MJD13" s="120"/>
      <c r="MJE13" s="120"/>
      <c r="MJF13" s="59"/>
      <c r="MJG13" s="119"/>
      <c r="MJH13" s="119"/>
      <c r="MJI13" s="119"/>
      <c r="MJJ13" s="119"/>
      <c r="MJK13" s="119"/>
      <c r="MJL13" s="119"/>
      <c r="MJM13" s="119"/>
      <c r="MJN13" s="119"/>
      <c r="MJO13" s="119"/>
      <c r="MJP13" s="119"/>
      <c r="MJQ13" s="119"/>
      <c r="MJR13" s="119"/>
      <c r="MJS13" s="120"/>
      <c r="MJT13" s="120"/>
      <c r="MJU13" s="120"/>
      <c r="MJV13" s="59"/>
      <c r="MJW13" s="119"/>
      <c r="MJX13" s="119"/>
      <c r="MJY13" s="119"/>
      <c r="MJZ13" s="119"/>
      <c r="MKA13" s="119"/>
      <c r="MKB13" s="119"/>
      <c r="MKC13" s="119"/>
      <c r="MKD13" s="119"/>
      <c r="MKE13" s="119"/>
      <c r="MKF13" s="119"/>
      <c r="MKG13" s="119"/>
      <c r="MKH13" s="119"/>
      <c r="MKI13" s="120"/>
      <c r="MKJ13" s="120"/>
      <c r="MKK13" s="120"/>
      <c r="MKL13" s="59"/>
      <c r="MKM13" s="119"/>
      <c r="MKN13" s="119"/>
      <c r="MKO13" s="119"/>
      <c r="MKP13" s="119"/>
      <c r="MKQ13" s="119"/>
      <c r="MKR13" s="119"/>
      <c r="MKS13" s="119"/>
      <c r="MKT13" s="119"/>
      <c r="MKU13" s="119"/>
      <c r="MKV13" s="119"/>
      <c r="MKW13" s="119"/>
      <c r="MKX13" s="119"/>
      <c r="MKY13" s="120"/>
      <c r="MKZ13" s="120"/>
      <c r="MLA13" s="120"/>
      <c r="MLB13" s="59"/>
      <c r="MLC13" s="119"/>
      <c r="MLD13" s="119"/>
      <c r="MLE13" s="119"/>
      <c r="MLF13" s="119"/>
      <c r="MLG13" s="119"/>
      <c r="MLH13" s="119"/>
      <c r="MLI13" s="119"/>
      <c r="MLJ13" s="119"/>
      <c r="MLK13" s="119"/>
      <c r="MLL13" s="119"/>
      <c r="MLM13" s="119"/>
      <c r="MLN13" s="119"/>
      <c r="MLO13" s="120"/>
      <c r="MLP13" s="120"/>
      <c r="MLQ13" s="120"/>
      <c r="MLR13" s="59"/>
      <c r="MLS13" s="119"/>
      <c r="MLT13" s="119"/>
      <c r="MLU13" s="119"/>
      <c r="MLV13" s="119"/>
      <c r="MLW13" s="119"/>
      <c r="MLX13" s="119"/>
      <c r="MLY13" s="119"/>
      <c r="MLZ13" s="119"/>
      <c r="MMA13" s="119"/>
      <c r="MMB13" s="119"/>
      <c r="MMC13" s="119"/>
      <c r="MMD13" s="119"/>
      <c r="MME13" s="120"/>
      <c r="MMF13" s="120"/>
      <c r="MMG13" s="120"/>
      <c r="MMH13" s="59"/>
      <c r="MMI13" s="119"/>
      <c r="MMJ13" s="119"/>
      <c r="MMK13" s="119"/>
      <c r="MML13" s="119"/>
      <c r="MMM13" s="119"/>
      <c r="MMN13" s="119"/>
      <c r="MMO13" s="119"/>
      <c r="MMP13" s="119"/>
      <c r="MMQ13" s="119"/>
      <c r="MMR13" s="119"/>
      <c r="MMS13" s="119"/>
      <c r="MMT13" s="119"/>
      <c r="MMU13" s="120"/>
      <c r="MMV13" s="120"/>
      <c r="MMW13" s="120"/>
      <c r="MMX13" s="59"/>
      <c r="MMY13" s="119"/>
      <c r="MMZ13" s="119"/>
      <c r="MNA13" s="119"/>
      <c r="MNB13" s="119"/>
      <c r="MNC13" s="119"/>
      <c r="MND13" s="119"/>
      <c r="MNE13" s="119"/>
      <c r="MNF13" s="119"/>
      <c r="MNG13" s="119"/>
      <c r="MNH13" s="119"/>
      <c r="MNI13" s="119"/>
      <c r="MNJ13" s="119"/>
      <c r="MNK13" s="120"/>
      <c r="MNL13" s="120"/>
      <c r="MNM13" s="120"/>
      <c r="MNN13" s="59"/>
      <c r="MNO13" s="119"/>
      <c r="MNP13" s="119"/>
      <c r="MNQ13" s="119"/>
      <c r="MNR13" s="119"/>
      <c r="MNS13" s="119"/>
      <c r="MNT13" s="119"/>
      <c r="MNU13" s="119"/>
      <c r="MNV13" s="119"/>
      <c r="MNW13" s="119"/>
      <c r="MNX13" s="119"/>
      <c r="MNY13" s="119"/>
      <c r="MNZ13" s="119"/>
      <c r="MOA13" s="120"/>
      <c r="MOB13" s="120"/>
      <c r="MOC13" s="120"/>
      <c r="MOD13" s="59"/>
      <c r="MOE13" s="119"/>
      <c r="MOF13" s="119"/>
      <c r="MOG13" s="119"/>
      <c r="MOH13" s="119"/>
      <c r="MOI13" s="119"/>
      <c r="MOJ13" s="119"/>
      <c r="MOK13" s="119"/>
      <c r="MOL13" s="119"/>
      <c r="MOM13" s="119"/>
      <c r="MON13" s="119"/>
      <c r="MOO13" s="119"/>
      <c r="MOP13" s="119"/>
      <c r="MOQ13" s="120"/>
      <c r="MOR13" s="120"/>
      <c r="MOS13" s="120"/>
      <c r="MOT13" s="59"/>
      <c r="MOU13" s="119"/>
      <c r="MOV13" s="119"/>
      <c r="MOW13" s="119"/>
      <c r="MOX13" s="119"/>
      <c r="MOY13" s="119"/>
      <c r="MOZ13" s="119"/>
      <c r="MPA13" s="119"/>
      <c r="MPB13" s="119"/>
      <c r="MPC13" s="119"/>
      <c r="MPD13" s="119"/>
      <c r="MPE13" s="119"/>
      <c r="MPF13" s="119"/>
      <c r="MPG13" s="120"/>
      <c r="MPH13" s="120"/>
      <c r="MPI13" s="120"/>
      <c r="MPJ13" s="59"/>
      <c r="MPK13" s="119"/>
      <c r="MPL13" s="119"/>
      <c r="MPM13" s="119"/>
      <c r="MPN13" s="119"/>
      <c r="MPO13" s="119"/>
      <c r="MPP13" s="119"/>
      <c r="MPQ13" s="119"/>
      <c r="MPR13" s="119"/>
      <c r="MPS13" s="119"/>
      <c r="MPT13" s="119"/>
      <c r="MPU13" s="119"/>
      <c r="MPV13" s="119"/>
      <c r="MPW13" s="120"/>
      <c r="MPX13" s="120"/>
      <c r="MPY13" s="120"/>
      <c r="MPZ13" s="59"/>
      <c r="MQA13" s="119"/>
      <c r="MQB13" s="119"/>
      <c r="MQC13" s="119"/>
      <c r="MQD13" s="119"/>
      <c r="MQE13" s="119"/>
      <c r="MQF13" s="119"/>
      <c r="MQG13" s="119"/>
      <c r="MQH13" s="119"/>
      <c r="MQI13" s="119"/>
      <c r="MQJ13" s="119"/>
      <c r="MQK13" s="119"/>
      <c r="MQL13" s="119"/>
      <c r="MQM13" s="120"/>
      <c r="MQN13" s="120"/>
      <c r="MQO13" s="120"/>
      <c r="MQP13" s="59"/>
      <c r="MQQ13" s="119"/>
      <c r="MQR13" s="119"/>
      <c r="MQS13" s="119"/>
      <c r="MQT13" s="119"/>
      <c r="MQU13" s="119"/>
      <c r="MQV13" s="119"/>
      <c r="MQW13" s="119"/>
      <c r="MQX13" s="119"/>
      <c r="MQY13" s="119"/>
      <c r="MQZ13" s="119"/>
      <c r="MRA13" s="119"/>
      <c r="MRB13" s="119"/>
      <c r="MRC13" s="120"/>
      <c r="MRD13" s="120"/>
      <c r="MRE13" s="120"/>
      <c r="MRF13" s="59"/>
      <c r="MRG13" s="119"/>
      <c r="MRH13" s="119"/>
      <c r="MRI13" s="119"/>
      <c r="MRJ13" s="119"/>
      <c r="MRK13" s="119"/>
      <c r="MRL13" s="119"/>
      <c r="MRM13" s="119"/>
      <c r="MRN13" s="119"/>
      <c r="MRO13" s="119"/>
      <c r="MRP13" s="119"/>
      <c r="MRQ13" s="119"/>
      <c r="MRR13" s="119"/>
      <c r="MRS13" s="120"/>
      <c r="MRT13" s="120"/>
      <c r="MRU13" s="120"/>
      <c r="MRV13" s="59"/>
      <c r="MRW13" s="119"/>
      <c r="MRX13" s="119"/>
      <c r="MRY13" s="119"/>
      <c r="MRZ13" s="119"/>
      <c r="MSA13" s="119"/>
      <c r="MSB13" s="119"/>
      <c r="MSC13" s="119"/>
      <c r="MSD13" s="119"/>
      <c r="MSE13" s="119"/>
      <c r="MSF13" s="119"/>
      <c r="MSG13" s="119"/>
      <c r="MSH13" s="119"/>
      <c r="MSI13" s="120"/>
      <c r="MSJ13" s="120"/>
      <c r="MSK13" s="120"/>
      <c r="MSL13" s="59"/>
      <c r="MSM13" s="119"/>
      <c r="MSN13" s="119"/>
      <c r="MSO13" s="119"/>
      <c r="MSP13" s="119"/>
      <c r="MSQ13" s="119"/>
      <c r="MSR13" s="119"/>
      <c r="MSS13" s="119"/>
      <c r="MST13" s="119"/>
      <c r="MSU13" s="119"/>
      <c r="MSV13" s="119"/>
      <c r="MSW13" s="119"/>
      <c r="MSX13" s="119"/>
      <c r="MSY13" s="120"/>
      <c r="MSZ13" s="120"/>
      <c r="MTA13" s="120"/>
      <c r="MTB13" s="59"/>
      <c r="MTC13" s="119"/>
      <c r="MTD13" s="119"/>
      <c r="MTE13" s="119"/>
      <c r="MTF13" s="119"/>
      <c r="MTG13" s="119"/>
      <c r="MTH13" s="119"/>
      <c r="MTI13" s="119"/>
      <c r="MTJ13" s="119"/>
      <c r="MTK13" s="119"/>
      <c r="MTL13" s="119"/>
      <c r="MTM13" s="119"/>
      <c r="MTN13" s="119"/>
      <c r="MTO13" s="120"/>
      <c r="MTP13" s="120"/>
      <c r="MTQ13" s="120"/>
      <c r="MTR13" s="59"/>
      <c r="MTS13" s="119"/>
      <c r="MTT13" s="119"/>
      <c r="MTU13" s="119"/>
      <c r="MTV13" s="119"/>
      <c r="MTW13" s="119"/>
      <c r="MTX13" s="119"/>
      <c r="MTY13" s="119"/>
      <c r="MTZ13" s="119"/>
      <c r="MUA13" s="119"/>
      <c r="MUB13" s="119"/>
      <c r="MUC13" s="119"/>
      <c r="MUD13" s="119"/>
      <c r="MUE13" s="120"/>
      <c r="MUF13" s="120"/>
      <c r="MUG13" s="120"/>
      <c r="MUH13" s="59"/>
      <c r="MUI13" s="119"/>
      <c r="MUJ13" s="119"/>
      <c r="MUK13" s="119"/>
      <c r="MUL13" s="119"/>
      <c r="MUM13" s="119"/>
      <c r="MUN13" s="119"/>
      <c r="MUO13" s="119"/>
      <c r="MUP13" s="119"/>
      <c r="MUQ13" s="119"/>
      <c r="MUR13" s="119"/>
      <c r="MUS13" s="119"/>
      <c r="MUT13" s="119"/>
      <c r="MUU13" s="120"/>
      <c r="MUV13" s="120"/>
      <c r="MUW13" s="120"/>
      <c r="MUX13" s="59"/>
      <c r="MUY13" s="119"/>
      <c r="MUZ13" s="119"/>
      <c r="MVA13" s="119"/>
      <c r="MVB13" s="119"/>
      <c r="MVC13" s="119"/>
      <c r="MVD13" s="119"/>
      <c r="MVE13" s="119"/>
      <c r="MVF13" s="119"/>
      <c r="MVG13" s="119"/>
      <c r="MVH13" s="119"/>
      <c r="MVI13" s="119"/>
      <c r="MVJ13" s="119"/>
      <c r="MVK13" s="120"/>
      <c r="MVL13" s="120"/>
      <c r="MVM13" s="120"/>
      <c r="MVN13" s="59"/>
      <c r="MVO13" s="119"/>
      <c r="MVP13" s="119"/>
      <c r="MVQ13" s="119"/>
      <c r="MVR13" s="119"/>
      <c r="MVS13" s="119"/>
      <c r="MVT13" s="119"/>
      <c r="MVU13" s="119"/>
      <c r="MVV13" s="119"/>
      <c r="MVW13" s="119"/>
      <c r="MVX13" s="119"/>
      <c r="MVY13" s="119"/>
      <c r="MVZ13" s="119"/>
      <c r="MWA13" s="120"/>
      <c r="MWB13" s="120"/>
      <c r="MWC13" s="120"/>
      <c r="MWD13" s="59"/>
      <c r="MWE13" s="119"/>
      <c r="MWF13" s="119"/>
      <c r="MWG13" s="119"/>
      <c r="MWH13" s="119"/>
      <c r="MWI13" s="119"/>
      <c r="MWJ13" s="119"/>
      <c r="MWK13" s="119"/>
      <c r="MWL13" s="119"/>
      <c r="MWM13" s="119"/>
      <c r="MWN13" s="119"/>
      <c r="MWO13" s="119"/>
      <c r="MWP13" s="119"/>
      <c r="MWQ13" s="120"/>
      <c r="MWR13" s="120"/>
      <c r="MWS13" s="120"/>
      <c r="MWT13" s="59"/>
      <c r="MWU13" s="119"/>
      <c r="MWV13" s="119"/>
      <c r="MWW13" s="119"/>
      <c r="MWX13" s="119"/>
      <c r="MWY13" s="119"/>
      <c r="MWZ13" s="119"/>
      <c r="MXA13" s="119"/>
      <c r="MXB13" s="119"/>
      <c r="MXC13" s="119"/>
      <c r="MXD13" s="119"/>
      <c r="MXE13" s="119"/>
      <c r="MXF13" s="119"/>
      <c r="MXG13" s="120"/>
      <c r="MXH13" s="120"/>
      <c r="MXI13" s="120"/>
      <c r="MXJ13" s="59"/>
      <c r="MXK13" s="119"/>
      <c r="MXL13" s="119"/>
      <c r="MXM13" s="119"/>
      <c r="MXN13" s="119"/>
      <c r="MXO13" s="119"/>
      <c r="MXP13" s="119"/>
      <c r="MXQ13" s="119"/>
      <c r="MXR13" s="119"/>
      <c r="MXS13" s="119"/>
      <c r="MXT13" s="119"/>
      <c r="MXU13" s="119"/>
      <c r="MXV13" s="119"/>
      <c r="MXW13" s="120"/>
      <c r="MXX13" s="120"/>
      <c r="MXY13" s="120"/>
      <c r="MXZ13" s="59"/>
      <c r="MYA13" s="119"/>
      <c r="MYB13" s="119"/>
      <c r="MYC13" s="119"/>
      <c r="MYD13" s="119"/>
      <c r="MYE13" s="119"/>
      <c r="MYF13" s="119"/>
      <c r="MYG13" s="119"/>
      <c r="MYH13" s="119"/>
      <c r="MYI13" s="119"/>
      <c r="MYJ13" s="119"/>
      <c r="MYK13" s="119"/>
      <c r="MYL13" s="119"/>
      <c r="MYM13" s="120"/>
      <c r="MYN13" s="120"/>
      <c r="MYO13" s="120"/>
      <c r="MYP13" s="59"/>
      <c r="MYQ13" s="119"/>
      <c r="MYR13" s="119"/>
      <c r="MYS13" s="119"/>
      <c r="MYT13" s="119"/>
      <c r="MYU13" s="119"/>
      <c r="MYV13" s="119"/>
      <c r="MYW13" s="119"/>
      <c r="MYX13" s="119"/>
      <c r="MYY13" s="119"/>
      <c r="MYZ13" s="119"/>
      <c r="MZA13" s="119"/>
      <c r="MZB13" s="119"/>
      <c r="MZC13" s="120"/>
      <c r="MZD13" s="120"/>
      <c r="MZE13" s="120"/>
      <c r="MZF13" s="59"/>
      <c r="MZG13" s="119"/>
      <c r="MZH13" s="119"/>
      <c r="MZI13" s="119"/>
      <c r="MZJ13" s="119"/>
      <c r="MZK13" s="119"/>
      <c r="MZL13" s="119"/>
      <c r="MZM13" s="119"/>
      <c r="MZN13" s="119"/>
      <c r="MZO13" s="119"/>
      <c r="MZP13" s="119"/>
      <c r="MZQ13" s="119"/>
      <c r="MZR13" s="119"/>
      <c r="MZS13" s="120"/>
      <c r="MZT13" s="120"/>
      <c r="MZU13" s="120"/>
      <c r="MZV13" s="59"/>
      <c r="MZW13" s="119"/>
      <c r="MZX13" s="119"/>
      <c r="MZY13" s="119"/>
      <c r="MZZ13" s="119"/>
      <c r="NAA13" s="119"/>
      <c r="NAB13" s="119"/>
      <c r="NAC13" s="119"/>
      <c r="NAD13" s="119"/>
      <c r="NAE13" s="119"/>
      <c r="NAF13" s="119"/>
      <c r="NAG13" s="119"/>
      <c r="NAH13" s="119"/>
      <c r="NAI13" s="120"/>
      <c r="NAJ13" s="120"/>
      <c r="NAK13" s="120"/>
      <c r="NAL13" s="59"/>
      <c r="NAM13" s="119"/>
      <c r="NAN13" s="119"/>
      <c r="NAO13" s="119"/>
      <c r="NAP13" s="119"/>
      <c r="NAQ13" s="119"/>
      <c r="NAR13" s="119"/>
      <c r="NAS13" s="119"/>
      <c r="NAT13" s="119"/>
      <c r="NAU13" s="119"/>
      <c r="NAV13" s="119"/>
      <c r="NAW13" s="119"/>
      <c r="NAX13" s="119"/>
      <c r="NAY13" s="120"/>
      <c r="NAZ13" s="120"/>
      <c r="NBA13" s="120"/>
      <c r="NBB13" s="59"/>
      <c r="NBC13" s="119"/>
      <c r="NBD13" s="119"/>
      <c r="NBE13" s="119"/>
      <c r="NBF13" s="119"/>
      <c r="NBG13" s="119"/>
      <c r="NBH13" s="119"/>
      <c r="NBI13" s="119"/>
      <c r="NBJ13" s="119"/>
      <c r="NBK13" s="119"/>
      <c r="NBL13" s="119"/>
      <c r="NBM13" s="119"/>
      <c r="NBN13" s="119"/>
      <c r="NBO13" s="120"/>
      <c r="NBP13" s="120"/>
      <c r="NBQ13" s="120"/>
      <c r="NBR13" s="59"/>
      <c r="NBS13" s="119"/>
      <c r="NBT13" s="119"/>
      <c r="NBU13" s="119"/>
      <c r="NBV13" s="119"/>
      <c r="NBW13" s="119"/>
      <c r="NBX13" s="119"/>
      <c r="NBY13" s="119"/>
      <c r="NBZ13" s="119"/>
      <c r="NCA13" s="119"/>
      <c r="NCB13" s="119"/>
      <c r="NCC13" s="119"/>
      <c r="NCD13" s="119"/>
      <c r="NCE13" s="120"/>
      <c r="NCF13" s="120"/>
      <c r="NCG13" s="120"/>
      <c r="NCH13" s="59"/>
      <c r="NCI13" s="119"/>
      <c r="NCJ13" s="119"/>
      <c r="NCK13" s="119"/>
      <c r="NCL13" s="119"/>
      <c r="NCM13" s="119"/>
      <c r="NCN13" s="119"/>
      <c r="NCO13" s="119"/>
      <c r="NCP13" s="119"/>
      <c r="NCQ13" s="119"/>
      <c r="NCR13" s="119"/>
      <c r="NCS13" s="119"/>
      <c r="NCT13" s="119"/>
      <c r="NCU13" s="120"/>
      <c r="NCV13" s="120"/>
      <c r="NCW13" s="120"/>
      <c r="NCX13" s="59"/>
      <c r="NCY13" s="119"/>
      <c r="NCZ13" s="119"/>
      <c r="NDA13" s="119"/>
      <c r="NDB13" s="119"/>
      <c r="NDC13" s="119"/>
      <c r="NDD13" s="119"/>
      <c r="NDE13" s="119"/>
      <c r="NDF13" s="119"/>
      <c r="NDG13" s="119"/>
      <c r="NDH13" s="119"/>
      <c r="NDI13" s="119"/>
      <c r="NDJ13" s="119"/>
      <c r="NDK13" s="120"/>
      <c r="NDL13" s="120"/>
      <c r="NDM13" s="120"/>
      <c r="NDN13" s="59"/>
      <c r="NDO13" s="119"/>
      <c r="NDP13" s="119"/>
      <c r="NDQ13" s="119"/>
      <c r="NDR13" s="119"/>
      <c r="NDS13" s="119"/>
      <c r="NDT13" s="119"/>
      <c r="NDU13" s="119"/>
      <c r="NDV13" s="119"/>
      <c r="NDW13" s="119"/>
      <c r="NDX13" s="119"/>
      <c r="NDY13" s="119"/>
      <c r="NDZ13" s="119"/>
      <c r="NEA13" s="120"/>
      <c r="NEB13" s="120"/>
      <c r="NEC13" s="120"/>
      <c r="NED13" s="59"/>
      <c r="NEE13" s="119"/>
      <c r="NEF13" s="119"/>
      <c r="NEG13" s="119"/>
      <c r="NEH13" s="119"/>
      <c r="NEI13" s="119"/>
      <c r="NEJ13" s="119"/>
      <c r="NEK13" s="119"/>
      <c r="NEL13" s="119"/>
      <c r="NEM13" s="119"/>
      <c r="NEN13" s="119"/>
      <c r="NEO13" s="119"/>
      <c r="NEP13" s="119"/>
      <c r="NEQ13" s="120"/>
      <c r="NER13" s="120"/>
      <c r="NES13" s="120"/>
      <c r="NET13" s="59"/>
      <c r="NEU13" s="119"/>
      <c r="NEV13" s="119"/>
      <c r="NEW13" s="119"/>
      <c r="NEX13" s="119"/>
      <c r="NEY13" s="119"/>
      <c r="NEZ13" s="119"/>
      <c r="NFA13" s="119"/>
      <c r="NFB13" s="119"/>
      <c r="NFC13" s="119"/>
      <c r="NFD13" s="119"/>
      <c r="NFE13" s="119"/>
      <c r="NFF13" s="119"/>
      <c r="NFG13" s="120"/>
      <c r="NFH13" s="120"/>
      <c r="NFI13" s="120"/>
      <c r="NFJ13" s="59"/>
      <c r="NFK13" s="119"/>
      <c r="NFL13" s="119"/>
      <c r="NFM13" s="119"/>
      <c r="NFN13" s="119"/>
      <c r="NFO13" s="119"/>
      <c r="NFP13" s="119"/>
      <c r="NFQ13" s="119"/>
      <c r="NFR13" s="119"/>
      <c r="NFS13" s="119"/>
      <c r="NFT13" s="119"/>
      <c r="NFU13" s="119"/>
      <c r="NFV13" s="119"/>
      <c r="NFW13" s="120"/>
      <c r="NFX13" s="120"/>
      <c r="NFY13" s="120"/>
      <c r="NFZ13" s="59"/>
      <c r="NGA13" s="119"/>
      <c r="NGB13" s="119"/>
      <c r="NGC13" s="119"/>
      <c r="NGD13" s="119"/>
      <c r="NGE13" s="119"/>
      <c r="NGF13" s="119"/>
      <c r="NGG13" s="119"/>
      <c r="NGH13" s="119"/>
      <c r="NGI13" s="119"/>
      <c r="NGJ13" s="119"/>
      <c r="NGK13" s="119"/>
      <c r="NGL13" s="119"/>
      <c r="NGM13" s="120"/>
      <c r="NGN13" s="120"/>
      <c r="NGO13" s="120"/>
      <c r="NGP13" s="59"/>
      <c r="NGQ13" s="119"/>
      <c r="NGR13" s="119"/>
      <c r="NGS13" s="119"/>
      <c r="NGT13" s="119"/>
      <c r="NGU13" s="119"/>
      <c r="NGV13" s="119"/>
      <c r="NGW13" s="119"/>
      <c r="NGX13" s="119"/>
      <c r="NGY13" s="119"/>
      <c r="NGZ13" s="119"/>
      <c r="NHA13" s="119"/>
      <c r="NHB13" s="119"/>
      <c r="NHC13" s="120"/>
      <c r="NHD13" s="120"/>
      <c r="NHE13" s="120"/>
      <c r="NHF13" s="59"/>
      <c r="NHG13" s="119"/>
      <c r="NHH13" s="119"/>
      <c r="NHI13" s="119"/>
      <c r="NHJ13" s="119"/>
      <c r="NHK13" s="119"/>
      <c r="NHL13" s="119"/>
      <c r="NHM13" s="119"/>
      <c r="NHN13" s="119"/>
      <c r="NHO13" s="119"/>
      <c r="NHP13" s="119"/>
      <c r="NHQ13" s="119"/>
      <c r="NHR13" s="119"/>
      <c r="NHS13" s="120"/>
      <c r="NHT13" s="120"/>
      <c r="NHU13" s="120"/>
      <c r="NHV13" s="59"/>
      <c r="NHW13" s="119"/>
      <c r="NHX13" s="119"/>
      <c r="NHY13" s="119"/>
      <c r="NHZ13" s="119"/>
      <c r="NIA13" s="119"/>
      <c r="NIB13" s="119"/>
      <c r="NIC13" s="119"/>
      <c r="NID13" s="119"/>
      <c r="NIE13" s="119"/>
      <c r="NIF13" s="119"/>
      <c r="NIG13" s="119"/>
      <c r="NIH13" s="119"/>
      <c r="NII13" s="120"/>
      <c r="NIJ13" s="120"/>
      <c r="NIK13" s="120"/>
      <c r="NIL13" s="59"/>
      <c r="NIM13" s="119"/>
      <c r="NIN13" s="119"/>
      <c r="NIO13" s="119"/>
      <c r="NIP13" s="119"/>
      <c r="NIQ13" s="119"/>
      <c r="NIR13" s="119"/>
      <c r="NIS13" s="119"/>
      <c r="NIT13" s="119"/>
      <c r="NIU13" s="119"/>
      <c r="NIV13" s="119"/>
      <c r="NIW13" s="119"/>
      <c r="NIX13" s="119"/>
      <c r="NIY13" s="120"/>
      <c r="NIZ13" s="120"/>
      <c r="NJA13" s="120"/>
      <c r="NJB13" s="59"/>
      <c r="NJC13" s="119"/>
      <c r="NJD13" s="119"/>
      <c r="NJE13" s="119"/>
      <c r="NJF13" s="119"/>
      <c r="NJG13" s="119"/>
      <c r="NJH13" s="119"/>
      <c r="NJI13" s="119"/>
      <c r="NJJ13" s="119"/>
      <c r="NJK13" s="119"/>
      <c r="NJL13" s="119"/>
      <c r="NJM13" s="119"/>
      <c r="NJN13" s="119"/>
      <c r="NJO13" s="120"/>
      <c r="NJP13" s="120"/>
      <c r="NJQ13" s="120"/>
      <c r="NJR13" s="59"/>
      <c r="NJS13" s="119"/>
      <c r="NJT13" s="119"/>
      <c r="NJU13" s="119"/>
      <c r="NJV13" s="119"/>
      <c r="NJW13" s="119"/>
      <c r="NJX13" s="119"/>
      <c r="NJY13" s="119"/>
      <c r="NJZ13" s="119"/>
      <c r="NKA13" s="119"/>
      <c r="NKB13" s="119"/>
      <c r="NKC13" s="119"/>
      <c r="NKD13" s="119"/>
      <c r="NKE13" s="120"/>
      <c r="NKF13" s="120"/>
      <c r="NKG13" s="120"/>
      <c r="NKH13" s="59"/>
      <c r="NKI13" s="119"/>
      <c r="NKJ13" s="119"/>
      <c r="NKK13" s="119"/>
      <c r="NKL13" s="119"/>
      <c r="NKM13" s="119"/>
      <c r="NKN13" s="119"/>
      <c r="NKO13" s="119"/>
      <c r="NKP13" s="119"/>
      <c r="NKQ13" s="119"/>
      <c r="NKR13" s="119"/>
      <c r="NKS13" s="119"/>
      <c r="NKT13" s="119"/>
      <c r="NKU13" s="120"/>
      <c r="NKV13" s="120"/>
      <c r="NKW13" s="120"/>
      <c r="NKX13" s="59"/>
      <c r="NKY13" s="119"/>
      <c r="NKZ13" s="119"/>
      <c r="NLA13" s="119"/>
      <c r="NLB13" s="119"/>
      <c r="NLC13" s="119"/>
      <c r="NLD13" s="119"/>
      <c r="NLE13" s="119"/>
      <c r="NLF13" s="119"/>
      <c r="NLG13" s="119"/>
      <c r="NLH13" s="119"/>
      <c r="NLI13" s="119"/>
      <c r="NLJ13" s="119"/>
      <c r="NLK13" s="120"/>
      <c r="NLL13" s="120"/>
      <c r="NLM13" s="120"/>
      <c r="NLN13" s="59"/>
      <c r="NLO13" s="119"/>
      <c r="NLP13" s="119"/>
      <c r="NLQ13" s="119"/>
      <c r="NLR13" s="119"/>
      <c r="NLS13" s="119"/>
      <c r="NLT13" s="119"/>
      <c r="NLU13" s="119"/>
      <c r="NLV13" s="119"/>
      <c r="NLW13" s="119"/>
      <c r="NLX13" s="119"/>
      <c r="NLY13" s="119"/>
      <c r="NLZ13" s="119"/>
      <c r="NMA13" s="120"/>
      <c r="NMB13" s="120"/>
      <c r="NMC13" s="120"/>
      <c r="NMD13" s="59"/>
      <c r="NME13" s="119"/>
      <c r="NMF13" s="119"/>
      <c r="NMG13" s="119"/>
      <c r="NMH13" s="119"/>
      <c r="NMI13" s="119"/>
      <c r="NMJ13" s="119"/>
      <c r="NMK13" s="119"/>
      <c r="NML13" s="119"/>
      <c r="NMM13" s="119"/>
      <c r="NMN13" s="119"/>
      <c r="NMO13" s="119"/>
      <c r="NMP13" s="119"/>
      <c r="NMQ13" s="120"/>
      <c r="NMR13" s="120"/>
      <c r="NMS13" s="120"/>
      <c r="NMT13" s="59"/>
      <c r="NMU13" s="119"/>
      <c r="NMV13" s="119"/>
      <c r="NMW13" s="119"/>
      <c r="NMX13" s="119"/>
      <c r="NMY13" s="119"/>
      <c r="NMZ13" s="119"/>
      <c r="NNA13" s="119"/>
      <c r="NNB13" s="119"/>
      <c r="NNC13" s="119"/>
      <c r="NND13" s="119"/>
      <c r="NNE13" s="119"/>
      <c r="NNF13" s="119"/>
      <c r="NNG13" s="120"/>
      <c r="NNH13" s="120"/>
      <c r="NNI13" s="120"/>
      <c r="NNJ13" s="59"/>
      <c r="NNK13" s="119"/>
      <c r="NNL13" s="119"/>
      <c r="NNM13" s="119"/>
      <c r="NNN13" s="119"/>
      <c r="NNO13" s="119"/>
      <c r="NNP13" s="119"/>
      <c r="NNQ13" s="119"/>
      <c r="NNR13" s="119"/>
      <c r="NNS13" s="119"/>
      <c r="NNT13" s="119"/>
      <c r="NNU13" s="119"/>
      <c r="NNV13" s="119"/>
      <c r="NNW13" s="120"/>
      <c r="NNX13" s="120"/>
      <c r="NNY13" s="120"/>
      <c r="NNZ13" s="59"/>
      <c r="NOA13" s="119"/>
      <c r="NOB13" s="119"/>
      <c r="NOC13" s="119"/>
      <c r="NOD13" s="119"/>
      <c r="NOE13" s="119"/>
      <c r="NOF13" s="119"/>
      <c r="NOG13" s="119"/>
      <c r="NOH13" s="119"/>
      <c r="NOI13" s="119"/>
      <c r="NOJ13" s="119"/>
      <c r="NOK13" s="119"/>
      <c r="NOL13" s="119"/>
      <c r="NOM13" s="120"/>
      <c r="NON13" s="120"/>
      <c r="NOO13" s="120"/>
      <c r="NOP13" s="59"/>
      <c r="NOQ13" s="119"/>
      <c r="NOR13" s="119"/>
      <c r="NOS13" s="119"/>
      <c r="NOT13" s="119"/>
      <c r="NOU13" s="119"/>
      <c r="NOV13" s="119"/>
      <c r="NOW13" s="119"/>
      <c r="NOX13" s="119"/>
      <c r="NOY13" s="119"/>
      <c r="NOZ13" s="119"/>
      <c r="NPA13" s="119"/>
      <c r="NPB13" s="119"/>
      <c r="NPC13" s="120"/>
      <c r="NPD13" s="120"/>
      <c r="NPE13" s="120"/>
      <c r="NPF13" s="59"/>
      <c r="NPG13" s="119"/>
      <c r="NPH13" s="119"/>
      <c r="NPI13" s="119"/>
      <c r="NPJ13" s="119"/>
      <c r="NPK13" s="119"/>
      <c r="NPL13" s="119"/>
      <c r="NPM13" s="119"/>
      <c r="NPN13" s="119"/>
      <c r="NPO13" s="119"/>
      <c r="NPP13" s="119"/>
      <c r="NPQ13" s="119"/>
      <c r="NPR13" s="119"/>
      <c r="NPS13" s="120"/>
      <c r="NPT13" s="120"/>
      <c r="NPU13" s="120"/>
      <c r="NPV13" s="59"/>
      <c r="NPW13" s="119"/>
      <c r="NPX13" s="119"/>
      <c r="NPY13" s="119"/>
      <c r="NPZ13" s="119"/>
      <c r="NQA13" s="119"/>
      <c r="NQB13" s="119"/>
      <c r="NQC13" s="119"/>
      <c r="NQD13" s="119"/>
      <c r="NQE13" s="119"/>
      <c r="NQF13" s="119"/>
      <c r="NQG13" s="119"/>
      <c r="NQH13" s="119"/>
      <c r="NQI13" s="120"/>
      <c r="NQJ13" s="120"/>
      <c r="NQK13" s="120"/>
      <c r="NQL13" s="59"/>
      <c r="NQM13" s="119"/>
      <c r="NQN13" s="119"/>
      <c r="NQO13" s="119"/>
      <c r="NQP13" s="119"/>
      <c r="NQQ13" s="119"/>
      <c r="NQR13" s="119"/>
      <c r="NQS13" s="119"/>
      <c r="NQT13" s="119"/>
      <c r="NQU13" s="119"/>
      <c r="NQV13" s="119"/>
      <c r="NQW13" s="119"/>
      <c r="NQX13" s="119"/>
      <c r="NQY13" s="120"/>
      <c r="NQZ13" s="120"/>
      <c r="NRA13" s="120"/>
      <c r="NRB13" s="59"/>
      <c r="NRC13" s="119"/>
      <c r="NRD13" s="119"/>
      <c r="NRE13" s="119"/>
      <c r="NRF13" s="119"/>
      <c r="NRG13" s="119"/>
      <c r="NRH13" s="119"/>
      <c r="NRI13" s="119"/>
      <c r="NRJ13" s="119"/>
      <c r="NRK13" s="119"/>
      <c r="NRL13" s="119"/>
      <c r="NRM13" s="119"/>
      <c r="NRN13" s="119"/>
      <c r="NRO13" s="120"/>
      <c r="NRP13" s="120"/>
      <c r="NRQ13" s="120"/>
      <c r="NRR13" s="59"/>
      <c r="NRS13" s="119"/>
      <c r="NRT13" s="119"/>
      <c r="NRU13" s="119"/>
      <c r="NRV13" s="119"/>
      <c r="NRW13" s="119"/>
      <c r="NRX13" s="119"/>
      <c r="NRY13" s="119"/>
      <c r="NRZ13" s="119"/>
      <c r="NSA13" s="119"/>
      <c r="NSB13" s="119"/>
      <c r="NSC13" s="119"/>
      <c r="NSD13" s="119"/>
      <c r="NSE13" s="120"/>
      <c r="NSF13" s="120"/>
      <c r="NSG13" s="120"/>
      <c r="NSH13" s="59"/>
      <c r="NSI13" s="119"/>
      <c r="NSJ13" s="119"/>
      <c r="NSK13" s="119"/>
      <c r="NSL13" s="119"/>
      <c r="NSM13" s="119"/>
      <c r="NSN13" s="119"/>
      <c r="NSO13" s="119"/>
      <c r="NSP13" s="119"/>
      <c r="NSQ13" s="119"/>
      <c r="NSR13" s="119"/>
      <c r="NSS13" s="119"/>
      <c r="NST13" s="119"/>
      <c r="NSU13" s="120"/>
      <c r="NSV13" s="120"/>
      <c r="NSW13" s="120"/>
      <c r="NSX13" s="59"/>
      <c r="NSY13" s="119"/>
      <c r="NSZ13" s="119"/>
      <c r="NTA13" s="119"/>
      <c r="NTB13" s="119"/>
      <c r="NTC13" s="119"/>
      <c r="NTD13" s="119"/>
      <c r="NTE13" s="119"/>
      <c r="NTF13" s="119"/>
      <c r="NTG13" s="119"/>
      <c r="NTH13" s="119"/>
      <c r="NTI13" s="119"/>
      <c r="NTJ13" s="119"/>
      <c r="NTK13" s="120"/>
      <c r="NTL13" s="120"/>
      <c r="NTM13" s="120"/>
      <c r="NTN13" s="59"/>
      <c r="NTO13" s="119"/>
      <c r="NTP13" s="119"/>
      <c r="NTQ13" s="119"/>
      <c r="NTR13" s="119"/>
      <c r="NTS13" s="119"/>
      <c r="NTT13" s="119"/>
      <c r="NTU13" s="119"/>
      <c r="NTV13" s="119"/>
      <c r="NTW13" s="119"/>
      <c r="NTX13" s="119"/>
      <c r="NTY13" s="119"/>
      <c r="NTZ13" s="119"/>
      <c r="NUA13" s="120"/>
      <c r="NUB13" s="120"/>
      <c r="NUC13" s="120"/>
      <c r="NUD13" s="59"/>
      <c r="NUE13" s="119"/>
      <c r="NUF13" s="119"/>
      <c r="NUG13" s="119"/>
      <c r="NUH13" s="119"/>
      <c r="NUI13" s="119"/>
      <c r="NUJ13" s="119"/>
      <c r="NUK13" s="119"/>
      <c r="NUL13" s="119"/>
      <c r="NUM13" s="119"/>
      <c r="NUN13" s="119"/>
      <c r="NUO13" s="119"/>
      <c r="NUP13" s="119"/>
      <c r="NUQ13" s="120"/>
      <c r="NUR13" s="120"/>
      <c r="NUS13" s="120"/>
      <c r="NUT13" s="59"/>
      <c r="NUU13" s="119"/>
      <c r="NUV13" s="119"/>
      <c r="NUW13" s="119"/>
      <c r="NUX13" s="119"/>
      <c r="NUY13" s="119"/>
      <c r="NUZ13" s="119"/>
      <c r="NVA13" s="119"/>
      <c r="NVB13" s="119"/>
      <c r="NVC13" s="119"/>
      <c r="NVD13" s="119"/>
      <c r="NVE13" s="119"/>
      <c r="NVF13" s="119"/>
      <c r="NVG13" s="120"/>
      <c r="NVH13" s="120"/>
      <c r="NVI13" s="120"/>
      <c r="NVJ13" s="59"/>
      <c r="NVK13" s="119"/>
      <c r="NVL13" s="119"/>
      <c r="NVM13" s="119"/>
      <c r="NVN13" s="119"/>
      <c r="NVO13" s="119"/>
      <c r="NVP13" s="119"/>
      <c r="NVQ13" s="119"/>
      <c r="NVR13" s="119"/>
      <c r="NVS13" s="119"/>
      <c r="NVT13" s="119"/>
      <c r="NVU13" s="119"/>
      <c r="NVV13" s="119"/>
      <c r="NVW13" s="120"/>
      <c r="NVX13" s="120"/>
      <c r="NVY13" s="120"/>
      <c r="NVZ13" s="59"/>
      <c r="NWA13" s="119"/>
      <c r="NWB13" s="119"/>
      <c r="NWC13" s="119"/>
      <c r="NWD13" s="119"/>
      <c r="NWE13" s="119"/>
      <c r="NWF13" s="119"/>
      <c r="NWG13" s="119"/>
      <c r="NWH13" s="119"/>
      <c r="NWI13" s="119"/>
      <c r="NWJ13" s="119"/>
      <c r="NWK13" s="119"/>
      <c r="NWL13" s="119"/>
      <c r="NWM13" s="120"/>
      <c r="NWN13" s="120"/>
      <c r="NWO13" s="120"/>
      <c r="NWP13" s="59"/>
      <c r="NWQ13" s="119"/>
      <c r="NWR13" s="119"/>
      <c r="NWS13" s="119"/>
      <c r="NWT13" s="119"/>
      <c r="NWU13" s="119"/>
      <c r="NWV13" s="119"/>
      <c r="NWW13" s="119"/>
      <c r="NWX13" s="119"/>
      <c r="NWY13" s="119"/>
      <c r="NWZ13" s="119"/>
      <c r="NXA13" s="119"/>
      <c r="NXB13" s="119"/>
      <c r="NXC13" s="120"/>
      <c r="NXD13" s="120"/>
      <c r="NXE13" s="120"/>
      <c r="NXF13" s="59"/>
      <c r="NXG13" s="119"/>
      <c r="NXH13" s="119"/>
      <c r="NXI13" s="119"/>
      <c r="NXJ13" s="119"/>
      <c r="NXK13" s="119"/>
      <c r="NXL13" s="119"/>
      <c r="NXM13" s="119"/>
      <c r="NXN13" s="119"/>
      <c r="NXO13" s="119"/>
      <c r="NXP13" s="119"/>
      <c r="NXQ13" s="119"/>
      <c r="NXR13" s="119"/>
      <c r="NXS13" s="120"/>
      <c r="NXT13" s="120"/>
      <c r="NXU13" s="120"/>
      <c r="NXV13" s="59"/>
      <c r="NXW13" s="119"/>
      <c r="NXX13" s="119"/>
      <c r="NXY13" s="119"/>
      <c r="NXZ13" s="119"/>
      <c r="NYA13" s="119"/>
      <c r="NYB13" s="119"/>
      <c r="NYC13" s="119"/>
      <c r="NYD13" s="119"/>
      <c r="NYE13" s="119"/>
      <c r="NYF13" s="119"/>
      <c r="NYG13" s="119"/>
      <c r="NYH13" s="119"/>
      <c r="NYI13" s="120"/>
      <c r="NYJ13" s="120"/>
      <c r="NYK13" s="120"/>
      <c r="NYL13" s="59"/>
      <c r="NYM13" s="119"/>
      <c r="NYN13" s="119"/>
      <c r="NYO13" s="119"/>
      <c r="NYP13" s="119"/>
      <c r="NYQ13" s="119"/>
      <c r="NYR13" s="119"/>
      <c r="NYS13" s="119"/>
      <c r="NYT13" s="119"/>
      <c r="NYU13" s="119"/>
      <c r="NYV13" s="119"/>
      <c r="NYW13" s="119"/>
      <c r="NYX13" s="119"/>
      <c r="NYY13" s="120"/>
      <c r="NYZ13" s="120"/>
      <c r="NZA13" s="120"/>
      <c r="NZB13" s="59"/>
      <c r="NZC13" s="119"/>
      <c r="NZD13" s="119"/>
      <c r="NZE13" s="119"/>
      <c r="NZF13" s="119"/>
      <c r="NZG13" s="119"/>
      <c r="NZH13" s="119"/>
      <c r="NZI13" s="119"/>
      <c r="NZJ13" s="119"/>
      <c r="NZK13" s="119"/>
      <c r="NZL13" s="119"/>
      <c r="NZM13" s="119"/>
      <c r="NZN13" s="119"/>
      <c r="NZO13" s="120"/>
      <c r="NZP13" s="120"/>
      <c r="NZQ13" s="120"/>
      <c r="NZR13" s="59"/>
      <c r="NZS13" s="119"/>
      <c r="NZT13" s="119"/>
      <c r="NZU13" s="119"/>
      <c r="NZV13" s="119"/>
      <c r="NZW13" s="119"/>
      <c r="NZX13" s="119"/>
      <c r="NZY13" s="119"/>
      <c r="NZZ13" s="119"/>
      <c r="OAA13" s="119"/>
      <c r="OAB13" s="119"/>
      <c r="OAC13" s="119"/>
      <c r="OAD13" s="119"/>
      <c r="OAE13" s="120"/>
      <c r="OAF13" s="120"/>
      <c r="OAG13" s="120"/>
      <c r="OAH13" s="59"/>
      <c r="OAI13" s="119"/>
      <c r="OAJ13" s="119"/>
      <c r="OAK13" s="119"/>
      <c r="OAL13" s="119"/>
      <c r="OAM13" s="119"/>
      <c r="OAN13" s="119"/>
      <c r="OAO13" s="119"/>
      <c r="OAP13" s="119"/>
      <c r="OAQ13" s="119"/>
      <c r="OAR13" s="119"/>
      <c r="OAS13" s="119"/>
      <c r="OAT13" s="119"/>
      <c r="OAU13" s="120"/>
      <c r="OAV13" s="120"/>
      <c r="OAW13" s="120"/>
      <c r="OAX13" s="59"/>
      <c r="OAY13" s="119"/>
      <c r="OAZ13" s="119"/>
      <c r="OBA13" s="119"/>
      <c r="OBB13" s="119"/>
      <c r="OBC13" s="119"/>
      <c r="OBD13" s="119"/>
      <c r="OBE13" s="119"/>
      <c r="OBF13" s="119"/>
      <c r="OBG13" s="119"/>
      <c r="OBH13" s="119"/>
      <c r="OBI13" s="119"/>
      <c r="OBJ13" s="119"/>
      <c r="OBK13" s="120"/>
      <c r="OBL13" s="120"/>
      <c r="OBM13" s="120"/>
      <c r="OBN13" s="59"/>
      <c r="OBO13" s="119"/>
      <c r="OBP13" s="119"/>
      <c r="OBQ13" s="119"/>
      <c r="OBR13" s="119"/>
      <c r="OBS13" s="119"/>
      <c r="OBT13" s="119"/>
      <c r="OBU13" s="119"/>
      <c r="OBV13" s="119"/>
      <c r="OBW13" s="119"/>
      <c r="OBX13" s="119"/>
      <c r="OBY13" s="119"/>
      <c r="OBZ13" s="119"/>
      <c r="OCA13" s="120"/>
      <c r="OCB13" s="120"/>
      <c r="OCC13" s="120"/>
      <c r="OCD13" s="59"/>
      <c r="OCE13" s="119"/>
      <c r="OCF13" s="119"/>
      <c r="OCG13" s="119"/>
      <c r="OCH13" s="119"/>
      <c r="OCI13" s="119"/>
      <c r="OCJ13" s="119"/>
      <c r="OCK13" s="119"/>
      <c r="OCL13" s="119"/>
      <c r="OCM13" s="119"/>
      <c r="OCN13" s="119"/>
      <c r="OCO13" s="119"/>
      <c r="OCP13" s="119"/>
      <c r="OCQ13" s="120"/>
      <c r="OCR13" s="120"/>
      <c r="OCS13" s="120"/>
      <c r="OCT13" s="59"/>
      <c r="OCU13" s="119"/>
      <c r="OCV13" s="119"/>
      <c r="OCW13" s="119"/>
      <c r="OCX13" s="119"/>
      <c r="OCY13" s="119"/>
      <c r="OCZ13" s="119"/>
      <c r="ODA13" s="119"/>
      <c r="ODB13" s="119"/>
      <c r="ODC13" s="119"/>
      <c r="ODD13" s="119"/>
      <c r="ODE13" s="119"/>
      <c r="ODF13" s="119"/>
      <c r="ODG13" s="120"/>
      <c r="ODH13" s="120"/>
      <c r="ODI13" s="120"/>
      <c r="ODJ13" s="59"/>
      <c r="ODK13" s="119"/>
      <c r="ODL13" s="119"/>
      <c r="ODM13" s="119"/>
      <c r="ODN13" s="119"/>
      <c r="ODO13" s="119"/>
      <c r="ODP13" s="119"/>
      <c r="ODQ13" s="119"/>
      <c r="ODR13" s="119"/>
      <c r="ODS13" s="119"/>
      <c r="ODT13" s="119"/>
      <c r="ODU13" s="119"/>
      <c r="ODV13" s="119"/>
      <c r="ODW13" s="120"/>
      <c r="ODX13" s="120"/>
      <c r="ODY13" s="120"/>
      <c r="ODZ13" s="59"/>
      <c r="OEA13" s="119"/>
      <c r="OEB13" s="119"/>
      <c r="OEC13" s="119"/>
      <c r="OED13" s="119"/>
      <c r="OEE13" s="119"/>
      <c r="OEF13" s="119"/>
      <c r="OEG13" s="119"/>
      <c r="OEH13" s="119"/>
      <c r="OEI13" s="119"/>
      <c r="OEJ13" s="119"/>
      <c r="OEK13" s="119"/>
      <c r="OEL13" s="119"/>
      <c r="OEM13" s="120"/>
      <c r="OEN13" s="120"/>
      <c r="OEO13" s="120"/>
      <c r="OEP13" s="59"/>
      <c r="OEQ13" s="119"/>
      <c r="OER13" s="119"/>
      <c r="OES13" s="119"/>
      <c r="OET13" s="119"/>
      <c r="OEU13" s="119"/>
      <c r="OEV13" s="119"/>
      <c r="OEW13" s="119"/>
      <c r="OEX13" s="119"/>
      <c r="OEY13" s="119"/>
      <c r="OEZ13" s="119"/>
      <c r="OFA13" s="119"/>
      <c r="OFB13" s="119"/>
      <c r="OFC13" s="120"/>
      <c r="OFD13" s="120"/>
      <c r="OFE13" s="120"/>
      <c r="OFF13" s="59"/>
      <c r="OFG13" s="119"/>
      <c r="OFH13" s="119"/>
      <c r="OFI13" s="119"/>
      <c r="OFJ13" s="119"/>
      <c r="OFK13" s="119"/>
      <c r="OFL13" s="119"/>
      <c r="OFM13" s="119"/>
      <c r="OFN13" s="119"/>
      <c r="OFO13" s="119"/>
      <c r="OFP13" s="119"/>
      <c r="OFQ13" s="119"/>
      <c r="OFR13" s="119"/>
      <c r="OFS13" s="120"/>
      <c r="OFT13" s="120"/>
      <c r="OFU13" s="120"/>
      <c r="OFV13" s="59"/>
      <c r="OFW13" s="119"/>
      <c r="OFX13" s="119"/>
      <c r="OFY13" s="119"/>
      <c r="OFZ13" s="119"/>
      <c r="OGA13" s="119"/>
      <c r="OGB13" s="119"/>
      <c r="OGC13" s="119"/>
      <c r="OGD13" s="119"/>
      <c r="OGE13" s="119"/>
      <c r="OGF13" s="119"/>
      <c r="OGG13" s="119"/>
      <c r="OGH13" s="119"/>
      <c r="OGI13" s="120"/>
      <c r="OGJ13" s="120"/>
      <c r="OGK13" s="120"/>
      <c r="OGL13" s="59"/>
      <c r="OGM13" s="119"/>
      <c r="OGN13" s="119"/>
      <c r="OGO13" s="119"/>
      <c r="OGP13" s="119"/>
      <c r="OGQ13" s="119"/>
      <c r="OGR13" s="119"/>
      <c r="OGS13" s="119"/>
      <c r="OGT13" s="119"/>
      <c r="OGU13" s="119"/>
      <c r="OGV13" s="119"/>
      <c r="OGW13" s="119"/>
      <c r="OGX13" s="119"/>
      <c r="OGY13" s="120"/>
      <c r="OGZ13" s="120"/>
      <c r="OHA13" s="120"/>
      <c r="OHB13" s="59"/>
      <c r="OHC13" s="119"/>
      <c r="OHD13" s="119"/>
      <c r="OHE13" s="119"/>
      <c r="OHF13" s="119"/>
      <c r="OHG13" s="119"/>
      <c r="OHH13" s="119"/>
      <c r="OHI13" s="119"/>
      <c r="OHJ13" s="119"/>
      <c r="OHK13" s="119"/>
      <c r="OHL13" s="119"/>
      <c r="OHM13" s="119"/>
      <c r="OHN13" s="119"/>
      <c r="OHO13" s="120"/>
      <c r="OHP13" s="120"/>
      <c r="OHQ13" s="120"/>
      <c r="OHR13" s="59"/>
      <c r="OHS13" s="119"/>
      <c r="OHT13" s="119"/>
      <c r="OHU13" s="119"/>
      <c r="OHV13" s="119"/>
      <c r="OHW13" s="119"/>
      <c r="OHX13" s="119"/>
      <c r="OHY13" s="119"/>
      <c r="OHZ13" s="119"/>
      <c r="OIA13" s="119"/>
      <c r="OIB13" s="119"/>
      <c r="OIC13" s="119"/>
      <c r="OID13" s="119"/>
      <c r="OIE13" s="120"/>
      <c r="OIF13" s="120"/>
      <c r="OIG13" s="120"/>
      <c r="OIH13" s="59"/>
      <c r="OII13" s="119"/>
      <c r="OIJ13" s="119"/>
      <c r="OIK13" s="119"/>
      <c r="OIL13" s="119"/>
      <c r="OIM13" s="119"/>
      <c r="OIN13" s="119"/>
      <c r="OIO13" s="119"/>
      <c r="OIP13" s="119"/>
      <c r="OIQ13" s="119"/>
      <c r="OIR13" s="119"/>
      <c r="OIS13" s="119"/>
      <c r="OIT13" s="119"/>
      <c r="OIU13" s="120"/>
      <c r="OIV13" s="120"/>
      <c r="OIW13" s="120"/>
      <c r="OIX13" s="59"/>
      <c r="OIY13" s="119"/>
      <c r="OIZ13" s="119"/>
      <c r="OJA13" s="119"/>
      <c r="OJB13" s="119"/>
      <c r="OJC13" s="119"/>
      <c r="OJD13" s="119"/>
      <c r="OJE13" s="119"/>
      <c r="OJF13" s="119"/>
      <c r="OJG13" s="119"/>
      <c r="OJH13" s="119"/>
      <c r="OJI13" s="119"/>
      <c r="OJJ13" s="119"/>
      <c r="OJK13" s="120"/>
      <c r="OJL13" s="120"/>
      <c r="OJM13" s="120"/>
      <c r="OJN13" s="59"/>
      <c r="OJO13" s="119"/>
      <c r="OJP13" s="119"/>
      <c r="OJQ13" s="119"/>
      <c r="OJR13" s="119"/>
      <c r="OJS13" s="119"/>
      <c r="OJT13" s="119"/>
      <c r="OJU13" s="119"/>
      <c r="OJV13" s="119"/>
      <c r="OJW13" s="119"/>
      <c r="OJX13" s="119"/>
      <c r="OJY13" s="119"/>
      <c r="OJZ13" s="119"/>
      <c r="OKA13" s="120"/>
      <c r="OKB13" s="120"/>
      <c r="OKC13" s="120"/>
      <c r="OKD13" s="59"/>
      <c r="OKE13" s="119"/>
      <c r="OKF13" s="119"/>
      <c r="OKG13" s="119"/>
      <c r="OKH13" s="119"/>
      <c r="OKI13" s="119"/>
      <c r="OKJ13" s="119"/>
      <c r="OKK13" s="119"/>
      <c r="OKL13" s="119"/>
      <c r="OKM13" s="119"/>
      <c r="OKN13" s="119"/>
      <c r="OKO13" s="119"/>
      <c r="OKP13" s="119"/>
      <c r="OKQ13" s="120"/>
      <c r="OKR13" s="120"/>
      <c r="OKS13" s="120"/>
      <c r="OKT13" s="59"/>
      <c r="OKU13" s="119"/>
      <c r="OKV13" s="119"/>
      <c r="OKW13" s="119"/>
      <c r="OKX13" s="119"/>
      <c r="OKY13" s="119"/>
      <c r="OKZ13" s="119"/>
      <c r="OLA13" s="119"/>
      <c r="OLB13" s="119"/>
      <c r="OLC13" s="119"/>
      <c r="OLD13" s="119"/>
      <c r="OLE13" s="119"/>
      <c r="OLF13" s="119"/>
      <c r="OLG13" s="120"/>
      <c r="OLH13" s="120"/>
      <c r="OLI13" s="120"/>
      <c r="OLJ13" s="59"/>
      <c r="OLK13" s="119"/>
      <c r="OLL13" s="119"/>
      <c r="OLM13" s="119"/>
      <c r="OLN13" s="119"/>
      <c r="OLO13" s="119"/>
      <c r="OLP13" s="119"/>
      <c r="OLQ13" s="119"/>
      <c r="OLR13" s="119"/>
      <c r="OLS13" s="119"/>
      <c r="OLT13" s="119"/>
      <c r="OLU13" s="119"/>
      <c r="OLV13" s="119"/>
      <c r="OLW13" s="120"/>
      <c r="OLX13" s="120"/>
      <c r="OLY13" s="120"/>
      <c r="OLZ13" s="59"/>
      <c r="OMA13" s="119"/>
      <c r="OMB13" s="119"/>
      <c r="OMC13" s="119"/>
      <c r="OMD13" s="119"/>
      <c r="OME13" s="119"/>
      <c r="OMF13" s="119"/>
      <c r="OMG13" s="119"/>
      <c r="OMH13" s="119"/>
      <c r="OMI13" s="119"/>
      <c r="OMJ13" s="119"/>
      <c r="OMK13" s="119"/>
      <c r="OML13" s="119"/>
      <c r="OMM13" s="120"/>
      <c r="OMN13" s="120"/>
      <c r="OMO13" s="120"/>
      <c r="OMP13" s="59"/>
      <c r="OMQ13" s="119"/>
      <c r="OMR13" s="119"/>
      <c r="OMS13" s="119"/>
      <c r="OMT13" s="119"/>
      <c r="OMU13" s="119"/>
      <c r="OMV13" s="119"/>
      <c r="OMW13" s="119"/>
      <c r="OMX13" s="119"/>
      <c r="OMY13" s="119"/>
      <c r="OMZ13" s="119"/>
      <c r="ONA13" s="119"/>
      <c r="ONB13" s="119"/>
      <c r="ONC13" s="120"/>
      <c r="OND13" s="120"/>
      <c r="ONE13" s="120"/>
      <c r="ONF13" s="59"/>
      <c r="ONG13" s="119"/>
      <c r="ONH13" s="119"/>
      <c r="ONI13" s="119"/>
      <c r="ONJ13" s="119"/>
      <c r="ONK13" s="119"/>
      <c r="ONL13" s="119"/>
      <c r="ONM13" s="119"/>
      <c r="ONN13" s="119"/>
      <c r="ONO13" s="119"/>
      <c r="ONP13" s="119"/>
      <c r="ONQ13" s="119"/>
      <c r="ONR13" s="119"/>
      <c r="ONS13" s="120"/>
      <c r="ONT13" s="120"/>
      <c r="ONU13" s="120"/>
      <c r="ONV13" s="59"/>
      <c r="ONW13" s="119"/>
      <c r="ONX13" s="119"/>
      <c r="ONY13" s="119"/>
      <c r="ONZ13" s="119"/>
      <c r="OOA13" s="119"/>
      <c r="OOB13" s="119"/>
      <c r="OOC13" s="119"/>
      <c r="OOD13" s="119"/>
      <c r="OOE13" s="119"/>
      <c r="OOF13" s="119"/>
      <c r="OOG13" s="119"/>
      <c r="OOH13" s="119"/>
      <c r="OOI13" s="120"/>
      <c r="OOJ13" s="120"/>
      <c r="OOK13" s="120"/>
      <c r="OOL13" s="59"/>
      <c r="OOM13" s="119"/>
      <c r="OON13" s="119"/>
      <c r="OOO13" s="119"/>
      <c r="OOP13" s="119"/>
      <c r="OOQ13" s="119"/>
      <c r="OOR13" s="119"/>
      <c r="OOS13" s="119"/>
      <c r="OOT13" s="119"/>
      <c r="OOU13" s="119"/>
      <c r="OOV13" s="119"/>
      <c r="OOW13" s="119"/>
      <c r="OOX13" s="119"/>
      <c r="OOY13" s="120"/>
      <c r="OOZ13" s="120"/>
      <c r="OPA13" s="120"/>
      <c r="OPB13" s="59"/>
      <c r="OPC13" s="119"/>
      <c r="OPD13" s="119"/>
      <c r="OPE13" s="119"/>
      <c r="OPF13" s="119"/>
      <c r="OPG13" s="119"/>
      <c r="OPH13" s="119"/>
      <c r="OPI13" s="119"/>
      <c r="OPJ13" s="119"/>
      <c r="OPK13" s="119"/>
      <c r="OPL13" s="119"/>
      <c r="OPM13" s="119"/>
      <c r="OPN13" s="119"/>
      <c r="OPO13" s="120"/>
      <c r="OPP13" s="120"/>
      <c r="OPQ13" s="120"/>
      <c r="OPR13" s="59"/>
      <c r="OPS13" s="119"/>
      <c r="OPT13" s="119"/>
      <c r="OPU13" s="119"/>
      <c r="OPV13" s="119"/>
      <c r="OPW13" s="119"/>
      <c r="OPX13" s="119"/>
      <c r="OPY13" s="119"/>
      <c r="OPZ13" s="119"/>
      <c r="OQA13" s="119"/>
      <c r="OQB13" s="119"/>
      <c r="OQC13" s="119"/>
      <c r="OQD13" s="119"/>
      <c r="OQE13" s="120"/>
      <c r="OQF13" s="120"/>
      <c r="OQG13" s="120"/>
      <c r="OQH13" s="59"/>
      <c r="OQI13" s="119"/>
      <c r="OQJ13" s="119"/>
      <c r="OQK13" s="119"/>
      <c r="OQL13" s="119"/>
      <c r="OQM13" s="119"/>
      <c r="OQN13" s="119"/>
      <c r="OQO13" s="119"/>
      <c r="OQP13" s="119"/>
      <c r="OQQ13" s="119"/>
      <c r="OQR13" s="119"/>
      <c r="OQS13" s="119"/>
      <c r="OQT13" s="119"/>
      <c r="OQU13" s="120"/>
      <c r="OQV13" s="120"/>
      <c r="OQW13" s="120"/>
      <c r="OQX13" s="59"/>
      <c r="OQY13" s="119"/>
      <c r="OQZ13" s="119"/>
      <c r="ORA13" s="119"/>
      <c r="ORB13" s="119"/>
      <c r="ORC13" s="119"/>
      <c r="ORD13" s="119"/>
      <c r="ORE13" s="119"/>
      <c r="ORF13" s="119"/>
      <c r="ORG13" s="119"/>
      <c r="ORH13" s="119"/>
      <c r="ORI13" s="119"/>
      <c r="ORJ13" s="119"/>
      <c r="ORK13" s="120"/>
      <c r="ORL13" s="120"/>
      <c r="ORM13" s="120"/>
      <c r="ORN13" s="59"/>
      <c r="ORO13" s="119"/>
      <c r="ORP13" s="119"/>
      <c r="ORQ13" s="119"/>
      <c r="ORR13" s="119"/>
      <c r="ORS13" s="119"/>
      <c r="ORT13" s="119"/>
      <c r="ORU13" s="119"/>
      <c r="ORV13" s="119"/>
      <c r="ORW13" s="119"/>
      <c r="ORX13" s="119"/>
      <c r="ORY13" s="119"/>
      <c r="ORZ13" s="119"/>
      <c r="OSA13" s="120"/>
      <c r="OSB13" s="120"/>
      <c r="OSC13" s="120"/>
      <c r="OSD13" s="59"/>
      <c r="OSE13" s="119"/>
      <c r="OSF13" s="119"/>
      <c r="OSG13" s="119"/>
      <c r="OSH13" s="119"/>
      <c r="OSI13" s="119"/>
      <c r="OSJ13" s="119"/>
      <c r="OSK13" s="119"/>
      <c r="OSL13" s="119"/>
      <c r="OSM13" s="119"/>
      <c r="OSN13" s="119"/>
      <c r="OSO13" s="119"/>
      <c r="OSP13" s="119"/>
      <c r="OSQ13" s="120"/>
      <c r="OSR13" s="120"/>
      <c r="OSS13" s="120"/>
      <c r="OST13" s="59"/>
      <c r="OSU13" s="119"/>
      <c r="OSV13" s="119"/>
      <c r="OSW13" s="119"/>
      <c r="OSX13" s="119"/>
      <c r="OSY13" s="119"/>
      <c r="OSZ13" s="119"/>
      <c r="OTA13" s="119"/>
      <c r="OTB13" s="119"/>
      <c r="OTC13" s="119"/>
      <c r="OTD13" s="119"/>
      <c r="OTE13" s="119"/>
      <c r="OTF13" s="119"/>
      <c r="OTG13" s="120"/>
      <c r="OTH13" s="120"/>
      <c r="OTI13" s="120"/>
      <c r="OTJ13" s="59"/>
      <c r="OTK13" s="119"/>
      <c r="OTL13" s="119"/>
      <c r="OTM13" s="119"/>
      <c r="OTN13" s="119"/>
      <c r="OTO13" s="119"/>
      <c r="OTP13" s="119"/>
      <c r="OTQ13" s="119"/>
      <c r="OTR13" s="119"/>
      <c r="OTS13" s="119"/>
      <c r="OTT13" s="119"/>
      <c r="OTU13" s="119"/>
      <c r="OTV13" s="119"/>
      <c r="OTW13" s="120"/>
      <c r="OTX13" s="120"/>
      <c r="OTY13" s="120"/>
      <c r="OTZ13" s="59"/>
      <c r="OUA13" s="119"/>
      <c r="OUB13" s="119"/>
      <c r="OUC13" s="119"/>
      <c r="OUD13" s="119"/>
      <c r="OUE13" s="119"/>
      <c r="OUF13" s="119"/>
      <c r="OUG13" s="119"/>
      <c r="OUH13" s="119"/>
      <c r="OUI13" s="119"/>
      <c r="OUJ13" s="119"/>
      <c r="OUK13" s="119"/>
      <c r="OUL13" s="119"/>
      <c r="OUM13" s="120"/>
      <c r="OUN13" s="120"/>
      <c r="OUO13" s="120"/>
      <c r="OUP13" s="59"/>
      <c r="OUQ13" s="119"/>
      <c r="OUR13" s="119"/>
      <c r="OUS13" s="119"/>
      <c r="OUT13" s="119"/>
      <c r="OUU13" s="119"/>
      <c r="OUV13" s="119"/>
      <c r="OUW13" s="119"/>
      <c r="OUX13" s="119"/>
      <c r="OUY13" s="119"/>
      <c r="OUZ13" s="119"/>
      <c r="OVA13" s="119"/>
      <c r="OVB13" s="119"/>
      <c r="OVC13" s="120"/>
      <c r="OVD13" s="120"/>
      <c r="OVE13" s="120"/>
      <c r="OVF13" s="59"/>
      <c r="OVG13" s="119"/>
      <c r="OVH13" s="119"/>
      <c r="OVI13" s="119"/>
      <c r="OVJ13" s="119"/>
      <c r="OVK13" s="119"/>
      <c r="OVL13" s="119"/>
      <c r="OVM13" s="119"/>
      <c r="OVN13" s="119"/>
      <c r="OVO13" s="119"/>
      <c r="OVP13" s="119"/>
      <c r="OVQ13" s="119"/>
      <c r="OVR13" s="119"/>
      <c r="OVS13" s="120"/>
      <c r="OVT13" s="120"/>
      <c r="OVU13" s="120"/>
      <c r="OVV13" s="59"/>
      <c r="OVW13" s="119"/>
      <c r="OVX13" s="119"/>
      <c r="OVY13" s="119"/>
      <c r="OVZ13" s="119"/>
      <c r="OWA13" s="119"/>
      <c r="OWB13" s="119"/>
      <c r="OWC13" s="119"/>
      <c r="OWD13" s="119"/>
      <c r="OWE13" s="119"/>
      <c r="OWF13" s="119"/>
      <c r="OWG13" s="119"/>
      <c r="OWH13" s="119"/>
      <c r="OWI13" s="120"/>
      <c r="OWJ13" s="120"/>
      <c r="OWK13" s="120"/>
      <c r="OWL13" s="59"/>
      <c r="OWM13" s="119"/>
      <c r="OWN13" s="119"/>
      <c r="OWO13" s="119"/>
      <c r="OWP13" s="119"/>
      <c r="OWQ13" s="119"/>
      <c r="OWR13" s="119"/>
      <c r="OWS13" s="119"/>
      <c r="OWT13" s="119"/>
      <c r="OWU13" s="119"/>
      <c r="OWV13" s="119"/>
      <c r="OWW13" s="119"/>
      <c r="OWX13" s="119"/>
      <c r="OWY13" s="120"/>
      <c r="OWZ13" s="120"/>
      <c r="OXA13" s="120"/>
      <c r="OXB13" s="59"/>
      <c r="OXC13" s="119"/>
      <c r="OXD13" s="119"/>
      <c r="OXE13" s="119"/>
      <c r="OXF13" s="119"/>
      <c r="OXG13" s="119"/>
      <c r="OXH13" s="119"/>
      <c r="OXI13" s="119"/>
      <c r="OXJ13" s="119"/>
      <c r="OXK13" s="119"/>
      <c r="OXL13" s="119"/>
      <c r="OXM13" s="119"/>
      <c r="OXN13" s="119"/>
      <c r="OXO13" s="120"/>
      <c r="OXP13" s="120"/>
      <c r="OXQ13" s="120"/>
      <c r="OXR13" s="59"/>
      <c r="OXS13" s="119"/>
      <c r="OXT13" s="119"/>
      <c r="OXU13" s="119"/>
      <c r="OXV13" s="119"/>
      <c r="OXW13" s="119"/>
      <c r="OXX13" s="119"/>
      <c r="OXY13" s="119"/>
      <c r="OXZ13" s="119"/>
      <c r="OYA13" s="119"/>
      <c r="OYB13" s="119"/>
      <c r="OYC13" s="119"/>
      <c r="OYD13" s="119"/>
      <c r="OYE13" s="120"/>
      <c r="OYF13" s="120"/>
      <c r="OYG13" s="120"/>
      <c r="OYH13" s="59"/>
      <c r="OYI13" s="119"/>
      <c r="OYJ13" s="119"/>
      <c r="OYK13" s="119"/>
      <c r="OYL13" s="119"/>
      <c r="OYM13" s="119"/>
      <c r="OYN13" s="119"/>
      <c r="OYO13" s="119"/>
      <c r="OYP13" s="119"/>
      <c r="OYQ13" s="119"/>
      <c r="OYR13" s="119"/>
      <c r="OYS13" s="119"/>
      <c r="OYT13" s="119"/>
      <c r="OYU13" s="120"/>
      <c r="OYV13" s="120"/>
      <c r="OYW13" s="120"/>
      <c r="OYX13" s="59"/>
      <c r="OYY13" s="119"/>
      <c r="OYZ13" s="119"/>
      <c r="OZA13" s="119"/>
      <c r="OZB13" s="119"/>
      <c r="OZC13" s="119"/>
      <c r="OZD13" s="119"/>
      <c r="OZE13" s="119"/>
      <c r="OZF13" s="119"/>
      <c r="OZG13" s="119"/>
      <c r="OZH13" s="119"/>
      <c r="OZI13" s="119"/>
      <c r="OZJ13" s="119"/>
      <c r="OZK13" s="120"/>
      <c r="OZL13" s="120"/>
      <c r="OZM13" s="120"/>
      <c r="OZN13" s="59"/>
      <c r="OZO13" s="119"/>
      <c r="OZP13" s="119"/>
      <c r="OZQ13" s="119"/>
      <c r="OZR13" s="119"/>
      <c r="OZS13" s="119"/>
      <c r="OZT13" s="119"/>
      <c r="OZU13" s="119"/>
      <c r="OZV13" s="119"/>
      <c r="OZW13" s="119"/>
      <c r="OZX13" s="119"/>
      <c r="OZY13" s="119"/>
      <c r="OZZ13" s="119"/>
      <c r="PAA13" s="120"/>
      <c r="PAB13" s="120"/>
      <c r="PAC13" s="120"/>
      <c r="PAD13" s="59"/>
      <c r="PAE13" s="119"/>
      <c r="PAF13" s="119"/>
      <c r="PAG13" s="119"/>
      <c r="PAH13" s="119"/>
      <c r="PAI13" s="119"/>
      <c r="PAJ13" s="119"/>
      <c r="PAK13" s="119"/>
      <c r="PAL13" s="119"/>
      <c r="PAM13" s="119"/>
      <c r="PAN13" s="119"/>
      <c r="PAO13" s="119"/>
      <c r="PAP13" s="119"/>
      <c r="PAQ13" s="120"/>
      <c r="PAR13" s="120"/>
      <c r="PAS13" s="120"/>
      <c r="PAT13" s="59"/>
      <c r="PAU13" s="119"/>
      <c r="PAV13" s="119"/>
      <c r="PAW13" s="119"/>
      <c r="PAX13" s="119"/>
      <c r="PAY13" s="119"/>
      <c r="PAZ13" s="119"/>
      <c r="PBA13" s="119"/>
      <c r="PBB13" s="119"/>
      <c r="PBC13" s="119"/>
      <c r="PBD13" s="119"/>
      <c r="PBE13" s="119"/>
      <c r="PBF13" s="119"/>
      <c r="PBG13" s="120"/>
      <c r="PBH13" s="120"/>
      <c r="PBI13" s="120"/>
      <c r="PBJ13" s="59"/>
      <c r="PBK13" s="119"/>
      <c r="PBL13" s="119"/>
      <c r="PBM13" s="119"/>
      <c r="PBN13" s="119"/>
      <c r="PBO13" s="119"/>
      <c r="PBP13" s="119"/>
      <c r="PBQ13" s="119"/>
      <c r="PBR13" s="119"/>
      <c r="PBS13" s="119"/>
      <c r="PBT13" s="119"/>
      <c r="PBU13" s="119"/>
      <c r="PBV13" s="119"/>
      <c r="PBW13" s="120"/>
      <c r="PBX13" s="120"/>
      <c r="PBY13" s="120"/>
      <c r="PBZ13" s="59"/>
      <c r="PCA13" s="119"/>
      <c r="PCB13" s="119"/>
      <c r="PCC13" s="119"/>
      <c r="PCD13" s="119"/>
      <c r="PCE13" s="119"/>
      <c r="PCF13" s="119"/>
      <c r="PCG13" s="119"/>
      <c r="PCH13" s="119"/>
      <c r="PCI13" s="119"/>
      <c r="PCJ13" s="119"/>
      <c r="PCK13" s="119"/>
      <c r="PCL13" s="119"/>
      <c r="PCM13" s="120"/>
      <c r="PCN13" s="120"/>
      <c r="PCO13" s="120"/>
      <c r="PCP13" s="59"/>
      <c r="PCQ13" s="119"/>
      <c r="PCR13" s="119"/>
      <c r="PCS13" s="119"/>
      <c r="PCT13" s="119"/>
      <c r="PCU13" s="119"/>
      <c r="PCV13" s="119"/>
      <c r="PCW13" s="119"/>
      <c r="PCX13" s="119"/>
      <c r="PCY13" s="119"/>
      <c r="PCZ13" s="119"/>
      <c r="PDA13" s="119"/>
      <c r="PDB13" s="119"/>
      <c r="PDC13" s="120"/>
      <c r="PDD13" s="120"/>
      <c r="PDE13" s="120"/>
      <c r="PDF13" s="59"/>
      <c r="PDG13" s="119"/>
      <c r="PDH13" s="119"/>
      <c r="PDI13" s="119"/>
      <c r="PDJ13" s="119"/>
      <c r="PDK13" s="119"/>
      <c r="PDL13" s="119"/>
      <c r="PDM13" s="119"/>
      <c r="PDN13" s="119"/>
      <c r="PDO13" s="119"/>
      <c r="PDP13" s="119"/>
      <c r="PDQ13" s="119"/>
      <c r="PDR13" s="119"/>
      <c r="PDS13" s="120"/>
      <c r="PDT13" s="120"/>
      <c r="PDU13" s="120"/>
      <c r="PDV13" s="59"/>
      <c r="PDW13" s="119"/>
      <c r="PDX13" s="119"/>
      <c r="PDY13" s="119"/>
      <c r="PDZ13" s="119"/>
      <c r="PEA13" s="119"/>
      <c r="PEB13" s="119"/>
      <c r="PEC13" s="119"/>
      <c r="PED13" s="119"/>
      <c r="PEE13" s="119"/>
      <c r="PEF13" s="119"/>
      <c r="PEG13" s="119"/>
      <c r="PEH13" s="119"/>
      <c r="PEI13" s="120"/>
      <c r="PEJ13" s="120"/>
      <c r="PEK13" s="120"/>
      <c r="PEL13" s="59"/>
      <c r="PEM13" s="119"/>
      <c r="PEN13" s="119"/>
      <c r="PEO13" s="119"/>
      <c r="PEP13" s="119"/>
      <c r="PEQ13" s="119"/>
      <c r="PER13" s="119"/>
      <c r="PES13" s="119"/>
      <c r="PET13" s="119"/>
      <c r="PEU13" s="119"/>
      <c r="PEV13" s="119"/>
      <c r="PEW13" s="119"/>
      <c r="PEX13" s="119"/>
      <c r="PEY13" s="120"/>
      <c r="PEZ13" s="120"/>
      <c r="PFA13" s="120"/>
      <c r="PFB13" s="59"/>
      <c r="PFC13" s="119"/>
      <c r="PFD13" s="119"/>
      <c r="PFE13" s="119"/>
      <c r="PFF13" s="119"/>
      <c r="PFG13" s="119"/>
      <c r="PFH13" s="119"/>
      <c r="PFI13" s="119"/>
      <c r="PFJ13" s="119"/>
      <c r="PFK13" s="119"/>
      <c r="PFL13" s="119"/>
      <c r="PFM13" s="119"/>
      <c r="PFN13" s="119"/>
      <c r="PFO13" s="120"/>
      <c r="PFP13" s="120"/>
      <c r="PFQ13" s="120"/>
      <c r="PFR13" s="59"/>
      <c r="PFS13" s="119"/>
      <c r="PFT13" s="119"/>
      <c r="PFU13" s="119"/>
      <c r="PFV13" s="119"/>
      <c r="PFW13" s="119"/>
      <c r="PFX13" s="119"/>
      <c r="PFY13" s="119"/>
      <c r="PFZ13" s="119"/>
      <c r="PGA13" s="119"/>
      <c r="PGB13" s="119"/>
      <c r="PGC13" s="119"/>
      <c r="PGD13" s="119"/>
      <c r="PGE13" s="120"/>
      <c r="PGF13" s="120"/>
      <c r="PGG13" s="120"/>
      <c r="PGH13" s="59"/>
      <c r="PGI13" s="119"/>
      <c r="PGJ13" s="119"/>
      <c r="PGK13" s="119"/>
      <c r="PGL13" s="119"/>
      <c r="PGM13" s="119"/>
      <c r="PGN13" s="119"/>
      <c r="PGO13" s="119"/>
      <c r="PGP13" s="119"/>
      <c r="PGQ13" s="119"/>
      <c r="PGR13" s="119"/>
      <c r="PGS13" s="119"/>
      <c r="PGT13" s="119"/>
      <c r="PGU13" s="120"/>
      <c r="PGV13" s="120"/>
      <c r="PGW13" s="120"/>
      <c r="PGX13" s="59"/>
      <c r="PGY13" s="119"/>
      <c r="PGZ13" s="119"/>
      <c r="PHA13" s="119"/>
      <c r="PHB13" s="119"/>
      <c r="PHC13" s="119"/>
      <c r="PHD13" s="119"/>
      <c r="PHE13" s="119"/>
      <c r="PHF13" s="119"/>
      <c r="PHG13" s="119"/>
      <c r="PHH13" s="119"/>
      <c r="PHI13" s="119"/>
      <c r="PHJ13" s="119"/>
      <c r="PHK13" s="120"/>
      <c r="PHL13" s="120"/>
      <c r="PHM13" s="120"/>
      <c r="PHN13" s="59"/>
      <c r="PHO13" s="119"/>
      <c r="PHP13" s="119"/>
      <c r="PHQ13" s="119"/>
      <c r="PHR13" s="119"/>
      <c r="PHS13" s="119"/>
      <c r="PHT13" s="119"/>
      <c r="PHU13" s="119"/>
      <c r="PHV13" s="119"/>
      <c r="PHW13" s="119"/>
      <c r="PHX13" s="119"/>
      <c r="PHY13" s="119"/>
      <c r="PHZ13" s="119"/>
      <c r="PIA13" s="120"/>
      <c r="PIB13" s="120"/>
      <c r="PIC13" s="120"/>
      <c r="PID13" s="59"/>
      <c r="PIE13" s="119"/>
      <c r="PIF13" s="119"/>
      <c r="PIG13" s="119"/>
      <c r="PIH13" s="119"/>
      <c r="PII13" s="119"/>
      <c r="PIJ13" s="119"/>
      <c r="PIK13" s="119"/>
      <c r="PIL13" s="119"/>
      <c r="PIM13" s="119"/>
      <c r="PIN13" s="119"/>
      <c r="PIO13" s="119"/>
      <c r="PIP13" s="119"/>
      <c r="PIQ13" s="120"/>
      <c r="PIR13" s="120"/>
      <c r="PIS13" s="120"/>
      <c r="PIT13" s="59"/>
      <c r="PIU13" s="119"/>
      <c r="PIV13" s="119"/>
      <c r="PIW13" s="119"/>
      <c r="PIX13" s="119"/>
      <c r="PIY13" s="119"/>
      <c r="PIZ13" s="119"/>
      <c r="PJA13" s="119"/>
      <c r="PJB13" s="119"/>
      <c r="PJC13" s="119"/>
      <c r="PJD13" s="119"/>
      <c r="PJE13" s="119"/>
      <c r="PJF13" s="119"/>
      <c r="PJG13" s="120"/>
      <c r="PJH13" s="120"/>
      <c r="PJI13" s="120"/>
      <c r="PJJ13" s="59"/>
      <c r="PJK13" s="119"/>
      <c r="PJL13" s="119"/>
      <c r="PJM13" s="119"/>
      <c r="PJN13" s="119"/>
      <c r="PJO13" s="119"/>
      <c r="PJP13" s="119"/>
      <c r="PJQ13" s="119"/>
      <c r="PJR13" s="119"/>
      <c r="PJS13" s="119"/>
      <c r="PJT13" s="119"/>
      <c r="PJU13" s="119"/>
      <c r="PJV13" s="119"/>
      <c r="PJW13" s="120"/>
      <c r="PJX13" s="120"/>
      <c r="PJY13" s="120"/>
      <c r="PJZ13" s="59"/>
      <c r="PKA13" s="119"/>
      <c r="PKB13" s="119"/>
      <c r="PKC13" s="119"/>
      <c r="PKD13" s="119"/>
      <c r="PKE13" s="119"/>
      <c r="PKF13" s="119"/>
      <c r="PKG13" s="119"/>
      <c r="PKH13" s="119"/>
      <c r="PKI13" s="119"/>
      <c r="PKJ13" s="119"/>
      <c r="PKK13" s="119"/>
      <c r="PKL13" s="119"/>
      <c r="PKM13" s="120"/>
      <c r="PKN13" s="120"/>
      <c r="PKO13" s="120"/>
      <c r="PKP13" s="59"/>
      <c r="PKQ13" s="119"/>
      <c r="PKR13" s="119"/>
      <c r="PKS13" s="119"/>
      <c r="PKT13" s="119"/>
      <c r="PKU13" s="119"/>
      <c r="PKV13" s="119"/>
      <c r="PKW13" s="119"/>
      <c r="PKX13" s="119"/>
      <c r="PKY13" s="119"/>
      <c r="PKZ13" s="119"/>
      <c r="PLA13" s="119"/>
      <c r="PLB13" s="119"/>
      <c r="PLC13" s="120"/>
      <c r="PLD13" s="120"/>
      <c r="PLE13" s="120"/>
      <c r="PLF13" s="59"/>
      <c r="PLG13" s="119"/>
      <c r="PLH13" s="119"/>
      <c r="PLI13" s="119"/>
      <c r="PLJ13" s="119"/>
      <c r="PLK13" s="119"/>
      <c r="PLL13" s="119"/>
      <c r="PLM13" s="119"/>
      <c r="PLN13" s="119"/>
      <c r="PLO13" s="119"/>
      <c r="PLP13" s="119"/>
      <c r="PLQ13" s="119"/>
      <c r="PLR13" s="119"/>
      <c r="PLS13" s="120"/>
      <c r="PLT13" s="120"/>
      <c r="PLU13" s="120"/>
      <c r="PLV13" s="59"/>
      <c r="PLW13" s="119"/>
      <c r="PLX13" s="119"/>
      <c r="PLY13" s="119"/>
      <c r="PLZ13" s="119"/>
      <c r="PMA13" s="119"/>
      <c r="PMB13" s="119"/>
      <c r="PMC13" s="119"/>
      <c r="PMD13" s="119"/>
      <c r="PME13" s="119"/>
      <c r="PMF13" s="119"/>
      <c r="PMG13" s="119"/>
      <c r="PMH13" s="119"/>
      <c r="PMI13" s="120"/>
      <c r="PMJ13" s="120"/>
      <c r="PMK13" s="120"/>
      <c r="PML13" s="59"/>
      <c r="PMM13" s="119"/>
      <c r="PMN13" s="119"/>
      <c r="PMO13" s="119"/>
      <c r="PMP13" s="119"/>
      <c r="PMQ13" s="119"/>
      <c r="PMR13" s="119"/>
      <c r="PMS13" s="119"/>
      <c r="PMT13" s="119"/>
      <c r="PMU13" s="119"/>
      <c r="PMV13" s="119"/>
      <c r="PMW13" s="119"/>
      <c r="PMX13" s="119"/>
      <c r="PMY13" s="120"/>
      <c r="PMZ13" s="120"/>
      <c r="PNA13" s="120"/>
      <c r="PNB13" s="59"/>
      <c r="PNC13" s="119"/>
      <c r="PND13" s="119"/>
      <c r="PNE13" s="119"/>
      <c r="PNF13" s="119"/>
      <c r="PNG13" s="119"/>
      <c r="PNH13" s="119"/>
      <c r="PNI13" s="119"/>
      <c r="PNJ13" s="119"/>
      <c r="PNK13" s="119"/>
      <c r="PNL13" s="119"/>
      <c r="PNM13" s="119"/>
      <c r="PNN13" s="119"/>
      <c r="PNO13" s="120"/>
      <c r="PNP13" s="120"/>
      <c r="PNQ13" s="120"/>
      <c r="PNR13" s="59"/>
      <c r="PNS13" s="119"/>
      <c r="PNT13" s="119"/>
      <c r="PNU13" s="119"/>
      <c r="PNV13" s="119"/>
      <c r="PNW13" s="119"/>
      <c r="PNX13" s="119"/>
      <c r="PNY13" s="119"/>
      <c r="PNZ13" s="119"/>
      <c r="POA13" s="119"/>
      <c r="POB13" s="119"/>
      <c r="POC13" s="119"/>
      <c r="POD13" s="119"/>
      <c r="POE13" s="120"/>
      <c r="POF13" s="120"/>
      <c r="POG13" s="120"/>
      <c r="POH13" s="59"/>
      <c r="POI13" s="119"/>
      <c r="POJ13" s="119"/>
      <c r="POK13" s="119"/>
      <c r="POL13" s="119"/>
      <c r="POM13" s="119"/>
      <c r="PON13" s="119"/>
      <c r="POO13" s="119"/>
      <c r="POP13" s="119"/>
      <c r="POQ13" s="119"/>
      <c r="POR13" s="119"/>
      <c r="POS13" s="119"/>
      <c r="POT13" s="119"/>
      <c r="POU13" s="120"/>
      <c r="POV13" s="120"/>
      <c r="POW13" s="120"/>
      <c r="POX13" s="59"/>
      <c r="POY13" s="119"/>
      <c r="POZ13" s="119"/>
      <c r="PPA13" s="119"/>
      <c r="PPB13" s="119"/>
      <c r="PPC13" s="119"/>
      <c r="PPD13" s="119"/>
      <c r="PPE13" s="119"/>
      <c r="PPF13" s="119"/>
      <c r="PPG13" s="119"/>
      <c r="PPH13" s="119"/>
      <c r="PPI13" s="119"/>
      <c r="PPJ13" s="119"/>
      <c r="PPK13" s="120"/>
      <c r="PPL13" s="120"/>
      <c r="PPM13" s="120"/>
      <c r="PPN13" s="59"/>
      <c r="PPO13" s="119"/>
      <c r="PPP13" s="119"/>
      <c r="PPQ13" s="119"/>
      <c r="PPR13" s="119"/>
      <c r="PPS13" s="119"/>
      <c r="PPT13" s="119"/>
      <c r="PPU13" s="119"/>
      <c r="PPV13" s="119"/>
      <c r="PPW13" s="119"/>
      <c r="PPX13" s="119"/>
      <c r="PPY13" s="119"/>
      <c r="PPZ13" s="119"/>
      <c r="PQA13" s="120"/>
      <c r="PQB13" s="120"/>
      <c r="PQC13" s="120"/>
      <c r="PQD13" s="59"/>
      <c r="PQE13" s="119"/>
      <c r="PQF13" s="119"/>
      <c r="PQG13" s="119"/>
      <c r="PQH13" s="119"/>
      <c r="PQI13" s="119"/>
      <c r="PQJ13" s="119"/>
      <c r="PQK13" s="119"/>
      <c r="PQL13" s="119"/>
      <c r="PQM13" s="119"/>
      <c r="PQN13" s="119"/>
      <c r="PQO13" s="119"/>
      <c r="PQP13" s="119"/>
      <c r="PQQ13" s="120"/>
      <c r="PQR13" s="120"/>
      <c r="PQS13" s="120"/>
      <c r="PQT13" s="59"/>
      <c r="PQU13" s="119"/>
      <c r="PQV13" s="119"/>
      <c r="PQW13" s="119"/>
      <c r="PQX13" s="119"/>
      <c r="PQY13" s="119"/>
      <c r="PQZ13" s="119"/>
      <c r="PRA13" s="119"/>
      <c r="PRB13" s="119"/>
      <c r="PRC13" s="119"/>
      <c r="PRD13" s="119"/>
      <c r="PRE13" s="119"/>
      <c r="PRF13" s="119"/>
      <c r="PRG13" s="120"/>
      <c r="PRH13" s="120"/>
      <c r="PRI13" s="120"/>
      <c r="PRJ13" s="59"/>
      <c r="PRK13" s="119"/>
      <c r="PRL13" s="119"/>
      <c r="PRM13" s="119"/>
      <c r="PRN13" s="119"/>
      <c r="PRO13" s="119"/>
      <c r="PRP13" s="119"/>
      <c r="PRQ13" s="119"/>
      <c r="PRR13" s="119"/>
      <c r="PRS13" s="119"/>
      <c r="PRT13" s="119"/>
      <c r="PRU13" s="119"/>
      <c r="PRV13" s="119"/>
      <c r="PRW13" s="120"/>
      <c r="PRX13" s="120"/>
      <c r="PRY13" s="120"/>
      <c r="PRZ13" s="59"/>
      <c r="PSA13" s="119"/>
      <c r="PSB13" s="119"/>
      <c r="PSC13" s="119"/>
      <c r="PSD13" s="119"/>
      <c r="PSE13" s="119"/>
      <c r="PSF13" s="119"/>
      <c r="PSG13" s="119"/>
      <c r="PSH13" s="119"/>
      <c r="PSI13" s="119"/>
      <c r="PSJ13" s="119"/>
      <c r="PSK13" s="119"/>
      <c r="PSL13" s="119"/>
      <c r="PSM13" s="120"/>
      <c r="PSN13" s="120"/>
      <c r="PSO13" s="120"/>
      <c r="PSP13" s="59"/>
      <c r="PSQ13" s="119"/>
      <c r="PSR13" s="119"/>
      <c r="PSS13" s="119"/>
      <c r="PST13" s="119"/>
      <c r="PSU13" s="119"/>
      <c r="PSV13" s="119"/>
      <c r="PSW13" s="119"/>
      <c r="PSX13" s="119"/>
      <c r="PSY13" s="119"/>
      <c r="PSZ13" s="119"/>
      <c r="PTA13" s="119"/>
      <c r="PTB13" s="119"/>
      <c r="PTC13" s="120"/>
      <c r="PTD13" s="120"/>
      <c r="PTE13" s="120"/>
      <c r="PTF13" s="59"/>
      <c r="PTG13" s="119"/>
      <c r="PTH13" s="119"/>
      <c r="PTI13" s="119"/>
      <c r="PTJ13" s="119"/>
      <c r="PTK13" s="119"/>
      <c r="PTL13" s="119"/>
      <c r="PTM13" s="119"/>
      <c r="PTN13" s="119"/>
      <c r="PTO13" s="119"/>
      <c r="PTP13" s="119"/>
      <c r="PTQ13" s="119"/>
      <c r="PTR13" s="119"/>
      <c r="PTS13" s="120"/>
      <c r="PTT13" s="120"/>
      <c r="PTU13" s="120"/>
      <c r="PTV13" s="59"/>
      <c r="PTW13" s="119"/>
      <c r="PTX13" s="119"/>
      <c r="PTY13" s="119"/>
      <c r="PTZ13" s="119"/>
      <c r="PUA13" s="119"/>
      <c r="PUB13" s="119"/>
      <c r="PUC13" s="119"/>
      <c r="PUD13" s="119"/>
      <c r="PUE13" s="119"/>
      <c r="PUF13" s="119"/>
      <c r="PUG13" s="119"/>
      <c r="PUH13" s="119"/>
      <c r="PUI13" s="120"/>
      <c r="PUJ13" s="120"/>
      <c r="PUK13" s="120"/>
      <c r="PUL13" s="59"/>
      <c r="PUM13" s="119"/>
      <c r="PUN13" s="119"/>
      <c r="PUO13" s="119"/>
      <c r="PUP13" s="119"/>
      <c r="PUQ13" s="119"/>
      <c r="PUR13" s="119"/>
      <c r="PUS13" s="119"/>
      <c r="PUT13" s="119"/>
      <c r="PUU13" s="119"/>
      <c r="PUV13" s="119"/>
      <c r="PUW13" s="119"/>
      <c r="PUX13" s="119"/>
      <c r="PUY13" s="120"/>
      <c r="PUZ13" s="120"/>
      <c r="PVA13" s="120"/>
      <c r="PVB13" s="59"/>
      <c r="PVC13" s="119"/>
      <c r="PVD13" s="119"/>
      <c r="PVE13" s="119"/>
      <c r="PVF13" s="119"/>
      <c r="PVG13" s="119"/>
      <c r="PVH13" s="119"/>
      <c r="PVI13" s="119"/>
      <c r="PVJ13" s="119"/>
      <c r="PVK13" s="119"/>
      <c r="PVL13" s="119"/>
      <c r="PVM13" s="119"/>
      <c r="PVN13" s="119"/>
      <c r="PVO13" s="120"/>
      <c r="PVP13" s="120"/>
      <c r="PVQ13" s="120"/>
      <c r="PVR13" s="59"/>
      <c r="PVS13" s="119"/>
      <c r="PVT13" s="119"/>
      <c r="PVU13" s="119"/>
      <c r="PVV13" s="119"/>
      <c r="PVW13" s="119"/>
      <c r="PVX13" s="119"/>
      <c r="PVY13" s="119"/>
      <c r="PVZ13" s="119"/>
      <c r="PWA13" s="119"/>
      <c r="PWB13" s="119"/>
      <c r="PWC13" s="119"/>
      <c r="PWD13" s="119"/>
      <c r="PWE13" s="120"/>
      <c r="PWF13" s="120"/>
      <c r="PWG13" s="120"/>
      <c r="PWH13" s="59"/>
      <c r="PWI13" s="119"/>
      <c r="PWJ13" s="119"/>
      <c r="PWK13" s="119"/>
      <c r="PWL13" s="119"/>
      <c r="PWM13" s="119"/>
      <c r="PWN13" s="119"/>
      <c r="PWO13" s="119"/>
      <c r="PWP13" s="119"/>
      <c r="PWQ13" s="119"/>
      <c r="PWR13" s="119"/>
      <c r="PWS13" s="119"/>
      <c r="PWT13" s="119"/>
      <c r="PWU13" s="120"/>
      <c r="PWV13" s="120"/>
      <c r="PWW13" s="120"/>
      <c r="PWX13" s="59"/>
      <c r="PWY13" s="119"/>
      <c r="PWZ13" s="119"/>
      <c r="PXA13" s="119"/>
      <c r="PXB13" s="119"/>
      <c r="PXC13" s="119"/>
      <c r="PXD13" s="119"/>
      <c r="PXE13" s="119"/>
      <c r="PXF13" s="119"/>
      <c r="PXG13" s="119"/>
      <c r="PXH13" s="119"/>
      <c r="PXI13" s="119"/>
      <c r="PXJ13" s="119"/>
      <c r="PXK13" s="120"/>
      <c r="PXL13" s="120"/>
      <c r="PXM13" s="120"/>
      <c r="PXN13" s="59"/>
      <c r="PXO13" s="119"/>
      <c r="PXP13" s="119"/>
      <c r="PXQ13" s="119"/>
      <c r="PXR13" s="119"/>
      <c r="PXS13" s="119"/>
      <c r="PXT13" s="119"/>
      <c r="PXU13" s="119"/>
      <c r="PXV13" s="119"/>
      <c r="PXW13" s="119"/>
      <c r="PXX13" s="119"/>
      <c r="PXY13" s="119"/>
      <c r="PXZ13" s="119"/>
      <c r="PYA13" s="120"/>
      <c r="PYB13" s="120"/>
      <c r="PYC13" s="120"/>
      <c r="PYD13" s="59"/>
      <c r="PYE13" s="119"/>
      <c r="PYF13" s="119"/>
      <c r="PYG13" s="119"/>
      <c r="PYH13" s="119"/>
      <c r="PYI13" s="119"/>
      <c r="PYJ13" s="119"/>
      <c r="PYK13" s="119"/>
      <c r="PYL13" s="119"/>
      <c r="PYM13" s="119"/>
      <c r="PYN13" s="119"/>
      <c r="PYO13" s="119"/>
      <c r="PYP13" s="119"/>
      <c r="PYQ13" s="120"/>
      <c r="PYR13" s="120"/>
      <c r="PYS13" s="120"/>
      <c r="PYT13" s="59"/>
      <c r="PYU13" s="119"/>
      <c r="PYV13" s="119"/>
      <c r="PYW13" s="119"/>
      <c r="PYX13" s="119"/>
      <c r="PYY13" s="119"/>
      <c r="PYZ13" s="119"/>
      <c r="PZA13" s="119"/>
      <c r="PZB13" s="119"/>
      <c r="PZC13" s="119"/>
      <c r="PZD13" s="119"/>
      <c r="PZE13" s="119"/>
      <c r="PZF13" s="119"/>
      <c r="PZG13" s="120"/>
      <c r="PZH13" s="120"/>
      <c r="PZI13" s="120"/>
      <c r="PZJ13" s="59"/>
      <c r="PZK13" s="119"/>
      <c r="PZL13" s="119"/>
      <c r="PZM13" s="119"/>
      <c r="PZN13" s="119"/>
      <c r="PZO13" s="119"/>
      <c r="PZP13" s="119"/>
      <c r="PZQ13" s="119"/>
      <c r="PZR13" s="119"/>
      <c r="PZS13" s="119"/>
      <c r="PZT13" s="119"/>
      <c r="PZU13" s="119"/>
      <c r="PZV13" s="119"/>
      <c r="PZW13" s="120"/>
      <c r="PZX13" s="120"/>
      <c r="PZY13" s="120"/>
      <c r="PZZ13" s="59"/>
      <c r="QAA13" s="119"/>
      <c r="QAB13" s="119"/>
      <c r="QAC13" s="119"/>
      <c r="QAD13" s="119"/>
      <c r="QAE13" s="119"/>
      <c r="QAF13" s="119"/>
      <c r="QAG13" s="119"/>
      <c r="QAH13" s="119"/>
      <c r="QAI13" s="119"/>
      <c r="QAJ13" s="119"/>
      <c r="QAK13" s="119"/>
      <c r="QAL13" s="119"/>
      <c r="QAM13" s="120"/>
      <c r="QAN13" s="120"/>
      <c r="QAO13" s="120"/>
      <c r="QAP13" s="59"/>
      <c r="QAQ13" s="119"/>
      <c r="QAR13" s="119"/>
      <c r="QAS13" s="119"/>
      <c r="QAT13" s="119"/>
      <c r="QAU13" s="119"/>
      <c r="QAV13" s="119"/>
      <c r="QAW13" s="119"/>
      <c r="QAX13" s="119"/>
      <c r="QAY13" s="119"/>
      <c r="QAZ13" s="119"/>
      <c r="QBA13" s="119"/>
      <c r="QBB13" s="119"/>
      <c r="QBC13" s="120"/>
      <c r="QBD13" s="120"/>
      <c r="QBE13" s="120"/>
      <c r="QBF13" s="59"/>
      <c r="QBG13" s="119"/>
      <c r="QBH13" s="119"/>
      <c r="QBI13" s="119"/>
      <c r="QBJ13" s="119"/>
      <c r="QBK13" s="119"/>
      <c r="QBL13" s="119"/>
      <c r="QBM13" s="119"/>
      <c r="QBN13" s="119"/>
      <c r="QBO13" s="119"/>
      <c r="QBP13" s="119"/>
      <c r="QBQ13" s="119"/>
      <c r="QBR13" s="119"/>
      <c r="QBS13" s="120"/>
      <c r="QBT13" s="120"/>
      <c r="QBU13" s="120"/>
      <c r="QBV13" s="59"/>
      <c r="QBW13" s="119"/>
      <c r="QBX13" s="119"/>
      <c r="QBY13" s="119"/>
      <c r="QBZ13" s="119"/>
      <c r="QCA13" s="119"/>
      <c r="QCB13" s="119"/>
      <c r="QCC13" s="119"/>
      <c r="QCD13" s="119"/>
      <c r="QCE13" s="119"/>
      <c r="QCF13" s="119"/>
      <c r="QCG13" s="119"/>
      <c r="QCH13" s="119"/>
      <c r="QCI13" s="120"/>
      <c r="QCJ13" s="120"/>
      <c r="QCK13" s="120"/>
      <c r="QCL13" s="59"/>
      <c r="QCM13" s="119"/>
      <c r="QCN13" s="119"/>
      <c r="QCO13" s="119"/>
      <c r="QCP13" s="119"/>
      <c r="QCQ13" s="119"/>
      <c r="QCR13" s="119"/>
      <c r="QCS13" s="119"/>
      <c r="QCT13" s="119"/>
      <c r="QCU13" s="119"/>
      <c r="QCV13" s="119"/>
      <c r="QCW13" s="119"/>
      <c r="QCX13" s="119"/>
      <c r="QCY13" s="120"/>
      <c r="QCZ13" s="120"/>
      <c r="QDA13" s="120"/>
      <c r="QDB13" s="59"/>
      <c r="QDC13" s="119"/>
      <c r="QDD13" s="119"/>
      <c r="QDE13" s="119"/>
      <c r="QDF13" s="119"/>
      <c r="QDG13" s="119"/>
      <c r="QDH13" s="119"/>
      <c r="QDI13" s="119"/>
      <c r="QDJ13" s="119"/>
      <c r="QDK13" s="119"/>
      <c r="QDL13" s="119"/>
      <c r="QDM13" s="119"/>
      <c r="QDN13" s="119"/>
      <c r="QDO13" s="120"/>
      <c r="QDP13" s="120"/>
      <c r="QDQ13" s="120"/>
      <c r="QDR13" s="59"/>
      <c r="QDS13" s="119"/>
      <c r="QDT13" s="119"/>
      <c r="QDU13" s="119"/>
      <c r="QDV13" s="119"/>
      <c r="QDW13" s="119"/>
      <c r="QDX13" s="119"/>
      <c r="QDY13" s="119"/>
      <c r="QDZ13" s="119"/>
      <c r="QEA13" s="119"/>
      <c r="QEB13" s="119"/>
      <c r="QEC13" s="119"/>
      <c r="QED13" s="119"/>
      <c r="QEE13" s="120"/>
      <c r="QEF13" s="120"/>
      <c r="QEG13" s="120"/>
      <c r="QEH13" s="59"/>
      <c r="QEI13" s="119"/>
      <c r="QEJ13" s="119"/>
      <c r="QEK13" s="119"/>
      <c r="QEL13" s="119"/>
      <c r="QEM13" s="119"/>
      <c r="QEN13" s="119"/>
      <c r="QEO13" s="119"/>
      <c r="QEP13" s="119"/>
      <c r="QEQ13" s="119"/>
      <c r="QER13" s="119"/>
      <c r="QES13" s="119"/>
      <c r="QET13" s="119"/>
      <c r="QEU13" s="120"/>
      <c r="QEV13" s="120"/>
      <c r="QEW13" s="120"/>
      <c r="QEX13" s="59"/>
      <c r="QEY13" s="119"/>
      <c r="QEZ13" s="119"/>
      <c r="QFA13" s="119"/>
      <c r="QFB13" s="119"/>
      <c r="QFC13" s="119"/>
      <c r="QFD13" s="119"/>
      <c r="QFE13" s="119"/>
      <c r="QFF13" s="119"/>
      <c r="QFG13" s="119"/>
      <c r="QFH13" s="119"/>
      <c r="QFI13" s="119"/>
      <c r="QFJ13" s="119"/>
      <c r="QFK13" s="120"/>
      <c r="QFL13" s="120"/>
      <c r="QFM13" s="120"/>
      <c r="QFN13" s="59"/>
      <c r="QFO13" s="119"/>
      <c r="QFP13" s="119"/>
      <c r="QFQ13" s="119"/>
      <c r="QFR13" s="119"/>
      <c r="QFS13" s="119"/>
      <c r="QFT13" s="119"/>
      <c r="QFU13" s="119"/>
      <c r="QFV13" s="119"/>
      <c r="QFW13" s="119"/>
      <c r="QFX13" s="119"/>
      <c r="QFY13" s="119"/>
      <c r="QFZ13" s="119"/>
      <c r="QGA13" s="120"/>
      <c r="QGB13" s="120"/>
      <c r="QGC13" s="120"/>
      <c r="QGD13" s="59"/>
      <c r="QGE13" s="119"/>
      <c r="QGF13" s="119"/>
      <c r="QGG13" s="119"/>
      <c r="QGH13" s="119"/>
      <c r="QGI13" s="119"/>
      <c r="QGJ13" s="119"/>
      <c r="QGK13" s="119"/>
      <c r="QGL13" s="119"/>
      <c r="QGM13" s="119"/>
      <c r="QGN13" s="119"/>
      <c r="QGO13" s="119"/>
      <c r="QGP13" s="119"/>
      <c r="QGQ13" s="120"/>
      <c r="QGR13" s="120"/>
      <c r="QGS13" s="120"/>
      <c r="QGT13" s="59"/>
      <c r="QGU13" s="119"/>
      <c r="QGV13" s="119"/>
      <c r="QGW13" s="119"/>
      <c r="QGX13" s="119"/>
      <c r="QGY13" s="119"/>
      <c r="QGZ13" s="119"/>
      <c r="QHA13" s="119"/>
      <c r="QHB13" s="119"/>
      <c r="QHC13" s="119"/>
      <c r="QHD13" s="119"/>
      <c r="QHE13" s="119"/>
      <c r="QHF13" s="119"/>
      <c r="QHG13" s="120"/>
      <c r="QHH13" s="120"/>
      <c r="QHI13" s="120"/>
      <c r="QHJ13" s="59"/>
      <c r="QHK13" s="119"/>
      <c r="QHL13" s="119"/>
      <c r="QHM13" s="119"/>
      <c r="QHN13" s="119"/>
      <c r="QHO13" s="119"/>
      <c r="QHP13" s="119"/>
      <c r="QHQ13" s="119"/>
      <c r="QHR13" s="119"/>
      <c r="QHS13" s="119"/>
      <c r="QHT13" s="119"/>
      <c r="QHU13" s="119"/>
      <c r="QHV13" s="119"/>
      <c r="QHW13" s="120"/>
      <c r="QHX13" s="120"/>
      <c r="QHY13" s="120"/>
      <c r="QHZ13" s="59"/>
      <c r="QIA13" s="119"/>
      <c r="QIB13" s="119"/>
      <c r="QIC13" s="119"/>
      <c r="QID13" s="119"/>
      <c r="QIE13" s="119"/>
      <c r="QIF13" s="119"/>
      <c r="QIG13" s="119"/>
      <c r="QIH13" s="119"/>
      <c r="QII13" s="119"/>
      <c r="QIJ13" s="119"/>
      <c r="QIK13" s="119"/>
      <c r="QIL13" s="119"/>
      <c r="QIM13" s="120"/>
      <c r="QIN13" s="120"/>
      <c r="QIO13" s="120"/>
      <c r="QIP13" s="59"/>
      <c r="QIQ13" s="119"/>
      <c r="QIR13" s="119"/>
      <c r="QIS13" s="119"/>
      <c r="QIT13" s="119"/>
      <c r="QIU13" s="119"/>
      <c r="QIV13" s="119"/>
      <c r="QIW13" s="119"/>
      <c r="QIX13" s="119"/>
      <c r="QIY13" s="119"/>
      <c r="QIZ13" s="119"/>
      <c r="QJA13" s="119"/>
      <c r="QJB13" s="119"/>
      <c r="QJC13" s="120"/>
      <c r="QJD13" s="120"/>
      <c r="QJE13" s="120"/>
      <c r="QJF13" s="59"/>
      <c r="QJG13" s="119"/>
      <c r="QJH13" s="119"/>
      <c r="QJI13" s="119"/>
      <c r="QJJ13" s="119"/>
      <c r="QJK13" s="119"/>
      <c r="QJL13" s="119"/>
      <c r="QJM13" s="119"/>
      <c r="QJN13" s="119"/>
      <c r="QJO13" s="119"/>
      <c r="QJP13" s="119"/>
      <c r="QJQ13" s="119"/>
      <c r="QJR13" s="119"/>
      <c r="QJS13" s="120"/>
      <c r="QJT13" s="120"/>
      <c r="QJU13" s="120"/>
      <c r="QJV13" s="59"/>
      <c r="QJW13" s="119"/>
      <c r="QJX13" s="119"/>
      <c r="QJY13" s="119"/>
      <c r="QJZ13" s="119"/>
      <c r="QKA13" s="119"/>
      <c r="QKB13" s="119"/>
      <c r="QKC13" s="119"/>
      <c r="QKD13" s="119"/>
      <c r="QKE13" s="119"/>
      <c r="QKF13" s="119"/>
      <c r="QKG13" s="119"/>
      <c r="QKH13" s="119"/>
      <c r="QKI13" s="120"/>
      <c r="QKJ13" s="120"/>
      <c r="QKK13" s="120"/>
      <c r="QKL13" s="59"/>
      <c r="QKM13" s="119"/>
      <c r="QKN13" s="119"/>
      <c r="QKO13" s="119"/>
      <c r="QKP13" s="119"/>
      <c r="QKQ13" s="119"/>
      <c r="QKR13" s="119"/>
      <c r="QKS13" s="119"/>
      <c r="QKT13" s="119"/>
      <c r="QKU13" s="119"/>
      <c r="QKV13" s="119"/>
      <c r="QKW13" s="119"/>
      <c r="QKX13" s="119"/>
      <c r="QKY13" s="120"/>
      <c r="QKZ13" s="120"/>
      <c r="QLA13" s="120"/>
      <c r="QLB13" s="59"/>
      <c r="QLC13" s="119"/>
      <c r="QLD13" s="119"/>
      <c r="QLE13" s="119"/>
      <c r="QLF13" s="119"/>
      <c r="QLG13" s="119"/>
      <c r="QLH13" s="119"/>
      <c r="QLI13" s="119"/>
      <c r="QLJ13" s="119"/>
      <c r="QLK13" s="119"/>
      <c r="QLL13" s="119"/>
      <c r="QLM13" s="119"/>
      <c r="QLN13" s="119"/>
      <c r="QLO13" s="120"/>
      <c r="QLP13" s="120"/>
      <c r="QLQ13" s="120"/>
      <c r="QLR13" s="59"/>
      <c r="QLS13" s="119"/>
      <c r="QLT13" s="119"/>
      <c r="QLU13" s="119"/>
      <c r="QLV13" s="119"/>
      <c r="QLW13" s="119"/>
      <c r="QLX13" s="119"/>
      <c r="QLY13" s="119"/>
      <c r="QLZ13" s="119"/>
      <c r="QMA13" s="119"/>
      <c r="QMB13" s="119"/>
      <c r="QMC13" s="119"/>
      <c r="QMD13" s="119"/>
      <c r="QME13" s="120"/>
      <c r="QMF13" s="120"/>
      <c r="QMG13" s="120"/>
      <c r="QMH13" s="59"/>
      <c r="QMI13" s="119"/>
      <c r="QMJ13" s="119"/>
      <c r="QMK13" s="119"/>
      <c r="QML13" s="119"/>
      <c r="QMM13" s="119"/>
      <c r="QMN13" s="119"/>
      <c r="QMO13" s="119"/>
      <c r="QMP13" s="119"/>
      <c r="QMQ13" s="119"/>
      <c r="QMR13" s="119"/>
      <c r="QMS13" s="119"/>
      <c r="QMT13" s="119"/>
      <c r="QMU13" s="120"/>
      <c r="QMV13" s="120"/>
      <c r="QMW13" s="120"/>
      <c r="QMX13" s="59"/>
      <c r="QMY13" s="119"/>
      <c r="QMZ13" s="119"/>
      <c r="QNA13" s="119"/>
      <c r="QNB13" s="119"/>
      <c r="QNC13" s="119"/>
      <c r="QND13" s="119"/>
      <c r="QNE13" s="119"/>
      <c r="QNF13" s="119"/>
      <c r="QNG13" s="119"/>
      <c r="QNH13" s="119"/>
      <c r="QNI13" s="119"/>
      <c r="QNJ13" s="119"/>
      <c r="QNK13" s="120"/>
      <c r="QNL13" s="120"/>
      <c r="QNM13" s="120"/>
      <c r="QNN13" s="59"/>
      <c r="QNO13" s="119"/>
      <c r="QNP13" s="119"/>
      <c r="QNQ13" s="119"/>
      <c r="QNR13" s="119"/>
      <c r="QNS13" s="119"/>
      <c r="QNT13" s="119"/>
      <c r="QNU13" s="119"/>
      <c r="QNV13" s="119"/>
      <c r="QNW13" s="119"/>
      <c r="QNX13" s="119"/>
      <c r="QNY13" s="119"/>
      <c r="QNZ13" s="119"/>
      <c r="QOA13" s="120"/>
      <c r="QOB13" s="120"/>
      <c r="QOC13" s="120"/>
      <c r="QOD13" s="59"/>
      <c r="QOE13" s="119"/>
      <c r="QOF13" s="119"/>
      <c r="QOG13" s="119"/>
      <c r="QOH13" s="119"/>
      <c r="QOI13" s="119"/>
      <c r="QOJ13" s="119"/>
      <c r="QOK13" s="119"/>
      <c r="QOL13" s="119"/>
      <c r="QOM13" s="119"/>
      <c r="QON13" s="119"/>
      <c r="QOO13" s="119"/>
      <c r="QOP13" s="119"/>
      <c r="QOQ13" s="120"/>
      <c r="QOR13" s="120"/>
      <c r="QOS13" s="120"/>
      <c r="QOT13" s="59"/>
      <c r="QOU13" s="119"/>
      <c r="QOV13" s="119"/>
      <c r="QOW13" s="119"/>
      <c r="QOX13" s="119"/>
      <c r="QOY13" s="119"/>
      <c r="QOZ13" s="119"/>
      <c r="QPA13" s="119"/>
      <c r="QPB13" s="119"/>
      <c r="QPC13" s="119"/>
      <c r="QPD13" s="119"/>
      <c r="QPE13" s="119"/>
      <c r="QPF13" s="119"/>
      <c r="QPG13" s="120"/>
      <c r="QPH13" s="120"/>
      <c r="QPI13" s="120"/>
      <c r="QPJ13" s="59"/>
      <c r="QPK13" s="119"/>
      <c r="QPL13" s="119"/>
      <c r="QPM13" s="119"/>
      <c r="QPN13" s="119"/>
      <c r="QPO13" s="119"/>
      <c r="QPP13" s="119"/>
      <c r="QPQ13" s="119"/>
      <c r="QPR13" s="119"/>
      <c r="QPS13" s="119"/>
      <c r="QPT13" s="119"/>
      <c r="QPU13" s="119"/>
      <c r="QPV13" s="119"/>
      <c r="QPW13" s="120"/>
      <c r="QPX13" s="120"/>
      <c r="QPY13" s="120"/>
      <c r="QPZ13" s="59"/>
      <c r="QQA13" s="119"/>
      <c r="QQB13" s="119"/>
      <c r="QQC13" s="119"/>
      <c r="QQD13" s="119"/>
      <c r="QQE13" s="119"/>
      <c r="QQF13" s="119"/>
      <c r="QQG13" s="119"/>
      <c r="QQH13" s="119"/>
      <c r="QQI13" s="119"/>
      <c r="QQJ13" s="119"/>
      <c r="QQK13" s="119"/>
      <c r="QQL13" s="119"/>
      <c r="QQM13" s="120"/>
      <c r="QQN13" s="120"/>
      <c r="QQO13" s="120"/>
      <c r="QQP13" s="59"/>
      <c r="QQQ13" s="119"/>
      <c r="QQR13" s="119"/>
      <c r="QQS13" s="119"/>
      <c r="QQT13" s="119"/>
      <c r="QQU13" s="119"/>
      <c r="QQV13" s="119"/>
      <c r="QQW13" s="119"/>
      <c r="QQX13" s="119"/>
      <c r="QQY13" s="119"/>
      <c r="QQZ13" s="119"/>
      <c r="QRA13" s="119"/>
      <c r="QRB13" s="119"/>
      <c r="QRC13" s="120"/>
      <c r="QRD13" s="120"/>
      <c r="QRE13" s="120"/>
      <c r="QRF13" s="59"/>
      <c r="QRG13" s="119"/>
      <c r="QRH13" s="119"/>
      <c r="QRI13" s="119"/>
      <c r="QRJ13" s="119"/>
      <c r="QRK13" s="119"/>
      <c r="QRL13" s="119"/>
      <c r="QRM13" s="119"/>
      <c r="QRN13" s="119"/>
      <c r="QRO13" s="119"/>
      <c r="QRP13" s="119"/>
      <c r="QRQ13" s="119"/>
      <c r="QRR13" s="119"/>
      <c r="QRS13" s="120"/>
      <c r="QRT13" s="120"/>
      <c r="QRU13" s="120"/>
      <c r="QRV13" s="59"/>
      <c r="QRW13" s="119"/>
      <c r="QRX13" s="119"/>
      <c r="QRY13" s="119"/>
      <c r="QRZ13" s="119"/>
      <c r="QSA13" s="119"/>
      <c r="QSB13" s="119"/>
      <c r="QSC13" s="119"/>
      <c r="QSD13" s="119"/>
      <c r="QSE13" s="119"/>
      <c r="QSF13" s="119"/>
      <c r="QSG13" s="119"/>
      <c r="QSH13" s="119"/>
      <c r="QSI13" s="120"/>
      <c r="QSJ13" s="120"/>
      <c r="QSK13" s="120"/>
      <c r="QSL13" s="59"/>
      <c r="QSM13" s="119"/>
      <c r="QSN13" s="119"/>
      <c r="QSO13" s="119"/>
      <c r="QSP13" s="119"/>
      <c r="QSQ13" s="119"/>
      <c r="QSR13" s="119"/>
      <c r="QSS13" s="119"/>
      <c r="QST13" s="119"/>
      <c r="QSU13" s="119"/>
      <c r="QSV13" s="119"/>
      <c r="QSW13" s="119"/>
      <c r="QSX13" s="119"/>
      <c r="QSY13" s="120"/>
      <c r="QSZ13" s="120"/>
      <c r="QTA13" s="120"/>
      <c r="QTB13" s="59"/>
      <c r="QTC13" s="119"/>
      <c r="QTD13" s="119"/>
      <c r="QTE13" s="119"/>
      <c r="QTF13" s="119"/>
      <c r="QTG13" s="119"/>
      <c r="QTH13" s="119"/>
      <c r="QTI13" s="119"/>
      <c r="QTJ13" s="119"/>
      <c r="QTK13" s="119"/>
      <c r="QTL13" s="119"/>
      <c r="QTM13" s="119"/>
      <c r="QTN13" s="119"/>
      <c r="QTO13" s="120"/>
      <c r="QTP13" s="120"/>
      <c r="QTQ13" s="120"/>
      <c r="QTR13" s="59"/>
      <c r="QTS13" s="119"/>
      <c r="QTT13" s="119"/>
      <c r="QTU13" s="119"/>
      <c r="QTV13" s="119"/>
      <c r="QTW13" s="119"/>
      <c r="QTX13" s="119"/>
      <c r="QTY13" s="119"/>
      <c r="QTZ13" s="119"/>
      <c r="QUA13" s="119"/>
      <c r="QUB13" s="119"/>
      <c r="QUC13" s="119"/>
      <c r="QUD13" s="119"/>
      <c r="QUE13" s="120"/>
      <c r="QUF13" s="120"/>
      <c r="QUG13" s="120"/>
      <c r="QUH13" s="59"/>
      <c r="QUI13" s="119"/>
      <c r="QUJ13" s="119"/>
      <c r="QUK13" s="119"/>
      <c r="QUL13" s="119"/>
      <c r="QUM13" s="119"/>
      <c r="QUN13" s="119"/>
      <c r="QUO13" s="119"/>
      <c r="QUP13" s="119"/>
      <c r="QUQ13" s="119"/>
      <c r="QUR13" s="119"/>
      <c r="QUS13" s="119"/>
      <c r="QUT13" s="119"/>
      <c r="QUU13" s="120"/>
      <c r="QUV13" s="120"/>
      <c r="QUW13" s="120"/>
      <c r="QUX13" s="59"/>
      <c r="QUY13" s="119"/>
      <c r="QUZ13" s="119"/>
      <c r="QVA13" s="119"/>
      <c r="QVB13" s="119"/>
      <c r="QVC13" s="119"/>
      <c r="QVD13" s="119"/>
      <c r="QVE13" s="119"/>
      <c r="QVF13" s="119"/>
      <c r="QVG13" s="119"/>
      <c r="QVH13" s="119"/>
      <c r="QVI13" s="119"/>
      <c r="QVJ13" s="119"/>
      <c r="QVK13" s="120"/>
      <c r="QVL13" s="120"/>
      <c r="QVM13" s="120"/>
      <c r="QVN13" s="59"/>
      <c r="QVO13" s="119"/>
      <c r="QVP13" s="119"/>
      <c r="QVQ13" s="119"/>
      <c r="QVR13" s="119"/>
      <c r="QVS13" s="119"/>
      <c r="QVT13" s="119"/>
      <c r="QVU13" s="119"/>
      <c r="QVV13" s="119"/>
      <c r="QVW13" s="119"/>
      <c r="QVX13" s="119"/>
      <c r="QVY13" s="119"/>
      <c r="QVZ13" s="119"/>
      <c r="QWA13" s="120"/>
      <c r="QWB13" s="120"/>
      <c r="QWC13" s="120"/>
      <c r="QWD13" s="59"/>
      <c r="QWE13" s="119"/>
      <c r="QWF13" s="119"/>
      <c r="QWG13" s="119"/>
      <c r="QWH13" s="119"/>
      <c r="QWI13" s="119"/>
      <c r="QWJ13" s="119"/>
      <c r="QWK13" s="119"/>
      <c r="QWL13" s="119"/>
      <c r="QWM13" s="119"/>
      <c r="QWN13" s="119"/>
      <c r="QWO13" s="119"/>
      <c r="QWP13" s="119"/>
      <c r="QWQ13" s="120"/>
      <c r="QWR13" s="120"/>
      <c r="QWS13" s="120"/>
      <c r="QWT13" s="59"/>
      <c r="QWU13" s="119"/>
      <c r="QWV13" s="119"/>
      <c r="QWW13" s="119"/>
      <c r="QWX13" s="119"/>
      <c r="QWY13" s="119"/>
      <c r="QWZ13" s="119"/>
      <c r="QXA13" s="119"/>
      <c r="QXB13" s="119"/>
      <c r="QXC13" s="119"/>
      <c r="QXD13" s="119"/>
      <c r="QXE13" s="119"/>
      <c r="QXF13" s="119"/>
      <c r="QXG13" s="120"/>
      <c r="QXH13" s="120"/>
      <c r="QXI13" s="120"/>
      <c r="QXJ13" s="59"/>
      <c r="QXK13" s="119"/>
      <c r="QXL13" s="119"/>
      <c r="QXM13" s="119"/>
      <c r="QXN13" s="119"/>
      <c r="QXO13" s="119"/>
      <c r="QXP13" s="119"/>
      <c r="QXQ13" s="119"/>
      <c r="QXR13" s="119"/>
      <c r="QXS13" s="119"/>
      <c r="QXT13" s="119"/>
      <c r="QXU13" s="119"/>
      <c r="QXV13" s="119"/>
      <c r="QXW13" s="120"/>
      <c r="QXX13" s="120"/>
      <c r="QXY13" s="120"/>
      <c r="QXZ13" s="59"/>
      <c r="QYA13" s="119"/>
      <c r="QYB13" s="119"/>
      <c r="QYC13" s="119"/>
      <c r="QYD13" s="119"/>
      <c r="QYE13" s="119"/>
      <c r="QYF13" s="119"/>
      <c r="QYG13" s="119"/>
      <c r="QYH13" s="119"/>
      <c r="QYI13" s="119"/>
      <c r="QYJ13" s="119"/>
      <c r="QYK13" s="119"/>
      <c r="QYL13" s="119"/>
      <c r="QYM13" s="120"/>
      <c r="QYN13" s="120"/>
      <c r="QYO13" s="120"/>
      <c r="QYP13" s="59"/>
      <c r="QYQ13" s="119"/>
      <c r="QYR13" s="119"/>
      <c r="QYS13" s="119"/>
      <c r="QYT13" s="119"/>
      <c r="QYU13" s="119"/>
      <c r="QYV13" s="119"/>
      <c r="QYW13" s="119"/>
      <c r="QYX13" s="119"/>
      <c r="QYY13" s="119"/>
      <c r="QYZ13" s="119"/>
      <c r="QZA13" s="119"/>
      <c r="QZB13" s="119"/>
      <c r="QZC13" s="120"/>
      <c r="QZD13" s="120"/>
      <c r="QZE13" s="120"/>
      <c r="QZF13" s="59"/>
      <c r="QZG13" s="119"/>
      <c r="QZH13" s="119"/>
      <c r="QZI13" s="119"/>
      <c r="QZJ13" s="119"/>
      <c r="QZK13" s="119"/>
      <c r="QZL13" s="119"/>
      <c r="QZM13" s="119"/>
      <c r="QZN13" s="119"/>
      <c r="QZO13" s="119"/>
      <c r="QZP13" s="119"/>
      <c r="QZQ13" s="119"/>
      <c r="QZR13" s="119"/>
      <c r="QZS13" s="120"/>
      <c r="QZT13" s="120"/>
      <c r="QZU13" s="120"/>
      <c r="QZV13" s="59"/>
      <c r="QZW13" s="119"/>
      <c r="QZX13" s="119"/>
      <c r="QZY13" s="119"/>
      <c r="QZZ13" s="119"/>
      <c r="RAA13" s="119"/>
      <c r="RAB13" s="119"/>
      <c r="RAC13" s="119"/>
      <c r="RAD13" s="119"/>
      <c r="RAE13" s="119"/>
      <c r="RAF13" s="119"/>
      <c r="RAG13" s="119"/>
      <c r="RAH13" s="119"/>
      <c r="RAI13" s="120"/>
      <c r="RAJ13" s="120"/>
      <c r="RAK13" s="120"/>
      <c r="RAL13" s="59"/>
      <c r="RAM13" s="119"/>
      <c r="RAN13" s="119"/>
      <c r="RAO13" s="119"/>
      <c r="RAP13" s="119"/>
      <c r="RAQ13" s="119"/>
      <c r="RAR13" s="119"/>
      <c r="RAS13" s="119"/>
      <c r="RAT13" s="119"/>
      <c r="RAU13" s="119"/>
      <c r="RAV13" s="119"/>
      <c r="RAW13" s="119"/>
      <c r="RAX13" s="119"/>
      <c r="RAY13" s="120"/>
      <c r="RAZ13" s="120"/>
      <c r="RBA13" s="120"/>
      <c r="RBB13" s="59"/>
      <c r="RBC13" s="119"/>
      <c r="RBD13" s="119"/>
      <c r="RBE13" s="119"/>
      <c r="RBF13" s="119"/>
      <c r="RBG13" s="119"/>
      <c r="RBH13" s="119"/>
      <c r="RBI13" s="119"/>
      <c r="RBJ13" s="119"/>
      <c r="RBK13" s="119"/>
      <c r="RBL13" s="119"/>
      <c r="RBM13" s="119"/>
      <c r="RBN13" s="119"/>
      <c r="RBO13" s="120"/>
      <c r="RBP13" s="120"/>
      <c r="RBQ13" s="120"/>
      <c r="RBR13" s="59"/>
      <c r="RBS13" s="119"/>
      <c r="RBT13" s="119"/>
      <c r="RBU13" s="119"/>
      <c r="RBV13" s="119"/>
      <c r="RBW13" s="119"/>
      <c r="RBX13" s="119"/>
      <c r="RBY13" s="119"/>
      <c r="RBZ13" s="119"/>
      <c r="RCA13" s="119"/>
      <c r="RCB13" s="119"/>
      <c r="RCC13" s="119"/>
      <c r="RCD13" s="119"/>
      <c r="RCE13" s="120"/>
      <c r="RCF13" s="120"/>
      <c r="RCG13" s="120"/>
      <c r="RCH13" s="59"/>
      <c r="RCI13" s="119"/>
      <c r="RCJ13" s="119"/>
      <c r="RCK13" s="119"/>
      <c r="RCL13" s="119"/>
      <c r="RCM13" s="119"/>
      <c r="RCN13" s="119"/>
      <c r="RCO13" s="119"/>
      <c r="RCP13" s="119"/>
      <c r="RCQ13" s="119"/>
      <c r="RCR13" s="119"/>
      <c r="RCS13" s="119"/>
      <c r="RCT13" s="119"/>
      <c r="RCU13" s="120"/>
      <c r="RCV13" s="120"/>
      <c r="RCW13" s="120"/>
      <c r="RCX13" s="59"/>
      <c r="RCY13" s="119"/>
      <c r="RCZ13" s="119"/>
      <c r="RDA13" s="119"/>
      <c r="RDB13" s="119"/>
      <c r="RDC13" s="119"/>
      <c r="RDD13" s="119"/>
      <c r="RDE13" s="119"/>
      <c r="RDF13" s="119"/>
      <c r="RDG13" s="119"/>
      <c r="RDH13" s="119"/>
      <c r="RDI13" s="119"/>
      <c r="RDJ13" s="119"/>
      <c r="RDK13" s="120"/>
      <c r="RDL13" s="120"/>
      <c r="RDM13" s="120"/>
      <c r="RDN13" s="59"/>
      <c r="RDO13" s="119"/>
      <c r="RDP13" s="119"/>
      <c r="RDQ13" s="119"/>
      <c r="RDR13" s="119"/>
      <c r="RDS13" s="119"/>
      <c r="RDT13" s="119"/>
      <c r="RDU13" s="119"/>
      <c r="RDV13" s="119"/>
      <c r="RDW13" s="119"/>
      <c r="RDX13" s="119"/>
      <c r="RDY13" s="119"/>
      <c r="RDZ13" s="119"/>
      <c r="REA13" s="120"/>
      <c r="REB13" s="120"/>
      <c r="REC13" s="120"/>
      <c r="RED13" s="59"/>
      <c r="REE13" s="119"/>
      <c r="REF13" s="119"/>
      <c r="REG13" s="119"/>
      <c r="REH13" s="119"/>
      <c r="REI13" s="119"/>
      <c r="REJ13" s="119"/>
      <c r="REK13" s="119"/>
      <c r="REL13" s="119"/>
      <c r="REM13" s="119"/>
      <c r="REN13" s="119"/>
      <c r="REO13" s="119"/>
      <c r="REP13" s="119"/>
      <c r="REQ13" s="120"/>
      <c r="RER13" s="120"/>
      <c r="RES13" s="120"/>
      <c r="RET13" s="59"/>
      <c r="REU13" s="119"/>
      <c r="REV13" s="119"/>
      <c r="REW13" s="119"/>
      <c r="REX13" s="119"/>
      <c r="REY13" s="119"/>
      <c r="REZ13" s="119"/>
      <c r="RFA13" s="119"/>
      <c r="RFB13" s="119"/>
      <c r="RFC13" s="119"/>
      <c r="RFD13" s="119"/>
      <c r="RFE13" s="119"/>
      <c r="RFF13" s="119"/>
      <c r="RFG13" s="120"/>
      <c r="RFH13" s="120"/>
      <c r="RFI13" s="120"/>
      <c r="RFJ13" s="59"/>
      <c r="RFK13" s="119"/>
      <c r="RFL13" s="119"/>
      <c r="RFM13" s="119"/>
      <c r="RFN13" s="119"/>
      <c r="RFO13" s="119"/>
      <c r="RFP13" s="119"/>
      <c r="RFQ13" s="119"/>
      <c r="RFR13" s="119"/>
      <c r="RFS13" s="119"/>
      <c r="RFT13" s="119"/>
      <c r="RFU13" s="119"/>
      <c r="RFV13" s="119"/>
      <c r="RFW13" s="120"/>
      <c r="RFX13" s="120"/>
      <c r="RFY13" s="120"/>
      <c r="RFZ13" s="59"/>
      <c r="RGA13" s="119"/>
      <c r="RGB13" s="119"/>
      <c r="RGC13" s="119"/>
      <c r="RGD13" s="119"/>
      <c r="RGE13" s="119"/>
      <c r="RGF13" s="119"/>
      <c r="RGG13" s="119"/>
      <c r="RGH13" s="119"/>
      <c r="RGI13" s="119"/>
      <c r="RGJ13" s="119"/>
      <c r="RGK13" s="119"/>
      <c r="RGL13" s="119"/>
      <c r="RGM13" s="120"/>
      <c r="RGN13" s="120"/>
      <c r="RGO13" s="120"/>
      <c r="RGP13" s="59"/>
      <c r="RGQ13" s="119"/>
      <c r="RGR13" s="119"/>
      <c r="RGS13" s="119"/>
      <c r="RGT13" s="119"/>
      <c r="RGU13" s="119"/>
      <c r="RGV13" s="119"/>
      <c r="RGW13" s="119"/>
      <c r="RGX13" s="119"/>
      <c r="RGY13" s="119"/>
      <c r="RGZ13" s="119"/>
      <c r="RHA13" s="119"/>
      <c r="RHB13" s="119"/>
      <c r="RHC13" s="120"/>
      <c r="RHD13" s="120"/>
      <c r="RHE13" s="120"/>
      <c r="RHF13" s="59"/>
      <c r="RHG13" s="119"/>
      <c r="RHH13" s="119"/>
      <c r="RHI13" s="119"/>
      <c r="RHJ13" s="119"/>
      <c r="RHK13" s="119"/>
      <c r="RHL13" s="119"/>
      <c r="RHM13" s="119"/>
      <c r="RHN13" s="119"/>
      <c r="RHO13" s="119"/>
      <c r="RHP13" s="119"/>
      <c r="RHQ13" s="119"/>
      <c r="RHR13" s="119"/>
      <c r="RHS13" s="120"/>
      <c r="RHT13" s="120"/>
      <c r="RHU13" s="120"/>
      <c r="RHV13" s="59"/>
      <c r="RHW13" s="119"/>
      <c r="RHX13" s="119"/>
      <c r="RHY13" s="119"/>
      <c r="RHZ13" s="119"/>
      <c r="RIA13" s="119"/>
      <c r="RIB13" s="119"/>
      <c r="RIC13" s="119"/>
      <c r="RID13" s="119"/>
      <c r="RIE13" s="119"/>
      <c r="RIF13" s="119"/>
      <c r="RIG13" s="119"/>
      <c r="RIH13" s="119"/>
      <c r="RII13" s="120"/>
      <c r="RIJ13" s="120"/>
      <c r="RIK13" s="120"/>
      <c r="RIL13" s="59"/>
      <c r="RIM13" s="119"/>
      <c r="RIN13" s="119"/>
      <c r="RIO13" s="119"/>
      <c r="RIP13" s="119"/>
      <c r="RIQ13" s="119"/>
      <c r="RIR13" s="119"/>
      <c r="RIS13" s="119"/>
      <c r="RIT13" s="119"/>
      <c r="RIU13" s="119"/>
      <c r="RIV13" s="119"/>
      <c r="RIW13" s="119"/>
      <c r="RIX13" s="119"/>
      <c r="RIY13" s="120"/>
      <c r="RIZ13" s="120"/>
      <c r="RJA13" s="120"/>
      <c r="RJB13" s="59"/>
      <c r="RJC13" s="119"/>
      <c r="RJD13" s="119"/>
      <c r="RJE13" s="119"/>
      <c r="RJF13" s="119"/>
      <c r="RJG13" s="119"/>
      <c r="RJH13" s="119"/>
      <c r="RJI13" s="119"/>
      <c r="RJJ13" s="119"/>
      <c r="RJK13" s="119"/>
      <c r="RJL13" s="119"/>
      <c r="RJM13" s="119"/>
      <c r="RJN13" s="119"/>
      <c r="RJO13" s="120"/>
      <c r="RJP13" s="120"/>
      <c r="RJQ13" s="120"/>
      <c r="RJR13" s="59"/>
      <c r="RJS13" s="119"/>
      <c r="RJT13" s="119"/>
      <c r="RJU13" s="119"/>
      <c r="RJV13" s="119"/>
      <c r="RJW13" s="119"/>
      <c r="RJX13" s="119"/>
      <c r="RJY13" s="119"/>
      <c r="RJZ13" s="119"/>
      <c r="RKA13" s="119"/>
      <c r="RKB13" s="119"/>
      <c r="RKC13" s="119"/>
      <c r="RKD13" s="119"/>
      <c r="RKE13" s="120"/>
      <c r="RKF13" s="120"/>
      <c r="RKG13" s="120"/>
      <c r="RKH13" s="59"/>
      <c r="RKI13" s="119"/>
      <c r="RKJ13" s="119"/>
      <c r="RKK13" s="119"/>
      <c r="RKL13" s="119"/>
      <c r="RKM13" s="119"/>
      <c r="RKN13" s="119"/>
      <c r="RKO13" s="119"/>
      <c r="RKP13" s="119"/>
      <c r="RKQ13" s="119"/>
      <c r="RKR13" s="119"/>
      <c r="RKS13" s="119"/>
      <c r="RKT13" s="119"/>
      <c r="RKU13" s="120"/>
      <c r="RKV13" s="120"/>
      <c r="RKW13" s="120"/>
      <c r="RKX13" s="59"/>
      <c r="RKY13" s="119"/>
      <c r="RKZ13" s="119"/>
      <c r="RLA13" s="119"/>
      <c r="RLB13" s="119"/>
      <c r="RLC13" s="119"/>
      <c r="RLD13" s="119"/>
      <c r="RLE13" s="119"/>
      <c r="RLF13" s="119"/>
      <c r="RLG13" s="119"/>
      <c r="RLH13" s="119"/>
      <c r="RLI13" s="119"/>
      <c r="RLJ13" s="119"/>
      <c r="RLK13" s="120"/>
      <c r="RLL13" s="120"/>
      <c r="RLM13" s="120"/>
      <c r="RLN13" s="59"/>
      <c r="RLO13" s="119"/>
      <c r="RLP13" s="119"/>
      <c r="RLQ13" s="119"/>
      <c r="RLR13" s="119"/>
      <c r="RLS13" s="119"/>
      <c r="RLT13" s="119"/>
      <c r="RLU13" s="119"/>
      <c r="RLV13" s="119"/>
      <c r="RLW13" s="119"/>
      <c r="RLX13" s="119"/>
      <c r="RLY13" s="119"/>
      <c r="RLZ13" s="119"/>
      <c r="RMA13" s="120"/>
      <c r="RMB13" s="120"/>
      <c r="RMC13" s="120"/>
      <c r="RMD13" s="59"/>
      <c r="RME13" s="119"/>
      <c r="RMF13" s="119"/>
      <c r="RMG13" s="119"/>
      <c r="RMH13" s="119"/>
      <c r="RMI13" s="119"/>
      <c r="RMJ13" s="119"/>
      <c r="RMK13" s="119"/>
      <c r="RML13" s="119"/>
      <c r="RMM13" s="119"/>
      <c r="RMN13" s="119"/>
      <c r="RMO13" s="119"/>
      <c r="RMP13" s="119"/>
      <c r="RMQ13" s="120"/>
      <c r="RMR13" s="120"/>
      <c r="RMS13" s="120"/>
      <c r="RMT13" s="59"/>
      <c r="RMU13" s="119"/>
      <c r="RMV13" s="119"/>
      <c r="RMW13" s="119"/>
      <c r="RMX13" s="119"/>
      <c r="RMY13" s="119"/>
      <c r="RMZ13" s="119"/>
      <c r="RNA13" s="119"/>
      <c r="RNB13" s="119"/>
      <c r="RNC13" s="119"/>
      <c r="RND13" s="119"/>
      <c r="RNE13" s="119"/>
      <c r="RNF13" s="119"/>
      <c r="RNG13" s="120"/>
      <c r="RNH13" s="120"/>
      <c r="RNI13" s="120"/>
      <c r="RNJ13" s="59"/>
      <c r="RNK13" s="119"/>
      <c r="RNL13" s="119"/>
      <c r="RNM13" s="119"/>
      <c r="RNN13" s="119"/>
      <c r="RNO13" s="119"/>
      <c r="RNP13" s="119"/>
      <c r="RNQ13" s="119"/>
      <c r="RNR13" s="119"/>
      <c r="RNS13" s="119"/>
      <c r="RNT13" s="119"/>
      <c r="RNU13" s="119"/>
      <c r="RNV13" s="119"/>
      <c r="RNW13" s="120"/>
      <c r="RNX13" s="120"/>
      <c r="RNY13" s="120"/>
      <c r="RNZ13" s="59"/>
      <c r="ROA13" s="119"/>
      <c r="ROB13" s="119"/>
      <c r="ROC13" s="119"/>
      <c r="ROD13" s="119"/>
      <c r="ROE13" s="119"/>
      <c r="ROF13" s="119"/>
      <c r="ROG13" s="119"/>
      <c r="ROH13" s="119"/>
      <c r="ROI13" s="119"/>
      <c r="ROJ13" s="119"/>
      <c r="ROK13" s="119"/>
      <c r="ROL13" s="119"/>
      <c r="ROM13" s="120"/>
      <c r="RON13" s="120"/>
      <c r="ROO13" s="120"/>
      <c r="ROP13" s="59"/>
      <c r="ROQ13" s="119"/>
      <c r="ROR13" s="119"/>
      <c r="ROS13" s="119"/>
      <c r="ROT13" s="119"/>
      <c r="ROU13" s="119"/>
      <c r="ROV13" s="119"/>
      <c r="ROW13" s="119"/>
      <c r="ROX13" s="119"/>
      <c r="ROY13" s="119"/>
      <c r="ROZ13" s="119"/>
      <c r="RPA13" s="119"/>
      <c r="RPB13" s="119"/>
      <c r="RPC13" s="120"/>
      <c r="RPD13" s="120"/>
      <c r="RPE13" s="120"/>
      <c r="RPF13" s="59"/>
      <c r="RPG13" s="119"/>
      <c r="RPH13" s="119"/>
      <c r="RPI13" s="119"/>
      <c r="RPJ13" s="119"/>
      <c r="RPK13" s="119"/>
      <c r="RPL13" s="119"/>
      <c r="RPM13" s="119"/>
      <c r="RPN13" s="119"/>
      <c r="RPO13" s="119"/>
      <c r="RPP13" s="119"/>
      <c r="RPQ13" s="119"/>
      <c r="RPR13" s="119"/>
      <c r="RPS13" s="120"/>
      <c r="RPT13" s="120"/>
      <c r="RPU13" s="120"/>
      <c r="RPV13" s="59"/>
      <c r="RPW13" s="119"/>
      <c r="RPX13" s="119"/>
      <c r="RPY13" s="119"/>
      <c r="RPZ13" s="119"/>
      <c r="RQA13" s="119"/>
      <c r="RQB13" s="119"/>
      <c r="RQC13" s="119"/>
      <c r="RQD13" s="119"/>
      <c r="RQE13" s="119"/>
      <c r="RQF13" s="119"/>
      <c r="RQG13" s="119"/>
      <c r="RQH13" s="119"/>
      <c r="RQI13" s="120"/>
      <c r="RQJ13" s="120"/>
      <c r="RQK13" s="120"/>
      <c r="RQL13" s="59"/>
      <c r="RQM13" s="119"/>
      <c r="RQN13" s="119"/>
      <c r="RQO13" s="119"/>
      <c r="RQP13" s="119"/>
      <c r="RQQ13" s="119"/>
      <c r="RQR13" s="119"/>
      <c r="RQS13" s="119"/>
      <c r="RQT13" s="119"/>
      <c r="RQU13" s="119"/>
      <c r="RQV13" s="119"/>
      <c r="RQW13" s="119"/>
      <c r="RQX13" s="119"/>
      <c r="RQY13" s="120"/>
      <c r="RQZ13" s="120"/>
      <c r="RRA13" s="120"/>
      <c r="RRB13" s="59"/>
      <c r="RRC13" s="119"/>
      <c r="RRD13" s="119"/>
      <c r="RRE13" s="119"/>
      <c r="RRF13" s="119"/>
      <c r="RRG13" s="119"/>
      <c r="RRH13" s="119"/>
      <c r="RRI13" s="119"/>
      <c r="RRJ13" s="119"/>
      <c r="RRK13" s="119"/>
      <c r="RRL13" s="119"/>
      <c r="RRM13" s="119"/>
      <c r="RRN13" s="119"/>
      <c r="RRO13" s="120"/>
      <c r="RRP13" s="120"/>
      <c r="RRQ13" s="120"/>
      <c r="RRR13" s="59"/>
      <c r="RRS13" s="119"/>
      <c r="RRT13" s="119"/>
      <c r="RRU13" s="119"/>
      <c r="RRV13" s="119"/>
      <c r="RRW13" s="119"/>
      <c r="RRX13" s="119"/>
      <c r="RRY13" s="119"/>
      <c r="RRZ13" s="119"/>
      <c r="RSA13" s="119"/>
      <c r="RSB13" s="119"/>
      <c r="RSC13" s="119"/>
      <c r="RSD13" s="119"/>
      <c r="RSE13" s="120"/>
      <c r="RSF13" s="120"/>
      <c r="RSG13" s="120"/>
      <c r="RSH13" s="59"/>
      <c r="RSI13" s="119"/>
      <c r="RSJ13" s="119"/>
      <c r="RSK13" s="119"/>
      <c r="RSL13" s="119"/>
      <c r="RSM13" s="119"/>
      <c r="RSN13" s="119"/>
      <c r="RSO13" s="119"/>
      <c r="RSP13" s="119"/>
      <c r="RSQ13" s="119"/>
      <c r="RSR13" s="119"/>
      <c r="RSS13" s="119"/>
      <c r="RST13" s="119"/>
      <c r="RSU13" s="120"/>
      <c r="RSV13" s="120"/>
      <c r="RSW13" s="120"/>
      <c r="RSX13" s="59"/>
      <c r="RSY13" s="119"/>
      <c r="RSZ13" s="119"/>
      <c r="RTA13" s="119"/>
      <c r="RTB13" s="119"/>
      <c r="RTC13" s="119"/>
      <c r="RTD13" s="119"/>
      <c r="RTE13" s="119"/>
      <c r="RTF13" s="119"/>
      <c r="RTG13" s="119"/>
      <c r="RTH13" s="119"/>
      <c r="RTI13" s="119"/>
      <c r="RTJ13" s="119"/>
      <c r="RTK13" s="120"/>
      <c r="RTL13" s="120"/>
      <c r="RTM13" s="120"/>
      <c r="RTN13" s="59"/>
      <c r="RTO13" s="119"/>
      <c r="RTP13" s="119"/>
      <c r="RTQ13" s="119"/>
      <c r="RTR13" s="119"/>
      <c r="RTS13" s="119"/>
      <c r="RTT13" s="119"/>
      <c r="RTU13" s="119"/>
      <c r="RTV13" s="119"/>
      <c r="RTW13" s="119"/>
      <c r="RTX13" s="119"/>
      <c r="RTY13" s="119"/>
      <c r="RTZ13" s="119"/>
      <c r="RUA13" s="120"/>
      <c r="RUB13" s="120"/>
      <c r="RUC13" s="120"/>
      <c r="RUD13" s="59"/>
      <c r="RUE13" s="119"/>
      <c r="RUF13" s="119"/>
      <c r="RUG13" s="119"/>
      <c r="RUH13" s="119"/>
      <c r="RUI13" s="119"/>
      <c r="RUJ13" s="119"/>
      <c r="RUK13" s="119"/>
      <c r="RUL13" s="119"/>
      <c r="RUM13" s="119"/>
      <c r="RUN13" s="119"/>
      <c r="RUO13" s="119"/>
      <c r="RUP13" s="119"/>
      <c r="RUQ13" s="120"/>
      <c r="RUR13" s="120"/>
      <c r="RUS13" s="120"/>
      <c r="RUT13" s="59"/>
      <c r="RUU13" s="119"/>
      <c r="RUV13" s="119"/>
      <c r="RUW13" s="119"/>
      <c r="RUX13" s="119"/>
      <c r="RUY13" s="119"/>
      <c r="RUZ13" s="119"/>
      <c r="RVA13" s="119"/>
      <c r="RVB13" s="119"/>
      <c r="RVC13" s="119"/>
      <c r="RVD13" s="119"/>
      <c r="RVE13" s="119"/>
      <c r="RVF13" s="119"/>
      <c r="RVG13" s="120"/>
      <c r="RVH13" s="120"/>
      <c r="RVI13" s="120"/>
      <c r="RVJ13" s="59"/>
      <c r="RVK13" s="119"/>
      <c r="RVL13" s="119"/>
      <c r="RVM13" s="119"/>
      <c r="RVN13" s="119"/>
      <c r="RVO13" s="119"/>
      <c r="RVP13" s="119"/>
      <c r="RVQ13" s="119"/>
      <c r="RVR13" s="119"/>
      <c r="RVS13" s="119"/>
      <c r="RVT13" s="119"/>
      <c r="RVU13" s="119"/>
      <c r="RVV13" s="119"/>
      <c r="RVW13" s="120"/>
      <c r="RVX13" s="120"/>
      <c r="RVY13" s="120"/>
      <c r="RVZ13" s="59"/>
      <c r="RWA13" s="119"/>
      <c r="RWB13" s="119"/>
      <c r="RWC13" s="119"/>
      <c r="RWD13" s="119"/>
      <c r="RWE13" s="119"/>
      <c r="RWF13" s="119"/>
      <c r="RWG13" s="119"/>
      <c r="RWH13" s="119"/>
      <c r="RWI13" s="119"/>
      <c r="RWJ13" s="119"/>
      <c r="RWK13" s="119"/>
      <c r="RWL13" s="119"/>
      <c r="RWM13" s="120"/>
      <c r="RWN13" s="120"/>
      <c r="RWO13" s="120"/>
      <c r="RWP13" s="59"/>
      <c r="RWQ13" s="119"/>
      <c r="RWR13" s="119"/>
      <c r="RWS13" s="119"/>
      <c r="RWT13" s="119"/>
      <c r="RWU13" s="119"/>
      <c r="RWV13" s="119"/>
      <c r="RWW13" s="119"/>
      <c r="RWX13" s="119"/>
      <c r="RWY13" s="119"/>
      <c r="RWZ13" s="119"/>
      <c r="RXA13" s="119"/>
      <c r="RXB13" s="119"/>
      <c r="RXC13" s="120"/>
      <c r="RXD13" s="120"/>
      <c r="RXE13" s="120"/>
      <c r="RXF13" s="59"/>
      <c r="RXG13" s="119"/>
      <c r="RXH13" s="119"/>
      <c r="RXI13" s="119"/>
      <c r="RXJ13" s="119"/>
      <c r="RXK13" s="119"/>
      <c r="RXL13" s="119"/>
      <c r="RXM13" s="119"/>
      <c r="RXN13" s="119"/>
      <c r="RXO13" s="119"/>
      <c r="RXP13" s="119"/>
      <c r="RXQ13" s="119"/>
      <c r="RXR13" s="119"/>
      <c r="RXS13" s="120"/>
      <c r="RXT13" s="120"/>
      <c r="RXU13" s="120"/>
      <c r="RXV13" s="59"/>
      <c r="RXW13" s="119"/>
      <c r="RXX13" s="119"/>
      <c r="RXY13" s="119"/>
      <c r="RXZ13" s="119"/>
      <c r="RYA13" s="119"/>
      <c r="RYB13" s="119"/>
      <c r="RYC13" s="119"/>
      <c r="RYD13" s="119"/>
      <c r="RYE13" s="119"/>
      <c r="RYF13" s="119"/>
      <c r="RYG13" s="119"/>
      <c r="RYH13" s="119"/>
      <c r="RYI13" s="120"/>
      <c r="RYJ13" s="120"/>
      <c r="RYK13" s="120"/>
      <c r="RYL13" s="59"/>
      <c r="RYM13" s="119"/>
      <c r="RYN13" s="119"/>
      <c r="RYO13" s="119"/>
      <c r="RYP13" s="119"/>
      <c r="RYQ13" s="119"/>
      <c r="RYR13" s="119"/>
      <c r="RYS13" s="119"/>
      <c r="RYT13" s="119"/>
      <c r="RYU13" s="119"/>
      <c r="RYV13" s="119"/>
      <c r="RYW13" s="119"/>
      <c r="RYX13" s="119"/>
      <c r="RYY13" s="120"/>
      <c r="RYZ13" s="120"/>
      <c r="RZA13" s="120"/>
      <c r="RZB13" s="59"/>
      <c r="RZC13" s="119"/>
      <c r="RZD13" s="119"/>
      <c r="RZE13" s="119"/>
      <c r="RZF13" s="119"/>
      <c r="RZG13" s="119"/>
      <c r="RZH13" s="119"/>
      <c r="RZI13" s="119"/>
      <c r="RZJ13" s="119"/>
      <c r="RZK13" s="119"/>
      <c r="RZL13" s="119"/>
      <c r="RZM13" s="119"/>
      <c r="RZN13" s="119"/>
      <c r="RZO13" s="120"/>
      <c r="RZP13" s="120"/>
      <c r="RZQ13" s="120"/>
      <c r="RZR13" s="59"/>
      <c r="RZS13" s="119"/>
      <c r="RZT13" s="119"/>
      <c r="RZU13" s="119"/>
      <c r="RZV13" s="119"/>
      <c r="RZW13" s="119"/>
      <c r="RZX13" s="119"/>
      <c r="RZY13" s="119"/>
      <c r="RZZ13" s="119"/>
      <c r="SAA13" s="119"/>
      <c r="SAB13" s="119"/>
      <c r="SAC13" s="119"/>
      <c r="SAD13" s="119"/>
      <c r="SAE13" s="120"/>
      <c r="SAF13" s="120"/>
      <c r="SAG13" s="120"/>
      <c r="SAH13" s="59"/>
      <c r="SAI13" s="119"/>
      <c r="SAJ13" s="119"/>
      <c r="SAK13" s="119"/>
      <c r="SAL13" s="119"/>
      <c r="SAM13" s="119"/>
      <c r="SAN13" s="119"/>
      <c r="SAO13" s="119"/>
      <c r="SAP13" s="119"/>
      <c r="SAQ13" s="119"/>
      <c r="SAR13" s="119"/>
      <c r="SAS13" s="119"/>
      <c r="SAT13" s="119"/>
      <c r="SAU13" s="120"/>
      <c r="SAV13" s="120"/>
      <c r="SAW13" s="120"/>
      <c r="SAX13" s="59"/>
      <c r="SAY13" s="119"/>
      <c r="SAZ13" s="119"/>
      <c r="SBA13" s="119"/>
      <c r="SBB13" s="119"/>
      <c r="SBC13" s="119"/>
      <c r="SBD13" s="119"/>
      <c r="SBE13" s="119"/>
      <c r="SBF13" s="119"/>
      <c r="SBG13" s="119"/>
      <c r="SBH13" s="119"/>
      <c r="SBI13" s="119"/>
      <c r="SBJ13" s="119"/>
      <c r="SBK13" s="120"/>
      <c r="SBL13" s="120"/>
      <c r="SBM13" s="120"/>
      <c r="SBN13" s="59"/>
      <c r="SBO13" s="119"/>
      <c r="SBP13" s="119"/>
      <c r="SBQ13" s="119"/>
      <c r="SBR13" s="119"/>
      <c r="SBS13" s="119"/>
      <c r="SBT13" s="119"/>
      <c r="SBU13" s="119"/>
      <c r="SBV13" s="119"/>
      <c r="SBW13" s="119"/>
      <c r="SBX13" s="119"/>
      <c r="SBY13" s="119"/>
      <c r="SBZ13" s="119"/>
      <c r="SCA13" s="120"/>
      <c r="SCB13" s="120"/>
      <c r="SCC13" s="120"/>
      <c r="SCD13" s="59"/>
      <c r="SCE13" s="119"/>
      <c r="SCF13" s="119"/>
      <c r="SCG13" s="119"/>
      <c r="SCH13" s="119"/>
      <c r="SCI13" s="119"/>
      <c r="SCJ13" s="119"/>
      <c r="SCK13" s="119"/>
      <c r="SCL13" s="119"/>
      <c r="SCM13" s="119"/>
      <c r="SCN13" s="119"/>
      <c r="SCO13" s="119"/>
      <c r="SCP13" s="119"/>
      <c r="SCQ13" s="120"/>
      <c r="SCR13" s="120"/>
      <c r="SCS13" s="120"/>
      <c r="SCT13" s="59"/>
      <c r="SCU13" s="119"/>
      <c r="SCV13" s="119"/>
      <c r="SCW13" s="119"/>
      <c r="SCX13" s="119"/>
      <c r="SCY13" s="119"/>
      <c r="SCZ13" s="119"/>
      <c r="SDA13" s="119"/>
      <c r="SDB13" s="119"/>
      <c r="SDC13" s="119"/>
      <c r="SDD13" s="119"/>
      <c r="SDE13" s="119"/>
      <c r="SDF13" s="119"/>
      <c r="SDG13" s="120"/>
      <c r="SDH13" s="120"/>
      <c r="SDI13" s="120"/>
      <c r="SDJ13" s="59"/>
      <c r="SDK13" s="119"/>
      <c r="SDL13" s="119"/>
      <c r="SDM13" s="119"/>
      <c r="SDN13" s="119"/>
      <c r="SDO13" s="119"/>
      <c r="SDP13" s="119"/>
      <c r="SDQ13" s="119"/>
      <c r="SDR13" s="119"/>
      <c r="SDS13" s="119"/>
      <c r="SDT13" s="119"/>
      <c r="SDU13" s="119"/>
      <c r="SDV13" s="119"/>
      <c r="SDW13" s="120"/>
      <c r="SDX13" s="120"/>
      <c r="SDY13" s="120"/>
      <c r="SDZ13" s="59"/>
      <c r="SEA13" s="119"/>
      <c r="SEB13" s="119"/>
      <c r="SEC13" s="119"/>
      <c r="SED13" s="119"/>
      <c r="SEE13" s="119"/>
      <c r="SEF13" s="119"/>
      <c r="SEG13" s="119"/>
      <c r="SEH13" s="119"/>
      <c r="SEI13" s="119"/>
      <c r="SEJ13" s="119"/>
      <c r="SEK13" s="119"/>
      <c r="SEL13" s="119"/>
      <c r="SEM13" s="120"/>
      <c r="SEN13" s="120"/>
      <c r="SEO13" s="120"/>
      <c r="SEP13" s="59"/>
      <c r="SEQ13" s="119"/>
      <c r="SER13" s="119"/>
      <c r="SES13" s="119"/>
      <c r="SET13" s="119"/>
      <c r="SEU13" s="119"/>
      <c r="SEV13" s="119"/>
      <c r="SEW13" s="119"/>
      <c r="SEX13" s="119"/>
      <c r="SEY13" s="119"/>
      <c r="SEZ13" s="119"/>
      <c r="SFA13" s="119"/>
      <c r="SFB13" s="119"/>
      <c r="SFC13" s="120"/>
      <c r="SFD13" s="120"/>
      <c r="SFE13" s="120"/>
      <c r="SFF13" s="59"/>
      <c r="SFG13" s="119"/>
      <c r="SFH13" s="119"/>
      <c r="SFI13" s="119"/>
      <c r="SFJ13" s="119"/>
      <c r="SFK13" s="119"/>
      <c r="SFL13" s="119"/>
      <c r="SFM13" s="119"/>
      <c r="SFN13" s="119"/>
      <c r="SFO13" s="119"/>
      <c r="SFP13" s="119"/>
      <c r="SFQ13" s="119"/>
      <c r="SFR13" s="119"/>
      <c r="SFS13" s="120"/>
      <c r="SFT13" s="120"/>
      <c r="SFU13" s="120"/>
      <c r="SFV13" s="59"/>
      <c r="SFW13" s="119"/>
      <c r="SFX13" s="119"/>
      <c r="SFY13" s="119"/>
      <c r="SFZ13" s="119"/>
      <c r="SGA13" s="119"/>
      <c r="SGB13" s="119"/>
      <c r="SGC13" s="119"/>
      <c r="SGD13" s="119"/>
      <c r="SGE13" s="119"/>
      <c r="SGF13" s="119"/>
      <c r="SGG13" s="119"/>
      <c r="SGH13" s="119"/>
      <c r="SGI13" s="120"/>
      <c r="SGJ13" s="120"/>
      <c r="SGK13" s="120"/>
      <c r="SGL13" s="59"/>
      <c r="SGM13" s="119"/>
      <c r="SGN13" s="119"/>
      <c r="SGO13" s="119"/>
      <c r="SGP13" s="119"/>
      <c r="SGQ13" s="119"/>
      <c r="SGR13" s="119"/>
      <c r="SGS13" s="119"/>
      <c r="SGT13" s="119"/>
      <c r="SGU13" s="119"/>
      <c r="SGV13" s="119"/>
      <c r="SGW13" s="119"/>
      <c r="SGX13" s="119"/>
      <c r="SGY13" s="120"/>
      <c r="SGZ13" s="120"/>
      <c r="SHA13" s="120"/>
      <c r="SHB13" s="59"/>
      <c r="SHC13" s="119"/>
      <c r="SHD13" s="119"/>
      <c r="SHE13" s="119"/>
      <c r="SHF13" s="119"/>
      <c r="SHG13" s="119"/>
      <c r="SHH13" s="119"/>
      <c r="SHI13" s="119"/>
      <c r="SHJ13" s="119"/>
      <c r="SHK13" s="119"/>
      <c r="SHL13" s="119"/>
      <c r="SHM13" s="119"/>
      <c r="SHN13" s="119"/>
      <c r="SHO13" s="120"/>
      <c r="SHP13" s="120"/>
      <c r="SHQ13" s="120"/>
      <c r="SHR13" s="59"/>
      <c r="SHS13" s="119"/>
      <c r="SHT13" s="119"/>
      <c r="SHU13" s="119"/>
      <c r="SHV13" s="119"/>
      <c r="SHW13" s="119"/>
      <c r="SHX13" s="119"/>
      <c r="SHY13" s="119"/>
      <c r="SHZ13" s="119"/>
      <c r="SIA13" s="119"/>
      <c r="SIB13" s="119"/>
      <c r="SIC13" s="119"/>
      <c r="SID13" s="119"/>
      <c r="SIE13" s="120"/>
      <c r="SIF13" s="120"/>
      <c r="SIG13" s="120"/>
      <c r="SIH13" s="59"/>
      <c r="SII13" s="119"/>
      <c r="SIJ13" s="119"/>
      <c r="SIK13" s="119"/>
      <c r="SIL13" s="119"/>
      <c r="SIM13" s="119"/>
      <c r="SIN13" s="119"/>
      <c r="SIO13" s="119"/>
      <c r="SIP13" s="119"/>
      <c r="SIQ13" s="119"/>
      <c r="SIR13" s="119"/>
      <c r="SIS13" s="119"/>
      <c r="SIT13" s="119"/>
      <c r="SIU13" s="120"/>
      <c r="SIV13" s="120"/>
      <c r="SIW13" s="120"/>
      <c r="SIX13" s="59"/>
      <c r="SIY13" s="119"/>
      <c r="SIZ13" s="119"/>
      <c r="SJA13" s="119"/>
      <c r="SJB13" s="119"/>
      <c r="SJC13" s="119"/>
      <c r="SJD13" s="119"/>
      <c r="SJE13" s="119"/>
      <c r="SJF13" s="119"/>
      <c r="SJG13" s="119"/>
      <c r="SJH13" s="119"/>
      <c r="SJI13" s="119"/>
      <c r="SJJ13" s="119"/>
      <c r="SJK13" s="120"/>
      <c r="SJL13" s="120"/>
      <c r="SJM13" s="120"/>
      <c r="SJN13" s="59"/>
      <c r="SJO13" s="119"/>
      <c r="SJP13" s="119"/>
      <c r="SJQ13" s="119"/>
      <c r="SJR13" s="119"/>
      <c r="SJS13" s="119"/>
      <c r="SJT13" s="119"/>
      <c r="SJU13" s="119"/>
      <c r="SJV13" s="119"/>
      <c r="SJW13" s="119"/>
      <c r="SJX13" s="119"/>
      <c r="SJY13" s="119"/>
      <c r="SJZ13" s="119"/>
      <c r="SKA13" s="120"/>
      <c r="SKB13" s="120"/>
      <c r="SKC13" s="120"/>
      <c r="SKD13" s="59"/>
      <c r="SKE13" s="119"/>
      <c r="SKF13" s="119"/>
      <c r="SKG13" s="119"/>
      <c r="SKH13" s="119"/>
      <c r="SKI13" s="119"/>
      <c r="SKJ13" s="119"/>
      <c r="SKK13" s="119"/>
      <c r="SKL13" s="119"/>
      <c r="SKM13" s="119"/>
      <c r="SKN13" s="119"/>
      <c r="SKO13" s="119"/>
      <c r="SKP13" s="119"/>
      <c r="SKQ13" s="120"/>
      <c r="SKR13" s="120"/>
      <c r="SKS13" s="120"/>
      <c r="SKT13" s="59"/>
      <c r="SKU13" s="119"/>
      <c r="SKV13" s="119"/>
      <c r="SKW13" s="119"/>
      <c r="SKX13" s="119"/>
      <c r="SKY13" s="119"/>
      <c r="SKZ13" s="119"/>
      <c r="SLA13" s="119"/>
      <c r="SLB13" s="119"/>
      <c r="SLC13" s="119"/>
      <c r="SLD13" s="119"/>
      <c r="SLE13" s="119"/>
      <c r="SLF13" s="119"/>
      <c r="SLG13" s="120"/>
      <c r="SLH13" s="120"/>
      <c r="SLI13" s="120"/>
      <c r="SLJ13" s="59"/>
      <c r="SLK13" s="119"/>
      <c r="SLL13" s="119"/>
      <c r="SLM13" s="119"/>
      <c r="SLN13" s="119"/>
      <c r="SLO13" s="119"/>
      <c r="SLP13" s="119"/>
      <c r="SLQ13" s="119"/>
      <c r="SLR13" s="119"/>
      <c r="SLS13" s="119"/>
      <c r="SLT13" s="119"/>
      <c r="SLU13" s="119"/>
      <c r="SLV13" s="119"/>
      <c r="SLW13" s="120"/>
      <c r="SLX13" s="120"/>
      <c r="SLY13" s="120"/>
      <c r="SLZ13" s="59"/>
      <c r="SMA13" s="119"/>
      <c r="SMB13" s="119"/>
      <c r="SMC13" s="119"/>
      <c r="SMD13" s="119"/>
      <c r="SME13" s="119"/>
      <c r="SMF13" s="119"/>
      <c r="SMG13" s="119"/>
      <c r="SMH13" s="119"/>
      <c r="SMI13" s="119"/>
      <c r="SMJ13" s="119"/>
      <c r="SMK13" s="119"/>
      <c r="SML13" s="119"/>
      <c r="SMM13" s="120"/>
      <c r="SMN13" s="120"/>
      <c r="SMO13" s="120"/>
      <c r="SMP13" s="59"/>
      <c r="SMQ13" s="119"/>
      <c r="SMR13" s="119"/>
      <c r="SMS13" s="119"/>
      <c r="SMT13" s="119"/>
      <c r="SMU13" s="119"/>
      <c r="SMV13" s="119"/>
      <c r="SMW13" s="119"/>
      <c r="SMX13" s="119"/>
      <c r="SMY13" s="119"/>
      <c r="SMZ13" s="119"/>
      <c r="SNA13" s="119"/>
      <c r="SNB13" s="119"/>
      <c r="SNC13" s="120"/>
      <c r="SND13" s="120"/>
      <c r="SNE13" s="120"/>
      <c r="SNF13" s="59"/>
      <c r="SNG13" s="119"/>
      <c r="SNH13" s="119"/>
      <c r="SNI13" s="119"/>
      <c r="SNJ13" s="119"/>
      <c r="SNK13" s="119"/>
      <c r="SNL13" s="119"/>
      <c r="SNM13" s="119"/>
      <c r="SNN13" s="119"/>
      <c r="SNO13" s="119"/>
      <c r="SNP13" s="119"/>
      <c r="SNQ13" s="119"/>
      <c r="SNR13" s="119"/>
      <c r="SNS13" s="120"/>
      <c r="SNT13" s="120"/>
      <c r="SNU13" s="120"/>
      <c r="SNV13" s="59"/>
      <c r="SNW13" s="119"/>
      <c r="SNX13" s="119"/>
      <c r="SNY13" s="119"/>
      <c r="SNZ13" s="119"/>
      <c r="SOA13" s="119"/>
      <c r="SOB13" s="119"/>
      <c r="SOC13" s="119"/>
      <c r="SOD13" s="119"/>
      <c r="SOE13" s="119"/>
      <c r="SOF13" s="119"/>
      <c r="SOG13" s="119"/>
      <c r="SOH13" s="119"/>
      <c r="SOI13" s="120"/>
      <c r="SOJ13" s="120"/>
      <c r="SOK13" s="120"/>
      <c r="SOL13" s="59"/>
      <c r="SOM13" s="119"/>
      <c r="SON13" s="119"/>
      <c r="SOO13" s="119"/>
      <c r="SOP13" s="119"/>
      <c r="SOQ13" s="119"/>
      <c r="SOR13" s="119"/>
      <c r="SOS13" s="119"/>
      <c r="SOT13" s="119"/>
      <c r="SOU13" s="119"/>
      <c r="SOV13" s="119"/>
      <c r="SOW13" s="119"/>
      <c r="SOX13" s="119"/>
      <c r="SOY13" s="120"/>
      <c r="SOZ13" s="120"/>
      <c r="SPA13" s="120"/>
      <c r="SPB13" s="59"/>
      <c r="SPC13" s="119"/>
      <c r="SPD13" s="119"/>
      <c r="SPE13" s="119"/>
      <c r="SPF13" s="119"/>
      <c r="SPG13" s="119"/>
      <c r="SPH13" s="119"/>
      <c r="SPI13" s="119"/>
      <c r="SPJ13" s="119"/>
      <c r="SPK13" s="119"/>
      <c r="SPL13" s="119"/>
      <c r="SPM13" s="119"/>
      <c r="SPN13" s="119"/>
      <c r="SPO13" s="120"/>
      <c r="SPP13" s="120"/>
      <c r="SPQ13" s="120"/>
      <c r="SPR13" s="59"/>
      <c r="SPS13" s="119"/>
      <c r="SPT13" s="119"/>
      <c r="SPU13" s="119"/>
      <c r="SPV13" s="119"/>
      <c r="SPW13" s="119"/>
      <c r="SPX13" s="119"/>
      <c r="SPY13" s="119"/>
      <c r="SPZ13" s="119"/>
      <c r="SQA13" s="119"/>
      <c r="SQB13" s="119"/>
      <c r="SQC13" s="119"/>
      <c r="SQD13" s="119"/>
      <c r="SQE13" s="120"/>
      <c r="SQF13" s="120"/>
      <c r="SQG13" s="120"/>
      <c r="SQH13" s="59"/>
      <c r="SQI13" s="119"/>
      <c r="SQJ13" s="119"/>
      <c r="SQK13" s="119"/>
      <c r="SQL13" s="119"/>
      <c r="SQM13" s="119"/>
      <c r="SQN13" s="119"/>
      <c r="SQO13" s="119"/>
      <c r="SQP13" s="119"/>
      <c r="SQQ13" s="119"/>
      <c r="SQR13" s="119"/>
      <c r="SQS13" s="119"/>
      <c r="SQT13" s="119"/>
      <c r="SQU13" s="120"/>
      <c r="SQV13" s="120"/>
      <c r="SQW13" s="120"/>
      <c r="SQX13" s="59"/>
      <c r="SQY13" s="119"/>
      <c r="SQZ13" s="119"/>
      <c r="SRA13" s="119"/>
      <c r="SRB13" s="119"/>
      <c r="SRC13" s="119"/>
      <c r="SRD13" s="119"/>
      <c r="SRE13" s="119"/>
      <c r="SRF13" s="119"/>
      <c r="SRG13" s="119"/>
      <c r="SRH13" s="119"/>
      <c r="SRI13" s="119"/>
      <c r="SRJ13" s="119"/>
      <c r="SRK13" s="120"/>
      <c r="SRL13" s="120"/>
      <c r="SRM13" s="120"/>
      <c r="SRN13" s="59"/>
      <c r="SRO13" s="119"/>
      <c r="SRP13" s="119"/>
      <c r="SRQ13" s="119"/>
      <c r="SRR13" s="119"/>
      <c r="SRS13" s="119"/>
      <c r="SRT13" s="119"/>
      <c r="SRU13" s="119"/>
      <c r="SRV13" s="119"/>
      <c r="SRW13" s="119"/>
      <c r="SRX13" s="119"/>
      <c r="SRY13" s="119"/>
      <c r="SRZ13" s="119"/>
      <c r="SSA13" s="120"/>
      <c r="SSB13" s="120"/>
      <c r="SSC13" s="120"/>
      <c r="SSD13" s="59"/>
      <c r="SSE13" s="119"/>
      <c r="SSF13" s="119"/>
      <c r="SSG13" s="119"/>
      <c r="SSH13" s="119"/>
      <c r="SSI13" s="119"/>
      <c r="SSJ13" s="119"/>
      <c r="SSK13" s="119"/>
      <c r="SSL13" s="119"/>
      <c r="SSM13" s="119"/>
      <c r="SSN13" s="119"/>
      <c r="SSO13" s="119"/>
      <c r="SSP13" s="119"/>
      <c r="SSQ13" s="120"/>
      <c r="SSR13" s="120"/>
      <c r="SSS13" s="120"/>
      <c r="SST13" s="59"/>
      <c r="SSU13" s="119"/>
      <c r="SSV13" s="119"/>
      <c r="SSW13" s="119"/>
      <c r="SSX13" s="119"/>
      <c r="SSY13" s="119"/>
      <c r="SSZ13" s="119"/>
      <c r="STA13" s="119"/>
      <c r="STB13" s="119"/>
      <c r="STC13" s="119"/>
      <c r="STD13" s="119"/>
      <c r="STE13" s="119"/>
      <c r="STF13" s="119"/>
      <c r="STG13" s="120"/>
      <c r="STH13" s="120"/>
      <c r="STI13" s="120"/>
      <c r="STJ13" s="59"/>
      <c r="STK13" s="119"/>
      <c r="STL13" s="119"/>
      <c r="STM13" s="119"/>
      <c r="STN13" s="119"/>
      <c r="STO13" s="119"/>
      <c r="STP13" s="119"/>
      <c r="STQ13" s="119"/>
      <c r="STR13" s="119"/>
      <c r="STS13" s="119"/>
      <c r="STT13" s="119"/>
      <c r="STU13" s="119"/>
      <c r="STV13" s="119"/>
      <c r="STW13" s="120"/>
      <c r="STX13" s="120"/>
      <c r="STY13" s="120"/>
      <c r="STZ13" s="59"/>
      <c r="SUA13" s="119"/>
      <c r="SUB13" s="119"/>
      <c r="SUC13" s="119"/>
      <c r="SUD13" s="119"/>
      <c r="SUE13" s="119"/>
      <c r="SUF13" s="119"/>
      <c r="SUG13" s="119"/>
      <c r="SUH13" s="119"/>
      <c r="SUI13" s="119"/>
      <c r="SUJ13" s="119"/>
      <c r="SUK13" s="119"/>
      <c r="SUL13" s="119"/>
      <c r="SUM13" s="120"/>
      <c r="SUN13" s="120"/>
      <c r="SUO13" s="120"/>
      <c r="SUP13" s="59"/>
      <c r="SUQ13" s="119"/>
      <c r="SUR13" s="119"/>
      <c r="SUS13" s="119"/>
      <c r="SUT13" s="119"/>
      <c r="SUU13" s="119"/>
      <c r="SUV13" s="119"/>
      <c r="SUW13" s="119"/>
      <c r="SUX13" s="119"/>
      <c r="SUY13" s="119"/>
      <c r="SUZ13" s="119"/>
      <c r="SVA13" s="119"/>
      <c r="SVB13" s="119"/>
      <c r="SVC13" s="120"/>
      <c r="SVD13" s="120"/>
      <c r="SVE13" s="120"/>
      <c r="SVF13" s="59"/>
      <c r="SVG13" s="119"/>
      <c r="SVH13" s="119"/>
      <c r="SVI13" s="119"/>
      <c r="SVJ13" s="119"/>
      <c r="SVK13" s="119"/>
      <c r="SVL13" s="119"/>
      <c r="SVM13" s="119"/>
      <c r="SVN13" s="119"/>
      <c r="SVO13" s="119"/>
      <c r="SVP13" s="119"/>
      <c r="SVQ13" s="119"/>
      <c r="SVR13" s="119"/>
      <c r="SVS13" s="120"/>
      <c r="SVT13" s="120"/>
      <c r="SVU13" s="120"/>
      <c r="SVV13" s="59"/>
      <c r="SVW13" s="119"/>
      <c r="SVX13" s="119"/>
      <c r="SVY13" s="119"/>
      <c r="SVZ13" s="119"/>
      <c r="SWA13" s="119"/>
      <c r="SWB13" s="119"/>
      <c r="SWC13" s="119"/>
      <c r="SWD13" s="119"/>
      <c r="SWE13" s="119"/>
      <c r="SWF13" s="119"/>
      <c r="SWG13" s="119"/>
      <c r="SWH13" s="119"/>
      <c r="SWI13" s="120"/>
      <c r="SWJ13" s="120"/>
      <c r="SWK13" s="120"/>
      <c r="SWL13" s="59"/>
      <c r="SWM13" s="119"/>
      <c r="SWN13" s="119"/>
      <c r="SWO13" s="119"/>
      <c r="SWP13" s="119"/>
      <c r="SWQ13" s="119"/>
      <c r="SWR13" s="119"/>
      <c r="SWS13" s="119"/>
      <c r="SWT13" s="119"/>
      <c r="SWU13" s="119"/>
      <c r="SWV13" s="119"/>
      <c r="SWW13" s="119"/>
      <c r="SWX13" s="119"/>
      <c r="SWY13" s="120"/>
      <c r="SWZ13" s="120"/>
      <c r="SXA13" s="120"/>
      <c r="SXB13" s="59"/>
      <c r="SXC13" s="119"/>
      <c r="SXD13" s="119"/>
      <c r="SXE13" s="119"/>
      <c r="SXF13" s="119"/>
      <c r="SXG13" s="119"/>
      <c r="SXH13" s="119"/>
      <c r="SXI13" s="119"/>
      <c r="SXJ13" s="119"/>
      <c r="SXK13" s="119"/>
      <c r="SXL13" s="119"/>
      <c r="SXM13" s="119"/>
      <c r="SXN13" s="119"/>
      <c r="SXO13" s="120"/>
      <c r="SXP13" s="120"/>
      <c r="SXQ13" s="120"/>
      <c r="SXR13" s="59"/>
      <c r="SXS13" s="119"/>
      <c r="SXT13" s="119"/>
      <c r="SXU13" s="119"/>
      <c r="SXV13" s="119"/>
      <c r="SXW13" s="119"/>
      <c r="SXX13" s="119"/>
      <c r="SXY13" s="119"/>
      <c r="SXZ13" s="119"/>
      <c r="SYA13" s="119"/>
      <c r="SYB13" s="119"/>
      <c r="SYC13" s="119"/>
      <c r="SYD13" s="119"/>
      <c r="SYE13" s="120"/>
      <c r="SYF13" s="120"/>
      <c r="SYG13" s="120"/>
      <c r="SYH13" s="59"/>
      <c r="SYI13" s="119"/>
      <c r="SYJ13" s="119"/>
      <c r="SYK13" s="119"/>
      <c r="SYL13" s="119"/>
      <c r="SYM13" s="119"/>
      <c r="SYN13" s="119"/>
      <c r="SYO13" s="119"/>
      <c r="SYP13" s="119"/>
      <c r="SYQ13" s="119"/>
      <c r="SYR13" s="119"/>
      <c r="SYS13" s="119"/>
      <c r="SYT13" s="119"/>
      <c r="SYU13" s="120"/>
      <c r="SYV13" s="120"/>
      <c r="SYW13" s="120"/>
      <c r="SYX13" s="59"/>
      <c r="SYY13" s="119"/>
      <c r="SYZ13" s="119"/>
      <c r="SZA13" s="119"/>
      <c r="SZB13" s="119"/>
      <c r="SZC13" s="119"/>
      <c r="SZD13" s="119"/>
      <c r="SZE13" s="119"/>
      <c r="SZF13" s="119"/>
      <c r="SZG13" s="119"/>
      <c r="SZH13" s="119"/>
      <c r="SZI13" s="119"/>
      <c r="SZJ13" s="119"/>
      <c r="SZK13" s="120"/>
      <c r="SZL13" s="120"/>
      <c r="SZM13" s="120"/>
      <c r="SZN13" s="59"/>
      <c r="SZO13" s="119"/>
      <c r="SZP13" s="119"/>
      <c r="SZQ13" s="119"/>
      <c r="SZR13" s="119"/>
      <c r="SZS13" s="119"/>
      <c r="SZT13" s="119"/>
      <c r="SZU13" s="119"/>
      <c r="SZV13" s="119"/>
      <c r="SZW13" s="119"/>
      <c r="SZX13" s="119"/>
      <c r="SZY13" s="119"/>
      <c r="SZZ13" s="119"/>
      <c r="TAA13" s="120"/>
      <c r="TAB13" s="120"/>
      <c r="TAC13" s="120"/>
      <c r="TAD13" s="59"/>
      <c r="TAE13" s="119"/>
      <c r="TAF13" s="119"/>
      <c r="TAG13" s="119"/>
      <c r="TAH13" s="119"/>
      <c r="TAI13" s="119"/>
      <c r="TAJ13" s="119"/>
      <c r="TAK13" s="119"/>
      <c r="TAL13" s="119"/>
      <c r="TAM13" s="119"/>
      <c r="TAN13" s="119"/>
      <c r="TAO13" s="119"/>
      <c r="TAP13" s="119"/>
      <c r="TAQ13" s="120"/>
      <c r="TAR13" s="120"/>
      <c r="TAS13" s="120"/>
      <c r="TAT13" s="59"/>
      <c r="TAU13" s="119"/>
      <c r="TAV13" s="119"/>
      <c r="TAW13" s="119"/>
      <c r="TAX13" s="119"/>
      <c r="TAY13" s="119"/>
      <c r="TAZ13" s="119"/>
      <c r="TBA13" s="119"/>
      <c r="TBB13" s="119"/>
      <c r="TBC13" s="119"/>
      <c r="TBD13" s="119"/>
      <c r="TBE13" s="119"/>
      <c r="TBF13" s="119"/>
      <c r="TBG13" s="120"/>
      <c r="TBH13" s="120"/>
      <c r="TBI13" s="120"/>
      <c r="TBJ13" s="59"/>
      <c r="TBK13" s="119"/>
      <c r="TBL13" s="119"/>
      <c r="TBM13" s="119"/>
      <c r="TBN13" s="119"/>
      <c r="TBO13" s="119"/>
      <c r="TBP13" s="119"/>
      <c r="TBQ13" s="119"/>
      <c r="TBR13" s="119"/>
      <c r="TBS13" s="119"/>
      <c r="TBT13" s="119"/>
      <c r="TBU13" s="119"/>
      <c r="TBV13" s="119"/>
      <c r="TBW13" s="120"/>
      <c r="TBX13" s="120"/>
      <c r="TBY13" s="120"/>
      <c r="TBZ13" s="59"/>
      <c r="TCA13" s="119"/>
      <c r="TCB13" s="119"/>
      <c r="TCC13" s="119"/>
      <c r="TCD13" s="119"/>
      <c r="TCE13" s="119"/>
      <c r="TCF13" s="119"/>
      <c r="TCG13" s="119"/>
      <c r="TCH13" s="119"/>
      <c r="TCI13" s="119"/>
      <c r="TCJ13" s="119"/>
      <c r="TCK13" s="119"/>
      <c r="TCL13" s="119"/>
      <c r="TCM13" s="120"/>
      <c r="TCN13" s="120"/>
      <c r="TCO13" s="120"/>
      <c r="TCP13" s="59"/>
      <c r="TCQ13" s="119"/>
      <c r="TCR13" s="119"/>
      <c r="TCS13" s="119"/>
      <c r="TCT13" s="119"/>
      <c r="TCU13" s="119"/>
      <c r="TCV13" s="119"/>
      <c r="TCW13" s="119"/>
      <c r="TCX13" s="119"/>
      <c r="TCY13" s="119"/>
      <c r="TCZ13" s="119"/>
      <c r="TDA13" s="119"/>
      <c r="TDB13" s="119"/>
      <c r="TDC13" s="120"/>
      <c r="TDD13" s="120"/>
      <c r="TDE13" s="120"/>
      <c r="TDF13" s="59"/>
      <c r="TDG13" s="119"/>
      <c r="TDH13" s="119"/>
      <c r="TDI13" s="119"/>
      <c r="TDJ13" s="119"/>
      <c r="TDK13" s="119"/>
      <c r="TDL13" s="119"/>
      <c r="TDM13" s="119"/>
      <c r="TDN13" s="119"/>
      <c r="TDO13" s="119"/>
      <c r="TDP13" s="119"/>
      <c r="TDQ13" s="119"/>
      <c r="TDR13" s="119"/>
      <c r="TDS13" s="120"/>
      <c r="TDT13" s="120"/>
      <c r="TDU13" s="120"/>
      <c r="TDV13" s="59"/>
      <c r="TDW13" s="119"/>
      <c r="TDX13" s="119"/>
      <c r="TDY13" s="119"/>
      <c r="TDZ13" s="119"/>
      <c r="TEA13" s="119"/>
      <c r="TEB13" s="119"/>
      <c r="TEC13" s="119"/>
      <c r="TED13" s="119"/>
      <c r="TEE13" s="119"/>
      <c r="TEF13" s="119"/>
      <c r="TEG13" s="119"/>
      <c r="TEH13" s="119"/>
      <c r="TEI13" s="120"/>
      <c r="TEJ13" s="120"/>
      <c r="TEK13" s="120"/>
      <c r="TEL13" s="59"/>
      <c r="TEM13" s="119"/>
      <c r="TEN13" s="119"/>
      <c r="TEO13" s="119"/>
      <c r="TEP13" s="119"/>
      <c r="TEQ13" s="119"/>
      <c r="TER13" s="119"/>
      <c r="TES13" s="119"/>
      <c r="TET13" s="119"/>
      <c r="TEU13" s="119"/>
      <c r="TEV13" s="119"/>
      <c r="TEW13" s="119"/>
      <c r="TEX13" s="119"/>
      <c r="TEY13" s="120"/>
      <c r="TEZ13" s="120"/>
      <c r="TFA13" s="120"/>
      <c r="TFB13" s="59"/>
      <c r="TFC13" s="119"/>
      <c r="TFD13" s="119"/>
      <c r="TFE13" s="119"/>
      <c r="TFF13" s="119"/>
      <c r="TFG13" s="119"/>
      <c r="TFH13" s="119"/>
      <c r="TFI13" s="119"/>
      <c r="TFJ13" s="119"/>
      <c r="TFK13" s="119"/>
      <c r="TFL13" s="119"/>
      <c r="TFM13" s="119"/>
      <c r="TFN13" s="119"/>
      <c r="TFO13" s="120"/>
      <c r="TFP13" s="120"/>
      <c r="TFQ13" s="120"/>
      <c r="TFR13" s="59"/>
      <c r="TFS13" s="119"/>
      <c r="TFT13" s="119"/>
      <c r="TFU13" s="119"/>
      <c r="TFV13" s="119"/>
      <c r="TFW13" s="119"/>
      <c r="TFX13" s="119"/>
      <c r="TFY13" s="119"/>
      <c r="TFZ13" s="119"/>
      <c r="TGA13" s="119"/>
      <c r="TGB13" s="119"/>
      <c r="TGC13" s="119"/>
      <c r="TGD13" s="119"/>
      <c r="TGE13" s="120"/>
      <c r="TGF13" s="120"/>
      <c r="TGG13" s="120"/>
      <c r="TGH13" s="59"/>
      <c r="TGI13" s="119"/>
      <c r="TGJ13" s="119"/>
      <c r="TGK13" s="119"/>
      <c r="TGL13" s="119"/>
      <c r="TGM13" s="119"/>
      <c r="TGN13" s="119"/>
      <c r="TGO13" s="119"/>
      <c r="TGP13" s="119"/>
      <c r="TGQ13" s="119"/>
      <c r="TGR13" s="119"/>
      <c r="TGS13" s="119"/>
      <c r="TGT13" s="119"/>
      <c r="TGU13" s="120"/>
      <c r="TGV13" s="120"/>
      <c r="TGW13" s="120"/>
      <c r="TGX13" s="59"/>
      <c r="TGY13" s="119"/>
      <c r="TGZ13" s="119"/>
      <c r="THA13" s="119"/>
      <c r="THB13" s="119"/>
      <c r="THC13" s="119"/>
      <c r="THD13" s="119"/>
      <c r="THE13" s="119"/>
      <c r="THF13" s="119"/>
      <c r="THG13" s="119"/>
      <c r="THH13" s="119"/>
      <c r="THI13" s="119"/>
      <c r="THJ13" s="119"/>
      <c r="THK13" s="120"/>
      <c r="THL13" s="120"/>
      <c r="THM13" s="120"/>
      <c r="THN13" s="59"/>
      <c r="THO13" s="119"/>
      <c r="THP13" s="119"/>
      <c r="THQ13" s="119"/>
      <c r="THR13" s="119"/>
      <c r="THS13" s="119"/>
      <c r="THT13" s="119"/>
      <c r="THU13" s="119"/>
      <c r="THV13" s="119"/>
      <c r="THW13" s="119"/>
      <c r="THX13" s="119"/>
      <c r="THY13" s="119"/>
      <c r="THZ13" s="119"/>
      <c r="TIA13" s="120"/>
      <c r="TIB13" s="120"/>
      <c r="TIC13" s="120"/>
      <c r="TID13" s="59"/>
      <c r="TIE13" s="119"/>
      <c r="TIF13" s="119"/>
      <c r="TIG13" s="119"/>
      <c r="TIH13" s="119"/>
      <c r="TII13" s="119"/>
      <c r="TIJ13" s="119"/>
      <c r="TIK13" s="119"/>
      <c r="TIL13" s="119"/>
      <c r="TIM13" s="119"/>
      <c r="TIN13" s="119"/>
      <c r="TIO13" s="119"/>
      <c r="TIP13" s="119"/>
      <c r="TIQ13" s="120"/>
      <c r="TIR13" s="120"/>
      <c r="TIS13" s="120"/>
      <c r="TIT13" s="59"/>
      <c r="TIU13" s="119"/>
      <c r="TIV13" s="119"/>
      <c r="TIW13" s="119"/>
      <c r="TIX13" s="119"/>
      <c r="TIY13" s="119"/>
      <c r="TIZ13" s="119"/>
      <c r="TJA13" s="119"/>
      <c r="TJB13" s="119"/>
      <c r="TJC13" s="119"/>
      <c r="TJD13" s="119"/>
      <c r="TJE13" s="119"/>
      <c r="TJF13" s="119"/>
      <c r="TJG13" s="120"/>
      <c r="TJH13" s="120"/>
      <c r="TJI13" s="120"/>
      <c r="TJJ13" s="59"/>
      <c r="TJK13" s="119"/>
      <c r="TJL13" s="119"/>
      <c r="TJM13" s="119"/>
      <c r="TJN13" s="119"/>
      <c r="TJO13" s="119"/>
      <c r="TJP13" s="119"/>
      <c r="TJQ13" s="119"/>
      <c r="TJR13" s="119"/>
      <c r="TJS13" s="119"/>
      <c r="TJT13" s="119"/>
      <c r="TJU13" s="119"/>
      <c r="TJV13" s="119"/>
      <c r="TJW13" s="120"/>
      <c r="TJX13" s="120"/>
      <c r="TJY13" s="120"/>
      <c r="TJZ13" s="59"/>
      <c r="TKA13" s="119"/>
      <c r="TKB13" s="119"/>
      <c r="TKC13" s="119"/>
      <c r="TKD13" s="119"/>
      <c r="TKE13" s="119"/>
      <c r="TKF13" s="119"/>
      <c r="TKG13" s="119"/>
      <c r="TKH13" s="119"/>
      <c r="TKI13" s="119"/>
      <c r="TKJ13" s="119"/>
      <c r="TKK13" s="119"/>
      <c r="TKL13" s="119"/>
      <c r="TKM13" s="120"/>
      <c r="TKN13" s="120"/>
      <c r="TKO13" s="120"/>
      <c r="TKP13" s="59"/>
      <c r="TKQ13" s="119"/>
      <c r="TKR13" s="119"/>
      <c r="TKS13" s="119"/>
      <c r="TKT13" s="119"/>
      <c r="TKU13" s="119"/>
      <c r="TKV13" s="119"/>
      <c r="TKW13" s="119"/>
      <c r="TKX13" s="119"/>
      <c r="TKY13" s="119"/>
      <c r="TKZ13" s="119"/>
      <c r="TLA13" s="119"/>
      <c r="TLB13" s="119"/>
      <c r="TLC13" s="120"/>
      <c r="TLD13" s="120"/>
      <c r="TLE13" s="120"/>
      <c r="TLF13" s="59"/>
      <c r="TLG13" s="119"/>
      <c r="TLH13" s="119"/>
      <c r="TLI13" s="119"/>
      <c r="TLJ13" s="119"/>
      <c r="TLK13" s="119"/>
      <c r="TLL13" s="119"/>
      <c r="TLM13" s="119"/>
      <c r="TLN13" s="119"/>
      <c r="TLO13" s="119"/>
      <c r="TLP13" s="119"/>
      <c r="TLQ13" s="119"/>
      <c r="TLR13" s="119"/>
      <c r="TLS13" s="120"/>
      <c r="TLT13" s="120"/>
      <c r="TLU13" s="120"/>
      <c r="TLV13" s="59"/>
      <c r="TLW13" s="119"/>
      <c r="TLX13" s="119"/>
      <c r="TLY13" s="119"/>
      <c r="TLZ13" s="119"/>
      <c r="TMA13" s="119"/>
      <c r="TMB13" s="119"/>
      <c r="TMC13" s="119"/>
      <c r="TMD13" s="119"/>
      <c r="TME13" s="119"/>
      <c r="TMF13" s="119"/>
      <c r="TMG13" s="119"/>
      <c r="TMH13" s="119"/>
      <c r="TMI13" s="120"/>
      <c r="TMJ13" s="120"/>
      <c r="TMK13" s="120"/>
      <c r="TML13" s="59"/>
      <c r="TMM13" s="119"/>
      <c r="TMN13" s="119"/>
      <c r="TMO13" s="119"/>
      <c r="TMP13" s="119"/>
      <c r="TMQ13" s="119"/>
      <c r="TMR13" s="119"/>
      <c r="TMS13" s="119"/>
      <c r="TMT13" s="119"/>
      <c r="TMU13" s="119"/>
      <c r="TMV13" s="119"/>
      <c r="TMW13" s="119"/>
      <c r="TMX13" s="119"/>
      <c r="TMY13" s="120"/>
      <c r="TMZ13" s="120"/>
      <c r="TNA13" s="120"/>
      <c r="TNB13" s="59"/>
      <c r="TNC13" s="119"/>
      <c r="TND13" s="119"/>
      <c r="TNE13" s="119"/>
      <c r="TNF13" s="119"/>
      <c r="TNG13" s="119"/>
      <c r="TNH13" s="119"/>
      <c r="TNI13" s="119"/>
      <c r="TNJ13" s="119"/>
      <c r="TNK13" s="119"/>
      <c r="TNL13" s="119"/>
      <c r="TNM13" s="119"/>
      <c r="TNN13" s="119"/>
      <c r="TNO13" s="120"/>
      <c r="TNP13" s="120"/>
      <c r="TNQ13" s="120"/>
      <c r="TNR13" s="59"/>
      <c r="TNS13" s="119"/>
      <c r="TNT13" s="119"/>
      <c r="TNU13" s="119"/>
      <c r="TNV13" s="119"/>
      <c r="TNW13" s="119"/>
      <c r="TNX13" s="119"/>
      <c r="TNY13" s="119"/>
      <c r="TNZ13" s="119"/>
      <c r="TOA13" s="119"/>
      <c r="TOB13" s="119"/>
      <c r="TOC13" s="119"/>
      <c r="TOD13" s="119"/>
      <c r="TOE13" s="120"/>
      <c r="TOF13" s="120"/>
      <c r="TOG13" s="120"/>
      <c r="TOH13" s="59"/>
      <c r="TOI13" s="119"/>
      <c r="TOJ13" s="119"/>
      <c r="TOK13" s="119"/>
      <c r="TOL13" s="119"/>
      <c r="TOM13" s="119"/>
      <c r="TON13" s="119"/>
      <c r="TOO13" s="119"/>
      <c r="TOP13" s="119"/>
      <c r="TOQ13" s="119"/>
      <c r="TOR13" s="119"/>
      <c r="TOS13" s="119"/>
      <c r="TOT13" s="119"/>
      <c r="TOU13" s="120"/>
      <c r="TOV13" s="120"/>
      <c r="TOW13" s="120"/>
      <c r="TOX13" s="59"/>
      <c r="TOY13" s="119"/>
      <c r="TOZ13" s="119"/>
      <c r="TPA13" s="119"/>
      <c r="TPB13" s="119"/>
      <c r="TPC13" s="119"/>
      <c r="TPD13" s="119"/>
      <c r="TPE13" s="119"/>
      <c r="TPF13" s="119"/>
      <c r="TPG13" s="119"/>
      <c r="TPH13" s="119"/>
      <c r="TPI13" s="119"/>
      <c r="TPJ13" s="119"/>
      <c r="TPK13" s="120"/>
      <c r="TPL13" s="120"/>
      <c r="TPM13" s="120"/>
      <c r="TPN13" s="59"/>
      <c r="TPO13" s="119"/>
      <c r="TPP13" s="119"/>
      <c r="TPQ13" s="119"/>
      <c r="TPR13" s="119"/>
      <c r="TPS13" s="119"/>
      <c r="TPT13" s="119"/>
      <c r="TPU13" s="119"/>
      <c r="TPV13" s="119"/>
      <c r="TPW13" s="119"/>
      <c r="TPX13" s="119"/>
      <c r="TPY13" s="119"/>
      <c r="TPZ13" s="119"/>
      <c r="TQA13" s="120"/>
      <c r="TQB13" s="120"/>
      <c r="TQC13" s="120"/>
      <c r="TQD13" s="59"/>
      <c r="TQE13" s="119"/>
      <c r="TQF13" s="119"/>
      <c r="TQG13" s="119"/>
      <c r="TQH13" s="119"/>
      <c r="TQI13" s="119"/>
      <c r="TQJ13" s="119"/>
      <c r="TQK13" s="119"/>
      <c r="TQL13" s="119"/>
      <c r="TQM13" s="119"/>
      <c r="TQN13" s="119"/>
      <c r="TQO13" s="119"/>
      <c r="TQP13" s="119"/>
      <c r="TQQ13" s="120"/>
      <c r="TQR13" s="120"/>
      <c r="TQS13" s="120"/>
      <c r="TQT13" s="59"/>
      <c r="TQU13" s="119"/>
      <c r="TQV13" s="119"/>
      <c r="TQW13" s="119"/>
      <c r="TQX13" s="119"/>
      <c r="TQY13" s="119"/>
      <c r="TQZ13" s="119"/>
      <c r="TRA13" s="119"/>
      <c r="TRB13" s="119"/>
      <c r="TRC13" s="119"/>
      <c r="TRD13" s="119"/>
      <c r="TRE13" s="119"/>
      <c r="TRF13" s="119"/>
      <c r="TRG13" s="120"/>
      <c r="TRH13" s="120"/>
      <c r="TRI13" s="120"/>
      <c r="TRJ13" s="59"/>
      <c r="TRK13" s="119"/>
      <c r="TRL13" s="119"/>
      <c r="TRM13" s="119"/>
      <c r="TRN13" s="119"/>
      <c r="TRO13" s="119"/>
      <c r="TRP13" s="119"/>
      <c r="TRQ13" s="119"/>
      <c r="TRR13" s="119"/>
      <c r="TRS13" s="119"/>
      <c r="TRT13" s="119"/>
      <c r="TRU13" s="119"/>
      <c r="TRV13" s="119"/>
      <c r="TRW13" s="120"/>
      <c r="TRX13" s="120"/>
      <c r="TRY13" s="120"/>
      <c r="TRZ13" s="59"/>
      <c r="TSA13" s="119"/>
      <c r="TSB13" s="119"/>
      <c r="TSC13" s="119"/>
      <c r="TSD13" s="119"/>
      <c r="TSE13" s="119"/>
      <c r="TSF13" s="119"/>
      <c r="TSG13" s="119"/>
      <c r="TSH13" s="119"/>
      <c r="TSI13" s="119"/>
      <c r="TSJ13" s="119"/>
      <c r="TSK13" s="119"/>
      <c r="TSL13" s="119"/>
      <c r="TSM13" s="120"/>
      <c r="TSN13" s="120"/>
      <c r="TSO13" s="120"/>
      <c r="TSP13" s="59"/>
      <c r="TSQ13" s="119"/>
      <c r="TSR13" s="119"/>
      <c r="TSS13" s="119"/>
      <c r="TST13" s="119"/>
      <c r="TSU13" s="119"/>
      <c r="TSV13" s="119"/>
      <c r="TSW13" s="119"/>
      <c r="TSX13" s="119"/>
      <c r="TSY13" s="119"/>
      <c r="TSZ13" s="119"/>
      <c r="TTA13" s="119"/>
      <c r="TTB13" s="119"/>
      <c r="TTC13" s="120"/>
      <c r="TTD13" s="120"/>
      <c r="TTE13" s="120"/>
      <c r="TTF13" s="59"/>
      <c r="TTG13" s="119"/>
      <c r="TTH13" s="119"/>
      <c r="TTI13" s="119"/>
      <c r="TTJ13" s="119"/>
      <c r="TTK13" s="119"/>
      <c r="TTL13" s="119"/>
      <c r="TTM13" s="119"/>
      <c r="TTN13" s="119"/>
      <c r="TTO13" s="119"/>
      <c r="TTP13" s="119"/>
      <c r="TTQ13" s="119"/>
      <c r="TTR13" s="119"/>
      <c r="TTS13" s="120"/>
      <c r="TTT13" s="120"/>
      <c r="TTU13" s="120"/>
      <c r="TTV13" s="59"/>
      <c r="TTW13" s="119"/>
      <c r="TTX13" s="119"/>
      <c r="TTY13" s="119"/>
      <c r="TTZ13" s="119"/>
      <c r="TUA13" s="119"/>
      <c r="TUB13" s="119"/>
      <c r="TUC13" s="119"/>
      <c r="TUD13" s="119"/>
      <c r="TUE13" s="119"/>
      <c r="TUF13" s="119"/>
      <c r="TUG13" s="119"/>
      <c r="TUH13" s="119"/>
      <c r="TUI13" s="120"/>
      <c r="TUJ13" s="120"/>
      <c r="TUK13" s="120"/>
      <c r="TUL13" s="59"/>
      <c r="TUM13" s="119"/>
      <c r="TUN13" s="119"/>
      <c r="TUO13" s="119"/>
      <c r="TUP13" s="119"/>
      <c r="TUQ13" s="119"/>
      <c r="TUR13" s="119"/>
      <c r="TUS13" s="119"/>
      <c r="TUT13" s="119"/>
      <c r="TUU13" s="119"/>
      <c r="TUV13" s="119"/>
      <c r="TUW13" s="119"/>
      <c r="TUX13" s="119"/>
      <c r="TUY13" s="120"/>
      <c r="TUZ13" s="120"/>
      <c r="TVA13" s="120"/>
      <c r="TVB13" s="59"/>
      <c r="TVC13" s="119"/>
      <c r="TVD13" s="119"/>
      <c r="TVE13" s="119"/>
      <c r="TVF13" s="119"/>
      <c r="TVG13" s="119"/>
      <c r="TVH13" s="119"/>
      <c r="TVI13" s="119"/>
      <c r="TVJ13" s="119"/>
      <c r="TVK13" s="119"/>
      <c r="TVL13" s="119"/>
      <c r="TVM13" s="119"/>
      <c r="TVN13" s="119"/>
      <c r="TVO13" s="120"/>
      <c r="TVP13" s="120"/>
      <c r="TVQ13" s="120"/>
      <c r="TVR13" s="59"/>
      <c r="TVS13" s="119"/>
      <c r="TVT13" s="119"/>
      <c r="TVU13" s="119"/>
      <c r="TVV13" s="119"/>
      <c r="TVW13" s="119"/>
      <c r="TVX13" s="119"/>
      <c r="TVY13" s="119"/>
      <c r="TVZ13" s="119"/>
      <c r="TWA13" s="119"/>
      <c r="TWB13" s="119"/>
      <c r="TWC13" s="119"/>
      <c r="TWD13" s="119"/>
      <c r="TWE13" s="120"/>
      <c r="TWF13" s="120"/>
      <c r="TWG13" s="120"/>
      <c r="TWH13" s="59"/>
      <c r="TWI13" s="119"/>
      <c r="TWJ13" s="119"/>
      <c r="TWK13" s="119"/>
      <c r="TWL13" s="119"/>
      <c r="TWM13" s="119"/>
      <c r="TWN13" s="119"/>
      <c r="TWO13" s="119"/>
      <c r="TWP13" s="119"/>
      <c r="TWQ13" s="119"/>
      <c r="TWR13" s="119"/>
      <c r="TWS13" s="119"/>
      <c r="TWT13" s="119"/>
      <c r="TWU13" s="120"/>
      <c r="TWV13" s="120"/>
      <c r="TWW13" s="120"/>
      <c r="TWX13" s="59"/>
      <c r="TWY13" s="119"/>
      <c r="TWZ13" s="119"/>
      <c r="TXA13" s="119"/>
      <c r="TXB13" s="119"/>
      <c r="TXC13" s="119"/>
      <c r="TXD13" s="119"/>
      <c r="TXE13" s="119"/>
      <c r="TXF13" s="119"/>
      <c r="TXG13" s="119"/>
      <c r="TXH13" s="119"/>
      <c r="TXI13" s="119"/>
      <c r="TXJ13" s="119"/>
      <c r="TXK13" s="120"/>
      <c r="TXL13" s="120"/>
      <c r="TXM13" s="120"/>
      <c r="TXN13" s="59"/>
      <c r="TXO13" s="119"/>
      <c r="TXP13" s="119"/>
      <c r="TXQ13" s="119"/>
      <c r="TXR13" s="119"/>
      <c r="TXS13" s="119"/>
      <c r="TXT13" s="119"/>
      <c r="TXU13" s="119"/>
      <c r="TXV13" s="119"/>
      <c r="TXW13" s="119"/>
      <c r="TXX13" s="119"/>
      <c r="TXY13" s="119"/>
      <c r="TXZ13" s="119"/>
      <c r="TYA13" s="120"/>
      <c r="TYB13" s="120"/>
      <c r="TYC13" s="120"/>
      <c r="TYD13" s="59"/>
      <c r="TYE13" s="119"/>
      <c r="TYF13" s="119"/>
      <c r="TYG13" s="119"/>
      <c r="TYH13" s="119"/>
      <c r="TYI13" s="119"/>
      <c r="TYJ13" s="119"/>
      <c r="TYK13" s="119"/>
      <c r="TYL13" s="119"/>
      <c r="TYM13" s="119"/>
      <c r="TYN13" s="119"/>
      <c r="TYO13" s="119"/>
      <c r="TYP13" s="119"/>
      <c r="TYQ13" s="120"/>
      <c r="TYR13" s="120"/>
      <c r="TYS13" s="120"/>
      <c r="TYT13" s="59"/>
      <c r="TYU13" s="119"/>
      <c r="TYV13" s="119"/>
      <c r="TYW13" s="119"/>
      <c r="TYX13" s="119"/>
      <c r="TYY13" s="119"/>
      <c r="TYZ13" s="119"/>
      <c r="TZA13" s="119"/>
      <c r="TZB13" s="119"/>
      <c r="TZC13" s="119"/>
      <c r="TZD13" s="119"/>
      <c r="TZE13" s="119"/>
      <c r="TZF13" s="119"/>
      <c r="TZG13" s="120"/>
      <c r="TZH13" s="120"/>
      <c r="TZI13" s="120"/>
      <c r="TZJ13" s="59"/>
      <c r="TZK13" s="119"/>
      <c r="TZL13" s="119"/>
      <c r="TZM13" s="119"/>
      <c r="TZN13" s="119"/>
      <c r="TZO13" s="119"/>
      <c r="TZP13" s="119"/>
      <c r="TZQ13" s="119"/>
      <c r="TZR13" s="119"/>
      <c r="TZS13" s="119"/>
      <c r="TZT13" s="119"/>
      <c r="TZU13" s="119"/>
      <c r="TZV13" s="119"/>
      <c r="TZW13" s="120"/>
      <c r="TZX13" s="120"/>
      <c r="TZY13" s="120"/>
      <c r="TZZ13" s="59"/>
      <c r="UAA13" s="119"/>
      <c r="UAB13" s="119"/>
      <c r="UAC13" s="119"/>
      <c r="UAD13" s="119"/>
      <c r="UAE13" s="119"/>
      <c r="UAF13" s="119"/>
      <c r="UAG13" s="119"/>
      <c r="UAH13" s="119"/>
      <c r="UAI13" s="119"/>
      <c r="UAJ13" s="119"/>
      <c r="UAK13" s="119"/>
      <c r="UAL13" s="119"/>
      <c r="UAM13" s="120"/>
      <c r="UAN13" s="120"/>
      <c r="UAO13" s="120"/>
      <c r="UAP13" s="59"/>
      <c r="UAQ13" s="119"/>
      <c r="UAR13" s="119"/>
      <c r="UAS13" s="119"/>
      <c r="UAT13" s="119"/>
      <c r="UAU13" s="119"/>
      <c r="UAV13" s="119"/>
      <c r="UAW13" s="119"/>
      <c r="UAX13" s="119"/>
      <c r="UAY13" s="119"/>
      <c r="UAZ13" s="119"/>
      <c r="UBA13" s="119"/>
      <c r="UBB13" s="119"/>
      <c r="UBC13" s="120"/>
      <c r="UBD13" s="120"/>
      <c r="UBE13" s="120"/>
      <c r="UBF13" s="59"/>
      <c r="UBG13" s="119"/>
      <c r="UBH13" s="119"/>
      <c r="UBI13" s="119"/>
      <c r="UBJ13" s="119"/>
      <c r="UBK13" s="119"/>
      <c r="UBL13" s="119"/>
      <c r="UBM13" s="119"/>
      <c r="UBN13" s="119"/>
      <c r="UBO13" s="119"/>
      <c r="UBP13" s="119"/>
      <c r="UBQ13" s="119"/>
      <c r="UBR13" s="119"/>
      <c r="UBS13" s="120"/>
      <c r="UBT13" s="120"/>
      <c r="UBU13" s="120"/>
      <c r="UBV13" s="59"/>
      <c r="UBW13" s="119"/>
      <c r="UBX13" s="119"/>
      <c r="UBY13" s="119"/>
      <c r="UBZ13" s="119"/>
      <c r="UCA13" s="119"/>
      <c r="UCB13" s="119"/>
      <c r="UCC13" s="119"/>
      <c r="UCD13" s="119"/>
      <c r="UCE13" s="119"/>
      <c r="UCF13" s="119"/>
      <c r="UCG13" s="119"/>
      <c r="UCH13" s="119"/>
      <c r="UCI13" s="120"/>
      <c r="UCJ13" s="120"/>
      <c r="UCK13" s="120"/>
      <c r="UCL13" s="59"/>
      <c r="UCM13" s="119"/>
      <c r="UCN13" s="119"/>
      <c r="UCO13" s="119"/>
      <c r="UCP13" s="119"/>
      <c r="UCQ13" s="119"/>
      <c r="UCR13" s="119"/>
      <c r="UCS13" s="119"/>
      <c r="UCT13" s="119"/>
      <c r="UCU13" s="119"/>
      <c r="UCV13" s="119"/>
      <c r="UCW13" s="119"/>
      <c r="UCX13" s="119"/>
      <c r="UCY13" s="120"/>
      <c r="UCZ13" s="120"/>
      <c r="UDA13" s="120"/>
      <c r="UDB13" s="59"/>
      <c r="UDC13" s="119"/>
      <c r="UDD13" s="119"/>
      <c r="UDE13" s="119"/>
      <c r="UDF13" s="119"/>
      <c r="UDG13" s="119"/>
      <c r="UDH13" s="119"/>
      <c r="UDI13" s="119"/>
      <c r="UDJ13" s="119"/>
      <c r="UDK13" s="119"/>
      <c r="UDL13" s="119"/>
      <c r="UDM13" s="119"/>
      <c r="UDN13" s="119"/>
      <c r="UDO13" s="120"/>
      <c r="UDP13" s="120"/>
      <c r="UDQ13" s="120"/>
      <c r="UDR13" s="59"/>
      <c r="UDS13" s="119"/>
      <c r="UDT13" s="119"/>
      <c r="UDU13" s="119"/>
      <c r="UDV13" s="119"/>
      <c r="UDW13" s="119"/>
      <c r="UDX13" s="119"/>
      <c r="UDY13" s="119"/>
      <c r="UDZ13" s="119"/>
      <c r="UEA13" s="119"/>
      <c r="UEB13" s="119"/>
      <c r="UEC13" s="119"/>
      <c r="UED13" s="119"/>
      <c r="UEE13" s="120"/>
      <c r="UEF13" s="120"/>
      <c r="UEG13" s="120"/>
      <c r="UEH13" s="59"/>
      <c r="UEI13" s="119"/>
      <c r="UEJ13" s="119"/>
      <c r="UEK13" s="119"/>
      <c r="UEL13" s="119"/>
      <c r="UEM13" s="119"/>
      <c r="UEN13" s="119"/>
      <c r="UEO13" s="119"/>
      <c r="UEP13" s="119"/>
      <c r="UEQ13" s="119"/>
      <c r="UER13" s="119"/>
      <c r="UES13" s="119"/>
      <c r="UET13" s="119"/>
      <c r="UEU13" s="120"/>
      <c r="UEV13" s="120"/>
      <c r="UEW13" s="120"/>
      <c r="UEX13" s="59"/>
      <c r="UEY13" s="119"/>
      <c r="UEZ13" s="119"/>
      <c r="UFA13" s="119"/>
      <c r="UFB13" s="119"/>
      <c r="UFC13" s="119"/>
      <c r="UFD13" s="119"/>
      <c r="UFE13" s="119"/>
      <c r="UFF13" s="119"/>
      <c r="UFG13" s="119"/>
      <c r="UFH13" s="119"/>
      <c r="UFI13" s="119"/>
      <c r="UFJ13" s="119"/>
      <c r="UFK13" s="120"/>
      <c r="UFL13" s="120"/>
      <c r="UFM13" s="120"/>
      <c r="UFN13" s="59"/>
      <c r="UFO13" s="119"/>
      <c r="UFP13" s="119"/>
      <c r="UFQ13" s="119"/>
      <c r="UFR13" s="119"/>
      <c r="UFS13" s="119"/>
      <c r="UFT13" s="119"/>
      <c r="UFU13" s="119"/>
      <c r="UFV13" s="119"/>
      <c r="UFW13" s="119"/>
      <c r="UFX13" s="119"/>
      <c r="UFY13" s="119"/>
      <c r="UFZ13" s="119"/>
      <c r="UGA13" s="120"/>
      <c r="UGB13" s="120"/>
      <c r="UGC13" s="120"/>
      <c r="UGD13" s="59"/>
      <c r="UGE13" s="119"/>
      <c r="UGF13" s="119"/>
      <c r="UGG13" s="119"/>
      <c r="UGH13" s="119"/>
      <c r="UGI13" s="119"/>
      <c r="UGJ13" s="119"/>
      <c r="UGK13" s="119"/>
      <c r="UGL13" s="119"/>
      <c r="UGM13" s="119"/>
      <c r="UGN13" s="119"/>
      <c r="UGO13" s="119"/>
      <c r="UGP13" s="119"/>
      <c r="UGQ13" s="120"/>
      <c r="UGR13" s="120"/>
      <c r="UGS13" s="120"/>
      <c r="UGT13" s="59"/>
      <c r="UGU13" s="119"/>
      <c r="UGV13" s="119"/>
      <c r="UGW13" s="119"/>
      <c r="UGX13" s="119"/>
      <c r="UGY13" s="119"/>
      <c r="UGZ13" s="119"/>
      <c r="UHA13" s="119"/>
      <c r="UHB13" s="119"/>
      <c r="UHC13" s="119"/>
      <c r="UHD13" s="119"/>
      <c r="UHE13" s="119"/>
      <c r="UHF13" s="119"/>
      <c r="UHG13" s="120"/>
      <c r="UHH13" s="120"/>
      <c r="UHI13" s="120"/>
      <c r="UHJ13" s="59"/>
      <c r="UHK13" s="119"/>
      <c r="UHL13" s="119"/>
      <c r="UHM13" s="119"/>
      <c r="UHN13" s="119"/>
      <c r="UHO13" s="119"/>
      <c r="UHP13" s="119"/>
      <c r="UHQ13" s="119"/>
      <c r="UHR13" s="119"/>
      <c r="UHS13" s="119"/>
      <c r="UHT13" s="119"/>
      <c r="UHU13" s="119"/>
      <c r="UHV13" s="119"/>
      <c r="UHW13" s="120"/>
      <c r="UHX13" s="120"/>
      <c r="UHY13" s="120"/>
      <c r="UHZ13" s="59"/>
      <c r="UIA13" s="119"/>
      <c r="UIB13" s="119"/>
      <c r="UIC13" s="119"/>
      <c r="UID13" s="119"/>
      <c r="UIE13" s="119"/>
      <c r="UIF13" s="119"/>
      <c r="UIG13" s="119"/>
      <c r="UIH13" s="119"/>
      <c r="UII13" s="119"/>
      <c r="UIJ13" s="119"/>
      <c r="UIK13" s="119"/>
      <c r="UIL13" s="119"/>
      <c r="UIM13" s="120"/>
      <c r="UIN13" s="120"/>
      <c r="UIO13" s="120"/>
      <c r="UIP13" s="59"/>
      <c r="UIQ13" s="119"/>
      <c r="UIR13" s="119"/>
      <c r="UIS13" s="119"/>
      <c r="UIT13" s="119"/>
      <c r="UIU13" s="119"/>
      <c r="UIV13" s="119"/>
      <c r="UIW13" s="119"/>
      <c r="UIX13" s="119"/>
      <c r="UIY13" s="119"/>
      <c r="UIZ13" s="119"/>
      <c r="UJA13" s="119"/>
      <c r="UJB13" s="119"/>
      <c r="UJC13" s="120"/>
      <c r="UJD13" s="120"/>
      <c r="UJE13" s="120"/>
      <c r="UJF13" s="59"/>
      <c r="UJG13" s="119"/>
      <c r="UJH13" s="119"/>
      <c r="UJI13" s="119"/>
      <c r="UJJ13" s="119"/>
      <c r="UJK13" s="119"/>
      <c r="UJL13" s="119"/>
      <c r="UJM13" s="119"/>
      <c r="UJN13" s="119"/>
      <c r="UJO13" s="119"/>
      <c r="UJP13" s="119"/>
      <c r="UJQ13" s="119"/>
      <c r="UJR13" s="119"/>
      <c r="UJS13" s="120"/>
      <c r="UJT13" s="120"/>
      <c r="UJU13" s="120"/>
      <c r="UJV13" s="59"/>
      <c r="UJW13" s="119"/>
      <c r="UJX13" s="119"/>
      <c r="UJY13" s="119"/>
      <c r="UJZ13" s="119"/>
      <c r="UKA13" s="119"/>
      <c r="UKB13" s="119"/>
      <c r="UKC13" s="119"/>
      <c r="UKD13" s="119"/>
      <c r="UKE13" s="119"/>
      <c r="UKF13" s="119"/>
      <c r="UKG13" s="119"/>
      <c r="UKH13" s="119"/>
      <c r="UKI13" s="120"/>
      <c r="UKJ13" s="120"/>
      <c r="UKK13" s="120"/>
      <c r="UKL13" s="59"/>
      <c r="UKM13" s="119"/>
      <c r="UKN13" s="119"/>
      <c r="UKO13" s="119"/>
      <c r="UKP13" s="119"/>
      <c r="UKQ13" s="119"/>
      <c r="UKR13" s="119"/>
      <c r="UKS13" s="119"/>
      <c r="UKT13" s="119"/>
      <c r="UKU13" s="119"/>
      <c r="UKV13" s="119"/>
      <c r="UKW13" s="119"/>
      <c r="UKX13" s="119"/>
      <c r="UKY13" s="120"/>
      <c r="UKZ13" s="120"/>
      <c r="ULA13" s="120"/>
      <c r="ULB13" s="59"/>
      <c r="ULC13" s="119"/>
      <c r="ULD13" s="119"/>
      <c r="ULE13" s="119"/>
      <c r="ULF13" s="119"/>
      <c r="ULG13" s="119"/>
      <c r="ULH13" s="119"/>
      <c r="ULI13" s="119"/>
      <c r="ULJ13" s="119"/>
      <c r="ULK13" s="119"/>
      <c r="ULL13" s="119"/>
      <c r="ULM13" s="119"/>
      <c r="ULN13" s="119"/>
      <c r="ULO13" s="120"/>
      <c r="ULP13" s="120"/>
      <c r="ULQ13" s="120"/>
      <c r="ULR13" s="59"/>
      <c r="ULS13" s="119"/>
      <c r="ULT13" s="119"/>
      <c r="ULU13" s="119"/>
      <c r="ULV13" s="119"/>
      <c r="ULW13" s="119"/>
      <c r="ULX13" s="119"/>
      <c r="ULY13" s="119"/>
      <c r="ULZ13" s="119"/>
      <c r="UMA13" s="119"/>
      <c r="UMB13" s="119"/>
      <c r="UMC13" s="119"/>
      <c r="UMD13" s="119"/>
      <c r="UME13" s="120"/>
      <c r="UMF13" s="120"/>
      <c r="UMG13" s="120"/>
      <c r="UMH13" s="59"/>
      <c r="UMI13" s="119"/>
      <c r="UMJ13" s="119"/>
      <c r="UMK13" s="119"/>
      <c r="UML13" s="119"/>
      <c r="UMM13" s="119"/>
      <c r="UMN13" s="119"/>
      <c r="UMO13" s="119"/>
      <c r="UMP13" s="119"/>
      <c r="UMQ13" s="119"/>
      <c r="UMR13" s="119"/>
      <c r="UMS13" s="119"/>
      <c r="UMT13" s="119"/>
      <c r="UMU13" s="120"/>
      <c r="UMV13" s="120"/>
      <c r="UMW13" s="120"/>
      <c r="UMX13" s="59"/>
      <c r="UMY13" s="119"/>
      <c r="UMZ13" s="119"/>
      <c r="UNA13" s="119"/>
      <c r="UNB13" s="119"/>
      <c r="UNC13" s="119"/>
      <c r="UND13" s="119"/>
      <c r="UNE13" s="119"/>
      <c r="UNF13" s="119"/>
      <c r="UNG13" s="119"/>
      <c r="UNH13" s="119"/>
      <c r="UNI13" s="119"/>
      <c r="UNJ13" s="119"/>
      <c r="UNK13" s="120"/>
      <c r="UNL13" s="120"/>
      <c r="UNM13" s="120"/>
      <c r="UNN13" s="59"/>
      <c r="UNO13" s="119"/>
      <c r="UNP13" s="119"/>
      <c r="UNQ13" s="119"/>
      <c r="UNR13" s="119"/>
      <c r="UNS13" s="119"/>
      <c r="UNT13" s="119"/>
      <c r="UNU13" s="119"/>
      <c r="UNV13" s="119"/>
      <c r="UNW13" s="119"/>
      <c r="UNX13" s="119"/>
      <c r="UNY13" s="119"/>
      <c r="UNZ13" s="119"/>
      <c r="UOA13" s="120"/>
      <c r="UOB13" s="120"/>
      <c r="UOC13" s="120"/>
      <c r="UOD13" s="59"/>
      <c r="UOE13" s="119"/>
      <c r="UOF13" s="119"/>
      <c r="UOG13" s="119"/>
      <c r="UOH13" s="119"/>
      <c r="UOI13" s="119"/>
      <c r="UOJ13" s="119"/>
      <c r="UOK13" s="119"/>
      <c r="UOL13" s="119"/>
      <c r="UOM13" s="119"/>
      <c r="UON13" s="119"/>
      <c r="UOO13" s="119"/>
      <c r="UOP13" s="119"/>
      <c r="UOQ13" s="120"/>
      <c r="UOR13" s="120"/>
      <c r="UOS13" s="120"/>
      <c r="UOT13" s="59"/>
      <c r="UOU13" s="119"/>
      <c r="UOV13" s="119"/>
      <c r="UOW13" s="119"/>
      <c r="UOX13" s="119"/>
      <c r="UOY13" s="119"/>
      <c r="UOZ13" s="119"/>
      <c r="UPA13" s="119"/>
      <c r="UPB13" s="119"/>
      <c r="UPC13" s="119"/>
      <c r="UPD13" s="119"/>
      <c r="UPE13" s="119"/>
      <c r="UPF13" s="119"/>
      <c r="UPG13" s="120"/>
      <c r="UPH13" s="120"/>
      <c r="UPI13" s="120"/>
      <c r="UPJ13" s="59"/>
      <c r="UPK13" s="119"/>
      <c r="UPL13" s="119"/>
      <c r="UPM13" s="119"/>
      <c r="UPN13" s="119"/>
      <c r="UPO13" s="119"/>
      <c r="UPP13" s="119"/>
      <c r="UPQ13" s="119"/>
      <c r="UPR13" s="119"/>
      <c r="UPS13" s="119"/>
      <c r="UPT13" s="119"/>
      <c r="UPU13" s="119"/>
      <c r="UPV13" s="119"/>
      <c r="UPW13" s="120"/>
      <c r="UPX13" s="120"/>
      <c r="UPY13" s="120"/>
      <c r="UPZ13" s="59"/>
      <c r="UQA13" s="119"/>
      <c r="UQB13" s="119"/>
      <c r="UQC13" s="119"/>
      <c r="UQD13" s="119"/>
      <c r="UQE13" s="119"/>
      <c r="UQF13" s="119"/>
      <c r="UQG13" s="119"/>
      <c r="UQH13" s="119"/>
      <c r="UQI13" s="119"/>
      <c r="UQJ13" s="119"/>
      <c r="UQK13" s="119"/>
      <c r="UQL13" s="119"/>
      <c r="UQM13" s="120"/>
      <c r="UQN13" s="120"/>
      <c r="UQO13" s="120"/>
      <c r="UQP13" s="59"/>
      <c r="UQQ13" s="119"/>
      <c r="UQR13" s="119"/>
      <c r="UQS13" s="119"/>
      <c r="UQT13" s="119"/>
      <c r="UQU13" s="119"/>
      <c r="UQV13" s="119"/>
      <c r="UQW13" s="119"/>
      <c r="UQX13" s="119"/>
      <c r="UQY13" s="119"/>
      <c r="UQZ13" s="119"/>
      <c r="URA13" s="119"/>
      <c r="URB13" s="119"/>
      <c r="URC13" s="120"/>
      <c r="URD13" s="120"/>
      <c r="URE13" s="120"/>
      <c r="URF13" s="59"/>
      <c r="URG13" s="119"/>
      <c r="URH13" s="119"/>
      <c r="URI13" s="119"/>
      <c r="URJ13" s="119"/>
      <c r="URK13" s="119"/>
      <c r="URL13" s="119"/>
      <c r="URM13" s="119"/>
      <c r="URN13" s="119"/>
      <c r="URO13" s="119"/>
      <c r="URP13" s="119"/>
      <c r="URQ13" s="119"/>
      <c r="URR13" s="119"/>
      <c r="URS13" s="120"/>
      <c r="URT13" s="120"/>
      <c r="URU13" s="120"/>
      <c r="URV13" s="59"/>
      <c r="URW13" s="119"/>
      <c r="URX13" s="119"/>
      <c r="URY13" s="119"/>
      <c r="URZ13" s="119"/>
      <c r="USA13" s="119"/>
      <c r="USB13" s="119"/>
      <c r="USC13" s="119"/>
      <c r="USD13" s="119"/>
      <c r="USE13" s="119"/>
      <c r="USF13" s="119"/>
      <c r="USG13" s="119"/>
      <c r="USH13" s="119"/>
      <c r="USI13" s="120"/>
      <c r="USJ13" s="120"/>
      <c r="USK13" s="120"/>
      <c r="USL13" s="59"/>
      <c r="USM13" s="119"/>
      <c r="USN13" s="119"/>
      <c r="USO13" s="119"/>
      <c r="USP13" s="119"/>
      <c r="USQ13" s="119"/>
      <c r="USR13" s="119"/>
      <c r="USS13" s="119"/>
      <c r="UST13" s="119"/>
      <c r="USU13" s="119"/>
      <c r="USV13" s="119"/>
      <c r="USW13" s="119"/>
      <c r="USX13" s="119"/>
      <c r="USY13" s="120"/>
      <c r="USZ13" s="120"/>
      <c r="UTA13" s="120"/>
      <c r="UTB13" s="59"/>
      <c r="UTC13" s="119"/>
      <c r="UTD13" s="119"/>
      <c r="UTE13" s="119"/>
      <c r="UTF13" s="119"/>
      <c r="UTG13" s="119"/>
      <c r="UTH13" s="119"/>
      <c r="UTI13" s="119"/>
      <c r="UTJ13" s="119"/>
      <c r="UTK13" s="119"/>
      <c r="UTL13" s="119"/>
      <c r="UTM13" s="119"/>
      <c r="UTN13" s="119"/>
      <c r="UTO13" s="120"/>
      <c r="UTP13" s="120"/>
      <c r="UTQ13" s="120"/>
      <c r="UTR13" s="59"/>
      <c r="UTS13" s="119"/>
      <c r="UTT13" s="119"/>
      <c r="UTU13" s="119"/>
      <c r="UTV13" s="119"/>
      <c r="UTW13" s="119"/>
      <c r="UTX13" s="119"/>
      <c r="UTY13" s="119"/>
      <c r="UTZ13" s="119"/>
      <c r="UUA13" s="119"/>
      <c r="UUB13" s="119"/>
      <c r="UUC13" s="119"/>
      <c r="UUD13" s="119"/>
      <c r="UUE13" s="120"/>
      <c r="UUF13" s="120"/>
      <c r="UUG13" s="120"/>
      <c r="UUH13" s="59"/>
      <c r="UUI13" s="119"/>
      <c r="UUJ13" s="119"/>
      <c r="UUK13" s="119"/>
      <c r="UUL13" s="119"/>
      <c r="UUM13" s="119"/>
      <c r="UUN13" s="119"/>
      <c r="UUO13" s="119"/>
      <c r="UUP13" s="119"/>
      <c r="UUQ13" s="119"/>
      <c r="UUR13" s="119"/>
      <c r="UUS13" s="119"/>
      <c r="UUT13" s="119"/>
      <c r="UUU13" s="120"/>
      <c r="UUV13" s="120"/>
      <c r="UUW13" s="120"/>
      <c r="UUX13" s="59"/>
      <c r="UUY13" s="119"/>
      <c r="UUZ13" s="119"/>
      <c r="UVA13" s="119"/>
      <c r="UVB13" s="119"/>
      <c r="UVC13" s="119"/>
      <c r="UVD13" s="119"/>
      <c r="UVE13" s="119"/>
      <c r="UVF13" s="119"/>
      <c r="UVG13" s="119"/>
      <c r="UVH13" s="119"/>
      <c r="UVI13" s="119"/>
      <c r="UVJ13" s="119"/>
      <c r="UVK13" s="120"/>
      <c r="UVL13" s="120"/>
      <c r="UVM13" s="120"/>
      <c r="UVN13" s="59"/>
      <c r="UVO13" s="119"/>
      <c r="UVP13" s="119"/>
      <c r="UVQ13" s="119"/>
      <c r="UVR13" s="119"/>
      <c r="UVS13" s="119"/>
      <c r="UVT13" s="119"/>
      <c r="UVU13" s="119"/>
      <c r="UVV13" s="119"/>
      <c r="UVW13" s="119"/>
      <c r="UVX13" s="119"/>
      <c r="UVY13" s="119"/>
      <c r="UVZ13" s="119"/>
      <c r="UWA13" s="120"/>
      <c r="UWB13" s="120"/>
      <c r="UWC13" s="120"/>
      <c r="UWD13" s="59"/>
      <c r="UWE13" s="119"/>
      <c r="UWF13" s="119"/>
      <c r="UWG13" s="119"/>
      <c r="UWH13" s="119"/>
      <c r="UWI13" s="119"/>
      <c r="UWJ13" s="119"/>
      <c r="UWK13" s="119"/>
      <c r="UWL13" s="119"/>
      <c r="UWM13" s="119"/>
      <c r="UWN13" s="119"/>
      <c r="UWO13" s="119"/>
      <c r="UWP13" s="119"/>
      <c r="UWQ13" s="120"/>
      <c r="UWR13" s="120"/>
      <c r="UWS13" s="120"/>
      <c r="UWT13" s="59"/>
      <c r="UWU13" s="119"/>
      <c r="UWV13" s="119"/>
      <c r="UWW13" s="119"/>
      <c r="UWX13" s="119"/>
      <c r="UWY13" s="119"/>
      <c r="UWZ13" s="119"/>
      <c r="UXA13" s="119"/>
      <c r="UXB13" s="119"/>
      <c r="UXC13" s="119"/>
      <c r="UXD13" s="119"/>
      <c r="UXE13" s="119"/>
      <c r="UXF13" s="119"/>
      <c r="UXG13" s="120"/>
      <c r="UXH13" s="120"/>
      <c r="UXI13" s="120"/>
      <c r="UXJ13" s="59"/>
      <c r="UXK13" s="119"/>
      <c r="UXL13" s="119"/>
      <c r="UXM13" s="119"/>
      <c r="UXN13" s="119"/>
      <c r="UXO13" s="119"/>
      <c r="UXP13" s="119"/>
      <c r="UXQ13" s="119"/>
      <c r="UXR13" s="119"/>
      <c r="UXS13" s="119"/>
      <c r="UXT13" s="119"/>
      <c r="UXU13" s="119"/>
      <c r="UXV13" s="119"/>
      <c r="UXW13" s="120"/>
      <c r="UXX13" s="120"/>
      <c r="UXY13" s="120"/>
      <c r="UXZ13" s="59"/>
      <c r="UYA13" s="119"/>
      <c r="UYB13" s="119"/>
      <c r="UYC13" s="119"/>
      <c r="UYD13" s="119"/>
      <c r="UYE13" s="119"/>
      <c r="UYF13" s="119"/>
      <c r="UYG13" s="119"/>
      <c r="UYH13" s="119"/>
      <c r="UYI13" s="119"/>
      <c r="UYJ13" s="119"/>
      <c r="UYK13" s="119"/>
      <c r="UYL13" s="119"/>
      <c r="UYM13" s="120"/>
      <c r="UYN13" s="120"/>
      <c r="UYO13" s="120"/>
      <c r="UYP13" s="59"/>
      <c r="UYQ13" s="119"/>
      <c r="UYR13" s="119"/>
      <c r="UYS13" s="119"/>
      <c r="UYT13" s="119"/>
      <c r="UYU13" s="119"/>
      <c r="UYV13" s="119"/>
      <c r="UYW13" s="119"/>
      <c r="UYX13" s="119"/>
      <c r="UYY13" s="119"/>
      <c r="UYZ13" s="119"/>
      <c r="UZA13" s="119"/>
      <c r="UZB13" s="119"/>
      <c r="UZC13" s="120"/>
      <c r="UZD13" s="120"/>
      <c r="UZE13" s="120"/>
      <c r="UZF13" s="59"/>
      <c r="UZG13" s="119"/>
      <c r="UZH13" s="119"/>
      <c r="UZI13" s="119"/>
      <c r="UZJ13" s="119"/>
      <c r="UZK13" s="119"/>
      <c r="UZL13" s="119"/>
      <c r="UZM13" s="119"/>
      <c r="UZN13" s="119"/>
      <c r="UZO13" s="119"/>
      <c r="UZP13" s="119"/>
      <c r="UZQ13" s="119"/>
      <c r="UZR13" s="119"/>
      <c r="UZS13" s="120"/>
      <c r="UZT13" s="120"/>
      <c r="UZU13" s="120"/>
      <c r="UZV13" s="59"/>
      <c r="UZW13" s="119"/>
      <c r="UZX13" s="119"/>
      <c r="UZY13" s="119"/>
      <c r="UZZ13" s="119"/>
      <c r="VAA13" s="119"/>
      <c r="VAB13" s="119"/>
      <c r="VAC13" s="119"/>
      <c r="VAD13" s="119"/>
      <c r="VAE13" s="119"/>
      <c r="VAF13" s="119"/>
      <c r="VAG13" s="119"/>
      <c r="VAH13" s="119"/>
      <c r="VAI13" s="120"/>
      <c r="VAJ13" s="120"/>
      <c r="VAK13" s="120"/>
      <c r="VAL13" s="59"/>
      <c r="VAM13" s="119"/>
      <c r="VAN13" s="119"/>
      <c r="VAO13" s="119"/>
      <c r="VAP13" s="119"/>
      <c r="VAQ13" s="119"/>
      <c r="VAR13" s="119"/>
      <c r="VAS13" s="119"/>
      <c r="VAT13" s="119"/>
      <c r="VAU13" s="119"/>
      <c r="VAV13" s="119"/>
      <c r="VAW13" s="119"/>
      <c r="VAX13" s="119"/>
      <c r="VAY13" s="120"/>
      <c r="VAZ13" s="120"/>
      <c r="VBA13" s="120"/>
      <c r="VBB13" s="59"/>
      <c r="VBC13" s="119"/>
      <c r="VBD13" s="119"/>
      <c r="VBE13" s="119"/>
      <c r="VBF13" s="119"/>
      <c r="VBG13" s="119"/>
      <c r="VBH13" s="119"/>
      <c r="VBI13" s="119"/>
      <c r="VBJ13" s="119"/>
      <c r="VBK13" s="119"/>
      <c r="VBL13" s="119"/>
      <c r="VBM13" s="119"/>
      <c r="VBN13" s="119"/>
      <c r="VBO13" s="120"/>
      <c r="VBP13" s="120"/>
      <c r="VBQ13" s="120"/>
      <c r="VBR13" s="59"/>
      <c r="VBS13" s="119"/>
      <c r="VBT13" s="119"/>
      <c r="VBU13" s="119"/>
      <c r="VBV13" s="119"/>
      <c r="VBW13" s="119"/>
      <c r="VBX13" s="119"/>
      <c r="VBY13" s="119"/>
      <c r="VBZ13" s="119"/>
      <c r="VCA13" s="119"/>
      <c r="VCB13" s="119"/>
      <c r="VCC13" s="119"/>
      <c r="VCD13" s="119"/>
      <c r="VCE13" s="120"/>
      <c r="VCF13" s="120"/>
      <c r="VCG13" s="120"/>
      <c r="VCH13" s="59"/>
      <c r="VCI13" s="119"/>
      <c r="VCJ13" s="119"/>
      <c r="VCK13" s="119"/>
      <c r="VCL13" s="119"/>
      <c r="VCM13" s="119"/>
      <c r="VCN13" s="119"/>
      <c r="VCO13" s="119"/>
      <c r="VCP13" s="119"/>
      <c r="VCQ13" s="119"/>
      <c r="VCR13" s="119"/>
      <c r="VCS13" s="119"/>
      <c r="VCT13" s="119"/>
      <c r="VCU13" s="120"/>
      <c r="VCV13" s="120"/>
      <c r="VCW13" s="120"/>
      <c r="VCX13" s="59"/>
      <c r="VCY13" s="119"/>
      <c r="VCZ13" s="119"/>
      <c r="VDA13" s="119"/>
      <c r="VDB13" s="119"/>
      <c r="VDC13" s="119"/>
      <c r="VDD13" s="119"/>
      <c r="VDE13" s="119"/>
      <c r="VDF13" s="119"/>
      <c r="VDG13" s="119"/>
      <c r="VDH13" s="119"/>
      <c r="VDI13" s="119"/>
      <c r="VDJ13" s="119"/>
      <c r="VDK13" s="120"/>
      <c r="VDL13" s="120"/>
      <c r="VDM13" s="120"/>
      <c r="VDN13" s="59"/>
      <c r="VDO13" s="119"/>
      <c r="VDP13" s="119"/>
      <c r="VDQ13" s="119"/>
      <c r="VDR13" s="119"/>
      <c r="VDS13" s="119"/>
      <c r="VDT13" s="119"/>
      <c r="VDU13" s="119"/>
      <c r="VDV13" s="119"/>
      <c r="VDW13" s="119"/>
      <c r="VDX13" s="119"/>
      <c r="VDY13" s="119"/>
      <c r="VDZ13" s="119"/>
      <c r="VEA13" s="120"/>
      <c r="VEB13" s="120"/>
      <c r="VEC13" s="120"/>
      <c r="VED13" s="59"/>
      <c r="VEE13" s="119"/>
      <c r="VEF13" s="119"/>
      <c r="VEG13" s="119"/>
      <c r="VEH13" s="119"/>
      <c r="VEI13" s="119"/>
      <c r="VEJ13" s="119"/>
      <c r="VEK13" s="119"/>
      <c r="VEL13" s="119"/>
      <c r="VEM13" s="119"/>
      <c r="VEN13" s="119"/>
      <c r="VEO13" s="119"/>
      <c r="VEP13" s="119"/>
      <c r="VEQ13" s="120"/>
      <c r="VER13" s="120"/>
      <c r="VES13" s="120"/>
      <c r="VET13" s="59"/>
      <c r="VEU13" s="119"/>
      <c r="VEV13" s="119"/>
      <c r="VEW13" s="119"/>
      <c r="VEX13" s="119"/>
      <c r="VEY13" s="119"/>
      <c r="VEZ13" s="119"/>
      <c r="VFA13" s="119"/>
      <c r="VFB13" s="119"/>
      <c r="VFC13" s="119"/>
      <c r="VFD13" s="119"/>
      <c r="VFE13" s="119"/>
      <c r="VFF13" s="119"/>
      <c r="VFG13" s="120"/>
      <c r="VFH13" s="120"/>
      <c r="VFI13" s="120"/>
      <c r="VFJ13" s="59"/>
      <c r="VFK13" s="119"/>
      <c r="VFL13" s="119"/>
      <c r="VFM13" s="119"/>
      <c r="VFN13" s="119"/>
      <c r="VFO13" s="119"/>
      <c r="VFP13" s="119"/>
      <c r="VFQ13" s="119"/>
      <c r="VFR13" s="119"/>
      <c r="VFS13" s="119"/>
      <c r="VFT13" s="119"/>
      <c r="VFU13" s="119"/>
      <c r="VFV13" s="119"/>
      <c r="VFW13" s="120"/>
      <c r="VFX13" s="120"/>
      <c r="VFY13" s="120"/>
      <c r="VFZ13" s="59"/>
      <c r="VGA13" s="119"/>
      <c r="VGB13" s="119"/>
      <c r="VGC13" s="119"/>
      <c r="VGD13" s="119"/>
      <c r="VGE13" s="119"/>
      <c r="VGF13" s="119"/>
      <c r="VGG13" s="119"/>
      <c r="VGH13" s="119"/>
      <c r="VGI13" s="119"/>
      <c r="VGJ13" s="119"/>
      <c r="VGK13" s="119"/>
      <c r="VGL13" s="119"/>
      <c r="VGM13" s="120"/>
      <c r="VGN13" s="120"/>
      <c r="VGO13" s="120"/>
      <c r="VGP13" s="59"/>
      <c r="VGQ13" s="119"/>
      <c r="VGR13" s="119"/>
      <c r="VGS13" s="119"/>
      <c r="VGT13" s="119"/>
      <c r="VGU13" s="119"/>
      <c r="VGV13" s="119"/>
      <c r="VGW13" s="119"/>
      <c r="VGX13" s="119"/>
      <c r="VGY13" s="119"/>
      <c r="VGZ13" s="119"/>
      <c r="VHA13" s="119"/>
      <c r="VHB13" s="119"/>
      <c r="VHC13" s="120"/>
      <c r="VHD13" s="120"/>
      <c r="VHE13" s="120"/>
      <c r="VHF13" s="59"/>
      <c r="VHG13" s="119"/>
      <c r="VHH13" s="119"/>
      <c r="VHI13" s="119"/>
      <c r="VHJ13" s="119"/>
      <c r="VHK13" s="119"/>
      <c r="VHL13" s="119"/>
      <c r="VHM13" s="119"/>
      <c r="VHN13" s="119"/>
      <c r="VHO13" s="119"/>
      <c r="VHP13" s="119"/>
      <c r="VHQ13" s="119"/>
      <c r="VHR13" s="119"/>
      <c r="VHS13" s="120"/>
      <c r="VHT13" s="120"/>
      <c r="VHU13" s="120"/>
      <c r="VHV13" s="59"/>
      <c r="VHW13" s="119"/>
      <c r="VHX13" s="119"/>
      <c r="VHY13" s="119"/>
      <c r="VHZ13" s="119"/>
      <c r="VIA13" s="119"/>
      <c r="VIB13" s="119"/>
      <c r="VIC13" s="119"/>
      <c r="VID13" s="119"/>
      <c r="VIE13" s="119"/>
      <c r="VIF13" s="119"/>
      <c r="VIG13" s="119"/>
      <c r="VIH13" s="119"/>
      <c r="VII13" s="120"/>
      <c r="VIJ13" s="120"/>
      <c r="VIK13" s="120"/>
      <c r="VIL13" s="59"/>
      <c r="VIM13" s="119"/>
      <c r="VIN13" s="119"/>
      <c r="VIO13" s="119"/>
      <c r="VIP13" s="119"/>
      <c r="VIQ13" s="119"/>
      <c r="VIR13" s="119"/>
      <c r="VIS13" s="119"/>
      <c r="VIT13" s="119"/>
      <c r="VIU13" s="119"/>
      <c r="VIV13" s="119"/>
      <c r="VIW13" s="119"/>
      <c r="VIX13" s="119"/>
      <c r="VIY13" s="120"/>
      <c r="VIZ13" s="120"/>
      <c r="VJA13" s="120"/>
      <c r="VJB13" s="59"/>
      <c r="VJC13" s="119"/>
      <c r="VJD13" s="119"/>
      <c r="VJE13" s="119"/>
      <c r="VJF13" s="119"/>
      <c r="VJG13" s="119"/>
      <c r="VJH13" s="119"/>
      <c r="VJI13" s="119"/>
      <c r="VJJ13" s="119"/>
      <c r="VJK13" s="119"/>
      <c r="VJL13" s="119"/>
      <c r="VJM13" s="119"/>
      <c r="VJN13" s="119"/>
      <c r="VJO13" s="120"/>
      <c r="VJP13" s="120"/>
      <c r="VJQ13" s="120"/>
      <c r="VJR13" s="59"/>
      <c r="VJS13" s="119"/>
      <c r="VJT13" s="119"/>
      <c r="VJU13" s="119"/>
      <c r="VJV13" s="119"/>
      <c r="VJW13" s="119"/>
      <c r="VJX13" s="119"/>
      <c r="VJY13" s="119"/>
      <c r="VJZ13" s="119"/>
      <c r="VKA13" s="119"/>
      <c r="VKB13" s="119"/>
      <c r="VKC13" s="119"/>
      <c r="VKD13" s="119"/>
      <c r="VKE13" s="120"/>
      <c r="VKF13" s="120"/>
      <c r="VKG13" s="120"/>
      <c r="VKH13" s="59"/>
      <c r="VKI13" s="119"/>
      <c r="VKJ13" s="119"/>
      <c r="VKK13" s="119"/>
      <c r="VKL13" s="119"/>
      <c r="VKM13" s="119"/>
      <c r="VKN13" s="119"/>
      <c r="VKO13" s="119"/>
      <c r="VKP13" s="119"/>
      <c r="VKQ13" s="119"/>
      <c r="VKR13" s="119"/>
      <c r="VKS13" s="119"/>
      <c r="VKT13" s="119"/>
      <c r="VKU13" s="120"/>
      <c r="VKV13" s="120"/>
      <c r="VKW13" s="120"/>
      <c r="VKX13" s="59"/>
      <c r="VKY13" s="119"/>
      <c r="VKZ13" s="119"/>
      <c r="VLA13" s="119"/>
      <c r="VLB13" s="119"/>
      <c r="VLC13" s="119"/>
      <c r="VLD13" s="119"/>
      <c r="VLE13" s="119"/>
      <c r="VLF13" s="119"/>
      <c r="VLG13" s="119"/>
      <c r="VLH13" s="119"/>
      <c r="VLI13" s="119"/>
      <c r="VLJ13" s="119"/>
      <c r="VLK13" s="120"/>
      <c r="VLL13" s="120"/>
      <c r="VLM13" s="120"/>
      <c r="VLN13" s="59"/>
      <c r="VLO13" s="119"/>
      <c r="VLP13" s="119"/>
      <c r="VLQ13" s="119"/>
      <c r="VLR13" s="119"/>
      <c r="VLS13" s="119"/>
      <c r="VLT13" s="119"/>
      <c r="VLU13" s="119"/>
      <c r="VLV13" s="119"/>
      <c r="VLW13" s="119"/>
      <c r="VLX13" s="119"/>
      <c r="VLY13" s="119"/>
      <c r="VLZ13" s="119"/>
      <c r="VMA13" s="120"/>
      <c r="VMB13" s="120"/>
      <c r="VMC13" s="120"/>
      <c r="VMD13" s="59"/>
      <c r="VME13" s="119"/>
      <c r="VMF13" s="119"/>
      <c r="VMG13" s="119"/>
      <c r="VMH13" s="119"/>
      <c r="VMI13" s="119"/>
      <c r="VMJ13" s="119"/>
      <c r="VMK13" s="119"/>
      <c r="VML13" s="119"/>
      <c r="VMM13" s="119"/>
      <c r="VMN13" s="119"/>
      <c r="VMO13" s="119"/>
      <c r="VMP13" s="119"/>
      <c r="VMQ13" s="120"/>
      <c r="VMR13" s="120"/>
      <c r="VMS13" s="120"/>
      <c r="VMT13" s="59"/>
      <c r="VMU13" s="119"/>
      <c r="VMV13" s="119"/>
      <c r="VMW13" s="119"/>
      <c r="VMX13" s="119"/>
      <c r="VMY13" s="119"/>
      <c r="VMZ13" s="119"/>
      <c r="VNA13" s="119"/>
      <c r="VNB13" s="119"/>
      <c r="VNC13" s="119"/>
      <c r="VND13" s="119"/>
      <c r="VNE13" s="119"/>
      <c r="VNF13" s="119"/>
      <c r="VNG13" s="120"/>
      <c r="VNH13" s="120"/>
      <c r="VNI13" s="120"/>
      <c r="VNJ13" s="59"/>
      <c r="VNK13" s="119"/>
      <c r="VNL13" s="119"/>
      <c r="VNM13" s="119"/>
      <c r="VNN13" s="119"/>
      <c r="VNO13" s="119"/>
      <c r="VNP13" s="119"/>
      <c r="VNQ13" s="119"/>
      <c r="VNR13" s="119"/>
      <c r="VNS13" s="119"/>
      <c r="VNT13" s="119"/>
      <c r="VNU13" s="119"/>
      <c r="VNV13" s="119"/>
      <c r="VNW13" s="120"/>
      <c r="VNX13" s="120"/>
      <c r="VNY13" s="120"/>
      <c r="VNZ13" s="59"/>
      <c r="VOA13" s="119"/>
      <c r="VOB13" s="119"/>
      <c r="VOC13" s="119"/>
      <c r="VOD13" s="119"/>
      <c r="VOE13" s="119"/>
      <c r="VOF13" s="119"/>
      <c r="VOG13" s="119"/>
      <c r="VOH13" s="119"/>
      <c r="VOI13" s="119"/>
      <c r="VOJ13" s="119"/>
      <c r="VOK13" s="119"/>
      <c r="VOL13" s="119"/>
      <c r="VOM13" s="120"/>
      <c r="VON13" s="120"/>
      <c r="VOO13" s="120"/>
      <c r="VOP13" s="59"/>
      <c r="VOQ13" s="119"/>
      <c r="VOR13" s="119"/>
      <c r="VOS13" s="119"/>
      <c r="VOT13" s="119"/>
      <c r="VOU13" s="119"/>
      <c r="VOV13" s="119"/>
      <c r="VOW13" s="119"/>
      <c r="VOX13" s="119"/>
      <c r="VOY13" s="119"/>
      <c r="VOZ13" s="119"/>
      <c r="VPA13" s="119"/>
      <c r="VPB13" s="119"/>
      <c r="VPC13" s="120"/>
      <c r="VPD13" s="120"/>
      <c r="VPE13" s="120"/>
      <c r="VPF13" s="59"/>
      <c r="VPG13" s="119"/>
      <c r="VPH13" s="119"/>
      <c r="VPI13" s="119"/>
      <c r="VPJ13" s="119"/>
      <c r="VPK13" s="119"/>
      <c r="VPL13" s="119"/>
      <c r="VPM13" s="119"/>
      <c r="VPN13" s="119"/>
      <c r="VPO13" s="119"/>
      <c r="VPP13" s="119"/>
      <c r="VPQ13" s="119"/>
      <c r="VPR13" s="119"/>
      <c r="VPS13" s="120"/>
      <c r="VPT13" s="120"/>
      <c r="VPU13" s="120"/>
      <c r="VPV13" s="59"/>
      <c r="VPW13" s="119"/>
      <c r="VPX13" s="119"/>
      <c r="VPY13" s="119"/>
      <c r="VPZ13" s="119"/>
      <c r="VQA13" s="119"/>
      <c r="VQB13" s="119"/>
      <c r="VQC13" s="119"/>
      <c r="VQD13" s="119"/>
      <c r="VQE13" s="119"/>
      <c r="VQF13" s="119"/>
      <c r="VQG13" s="119"/>
      <c r="VQH13" s="119"/>
      <c r="VQI13" s="120"/>
      <c r="VQJ13" s="120"/>
      <c r="VQK13" s="120"/>
      <c r="VQL13" s="59"/>
      <c r="VQM13" s="119"/>
      <c r="VQN13" s="119"/>
      <c r="VQO13" s="119"/>
      <c r="VQP13" s="119"/>
      <c r="VQQ13" s="119"/>
      <c r="VQR13" s="119"/>
      <c r="VQS13" s="119"/>
      <c r="VQT13" s="119"/>
      <c r="VQU13" s="119"/>
      <c r="VQV13" s="119"/>
      <c r="VQW13" s="119"/>
      <c r="VQX13" s="119"/>
      <c r="VQY13" s="120"/>
      <c r="VQZ13" s="120"/>
      <c r="VRA13" s="120"/>
      <c r="VRB13" s="59"/>
      <c r="VRC13" s="119"/>
      <c r="VRD13" s="119"/>
      <c r="VRE13" s="119"/>
      <c r="VRF13" s="119"/>
      <c r="VRG13" s="119"/>
      <c r="VRH13" s="119"/>
      <c r="VRI13" s="119"/>
      <c r="VRJ13" s="119"/>
      <c r="VRK13" s="119"/>
      <c r="VRL13" s="119"/>
      <c r="VRM13" s="119"/>
      <c r="VRN13" s="119"/>
      <c r="VRO13" s="120"/>
      <c r="VRP13" s="120"/>
      <c r="VRQ13" s="120"/>
      <c r="VRR13" s="59"/>
      <c r="VRS13" s="119"/>
      <c r="VRT13" s="119"/>
      <c r="VRU13" s="119"/>
      <c r="VRV13" s="119"/>
      <c r="VRW13" s="119"/>
      <c r="VRX13" s="119"/>
      <c r="VRY13" s="119"/>
      <c r="VRZ13" s="119"/>
      <c r="VSA13" s="119"/>
      <c r="VSB13" s="119"/>
      <c r="VSC13" s="119"/>
      <c r="VSD13" s="119"/>
      <c r="VSE13" s="120"/>
      <c r="VSF13" s="120"/>
      <c r="VSG13" s="120"/>
      <c r="VSH13" s="59"/>
      <c r="VSI13" s="119"/>
      <c r="VSJ13" s="119"/>
      <c r="VSK13" s="119"/>
      <c r="VSL13" s="119"/>
      <c r="VSM13" s="119"/>
      <c r="VSN13" s="119"/>
      <c r="VSO13" s="119"/>
      <c r="VSP13" s="119"/>
      <c r="VSQ13" s="119"/>
      <c r="VSR13" s="119"/>
      <c r="VSS13" s="119"/>
      <c r="VST13" s="119"/>
      <c r="VSU13" s="120"/>
      <c r="VSV13" s="120"/>
      <c r="VSW13" s="120"/>
      <c r="VSX13" s="59"/>
      <c r="VSY13" s="119"/>
      <c r="VSZ13" s="119"/>
      <c r="VTA13" s="119"/>
      <c r="VTB13" s="119"/>
      <c r="VTC13" s="119"/>
      <c r="VTD13" s="119"/>
      <c r="VTE13" s="119"/>
      <c r="VTF13" s="119"/>
      <c r="VTG13" s="119"/>
      <c r="VTH13" s="119"/>
      <c r="VTI13" s="119"/>
      <c r="VTJ13" s="119"/>
      <c r="VTK13" s="120"/>
      <c r="VTL13" s="120"/>
      <c r="VTM13" s="120"/>
      <c r="VTN13" s="59"/>
      <c r="VTO13" s="119"/>
      <c r="VTP13" s="119"/>
      <c r="VTQ13" s="119"/>
      <c r="VTR13" s="119"/>
      <c r="VTS13" s="119"/>
      <c r="VTT13" s="119"/>
      <c r="VTU13" s="119"/>
      <c r="VTV13" s="119"/>
      <c r="VTW13" s="119"/>
      <c r="VTX13" s="119"/>
      <c r="VTY13" s="119"/>
      <c r="VTZ13" s="119"/>
      <c r="VUA13" s="120"/>
      <c r="VUB13" s="120"/>
      <c r="VUC13" s="120"/>
      <c r="VUD13" s="59"/>
      <c r="VUE13" s="119"/>
      <c r="VUF13" s="119"/>
      <c r="VUG13" s="119"/>
      <c r="VUH13" s="119"/>
      <c r="VUI13" s="119"/>
      <c r="VUJ13" s="119"/>
      <c r="VUK13" s="119"/>
      <c r="VUL13" s="119"/>
      <c r="VUM13" s="119"/>
      <c r="VUN13" s="119"/>
      <c r="VUO13" s="119"/>
      <c r="VUP13" s="119"/>
      <c r="VUQ13" s="120"/>
      <c r="VUR13" s="120"/>
      <c r="VUS13" s="120"/>
      <c r="VUT13" s="59"/>
      <c r="VUU13" s="119"/>
      <c r="VUV13" s="119"/>
      <c r="VUW13" s="119"/>
      <c r="VUX13" s="119"/>
      <c r="VUY13" s="119"/>
      <c r="VUZ13" s="119"/>
      <c r="VVA13" s="119"/>
      <c r="VVB13" s="119"/>
      <c r="VVC13" s="119"/>
      <c r="VVD13" s="119"/>
      <c r="VVE13" s="119"/>
      <c r="VVF13" s="119"/>
      <c r="VVG13" s="120"/>
      <c r="VVH13" s="120"/>
      <c r="VVI13" s="120"/>
      <c r="VVJ13" s="59"/>
      <c r="VVK13" s="119"/>
      <c r="VVL13" s="119"/>
      <c r="VVM13" s="119"/>
      <c r="VVN13" s="119"/>
      <c r="VVO13" s="119"/>
      <c r="VVP13" s="119"/>
      <c r="VVQ13" s="119"/>
      <c r="VVR13" s="119"/>
      <c r="VVS13" s="119"/>
      <c r="VVT13" s="119"/>
      <c r="VVU13" s="119"/>
      <c r="VVV13" s="119"/>
      <c r="VVW13" s="120"/>
      <c r="VVX13" s="120"/>
      <c r="VVY13" s="120"/>
      <c r="VVZ13" s="59"/>
      <c r="VWA13" s="119"/>
      <c r="VWB13" s="119"/>
      <c r="VWC13" s="119"/>
      <c r="VWD13" s="119"/>
      <c r="VWE13" s="119"/>
      <c r="VWF13" s="119"/>
      <c r="VWG13" s="119"/>
      <c r="VWH13" s="119"/>
      <c r="VWI13" s="119"/>
      <c r="VWJ13" s="119"/>
      <c r="VWK13" s="119"/>
      <c r="VWL13" s="119"/>
      <c r="VWM13" s="120"/>
      <c r="VWN13" s="120"/>
      <c r="VWO13" s="120"/>
      <c r="VWP13" s="59"/>
      <c r="VWQ13" s="119"/>
      <c r="VWR13" s="119"/>
      <c r="VWS13" s="119"/>
      <c r="VWT13" s="119"/>
      <c r="VWU13" s="119"/>
      <c r="VWV13" s="119"/>
      <c r="VWW13" s="119"/>
      <c r="VWX13" s="119"/>
      <c r="VWY13" s="119"/>
      <c r="VWZ13" s="119"/>
      <c r="VXA13" s="119"/>
      <c r="VXB13" s="119"/>
      <c r="VXC13" s="120"/>
      <c r="VXD13" s="120"/>
      <c r="VXE13" s="120"/>
      <c r="VXF13" s="59"/>
      <c r="VXG13" s="119"/>
      <c r="VXH13" s="119"/>
      <c r="VXI13" s="119"/>
      <c r="VXJ13" s="119"/>
      <c r="VXK13" s="119"/>
      <c r="VXL13" s="119"/>
      <c r="VXM13" s="119"/>
      <c r="VXN13" s="119"/>
      <c r="VXO13" s="119"/>
      <c r="VXP13" s="119"/>
      <c r="VXQ13" s="119"/>
      <c r="VXR13" s="119"/>
      <c r="VXS13" s="120"/>
      <c r="VXT13" s="120"/>
      <c r="VXU13" s="120"/>
      <c r="VXV13" s="59"/>
      <c r="VXW13" s="119"/>
      <c r="VXX13" s="119"/>
      <c r="VXY13" s="119"/>
      <c r="VXZ13" s="119"/>
      <c r="VYA13" s="119"/>
      <c r="VYB13" s="119"/>
      <c r="VYC13" s="119"/>
      <c r="VYD13" s="119"/>
      <c r="VYE13" s="119"/>
      <c r="VYF13" s="119"/>
      <c r="VYG13" s="119"/>
      <c r="VYH13" s="119"/>
      <c r="VYI13" s="120"/>
      <c r="VYJ13" s="120"/>
      <c r="VYK13" s="120"/>
      <c r="VYL13" s="59"/>
      <c r="VYM13" s="119"/>
      <c r="VYN13" s="119"/>
      <c r="VYO13" s="119"/>
      <c r="VYP13" s="119"/>
      <c r="VYQ13" s="119"/>
      <c r="VYR13" s="119"/>
      <c r="VYS13" s="119"/>
      <c r="VYT13" s="119"/>
      <c r="VYU13" s="119"/>
      <c r="VYV13" s="119"/>
      <c r="VYW13" s="119"/>
      <c r="VYX13" s="119"/>
      <c r="VYY13" s="120"/>
      <c r="VYZ13" s="120"/>
      <c r="VZA13" s="120"/>
      <c r="VZB13" s="59"/>
      <c r="VZC13" s="119"/>
      <c r="VZD13" s="119"/>
      <c r="VZE13" s="119"/>
      <c r="VZF13" s="119"/>
      <c r="VZG13" s="119"/>
      <c r="VZH13" s="119"/>
      <c r="VZI13" s="119"/>
      <c r="VZJ13" s="119"/>
      <c r="VZK13" s="119"/>
      <c r="VZL13" s="119"/>
      <c r="VZM13" s="119"/>
      <c r="VZN13" s="119"/>
      <c r="VZO13" s="120"/>
      <c r="VZP13" s="120"/>
      <c r="VZQ13" s="120"/>
      <c r="VZR13" s="59"/>
      <c r="VZS13" s="119"/>
      <c r="VZT13" s="119"/>
      <c r="VZU13" s="119"/>
      <c r="VZV13" s="119"/>
      <c r="VZW13" s="119"/>
      <c r="VZX13" s="119"/>
      <c r="VZY13" s="119"/>
      <c r="VZZ13" s="119"/>
      <c r="WAA13" s="119"/>
      <c r="WAB13" s="119"/>
      <c r="WAC13" s="119"/>
      <c r="WAD13" s="119"/>
      <c r="WAE13" s="120"/>
      <c r="WAF13" s="120"/>
      <c r="WAG13" s="120"/>
      <c r="WAH13" s="59"/>
      <c r="WAI13" s="119"/>
      <c r="WAJ13" s="119"/>
      <c r="WAK13" s="119"/>
      <c r="WAL13" s="119"/>
      <c r="WAM13" s="119"/>
      <c r="WAN13" s="119"/>
      <c r="WAO13" s="119"/>
      <c r="WAP13" s="119"/>
      <c r="WAQ13" s="119"/>
      <c r="WAR13" s="119"/>
      <c r="WAS13" s="119"/>
      <c r="WAT13" s="119"/>
      <c r="WAU13" s="120"/>
      <c r="WAV13" s="120"/>
      <c r="WAW13" s="120"/>
      <c r="WAX13" s="59"/>
      <c r="WAY13" s="119"/>
      <c r="WAZ13" s="119"/>
      <c r="WBA13" s="119"/>
      <c r="WBB13" s="119"/>
      <c r="WBC13" s="119"/>
      <c r="WBD13" s="119"/>
      <c r="WBE13" s="119"/>
      <c r="WBF13" s="119"/>
      <c r="WBG13" s="119"/>
      <c r="WBH13" s="119"/>
      <c r="WBI13" s="119"/>
      <c r="WBJ13" s="119"/>
      <c r="WBK13" s="120"/>
      <c r="WBL13" s="120"/>
      <c r="WBM13" s="120"/>
      <c r="WBN13" s="59"/>
      <c r="WBO13" s="119"/>
      <c r="WBP13" s="119"/>
      <c r="WBQ13" s="119"/>
      <c r="WBR13" s="119"/>
      <c r="WBS13" s="119"/>
      <c r="WBT13" s="119"/>
      <c r="WBU13" s="119"/>
      <c r="WBV13" s="119"/>
      <c r="WBW13" s="119"/>
      <c r="WBX13" s="119"/>
      <c r="WBY13" s="119"/>
      <c r="WBZ13" s="119"/>
      <c r="WCA13" s="120"/>
      <c r="WCB13" s="120"/>
      <c r="WCC13" s="120"/>
      <c r="WCD13" s="59"/>
      <c r="WCE13" s="119"/>
      <c r="WCF13" s="119"/>
      <c r="WCG13" s="119"/>
      <c r="WCH13" s="119"/>
      <c r="WCI13" s="119"/>
      <c r="WCJ13" s="119"/>
      <c r="WCK13" s="119"/>
      <c r="WCL13" s="119"/>
      <c r="WCM13" s="119"/>
      <c r="WCN13" s="119"/>
      <c r="WCO13" s="119"/>
      <c r="WCP13" s="119"/>
      <c r="WCQ13" s="120"/>
      <c r="WCR13" s="120"/>
      <c r="WCS13" s="120"/>
      <c r="WCT13" s="59"/>
      <c r="WCU13" s="119"/>
      <c r="WCV13" s="119"/>
      <c r="WCW13" s="119"/>
      <c r="WCX13" s="119"/>
      <c r="WCY13" s="119"/>
      <c r="WCZ13" s="119"/>
      <c r="WDA13" s="119"/>
      <c r="WDB13" s="119"/>
      <c r="WDC13" s="119"/>
      <c r="WDD13" s="119"/>
      <c r="WDE13" s="119"/>
      <c r="WDF13" s="119"/>
      <c r="WDG13" s="120"/>
      <c r="WDH13" s="120"/>
      <c r="WDI13" s="120"/>
      <c r="WDJ13" s="59"/>
      <c r="WDK13" s="119"/>
      <c r="WDL13" s="119"/>
      <c r="WDM13" s="119"/>
      <c r="WDN13" s="119"/>
      <c r="WDO13" s="119"/>
      <c r="WDP13" s="119"/>
      <c r="WDQ13" s="119"/>
      <c r="WDR13" s="119"/>
      <c r="WDS13" s="119"/>
      <c r="WDT13" s="119"/>
      <c r="WDU13" s="119"/>
      <c r="WDV13" s="119"/>
      <c r="WDW13" s="120"/>
      <c r="WDX13" s="120"/>
      <c r="WDY13" s="120"/>
      <c r="WDZ13" s="59"/>
      <c r="WEA13" s="119"/>
      <c r="WEB13" s="119"/>
      <c r="WEC13" s="119"/>
      <c r="WED13" s="119"/>
      <c r="WEE13" s="119"/>
      <c r="WEF13" s="119"/>
      <c r="WEG13" s="119"/>
      <c r="WEH13" s="119"/>
      <c r="WEI13" s="119"/>
      <c r="WEJ13" s="119"/>
      <c r="WEK13" s="119"/>
      <c r="WEL13" s="119"/>
      <c r="WEM13" s="120"/>
      <c r="WEN13" s="120"/>
      <c r="WEO13" s="120"/>
      <c r="WEP13" s="59"/>
      <c r="WEQ13" s="119"/>
      <c r="WER13" s="119"/>
      <c r="WES13" s="119"/>
      <c r="WET13" s="119"/>
      <c r="WEU13" s="119"/>
      <c r="WEV13" s="119"/>
      <c r="WEW13" s="119"/>
      <c r="WEX13" s="119"/>
      <c r="WEY13" s="119"/>
      <c r="WEZ13" s="119"/>
      <c r="WFA13" s="119"/>
      <c r="WFB13" s="119"/>
      <c r="WFC13" s="120"/>
      <c r="WFD13" s="120"/>
      <c r="WFE13" s="120"/>
      <c r="WFF13" s="59"/>
      <c r="WFG13" s="119"/>
      <c r="WFH13" s="119"/>
      <c r="WFI13" s="119"/>
      <c r="WFJ13" s="119"/>
      <c r="WFK13" s="119"/>
      <c r="WFL13" s="119"/>
      <c r="WFM13" s="119"/>
      <c r="WFN13" s="119"/>
      <c r="WFO13" s="119"/>
      <c r="WFP13" s="119"/>
      <c r="WFQ13" s="119"/>
      <c r="WFR13" s="119"/>
      <c r="WFS13" s="120"/>
      <c r="WFT13" s="120"/>
      <c r="WFU13" s="120"/>
      <c r="WFV13" s="59"/>
      <c r="WFW13" s="119"/>
      <c r="WFX13" s="119"/>
      <c r="WFY13" s="119"/>
      <c r="WFZ13" s="119"/>
      <c r="WGA13" s="119"/>
      <c r="WGB13" s="119"/>
      <c r="WGC13" s="119"/>
      <c r="WGD13" s="119"/>
      <c r="WGE13" s="119"/>
      <c r="WGF13" s="119"/>
      <c r="WGG13" s="119"/>
      <c r="WGH13" s="119"/>
      <c r="WGI13" s="120"/>
      <c r="WGJ13" s="120"/>
      <c r="WGK13" s="120"/>
      <c r="WGL13" s="59"/>
      <c r="WGM13" s="119"/>
      <c r="WGN13" s="119"/>
      <c r="WGO13" s="119"/>
      <c r="WGP13" s="119"/>
      <c r="WGQ13" s="119"/>
      <c r="WGR13" s="119"/>
      <c r="WGS13" s="119"/>
      <c r="WGT13" s="119"/>
      <c r="WGU13" s="119"/>
      <c r="WGV13" s="119"/>
      <c r="WGW13" s="119"/>
      <c r="WGX13" s="119"/>
      <c r="WGY13" s="120"/>
      <c r="WGZ13" s="120"/>
      <c r="WHA13" s="120"/>
      <c r="WHB13" s="59"/>
      <c r="WHC13" s="119"/>
      <c r="WHD13" s="119"/>
      <c r="WHE13" s="119"/>
      <c r="WHF13" s="119"/>
      <c r="WHG13" s="119"/>
      <c r="WHH13" s="119"/>
      <c r="WHI13" s="119"/>
      <c r="WHJ13" s="119"/>
      <c r="WHK13" s="119"/>
      <c r="WHL13" s="119"/>
      <c r="WHM13" s="119"/>
      <c r="WHN13" s="119"/>
      <c r="WHO13" s="120"/>
      <c r="WHP13" s="120"/>
      <c r="WHQ13" s="120"/>
      <c r="WHR13" s="59"/>
      <c r="WHS13" s="119"/>
      <c r="WHT13" s="119"/>
      <c r="WHU13" s="119"/>
      <c r="WHV13" s="119"/>
      <c r="WHW13" s="119"/>
      <c r="WHX13" s="119"/>
      <c r="WHY13" s="119"/>
      <c r="WHZ13" s="119"/>
      <c r="WIA13" s="119"/>
      <c r="WIB13" s="119"/>
      <c r="WIC13" s="119"/>
      <c r="WID13" s="119"/>
      <c r="WIE13" s="120"/>
      <c r="WIF13" s="120"/>
      <c r="WIG13" s="120"/>
      <c r="WIH13" s="59"/>
      <c r="WII13" s="119"/>
      <c r="WIJ13" s="119"/>
      <c r="WIK13" s="119"/>
      <c r="WIL13" s="119"/>
      <c r="WIM13" s="119"/>
      <c r="WIN13" s="119"/>
      <c r="WIO13" s="119"/>
      <c r="WIP13" s="119"/>
      <c r="WIQ13" s="119"/>
      <c r="WIR13" s="119"/>
      <c r="WIS13" s="119"/>
      <c r="WIT13" s="119"/>
      <c r="WIU13" s="120"/>
      <c r="WIV13" s="120"/>
      <c r="WIW13" s="120"/>
      <c r="WIX13" s="59"/>
      <c r="WIY13" s="119"/>
      <c r="WIZ13" s="119"/>
      <c r="WJA13" s="119"/>
      <c r="WJB13" s="119"/>
      <c r="WJC13" s="119"/>
      <c r="WJD13" s="119"/>
      <c r="WJE13" s="119"/>
      <c r="WJF13" s="119"/>
      <c r="WJG13" s="119"/>
      <c r="WJH13" s="119"/>
      <c r="WJI13" s="119"/>
      <c r="WJJ13" s="119"/>
      <c r="WJK13" s="120"/>
      <c r="WJL13" s="120"/>
      <c r="WJM13" s="120"/>
      <c r="WJN13" s="59"/>
      <c r="WJO13" s="119"/>
      <c r="WJP13" s="119"/>
      <c r="WJQ13" s="119"/>
      <c r="WJR13" s="119"/>
      <c r="WJS13" s="119"/>
      <c r="WJT13" s="119"/>
      <c r="WJU13" s="119"/>
      <c r="WJV13" s="119"/>
      <c r="WJW13" s="119"/>
      <c r="WJX13" s="119"/>
      <c r="WJY13" s="119"/>
      <c r="WJZ13" s="119"/>
      <c r="WKA13" s="120"/>
      <c r="WKB13" s="120"/>
      <c r="WKC13" s="120"/>
      <c r="WKD13" s="59"/>
      <c r="WKE13" s="119"/>
      <c r="WKF13" s="119"/>
      <c r="WKG13" s="119"/>
      <c r="WKH13" s="119"/>
      <c r="WKI13" s="119"/>
      <c r="WKJ13" s="119"/>
      <c r="WKK13" s="119"/>
      <c r="WKL13" s="119"/>
      <c r="WKM13" s="119"/>
      <c r="WKN13" s="119"/>
      <c r="WKO13" s="119"/>
      <c r="WKP13" s="119"/>
      <c r="WKQ13" s="120"/>
      <c r="WKR13" s="120"/>
      <c r="WKS13" s="120"/>
      <c r="WKT13" s="59"/>
      <c r="WKU13" s="119"/>
      <c r="WKV13" s="119"/>
      <c r="WKW13" s="119"/>
      <c r="WKX13" s="119"/>
      <c r="WKY13" s="119"/>
      <c r="WKZ13" s="119"/>
      <c r="WLA13" s="119"/>
      <c r="WLB13" s="119"/>
      <c r="WLC13" s="119"/>
      <c r="WLD13" s="119"/>
      <c r="WLE13" s="119"/>
      <c r="WLF13" s="119"/>
      <c r="WLG13" s="120"/>
      <c r="WLH13" s="120"/>
      <c r="WLI13" s="120"/>
      <c r="WLJ13" s="59"/>
      <c r="WLK13" s="119"/>
      <c r="WLL13" s="119"/>
      <c r="WLM13" s="119"/>
      <c r="WLN13" s="119"/>
      <c r="WLO13" s="119"/>
      <c r="WLP13" s="119"/>
      <c r="WLQ13" s="119"/>
      <c r="WLR13" s="119"/>
      <c r="WLS13" s="119"/>
      <c r="WLT13" s="119"/>
      <c r="WLU13" s="119"/>
      <c r="WLV13" s="119"/>
      <c r="WLW13" s="120"/>
      <c r="WLX13" s="120"/>
      <c r="WLY13" s="120"/>
      <c r="WLZ13" s="59"/>
      <c r="WMA13" s="119"/>
      <c r="WMB13" s="119"/>
      <c r="WMC13" s="119"/>
      <c r="WMD13" s="119"/>
      <c r="WME13" s="119"/>
      <c r="WMF13" s="119"/>
      <c r="WMG13" s="119"/>
      <c r="WMH13" s="119"/>
      <c r="WMI13" s="119"/>
      <c r="WMJ13" s="119"/>
      <c r="WMK13" s="119"/>
      <c r="WML13" s="119"/>
      <c r="WMM13" s="120"/>
      <c r="WMN13" s="120"/>
      <c r="WMO13" s="120"/>
      <c r="WMP13" s="59"/>
      <c r="WMQ13" s="119"/>
      <c r="WMR13" s="119"/>
      <c r="WMS13" s="119"/>
      <c r="WMT13" s="119"/>
      <c r="WMU13" s="119"/>
      <c r="WMV13" s="119"/>
      <c r="WMW13" s="119"/>
      <c r="WMX13" s="119"/>
      <c r="WMY13" s="119"/>
      <c r="WMZ13" s="119"/>
      <c r="WNA13" s="119"/>
      <c r="WNB13" s="119"/>
      <c r="WNC13" s="120"/>
      <c r="WND13" s="120"/>
      <c r="WNE13" s="120"/>
      <c r="WNF13" s="59"/>
      <c r="WNG13" s="119"/>
      <c r="WNH13" s="119"/>
      <c r="WNI13" s="119"/>
      <c r="WNJ13" s="119"/>
      <c r="WNK13" s="119"/>
      <c r="WNL13" s="119"/>
      <c r="WNM13" s="119"/>
      <c r="WNN13" s="119"/>
      <c r="WNO13" s="119"/>
      <c r="WNP13" s="119"/>
      <c r="WNQ13" s="119"/>
      <c r="WNR13" s="119"/>
      <c r="WNS13" s="120"/>
      <c r="WNT13" s="120"/>
      <c r="WNU13" s="120"/>
      <c r="WNV13" s="59"/>
      <c r="WNW13" s="119"/>
      <c r="WNX13" s="119"/>
      <c r="WNY13" s="119"/>
      <c r="WNZ13" s="119"/>
      <c r="WOA13" s="119"/>
      <c r="WOB13" s="119"/>
      <c r="WOC13" s="119"/>
      <c r="WOD13" s="119"/>
      <c r="WOE13" s="119"/>
      <c r="WOF13" s="119"/>
      <c r="WOG13" s="119"/>
      <c r="WOH13" s="119"/>
      <c r="WOI13" s="120"/>
      <c r="WOJ13" s="120"/>
      <c r="WOK13" s="120"/>
      <c r="WOL13" s="59"/>
      <c r="WOM13" s="119"/>
      <c r="WON13" s="119"/>
      <c r="WOO13" s="119"/>
      <c r="WOP13" s="119"/>
      <c r="WOQ13" s="119"/>
      <c r="WOR13" s="119"/>
      <c r="WOS13" s="119"/>
      <c r="WOT13" s="119"/>
      <c r="WOU13" s="119"/>
      <c r="WOV13" s="119"/>
      <c r="WOW13" s="119"/>
      <c r="WOX13" s="119"/>
      <c r="WOY13" s="120"/>
      <c r="WOZ13" s="120"/>
      <c r="WPA13" s="120"/>
      <c r="WPB13" s="59"/>
      <c r="WPC13" s="119"/>
      <c r="WPD13" s="119"/>
      <c r="WPE13" s="119"/>
      <c r="WPF13" s="119"/>
      <c r="WPG13" s="119"/>
      <c r="WPH13" s="119"/>
      <c r="WPI13" s="119"/>
      <c r="WPJ13" s="119"/>
      <c r="WPK13" s="119"/>
      <c r="WPL13" s="119"/>
      <c r="WPM13" s="119"/>
      <c r="WPN13" s="119"/>
      <c r="WPO13" s="120"/>
      <c r="WPP13" s="120"/>
      <c r="WPQ13" s="120"/>
      <c r="WPR13" s="59"/>
      <c r="WPS13" s="119"/>
      <c r="WPT13" s="119"/>
      <c r="WPU13" s="119"/>
      <c r="WPV13" s="119"/>
      <c r="WPW13" s="119"/>
      <c r="WPX13" s="119"/>
      <c r="WPY13" s="119"/>
      <c r="WPZ13" s="119"/>
      <c r="WQA13" s="119"/>
      <c r="WQB13" s="119"/>
      <c r="WQC13" s="119"/>
      <c r="WQD13" s="119"/>
      <c r="WQE13" s="120"/>
      <c r="WQF13" s="120"/>
      <c r="WQG13" s="120"/>
      <c r="WQH13" s="59"/>
      <c r="WQI13" s="119"/>
      <c r="WQJ13" s="119"/>
      <c r="WQK13" s="119"/>
      <c r="WQL13" s="119"/>
      <c r="WQM13" s="119"/>
      <c r="WQN13" s="119"/>
      <c r="WQO13" s="119"/>
      <c r="WQP13" s="119"/>
      <c r="WQQ13" s="119"/>
      <c r="WQR13" s="119"/>
      <c r="WQS13" s="119"/>
      <c r="WQT13" s="119"/>
      <c r="WQU13" s="120"/>
      <c r="WQV13" s="120"/>
      <c r="WQW13" s="120"/>
      <c r="WQX13" s="59"/>
      <c r="WQY13" s="119"/>
      <c r="WQZ13" s="119"/>
      <c r="WRA13" s="119"/>
      <c r="WRB13" s="119"/>
      <c r="WRC13" s="119"/>
      <c r="WRD13" s="119"/>
      <c r="WRE13" s="119"/>
      <c r="WRF13" s="119"/>
      <c r="WRG13" s="119"/>
      <c r="WRH13" s="119"/>
      <c r="WRI13" s="119"/>
      <c r="WRJ13" s="119"/>
      <c r="WRK13" s="120"/>
      <c r="WRL13" s="120"/>
      <c r="WRM13" s="120"/>
      <c r="WRN13" s="59"/>
      <c r="WRO13" s="119"/>
      <c r="WRP13" s="119"/>
      <c r="WRQ13" s="119"/>
      <c r="WRR13" s="119"/>
      <c r="WRS13" s="119"/>
      <c r="WRT13" s="119"/>
      <c r="WRU13" s="119"/>
      <c r="WRV13" s="119"/>
      <c r="WRW13" s="119"/>
      <c r="WRX13" s="119"/>
      <c r="WRY13" s="119"/>
      <c r="WRZ13" s="119"/>
      <c r="WSA13" s="120"/>
      <c r="WSB13" s="120"/>
      <c r="WSC13" s="120"/>
      <c r="WSD13" s="59"/>
      <c r="WSE13" s="119"/>
      <c r="WSF13" s="119"/>
      <c r="WSG13" s="119"/>
      <c r="WSH13" s="119"/>
      <c r="WSI13" s="119"/>
      <c r="WSJ13" s="119"/>
      <c r="WSK13" s="119"/>
      <c r="WSL13" s="119"/>
      <c r="WSM13" s="119"/>
      <c r="WSN13" s="119"/>
      <c r="WSO13" s="119"/>
      <c r="WSP13" s="119"/>
      <c r="WSQ13" s="120"/>
      <c r="WSR13" s="120"/>
      <c r="WSS13" s="120"/>
      <c r="WST13" s="59"/>
      <c r="WSU13" s="119"/>
      <c r="WSV13" s="119"/>
      <c r="WSW13" s="119"/>
      <c r="WSX13" s="119"/>
      <c r="WSY13" s="119"/>
      <c r="WSZ13" s="119"/>
      <c r="WTA13" s="119"/>
      <c r="WTB13" s="119"/>
      <c r="WTC13" s="119"/>
      <c r="WTD13" s="119"/>
      <c r="WTE13" s="119"/>
      <c r="WTF13" s="119"/>
      <c r="WTG13" s="120"/>
      <c r="WTH13" s="120"/>
      <c r="WTI13" s="120"/>
      <c r="WTJ13" s="59"/>
      <c r="WTK13" s="119"/>
      <c r="WTL13" s="119"/>
      <c r="WTM13" s="119"/>
      <c r="WTN13" s="119"/>
      <c r="WTO13" s="119"/>
      <c r="WTP13" s="119"/>
      <c r="WTQ13" s="119"/>
      <c r="WTR13" s="119"/>
      <c r="WTS13" s="119"/>
      <c r="WTT13" s="119"/>
      <c r="WTU13" s="119"/>
      <c r="WTV13" s="119"/>
      <c r="WTW13" s="120"/>
      <c r="WTX13" s="120"/>
      <c r="WTY13" s="120"/>
      <c r="WTZ13" s="59"/>
      <c r="WUA13" s="119"/>
      <c r="WUB13" s="119"/>
      <c r="WUC13" s="119"/>
      <c r="WUD13" s="119"/>
      <c r="WUE13" s="119"/>
      <c r="WUF13" s="119"/>
      <c r="WUG13" s="119"/>
      <c r="WUH13" s="119"/>
      <c r="WUI13" s="119"/>
      <c r="WUJ13" s="119"/>
      <c r="WUK13" s="119"/>
      <c r="WUL13" s="119"/>
      <c r="WUM13" s="120"/>
      <c r="WUN13" s="120"/>
      <c r="WUO13" s="120"/>
      <c r="WUP13" s="59"/>
      <c r="WUQ13" s="119"/>
      <c r="WUR13" s="119"/>
      <c r="WUS13" s="119"/>
      <c r="WUT13" s="119"/>
      <c r="WUU13" s="119"/>
      <c r="WUV13" s="119"/>
      <c r="WUW13" s="119"/>
      <c r="WUX13" s="119"/>
      <c r="WUY13" s="119"/>
      <c r="WUZ13" s="119"/>
      <c r="WVA13" s="119"/>
      <c r="WVB13" s="119"/>
      <c r="WVC13" s="120"/>
      <c r="WVD13" s="120"/>
      <c r="WVE13" s="120"/>
      <c r="WVF13" s="59"/>
      <c r="WVG13" s="119"/>
      <c r="WVH13" s="119"/>
      <c r="WVI13" s="119"/>
      <c r="WVJ13" s="119"/>
      <c r="WVK13" s="119"/>
      <c r="WVL13" s="119"/>
      <c r="WVM13" s="119"/>
      <c r="WVN13" s="119"/>
      <c r="WVO13" s="119"/>
      <c r="WVP13" s="119"/>
      <c r="WVQ13" s="119"/>
      <c r="WVR13" s="119"/>
      <c r="WVS13" s="120"/>
      <c r="WVT13" s="120"/>
      <c r="WVU13" s="120"/>
      <c r="WVV13" s="59"/>
      <c r="WVW13" s="119"/>
      <c r="WVX13" s="119"/>
      <c r="WVY13" s="119"/>
      <c r="WVZ13" s="119"/>
      <c r="WWA13" s="119"/>
      <c r="WWB13" s="119"/>
      <c r="WWC13" s="119"/>
      <c r="WWD13" s="119"/>
      <c r="WWE13" s="119"/>
      <c r="WWF13" s="119"/>
      <c r="WWG13" s="119"/>
      <c r="WWH13" s="119"/>
      <c r="WWI13" s="120"/>
      <c r="WWJ13" s="120"/>
      <c r="WWK13" s="120"/>
      <c r="WWL13" s="59"/>
      <c r="WWM13" s="119"/>
      <c r="WWN13" s="119"/>
      <c r="WWO13" s="119"/>
      <c r="WWP13" s="119"/>
      <c r="WWQ13" s="119"/>
      <c r="WWR13" s="119"/>
      <c r="WWS13" s="119"/>
      <c r="WWT13" s="119"/>
      <c r="WWU13" s="119"/>
      <c r="WWV13" s="119"/>
      <c r="WWW13" s="119"/>
      <c r="WWX13" s="119"/>
      <c r="WWY13" s="120"/>
      <c r="WWZ13" s="120"/>
      <c r="WXA13" s="120"/>
      <c r="WXB13" s="59"/>
      <c r="WXC13" s="119"/>
      <c r="WXD13" s="119"/>
      <c r="WXE13" s="119"/>
      <c r="WXF13" s="119"/>
      <c r="WXG13" s="119"/>
      <c r="WXH13" s="119"/>
      <c r="WXI13" s="119"/>
      <c r="WXJ13" s="119"/>
      <c r="WXK13" s="119"/>
      <c r="WXL13" s="119"/>
      <c r="WXM13" s="119"/>
      <c r="WXN13" s="119"/>
      <c r="WXO13" s="120"/>
      <c r="WXP13" s="120"/>
      <c r="WXQ13" s="120"/>
      <c r="WXR13" s="59"/>
      <c r="WXS13" s="119"/>
      <c r="WXT13" s="119"/>
      <c r="WXU13" s="119"/>
      <c r="WXV13" s="119"/>
      <c r="WXW13" s="119"/>
      <c r="WXX13" s="119"/>
      <c r="WXY13" s="119"/>
      <c r="WXZ13" s="119"/>
      <c r="WYA13" s="119"/>
      <c r="WYB13" s="119"/>
      <c r="WYC13" s="119"/>
      <c r="WYD13" s="119"/>
      <c r="WYE13" s="120"/>
      <c r="WYF13" s="120"/>
      <c r="WYG13" s="120"/>
      <c r="WYH13" s="59"/>
      <c r="WYI13" s="119"/>
      <c r="WYJ13" s="119"/>
      <c r="WYK13" s="119"/>
      <c r="WYL13" s="119"/>
      <c r="WYM13" s="119"/>
      <c r="WYN13" s="119"/>
      <c r="WYO13" s="119"/>
      <c r="WYP13" s="119"/>
      <c r="WYQ13" s="119"/>
      <c r="WYR13" s="119"/>
      <c r="WYS13" s="119"/>
      <c r="WYT13" s="119"/>
      <c r="WYU13" s="120"/>
      <c r="WYV13" s="120"/>
      <c r="WYW13" s="120"/>
      <c r="WYX13" s="59"/>
      <c r="WYY13" s="119"/>
      <c r="WYZ13" s="119"/>
      <c r="WZA13" s="119"/>
      <c r="WZB13" s="119"/>
      <c r="WZC13" s="119"/>
      <c r="WZD13" s="119"/>
      <c r="WZE13" s="119"/>
      <c r="WZF13" s="119"/>
      <c r="WZG13" s="119"/>
      <c r="WZH13" s="119"/>
      <c r="WZI13" s="119"/>
      <c r="WZJ13" s="119"/>
      <c r="WZK13" s="120"/>
      <c r="WZL13" s="120"/>
      <c r="WZM13" s="120"/>
      <c r="WZN13" s="59"/>
      <c r="WZO13" s="119"/>
      <c r="WZP13" s="119"/>
      <c r="WZQ13" s="119"/>
      <c r="WZR13" s="119"/>
      <c r="WZS13" s="119"/>
      <c r="WZT13" s="119"/>
      <c r="WZU13" s="119"/>
      <c r="WZV13" s="119"/>
      <c r="WZW13" s="119"/>
      <c r="WZX13" s="119"/>
      <c r="WZY13" s="119"/>
      <c r="WZZ13" s="119"/>
      <c r="XAA13" s="120"/>
      <c r="XAB13" s="120"/>
      <c r="XAC13" s="120"/>
      <c r="XAD13" s="59"/>
      <c r="XAE13" s="119"/>
      <c r="XAF13" s="119"/>
      <c r="XAG13" s="119"/>
      <c r="XAH13" s="119"/>
      <c r="XAI13" s="119"/>
      <c r="XAJ13" s="119"/>
      <c r="XAK13" s="119"/>
      <c r="XAL13" s="119"/>
      <c r="XAM13" s="119"/>
      <c r="XAN13" s="119"/>
      <c r="XAO13" s="119"/>
      <c r="XAP13" s="119"/>
      <c r="XAQ13" s="120"/>
      <c r="XAR13" s="120"/>
      <c r="XAS13" s="120"/>
      <c r="XAT13" s="59"/>
      <c r="XAU13" s="119"/>
      <c r="XAV13" s="119"/>
      <c r="XAW13" s="119"/>
      <c r="XAX13" s="119"/>
      <c r="XAY13" s="119"/>
      <c r="XAZ13" s="119"/>
      <c r="XBA13" s="119"/>
      <c r="XBB13" s="119"/>
      <c r="XBC13" s="119"/>
      <c r="XBD13" s="119"/>
      <c r="XBE13" s="119"/>
      <c r="XBF13" s="119"/>
      <c r="XBG13" s="120"/>
      <c r="XBH13" s="120"/>
      <c r="XBI13" s="120"/>
      <c r="XBJ13" s="59"/>
      <c r="XBK13" s="119"/>
      <c r="XBL13" s="119"/>
      <c r="XBM13" s="119"/>
      <c r="XBN13" s="119"/>
      <c r="XBO13" s="119"/>
      <c r="XBP13" s="119"/>
      <c r="XBQ13" s="119"/>
      <c r="XBR13" s="119"/>
      <c r="XBS13" s="119"/>
      <c r="XBT13" s="119"/>
      <c r="XBU13" s="119"/>
      <c r="XBV13" s="119"/>
      <c r="XBW13" s="120"/>
      <c r="XBX13" s="120"/>
      <c r="XBY13" s="120"/>
      <c r="XBZ13" s="59"/>
      <c r="XCA13" s="119"/>
      <c r="XCB13" s="119"/>
      <c r="XCC13" s="119"/>
      <c r="XCD13" s="119"/>
      <c r="XCE13" s="119"/>
      <c r="XCF13" s="119"/>
      <c r="XCG13" s="119"/>
      <c r="XCH13" s="119"/>
      <c r="XCI13" s="119"/>
      <c r="XCJ13" s="119"/>
      <c r="XCK13" s="119"/>
      <c r="XCL13" s="119"/>
      <c r="XCM13" s="120"/>
      <c r="XCN13" s="120"/>
      <c r="XCO13" s="120"/>
      <c r="XCP13" s="59"/>
      <c r="XCQ13" s="119"/>
      <c r="XCR13" s="119"/>
      <c r="XCS13" s="119"/>
      <c r="XCT13" s="119"/>
      <c r="XCU13" s="119"/>
      <c r="XCV13" s="119"/>
      <c r="XCW13" s="119"/>
      <c r="XCX13" s="119"/>
      <c r="XCY13" s="119"/>
      <c r="XCZ13" s="119"/>
      <c r="XDA13" s="119"/>
      <c r="XDB13" s="119"/>
      <c r="XDC13" s="120"/>
      <c r="XDD13" s="120"/>
      <c r="XDE13" s="120"/>
      <c r="XDF13" s="59"/>
      <c r="XDG13" s="119"/>
      <c r="XDH13" s="119"/>
      <c r="XDI13" s="119"/>
      <c r="XDJ13" s="119"/>
      <c r="XDK13" s="119"/>
      <c r="XDL13" s="119"/>
      <c r="XDM13" s="119"/>
      <c r="XDN13" s="119"/>
      <c r="XDO13" s="119"/>
      <c r="XDP13" s="119"/>
      <c r="XDQ13" s="119"/>
      <c r="XDR13" s="119"/>
      <c r="XDS13" s="120"/>
      <c r="XDT13" s="120"/>
      <c r="XDU13" s="120"/>
      <c r="XDV13" s="59"/>
      <c r="XDW13" s="119"/>
      <c r="XDX13" s="119"/>
      <c r="XDY13" s="119"/>
      <c r="XDZ13" s="119"/>
      <c r="XEA13" s="119"/>
      <c r="XEB13" s="119"/>
      <c r="XEC13" s="119"/>
      <c r="XED13" s="119"/>
      <c r="XEE13" s="119"/>
      <c r="XEF13" s="119"/>
      <c r="XEG13" s="119"/>
      <c r="XEH13" s="119"/>
      <c r="XEI13" s="120"/>
      <c r="XEJ13" s="120"/>
      <c r="XEK13" s="120"/>
      <c r="XEL13" s="59"/>
      <c r="XEM13" s="119"/>
      <c r="XEN13" s="119"/>
      <c r="XEO13" s="119"/>
      <c r="XEP13" s="119"/>
      <c r="XEQ13" s="119"/>
      <c r="XER13" s="119"/>
      <c r="XES13" s="119"/>
      <c r="XET13" s="119"/>
      <c r="XEU13" s="119"/>
      <c r="XEV13" s="119"/>
      <c r="XEW13" s="119"/>
      <c r="XEX13" s="119"/>
    </row>
    <row r="14" spans="1:16378">
      <c r="A14" s="120" t="s">
        <v>770</v>
      </c>
      <c r="B14" s="135">
        <v>0.5</v>
      </c>
      <c r="C14" s="120" t="s">
        <v>118</v>
      </c>
      <c r="D14" s="59" t="s">
        <v>221</v>
      </c>
      <c r="E14" s="119">
        <v>2</v>
      </c>
      <c r="F14" s="119">
        <v>3500</v>
      </c>
      <c r="G14" s="119">
        <f t="shared" si="2"/>
        <v>3500</v>
      </c>
      <c r="H14" s="119">
        <v>12</v>
      </c>
      <c r="I14" s="119">
        <f t="shared" si="3"/>
        <v>21630</v>
      </c>
      <c r="J14" s="119">
        <v>12</v>
      </c>
      <c r="K14" s="119">
        <f t="shared" si="4"/>
        <v>22278.9</v>
      </c>
      <c r="L14" s="119">
        <v>2</v>
      </c>
      <c r="M14" s="119">
        <f t="shared" si="5"/>
        <v>3824.5445</v>
      </c>
      <c r="N14" s="119">
        <v>0</v>
      </c>
      <c r="O14" s="119">
        <f t="shared" ref="O14" si="10">(N14*F14*$B$5*$B$5*$B$5*$B$5)</f>
        <v>0</v>
      </c>
      <c r="P14" s="119">
        <f t="shared" si="0"/>
        <v>51233.444499999998</v>
      </c>
      <c r="Q14" s="120"/>
      <c r="R14" s="119">
        <f>SUM(P14:Q14)</f>
        <v>51233.444499999998</v>
      </c>
      <c r="S14" s="119"/>
      <c r="T14" s="119"/>
      <c r="U14" s="119"/>
      <c r="V14" s="119"/>
      <c r="W14" s="119"/>
      <c r="X14" s="119"/>
      <c r="Y14" s="119"/>
      <c r="Z14" s="119"/>
      <c r="AA14" s="120"/>
      <c r="AB14" s="120"/>
      <c r="AC14" s="120"/>
      <c r="AD14" s="5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20"/>
      <c r="AR14" s="120"/>
      <c r="AS14" s="120"/>
      <c r="AT14" s="5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20"/>
      <c r="BH14" s="120"/>
      <c r="BI14" s="120"/>
      <c r="BJ14" s="5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20"/>
      <c r="BX14" s="120"/>
      <c r="BY14" s="120"/>
      <c r="BZ14" s="5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20"/>
      <c r="CN14" s="120"/>
      <c r="CO14" s="120"/>
      <c r="CP14" s="5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20"/>
      <c r="DD14" s="120"/>
      <c r="DE14" s="120"/>
      <c r="DF14" s="59"/>
      <c r="DG14" s="119"/>
      <c r="DH14" s="119"/>
      <c r="DI14" s="119"/>
      <c r="DJ14" s="119"/>
      <c r="DK14" s="119"/>
      <c r="DL14" s="119"/>
      <c r="DM14" s="119"/>
      <c r="DN14" s="119"/>
      <c r="DO14" s="119"/>
      <c r="DP14" s="119"/>
      <c r="DQ14" s="119"/>
      <c r="DR14" s="119"/>
      <c r="DS14" s="120"/>
      <c r="DT14" s="120"/>
      <c r="DU14" s="120"/>
      <c r="DV14" s="59"/>
      <c r="DW14" s="119"/>
      <c r="DX14" s="119"/>
      <c r="DY14" s="119"/>
      <c r="DZ14" s="119"/>
      <c r="EA14" s="119"/>
      <c r="EB14" s="119"/>
      <c r="EC14" s="119"/>
      <c r="ED14" s="119"/>
      <c r="EE14" s="119"/>
      <c r="EF14" s="119"/>
      <c r="EG14" s="119"/>
      <c r="EH14" s="119"/>
      <c r="EI14" s="120"/>
      <c r="EJ14" s="120"/>
      <c r="EK14" s="120"/>
      <c r="EL14" s="59"/>
      <c r="EM14" s="119"/>
      <c r="EN14" s="119"/>
      <c r="EO14" s="119"/>
      <c r="EP14" s="119"/>
      <c r="EQ14" s="119"/>
      <c r="ER14" s="119"/>
      <c r="ES14" s="119"/>
      <c r="ET14" s="119"/>
      <c r="EU14" s="119"/>
      <c r="EV14" s="119"/>
      <c r="EW14" s="119"/>
      <c r="EX14" s="119"/>
      <c r="EY14" s="120"/>
      <c r="EZ14" s="120"/>
      <c r="FA14" s="120"/>
      <c r="FB14" s="59"/>
      <c r="FC14" s="119"/>
      <c r="FD14" s="119"/>
      <c r="FE14" s="119"/>
      <c r="FF14" s="119"/>
      <c r="FG14" s="119"/>
      <c r="FH14" s="119"/>
      <c r="FI14" s="119"/>
      <c r="FJ14" s="119"/>
      <c r="FK14" s="119"/>
      <c r="FL14" s="119"/>
      <c r="FM14" s="119"/>
      <c r="FN14" s="119"/>
      <c r="FO14" s="120"/>
      <c r="FP14" s="120"/>
      <c r="FQ14" s="120"/>
      <c r="FR14" s="59"/>
      <c r="FS14" s="119"/>
      <c r="FT14" s="119"/>
      <c r="FU14" s="119"/>
      <c r="FV14" s="119"/>
      <c r="FW14" s="119"/>
      <c r="FX14" s="119"/>
      <c r="FY14" s="119"/>
      <c r="FZ14" s="119"/>
      <c r="GA14" s="119"/>
      <c r="GB14" s="119"/>
      <c r="GC14" s="119"/>
      <c r="GD14" s="119"/>
      <c r="GE14" s="120"/>
      <c r="GF14" s="120"/>
      <c r="GG14" s="120"/>
      <c r="GH14" s="59"/>
      <c r="GI14" s="119"/>
      <c r="GJ14" s="119"/>
      <c r="GK14" s="119"/>
      <c r="GL14" s="119"/>
      <c r="GM14" s="119"/>
      <c r="GN14" s="119"/>
      <c r="GO14" s="119"/>
      <c r="GP14" s="119"/>
      <c r="GQ14" s="119"/>
      <c r="GR14" s="119"/>
      <c r="GS14" s="119"/>
      <c r="GT14" s="119"/>
      <c r="GU14" s="120"/>
      <c r="GV14" s="120"/>
      <c r="GW14" s="120"/>
      <c r="GX14" s="59"/>
      <c r="GY14" s="119"/>
      <c r="GZ14" s="119"/>
      <c r="HA14" s="119"/>
      <c r="HB14" s="119"/>
      <c r="HC14" s="119"/>
      <c r="HD14" s="119"/>
      <c r="HE14" s="119"/>
      <c r="HF14" s="119"/>
      <c r="HG14" s="119"/>
      <c r="HH14" s="119"/>
      <c r="HI14" s="119"/>
      <c r="HJ14" s="119"/>
      <c r="HK14" s="120"/>
      <c r="HL14" s="120"/>
      <c r="HM14" s="120"/>
      <c r="HN14" s="59"/>
      <c r="HO14" s="119"/>
      <c r="HP14" s="119"/>
      <c r="HQ14" s="119"/>
      <c r="HR14" s="119"/>
      <c r="HS14" s="119"/>
      <c r="HT14" s="119"/>
      <c r="HU14" s="119"/>
      <c r="HV14" s="119"/>
      <c r="HW14" s="119"/>
      <c r="HX14" s="119"/>
      <c r="HY14" s="119"/>
      <c r="HZ14" s="119"/>
      <c r="IA14" s="120"/>
      <c r="IB14" s="120"/>
      <c r="IC14" s="120"/>
      <c r="ID14" s="59"/>
      <c r="IE14" s="119"/>
      <c r="IF14" s="119"/>
      <c r="IG14" s="119"/>
      <c r="IH14" s="119"/>
      <c r="II14" s="119"/>
      <c r="IJ14" s="119"/>
      <c r="IK14" s="119"/>
      <c r="IL14" s="119"/>
      <c r="IM14" s="119"/>
      <c r="IN14" s="119"/>
      <c r="IO14" s="119"/>
      <c r="IP14" s="119"/>
      <c r="IQ14" s="120"/>
      <c r="IR14" s="120"/>
      <c r="IS14" s="120"/>
      <c r="IT14" s="59"/>
      <c r="IU14" s="119"/>
      <c r="IV14" s="119"/>
      <c r="IW14" s="119"/>
      <c r="IX14" s="119"/>
      <c r="IY14" s="119"/>
      <c r="IZ14" s="119"/>
      <c r="JA14" s="119"/>
      <c r="JB14" s="119"/>
      <c r="JC14" s="119"/>
      <c r="JD14" s="119"/>
      <c r="JE14" s="119"/>
      <c r="JF14" s="119"/>
      <c r="JG14" s="120"/>
      <c r="JH14" s="120"/>
      <c r="JI14" s="120"/>
      <c r="JJ14" s="59"/>
      <c r="JK14" s="119"/>
      <c r="JL14" s="119"/>
      <c r="JM14" s="119"/>
      <c r="JN14" s="119"/>
      <c r="JO14" s="119"/>
      <c r="JP14" s="119"/>
      <c r="JQ14" s="119"/>
      <c r="JR14" s="119"/>
      <c r="JS14" s="119"/>
      <c r="JT14" s="119"/>
      <c r="JU14" s="119"/>
      <c r="JV14" s="119"/>
      <c r="JW14" s="120"/>
      <c r="JX14" s="120"/>
      <c r="JY14" s="120"/>
      <c r="JZ14" s="59"/>
      <c r="KA14" s="119"/>
      <c r="KB14" s="119"/>
      <c r="KC14" s="119"/>
      <c r="KD14" s="119"/>
      <c r="KE14" s="119"/>
      <c r="KF14" s="119"/>
      <c r="KG14" s="119"/>
      <c r="KH14" s="119"/>
      <c r="KI14" s="119"/>
      <c r="KJ14" s="119"/>
      <c r="KK14" s="119"/>
      <c r="KL14" s="119"/>
      <c r="KM14" s="120"/>
      <c r="KN14" s="120"/>
      <c r="KO14" s="120"/>
      <c r="KP14" s="59"/>
      <c r="KQ14" s="119"/>
      <c r="KR14" s="119"/>
      <c r="KS14" s="119"/>
      <c r="KT14" s="119"/>
      <c r="KU14" s="119"/>
      <c r="KV14" s="119"/>
      <c r="KW14" s="119"/>
      <c r="KX14" s="119"/>
      <c r="KY14" s="119"/>
      <c r="KZ14" s="119"/>
      <c r="LA14" s="119"/>
      <c r="LB14" s="119"/>
      <c r="LC14" s="120"/>
      <c r="LD14" s="120"/>
      <c r="LE14" s="120"/>
      <c r="LF14" s="59"/>
      <c r="LG14" s="119"/>
      <c r="LH14" s="119"/>
      <c r="LI14" s="119"/>
      <c r="LJ14" s="119"/>
      <c r="LK14" s="119"/>
      <c r="LL14" s="119"/>
      <c r="LM14" s="119"/>
      <c r="LN14" s="119"/>
      <c r="LO14" s="119"/>
      <c r="LP14" s="119"/>
      <c r="LQ14" s="119"/>
      <c r="LR14" s="119"/>
      <c r="LS14" s="120"/>
      <c r="LT14" s="120"/>
      <c r="LU14" s="120"/>
      <c r="LV14" s="59"/>
      <c r="LW14" s="119"/>
      <c r="LX14" s="119"/>
      <c r="LY14" s="119"/>
      <c r="LZ14" s="119"/>
      <c r="MA14" s="119"/>
      <c r="MB14" s="119"/>
      <c r="MC14" s="119"/>
      <c r="MD14" s="119"/>
      <c r="ME14" s="119"/>
      <c r="MF14" s="119"/>
      <c r="MG14" s="119"/>
      <c r="MH14" s="119"/>
      <c r="MI14" s="120"/>
      <c r="MJ14" s="120"/>
      <c r="MK14" s="120"/>
      <c r="ML14" s="59"/>
      <c r="MM14" s="119"/>
      <c r="MN14" s="119"/>
      <c r="MO14" s="119"/>
      <c r="MP14" s="119"/>
      <c r="MQ14" s="119"/>
      <c r="MR14" s="119"/>
      <c r="MS14" s="119"/>
      <c r="MT14" s="119"/>
      <c r="MU14" s="119"/>
      <c r="MV14" s="119"/>
      <c r="MW14" s="119"/>
      <c r="MX14" s="119"/>
      <c r="MY14" s="120"/>
      <c r="MZ14" s="120"/>
      <c r="NA14" s="120"/>
      <c r="NB14" s="59"/>
      <c r="NC14" s="119"/>
      <c r="ND14" s="119"/>
      <c r="NE14" s="119"/>
      <c r="NF14" s="119"/>
      <c r="NG14" s="119"/>
      <c r="NH14" s="119"/>
      <c r="NI14" s="119"/>
      <c r="NJ14" s="119"/>
      <c r="NK14" s="119"/>
      <c r="NL14" s="119"/>
      <c r="NM14" s="119"/>
      <c r="NN14" s="119"/>
      <c r="NO14" s="120"/>
      <c r="NP14" s="120"/>
      <c r="NQ14" s="120"/>
      <c r="NR14" s="59"/>
      <c r="NS14" s="119"/>
      <c r="NT14" s="119"/>
      <c r="NU14" s="119"/>
      <c r="NV14" s="119"/>
      <c r="NW14" s="119"/>
      <c r="NX14" s="119"/>
      <c r="NY14" s="119"/>
      <c r="NZ14" s="119"/>
      <c r="OA14" s="119"/>
      <c r="OB14" s="119"/>
      <c r="OC14" s="119"/>
      <c r="OD14" s="119"/>
      <c r="OE14" s="120"/>
      <c r="OF14" s="120"/>
      <c r="OG14" s="120"/>
      <c r="OH14" s="59"/>
      <c r="OI14" s="119"/>
      <c r="OJ14" s="119"/>
      <c r="OK14" s="119"/>
      <c r="OL14" s="119"/>
      <c r="OM14" s="119"/>
      <c r="ON14" s="119"/>
      <c r="OO14" s="119"/>
      <c r="OP14" s="119"/>
      <c r="OQ14" s="119"/>
      <c r="OR14" s="119"/>
      <c r="OS14" s="119"/>
      <c r="OT14" s="119"/>
      <c r="OU14" s="120"/>
      <c r="OV14" s="120"/>
      <c r="OW14" s="120"/>
      <c r="OX14" s="59"/>
      <c r="OY14" s="119"/>
      <c r="OZ14" s="119"/>
      <c r="PA14" s="119"/>
      <c r="PB14" s="119"/>
      <c r="PC14" s="119"/>
      <c r="PD14" s="119"/>
      <c r="PE14" s="119"/>
      <c r="PF14" s="119"/>
      <c r="PG14" s="119"/>
      <c r="PH14" s="119"/>
      <c r="PI14" s="119"/>
      <c r="PJ14" s="119"/>
      <c r="PK14" s="120"/>
      <c r="PL14" s="120"/>
      <c r="PM14" s="120"/>
      <c r="PN14" s="59"/>
      <c r="PO14" s="119"/>
      <c r="PP14" s="119"/>
      <c r="PQ14" s="119"/>
      <c r="PR14" s="119"/>
      <c r="PS14" s="119"/>
      <c r="PT14" s="119"/>
      <c r="PU14" s="119"/>
      <c r="PV14" s="119"/>
      <c r="PW14" s="119"/>
      <c r="PX14" s="119"/>
      <c r="PY14" s="119"/>
      <c r="PZ14" s="119"/>
      <c r="QA14" s="120"/>
      <c r="QB14" s="120"/>
      <c r="QC14" s="120"/>
      <c r="QD14" s="59"/>
      <c r="QE14" s="119"/>
      <c r="QF14" s="119"/>
      <c r="QG14" s="119"/>
      <c r="QH14" s="119"/>
      <c r="QI14" s="119"/>
      <c r="QJ14" s="119"/>
      <c r="QK14" s="119"/>
      <c r="QL14" s="119"/>
      <c r="QM14" s="119"/>
      <c r="QN14" s="119"/>
      <c r="QO14" s="119"/>
      <c r="QP14" s="119"/>
      <c r="QQ14" s="120"/>
      <c r="QR14" s="120"/>
      <c r="QS14" s="120"/>
      <c r="QT14" s="59"/>
      <c r="QU14" s="119"/>
      <c r="QV14" s="119"/>
      <c r="QW14" s="119"/>
      <c r="QX14" s="119"/>
      <c r="QY14" s="119"/>
      <c r="QZ14" s="119"/>
      <c r="RA14" s="119"/>
      <c r="RB14" s="119"/>
      <c r="RC14" s="119"/>
      <c r="RD14" s="119"/>
      <c r="RE14" s="119"/>
      <c r="RF14" s="119"/>
      <c r="RG14" s="120"/>
      <c r="RH14" s="120"/>
      <c r="RI14" s="120"/>
      <c r="RJ14" s="59"/>
      <c r="RK14" s="119"/>
      <c r="RL14" s="119"/>
      <c r="RM14" s="119"/>
      <c r="RN14" s="119"/>
      <c r="RO14" s="119"/>
      <c r="RP14" s="119"/>
      <c r="RQ14" s="119"/>
      <c r="RR14" s="119"/>
      <c r="RS14" s="119"/>
      <c r="RT14" s="119"/>
      <c r="RU14" s="119"/>
      <c r="RV14" s="119"/>
      <c r="RW14" s="120"/>
      <c r="RX14" s="120"/>
      <c r="RY14" s="120"/>
      <c r="RZ14" s="59"/>
      <c r="SA14" s="119"/>
      <c r="SB14" s="119"/>
      <c r="SC14" s="119"/>
      <c r="SD14" s="119"/>
      <c r="SE14" s="119"/>
      <c r="SF14" s="119"/>
      <c r="SG14" s="119"/>
      <c r="SH14" s="119"/>
      <c r="SI14" s="119"/>
      <c r="SJ14" s="119"/>
      <c r="SK14" s="119"/>
      <c r="SL14" s="119"/>
      <c r="SM14" s="120"/>
      <c r="SN14" s="120"/>
      <c r="SO14" s="120"/>
      <c r="SP14" s="59"/>
      <c r="SQ14" s="119"/>
      <c r="SR14" s="119"/>
      <c r="SS14" s="119"/>
      <c r="ST14" s="119"/>
      <c r="SU14" s="119"/>
      <c r="SV14" s="119"/>
      <c r="SW14" s="119"/>
      <c r="SX14" s="119"/>
      <c r="SY14" s="119"/>
      <c r="SZ14" s="119"/>
      <c r="TA14" s="119"/>
      <c r="TB14" s="119"/>
      <c r="TC14" s="120"/>
      <c r="TD14" s="120"/>
      <c r="TE14" s="120"/>
      <c r="TF14" s="59"/>
      <c r="TG14" s="119"/>
      <c r="TH14" s="119"/>
      <c r="TI14" s="119"/>
      <c r="TJ14" s="119"/>
      <c r="TK14" s="119"/>
      <c r="TL14" s="119"/>
      <c r="TM14" s="119"/>
      <c r="TN14" s="119"/>
      <c r="TO14" s="119"/>
      <c r="TP14" s="119"/>
      <c r="TQ14" s="119"/>
      <c r="TR14" s="119"/>
      <c r="TS14" s="120"/>
      <c r="TT14" s="120"/>
      <c r="TU14" s="120"/>
      <c r="TV14" s="59"/>
      <c r="TW14" s="119"/>
      <c r="TX14" s="119"/>
      <c r="TY14" s="119"/>
      <c r="TZ14" s="119"/>
      <c r="UA14" s="119"/>
      <c r="UB14" s="119"/>
      <c r="UC14" s="119"/>
      <c r="UD14" s="119"/>
      <c r="UE14" s="119"/>
      <c r="UF14" s="119"/>
      <c r="UG14" s="119"/>
      <c r="UH14" s="119"/>
      <c r="UI14" s="120"/>
      <c r="UJ14" s="120"/>
      <c r="UK14" s="120"/>
      <c r="UL14" s="59"/>
      <c r="UM14" s="119"/>
      <c r="UN14" s="119"/>
      <c r="UO14" s="119"/>
      <c r="UP14" s="119"/>
      <c r="UQ14" s="119"/>
      <c r="UR14" s="119"/>
      <c r="US14" s="119"/>
      <c r="UT14" s="119"/>
      <c r="UU14" s="119"/>
      <c r="UV14" s="119"/>
      <c r="UW14" s="119"/>
      <c r="UX14" s="119"/>
      <c r="UY14" s="120"/>
      <c r="UZ14" s="120"/>
      <c r="VA14" s="120"/>
      <c r="VB14" s="59"/>
      <c r="VC14" s="119"/>
      <c r="VD14" s="119"/>
      <c r="VE14" s="119"/>
      <c r="VF14" s="119"/>
      <c r="VG14" s="119"/>
      <c r="VH14" s="119"/>
      <c r="VI14" s="119"/>
      <c r="VJ14" s="119"/>
      <c r="VK14" s="119"/>
      <c r="VL14" s="119"/>
      <c r="VM14" s="119"/>
      <c r="VN14" s="119"/>
      <c r="VO14" s="120"/>
      <c r="VP14" s="120"/>
      <c r="VQ14" s="120"/>
      <c r="VR14" s="59"/>
      <c r="VS14" s="119"/>
      <c r="VT14" s="119"/>
      <c r="VU14" s="119"/>
      <c r="VV14" s="119"/>
      <c r="VW14" s="119"/>
      <c r="VX14" s="119"/>
      <c r="VY14" s="119"/>
      <c r="VZ14" s="119"/>
      <c r="WA14" s="119"/>
      <c r="WB14" s="119"/>
      <c r="WC14" s="119"/>
      <c r="WD14" s="119"/>
      <c r="WE14" s="120"/>
      <c r="WF14" s="120"/>
      <c r="WG14" s="120"/>
      <c r="WH14" s="59"/>
      <c r="WI14" s="119"/>
      <c r="WJ14" s="119"/>
      <c r="WK14" s="119"/>
      <c r="WL14" s="119"/>
      <c r="WM14" s="119"/>
      <c r="WN14" s="119"/>
      <c r="WO14" s="119"/>
      <c r="WP14" s="119"/>
      <c r="WQ14" s="119"/>
      <c r="WR14" s="119"/>
      <c r="WS14" s="119"/>
      <c r="WT14" s="119"/>
      <c r="WU14" s="120"/>
      <c r="WV14" s="120"/>
      <c r="WW14" s="120"/>
      <c r="WX14" s="59"/>
      <c r="WY14" s="119"/>
      <c r="WZ14" s="119"/>
      <c r="XA14" s="119"/>
      <c r="XB14" s="119"/>
      <c r="XC14" s="119"/>
      <c r="XD14" s="119"/>
      <c r="XE14" s="119"/>
      <c r="XF14" s="119"/>
      <c r="XG14" s="119"/>
      <c r="XH14" s="119"/>
      <c r="XI14" s="119"/>
      <c r="XJ14" s="119"/>
      <c r="XK14" s="120"/>
      <c r="XL14" s="120"/>
      <c r="XM14" s="120"/>
      <c r="XN14" s="59"/>
      <c r="XO14" s="119"/>
      <c r="XP14" s="119"/>
      <c r="XQ14" s="119"/>
      <c r="XR14" s="119"/>
      <c r="XS14" s="119"/>
      <c r="XT14" s="119"/>
      <c r="XU14" s="119"/>
      <c r="XV14" s="119"/>
      <c r="XW14" s="119"/>
      <c r="XX14" s="119"/>
      <c r="XY14" s="119"/>
      <c r="XZ14" s="119"/>
      <c r="YA14" s="120"/>
      <c r="YB14" s="120"/>
      <c r="YC14" s="120"/>
      <c r="YD14" s="59"/>
      <c r="YE14" s="119"/>
      <c r="YF14" s="119"/>
      <c r="YG14" s="119"/>
      <c r="YH14" s="119"/>
      <c r="YI14" s="119"/>
      <c r="YJ14" s="119"/>
      <c r="YK14" s="119"/>
      <c r="YL14" s="119"/>
      <c r="YM14" s="119"/>
      <c r="YN14" s="119"/>
      <c r="YO14" s="119"/>
      <c r="YP14" s="119"/>
      <c r="YQ14" s="120"/>
      <c r="YR14" s="120"/>
      <c r="YS14" s="120"/>
      <c r="YT14" s="59"/>
      <c r="YU14" s="119"/>
      <c r="YV14" s="119"/>
      <c r="YW14" s="119"/>
      <c r="YX14" s="119"/>
      <c r="YY14" s="119"/>
      <c r="YZ14" s="119"/>
      <c r="ZA14" s="119"/>
      <c r="ZB14" s="119"/>
      <c r="ZC14" s="119"/>
      <c r="ZD14" s="119"/>
      <c r="ZE14" s="119"/>
      <c r="ZF14" s="119"/>
      <c r="ZG14" s="120"/>
      <c r="ZH14" s="120"/>
      <c r="ZI14" s="120"/>
      <c r="ZJ14" s="59"/>
      <c r="ZK14" s="119"/>
      <c r="ZL14" s="119"/>
      <c r="ZM14" s="119"/>
      <c r="ZN14" s="119"/>
      <c r="ZO14" s="119"/>
      <c r="ZP14" s="119"/>
      <c r="ZQ14" s="119"/>
      <c r="ZR14" s="119"/>
      <c r="ZS14" s="119"/>
      <c r="ZT14" s="119"/>
      <c r="ZU14" s="119"/>
      <c r="ZV14" s="119"/>
      <c r="ZW14" s="120"/>
      <c r="ZX14" s="120"/>
      <c r="ZY14" s="120"/>
      <c r="ZZ14" s="59"/>
      <c r="AAA14" s="119"/>
      <c r="AAB14" s="119"/>
      <c r="AAC14" s="119"/>
      <c r="AAD14" s="119"/>
      <c r="AAE14" s="119"/>
      <c r="AAF14" s="119"/>
      <c r="AAG14" s="119"/>
      <c r="AAH14" s="119"/>
      <c r="AAI14" s="119"/>
      <c r="AAJ14" s="119"/>
      <c r="AAK14" s="119"/>
      <c r="AAL14" s="119"/>
      <c r="AAM14" s="120"/>
      <c r="AAN14" s="120"/>
      <c r="AAO14" s="120"/>
      <c r="AAP14" s="59"/>
      <c r="AAQ14" s="119"/>
      <c r="AAR14" s="119"/>
      <c r="AAS14" s="119"/>
      <c r="AAT14" s="119"/>
      <c r="AAU14" s="119"/>
      <c r="AAV14" s="119"/>
      <c r="AAW14" s="119"/>
      <c r="AAX14" s="119"/>
      <c r="AAY14" s="119"/>
      <c r="AAZ14" s="119"/>
      <c r="ABA14" s="119"/>
      <c r="ABB14" s="119"/>
      <c r="ABC14" s="120"/>
      <c r="ABD14" s="120"/>
      <c r="ABE14" s="120"/>
      <c r="ABF14" s="59"/>
      <c r="ABG14" s="119"/>
      <c r="ABH14" s="119"/>
      <c r="ABI14" s="119"/>
      <c r="ABJ14" s="119"/>
      <c r="ABK14" s="119"/>
      <c r="ABL14" s="119"/>
      <c r="ABM14" s="119"/>
      <c r="ABN14" s="119"/>
      <c r="ABO14" s="119"/>
      <c r="ABP14" s="119"/>
      <c r="ABQ14" s="119"/>
      <c r="ABR14" s="119"/>
      <c r="ABS14" s="120"/>
      <c r="ABT14" s="120"/>
      <c r="ABU14" s="120"/>
      <c r="ABV14" s="59"/>
      <c r="ABW14" s="119"/>
      <c r="ABX14" s="119"/>
      <c r="ABY14" s="119"/>
      <c r="ABZ14" s="119"/>
      <c r="ACA14" s="119"/>
      <c r="ACB14" s="119"/>
      <c r="ACC14" s="119"/>
      <c r="ACD14" s="119"/>
      <c r="ACE14" s="119"/>
      <c r="ACF14" s="119"/>
      <c r="ACG14" s="119"/>
      <c r="ACH14" s="119"/>
      <c r="ACI14" s="120"/>
      <c r="ACJ14" s="120"/>
      <c r="ACK14" s="120"/>
      <c r="ACL14" s="59"/>
      <c r="ACM14" s="119"/>
      <c r="ACN14" s="119"/>
      <c r="ACO14" s="119"/>
      <c r="ACP14" s="119"/>
      <c r="ACQ14" s="119"/>
      <c r="ACR14" s="119"/>
      <c r="ACS14" s="119"/>
      <c r="ACT14" s="119"/>
      <c r="ACU14" s="119"/>
      <c r="ACV14" s="119"/>
      <c r="ACW14" s="119"/>
      <c r="ACX14" s="119"/>
      <c r="ACY14" s="120"/>
      <c r="ACZ14" s="120"/>
      <c r="ADA14" s="120"/>
      <c r="ADB14" s="59"/>
      <c r="ADC14" s="119"/>
      <c r="ADD14" s="119"/>
      <c r="ADE14" s="119"/>
      <c r="ADF14" s="119"/>
      <c r="ADG14" s="119"/>
      <c r="ADH14" s="119"/>
      <c r="ADI14" s="119"/>
      <c r="ADJ14" s="119"/>
      <c r="ADK14" s="119"/>
      <c r="ADL14" s="119"/>
      <c r="ADM14" s="119"/>
      <c r="ADN14" s="119"/>
      <c r="ADO14" s="120"/>
      <c r="ADP14" s="120"/>
      <c r="ADQ14" s="120"/>
      <c r="ADR14" s="59"/>
      <c r="ADS14" s="119"/>
      <c r="ADT14" s="119"/>
      <c r="ADU14" s="119"/>
      <c r="ADV14" s="119"/>
      <c r="ADW14" s="119"/>
      <c r="ADX14" s="119"/>
      <c r="ADY14" s="119"/>
      <c r="ADZ14" s="119"/>
      <c r="AEA14" s="119"/>
      <c r="AEB14" s="119"/>
      <c r="AEC14" s="119"/>
      <c r="AED14" s="119"/>
      <c r="AEE14" s="120"/>
      <c r="AEF14" s="120"/>
      <c r="AEG14" s="120"/>
      <c r="AEH14" s="59"/>
      <c r="AEI14" s="119"/>
      <c r="AEJ14" s="119"/>
      <c r="AEK14" s="119"/>
      <c r="AEL14" s="119"/>
      <c r="AEM14" s="119"/>
      <c r="AEN14" s="119"/>
      <c r="AEO14" s="119"/>
      <c r="AEP14" s="119"/>
      <c r="AEQ14" s="119"/>
      <c r="AER14" s="119"/>
      <c r="AES14" s="119"/>
      <c r="AET14" s="119"/>
      <c r="AEU14" s="120"/>
      <c r="AEV14" s="120"/>
      <c r="AEW14" s="120"/>
      <c r="AEX14" s="59"/>
      <c r="AEY14" s="119"/>
      <c r="AEZ14" s="119"/>
      <c r="AFA14" s="119"/>
      <c r="AFB14" s="119"/>
      <c r="AFC14" s="119"/>
      <c r="AFD14" s="119"/>
      <c r="AFE14" s="119"/>
      <c r="AFF14" s="119"/>
      <c r="AFG14" s="119"/>
      <c r="AFH14" s="119"/>
      <c r="AFI14" s="119"/>
      <c r="AFJ14" s="119"/>
      <c r="AFK14" s="120"/>
      <c r="AFL14" s="120"/>
      <c r="AFM14" s="120"/>
      <c r="AFN14" s="59"/>
      <c r="AFO14" s="119"/>
      <c r="AFP14" s="119"/>
      <c r="AFQ14" s="119"/>
      <c r="AFR14" s="119"/>
      <c r="AFS14" s="119"/>
      <c r="AFT14" s="119"/>
      <c r="AFU14" s="119"/>
      <c r="AFV14" s="119"/>
      <c r="AFW14" s="119"/>
      <c r="AFX14" s="119"/>
      <c r="AFY14" s="119"/>
      <c r="AFZ14" s="119"/>
      <c r="AGA14" s="120"/>
      <c r="AGB14" s="120"/>
      <c r="AGC14" s="120"/>
      <c r="AGD14" s="59"/>
      <c r="AGE14" s="119"/>
      <c r="AGF14" s="119"/>
      <c r="AGG14" s="119"/>
      <c r="AGH14" s="119"/>
      <c r="AGI14" s="119"/>
      <c r="AGJ14" s="119"/>
      <c r="AGK14" s="119"/>
      <c r="AGL14" s="119"/>
      <c r="AGM14" s="119"/>
      <c r="AGN14" s="119"/>
      <c r="AGO14" s="119"/>
      <c r="AGP14" s="119"/>
      <c r="AGQ14" s="120"/>
      <c r="AGR14" s="120"/>
      <c r="AGS14" s="120"/>
      <c r="AGT14" s="59"/>
      <c r="AGU14" s="119"/>
      <c r="AGV14" s="119"/>
      <c r="AGW14" s="119"/>
      <c r="AGX14" s="119"/>
      <c r="AGY14" s="119"/>
      <c r="AGZ14" s="119"/>
      <c r="AHA14" s="119"/>
      <c r="AHB14" s="119"/>
      <c r="AHC14" s="119"/>
      <c r="AHD14" s="119"/>
      <c r="AHE14" s="119"/>
      <c r="AHF14" s="119"/>
      <c r="AHG14" s="120"/>
      <c r="AHH14" s="120"/>
      <c r="AHI14" s="120"/>
      <c r="AHJ14" s="59"/>
      <c r="AHK14" s="119"/>
      <c r="AHL14" s="119"/>
      <c r="AHM14" s="119"/>
      <c r="AHN14" s="119"/>
      <c r="AHO14" s="119"/>
      <c r="AHP14" s="119"/>
      <c r="AHQ14" s="119"/>
      <c r="AHR14" s="119"/>
      <c r="AHS14" s="119"/>
      <c r="AHT14" s="119"/>
      <c r="AHU14" s="119"/>
      <c r="AHV14" s="119"/>
      <c r="AHW14" s="120"/>
      <c r="AHX14" s="120"/>
      <c r="AHY14" s="120"/>
      <c r="AHZ14" s="59"/>
      <c r="AIA14" s="119"/>
      <c r="AIB14" s="119"/>
      <c r="AIC14" s="119"/>
      <c r="AID14" s="119"/>
      <c r="AIE14" s="119"/>
      <c r="AIF14" s="119"/>
      <c r="AIG14" s="119"/>
      <c r="AIH14" s="119"/>
      <c r="AII14" s="119"/>
      <c r="AIJ14" s="119"/>
      <c r="AIK14" s="119"/>
      <c r="AIL14" s="119"/>
      <c r="AIM14" s="120"/>
      <c r="AIN14" s="120"/>
      <c r="AIO14" s="120"/>
      <c r="AIP14" s="59"/>
      <c r="AIQ14" s="119"/>
      <c r="AIR14" s="119"/>
      <c r="AIS14" s="119"/>
      <c r="AIT14" s="119"/>
      <c r="AIU14" s="119"/>
      <c r="AIV14" s="119"/>
      <c r="AIW14" s="119"/>
      <c r="AIX14" s="119"/>
      <c r="AIY14" s="119"/>
      <c r="AIZ14" s="119"/>
      <c r="AJA14" s="119"/>
      <c r="AJB14" s="119"/>
      <c r="AJC14" s="120"/>
      <c r="AJD14" s="120"/>
      <c r="AJE14" s="120"/>
      <c r="AJF14" s="59"/>
      <c r="AJG14" s="119"/>
      <c r="AJH14" s="119"/>
      <c r="AJI14" s="119"/>
      <c r="AJJ14" s="119"/>
      <c r="AJK14" s="119"/>
      <c r="AJL14" s="119"/>
      <c r="AJM14" s="119"/>
      <c r="AJN14" s="119"/>
      <c r="AJO14" s="119"/>
      <c r="AJP14" s="119"/>
      <c r="AJQ14" s="119"/>
      <c r="AJR14" s="119"/>
      <c r="AJS14" s="120"/>
      <c r="AJT14" s="120"/>
      <c r="AJU14" s="120"/>
      <c r="AJV14" s="59"/>
      <c r="AJW14" s="119"/>
      <c r="AJX14" s="119"/>
      <c r="AJY14" s="119"/>
      <c r="AJZ14" s="119"/>
      <c r="AKA14" s="119"/>
      <c r="AKB14" s="119"/>
      <c r="AKC14" s="119"/>
      <c r="AKD14" s="119"/>
      <c r="AKE14" s="119"/>
      <c r="AKF14" s="119"/>
      <c r="AKG14" s="119"/>
      <c r="AKH14" s="119"/>
      <c r="AKI14" s="120"/>
      <c r="AKJ14" s="120"/>
      <c r="AKK14" s="120"/>
      <c r="AKL14" s="59"/>
      <c r="AKM14" s="119"/>
      <c r="AKN14" s="119"/>
      <c r="AKO14" s="119"/>
      <c r="AKP14" s="119"/>
      <c r="AKQ14" s="119"/>
      <c r="AKR14" s="119"/>
      <c r="AKS14" s="119"/>
      <c r="AKT14" s="119"/>
      <c r="AKU14" s="119"/>
      <c r="AKV14" s="119"/>
      <c r="AKW14" s="119"/>
      <c r="AKX14" s="119"/>
      <c r="AKY14" s="120"/>
      <c r="AKZ14" s="120"/>
      <c r="ALA14" s="120"/>
      <c r="ALB14" s="59"/>
      <c r="ALC14" s="119"/>
      <c r="ALD14" s="119"/>
      <c r="ALE14" s="119"/>
      <c r="ALF14" s="119"/>
      <c r="ALG14" s="119"/>
      <c r="ALH14" s="119"/>
      <c r="ALI14" s="119"/>
      <c r="ALJ14" s="119"/>
      <c r="ALK14" s="119"/>
      <c r="ALL14" s="119"/>
      <c r="ALM14" s="119"/>
      <c r="ALN14" s="119"/>
      <c r="ALO14" s="120"/>
      <c r="ALP14" s="120"/>
      <c r="ALQ14" s="120"/>
      <c r="ALR14" s="59"/>
      <c r="ALS14" s="119"/>
      <c r="ALT14" s="119"/>
      <c r="ALU14" s="119"/>
      <c r="ALV14" s="119"/>
      <c r="ALW14" s="119"/>
      <c r="ALX14" s="119"/>
      <c r="ALY14" s="119"/>
      <c r="ALZ14" s="119"/>
      <c r="AMA14" s="119"/>
      <c r="AMB14" s="119"/>
      <c r="AMC14" s="119"/>
      <c r="AMD14" s="119"/>
      <c r="AME14" s="120"/>
      <c r="AMF14" s="120"/>
      <c r="AMG14" s="120"/>
      <c r="AMH14" s="59"/>
      <c r="AMI14" s="119"/>
      <c r="AMJ14" s="119"/>
      <c r="AMK14" s="119"/>
      <c r="AML14" s="119"/>
      <c r="AMM14" s="119"/>
      <c r="AMN14" s="119"/>
      <c r="AMO14" s="119"/>
      <c r="AMP14" s="119"/>
      <c r="AMQ14" s="119"/>
      <c r="AMR14" s="119"/>
      <c r="AMS14" s="119"/>
      <c r="AMT14" s="119"/>
      <c r="AMU14" s="120"/>
      <c r="AMV14" s="120"/>
      <c r="AMW14" s="120"/>
      <c r="AMX14" s="59"/>
      <c r="AMY14" s="119"/>
      <c r="AMZ14" s="119"/>
      <c r="ANA14" s="119"/>
      <c r="ANB14" s="119"/>
      <c r="ANC14" s="119"/>
      <c r="AND14" s="119"/>
      <c r="ANE14" s="119"/>
      <c r="ANF14" s="119"/>
      <c r="ANG14" s="119"/>
      <c r="ANH14" s="119"/>
      <c r="ANI14" s="119"/>
      <c r="ANJ14" s="119"/>
      <c r="ANK14" s="120"/>
      <c r="ANL14" s="120"/>
      <c r="ANM14" s="120"/>
      <c r="ANN14" s="59"/>
      <c r="ANO14" s="119"/>
      <c r="ANP14" s="119"/>
      <c r="ANQ14" s="119"/>
      <c r="ANR14" s="119"/>
      <c r="ANS14" s="119"/>
      <c r="ANT14" s="119"/>
      <c r="ANU14" s="119"/>
      <c r="ANV14" s="119"/>
      <c r="ANW14" s="119"/>
      <c r="ANX14" s="119"/>
      <c r="ANY14" s="119"/>
      <c r="ANZ14" s="119"/>
      <c r="AOA14" s="120"/>
      <c r="AOB14" s="120"/>
      <c r="AOC14" s="120"/>
      <c r="AOD14" s="59"/>
      <c r="AOE14" s="119"/>
      <c r="AOF14" s="119"/>
      <c r="AOG14" s="119"/>
      <c r="AOH14" s="119"/>
      <c r="AOI14" s="119"/>
      <c r="AOJ14" s="119"/>
      <c r="AOK14" s="119"/>
      <c r="AOL14" s="119"/>
      <c r="AOM14" s="119"/>
      <c r="AON14" s="119"/>
      <c r="AOO14" s="119"/>
      <c r="AOP14" s="119"/>
      <c r="AOQ14" s="120"/>
      <c r="AOR14" s="120"/>
      <c r="AOS14" s="120"/>
      <c r="AOT14" s="59"/>
      <c r="AOU14" s="119"/>
      <c r="AOV14" s="119"/>
      <c r="AOW14" s="119"/>
      <c r="AOX14" s="119"/>
      <c r="AOY14" s="119"/>
      <c r="AOZ14" s="119"/>
      <c r="APA14" s="119"/>
      <c r="APB14" s="119"/>
      <c r="APC14" s="119"/>
      <c r="APD14" s="119"/>
      <c r="APE14" s="119"/>
      <c r="APF14" s="119"/>
      <c r="APG14" s="120"/>
      <c r="APH14" s="120"/>
      <c r="API14" s="120"/>
      <c r="APJ14" s="59"/>
      <c r="APK14" s="119"/>
      <c r="APL14" s="119"/>
      <c r="APM14" s="119"/>
      <c r="APN14" s="119"/>
      <c r="APO14" s="119"/>
      <c r="APP14" s="119"/>
      <c r="APQ14" s="119"/>
      <c r="APR14" s="119"/>
      <c r="APS14" s="119"/>
      <c r="APT14" s="119"/>
      <c r="APU14" s="119"/>
      <c r="APV14" s="119"/>
      <c r="APW14" s="120"/>
      <c r="APX14" s="120"/>
      <c r="APY14" s="120"/>
      <c r="APZ14" s="59"/>
      <c r="AQA14" s="119"/>
      <c r="AQB14" s="119"/>
      <c r="AQC14" s="119"/>
      <c r="AQD14" s="119"/>
      <c r="AQE14" s="119"/>
      <c r="AQF14" s="119"/>
      <c r="AQG14" s="119"/>
      <c r="AQH14" s="119"/>
      <c r="AQI14" s="119"/>
      <c r="AQJ14" s="119"/>
      <c r="AQK14" s="119"/>
      <c r="AQL14" s="119"/>
      <c r="AQM14" s="120"/>
      <c r="AQN14" s="120"/>
      <c r="AQO14" s="120"/>
      <c r="AQP14" s="59"/>
      <c r="AQQ14" s="119"/>
      <c r="AQR14" s="119"/>
      <c r="AQS14" s="119"/>
      <c r="AQT14" s="119"/>
      <c r="AQU14" s="119"/>
      <c r="AQV14" s="119"/>
      <c r="AQW14" s="119"/>
      <c r="AQX14" s="119"/>
      <c r="AQY14" s="119"/>
      <c r="AQZ14" s="119"/>
      <c r="ARA14" s="119"/>
      <c r="ARB14" s="119"/>
      <c r="ARC14" s="120"/>
      <c r="ARD14" s="120"/>
      <c r="ARE14" s="120"/>
      <c r="ARF14" s="59"/>
      <c r="ARG14" s="119"/>
      <c r="ARH14" s="119"/>
      <c r="ARI14" s="119"/>
      <c r="ARJ14" s="119"/>
      <c r="ARK14" s="119"/>
      <c r="ARL14" s="119"/>
      <c r="ARM14" s="119"/>
      <c r="ARN14" s="119"/>
      <c r="ARO14" s="119"/>
      <c r="ARP14" s="119"/>
      <c r="ARQ14" s="119"/>
      <c r="ARR14" s="119"/>
      <c r="ARS14" s="120"/>
      <c r="ART14" s="120"/>
      <c r="ARU14" s="120"/>
      <c r="ARV14" s="59"/>
      <c r="ARW14" s="119"/>
      <c r="ARX14" s="119"/>
      <c r="ARY14" s="119"/>
      <c r="ARZ14" s="119"/>
      <c r="ASA14" s="119"/>
      <c r="ASB14" s="119"/>
      <c r="ASC14" s="119"/>
      <c r="ASD14" s="119"/>
      <c r="ASE14" s="119"/>
      <c r="ASF14" s="119"/>
      <c r="ASG14" s="119"/>
      <c r="ASH14" s="119"/>
      <c r="ASI14" s="120"/>
      <c r="ASJ14" s="120"/>
      <c r="ASK14" s="120"/>
      <c r="ASL14" s="59"/>
      <c r="ASM14" s="119"/>
      <c r="ASN14" s="119"/>
      <c r="ASO14" s="119"/>
      <c r="ASP14" s="119"/>
      <c r="ASQ14" s="119"/>
      <c r="ASR14" s="119"/>
      <c r="ASS14" s="119"/>
      <c r="AST14" s="119"/>
      <c r="ASU14" s="119"/>
      <c r="ASV14" s="119"/>
      <c r="ASW14" s="119"/>
      <c r="ASX14" s="119"/>
      <c r="ASY14" s="120"/>
      <c r="ASZ14" s="120"/>
      <c r="ATA14" s="120"/>
      <c r="ATB14" s="59"/>
      <c r="ATC14" s="119"/>
      <c r="ATD14" s="119"/>
      <c r="ATE14" s="119"/>
      <c r="ATF14" s="119"/>
      <c r="ATG14" s="119"/>
      <c r="ATH14" s="119"/>
      <c r="ATI14" s="119"/>
      <c r="ATJ14" s="119"/>
      <c r="ATK14" s="119"/>
      <c r="ATL14" s="119"/>
      <c r="ATM14" s="119"/>
      <c r="ATN14" s="119"/>
      <c r="ATO14" s="120"/>
      <c r="ATP14" s="120"/>
      <c r="ATQ14" s="120"/>
      <c r="ATR14" s="59"/>
      <c r="ATS14" s="119"/>
      <c r="ATT14" s="119"/>
      <c r="ATU14" s="119"/>
      <c r="ATV14" s="119"/>
      <c r="ATW14" s="119"/>
      <c r="ATX14" s="119"/>
      <c r="ATY14" s="119"/>
      <c r="ATZ14" s="119"/>
      <c r="AUA14" s="119"/>
      <c r="AUB14" s="119"/>
      <c r="AUC14" s="119"/>
      <c r="AUD14" s="119"/>
      <c r="AUE14" s="120"/>
      <c r="AUF14" s="120"/>
      <c r="AUG14" s="120"/>
      <c r="AUH14" s="59"/>
      <c r="AUI14" s="119"/>
      <c r="AUJ14" s="119"/>
      <c r="AUK14" s="119"/>
      <c r="AUL14" s="119"/>
      <c r="AUM14" s="119"/>
      <c r="AUN14" s="119"/>
      <c r="AUO14" s="119"/>
      <c r="AUP14" s="119"/>
      <c r="AUQ14" s="119"/>
      <c r="AUR14" s="119"/>
      <c r="AUS14" s="119"/>
      <c r="AUT14" s="119"/>
      <c r="AUU14" s="120"/>
      <c r="AUV14" s="120"/>
      <c r="AUW14" s="120"/>
      <c r="AUX14" s="59"/>
      <c r="AUY14" s="119"/>
      <c r="AUZ14" s="119"/>
      <c r="AVA14" s="119"/>
      <c r="AVB14" s="119"/>
      <c r="AVC14" s="119"/>
      <c r="AVD14" s="119"/>
      <c r="AVE14" s="119"/>
      <c r="AVF14" s="119"/>
      <c r="AVG14" s="119"/>
      <c r="AVH14" s="119"/>
      <c r="AVI14" s="119"/>
      <c r="AVJ14" s="119"/>
      <c r="AVK14" s="120"/>
      <c r="AVL14" s="120"/>
      <c r="AVM14" s="120"/>
      <c r="AVN14" s="59"/>
      <c r="AVO14" s="119"/>
      <c r="AVP14" s="119"/>
      <c r="AVQ14" s="119"/>
      <c r="AVR14" s="119"/>
      <c r="AVS14" s="119"/>
      <c r="AVT14" s="119"/>
      <c r="AVU14" s="119"/>
      <c r="AVV14" s="119"/>
      <c r="AVW14" s="119"/>
      <c r="AVX14" s="119"/>
      <c r="AVY14" s="119"/>
      <c r="AVZ14" s="119"/>
      <c r="AWA14" s="120"/>
      <c r="AWB14" s="120"/>
      <c r="AWC14" s="120"/>
      <c r="AWD14" s="59"/>
      <c r="AWE14" s="119"/>
      <c r="AWF14" s="119"/>
      <c r="AWG14" s="119"/>
      <c r="AWH14" s="119"/>
      <c r="AWI14" s="119"/>
      <c r="AWJ14" s="119"/>
      <c r="AWK14" s="119"/>
      <c r="AWL14" s="119"/>
      <c r="AWM14" s="119"/>
      <c r="AWN14" s="119"/>
      <c r="AWO14" s="119"/>
      <c r="AWP14" s="119"/>
      <c r="AWQ14" s="120"/>
      <c r="AWR14" s="120"/>
      <c r="AWS14" s="120"/>
      <c r="AWT14" s="59"/>
      <c r="AWU14" s="119"/>
      <c r="AWV14" s="119"/>
      <c r="AWW14" s="119"/>
      <c r="AWX14" s="119"/>
      <c r="AWY14" s="119"/>
      <c r="AWZ14" s="119"/>
      <c r="AXA14" s="119"/>
      <c r="AXB14" s="119"/>
      <c r="AXC14" s="119"/>
      <c r="AXD14" s="119"/>
      <c r="AXE14" s="119"/>
      <c r="AXF14" s="119"/>
      <c r="AXG14" s="120"/>
      <c r="AXH14" s="120"/>
      <c r="AXI14" s="120"/>
      <c r="AXJ14" s="59"/>
      <c r="AXK14" s="119"/>
      <c r="AXL14" s="119"/>
      <c r="AXM14" s="119"/>
      <c r="AXN14" s="119"/>
      <c r="AXO14" s="119"/>
      <c r="AXP14" s="119"/>
      <c r="AXQ14" s="119"/>
      <c r="AXR14" s="119"/>
      <c r="AXS14" s="119"/>
      <c r="AXT14" s="119"/>
      <c r="AXU14" s="119"/>
      <c r="AXV14" s="119"/>
      <c r="AXW14" s="120"/>
      <c r="AXX14" s="120"/>
      <c r="AXY14" s="120"/>
      <c r="AXZ14" s="59"/>
      <c r="AYA14" s="119"/>
      <c r="AYB14" s="119"/>
      <c r="AYC14" s="119"/>
      <c r="AYD14" s="119"/>
      <c r="AYE14" s="119"/>
      <c r="AYF14" s="119"/>
      <c r="AYG14" s="119"/>
      <c r="AYH14" s="119"/>
      <c r="AYI14" s="119"/>
      <c r="AYJ14" s="119"/>
      <c r="AYK14" s="119"/>
      <c r="AYL14" s="119"/>
      <c r="AYM14" s="120"/>
      <c r="AYN14" s="120"/>
      <c r="AYO14" s="120"/>
      <c r="AYP14" s="59"/>
      <c r="AYQ14" s="119"/>
      <c r="AYR14" s="119"/>
      <c r="AYS14" s="119"/>
      <c r="AYT14" s="119"/>
      <c r="AYU14" s="119"/>
      <c r="AYV14" s="119"/>
      <c r="AYW14" s="119"/>
      <c r="AYX14" s="119"/>
      <c r="AYY14" s="119"/>
      <c r="AYZ14" s="119"/>
      <c r="AZA14" s="119"/>
      <c r="AZB14" s="119"/>
      <c r="AZC14" s="120"/>
      <c r="AZD14" s="120"/>
      <c r="AZE14" s="120"/>
      <c r="AZF14" s="59"/>
      <c r="AZG14" s="119"/>
      <c r="AZH14" s="119"/>
      <c r="AZI14" s="119"/>
      <c r="AZJ14" s="119"/>
      <c r="AZK14" s="119"/>
      <c r="AZL14" s="119"/>
      <c r="AZM14" s="119"/>
      <c r="AZN14" s="119"/>
      <c r="AZO14" s="119"/>
      <c r="AZP14" s="119"/>
      <c r="AZQ14" s="119"/>
      <c r="AZR14" s="119"/>
      <c r="AZS14" s="120"/>
      <c r="AZT14" s="120"/>
      <c r="AZU14" s="120"/>
      <c r="AZV14" s="59"/>
      <c r="AZW14" s="119"/>
      <c r="AZX14" s="119"/>
      <c r="AZY14" s="119"/>
      <c r="AZZ14" s="119"/>
      <c r="BAA14" s="119"/>
      <c r="BAB14" s="119"/>
      <c r="BAC14" s="119"/>
      <c r="BAD14" s="119"/>
      <c r="BAE14" s="119"/>
      <c r="BAF14" s="119"/>
      <c r="BAG14" s="119"/>
      <c r="BAH14" s="119"/>
      <c r="BAI14" s="120"/>
      <c r="BAJ14" s="120"/>
      <c r="BAK14" s="120"/>
      <c r="BAL14" s="59"/>
      <c r="BAM14" s="119"/>
      <c r="BAN14" s="119"/>
      <c r="BAO14" s="119"/>
      <c r="BAP14" s="119"/>
      <c r="BAQ14" s="119"/>
      <c r="BAR14" s="119"/>
      <c r="BAS14" s="119"/>
      <c r="BAT14" s="119"/>
      <c r="BAU14" s="119"/>
      <c r="BAV14" s="119"/>
      <c r="BAW14" s="119"/>
      <c r="BAX14" s="119"/>
      <c r="BAY14" s="120"/>
      <c r="BAZ14" s="120"/>
      <c r="BBA14" s="120"/>
      <c r="BBB14" s="59"/>
      <c r="BBC14" s="119"/>
      <c r="BBD14" s="119"/>
      <c r="BBE14" s="119"/>
      <c r="BBF14" s="119"/>
      <c r="BBG14" s="119"/>
      <c r="BBH14" s="119"/>
      <c r="BBI14" s="119"/>
      <c r="BBJ14" s="119"/>
      <c r="BBK14" s="119"/>
      <c r="BBL14" s="119"/>
      <c r="BBM14" s="119"/>
      <c r="BBN14" s="119"/>
      <c r="BBO14" s="120"/>
      <c r="BBP14" s="120"/>
      <c r="BBQ14" s="120"/>
      <c r="BBR14" s="59"/>
      <c r="BBS14" s="119"/>
      <c r="BBT14" s="119"/>
      <c r="BBU14" s="119"/>
      <c r="BBV14" s="119"/>
      <c r="BBW14" s="119"/>
      <c r="BBX14" s="119"/>
      <c r="BBY14" s="119"/>
      <c r="BBZ14" s="119"/>
      <c r="BCA14" s="119"/>
      <c r="BCB14" s="119"/>
      <c r="BCC14" s="119"/>
      <c r="BCD14" s="119"/>
      <c r="BCE14" s="120"/>
      <c r="BCF14" s="120"/>
      <c r="BCG14" s="120"/>
      <c r="BCH14" s="59"/>
      <c r="BCI14" s="119"/>
      <c r="BCJ14" s="119"/>
      <c r="BCK14" s="119"/>
      <c r="BCL14" s="119"/>
      <c r="BCM14" s="119"/>
      <c r="BCN14" s="119"/>
      <c r="BCO14" s="119"/>
      <c r="BCP14" s="119"/>
      <c r="BCQ14" s="119"/>
      <c r="BCR14" s="119"/>
      <c r="BCS14" s="119"/>
      <c r="BCT14" s="119"/>
      <c r="BCU14" s="120"/>
      <c r="BCV14" s="120"/>
      <c r="BCW14" s="120"/>
      <c r="BCX14" s="59"/>
      <c r="BCY14" s="119"/>
      <c r="BCZ14" s="119"/>
      <c r="BDA14" s="119"/>
      <c r="BDB14" s="119"/>
      <c r="BDC14" s="119"/>
      <c r="BDD14" s="119"/>
      <c r="BDE14" s="119"/>
      <c r="BDF14" s="119"/>
      <c r="BDG14" s="119"/>
      <c r="BDH14" s="119"/>
      <c r="BDI14" s="119"/>
      <c r="BDJ14" s="119"/>
      <c r="BDK14" s="120"/>
      <c r="BDL14" s="120"/>
      <c r="BDM14" s="120"/>
      <c r="BDN14" s="59"/>
      <c r="BDO14" s="119"/>
      <c r="BDP14" s="119"/>
      <c r="BDQ14" s="119"/>
      <c r="BDR14" s="119"/>
      <c r="BDS14" s="119"/>
      <c r="BDT14" s="119"/>
      <c r="BDU14" s="119"/>
      <c r="BDV14" s="119"/>
      <c r="BDW14" s="119"/>
      <c r="BDX14" s="119"/>
      <c r="BDY14" s="119"/>
      <c r="BDZ14" s="119"/>
      <c r="BEA14" s="120"/>
      <c r="BEB14" s="120"/>
      <c r="BEC14" s="120"/>
      <c r="BED14" s="59"/>
      <c r="BEE14" s="119"/>
      <c r="BEF14" s="119"/>
      <c r="BEG14" s="119"/>
      <c r="BEH14" s="119"/>
      <c r="BEI14" s="119"/>
      <c r="BEJ14" s="119"/>
      <c r="BEK14" s="119"/>
      <c r="BEL14" s="119"/>
      <c r="BEM14" s="119"/>
      <c r="BEN14" s="119"/>
      <c r="BEO14" s="119"/>
      <c r="BEP14" s="119"/>
      <c r="BEQ14" s="120"/>
      <c r="BER14" s="120"/>
      <c r="BES14" s="120"/>
      <c r="BET14" s="59"/>
      <c r="BEU14" s="119"/>
      <c r="BEV14" s="119"/>
      <c r="BEW14" s="119"/>
      <c r="BEX14" s="119"/>
      <c r="BEY14" s="119"/>
      <c r="BEZ14" s="119"/>
      <c r="BFA14" s="119"/>
      <c r="BFB14" s="119"/>
      <c r="BFC14" s="119"/>
      <c r="BFD14" s="119"/>
      <c r="BFE14" s="119"/>
      <c r="BFF14" s="119"/>
      <c r="BFG14" s="120"/>
      <c r="BFH14" s="120"/>
      <c r="BFI14" s="120"/>
      <c r="BFJ14" s="59"/>
      <c r="BFK14" s="119"/>
      <c r="BFL14" s="119"/>
      <c r="BFM14" s="119"/>
      <c r="BFN14" s="119"/>
      <c r="BFO14" s="119"/>
      <c r="BFP14" s="119"/>
      <c r="BFQ14" s="119"/>
      <c r="BFR14" s="119"/>
      <c r="BFS14" s="119"/>
      <c r="BFT14" s="119"/>
      <c r="BFU14" s="119"/>
      <c r="BFV14" s="119"/>
      <c r="BFW14" s="120"/>
      <c r="BFX14" s="120"/>
      <c r="BFY14" s="120"/>
      <c r="BFZ14" s="59"/>
      <c r="BGA14" s="119"/>
      <c r="BGB14" s="119"/>
      <c r="BGC14" s="119"/>
      <c r="BGD14" s="119"/>
      <c r="BGE14" s="119"/>
      <c r="BGF14" s="119"/>
      <c r="BGG14" s="119"/>
      <c r="BGH14" s="119"/>
      <c r="BGI14" s="119"/>
      <c r="BGJ14" s="119"/>
      <c r="BGK14" s="119"/>
      <c r="BGL14" s="119"/>
      <c r="BGM14" s="120"/>
      <c r="BGN14" s="120"/>
      <c r="BGO14" s="120"/>
      <c r="BGP14" s="59"/>
      <c r="BGQ14" s="119"/>
      <c r="BGR14" s="119"/>
      <c r="BGS14" s="119"/>
      <c r="BGT14" s="119"/>
      <c r="BGU14" s="119"/>
      <c r="BGV14" s="119"/>
      <c r="BGW14" s="119"/>
      <c r="BGX14" s="119"/>
      <c r="BGY14" s="119"/>
      <c r="BGZ14" s="119"/>
      <c r="BHA14" s="119"/>
      <c r="BHB14" s="119"/>
      <c r="BHC14" s="120"/>
      <c r="BHD14" s="120"/>
      <c r="BHE14" s="120"/>
      <c r="BHF14" s="59"/>
      <c r="BHG14" s="119"/>
      <c r="BHH14" s="119"/>
      <c r="BHI14" s="119"/>
      <c r="BHJ14" s="119"/>
      <c r="BHK14" s="119"/>
      <c r="BHL14" s="119"/>
      <c r="BHM14" s="119"/>
      <c r="BHN14" s="119"/>
      <c r="BHO14" s="119"/>
      <c r="BHP14" s="119"/>
      <c r="BHQ14" s="119"/>
      <c r="BHR14" s="119"/>
      <c r="BHS14" s="120"/>
      <c r="BHT14" s="120"/>
      <c r="BHU14" s="120"/>
      <c r="BHV14" s="59"/>
      <c r="BHW14" s="119"/>
      <c r="BHX14" s="119"/>
      <c r="BHY14" s="119"/>
      <c r="BHZ14" s="119"/>
      <c r="BIA14" s="119"/>
      <c r="BIB14" s="119"/>
      <c r="BIC14" s="119"/>
      <c r="BID14" s="119"/>
      <c r="BIE14" s="119"/>
      <c r="BIF14" s="119"/>
      <c r="BIG14" s="119"/>
      <c r="BIH14" s="119"/>
      <c r="BII14" s="120"/>
      <c r="BIJ14" s="120"/>
      <c r="BIK14" s="120"/>
      <c r="BIL14" s="59"/>
      <c r="BIM14" s="119"/>
      <c r="BIN14" s="119"/>
      <c r="BIO14" s="119"/>
      <c r="BIP14" s="119"/>
      <c r="BIQ14" s="119"/>
      <c r="BIR14" s="119"/>
      <c r="BIS14" s="119"/>
      <c r="BIT14" s="119"/>
      <c r="BIU14" s="119"/>
      <c r="BIV14" s="119"/>
      <c r="BIW14" s="119"/>
      <c r="BIX14" s="119"/>
      <c r="BIY14" s="120"/>
      <c r="BIZ14" s="120"/>
      <c r="BJA14" s="120"/>
      <c r="BJB14" s="59"/>
      <c r="BJC14" s="119"/>
      <c r="BJD14" s="119"/>
      <c r="BJE14" s="119"/>
      <c r="BJF14" s="119"/>
      <c r="BJG14" s="119"/>
      <c r="BJH14" s="119"/>
      <c r="BJI14" s="119"/>
      <c r="BJJ14" s="119"/>
      <c r="BJK14" s="119"/>
      <c r="BJL14" s="119"/>
      <c r="BJM14" s="119"/>
      <c r="BJN14" s="119"/>
      <c r="BJO14" s="120"/>
      <c r="BJP14" s="120"/>
      <c r="BJQ14" s="120"/>
      <c r="BJR14" s="59"/>
      <c r="BJS14" s="119"/>
      <c r="BJT14" s="119"/>
      <c r="BJU14" s="119"/>
      <c r="BJV14" s="119"/>
      <c r="BJW14" s="119"/>
      <c r="BJX14" s="119"/>
      <c r="BJY14" s="119"/>
      <c r="BJZ14" s="119"/>
      <c r="BKA14" s="119"/>
      <c r="BKB14" s="119"/>
      <c r="BKC14" s="119"/>
      <c r="BKD14" s="119"/>
      <c r="BKE14" s="120"/>
      <c r="BKF14" s="120"/>
      <c r="BKG14" s="120"/>
      <c r="BKH14" s="59"/>
      <c r="BKI14" s="119"/>
      <c r="BKJ14" s="119"/>
      <c r="BKK14" s="119"/>
      <c r="BKL14" s="119"/>
      <c r="BKM14" s="119"/>
      <c r="BKN14" s="119"/>
      <c r="BKO14" s="119"/>
      <c r="BKP14" s="119"/>
      <c r="BKQ14" s="119"/>
      <c r="BKR14" s="119"/>
      <c r="BKS14" s="119"/>
      <c r="BKT14" s="119"/>
      <c r="BKU14" s="120"/>
      <c r="BKV14" s="120"/>
      <c r="BKW14" s="120"/>
      <c r="BKX14" s="59"/>
      <c r="BKY14" s="119"/>
      <c r="BKZ14" s="119"/>
      <c r="BLA14" s="119"/>
      <c r="BLB14" s="119"/>
      <c r="BLC14" s="119"/>
      <c r="BLD14" s="119"/>
      <c r="BLE14" s="119"/>
      <c r="BLF14" s="119"/>
      <c r="BLG14" s="119"/>
      <c r="BLH14" s="119"/>
      <c r="BLI14" s="119"/>
      <c r="BLJ14" s="119"/>
      <c r="BLK14" s="120"/>
      <c r="BLL14" s="120"/>
      <c r="BLM14" s="120"/>
      <c r="BLN14" s="59"/>
      <c r="BLO14" s="119"/>
      <c r="BLP14" s="119"/>
      <c r="BLQ14" s="119"/>
      <c r="BLR14" s="119"/>
      <c r="BLS14" s="119"/>
      <c r="BLT14" s="119"/>
      <c r="BLU14" s="119"/>
      <c r="BLV14" s="119"/>
      <c r="BLW14" s="119"/>
      <c r="BLX14" s="119"/>
      <c r="BLY14" s="119"/>
      <c r="BLZ14" s="119"/>
      <c r="BMA14" s="120"/>
      <c r="BMB14" s="120"/>
      <c r="BMC14" s="120"/>
      <c r="BMD14" s="59"/>
      <c r="BME14" s="119"/>
      <c r="BMF14" s="119"/>
      <c r="BMG14" s="119"/>
      <c r="BMH14" s="119"/>
      <c r="BMI14" s="119"/>
      <c r="BMJ14" s="119"/>
      <c r="BMK14" s="119"/>
      <c r="BML14" s="119"/>
      <c r="BMM14" s="119"/>
      <c r="BMN14" s="119"/>
      <c r="BMO14" s="119"/>
      <c r="BMP14" s="119"/>
      <c r="BMQ14" s="120"/>
      <c r="BMR14" s="120"/>
      <c r="BMS14" s="120"/>
      <c r="BMT14" s="59"/>
      <c r="BMU14" s="119"/>
      <c r="BMV14" s="119"/>
      <c r="BMW14" s="119"/>
      <c r="BMX14" s="119"/>
      <c r="BMY14" s="119"/>
      <c r="BMZ14" s="119"/>
      <c r="BNA14" s="119"/>
      <c r="BNB14" s="119"/>
      <c r="BNC14" s="119"/>
      <c r="BND14" s="119"/>
      <c r="BNE14" s="119"/>
      <c r="BNF14" s="119"/>
      <c r="BNG14" s="120"/>
      <c r="BNH14" s="120"/>
      <c r="BNI14" s="120"/>
      <c r="BNJ14" s="59"/>
      <c r="BNK14" s="119"/>
      <c r="BNL14" s="119"/>
      <c r="BNM14" s="119"/>
      <c r="BNN14" s="119"/>
      <c r="BNO14" s="119"/>
      <c r="BNP14" s="119"/>
      <c r="BNQ14" s="119"/>
      <c r="BNR14" s="119"/>
      <c r="BNS14" s="119"/>
      <c r="BNT14" s="119"/>
      <c r="BNU14" s="119"/>
      <c r="BNV14" s="119"/>
      <c r="BNW14" s="120"/>
      <c r="BNX14" s="120"/>
      <c r="BNY14" s="120"/>
      <c r="BNZ14" s="59"/>
      <c r="BOA14" s="119"/>
      <c r="BOB14" s="119"/>
      <c r="BOC14" s="119"/>
      <c r="BOD14" s="119"/>
      <c r="BOE14" s="119"/>
      <c r="BOF14" s="119"/>
      <c r="BOG14" s="119"/>
      <c r="BOH14" s="119"/>
      <c r="BOI14" s="119"/>
      <c r="BOJ14" s="119"/>
      <c r="BOK14" s="119"/>
      <c r="BOL14" s="119"/>
      <c r="BOM14" s="120"/>
      <c r="BON14" s="120"/>
      <c r="BOO14" s="120"/>
      <c r="BOP14" s="59"/>
      <c r="BOQ14" s="119"/>
      <c r="BOR14" s="119"/>
      <c r="BOS14" s="119"/>
      <c r="BOT14" s="119"/>
      <c r="BOU14" s="119"/>
      <c r="BOV14" s="119"/>
      <c r="BOW14" s="119"/>
      <c r="BOX14" s="119"/>
      <c r="BOY14" s="119"/>
      <c r="BOZ14" s="119"/>
      <c r="BPA14" s="119"/>
      <c r="BPB14" s="119"/>
      <c r="BPC14" s="120"/>
      <c r="BPD14" s="120"/>
      <c r="BPE14" s="120"/>
      <c r="BPF14" s="59"/>
      <c r="BPG14" s="119"/>
      <c r="BPH14" s="119"/>
      <c r="BPI14" s="119"/>
      <c r="BPJ14" s="119"/>
      <c r="BPK14" s="119"/>
      <c r="BPL14" s="119"/>
      <c r="BPM14" s="119"/>
      <c r="BPN14" s="119"/>
      <c r="BPO14" s="119"/>
      <c r="BPP14" s="119"/>
      <c r="BPQ14" s="119"/>
      <c r="BPR14" s="119"/>
      <c r="BPS14" s="120"/>
      <c r="BPT14" s="120"/>
      <c r="BPU14" s="120"/>
      <c r="BPV14" s="59"/>
      <c r="BPW14" s="119"/>
      <c r="BPX14" s="119"/>
      <c r="BPY14" s="119"/>
      <c r="BPZ14" s="119"/>
      <c r="BQA14" s="119"/>
      <c r="BQB14" s="119"/>
      <c r="BQC14" s="119"/>
      <c r="BQD14" s="119"/>
      <c r="BQE14" s="119"/>
      <c r="BQF14" s="119"/>
      <c r="BQG14" s="119"/>
      <c r="BQH14" s="119"/>
      <c r="BQI14" s="120"/>
      <c r="BQJ14" s="120"/>
      <c r="BQK14" s="120"/>
      <c r="BQL14" s="59"/>
      <c r="BQM14" s="119"/>
      <c r="BQN14" s="119"/>
      <c r="BQO14" s="119"/>
      <c r="BQP14" s="119"/>
      <c r="BQQ14" s="119"/>
      <c r="BQR14" s="119"/>
      <c r="BQS14" s="119"/>
      <c r="BQT14" s="119"/>
      <c r="BQU14" s="119"/>
      <c r="BQV14" s="119"/>
      <c r="BQW14" s="119"/>
      <c r="BQX14" s="119"/>
      <c r="BQY14" s="120"/>
      <c r="BQZ14" s="120"/>
      <c r="BRA14" s="120"/>
      <c r="BRB14" s="59"/>
      <c r="BRC14" s="119"/>
      <c r="BRD14" s="119"/>
      <c r="BRE14" s="119"/>
      <c r="BRF14" s="119"/>
      <c r="BRG14" s="119"/>
      <c r="BRH14" s="119"/>
      <c r="BRI14" s="119"/>
      <c r="BRJ14" s="119"/>
      <c r="BRK14" s="119"/>
      <c r="BRL14" s="119"/>
      <c r="BRM14" s="119"/>
      <c r="BRN14" s="119"/>
      <c r="BRO14" s="120"/>
      <c r="BRP14" s="120"/>
      <c r="BRQ14" s="120"/>
      <c r="BRR14" s="59"/>
      <c r="BRS14" s="119"/>
      <c r="BRT14" s="119"/>
      <c r="BRU14" s="119"/>
      <c r="BRV14" s="119"/>
      <c r="BRW14" s="119"/>
      <c r="BRX14" s="119"/>
      <c r="BRY14" s="119"/>
      <c r="BRZ14" s="119"/>
      <c r="BSA14" s="119"/>
      <c r="BSB14" s="119"/>
      <c r="BSC14" s="119"/>
      <c r="BSD14" s="119"/>
      <c r="BSE14" s="120"/>
      <c r="BSF14" s="120"/>
      <c r="BSG14" s="120"/>
      <c r="BSH14" s="59"/>
      <c r="BSI14" s="119"/>
      <c r="BSJ14" s="119"/>
      <c r="BSK14" s="119"/>
      <c r="BSL14" s="119"/>
      <c r="BSM14" s="119"/>
      <c r="BSN14" s="119"/>
      <c r="BSO14" s="119"/>
      <c r="BSP14" s="119"/>
      <c r="BSQ14" s="119"/>
      <c r="BSR14" s="119"/>
      <c r="BSS14" s="119"/>
      <c r="BST14" s="119"/>
      <c r="BSU14" s="120"/>
      <c r="BSV14" s="120"/>
      <c r="BSW14" s="120"/>
      <c r="BSX14" s="59"/>
      <c r="BSY14" s="119"/>
      <c r="BSZ14" s="119"/>
      <c r="BTA14" s="119"/>
      <c r="BTB14" s="119"/>
      <c r="BTC14" s="119"/>
      <c r="BTD14" s="119"/>
      <c r="BTE14" s="119"/>
      <c r="BTF14" s="119"/>
      <c r="BTG14" s="119"/>
      <c r="BTH14" s="119"/>
      <c r="BTI14" s="119"/>
      <c r="BTJ14" s="119"/>
      <c r="BTK14" s="120"/>
      <c r="BTL14" s="120"/>
      <c r="BTM14" s="120"/>
      <c r="BTN14" s="59"/>
      <c r="BTO14" s="119"/>
      <c r="BTP14" s="119"/>
      <c r="BTQ14" s="119"/>
      <c r="BTR14" s="119"/>
      <c r="BTS14" s="119"/>
      <c r="BTT14" s="119"/>
      <c r="BTU14" s="119"/>
      <c r="BTV14" s="119"/>
      <c r="BTW14" s="119"/>
      <c r="BTX14" s="119"/>
      <c r="BTY14" s="119"/>
      <c r="BTZ14" s="119"/>
      <c r="BUA14" s="120"/>
      <c r="BUB14" s="120"/>
      <c r="BUC14" s="120"/>
      <c r="BUD14" s="59"/>
      <c r="BUE14" s="119"/>
      <c r="BUF14" s="119"/>
      <c r="BUG14" s="119"/>
      <c r="BUH14" s="119"/>
      <c r="BUI14" s="119"/>
      <c r="BUJ14" s="119"/>
      <c r="BUK14" s="119"/>
      <c r="BUL14" s="119"/>
      <c r="BUM14" s="119"/>
      <c r="BUN14" s="119"/>
      <c r="BUO14" s="119"/>
      <c r="BUP14" s="119"/>
      <c r="BUQ14" s="120"/>
      <c r="BUR14" s="120"/>
      <c r="BUS14" s="120"/>
      <c r="BUT14" s="59"/>
      <c r="BUU14" s="119"/>
      <c r="BUV14" s="119"/>
      <c r="BUW14" s="119"/>
      <c r="BUX14" s="119"/>
      <c r="BUY14" s="119"/>
      <c r="BUZ14" s="119"/>
      <c r="BVA14" s="119"/>
      <c r="BVB14" s="119"/>
      <c r="BVC14" s="119"/>
      <c r="BVD14" s="119"/>
      <c r="BVE14" s="119"/>
      <c r="BVF14" s="119"/>
      <c r="BVG14" s="120"/>
      <c r="BVH14" s="120"/>
      <c r="BVI14" s="120"/>
      <c r="BVJ14" s="59"/>
      <c r="BVK14" s="119"/>
      <c r="BVL14" s="119"/>
      <c r="BVM14" s="119"/>
      <c r="BVN14" s="119"/>
      <c r="BVO14" s="119"/>
      <c r="BVP14" s="119"/>
      <c r="BVQ14" s="119"/>
      <c r="BVR14" s="119"/>
      <c r="BVS14" s="119"/>
      <c r="BVT14" s="119"/>
      <c r="BVU14" s="119"/>
      <c r="BVV14" s="119"/>
      <c r="BVW14" s="120"/>
      <c r="BVX14" s="120"/>
      <c r="BVY14" s="120"/>
      <c r="BVZ14" s="59"/>
      <c r="BWA14" s="119"/>
      <c r="BWB14" s="119"/>
      <c r="BWC14" s="119"/>
      <c r="BWD14" s="119"/>
      <c r="BWE14" s="119"/>
      <c r="BWF14" s="119"/>
      <c r="BWG14" s="119"/>
      <c r="BWH14" s="119"/>
      <c r="BWI14" s="119"/>
      <c r="BWJ14" s="119"/>
      <c r="BWK14" s="119"/>
      <c r="BWL14" s="119"/>
      <c r="BWM14" s="120"/>
      <c r="BWN14" s="120"/>
      <c r="BWO14" s="120"/>
      <c r="BWP14" s="59"/>
      <c r="BWQ14" s="119"/>
      <c r="BWR14" s="119"/>
      <c r="BWS14" s="119"/>
      <c r="BWT14" s="119"/>
      <c r="BWU14" s="119"/>
      <c r="BWV14" s="119"/>
      <c r="BWW14" s="119"/>
      <c r="BWX14" s="119"/>
      <c r="BWY14" s="119"/>
      <c r="BWZ14" s="119"/>
      <c r="BXA14" s="119"/>
      <c r="BXB14" s="119"/>
      <c r="BXC14" s="120"/>
      <c r="BXD14" s="120"/>
      <c r="BXE14" s="120"/>
      <c r="BXF14" s="59"/>
      <c r="BXG14" s="119"/>
      <c r="BXH14" s="119"/>
      <c r="BXI14" s="119"/>
      <c r="BXJ14" s="119"/>
      <c r="BXK14" s="119"/>
      <c r="BXL14" s="119"/>
      <c r="BXM14" s="119"/>
      <c r="BXN14" s="119"/>
      <c r="BXO14" s="119"/>
      <c r="BXP14" s="119"/>
      <c r="BXQ14" s="119"/>
      <c r="BXR14" s="119"/>
      <c r="BXS14" s="120"/>
      <c r="BXT14" s="120"/>
      <c r="BXU14" s="120"/>
      <c r="BXV14" s="59"/>
      <c r="BXW14" s="119"/>
      <c r="BXX14" s="119"/>
      <c r="BXY14" s="119"/>
      <c r="BXZ14" s="119"/>
      <c r="BYA14" s="119"/>
      <c r="BYB14" s="119"/>
      <c r="BYC14" s="119"/>
      <c r="BYD14" s="119"/>
      <c r="BYE14" s="119"/>
      <c r="BYF14" s="119"/>
      <c r="BYG14" s="119"/>
      <c r="BYH14" s="119"/>
      <c r="BYI14" s="120"/>
      <c r="BYJ14" s="120"/>
      <c r="BYK14" s="120"/>
      <c r="BYL14" s="59"/>
      <c r="BYM14" s="119"/>
      <c r="BYN14" s="119"/>
      <c r="BYO14" s="119"/>
      <c r="BYP14" s="119"/>
      <c r="BYQ14" s="119"/>
      <c r="BYR14" s="119"/>
      <c r="BYS14" s="119"/>
      <c r="BYT14" s="119"/>
      <c r="BYU14" s="119"/>
      <c r="BYV14" s="119"/>
      <c r="BYW14" s="119"/>
      <c r="BYX14" s="119"/>
      <c r="BYY14" s="120"/>
      <c r="BYZ14" s="120"/>
      <c r="BZA14" s="120"/>
      <c r="BZB14" s="59"/>
      <c r="BZC14" s="119"/>
      <c r="BZD14" s="119"/>
      <c r="BZE14" s="119"/>
      <c r="BZF14" s="119"/>
      <c r="BZG14" s="119"/>
      <c r="BZH14" s="119"/>
      <c r="BZI14" s="119"/>
      <c r="BZJ14" s="119"/>
      <c r="BZK14" s="119"/>
      <c r="BZL14" s="119"/>
      <c r="BZM14" s="119"/>
      <c r="BZN14" s="119"/>
      <c r="BZO14" s="120"/>
      <c r="BZP14" s="120"/>
      <c r="BZQ14" s="120"/>
      <c r="BZR14" s="59"/>
      <c r="BZS14" s="119"/>
      <c r="BZT14" s="119"/>
      <c r="BZU14" s="119"/>
      <c r="BZV14" s="119"/>
      <c r="BZW14" s="119"/>
      <c r="BZX14" s="119"/>
      <c r="BZY14" s="119"/>
      <c r="BZZ14" s="119"/>
      <c r="CAA14" s="119"/>
      <c r="CAB14" s="119"/>
      <c r="CAC14" s="119"/>
      <c r="CAD14" s="119"/>
      <c r="CAE14" s="120"/>
      <c r="CAF14" s="120"/>
      <c r="CAG14" s="120"/>
      <c r="CAH14" s="59"/>
      <c r="CAI14" s="119"/>
      <c r="CAJ14" s="119"/>
      <c r="CAK14" s="119"/>
      <c r="CAL14" s="119"/>
      <c r="CAM14" s="119"/>
      <c r="CAN14" s="119"/>
      <c r="CAO14" s="119"/>
      <c r="CAP14" s="119"/>
      <c r="CAQ14" s="119"/>
      <c r="CAR14" s="119"/>
      <c r="CAS14" s="119"/>
      <c r="CAT14" s="119"/>
      <c r="CAU14" s="120"/>
      <c r="CAV14" s="120"/>
      <c r="CAW14" s="120"/>
      <c r="CAX14" s="59"/>
      <c r="CAY14" s="119"/>
      <c r="CAZ14" s="119"/>
      <c r="CBA14" s="119"/>
      <c r="CBB14" s="119"/>
      <c r="CBC14" s="119"/>
      <c r="CBD14" s="119"/>
      <c r="CBE14" s="119"/>
      <c r="CBF14" s="119"/>
      <c r="CBG14" s="119"/>
      <c r="CBH14" s="119"/>
      <c r="CBI14" s="119"/>
      <c r="CBJ14" s="119"/>
      <c r="CBK14" s="120"/>
      <c r="CBL14" s="120"/>
      <c r="CBM14" s="120"/>
      <c r="CBN14" s="59"/>
      <c r="CBO14" s="119"/>
      <c r="CBP14" s="119"/>
      <c r="CBQ14" s="119"/>
      <c r="CBR14" s="119"/>
      <c r="CBS14" s="119"/>
      <c r="CBT14" s="119"/>
      <c r="CBU14" s="119"/>
      <c r="CBV14" s="119"/>
      <c r="CBW14" s="119"/>
      <c r="CBX14" s="119"/>
      <c r="CBY14" s="119"/>
      <c r="CBZ14" s="119"/>
      <c r="CCA14" s="120"/>
      <c r="CCB14" s="120"/>
      <c r="CCC14" s="120"/>
      <c r="CCD14" s="59"/>
      <c r="CCE14" s="119"/>
      <c r="CCF14" s="119"/>
      <c r="CCG14" s="119"/>
      <c r="CCH14" s="119"/>
      <c r="CCI14" s="119"/>
      <c r="CCJ14" s="119"/>
      <c r="CCK14" s="119"/>
      <c r="CCL14" s="119"/>
      <c r="CCM14" s="119"/>
      <c r="CCN14" s="119"/>
      <c r="CCO14" s="119"/>
      <c r="CCP14" s="119"/>
      <c r="CCQ14" s="120"/>
      <c r="CCR14" s="120"/>
      <c r="CCS14" s="120"/>
      <c r="CCT14" s="59"/>
      <c r="CCU14" s="119"/>
      <c r="CCV14" s="119"/>
      <c r="CCW14" s="119"/>
      <c r="CCX14" s="119"/>
      <c r="CCY14" s="119"/>
      <c r="CCZ14" s="119"/>
      <c r="CDA14" s="119"/>
      <c r="CDB14" s="119"/>
      <c r="CDC14" s="119"/>
      <c r="CDD14" s="119"/>
      <c r="CDE14" s="119"/>
      <c r="CDF14" s="119"/>
      <c r="CDG14" s="120"/>
      <c r="CDH14" s="120"/>
      <c r="CDI14" s="120"/>
      <c r="CDJ14" s="59"/>
      <c r="CDK14" s="119"/>
      <c r="CDL14" s="119"/>
      <c r="CDM14" s="119"/>
      <c r="CDN14" s="119"/>
      <c r="CDO14" s="119"/>
      <c r="CDP14" s="119"/>
      <c r="CDQ14" s="119"/>
      <c r="CDR14" s="119"/>
      <c r="CDS14" s="119"/>
      <c r="CDT14" s="119"/>
      <c r="CDU14" s="119"/>
      <c r="CDV14" s="119"/>
      <c r="CDW14" s="120"/>
      <c r="CDX14" s="120"/>
      <c r="CDY14" s="120"/>
      <c r="CDZ14" s="59"/>
      <c r="CEA14" s="119"/>
      <c r="CEB14" s="119"/>
      <c r="CEC14" s="119"/>
      <c r="CED14" s="119"/>
      <c r="CEE14" s="119"/>
      <c r="CEF14" s="119"/>
      <c r="CEG14" s="119"/>
      <c r="CEH14" s="119"/>
      <c r="CEI14" s="119"/>
      <c r="CEJ14" s="119"/>
      <c r="CEK14" s="119"/>
      <c r="CEL14" s="119"/>
      <c r="CEM14" s="120"/>
      <c r="CEN14" s="120"/>
      <c r="CEO14" s="120"/>
      <c r="CEP14" s="59"/>
      <c r="CEQ14" s="119"/>
      <c r="CER14" s="119"/>
      <c r="CES14" s="119"/>
      <c r="CET14" s="119"/>
      <c r="CEU14" s="119"/>
      <c r="CEV14" s="119"/>
      <c r="CEW14" s="119"/>
      <c r="CEX14" s="119"/>
      <c r="CEY14" s="119"/>
      <c r="CEZ14" s="119"/>
      <c r="CFA14" s="119"/>
      <c r="CFB14" s="119"/>
      <c r="CFC14" s="120"/>
      <c r="CFD14" s="120"/>
      <c r="CFE14" s="120"/>
      <c r="CFF14" s="59"/>
      <c r="CFG14" s="119"/>
      <c r="CFH14" s="119"/>
      <c r="CFI14" s="119"/>
      <c r="CFJ14" s="119"/>
      <c r="CFK14" s="119"/>
      <c r="CFL14" s="119"/>
      <c r="CFM14" s="119"/>
      <c r="CFN14" s="119"/>
      <c r="CFO14" s="119"/>
      <c r="CFP14" s="119"/>
      <c r="CFQ14" s="119"/>
      <c r="CFR14" s="119"/>
      <c r="CFS14" s="120"/>
      <c r="CFT14" s="120"/>
      <c r="CFU14" s="120"/>
      <c r="CFV14" s="59"/>
      <c r="CFW14" s="119"/>
      <c r="CFX14" s="119"/>
      <c r="CFY14" s="119"/>
      <c r="CFZ14" s="119"/>
      <c r="CGA14" s="119"/>
      <c r="CGB14" s="119"/>
      <c r="CGC14" s="119"/>
      <c r="CGD14" s="119"/>
      <c r="CGE14" s="119"/>
      <c r="CGF14" s="119"/>
      <c r="CGG14" s="119"/>
      <c r="CGH14" s="119"/>
      <c r="CGI14" s="120"/>
      <c r="CGJ14" s="120"/>
      <c r="CGK14" s="120"/>
      <c r="CGL14" s="59"/>
      <c r="CGM14" s="119"/>
      <c r="CGN14" s="119"/>
      <c r="CGO14" s="119"/>
      <c r="CGP14" s="119"/>
      <c r="CGQ14" s="119"/>
      <c r="CGR14" s="119"/>
      <c r="CGS14" s="119"/>
      <c r="CGT14" s="119"/>
      <c r="CGU14" s="119"/>
      <c r="CGV14" s="119"/>
      <c r="CGW14" s="119"/>
      <c r="CGX14" s="119"/>
      <c r="CGY14" s="120"/>
      <c r="CGZ14" s="120"/>
      <c r="CHA14" s="120"/>
      <c r="CHB14" s="59"/>
      <c r="CHC14" s="119"/>
      <c r="CHD14" s="119"/>
      <c r="CHE14" s="119"/>
      <c r="CHF14" s="119"/>
      <c r="CHG14" s="119"/>
      <c r="CHH14" s="119"/>
      <c r="CHI14" s="119"/>
      <c r="CHJ14" s="119"/>
      <c r="CHK14" s="119"/>
      <c r="CHL14" s="119"/>
      <c r="CHM14" s="119"/>
      <c r="CHN14" s="119"/>
      <c r="CHO14" s="120"/>
      <c r="CHP14" s="120"/>
      <c r="CHQ14" s="120"/>
      <c r="CHR14" s="59"/>
      <c r="CHS14" s="119"/>
      <c r="CHT14" s="119"/>
      <c r="CHU14" s="119"/>
      <c r="CHV14" s="119"/>
      <c r="CHW14" s="119"/>
      <c r="CHX14" s="119"/>
      <c r="CHY14" s="119"/>
      <c r="CHZ14" s="119"/>
      <c r="CIA14" s="119"/>
      <c r="CIB14" s="119"/>
      <c r="CIC14" s="119"/>
      <c r="CID14" s="119"/>
      <c r="CIE14" s="120"/>
      <c r="CIF14" s="120"/>
      <c r="CIG14" s="120"/>
      <c r="CIH14" s="59"/>
      <c r="CII14" s="119"/>
      <c r="CIJ14" s="119"/>
      <c r="CIK14" s="119"/>
      <c r="CIL14" s="119"/>
      <c r="CIM14" s="119"/>
      <c r="CIN14" s="119"/>
      <c r="CIO14" s="119"/>
      <c r="CIP14" s="119"/>
      <c r="CIQ14" s="119"/>
      <c r="CIR14" s="119"/>
      <c r="CIS14" s="119"/>
      <c r="CIT14" s="119"/>
      <c r="CIU14" s="120"/>
      <c r="CIV14" s="120"/>
      <c r="CIW14" s="120"/>
      <c r="CIX14" s="59"/>
      <c r="CIY14" s="119"/>
      <c r="CIZ14" s="119"/>
      <c r="CJA14" s="119"/>
      <c r="CJB14" s="119"/>
      <c r="CJC14" s="119"/>
      <c r="CJD14" s="119"/>
      <c r="CJE14" s="119"/>
      <c r="CJF14" s="119"/>
      <c r="CJG14" s="119"/>
      <c r="CJH14" s="119"/>
      <c r="CJI14" s="119"/>
      <c r="CJJ14" s="119"/>
      <c r="CJK14" s="120"/>
      <c r="CJL14" s="120"/>
      <c r="CJM14" s="120"/>
      <c r="CJN14" s="59"/>
      <c r="CJO14" s="119"/>
      <c r="CJP14" s="119"/>
      <c r="CJQ14" s="119"/>
      <c r="CJR14" s="119"/>
      <c r="CJS14" s="119"/>
      <c r="CJT14" s="119"/>
      <c r="CJU14" s="119"/>
      <c r="CJV14" s="119"/>
      <c r="CJW14" s="119"/>
      <c r="CJX14" s="119"/>
      <c r="CJY14" s="119"/>
      <c r="CJZ14" s="119"/>
      <c r="CKA14" s="120"/>
      <c r="CKB14" s="120"/>
      <c r="CKC14" s="120"/>
      <c r="CKD14" s="59"/>
      <c r="CKE14" s="119"/>
      <c r="CKF14" s="119"/>
      <c r="CKG14" s="119"/>
      <c r="CKH14" s="119"/>
      <c r="CKI14" s="119"/>
      <c r="CKJ14" s="119"/>
      <c r="CKK14" s="119"/>
      <c r="CKL14" s="119"/>
      <c r="CKM14" s="119"/>
      <c r="CKN14" s="119"/>
      <c r="CKO14" s="119"/>
      <c r="CKP14" s="119"/>
      <c r="CKQ14" s="120"/>
      <c r="CKR14" s="120"/>
      <c r="CKS14" s="120"/>
      <c r="CKT14" s="59"/>
      <c r="CKU14" s="119"/>
      <c r="CKV14" s="119"/>
      <c r="CKW14" s="119"/>
      <c r="CKX14" s="119"/>
      <c r="CKY14" s="119"/>
      <c r="CKZ14" s="119"/>
      <c r="CLA14" s="119"/>
      <c r="CLB14" s="119"/>
      <c r="CLC14" s="119"/>
      <c r="CLD14" s="119"/>
      <c r="CLE14" s="119"/>
      <c r="CLF14" s="119"/>
      <c r="CLG14" s="120"/>
      <c r="CLH14" s="120"/>
      <c r="CLI14" s="120"/>
      <c r="CLJ14" s="59"/>
      <c r="CLK14" s="119"/>
      <c r="CLL14" s="119"/>
      <c r="CLM14" s="119"/>
      <c r="CLN14" s="119"/>
      <c r="CLO14" s="119"/>
      <c r="CLP14" s="119"/>
      <c r="CLQ14" s="119"/>
      <c r="CLR14" s="119"/>
      <c r="CLS14" s="119"/>
      <c r="CLT14" s="119"/>
      <c r="CLU14" s="119"/>
      <c r="CLV14" s="119"/>
      <c r="CLW14" s="120"/>
      <c r="CLX14" s="120"/>
      <c r="CLY14" s="120"/>
      <c r="CLZ14" s="59"/>
      <c r="CMA14" s="119"/>
      <c r="CMB14" s="119"/>
      <c r="CMC14" s="119"/>
      <c r="CMD14" s="119"/>
      <c r="CME14" s="119"/>
      <c r="CMF14" s="119"/>
      <c r="CMG14" s="119"/>
      <c r="CMH14" s="119"/>
      <c r="CMI14" s="119"/>
      <c r="CMJ14" s="119"/>
      <c r="CMK14" s="119"/>
      <c r="CML14" s="119"/>
      <c r="CMM14" s="120"/>
      <c r="CMN14" s="120"/>
      <c r="CMO14" s="120"/>
      <c r="CMP14" s="59"/>
      <c r="CMQ14" s="119"/>
      <c r="CMR14" s="119"/>
      <c r="CMS14" s="119"/>
      <c r="CMT14" s="119"/>
      <c r="CMU14" s="119"/>
      <c r="CMV14" s="119"/>
      <c r="CMW14" s="119"/>
      <c r="CMX14" s="119"/>
      <c r="CMY14" s="119"/>
      <c r="CMZ14" s="119"/>
      <c r="CNA14" s="119"/>
      <c r="CNB14" s="119"/>
      <c r="CNC14" s="120"/>
      <c r="CND14" s="120"/>
      <c r="CNE14" s="120"/>
      <c r="CNF14" s="59"/>
      <c r="CNG14" s="119"/>
      <c r="CNH14" s="119"/>
      <c r="CNI14" s="119"/>
      <c r="CNJ14" s="119"/>
      <c r="CNK14" s="119"/>
      <c r="CNL14" s="119"/>
      <c r="CNM14" s="119"/>
      <c r="CNN14" s="119"/>
      <c r="CNO14" s="119"/>
      <c r="CNP14" s="119"/>
      <c r="CNQ14" s="119"/>
      <c r="CNR14" s="119"/>
      <c r="CNS14" s="120"/>
      <c r="CNT14" s="120"/>
      <c r="CNU14" s="120"/>
      <c r="CNV14" s="59"/>
      <c r="CNW14" s="119"/>
      <c r="CNX14" s="119"/>
      <c r="CNY14" s="119"/>
      <c r="CNZ14" s="119"/>
      <c r="COA14" s="119"/>
      <c r="COB14" s="119"/>
      <c r="COC14" s="119"/>
      <c r="COD14" s="119"/>
      <c r="COE14" s="119"/>
      <c r="COF14" s="119"/>
      <c r="COG14" s="119"/>
      <c r="COH14" s="119"/>
      <c r="COI14" s="120"/>
      <c r="COJ14" s="120"/>
      <c r="COK14" s="120"/>
      <c r="COL14" s="59"/>
      <c r="COM14" s="119"/>
      <c r="CON14" s="119"/>
      <c r="COO14" s="119"/>
      <c r="COP14" s="119"/>
      <c r="COQ14" s="119"/>
      <c r="COR14" s="119"/>
      <c r="COS14" s="119"/>
      <c r="COT14" s="119"/>
      <c r="COU14" s="119"/>
      <c r="COV14" s="119"/>
      <c r="COW14" s="119"/>
      <c r="COX14" s="119"/>
      <c r="COY14" s="120"/>
      <c r="COZ14" s="120"/>
      <c r="CPA14" s="120"/>
      <c r="CPB14" s="59"/>
      <c r="CPC14" s="119"/>
      <c r="CPD14" s="119"/>
      <c r="CPE14" s="119"/>
      <c r="CPF14" s="119"/>
      <c r="CPG14" s="119"/>
      <c r="CPH14" s="119"/>
      <c r="CPI14" s="119"/>
      <c r="CPJ14" s="119"/>
      <c r="CPK14" s="119"/>
      <c r="CPL14" s="119"/>
      <c r="CPM14" s="119"/>
      <c r="CPN14" s="119"/>
      <c r="CPO14" s="120"/>
      <c r="CPP14" s="120"/>
      <c r="CPQ14" s="120"/>
      <c r="CPR14" s="59"/>
      <c r="CPS14" s="119"/>
      <c r="CPT14" s="119"/>
      <c r="CPU14" s="119"/>
      <c r="CPV14" s="119"/>
      <c r="CPW14" s="119"/>
      <c r="CPX14" s="119"/>
      <c r="CPY14" s="119"/>
      <c r="CPZ14" s="119"/>
      <c r="CQA14" s="119"/>
      <c r="CQB14" s="119"/>
      <c r="CQC14" s="119"/>
      <c r="CQD14" s="119"/>
      <c r="CQE14" s="120"/>
      <c r="CQF14" s="120"/>
      <c r="CQG14" s="120"/>
      <c r="CQH14" s="59"/>
      <c r="CQI14" s="119"/>
      <c r="CQJ14" s="119"/>
      <c r="CQK14" s="119"/>
      <c r="CQL14" s="119"/>
      <c r="CQM14" s="119"/>
      <c r="CQN14" s="119"/>
      <c r="CQO14" s="119"/>
      <c r="CQP14" s="119"/>
      <c r="CQQ14" s="119"/>
      <c r="CQR14" s="119"/>
      <c r="CQS14" s="119"/>
      <c r="CQT14" s="119"/>
      <c r="CQU14" s="120"/>
      <c r="CQV14" s="120"/>
      <c r="CQW14" s="120"/>
      <c r="CQX14" s="59"/>
      <c r="CQY14" s="119"/>
      <c r="CQZ14" s="119"/>
      <c r="CRA14" s="119"/>
      <c r="CRB14" s="119"/>
      <c r="CRC14" s="119"/>
      <c r="CRD14" s="119"/>
      <c r="CRE14" s="119"/>
      <c r="CRF14" s="119"/>
      <c r="CRG14" s="119"/>
      <c r="CRH14" s="119"/>
      <c r="CRI14" s="119"/>
      <c r="CRJ14" s="119"/>
      <c r="CRK14" s="120"/>
      <c r="CRL14" s="120"/>
      <c r="CRM14" s="120"/>
      <c r="CRN14" s="59"/>
      <c r="CRO14" s="119"/>
      <c r="CRP14" s="119"/>
      <c r="CRQ14" s="119"/>
      <c r="CRR14" s="119"/>
      <c r="CRS14" s="119"/>
      <c r="CRT14" s="119"/>
      <c r="CRU14" s="119"/>
      <c r="CRV14" s="119"/>
      <c r="CRW14" s="119"/>
      <c r="CRX14" s="119"/>
      <c r="CRY14" s="119"/>
      <c r="CRZ14" s="119"/>
      <c r="CSA14" s="120"/>
      <c r="CSB14" s="120"/>
      <c r="CSC14" s="120"/>
      <c r="CSD14" s="59"/>
      <c r="CSE14" s="119"/>
      <c r="CSF14" s="119"/>
      <c r="CSG14" s="119"/>
      <c r="CSH14" s="119"/>
      <c r="CSI14" s="119"/>
      <c r="CSJ14" s="119"/>
      <c r="CSK14" s="119"/>
      <c r="CSL14" s="119"/>
      <c r="CSM14" s="119"/>
      <c r="CSN14" s="119"/>
      <c r="CSO14" s="119"/>
      <c r="CSP14" s="119"/>
      <c r="CSQ14" s="120"/>
      <c r="CSR14" s="120"/>
      <c r="CSS14" s="120"/>
      <c r="CST14" s="59"/>
      <c r="CSU14" s="119"/>
      <c r="CSV14" s="119"/>
      <c r="CSW14" s="119"/>
      <c r="CSX14" s="119"/>
      <c r="CSY14" s="119"/>
      <c r="CSZ14" s="119"/>
      <c r="CTA14" s="119"/>
      <c r="CTB14" s="119"/>
      <c r="CTC14" s="119"/>
      <c r="CTD14" s="119"/>
      <c r="CTE14" s="119"/>
      <c r="CTF14" s="119"/>
      <c r="CTG14" s="120"/>
      <c r="CTH14" s="120"/>
      <c r="CTI14" s="120"/>
      <c r="CTJ14" s="59"/>
      <c r="CTK14" s="119"/>
      <c r="CTL14" s="119"/>
      <c r="CTM14" s="119"/>
      <c r="CTN14" s="119"/>
      <c r="CTO14" s="119"/>
      <c r="CTP14" s="119"/>
      <c r="CTQ14" s="119"/>
      <c r="CTR14" s="119"/>
      <c r="CTS14" s="119"/>
      <c r="CTT14" s="119"/>
      <c r="CTU14" s="119"/>
      <c r="CTV14" s="119"/>
      <c r="CTW14" s="120"/>
      <c r="CTX14" s="120"/>
      <c r="CTY14" s="120"/>
      <c r="CTZ14" s="59"/>
      <c r="CUA14" s="119"/>
      <c r="CUB14" s="119"/>
      <c r="CUC14" s="119"/>
      <c r="CUD14" s="119"/>
      <c r="CUE14" s="119"/>
      <c r="CUF14" s="119"/>
      <c r="CUG14" s="119"/>
      <c r="CUH14" s="119"/>
      <c r="CUI14" s="119"/>
      <c r="CUJ14" s="119"/>
      <c r="CUK14" s="119"/>
      <c r="CUL14" s="119"/>
      <c r="CUM14" s="120"/>
      <c r="CUN14" s="120"/>
      <c r="CUO14" s="120"/>
      <c r="CUP14" s="59"/>
      <c r="CUQ14" s="119"/>
      <c r="CUR14" s="119"/>
      <c r="CUS14" s="119"/>
      <c r="CUT14" s="119"/>
      <c r="CUU14" s="119"/>
      <c r="CUV14" s="119"/>
      <c r="CUW14" s="119"/>
      <c r="CUX14" s="119"/>
      <c r="CUY14" s="119"/>
      <c r="CUZ14" s="119"/>
      <c r="CVA14" s="119"/>
      <c r="CVB14" s="119"/>
      <c r="CVC14" s="120"/>
      <c r="CVD14" s="120"/>
      <c r="CVE14" s="120"/>
      <c r="CVF14" s="59"/>
      <c r="CVG14" s="119"/>
      <c r="CVH14" s="119"/>
      <c r="CVI14" s="119"/>
      <c r="CVJ14" s="119"/>
      <c r="CVK14" s="119"/>
      <c r="CVL14" s="119"/>
      <c r="CVM14" s="119"/>
      <c r="CVN14" s="119"/>
      <c r="CVO14" s="119"/>
      <c r="CVP14" s="119"/>
      <c r="CVQ14" s="119"/>
      <c r="CVR14" s="119"/>
      <c r="CVS14" s="120"/>
      <c r="CVT14" s="120"/>
      <c r="CVU14" s="120"/>
      <c r="CVV14" s="59"/>
      <c r="CVW14" s="119"/>
      <c r="CVX14" s="119"/>
      <c r="CVY14" s="119"/>
      <c r="CVZ14" s="119"/>
      <c r="CWA14" s="119"/>
      <c r="CWB14" s="119"/>
      <c r="CWC14" s="119"/>
      <c r="CWD14" s="119"/>
      <c r="CWE14" s="119"/>
      <c r="CWF14" s="119"/>
      <c r="CWG14" s="119"/>
      <c r="CWH14" s="119"/>
      <c r="CWI14" s="120"/>
      <c r="CWJ14" s="120"/>
      <c r="CWK14" s="120"/>
      <c r="CWL14" s="59"/>
      <c r="CWM14" s="119"/>
      <c r="CWN14" s="119"/>
      <c r="CWO14" s="119"/>
      <c r="CWP14" s="119"/>
      <c r="CWQ14" s="119"/>
      <c r="CWR14" s="119"/>
      <c r="CWS14" s="119"/>
      <c r="CWT14" s="119"/>
      <c r="CWU14" s="119"/>
      <c r="CWV14" s="119"/>
      <c r="CWW14" s="119"/>
      <c r="CWX14" s="119"/>
      <c r="CWY14" s="120"/>
      <c r="CWZ14" s="120"/>
      <c r="CXA14" s="120"/>
      <c r="CXB14" s="59"/>
      <c r="CXC14" s="119"/>
      <c r="CXD14" s="119"/>
      <c r="CXE14" s="119"/>
      <c r="CXF14" s="119"/>
      <c r="CXG14" s="119"/>
      <c r="CXH14" s="119"/>
      <c r="CXI14" s="119"/>
      <c r="CXJ14" s="119"/>
      <c r="CXK14" s="119"/>
      <c r="CXL14" s="119"/>
      <c r="CXM14" s="119"/>
      <c r="CXN14" s="119"/>
      <c r="CXO14" s="120"/>
      <c r="CXP14" s="120"/>
      <c r="CXQ14" s="120"/>
      <c r="CXR14" s="59"/>
      <c r="CXS14" s="119"/>
      <c r="CXT14" s="119"/>
      <c r="CXU14" s="119"/>
      <c r="CXV14" s="119"/>
      <c r="CXW14" s="119"/>
      <c r="CXX14" s="119"/>
      <c r="CXY14" s="119"/>
      <c r="CXZ14" s="119"/>
      <c r="CYA14" s="119"/>
      <c r="CYB14" s="119"/>
      <c r="CYC14" s="119"/>
      <c r="CYD14" s="119"/>
      <c r="CYE14" s="120"/>
      <c r="CYF14" s="120"/>
      <c r="CYG14" s="120"/>
      <c r="CYH14" s="59"/>
      <c r="CYI14" s="119"/>
      <c r="CYJ14" s="119"/>
      <c r="CYK14" s="119"/>
      <c r="CYL14" s="119"/>
      <c r="CYM14" s="119"/>
      <c r="CYN14" s="119"/>
      <c r="CYO14" s="119"/>
      <c r="CYP14" s="119"/>
      <c r="CYQ14" s="119"/>
      <c r="CYR14" s="119"/>
      <c r="CYS14" s="119"/>
      <c r="CYT14" s="119"/>
      <c r="CYU14" s="120"/>
      <c r="CYV14" s="120"/>
      <c r="CYW14" s="120"/>
      <c r="CYX14" s="59"/>
      <c r="CYY14" s="119"/>
      <c r="CYZ14" s="119"/>
      <c r="CZA14" s="119"/>
      <c r="CZB14" s="119"/>
      <c r="CZC14" s="119"/>
      <c r="CZD14" s="119"/>
      <c r="CZE14" s="119"/>
      <c r="CZF14" s="119"/>
      <c r="CZG14" s="119"/>
      <c r="CZH14" s="119"/>
      <c r="CZI14" s="119"/>
      <c r="CZJ14" s="119"/>
      <c r="CZK14" s="120"/>
      <c r="CZL14" s="120"/>
      <c r="CZM14" s="120"/>
      <c r="CZN14" s="59"/>
      <c r="CZO14" s="119"/>
      <c r="CZP14" s="119"/>
      <c r="CZQ14" s="119"/>
      <c r="CZR14" s="119"/>
      <c r="CZS14" s="119"/>
      <c r="CZT14" s="119"/>
      <c r="CZU14" s="119"/>
      <c r="CZV14" s="119"/>
      <c r="CZW14" s="119"/>
      <c r="CZX14" s="119"/>
      <c r="CZY14" s="119"/>
      <c r="CZZ14" s="119"/>
      <c r="DAA14" s="120"/>
      <c r="DAB14" s="120"/>
      <c r="DAC14" s="120"/>
      <c r="DAD14" s="59"/>
      <c r="DAE14" s="119"/>
      <c r="DAF14" s="119"/>
      <c r="DAG14" s="119"/>
      <c r="DAH14" s="119"/>
      <c r="DAI14" s="119"/>
      <c r="DAJ14" s="119"/>
      <c r="DAK14" s="119"/>
      <c r="DAL14" s="119"/>
      <c r="DAM14" s="119"/>
      <c r="DAN14" s="119"/>
      <c r="DAO14" s="119"/>
      <c r="DAP14" s="119"/>
      <c r="DAQ14" s="120"/>
      <c r="DAR14" s="120"/>
      <c r="DAS14" s="120"/>
      <c r="DAT14" s="59"/>
      <c r="DAU14" s="119"/>
      <c r="DAV14" s="119"/>
      <c r="DAW14" s="119"/>
      <c r="DAX14" s="119"/>
      <c r="DAY14" s="119"/>
      <c r="DAZ14" s="119"/>
      <c r="DBA14" s="119"/>
      <c r="DBB14" s="119"/>
      <c r="DBC14" s="119"/>
      <c r="DBD14" s="119"/>
      <c r="DBE14" s="119"/>
      <c r="DBF14" s="119"/>
      <c r="DBG14" s="120"/>
      <c r="DBH14" s="120"/>
      <c r="DBI14" s="120"/>
      <c r="DBJ14" s="59"/>
      <c r="DBK14" s="119"/>
      <c r="DBL14" s="119"/>
      <c r="DBM14" s="119"/>
      <c r="DBN14" s="119"/>
      <c r="DBO14" s="119"/>
      <c r="DBP14" s="119"/>
      <c r="DBQ14" s="119"/>
      <c r="DBR14" s="119"/>
      <c r="DBS14" s="119"/>
      <c r="DBT14" s="119"/>
      <c r="DBU14" s="119"/>
      <c r="DBV14" s="119"/>
      <c r="DBW14" s="120"/>
      <c r="DBX14" s="120"/>
      <c r="DBY14" s="120"/>
      <c r="DBZ14" s="59"/>
      <c r="DCA14" s="119"/>
      <c r="DCB14" s="119"/>
      <c r="DCC14" s="119"/>
      <c r="DCD14" s="119"/>
      <c r="DCE14" s="119"/>
      <c r="DCF14" s="119"/>
      <c r="DCG14" s="119"/>
      <c r="DCH14" s="119"/>
      <c r="DCI14" s="119"/>
      <c r="DCJ14" s="119"/>
      <c r="DCK14" s="119"/>
      <c r="DCL14" s="119"/>
      <c r="DCM14" s="120"/>
      <c r="DCN14" s="120"/>
      <c r="DCO14" s="120"/>
      <c r="DCP14" s="59"/>
      <c r="DCQ14" s="119"/>
      <c r="DCR14" s="119"/>
      <c r="DCS14" s="119"/>
      <c r="DCT14" s="119"/>
      <c r="DCU14" s="119"/>
      <c r="DCV14" s="119"/>
      <c r="DCW14" s="119"/>
      <c r="DCX14" s="119"/>
      <c r="DCY14" s="119"/>
      <c r="DCZ14" s="119"/>
      <c r="DDA14" s="119"/>
      <c r="DDB14" s="119"/>
      <c r="DDC14" s="120"/>
      <c r="DDD14" s="120"/>
      <c r="DDE14" s="120"/>
      <c r="DDF14" s="59"/>
      <c r="DDG14" s="119"/>
      <c r="DDH14" s="119"/>
      <c r="DDI14" s="119"/>
      <c r="DDJ14" s="119"/>
      <c r="DDK14" s="119"/>
      <c r="DDL14" s="119"/>
      <c r="DDM14" s="119"/>
      <c r="DDN14" s="119"/>
      <c r="DDO14" s="119"/>
      <c r="DDP14" s="119"/>
      <c r="DDQ14" s="119"/>
      <c r="DDR14" s="119"/>
      <c r="DDS14" s="120"/>
      <c r="DDT14" s="120"/>
      <c r="DDU14" s="120"/>
      <c r="DDV14" s="59"/>
      <c r="DDW14" s="119"/>
      <c r="DDX14" s="119"/>
      <c r="DDY14" s="119"/>
      <c r="DDZ14" s="119"/>
      <c r="DEA14" s="119"/>
      <c r="DEB14" s="119"/>
      <c r="DEC14" s="119"/>
      <c r="DED14" s="119"/>
      <c r="DEE14" s="119"/>
      <c r="DEF14" s="119"/>
      <c r="DEG14" s="119"/>
      <c r="DEH14" s="119"/>
      <c r="DEI14" s="120"/>
      <c r="DEJ14" s="120"/>
      <c r="DEK14" s="120"/>
      <c r="DEL14" s="59"/>
      <c r="DEM14" s="119"/>
      <c r="DEN14" s="119"/>
      <c r="DEO14" s="119"/>
      <c r="DEP14" s="119"/>
      <c r="DEQ14" s="119"/>
      <c r="DER14" s="119"/>
      <c r="DES14" s="119"/>
      <c r="DET14" s="119"/>
      <c r="DEU14" s="119"/>
      <c r="DEV14" s="119"/>
      <c r="DEW14" s="119"/>
      <c r="DEX14" s="119"/>
      <c r="DEY14" s="120"/>
      <c r="DEZ14" s="120"/>
      <c r="DFA14" s="120"/>
      <c r="DFB14" s="59"/>
      <c r="DFC14" s="119"/>
      <c r="DFD14" s="119"/>
      <c r="DFE14" s="119"/>
      <c r="DFF14" s="119"/>
      <c r="DFG14" s="119"/>
      <c r="DFH14" s="119"/>
      <c r="DFI14" s="119"/>
      <c r="DFJ14" s="119"/>
      <c r="DFK14" s="119"/>
      <c r="DFL14" s="119"/>
      <c r="DFM14" s="119"/>
      <c r="DFN14" s="119"/>
      <c r="DFO14" s="120"/>
      <c r="DFP14" s="120"/>
      <c r="DFQ14" s="120"/>
      <c r="DFR14" s="59"/>
      <c r="DFS14" s="119"/>
      <c r="DFT14" s="119"/>
      <c r="DFU14" s="119"/>
      <c r="DFV14" s="119"/>
      <c r="DFW14" s="119"/>
      <c r="DFX14" s="119"/>
      <c r="DFY14" s="119"/>
      <c r="DFZ14" s="119"/>
      <c r="DGA14" s="119"/>
      <c r="DGB14" s="119"/>
      <c r="DGC14" s="119"/>
      <c r="DGD14" s="119"/>
      <c r="DGE14" s="120"/>
      <c r="DGF14" s="120"/>
      <c r="DGG14" s="120"/>
      <c r="DGH14" s="59"/>
      <c r="DGI14" s="119"/>
      <c r="DGJ14" s="119"/>
      <c r="DGK14" s="119"/>
      <c r="DGL14" s="119"/>
      <c r="DGM14" s="119"/>
      <c r="DGN14" s="119"/>
      <c r="DGO14" s="119"/>
      <c r="DGP14" s="119"/>
      <c r="DGQ14" s="119"/>
      <c r="DGR14" s="119"/>
      <c r="DGS14" s="119"/>
      <c r="DGT14" s="119"/>
      <c r="DGU14" s="120"/>
      <c r="DGV14" s="120"/>
      <c r="DGW14" s="120"/>
      <c r="DGX14" s="59"/>
      <c r="DGY14" s="119"/>
      <c r="DGZ14" s="119"/>
      <c r="DHA14" s="119"/>
      <c r="DHB14" s="119"/>
      <c r="DHC14" s="119"/>
      <c r="DHD14" s="119"/>
      <c r="DHE14" s="119"/>
      <c r="DHF14" s="119"/>
      <c r="DHG14" s="119"/>
      <c r="DHH14" s="119"/>
      <c r="DHI14" s="119"/>
      <c r="DHJ14" s="119"/>
      <c r="DHK14" s="120"/>
      <c r="DHL14" s="120"/>
      <c r="DHM14" s="120"/>
      <c r="DHN14" s="59"/>
      <c r="DHO14" s="119"/>
      <c r="DHP14" s="119"/>
      <c r="DHQ14" s="119"/>
      <c r="DHR14" s="119"/>
      <c r="DHS14" s="119"/>
      <c r="DHT14" s="119"/>
      <c r="DHU14" s="119"/>
      <c r="DHV14" s="119"/>
      <c r="DHW14" s="119"/>
      <c r="DHX14" s="119"/>
      <c r="DHY14" s="119"/>
      <c r="DHZ14" s="119"/>
      <c r="DIA14" s="120"/>
      <c r="DIB14" s="120"/>
      <c r="DIC14" s="120"/>
      <c r="DID14" s="59"/>
      <c r="DIE14" s="119"/>
      <c r="DIF14" s="119"/>
      <c r="DIG14" s="119"/>
      <c r="DIH14" s="119"/>
      <c r="DII14" s="119"/>
      <c r="DIJ14" s="119"/>
      <c r="DIK14" s="119"/>
      <c r="DIL14" s="119"/>
      <c r="DIM14" s="119"/>
      <c r="DIN14" s="119"/>
      <c r="DIO14" s="119"/>
      <c r="DIP14" s="119"/>
      <c r="DIQ14" s="120"/>
      <c r="DIR14" s="120"/>
      <c r="DIS14" s="120"/>
      <c r="DIT14" s="59"/>
      <c r="DIU14" s="119"/>
      <c r="DIV14" s="119"/>
      <c r="DIW14" s="119"/>
      <c r="DIX14" s="119"/>
      <c r="DIY14" s="119"/>
      <c r="DIZ14" s="119"/>
      <c r="DJA14" s="119"/>
      <c r="DJB14" s="119"/>
      <c r="DJC14" s="119"/>
      <c r="DJD14" s="119"/>
      <c r="DJE14" s="119"/>
      <c r="DJF14" s="119"/>
      <c r="DJG14" s="120"/>
      <c r="DJH14" s="120"/>
      <c r="DJI14" s="120"/>
      <c r="DJJ14" s="59"/>
      <c r="DJK14" s="119"/>
      <c r="DJL14" s="119"/>
      <c r="DJM14" s="119"/>
      <c r="DJN14" s="119"/>
      <c r="DJO14" s="119"/>
      <c r="DJP14" s="119"/>
      <c r="DJQ14" s="119"/>
      <c r="DJR14" s="119"/>
      <c r="DJS14" s="119"/>
      <c r="DJT14" s="119"/>
      <c r="DJU14" s="119"/>
      <c r="DJV14" s="119"/>
      <c r="DJW14" s="120"/>
      <c r="DJX14" s="120"/>
      <c r="DJY14" s="120"/>
      <c r="DJZ14" s="59"/>
      <c r="DKA14" s="119"/>
      <c r="DKB14" s="119"/>
      <c r="DKC14" s="119"/>
      <c r="DKD14" s="119"/>
      <c r="DKE14" s="119"/>
      <c r="DKF14" s="119"/>
      <c r="DKG14" s="119"/>
      <c r="DKH14" s="119"/>
      <c r="DKI14" s="119"/>
      <c r="DKJ14" s="119"/>
      <c r="DKK14" s="119"/>
      <c r="DKL14" s="119"/>
      <c r="DKM14" s="120"/>
      <c r="DKN14" s="120"/>
      <c r="DKO14" s="120"/>
      <c r="DKP14" s="59"/>
      <c r="DKQ14" s="119"/>
      <c r="DKR14" s="119"/>
      <c r="DKS14" s="119"/>
      <c r="DKT14" s="119"/>
      <c r="DKU14" s="119"/>
      <c r="DKV14" s="119"/>
      <c r="DKW14" s="119"/>
      <c r="DKX14" s="119"/>
      <c r="DKY14" s="119"/>
      <c r="DKZ14" s="119"/>
      <c r="DLA14" s="119"/>
      <c r="DLB14" s="119"/>
      <c r="DLC14" s="120"/>
      <c r="DLD14" s="120"/>
      <c r="DLE14" s="120"/>
      <c r="DLF14" s="59"/>
      <c r="DLG14" s="119"/>
      <c r="DLH14" s="119"/>
      <c r="DLI14" s="119"/>
      <c r="DLJ14" s="119"/>
      <c r="DLK14" s="119"/>
      <c r="DLL14" s="119"/>
      <c r="DLM14" s="119"/>
      <c r="DLN14" s="119"/>
      <c r="DLO14" s="119"/>
      <c r="DLP14" s="119"/>
      <c r="DLQ14" s="119"/>
      <c r="DLR14" s="119"/>
      <c r="DLS14" s="120"/>
      <c r="DLT14" s="120"/>
      <c r="DLU14" s="120"/>
      <c r="DLV14" s="59"/>
      <c r="DLW14" s="119"/>
      <c r="DLX14" s="119"/>
      <c r="DLY14" s="119"/>
      <c r="DLZ14" s="119"/>
      <c r="DMA14" s="119"/>
      <c r="DMB14" s="119"/>
      <c r="DMC14" s="119"/>
      <c r="DMD14" s="119"/>
      <c r="DME14" s="119"/>
      <c r="DMF14" s="119"/>
      <c r="DMG14" s="119"/>
      <c r="DMH14" s="119"/>
      <c r="DMI14" s="120"/>
      <c r="DMJ14" s="120"/>
      <c r="DMK14" s="120"/>
      <c r="DML14" s="59"/>
      <c r="DMM14" s="119"/>
      <c r="DMN14" s="119"/>
      <c r="DMO14" s="119"/>
      <c r="DMP14" s="119"/>
      <c r="DMQ14" s="119"/>
      <c r="DMR14" s="119"/>
      <c r="DMS14" s="119"/>
      <c r="DMT14" s="119"/>
      <c r="DMU14" s="119"/>
      <c r="DMV14" s="119"/>
      <c r="DMW14" s="119"/>
      <c r="DMX14" s="119"/>
      <c r="DMY14" s="120"/>
      <c r="DMZ14" s="120"/>
      <c r="DNA14" s="120"/>
      <c r="DNB14" s="59"/>
      <c r="DNC14" s="119"/>
      <c r="DND14" s="119"/>
      <c r="DNE14" s="119"/>
      <c r="DNF14" s="119"/>
      <c r="DNG14" s="119"/>
      <c r="DNH14" s="119"/>
      <c r="DNI14" s="119"/>
      <c r="DNJ14" s="119"/>
      <c r="DNK14" s="119"/>
      <c r="DNL14" s="119"/>
      <c r="DNM14" s="119"/>
      <c r="DNN14" s="119"/>
      <c r="DNO14" s="120"/>
      <c r="DNP14" s="120"/>
      <c r="DNQ14" s="120"/>
      <c r="DNR14" s="59"/>
      <c r="DNS14" s="119"/>
      <c r="DNT14" s="119"/>
      <c r="DNU14" s="119"/>
      <c r="DNV14" s="119"/>
      <c r="DNW14" s="119"/>
      <c r="DNX14" s="119"/>
      <c r="DNY14" s="119"/>
      <c r="DNZ14" s="119"/>
      <c r="DOA14" s="119"/>
      <c r="DOB14" s="119"/>
      <c r="DOC14" s="119"/>
      <c r="DOD14" s="119"/>
      <c r="DOE14" s="120"/>
      <c r="DOF14" s="120"/>
      <c r="DOG14" s="120"/>
      <c r="DOH14" s="59"/>
      <c r="DOI14" s="119"/>
      <c r="DOJ14" s="119"/>
      <c r="DOK14" s="119"/>
      <c r="DOL14" s="119"/>
      <c r="DOM14" s="119"/>
      <c r="DON14" s="119"/>
      <c r="DOO14" s="119"/>
      <c r="DOP14" s="119"/>
      <c r="DOQ14" s="119"/>
      <c r="DOR14" s="119"/>
      <c r="DOS14" s="119"/>
      <c r="DOT14" s="119"/>
      <c r="DOU14" s="120"/>
      <c r="DOV14" s="120"/>
      <c r="DOW14" s="120"/>
      <c r="DOX14" s="59"/>
      <c r="DOY14" s="119"/>
      <c r="DOZ14" s="119"/>
      <c r="DPA14" s="119"/>
      <c r="DPB14" s="119"/>
      <c r="DPC14" s="119"/>
      <c r="DPD14" s="119"/>
      <c r="DPE14" s="119"/>
      <c r="DPF14" s="119"/>
      <c r="DPG14" s="119"/>
      <c r="DPH14" s="119"/>
      <c r="DPI14" s="119"/>
      <c r="DPJ14" s="119"/>
      <c r="DPK14" s="120"/>
      <c r="DPL14" s="120"/>
      <c r="DPM14" s="120"/>
      <c r="DPN14" s="59"/>
      <c r="DPO14" s="119"/>
      <c r="DPP14" s="119"/>
      <c r="DPQ14" s="119"/>
      <c r="DPR14" s="119"/>
      <c r="DPS14" s="119"/>
      <c r="DPT14" s="119"/>
      <c r="DPU14" s="119"/>
      <c r="DPV14" s="119"/>
      <c r="DPW14" s="119"/>
      <c r="DPX14" s="119"/>
      <c r="DPY14" s="119"/>
      <c r="DPZ14" s="119"/>
      <c r="DQA14" s="120"/>
      <c r="DQB14" s="120"/>
      <c r="DQC14" s="120"/>
      <c r="DQD14" s="59"/>
      <c r="DQE14" s="119"/>
      <c r="DQF14" s="119"/>
      <c r="DQG14" s="119"/>
      <c r="DQH14" s="119"/>
      <c r="DQI14" s="119"/>
      <c r="DQJ14" s="119"/>
      <c r="DQK14" s="119"/>
      <c r="DQL14" s="119"/>
      <c r="DQM14" s="119"/>
      <c r="DQN14" s="119"/>
      <c r="DQO14" s="119"/>
      <c r="DQP14" s="119"/>
      <c r="DQQ14" s="120"/>
      <c r="DQR14" s="120"/>
      <c r="DQS14" s="120"/>
      <c r="DQT14" s="59"/>
      <c r="DQU14" s="119"/>
      <c r="DQV14" s="119"/>
      <c r="DQW14" s="119"/>
      <c r="DQX14" s="119"/>
      <c r="DQY14" s="119"/>
      <c r="DQZ14" s="119"/>
      <c r="DRA14" s="119"/>
      <c r="DRB14" s="119"/>
      <c r="DRC14" s="119"/>
      <c r="DRD14" s="119"/>
      <c r="DRE14" s="119"/>
      <c r="DRF14" s="119"/>
      <c r="DRG14" s="120"/>
      <c r="DRH14" s="120"/>
      <c r="DRI14" s="120"/>
      <c r="DRJ14" s="59"/>
      <c r="DRK14" s="119"/>
      <c r="DRL14" s="119"/>
      <c r="DRM14" s="119"/>
      <c r="DRN14" s="119"/>
      <c r="DRO14" s="119"/>
      <c r="DRP14" s="119"/>
      <c r="DRQ14" s="119"/>
      <c r="DRR14" s="119"/>
      <c r="DRS14" s="119"/>
      <c r="DRT14" s="119"/>
      <c r="DRU14" s="119"/>
      <c r="DRV14" s="119"/>
      <c r="DRW14" s="120"/>
      <c r="DRX14" s="120"/>
      <c r="DRY14" s="120"/>
      <c r="DRZ14" s="59"/>
      <c r="DSA14" s="119"/>
      <c r="DSB14" s="119"/>
      <c r="DSC14" s="119"/>
      <c r="DSD14" s="119"/>
      <c r="DSE14" s="119"/>
      <c r="DSF14" s="119"/>
      <c r="DSG14" s="119"/>
      <c r="DSH14" s="119"/>
      <c r="DSI14" s="119"/>
      <c r="DSJ14" s="119"/>
      <c r="DSK14" s="119"/>
      <c r="DSL14" s="119"/>
      <c r="DSM14" s="120"/>
      <c r="DSN14" s="120"/>
      <c r="DSO14" s="120"/>
      <c r="DSP14" s="59"/>
      <c r="DSQ14" s="119"/>
      <c r="DSR14" s="119"/>
      <c r="DSS14" s="119"/>
      <c r="DST14" s="119"/>
      <c r="DSU14" s="119"/>
      <c r="DSV14" s="119"/>
      <c r="DSW14" s="119"/>
      <c r="DSX14" s="119"/>
      <c r="DSY14" s="119"/>
      <c r="DSZ14" s="119"/>
      <c r="DTA14" s="119"/>
      <c r="DTB14" s="119"/>
      <c r="DTC14" s="120"/>
      <c r="DTD14" s="120"/>
      <c r="DTE14" s="120"/>
      <c r="DTF14" s="59"/>
      <c r="DTG14" s="119"/>
      <c r="DTH14" s="119"/>
      <c r="DTI14" s="119"/>
      <c r="DTJ14" s="119"/>
      <c r="DTK14" s="119"/>
      <c r="DTL14" s="119"/>
      <c r="DTM14" s="119"/>
      <c r="DTN14" s="119"/>
      <c r="DTO14" s="119"/>
      <c r="DTP14" s="119"/>
      <c r="DTQ14" s="119"/>
      <c r="DTR14" s="119"/>
      <c r="DTS14" s="120"/>
      <c r="DTT14" s="120"/>
      <c r="DTU14" s="120"/>
      <c r="DTV14" s="59"/>
      <c r="DTW14" s="119"/>
      <c r="DTX14" s="119"/>
      <c r="DTY14" s="119"/>
      <c r="DTZ14" s="119"/>
      <c r="DUA14" s="119"/>
      <c r="DUB14" s="119"/>
      <c r="DUC14" s="119"/>
      <c r="DUD14" s="119"/>
      <c r="DUE14" s="119"/>
      <c r="DUF14" s="119"/>
      <c r="DUG14" s="119"/>
      <c r="DUH14" s="119"/>
      <c r="DUI14" s="120"/>
      <c r="DUJ14" s="120"/>
      <c r="DUK14" s="120"/>
      <c r="DUL14" s="59"/>
      <c r="DUM14" s="119"/>
      <c r="DUN14" s="119"/>
      <c r="DUO14" s="119"/>
      <c r="DUP14" s="119"/>
      <c r="DUQ14" s="119"/>
      <c r="DUR14" s="119"/>
      <c r="DUS14" s="119"/>
      <c r="DUT14" s="119"/>
      <c r="DUU14" s="119"/>
      <c r="DUV14" s="119"/>
      <c r="DUW14" s="119"/>
      <c r="DUX14" s="119"/>
      <c r="DUY14" s="120"/>
      <c r="DUZ14" s="120"/>
      <c r="DVA14" s="120"/>
      <c r="DVB14" s="59"/>
      <c r="DVC14" s="119"/>
      <c r="DVD14" s="119"/>
      <c r="DVE14" s="119"/>
      <c r="DVF14" s="119"/>
      <c r="DVG14" s="119"/>
      <c r="DVH14" s="119"/>
      <c r="DVI14" s="119"/>
      <c r="DVJ14" s="119"/>
      <c r="DVK14" s="119"/>
      <c r="DVL14" s="119"/>
      <c r="DVM14" s="119"/>
      <c r="DVN14" s="119"/>
      <c r="DVO14" s="120"/>
      <c r="DVP14" s="120"/>
      <c r="DVQ14" s="120"/>
      <c r="DVR14" s="59"/>
      <c r="DVS14" s="119"/>
      <c r="DVT14" s="119"/>
      <c r="DVU14" s="119"/>
      <c r="DVV14" s="119"/>
      <c r="DVW14" s="119"/>
      <c r="DVX14" s="119"/>
      <c r="DVY14" s="119"/>
      <c r="DVZ14" s="119"/>
      <c r="DWA14" s="119"/>
      <c r="DWB14" s="119"/>
      <c r="DWC14" s="119"/>
      <c r="DWD14" s="119"/>
      <c r="DWE14" s="120"/>
      <c r="DWF14" s="120"/>
      <c r="DWG14" s="120"/>
      <c r="DWH14" s="59"/>
      <c r="DWI14" s="119"/>
      <c r="DWJ14" s="119"/>
      <c r="DWK14" s="119"/>
      <c r="DWL14" s="119"/>
      <c r="DWM14" s="119"/>
      <c r="DWN14" s="119"/>
      <c r="DWO14" s="119"/>
      <c r="DWP14" s="119"/>
      <c r="DWQ14" s="119"/>
      <c r="DWR14" s="119"/>
      <c r="DWS14" s="119"/>
      <c r="DWT14" s="119"/>
      <c r="DWU14" s="120"/>
      <c r="DWV14" s="120"/>
      <c r="DWW14" s="120"/>
      <c r="DWX14" s="59"/>
      <c r="DWY14" s="119"/>
      <c r="DWZ14" s="119"/>
      <c r="DXA14" s="119"/>
      <c r="DXB14" s="119"/>
      <c r="DXC14" s="119"/>
      <c r="DXD14" s="119"/>
      <c r="DXE14" s="119"/>
      <c r="DXF14" s="119"/>
      <c r="DXG14" s="119"/>
      <c r="DXH14" s="119"/>
      <c r="DXI14" s="119"/>
      <c r="DXJ14" s="119"/>
      <c r="DXK14" s="120"/>
      <c r="DXL14" s="120"/>
      <c r="DXM14" s="120"/>
      <c r="DXN14" s="59"/>
      <c r="DXO14" s="119"/>
      <c r="DXP14" s="119"/>
      <c r="DXQ14" s="119"/>
      <c r="DXR14" s="119"/>
      <c r="DXS14" s="119"/>
      <c r="DXT14" s="119"/>
      <c r="DXU14" s="119"/>
      <c r="DXV14" s="119"/>
      <c r="DXW14" s="119"/>
      <c r="DXX14" s="119"/>
      <c r="DXY14" s="119"/>
      <c r="DXZ14" s="119"/>
      <c r="DYA14" s="120"/>
      <c r="DYB14" s="120"/>
      <c r="DYC14" s="120"/>
      <c r="DYD14" s="59"/>
      <c r="DYE14" s="119"/>
      <c r="DYF14" s="119"/>
      <c r="DYG14" s="119"/>
      <c r="DYH14" s="119"/>
      <c r="DYI14" s="119"/>
      <c r="DYJ14" s="119"/>
      <c r="DYK14" s="119"/>
      <c r="DYL14" s="119"/>
      <c r="DYM14" s="119"/>
      <c r="DYN14" s="119"/>
      <c r="DYO14" s="119"/>
      <c r="DYP14" s="119"/>
      <c r="DYQ14" s="120"/>
      <c r="DYR14" s="120"/>
      <c r="DYS14" s="120"/>
      <c r="DYT14" s="59"/>
      <c r="DYU14" s="119"/>
      <c r="DYV14" s="119"/>
      <c r="DYW14" s="119"/>
      <c r="DYX14" s="119"/>
      <c r="DYY14" s="119"/>
      <c r="DYZ14" s="119"/>
      <c r="DZA14" s="119"/>
      <c r="DZB14" s="119"/>
      <c r="DZC14" s="119"/>
      <c r="DZD14" s="119"/>
      <c r="DZE14" s="119"/>
      <c r="DZF14" s="119"/>
      <c r="DZG14" s="120"/>
      <c r="DZH14" s="120"/>
      <c r="DZI14" s="120"/>
      <c r="DZJ14" s="59"/>
      <c r="DZK14" s="119"/>
      <c r="DZL14" s="119"/>
      <c r="DZM14" s="119"/>
      <c r="DZN14" s="119"/>
      <c r="DZO14" s="119"/>
      <c r="DZP14" s="119"/>
      <c r="DZQ14" s="119"/>
      <c r="DZR14" s="119"/>
      <c r="DZS14" s="119"/>
      <c r="DZT14" s="119"/>
      <c r="DZU14" s="119"/>
      <c r="DZV14" s="119"/>
      <c r="DZW14" s="120"/>
      <c r="DZX14" s="120"/>
      <c r="DZY14" s="120"/>
      <c r="DZZ14" s="59"/>
      <c r="EAA14" s="119"/>
      <c r="EAB14" s="119"/>
      <c r="EAC14" s="119"/>
      <c r="EAD14" s="119"/>
      <c r="EAE14" s="119"/>
      <c r="EAF14" s="119"/>
      <c r="EAG14" s="119"/>
      <c r="EAH14" s="119"/>
      <c r="EAI14" s="119"/>
      <c r="EAJ14" s="119"/>
      <c r="EAK14" s="119"/>
      <c r="EAL14" s="119"/>
      <c r="EAM14" s="120"/>
      <c r="EAN14" s="120"/>
      <c r="EAO14" s="120"/>
      <c r="EAP14" s="59"/>
      <c r="EAQ14" s="119"/>
      <c r="EAR14" s="119"/>
      <c r="EAS14" s="119"/>
      <c r="EAT14" s="119"/>
      <c r="EAU14" s="119"/>
      <c r="EAV14" s="119"/>
      <c r="EAW14" s="119"/>
      <c r="EAX14" s="119"/>
      <c r="EAY14" s="119"/>
      <c r="EAZ14" s="119"/>
      <c r="EBA14" s="119"/>
      <c r="EBB14" s="119"/>
      <c r="EBC14" s="120"/>
      <c r="EBD14" s="120"/>
      <c r="EBE14" s="120"/>
      <c r="EBF14" s="59"/>
      <c r="EBG14" s="119"/>
      <c r="EBH14" s="119"/>
      <c r="EBI14" s="119"/>
      <c r="EBJ14" s="119"/>
      <c r="EBK14" s="119"/>
      <c r="EBL14" s="119"/>
      <c r="EBM14" s="119"/>
      <c r="EBN14" s="119"/>
      <c r="EBO14" s="119"/>
      <c r="EBP14" s="119"/>
      <c r="EBQ14" s="119"/>
      <c r="EBR14" s="119"/>
      <c r="EBS14" s="120"/>
      <c r="EBT14" s="120"/>
      <c r="EBU14" s="120"/>
      <c r="EBV14" s="59"/>
      <c r="EBW14" s="119"/>
      <c r="EBX14" s="119"/>
      <c r="EBY14" s="119"/>
      <c r="EBZ14" s="119"/>
      <c r="ECA14" s="119"/>
      <c r="ECB14" s="119"/>
      <c r="ECC14" s="119"/>
      <c r="ECD14" s="119"/>
      <c r="ECE14" s="119"/>
      <c r="ECF14" s="119"/>
      <c r="ECG14" s="119"/>
      <c r="ECH14" s="119"/>
      <c r="ECI14" s="120"/>
      <c r="ECJ14" s="120"/>
      <c r="ECK14" s="120"/>
      <c r="ECL14" s="59"/>
      <c r="ECM14" s="119"/>
      <c r="ECN14" s="119"/>
      <c r="ECO14" s="119"/>
      <c r="ECP14" s="119"/>
      <c r="ECQ14" s="119"/>
      <c r="ECR14" s="119"/>
      <c r="ECS14" s="119"/>
      <c r="ECT14" s="119"/>
      <c r="ECU14" s="119"/>
      <c r="ECV14" s="119"/>
      <c r="ECW14" s="119"/>
      <c r="ECX14" s="119"/>
      <c r="ECY14" s="120"/>
      <c r="ECZ14" s="120"/>
      <c r="EDA14" s="120"/>
      <c r="EDB14" s="59"/>
      <c r="EDC14" s="119"/>
      <c r="EDD14" s="119"/>
      <c r="EDE14" s="119"/>
      <c r="EDF14" s="119"/>
      <c r="EDG14" s="119"/>
      <c r="EDH14" s="119"/>
      <c r="EDI14" s="119"/>
      <c r="EDJ14" s="119"/>
      <c r="EDK14" s="119"/>
      <c r="EDL14" s="119"/>
      <c r="EDM14" s="119"/>
      <c r="EDN14" s="119"/>
      <c r="EDO14" s="120"/>
      <c r="EDP14" s="120"/>
      <c r="EDQ14" s="120"/>
      <c r="EDR14" s="59"/>
      <c r="EDS14" s="119"/>
      <c r="EDT14" s="119"/>
      <c r="EDU14" s="119"/>
      <c r="EDV14" s="119"/>
      <c r="EDW14" s="119"/>
      <c r="EDX14" s="119"/>
      <c r="EDY14" s="119"/>
      <c r="EDZ14" s="119"/>
      <c r="EEA14" s="119"/>
      <c r="EEB14" s="119"/>
      <c r="EEC14" s="119"/>
      <c r="EED14" s="119"/>
      <c r="EEE14" s="120"/>
      <c r="EEF14" s="120"/>
      <c r="EEG14" s="120"/>
      <c r="EEH14" s="59"/>
      <c r="EEI14" s="119"/>
      <c r="EEJ14" s="119"/>
      <c r="EEK14" s="119"/>
      <c r="EEL14" s="119"/>
      <c r="EEM14" s="119"/>
      <c r="EEN14" s="119"/>
      <c r="EEO14" s="119"/>
      <c r="EEP14" s="119"/>
      <c r="EEQ14" s="119"/>
      <c r="EER14" s="119"/>
      <c r="EES14" s="119"/>
      <c r="EET14" s="119"/>
      <c r="EEU14" s="120"/>
      <c r="EEV14" s="120"/>
      <c r="EEW14" s="120"/>
      <c r="EEX14" s="59"/>
      <c r="EEY14" s="119"/>
      <c r="EEZ14" s="119"/>
      <c r="EFA14" s="119"/>
      <c r="EFB14" s="119"/>
      <c r="EFC14" s="119"/>
      <c r="EFD14" s="119"/>
      <c r="EFE14" s="119"/>
      <c r="EFF14" s="119"/>
      <c r="EFG14" s="119"/>
      <c r="EFH14" s="119"/>
      <c r="EFI14" s="119"/>
      <c r="EFJ14" s="119"/>
      <c r="EFK14" s="120"/>
      <c r="EFL14" s="120"/>
      <c r="EFM14" s="120"/>
      <c r="EFN14" s="59"/>
      <c r="EFO14" s="119"/>
      <c r="EFP14" s="119"/>
      <c r="EFQ14" s="119"/>
      <c r="EFR14" s="119"/>
      <c r="EFS14" s="119"/>
      <c r="EFT14" s="119"/>
      <c r="EFU14" s="119"/>
      <c r="EFV14" s="119"/>
      <c r="EFW14" s="119"/>
      <c r="EFX14" s="119"/>
      <c r="EFY14" s="119"/>
      <c r="EFZ14" s="119"/>
      <c r="EGA14" s="120"/>
      <c r="EGB14" s="120"/>
      <c r="EGC14" s="120"/>
      <c r="EGD14" s="59"/>
      <c r="EGE14" s="119"/>
      <c r="EGF14" s="119"/>
      <c r="EGG14" s="119"/>
      <c r="EGH14" s="119"/>
      <c r="EGI14" s="119"/>
      <c r="EGJ14" s="119"/>
      <c r="EGK14" s="119"/>
      <c r="EGL14" s="119"/>
      <c r="EGM14" s="119"/>
      <c r="EGN14" s="119"/>
      <c r="EGO14" s="119"/>
      <c r="EGP14" s="119"/>
      <c r="EGQ14" s="120"/>
      <c r="EGR14" s="120"/>
      <c r="EGS14" s="120"/>
      <c r="EGT14" s="59"/>
      <c r="EGU14" s="119"/>
      <c r="EGV14" s="119"/>
      <c r="EGW14" s="119"/>
      <c r="EGX14" s="119"/>
      <c r="EGY14" s="119"/>
      <c r="EGZ14" s="119"/>
      <c r="EHA14" s="119"/>
      <c r="EHB14" s="119"/>
      <c r="EHC14" s="119"/>
      <c r="EHD14" s="119"/>
      <c r="EHE14" s="119"/>
      <c r="EHF14" s="119"/>
      <c r="EHG14" s="120"/>
      <c r="EHH14" s="120"/>
      <c r="EHI14" s="120"/>
      <c r="EHJ14" s="59"/>
      <c r="EHK14" s="119"/>
      <c r="EHL14" s="119"/>
      <c r="EHM14" s="119"/>
      <c r="EHN14" s="119"/>
      <c r="EHO14" s="119"/>
      <c r="EHP14" s="119"/>
      <c r="EHQ14" s="119"/>
      <c r="EHR14" s="119"/>
      <c r="EHS14" s="119"/>
      <c r="EHT14" s="119"/>
      <c r="EHU14" s="119"/>
      <c r="EHV14" s="119"/>
      <c r="EHW14" s="120"/>
      <c r="EHX14" s="120"/>
      <c r="EHY14" s="120"/>
      <c r="EHZ14" s="59"/>
      <c r="EIA14" s="119"/>
      <c r="EIB14" s="119"/>
      <c r="EIC14" s="119"/>
      <c r="EID14" s="119"/>
      <c r="EIE14" s="119"/>
      <c r="EIF14" s="119"/>
      <c r="EIG14" s="119"/>
      <c r="EIH14" s="119"/>
      <c r="EII14" s="119"/>
      <c r="EIJ14" s="119"/>
      <c r="EIK14" s="119"/>
      <c r="EIL14" s="119"/>
      <c r="EIM14" s="120"/>
      <c r="EIN14" s="120"/>
      <c r="EIO14" s="120"/>
      <c r="EIP14" s="59"/>
      <c r="EIQ14" s="119"/>
      <c r="EIR14" s="119"/>
      <c r="EIS14" s="119"/>
      <c r="EIT14" s="119"/>
      <c r="EIU14" s="119"/>
      <c r="EIV14" s="119"/>
      <c r="EIW14" s="119"/>
      <c r="EIX14" s="119"/>
      <c r="EIY14" s="119"/>
      <c r="EIZ14" s="119"/>
      <c r="EJA14" s="119"/>
      <c r="EJB14" s="119"/>
      <c r="EJC14" s="120"/>
      <c r="EJD14" s="120"/>
      <c r="EJE14" s="120"/>
      <c r="EJF14" s="59"/>
      <c r="EJG14" s="119"/>
      <c r="EJH14" s="119"/>
      <c r="EJI14" s="119"/>
      <c r="EJJ14" s="119"/>
      <c r="EJK14" s="119"/>
      <c r="EJL14" s="119"/>
      <c r="EJM14" s="119"/>
      <c r="EJN14" s="119"/>
      <c r="EJO14" s="119"/>
      <c r="EJP14" s="119"/>
      <c r="EJQ14" s="119"/>
      <c r="EJR14" s="119"/>
      <c r="EJS14" s="120"/>
      <c r="EJT14" s="120"/>
      <c r="EJU14" s="120"/>
      <c r="EJV14" s="59"/>
      <c r="EJW14" s="119"/>
      <c r="EJX14" s="119"/>
      <c r="EJY14" s="119"/>
      <c r="EJZ14" s="119"/>
      <c r="EKA14" s="119"/>
      <c r="EKB14" s="119"/>
      <c r="EKC14" s="119"/>
      <c r="EKD14" s="119"/>
      <c r="EKE14" s="119"/>
      <c r="EKF14" s="119"/>
      <c r="EKG14" s="119"/>
      <c r="EKH14" s="119"/>
      <c r="EKI14" s="120"/>
      <c r="EKJ14" s="120"/>
      <c r="EKK14" s="120"/>
      <c r="EKL14" s="59"/>
      <c r="EKM14" s="119"/>
      <c r="EKN14" s="119"/>
      <c r="EKO14" s="119"/>
      <c r="EKP14" s="119"/>
      <c r="EKQ14" s="119"/>
      <c r="EKR14" s="119"/>
      <c r="EKS14" s="119"/>
      <c r="EKT14" s="119"/>
      <c r="EKU14" s="119"/>
      <c r="EKV14" s="119"/>
      <c r="EKW14" s="119"/>
      <c r="EKX14" s="119"/>
      <c r="EKY14" s="120"/>
      <c r="EKZ14" s="120"/>
      <c r="ELA14" s="120"/>
      <c r="ELB14" s="59"/>
      <c r="ELC14" s="119"/>
      <c r="ELD14" s="119"/>
      <c r="ELE14" s="119"/>
      <c r="ELF14" s="119"/>
      <c r="ELG14" s="119"/>
      <c r="ELH14" s="119"/>
      <c r="ELI14" s="119"/>
      <c r="ELJ14" s="119"/>
      <c r="ELK14" s="119"/>
      <c r="ELL14" s="119"/>
      <c r="ELM14" s="119"/>
      <c r="ELN14" s="119"/>
      <c r="ELO14" s="120"/>
      <c r="ELP14" s="120"/>
      <c r="ELQ14" s="120"/>
      <c r="ELR14" s="59"/>
      <c r="ELS14" s="119"/>
      <c r="ELT14" s="119"/>
      <c r="ELU14" s="119"/>
      <c r="ELV14" s="119"/>
      <c r="ELW14" s="119"/>
      <c r="ELX14" s="119"/>
      <c r="ELY14" s="119"/>
      <c r="ELZ14" s="119"/>
      <c r="EMA14" s="119"/>
      <c r="EMB14" s="119"/>
      <c r="EMC14" s="119"/>
      <c r="EMD14" s="119"/>
      <c r="EME14" s="120"/>
      <c r="EMF14" s="120"/>
      <c r="EMG14" s="120"/>
      <c r="EMH14" s="59"/>
      <c r="EMI14" s="119"/>
      <c r="EMJ14" s="119"/>
      <c r="EMK14" s="119"/>
      <c r="EML14" s="119"/>
      <c r="EMM14" s="119"/>
      <c r="EMN14" s="119"/>
      <c r="EMO14" s="119"/>
      <c r="EMP14" s="119"/>
      <c r="EMQ14" s="119"/>
      <c r="EMR14" s="119"/>
      <c r="EMS14" s="119"/>
      <c r="EMT14" s="119"/>
      <c r="EMU14" s="120"/>
      <c r="EMV14" s="120"/>
      <c r="EMW14" s="120"/>
      <c r="EMX14" s="59"/>
      <c r="EMY14" s="119"/>
      <c r="EMZ14" s="119"/>
      <c r="ENA14" s="119"/>
      <c r="ENB14" s="119"/>
      <c r="ENC14" s="119"/>
      <c r="END14" s="119"/>
      <c r="ENE14" s="119"/>
      <c r="ENF14" s="119"/>
      <c r="ENG14" s="119"/>
      <c r="ENH14" s="119"/>
      <c r="ENI14" s="119"/>
      <c r="ENJ14" s="119"/>
      <c r="ENK14" s="120"/>
      <c r="ENL14" s="120"/>
      <c r="ENM14" s="120"/>
      <c r="ENN14" s="59"/>
      <c r="ENO14" s="119"/>
      <c r="ENP14" s="119"/>
      <c r="ENQ14" s="119"/>
      <c r="ENR14" s="119"/>
      <c r="ENS14" s="119"/>
      <c r="ENT14" s="119"/>
      <c r="ENU14" s="119"/>
      <c r="ENV14" s="119"/>
      <c r="ENW14" s="119"/>
      <c r="ENX14" s="119"/>
      <c r="ENY14" s="119"/>
      <c r="ENZ14" s="119"/>
      <c r="EOA14" s="120"/>
      <c r="EOB14" s="120"/>
      <c r="EOC14" s="120"/>
      <c r="EOD14" s="59"/>
      <c r="EOE14" s="119"/>
      <c r="EOF14" s="119"/>
      <c r="EOG14" s="119"/>
      <c r="EOH14" s="119"/>
      <c r="EOI14" s="119"/>
      <c r="EOJ14" s="119"/>
      <c r="EOK14" s="119"/>
      <c r="EOL14" s="119"/>
      <c r="EOM14" s="119"/>
      <c r="EON14" s="119"/>
      <c r="EOO14" s="119"/>
      <c r="EOP14" s="119"/>
      <c r="EOQ14" s="120"/>
      <c r="EOR14" s="120"/>
      <c r="EOS14" s="120"/>
      <c r="EOT14" s="59"/>
      <c r="EOU14" s="119"/>
      <c r="EOV14" s="119"/>
      <c r="EOW14" s="119"/>
      <c r="EOX14" s="119"/>
      <c r="EOY14" s="119"/>
      <c r="EOZ14" s="119"/>
      <c r="EPA14" s="119"/>
      <c r="EPB14" s="119"/>
      <c r="EPC14" s="119"/>
      <c r="EPD14" s="119"/>
      <c r="EPE14" s="119"/>
      <c r="EPF14" s="119"/>
      <c r="EPG14" s="120"/>
      <c r="EPH14" s="120"/>
      <c r="EPI14" s="120"/>
      <c r="EPJ14" s="59"/>
      <c r="EPK14" s="119"/>
      <c r="EPL14" s="119"/>
      <c r="EPM14" s="119"/>
      <c r="EPN14" s="119"/>
      <c r="EPO14" s="119"/>
      <c r="EPP14" s="119"/>
      <c r="EPQ14" s="119"/>
      <c r="EPR14" s="119"/>
      <c r="EPS14" s="119"/>
      <c r="EPT14" s="119"/>
      <c r="EPU14" s="119"/>
      <c r="EPV14" s="119"/>
      <c r="EPW14" s="120"/>
      <c r="EPX14" s="120"/>
      <c r="EPY14" s="120"/>
      <c r="EPZ14" s="59"/>
      <c r="EQA14" s="119"/>
      <c r="EQB14" s="119"/>
      <c r="EQC14" s="119"/>
      <c r="EQD14" s="119"/>
      <c r="EQE14" s="119"/>
      <c r="EQF14" s="119"/>
      <c r="EQG14" s="119"/>
      <c r="EQH14" s="119"/>
      <c r="EQI14" s="119"/>
      <c r="EQJ14" s="119"/>
      <c r="EQK14" s="119"/>
      <c r="EQL14" s="119"/>
      <c r="EQM14" s="120"/>
      <c r="EQN14" s="120"/>
      <c r="EQO14" s="120"/>
      <c r="EQP14" s="59"/>
      <c r="EQQ14" s="119"/>
      <c r="EQR14" s="119"/>
      <c r="EQS14" s="119"/>
      <c r="EQT14" s="119"/>
      <c r="EQU14" s="119"/>
      <c r="EQV14" s="119"/>
      <c r="EQW14" s="119"/>
      <c r="EQX14" s="119"/>
      <c r="EQY14" s="119"/>
      <c r="EQZ14" s="119"/>
      <c r="ERA14" s="119"/>
      <c r="ERB14" s="119"/>
      <c r="ERC14" s="120"/>
      <c r="ERD14" s="120"/>
      <c r="ERE14" s="120"/>
      <c r="ERF14" s="59"/>
      <c r="ERG14" s="119"/>
      <c r="ERH14" s="119"/>
      <c r="ERI14" s="119"/>
      <c r="ERJ14" s="119"/>
      <c r="ERK14" s="119"/>
      <c r="ERL14" s="119"/>
      <c r="ERM14" s="119"/>
      <c r="ERN14" s="119"/>
      <c r="ERO14" s="119"/>
      <c r="ERP14" s="119"/>
      <c r="ERQ14" s="119"/>
      <c r="ERR14" s="119"/>
      <c r="ERS14" s="120"/>
      <c r="ERT14" s="120"/>
      <c r="ERU14" s="120"/>
      <c r="ERV14" s="59"/>
      <c r="ERW14" s="119"/>
      <c r="ERX14" s="119"/>
      <c r="ERY14" s="119"/>
      <c r="ERZ14" s="119"/>
      <c r="ESA14" s="119"/>
      <c r="ESB14" s="119"/>
      <c r="ESC14" s="119"/>
      <c r="ESD14" s="119"/>
      <c r="ESE14" s="119"/>
      <c r="ESF14" s="119"/>
      <c r="ESG14" s="119"/>
      <c r="ESH14" s="119"/>
      <c r="ESI14" s="120"/>
      <c r="ESJ14" s="120"/>
      <c r="ESK14" s="120"/>
      <c r="ESL14" s="59"/>
      <c r="ESM14" s="119"/>
      <c r="ESN14" s="119"/>
      <c r="ESO14" s="119"/>
      <c r="ESP14" s="119"/>
      <c r="ESQ14" s="119"/>
      <c r="ESR14" s="119"/>
      <c r="ESS14" s="119"/>
      <c r="EST14" s="119"/>
      <c r="ESU14" s="119"/>
      <c r="ESV14" s="119"/>
      <c r="ESW14" s="119"/>
      <c r="ESX14" s="119"/>
      <c r="ESY14" s="120"/>
      <c r="ESZ14" s="120"/>
      <c r="ETA14" s="120"/>
      <c r="ETB14" s="59"/>
      <c r="ETC14" s="119"/>
      <c r="ETD14" s="119"/>
      <c r="ETE14" s="119"/>
      <c r="ETF14" s="119"/>
      <c r="ETG14" s="119"/>
      <c r="ETH14" s="119"/>
      <c r="ETI14" s="119"/>
      <c r="ETJ14" s="119"/>
      <c r="ETK14" s="119"/>
      <c r="ETL14" s="119"/>
      <c r="ETM14" s="119"/>
      <c r="ETN14" s="119"/>
      <c r="ETO14" s="120"/>
      <c r="ETP14" s="120"/>
      <c r="ETQ14" s="120"/>
      <c r="ETR14" s="59"/>
      <c r="ETS14" s="119"/>
      <c r="ETT14" s="119"/>
      <c r="ETU14" s="119"/>
      <c r="ETV14" s="119"/>
      <c r="ETW14" s="119"/>
      <c r="ETX14" s="119"/>
      <c r="ETY14" s="119"/>
      <c r="ETZ14" s="119"/>
      <c r="EUA14" s="119"/>
      <c r="EUB14" s="119"/>
      <c r="EUC14" s="119"/>
      <c r="EUD14" s="119"/>
      <c r="EUE14" s="120"/>
      <c r="EUF14" s="120"/>
      <c r="EUG14" s="120"/>
      <c r="EUH14" s="59"/>
      <c r="EUI14" s="119"/>
      <c r="EUJ14" s="119"/>
      <c r="EUK14" s="119"/>
      <c r="EUL14" s="119"/>
      <c r="EUM14" s="119"/>
      <c r="EUN14" s="119"/>
      <c r="EUO14" s="119"/>
      <c r="EUP14" s="119"/>
      <c r="EUQ14" s="119"/>
      <c r="EUR14" s="119"/>
      <c r="EUS14" s="119"/>
      <c r="EUT14" s="119"/>
      <c r="EUU14" s="120"/>
      <c r="EUV14" s="120"/>
      <c r="EUW14" s="120"/>
      <c r="EUX14" s="59"/>
      <c r="EUY14" s="119"/>
      <c r="EUZ14" s="119"/>
      <c r="EVA14" s="119"/>
      <c r="EVB14" s="119"/>
      <c r="EVC14" s="119"/>
      <c r="EVD14" s="119"/>
      <c r="EVE14" s="119"/>
      <c r="EVF14" s="119"/>
      <c r="EVG14" s="119"/>
      <c r="EVH14" s="119"/>
      <c r="EVI14" s="119"/>
      <c r="EVJ14" s="119"/>
      <c r="EVK14" s="120"/>
      <c r="EVL14" s="120"/>
      <c r="EVM14" s="120"/>
      <c r="EVN14" s="59"/>
      <c r="EVO14" s="119"/>
      <c r="EVP14" s="119"/>
      <c r="EVQ14" s="119"/>
      <c r="EVR14" s="119"/>
      <c r="EVS14" s="119"/>
      <c r="EVT14" s="119"/>
      <c r="EVU14" s="119"/>
      <c r="EVV14" s="119"/>
      <c r="EVW14" s="119"/>
      <c r="EVX14" s="119"/>
      <c r="EVY14" s="119"/>
      <c r="EVZ14" s="119"/>
      <c r="EWA14" s="120"/>
      <c r="EWB14" s="120"/>
      <c r="EWC14" s="120"/>
      <c r="EWD14" s="59"/>
      <c r="EWE14" s="119"/>
      <c r="EWF14" s="119"/>
      <c r="EWG14" s="119"/>
      <c r="EWH14" s="119"/>
      <c r="EWI14" s="119"/>
      <c r="EWJ14" s="119"/>
      <c r="EWK14" s="119"/>
      <c r="EWL14" s="119"/>
      <c r="EWM14" s="119"/>
      <c r="EWN14" s="119"/>
      <c r="EWO14" s="119"/>
      <c r="EWP14" s="119"/>
      <c r="EWQ14" s="120"/>
      <c r="EWR14" s="120"/>
      <c r="EWS14" s="120"/>
      <c r="EWT14" s="59"/>
      <c r="EWU14" s="119"/>
      <c r="EWV14" s="119"/>
      <c r="EWW14" s="119"/>
      <c r="EWX14" s="119"/>
      <c r="EWY14" s="119"/>
      <c r="EWZ14" s="119"/>
      <c r="EXA14" s="119"/>
      <c r="EXB14" s="119"/>
      <c r="EXC14" s="119"/>
      <c r="EXD14" s="119"/>
      <c r="EXE14" s="119"/>
      <c r="EXF14" s="119"/>
      <c r="EXG14" s="120"/>
      <c r="EXH14" s="120"/>
      <c r="EXI14" s="120"/>
      <c r="EXJ14" s="59"/>
      <c r="EXK14" s="119"/>
      <c r="EXL14" s="119"/>
      <c r="EXM14" s="119"/>
      <c r="EXN14" s="119"/>
      <c r="EXO14" s="119"/>
      <c r="EXP14" s="119"/>
      <c r="EXQ14" s="119"/>
      <c r="EXR14" s="119"/>
      <c r="EXS14" s="119"/>
      <c r="EXT14" s="119"/>
      <c r="EXU14" s="119"/>
      <c r="EXV14" s="119"/>
      <c r="EXW14" s="120"/>
      <c r="EXX14" s="120"/>
      <c r="EXY14" s="120"/>
      <c r="EXZ14" s="59"/>
      <c r="EYA14" s="119"/>
      <c r="EYB14" s="119"/>
      <c r="EYC14" s="119"/>
      <c r="EYD14" s="119"/>
      <c r="EYE14" s="119"/>
      <c r="EYF14" s="119"/>
      <c r="EYG14" s="119"/>
      <c r="EYH14" s="119"/>
      <c r="EYI14" s="119"/>
      <c r="EYJ14" s="119"/>
      <c r="EYK14" s="119"/>
      <c r="EYL14" s="119"/>
      <c r="EYM14" s="120"/>
      <c r="EYN14" s="120"/>
      <c r="EYO14" s="120"/>
      <c r="EYP14" s="59"/>
      <c r="EYQ14" s="119"/>
      <c r="EYR14" s="119"/>
      <c r="EYS14" s="119"/>
      <c r="EYT14" s="119"/>
      <c r="EYU14" s="119"/>
      <c r="EYV14" s="119"/>
      <c r="EYW14" s="119"/>
      <c r="EYX14" s="119"/>
      <c r="EYY14" s="119"/>
      <c r="EYZ14" s="119"/>
      <c r="EZA14" s="119"/>
      <c r="EZB14" s="119"/>
      <c r="EZC14" s="120"/>
      <c r="EZD14" s="120"/>
      <c r="EZE14" s="120"/>
      <c r="EZF14" s="59"/>
      <c r="EZG14" s="119"/>
      <c r="EZH14" s="119"/>
      <c r="EZI14" s="119"/>
      <c r="EZJ14" s="119"/>
      <c r="EZK14" s="119"/>
      <c r="EZL14" s="119"/>
      <c r="EZM14" s="119"/>
      <c r="EZN14" s="119"/>
      <c r="EZO14" s="119"/>
      <c r="EZP14" s="119"/>
      <c r="EZQ14" s="119"/>
      <c r="EZR14" s="119"/>
      <c r="EZS14" s="120"/>
      <c r="EZT14" s="120"/>
      <c r="EZU14" s="120"/>
      <c r="EZV14" s="59"/>
      <c r="EZW14" s="119"/>
      <c r="EZX14" s="119"/>
      <c r="EZY14" s="119"/>
      <c r="EZZ14" s="119"/>
      <c r="FAA14" s="119"/>
      <c r="FAB14" s="119"/>
      <c r="FAC14" s="119"/>
      <c r="FAD14" s="119"/>
      <c r="FAE14" s="119"/>
      <c r="FAF14" s="119"/>
      <c r="FAG14" s="119"/>
      <c r="FAH14" s="119"/>
      <c r="FAI14" s="120"/>
      <c r="FAJ14" s="120"/>
      <c r="FAK14" s="120"/>
      <c r="FAL14" s="59"/>
      <c r="FAM14" s="119"/>
      <c r="FAN14" s="119"/>
      <c r="FAO14" s="119"/>
      <c r="FAP14" s="119"/>
      <c r="FAQ14" s="119"/>
      <c r="FAR14" s="119"/>
      <c r="FAS14" s="119"/>
      <c r="FAT14" s="119"/>
      <c r="FAU14" s="119"/>
      <c r="FAV14" s="119"/>
      <c r="FAW14" s="119"/>
      <c r="FAX14" s="119"/>
      <c r="FAY14" s="120"/>
      <c r="FAZ14" s="120"/>
      <c r="FBA14" s="120"/>
      <c r="FBB14" s="59"/>
      <c r="FBC14" s="119"/>
      <c r="FBD14" s="119"/>
      <c r="FBE14" s="119"/>
      <c r="FBF14" s="119"/>
      <c r="FBG14" s="119"/>
      <c r="FBH14" s="119"/>
      <c r="FBI14" s="119"/>
      <c r="FBJ14" s="119"/>
      <c r="FBK14" s="119"/>
      <c r="FBL14" s="119"/>
      <c r="FBM14" s="119"/>
      <c r="FBN14" s="119"/>
      <c r="FBO14" s="120"/>
      <c r="FBP14" s="120"/>
      <c r="FBQ14" s="120"/>
      <c r="FBR14" s="59"/>
      <c r="FBS14" s="119"/>
      <c r="FBT14" s="119"/>
      <c r="FBU14" s="119"/>
      <c r="FBV14" s="119"/>
      <c r="FBW14" s="119"/>
      <c r="FBX14" s="119"/>
      <c r="FBY14" s="119"/>
      <c r="FBZ14" s="119"/>
      <c r="FCA14" s="119"/>
      <c r="FCB14" s="119"/>
      <c r="FCC14" s="119"/>
      <c r="FCD14" s="119"/>
      <c r="FCE14" s="120"/>
      <c r="FCF14" s="120"/>
      <c r="FCG14" s="120"/>
      <c r="FCH14" s="59"/>
      <c r="FCI14" s="119"/>
      <c r="FCJ14" s="119"/>
      <c r="FCK14" s="119"/>
      <c r="FCL14" s="119"/>
      <c r="FCM14" s="119"/>
      <c r="FCN14" s="119"/>
      <c r="FCO14" s="119"/>
      <c r="FCP14" s="119"/>
      <c r="FCQ14" s="119"/>
      <c r="FCR14" s="119"/>
      <c r="FCS14" s="119"/>
      <c r="FCT14" s="119"/>
      <c r="FCU14" s="120"/>
      <c r="FCV14" s="120"/>
      <c r="FCW14" s="120"/>
      <c r="FCX14" s="59"/>
      <c r="FCY14" s="119"/>
      <c r="FCZ14" s="119"/>
      <c r="FDA14" s="119"/>
      <c r="FDB14" s="119"/>
      <c r="FDC14" s="119"/>
      <c r="FDD14" s="119"/>
      <c r="FDE14" s="119"/>
      <c r="FDF14" s="119"/>
      <c r="FDG14" s="119"/>
      <c r="FDH14" s="119"/>
      <c r="FDI14" s="119"/>
      <c r="FDJ14" s="119"/>
      <c r="FDK14" s="120"/>
      <c r="FDL14" s="120"/>
      <c r="FDM14" s="120"/>
      <c r="FDN14" s="59"/>
      <c r="FDO14" s="119"/>
      <c r="FDP14" s="119"/>
      <c r="FDQ14" s="119"/>
      <c r="FDR14" s="119"/>
      <c r="FDS14" s="119"/>
      <c r="FDT14" s="119"/>
      <c r="FDU14" s="119"/>
      <c r="FDV14" s="119"/>
      <c r="FDW14" s="119"/>
      <c r="FDX14" s="119"/>
      <c r="FDY14" s="119"/>
      <c r="FDZ14" s="119"/>
      <c r="FEA14" s="120"/>
      <c r="FEB14" s="120"/>
      <c r="FEC14" s="120"/>
      <c r="FED14" s="59"/>
      <c r="FEE14" s="119"/>
      <c r="FEF14" s="119"/>
      <c r="FEG14" s="119"/>
      <c r="FEH14" s="119"/>
      <c r="FEI14" s="119"/>
      <c r="FEJ14" s="119"/>
      <c r="FEK14" s="119"/>
      <c r="FEL14" s="119"/>
      <c r="FEM14" s="119"/>
      <c r="FEN14" s="119"/>
      <c r="FEO14" s="119"/>
      <c r="FEP14" s="119"/>
      <c r="FEQ14" s="120"/>
      <c r="FER14" s="120"/>
      <c r="FES14" s="120"/>
      <c r="FET14" s="59"/>
      <c r="FEU14" s="119"/>
      <c r="FEV14" s="119"/>
      <c r="FEW14" s="119"/>
      <c r="FEX14" s="119"/>
      <c r="FEY14" s="119"/>
      <c r="FEZ14" s="119"/>
      <c r="FFA14" s="119"/>
      <c r="FFB14" s="119"/>
      <c r="FFC14" s="119"/>
      <c r="FFD14" s="119"/>
      <c r="FFE14" s="119"/>
      <c r="FFF14" s="119"/>
      <c r="FFG14" s="120"/>
      <c r="FFH14" s="120"/>
      <c r="FFI14" s="120"/>
      <c r="FFJ14" s="59"/>
      <c r="FFK14" s="119"/>
      <c r="FFL14" s="119"/>
      <c r="FFM14" s="119"/>
      <c r="FFN14" s="119"/>
      <c r="FFO14" s="119"/>
      <c r="FFP14" s="119"/>
      <c r="FFQ14" s="119"/>
      <c r="FFR14" s="119"/>
      <c r="FFS14" s="119"/>
      <c r="FFT14" s="119"/>
      <c r="FFU14" s="119"/>
      <c r="FFV14" s="119"/>
      <c r="FFW14" s="120"/>
      <c r="FFX14" s="120"/>
      <c r="FFY14" s="120"/>
      <c r="FFZ14" s="59"/>
      <c r="FGA14" s="119"/>
      <c r="FGB14" s="119"/>
      <c r="FGC14" s="119"/>
      <c r="FGD14" s="119"/>
      <c r="FGE14" s="119"/>
      <c r="FGF14" s="119"/>
      <c r="FGG14" s="119"/>
      <c r="FGH14" s="119"/>
      <c r="FGI14" s="119"/>
      <c r="FGJ14" s="119"/>
      <c r="FGK14" s="119"/>
      <c r="FGL14" s="119"/>
      <c r="FGM14" s="120"/>
      <c r="FGN14" s="120"/>
      <c r="FGO14" s="120"/>
      <c r="FGP14" s="59"/>
      <c r="FGQ14" s="119"/>
      <c r="FGR14" s="119"/>
      <c r="FGS14" s="119"/>
      <c r="FGT14" s="119"/>
      <c r="FGU14" s="119"/>
      <c r="FGV14" s="119"/>
      <c r="FGW14" s="119"/>
      <c r="FGX14" s="119"/>
      <c r="FGY14" s="119"/>
      <c r="FGZ14" s="119"/>
      <c r="FHA14" s="119"/>
      <c r="FHB14" s="119"/>
      <c r="FHC14" s="120"/>
      <c r="FHD14" s="120"/>
      <c r="FHE14" s="120"/>
      <c r="FHF14" s="59"/>
      <c r="FHG14" s="119"/>
      <c r="FHH14" s="119"/>
      <c r="FHI14" s="119"/>
      <c r="FHJ14" s="119"/>
      <c r="FHK14" s="119"/>
      <c r="FHL14" s="119"/>
      <c r="FHM14" s="119"/>
      <c r="FHN14" s="119"/>
      <c r="FHO14" s="119"/>
      <c r="FHP14" s="119"/>
      <c r="FHQ14" s="119"/>
      <c r="FHR14" s="119"/>
      <c r="FHS14" s="120"/>
      <c r="FHT14" s="120"/>
      <c r="FHU14" s="120"/>
      <c r="FHV14" s="59"/>
      <c r="FHW14" s="119"/>
      <c r="FHX14" s="119"/>
      <c r="FHY14" s="119"/>
      <c r="FHZ14" s="119"/>
      <c r="FIA14" s="119"/>
      <c r="FIB14" s="119"/>
      <c r="FIC14" s="119"/>
      <c r="FID14" s="119"/>
      <c r="FIE14" s="119"/>
      <c r="FIF14" s="119"/>
      <c r="FIG14" s="119"/>
      <c r="FIH14" s="119"/>
      <c r="FII14" s="120"/>
      <c r="FIJ14" s="120"/>
      <c r="FIK14" s="120"/>
      <c r="FIL14" s="59"/>
      <c r="FIM14" s="119"/>
      <c r="FIN14" s="119"/>
      <c r="FIO14" s="119"/>
      <c r="FIP14" s="119"/>
      <c r="FIQ14" s="119"/>
      <c r="FIR14" s="119"/>
      <c r="FIS14" s="119"/>
      <c r="FIT14" s="119"/>
      <c r="FIU14" s="119"/>
      <c r="FIV14" s="119"/>
      <c r="FIW14" s="119"/>
      <c r="FIX14" s="119"/>
      <c r="FIY14" s="120"/>
      <c r="FIZ14" s="120"/>
      <c r="FJA14" s="120"/>
      <c r="FJB14" s="59"/>
      <c r="FJC14" s="119"/>
      <c r="FJD14" s="119"/>
      <c r="FJE14" s="119"/>
      <c r="FJF14" s="119"/>
      <c r="FJG14" s="119"/>
      <c r="FJH14" s="119"/>
      <c r="FJI14" s="119"/>
      <c r="FJJ14" s="119"/>
      <c r="FJK14" s="119"/>
      <c r="FJL14" s="119"/>
      <c r="FJM14" s="119"/>
      <c r="FJN14" s="119"/>
      <c r="FJO14" s="120"/>
      <c r="FJP14" s="120"/>
      <c r="FJQ14" s="120"/>
      <c r="FJR14" s="59"/>
      <c r="FJS14" s="119"/>
      <c r="FJT14" s="119"/>
      <c r="FJU14" s="119"/>
      <c r="FJV14" s="119"/>
      <c r="FJW14" s="119"/>
      <c r="FJX14" s="119"/>
      <c r="FJY14" s="119"/>
      <c r="FJZ14" s="119"/>
      <c r="FKA14" s="119"/>
      <c r="FKB14" s="119"/>
      <c r="FKC14" s="119"/>
      <c r="FKD14" s="119"/>
      <c r="FKE14" s="120"/>
      <c r="FKF14" s="120"/>
      <c r="FKG14" s="120"/>
      <c r="FKH14" s="59"/>
      <c r="FKI14" s="119"/>
      <c r="FKJ14" s="119"/>
      <c r="FKK14" s="119"/>
      <c r="FKL14" s="119"/>
      <c r="FKM14" s="119"/>
      <c r="FKN14" s="119"/>
      <c r="FKO14" s="119"/>
      <c r="FKP14" s="119"/>
      <c r="FKQ14" s="119"/>
      <c r="FKR14" s="119"/>
      <c r="FKS14" s="119"/>
      <c r="FKT14" s="119"/>
      <c r="FKU14" s="120"/>
      <c r="FKV14" s="120"/>
      <c r="FKW14" s="120"/>
      <c r="FKX14" s="59"/>
      <c r="FKY14" s="119"/>
      <c r="FKZ14" s="119"/>
      <c r="FLA14" s="119"/>
      <c r="FLB14" s="119"/>
      <c r="FLC14" s="119"/>
      <c r="FLD14" s="119"/>
      <c r="FLE14" s="119"/>
      <c r="FLF14" s="119"/>
      <c r="FLG14" s="119"/>
      <c r="FLH14" s="119"/>
      <c r="FLI14" s="119"/>
      <c r="FLJ14" s="119"/>
      <c r="FLK14" s="120"/>
      <c r="FLL14" s="120"/>
      <c r="FLM14" s="120"/>
      <c r="FLN14" s="59"/>
      <c r="FLO14" s="119"/>
      <c r="FLP14" s="119"/>
      <c r="FLQ14" s="119"/>
      <c r="FLR14" s="119"/>
      <c r="FLS14" s="119"/>
      <c r="FLT14" s="119"/>
      <c r="FLU14" s="119"/>
      <c r="FLV14" s="119"/>
      <c r="FLW14" s="119"/>
      <c r="FLX14" s="119"/>
      <c r="FLY14" s="119"/>
      <c r="FLZ14" s="119"/>
      <c r="FMA14" s="120"/>
      <c r="FMB14" s="120"/>
      <c r="FMC14" s="120"/>
      <c r="FMD14" s="59"/>
      <c r="FME14" s="119"/>
      <c r="FMF14" s="119"/>
      <c r="FMG14" s="119"/>
      <c r="FMH14" s="119"/>
      <c r="FMI14" s="119"/>
      <c r="FMJ14" s="119"/>
      <c r="FMK14" s="119"/>
      <c r="FML14" s="119"/>
      <c r="FMM14" s="119"/>
      <c r="FMN14" s="119"/>
      <c r="FMO14" s="119"/>
      <c r="FMP14" s="119"/>
      <c r="FMQ14" s="120"/>
      <c r="FMR14" s="120"/>
      <c r="FMS14" s="120"/>
      <c r="FMT14" s="59"/>
      <c r="FMU14" s="119"/>
      <c r="FMV14" s="119"/>
      <c r="FMW14" s="119"/>
      <c r="FMX14" s="119"/>
      <c r="FMY14" s="119"/>
      <c r="FMZ14" s="119"/>
      <c r="FNA14" s="119"/>
      <c r="FNB14" s="119"/>
      <c r="FNC14" s="119"/>
      <c r="FND14" s="119"/>
      <c r="FNE14" s="119"/>
      <c r="FNF14" s="119"/>
      <c r="FNG14" s="120"/>
      <c r="FNH14" s="120"/>
      <c r="FNI14" s="120"/>
      <c r="FNJ14" s="59"/>
      <c r="FNK14" s="119"/>
      <c r="FNL14" s="119"/>
      <c r="FNM14" s="119"/>
      <c r="FNN14" s="119"/>
      <c r="FNO14" s="119"/>
      <c r="FNP14" s="119"/>
      <c r="FNQ14" s="119"/>
      <c r="FNR14" s="119"/>
      <c r="FNS14" s="119"/>
      <c r="FNT14" s="119"/>
      <c r="FNU14" s="119"/>
      <c r="FNV14" s="119"/>
      <c r="FNW14" s="120"/>
      <c r="FNX14" s="120"/>
      <c r="FNY14" s="120"/>
      <c r="FNZ14" s="59"/>
      <c r="FOA14" s="119"/>
      <c r="FOB14" s="119"/>
      <c r="FOC14" s="119"/>
      <c r="FOD14" s="119"/>
      <c r="FOE14" s="119"/>
      <c r="FOF14" s="119"/>
      <c r="FOG14" s="119"/>
      <c r="FOH14" s="119"/>
      <c r="FOI14" s="119"/>
      <c r="FOJ14" s="119"/>
      <c r="FOK14" s="119"/>
      <c r="FOL14" s="119"/>
      <c r="FOM14" s="120"/>
      <c r="FON14" s="120"/>
      <c r="FOO14" s="120"/>
      <c r="FOP14" s="59"/>
      <c r="FOQ14" s="119"/>
      <c r="FOR14" s="119"/>
      <c r="FOS14" s="119"/>
      <c r="FOT14" s="119"/>
      <c r="FOU14" s="119"/>
      <c r="FOV14" s="119"/>
      <c r="FOW14" s="119"/>
      <c r="FOX14" s="119"/>
      <c r="FOY14" s="119"/>
      <c r="FOZ14" s="119"/>
      <c r="FPA14" s="119"/>
      <c r="FPB14" s="119"/>
      <c r="FPC14" s="120"/>
      <c r="FPD14" s="120"/>
      <c r="FPE14" s="120"/>
      <c r="FPF14" s="59"/>
      <c r="FPG14" s="119"/>
      <c r="FPH14" s="119"/>
      <c r="FPI14" s="119"/>
      <c r="FPJ14" s="119"/>
      <c r="FPK14" s="119"/>
      <c r="FPL14" s="119"/>
      <c r="FPM14" s="119"/>
      <c r="FPN14" s="119"/>
      <c r="FPO14" s="119"/>
      <c r="FPP14" s="119"/>
      <c r="FPQ14" s="119"/>
      <c r="FPR14" s="119"/>
      <c r="FPS14" s="120"/>
      <c r="FPT14" s="120"/>
      <c r="FPU14" s="120"/>
      <c r="FPV14" s="59"/>
      <c r="FPW14" s="119"/>
      <c r="FPX14" s="119"/>
      <c r="FPY14" s="119"/>
      <c r="FPZ14" s="119"/>
      <c r="FQA14" s="119"/>
      <c r="FQB14" s="119"/>
      <c r="FQC14" s="119"/>
      <c r="FQD14" s="119"/>
      <c r="FQE14" s="119"/>
      <c r="FQF14" s="119"/>
      <c r="FQG14" s="119"/>
      <c r="FQH14" s="119"/>
      <c r="FQI14" s="120"/>
      <c r="FQJ14" s="120"/>
      <c r="FQK14" s="120"/>
      <c r="FQL14" s="59"/>
      <c r="FQM14" s="119"/>
      <c r="FQN14" s="119"/>
      <c r="FQO14" s="119"/>
      <c r="FQP14" s="119"/>
      <c r="FQQ14" s="119"/>
      <c r="FQR14" s="119"/>
      <c r="FQS14" s="119"/>
      <c r="FQT14" s="119"/>
      <c r="FQU14" s="119"/>
      <c r="FQV14" s="119"/>
      <c r="FQW14" s="119"/>
      <c r="FQX14" s="119"/>
      <c r="FQY14" s="120"/>
      <c r="FQZ14" s="120"/>
      <c r="FRA14" s="120"/>
      <c r="FRB14" s="59"/>
      <c r="FRC14" s="119"/>
      <c r="FRD14" s="119"/>
      <c r="FRE14" s="119"/>
      <c r="FRF14" s="119"/>
      <c r="FRG14" s="119"/>
      <c r="FRH14" s="119"/>
      <c r="FRI14" s="119"/>
      <c r="FRJ14" s="119"/>
      <c r="FRK14" s="119"/>
      <c r="FRL14" s="119"/>
      <c r="FRM14" s="119"/>
      <c r="FRN14" s="119"/>
      <c r="FRO14" s="120"/>
      <c r="FRP14" s="120"/>
      <c r="FRQ14" s="120"/>
      <c r="FRR14" s="59"/>
      <c r="FRS14" s="119"/>
      <c r="FRT14" s="119"/>
      <c r="FRU14" s="119"/>
      <c r="FRV14" s="119"/>
      <c r="FRW14" s="119"/>
      <c r="FRX14" s="119"/>
      <c r="FRY14" s="119"/>
      <c r="FRZ14" s="119"/>
      <c r="FSA14" s="119"/>
      <c r="FSB14" s="119"/>
      <c r="FSC14" s="119"/>
      <c r="FSD14" s="119"/>
      <c r="FSE14" s="120"/>
      <c r="FSF14" s="120"/>
      <c r="FSG14" s="120"/>
      <c r="FSH14" s="59"/>
      <c r="FSI14" s="119"/>
      <c r="FSJ14" s="119"/>
      <c r="FSK14" s="119"/>
      <c r="FSL14" s="119"/>
      <c r="FSM14" s="119"/>
      <c r="FSN14" s="119"/>
      <c r="FSO14" s="119"/>
      <c r="FSP14" s="119"/>
      <c r="FSQ14" s="119"/>
      <c r="FSR14" s="119"/>
      <c r="FSS14" s="119"/>
      <c r="FST14" s="119"/>
      <c r="FSU14" s="120"/>
      <c r="FSV14" s="120"/>
      <c r="FSW14" s="120"/>
      <c r="FSX14" s="59"/>
      <c r="FSY14" s="119"/>
      <c r="FSZ14" s="119"/>
      <c r="FTA14" s="119"/>
      <c r="FTB14" s="119"/>
      <c r="FTC14" s="119"/>
      <c r="FTD14" s="119"/>
      <c r="FTE14" s="119"/>
      <c r="FTF14" s="119"/>
      <c r="FTG14" s="119"/>
      <c r="FTH14" s="119"/>
      <c r="FTI14" s="119"/>
      <c r="FTJ14" s="119"/>
      <c r="FTK14" s="120"/>
      <c r="FTL14" s="120"/>
      <c r="FTM14" s="120"/>
      <c r="FTN14" s="59"/>
      <c r="FTO14" s="119"/>
      <c r="FTP14" s="119"/>
      <c r="FTQ14" s="119"/>
      <c r="FTR14" s="119"/>
      <c r="FTS14" s="119"/>
      <c r="FTT14" s="119"/>
      <c r="FTU14" s="119"/>
      <c r="FTV14" s="119"/>
      <c r="FTW14" s="119"/>
      <c r="FTX14" s="119"/>
      <c r="FTY14" s="119"/>
      <c r="FTZ14" s="119"/>
      <c r="FUA14" s="120"/>
      <c r="FUB14" s="120"/>
      <c r="FUC14" s="120"/>
      <c r="FUD14" s="59"/>
      <c r="FUE14" s="119"/>
      <c r="FUF14" s="119"/>
      <c r="FUG14" s="119"/>
      <c r="FUH14" s="119"/>
      <c r="FUI14" s="119"/>
      <c r="FUJ14" s="119"/>
      <c r="FUK14" s="119"/>
      <c r="FUL14" s="119"/>
      <c r="FUM14" s="119"/>
      <c r="FUN14" s="119"/>
      <c r="FUO14" s="119"/>
      <c r="FUP14" s="119"/>
      <c r="FUQ14" s="120"/>
      <c r="FUR14" s="120"/>
      <c r="FUS14" s="120"/>
      <c r="FUT14" s="59"/>
      <c r="FUU14" s="119"/>
      <c r="FUV14" s="119"/>
      <c r="FUW14" s="119"/>
      <c r="FUX14" s="119"/>
      <c r="FUY14" s="119"/>
      <c r="FUZ14" s="119"/>
      <c r="FVA14" s="119"/>
      <c r="FVB14" s="119"/>
      <c r="FVC14" s="119"/>
      <c r="FVD14" s="119"/>
      <c r="FVE14" s="119"/>
      <c r="FVF14" s="119"/>
      <c r="FVG14" s="120"/>
      <c r="FVH14" s="120"/>
      <c r="FVI14" s="120"/>
      <c r="FVJ14" s="59"/>
      <c r="FVK14" s="119"/>
      <c r="FVL14" s="119"/>
      <c r="FVM14" s="119"/>
      <c r="FVN14" s="119"/>
      <c r="FVO14" s="119"/>
      <c r="FVP14" s="119"/>
      <c r="FVQ14" s="119"/>
      <c r="FVR14" s="119"/>
      <c r="FVS14" s="119"/>
      <c r="FVT14" s="119"/>
      <c r="FVU14" s="119"/>
      <c r="FVV14" s="119"/>
      <c r="FVW14" s="120"/>
      <c r="FVX14" s="120"/>
      <c r="FVY14" s="120"/>
      <c r="FVZ14" s="59"/>
      <c r="FWA14" s="119"/>
      <c r="FWB14" s="119"/>
      <c r="FWC14" s="119"/>
      <c r="FWD14" s="119"/>
      <c r="FWE14" s="119"/>
      <c r="FWF14" s="119"/>
      <c r="FWG14" s="119"/>
      <c r="FWH14" s="119"/>
      <c r="FWI14" s="119"/>
      <c r="FWJ14" s="119"/>
      <c r="FWK14" s="119"/>
      <c r="FWL14" s="119"/>
      <c r="FWM14" s="120"/>
      <c r="FWN14" s="120"/>
      <c r="FWO14" s="120"/>
      <c r="FWP14" s="59"/>
      <c r="FWQ14" s="119"/>
      <c r="FWR14" s="119"/>
      <c r="FWS14" s="119"/>
      <c r="FWT14" s="119"/>
      <c r="FWU14" s="119"/>
      <c r="FWV14" s="119"/>
      <c r="FWW14" s="119"/>
      <c r="FWX14" s="119"/>
      <c r="FWY14" s="119"/>
      <c r="FWZ14" s="119"/>
      <c r="FXA14" s="119"/>
      <c r="FXB14" s="119"/>
      <c r="FXC14" s="120"/>
      <c r="FXD14" s="120"/>
      <c r="FXE14" s="120"/>
      <c r="FXF14" s="59"/>
      <c r="FXG14" s="119"/>
      <c r="FXH14" s="119"/>
      <c r="FXI14" s="119"/>
      <c r="FXJ14" s="119"/>
      <c r="FXK14" s="119"/>
      <c r="FXL14" s="119"/>
      <c r="FXM14" s="119"/>
      <c r="FXN14" s="119"/>
      <c r="FXO14" s="119"/>
      <c r="FXP14" s="119"/>
      <c r="FXQ14" s="119"/>
      <c r="FXR14" s="119"/>
      <c r="FXS14" s="120"/>
      <c r="FXT14" s="120"/>
      <c r="FXU14" s="120"/>
      <c r="FXV14" s="59"/>
      <c r="FXW14" s="119"/>
      <c r="FXX14" s="119"/>
      <c r="FXY14" s="119"/>
      <c r="FXZ14" s="119"/>
      <c r="FYA14" s="119"/>
      <c r="FYB14" s="119"/>
      <c r="FYC14" s="119"/>
      <c r="FYD14" s="119"/>
      <c r="FYE14" s="119"/>
      <c r="FYF14" s="119"/>
      <c r="FYG14" s="119"/>
      <c r="FYH14" s="119"/>
      <c r="FYI14" s="120"/>
      <c r="FYJ14" s="120"/>
      <c r="FYK14" s="120"/>
      <c r="FYL14" s="59"/>
      <c r="FYM14" s="119"/>
      <c r="FYN14" s="119"/>
      <c r="FYO14" s="119"/>
      <c r="FYP14" s="119"/>
      <c r="FYQ14" s="119"/>
      <c r="FYR14" s="119"/>
      <c r="FYS14" s="119"/>
      <c r="FYT14" s="119"/>
      <c r="FYU14" s="119"/>
      <c r="FYV14" s="119"/>
      <c r="FYW14" s="119"/>
      <c r="FYX14" s="119"/>
      <c r="FYY14" s="120"/>
      <c r="FYZ14" s="120"/>
      <c r="FZA14" s="120"/>
      <c r="FZB14" s="59"/>
      <c r="FZC14" s="119"/>
      <c r="FZD14" s="119"/>
      <c r="FZE14" s="119"/>
      <c r="FZF14" s="119"/>
      <c r="FZG14" s="119"/>
      <c r="FZH14" s="119"/>
      <c r="FZI14" s="119"/>
      <c r="FZJ14" s="119"/>
      <c r="FZK14" s="119"/>
      <c r="FZL14" s="119"/>
      <c r="FZM14" s="119"/>
      <c r="FZN14" s="119"/>
      <c r="FZO14" s="120"/>
      <c r="FZP14" s="120"/>
      <c r="FZQ14" s="120"/>
      <c r="FZR14" s="59"/>
      <c r="FZS14" s="119"/>
      <c r="FZT14" s="119"/>
      <c r="FZU14" s="119"/>
      <c r="FZV14" s="119"/>
      <c r="FZW14" s="119"/>
      <c r="FZX14" s="119"/>
      <c r="FZY14" s="119"/>
      <c r="FZZ14" s="119"/>
      <c r="GAA14" s="119"/>
      <c r="GAB14" s="119"/>
      <c r="GAC14" s="119"/>
      <c r="GAD14" s="119"/>
      <c r="GAE14" s="120"/>
      <c r="GAF14" s="120"/>
      <c r="GAG14" s="120"/>
      <c r="GAH14" s="59"/>
      <c r="GAI14" s="119"/>
      <c r="GAJ14" s="119"/>
      <c r="GAK14" s="119"/>
      <c r="GAL14" s="119"/>
      <c r="GAM14" s="119"/>
      <c r="GAN14" s="119"/>
      <c r="GAO14" s="119"/>
      <c r="GAP14" s="119"/>
      <c r="GAQ14" s="119"/>
      <c r="GAR14" s="119"/>
      <c r="GAS14" s="119"/>
      <c r="GAT14" s="119"/>
      <c r="GAU14" s="120"/>
      <c r="GAV14" s="120"/>
      <c r="GAW14" s="120"/>
      <c r="GAX14" s="59"/>
      <c r="GAY14" s="119"/>
      <c r="GAZ14" s="119"/>
      <c r="GBA14" s="119"/>
      <c r="GBB14" s="119"/>
      <c r="GBC14" s="119"/>
      <c r="GBD14" s="119"/>
      <c r="GBE14" s="119"/>
      <c r="GBF14" s="119"/>
      <c r="GBG14" s="119"/>
      <c r="GBH14" s="119"/>
      <c r="GBI14" s="119"/>
      <c r="GBJ14" s="119"/>
      <c r="GBK14" s="120"/>
      <c r="GBL14" s="120"/>
      <c r="GBM14" s="120"/>
      <c r="GBN14" s="59"/>
      <c r="GBO14" s="119"/>
      <c r="GBP14" s="119"/>
      <c r="GBQ14" s="119"/>
      <c r="GBR14" s="119"/>
      <c r="GBS14" s="119"/>
      <c r="GBT14" s="119"/>
      <c r="GBU14" s="119"/>
      <c r="GBV14" s="119"/>
      <c r="GBW14" s="119"/>
      <c r="GBX14" s="119"/>
      <c r="GBY14" s="119"/>
      <c r="GBZ14" s="119"/>
      <c r="GCA14" s="120"/>
      <c r="GCB14" s="120"/>
      <c r="GCC14" s="120"/>
      <c r="GCD14" s="59"/>
      <c r="GCE14" s="119"/>
      <c r="GCF14" s="119"/>
      <c r="GCG14" s="119"/>
      <c r="GCH14" s="119"/>
      <c r="GCI14" s="119"/>
      <c r="GCJ14" s="119"/>
      <c r="GCK14" s="119"/>
      <c r="GCL14" s="119"/>
      <c r="GCM14" s="119"/>
      <c r="GCN14" s="119"/>
      <c r="GCO14" s="119"/>
      <c r="GCP14" s="119"/>
      <c r="GCQ14" s="120"/>
      <c r="GCR14" s="120"/>
      <c r="GCS14" s="120"/>
      <c r="GCT14" s="59"/>
      <c r="GCU14" s="119"/>
      <c r="GCV14" s="119"/>
      <c r="GCW14" s="119"/>
      <c r="GCX14" s="119"/>
      <c r="GCY14" s="119"/>
      <c r="GCZ14" s="119"/>
      <c r="GDA14" s="119"/>
      <c r="GDB14" s="119"/>
      <c r="GDC14" s="119"/>
      <c r="GDD14" s="119"/>
      <c r="GDE14" s="119"/>
      <c r="GDF14" s="119"/>
      <c r="GDG14" s="120"/>
      <c r="GDH14" s="120"/>
      <c r="GDI14" s="120"/>
      <c r="GDJ14" s="59"/>
      <c r="GDK14" s="119"/>
      <c r="GDL14" s="119"/>
      <c r="GDM14" s="119"/>
      <c r="GDN14" s="119"/>
      <c r="GDO14" s="119"/>
      <c r="GDP14" s="119"/>
      <c r="GDQ14" s="119"/>
      <c r="GDR14" s="119"/>
      <c r="GDS14" s="119"/>
      <c r="GDT14" s="119"/>
      <c r="GDU14" s="119"/>
      <c r="GDV14" s="119"/>
      <c r="GDW14" s="120"/>
      <c r="GDX14" s="120"/>
      <c r="GDY14" s="120"/>
      <c r="GDZ14" s="59"/>
      <c r="GEA14" s="119"/>
      <c r="GEB14" s="119"/>
      <c r="GEC14" s="119"/>
      <c r="GED14" s="119"/>
      <c r="GEE14" s="119"/>
      <c r="GEF14" s="119"/>
      <c r="GEG14" s="119"/>
      <c r="GEH14" s="119"/>
      <c r="GEI14" s="119"/>
      <c r="GEJ14" s="119"/>
      <c r="GEK14" s="119"/>
      <c r="GEL14" s="119"/>
      <c r="GEM14" s="120"/>
      <c r="GEN14" s="120"/>
      <c r="GEO14" s="120"/>
      <c r="GEP14" s="59"/>
      <c r="GEQ14" s="119"/>
      <c r="GER14" s="119"/>
      <c r="GES14" s="119"/>
      <c r="GET14" s="119"/>
      <c r="GEU14" s="119"/>
      <c r="GEV14" s="119"/>
      <c r="GEW14" s="119"/>
      <c r="GEX14" s="119"/>
      <c r="GEY14" s="119"/>
      <c r="GEZ14" s="119"/>
      <c r="GFA14" s="119"/>
      <c r="GFB14" s="119"/>
      <c r="GFC14" s="120"/>
      <c r="GFD14" s="120"/>
      <c r="GFE14" s="120"/>
      <c r="GFF14" s="59"/>
      <c r="GFG14" s="119"/>
      <c r="GFH14" s="119"/>
      <c r="GFI14" s="119"/>
      <c r="GFJ14" s="119"/>
      <c r="GFK14" s="119"/>
      <c r="GFL14" s="119"/>
      <c r="GFM14" s="119"/>
      <c r="GFN14" s="119"/>
      <c r="GFO14" s="119"/>
      <c r="GFP14" s="119"/>
      <c r="GFQ14" s="119"/>
      <c r="GFR14" s="119"/>
      <c r="GFS14" s="120"/>
      <c r="GFT14" s="120"/>
      <c r="GFU14" s="120"/>
      <c r="GFV14" s="59"/>
      <c r="GFW14" s="119"/>
      <c r="GFX14" s="119"/>
      <c r="GFY14" s="119"/>
      <c r="GFZ14" s="119"/>
      <c r="GGA14" s="119"/>
      <c r="GGB14" s="119"/>
      <c r="GGC14" s="119"/>
      <c r="GGD14" s="119"/>
      <c r="GGE14" s="119"/>
      <c r="GGF14" s="119"/>
      <c r="GGG14" s="119"/>
      <c r="GGH14" s="119"/>
      <c r="GGI14" s="120"/>
      <c r="GGJ14" s="120"/>
      <c r="GGK14" s="120"/>
      <c r="GGL14" s="59"/>
      <c r="GGM14" s="119"/>
      <c r="GGN14" s="119"/>
      <c r="GGO14" s="119"/>
      <c r="GGP14" s="119"/>
      <c r="GGQ14" s="119"/>
      <c r="GGR14" s="119"/>
      <c r="GGS14" s="119"/>
      <c r="GGT14" s="119"/>
      <c r="GGU14" s="119"/>
      <c r="GGV14" s="119"/>
      <c r="GGW14" s="119"/>
      <c r="GGX14" s="119"/>
      <c r="GGY14" s="120"/>
      <c r="GGZ14" s="120"/>
      <c r="GHA14" s="120"/>
      <c r="GHB14" s="59"/>
      <c r="GHC14" s="119"/>
      <c r="GHD14" s="119"/>
      <c r="GHE14" s="119"/>
      <c r="GHF14" s="119"/>
      <c r="GHG14" s="119"/>
      <c r="GHH14" s="119"/>
      <c r="GHI14" s="119"/>
      <c r="GHJ14" s="119"/>
      <c r="GHK14" s="119"/>
      <c r="GHL14" s="119"/>
      <c r="GHM14" s="119"/>
      <c r="GHN14" s="119"/>
      <c r="GHO14" s="120"/>
      <c r="GHP14" s="120"/>
      <c r="GHQ14" s="120"/>
      <c r="GHR14" s="59"/>
      <c r="GHS14" s="119"/>
      <c r="GHT14" s="119"/>
      <c r="GHU14" s="119"/>
      <c r="GHV14" s="119"/>
      <c r="GHW14" s="119"/>
      <c r="GHX14" s="119"/>
      <c r="GHY14" s="119"/>
      <c r="GHZ14" s="119"/>
      <c r="GIA14" s="119"/>
      <c r="GIB14" s="119"/>
      <c r="GIC14" s="119"/>
      <c r="GID14" s="119"/>
      <c r="GIE14" s="120"/>
      <c r="GIF14" s="120"/>
      <c r="GIG14" s="120"/>
      <c r="GIH14" s="59"/>
      <c r="GII14" s="119"/>
      <c r="GIJ14" s="119"/>
      <c r="GIK14" s="119"/>
      <c r="GIL14" s="119"/>
      <c r="GIM14" s="119"/>
      <c r="GIN14" s="119"/>
      <c r="GIO14" s="119"/>
      <c r="GIP14" s="119"/>
      <c r="GIQ14" s="119"/>
      <c r="GIR14" s="119"/>
      <c r="GIS14" s="119"/>
      <c r="GIT14" s="119"/>
      <c r="GIU14" s="120"/>
      <c r="GIV14" s="120"/>
      <c r="GIW14" s="120"/>
      <c r="GIX14" s="59"/>
      <c r="GIY14" s="119"/>
      <c r="GIZ14" s="119"/>
      <c r="GJA14" s="119"/>
      <c r="GJB14" s="119"/>
      <c r="GJC14" s="119"/>
      <c r="GJD14" s="119"/>
      <c r="GJE14" s="119"/>
      <c r="GJF14" s="119"/>
      <c r="GJG14" s="119"/>
      <c r="GJH14" s="119"/>
      <c r="GJI14" s="119"/>
      <c r="GJJ14" s="119"/>
      <c r="GJK14" s="120"/>
      <c r="GJL14" s="120"/>
      <c r="GJM14" s="120"/>
      <c r="GJN14" s="59"/>
      <c r="GJO14" s="119"/>
      <c r="GJP14" s="119"/>
      <c r="GJQ14" s="119"/>
      <c r="GJR14" s="119"/>
      <c r="GJS14" s="119"/>
      <c r="GJT14" s="119"/>
      <c r="GJU14" s="119"/>
      <c r="GJV14" s="119"/>
      <c r="GJW14" s="119"/>
      <c r="GJX14" s="119"/>
      <c r="GJY14" s="119"/>
      <c r="GJZ14" s="119"/>
      <c r="GKA14" s="120"/>
      <c r="GKB14" s="120"/>
      <c r="GKC14" s="120"/>
      <c r="GKD14" s="59"/>
      <c r="GKE14" s="119"/>
      <c r="GKF14" s="119"/>
      <c r="GKG14" s="119"/>
      <c r="GKH14" s="119"/>
      <c r="GKI14" s="119"/>
      <c r="GKJ14" s="119"/>
      <c r="GKK14" s="119"/>
      <c r="GKL14" s="119"/>
      <c r="GKM14" s="119"/>
      <c r="GKN14" s="119"/>
      <c r="GKO14" s="119"/>
      <c r="GKP14" s="119"/>
      <c r="GKQ14" s="120"/>
      <c r="GKR14" s="120"/>
      <c r="GKS14" s="120"/>
      <c r="GKT14" s="59"/>
      <c r="GKU14" s="119"/>
      <c r="GKV14" s="119"/>
      <c r="GKW14" s="119"/>
      <c r="GKX14" s="119"/>
      <c r="GKY14" s="119"/>
      <c r="GKZ14" s="119"/>
      <c r="GLA14" s="119"/>
      <c r="GLB14" s="119"/>
      <c r="GLC14" s="119"/>
      <c r="GLD14" s="119"/>
      <c r="GLE14" s="119"/>
      <c r="GLF14" s="119"/>
      <c r="GLG14" s="120"/>
      <c r="GLH14" s="120"/>
      <c r="GLI14" s="120"/>
      <c r="GLJ14" s="59"/>
      <c r="GLK14" s="119"/>
      <c r="GLL14" s="119"/>
      <c r="GLM14" s="119"/>
      <c r="GLN14" s="119"/>
      <c r="GLO14" s="119"/>
      <c r="GLP14" s="119"/>
      <c r="GLQ14" s="119"/>
      <c r="GLR14" s="119"/>
      <c r="GLS14" s="119"/>
      <c r="GLT14" s="119"/>
      <c r="GLU14" s="119"/>
      <c r="GLV14" s="119"/>
      <c r="GLW14" s="120"/>
      <c r="GLX14" s="120"/>
      <c r="GLY14" s="120"/>
      <c r="GLZ14" s="59"/>
      <c r="GMA14" s="119"/>
      <c r="GMB14" s="119"/>
      <c r="GMC14" s="119"/>
      <c r="GMD14" s="119"/>
      <c r="GME14" s="119"/>
      <c r="GMF14" s="119"/>
      <c r="GMG14" s="119"/>
      <c r="GMH14" s="119"/>
      <c r="GMI14" s="119"/>
      <c r="GMJ14" s="119"/>
      <c r="GMK14" s="119"/>
      <c r="GML14" s="119"/>
      <c r="GMM14" s="120"/>
      <c r="GMN14" s="120"/>
      <c r="GMO14" s="120"/>
      <c r="GMP14" s="59"/>
      <c r="GMQ14" s="119"/>
      <c r="GMR14" s="119"/>
      <c r="GMS14" s="119"/>
      <c r="GMT14" s="119"/>
      <c r="GMU14" s="119"/>
      <c r="GMV14" s="119"/>
      <c r="GMW14" s="119"/>
      <c r="GMX14" s="119"/>
      <c r="GMY14" s="119"/>
      <c r="GMZ14" s="119"/>
      <c r="GNA14" s="119"/>
      <c r="GNB14" s="119"/>
      <c r="GNC14" s="120"/>
      <c r="GND14" s="120"/>
      <c r="GNE14" s="120"/>
      <c r="GNF14" s="59"/>
      <c r="GNG14" s="119"/>
      <c r="GNH14" s="119"/>
      <c r="GNI14" s="119"/>
      <c r="GNJ14" s="119"/>
      <c r="GNK14" s="119"/>
      <c r="GNL14" s="119"/>
      <c r="GNM14" s="119"/>
      <c r="GNN14" s="119"/>
      <c r="GNO14" s="119"/>
      <c r="GNP14" s="119"/>
      <c r="GNQ14" s="119"/>
      <c r="GNR14" s="119"/>
      <c r="GNS14" s="120"/>
      <c r="GNT14" s="120"/>
      <c r="GNU14" s="120"/>
      <c r="GNV14" s="59"/>
      <c r="GNW14" s="119"/>
      <c r="GNX14" s="119"/>
      <c r="GNY14" s="119"/>
      <c r="GNZ14" s="119"/>
      <c r="GOA14" s="119"/>
      <c r="GOB14" s="119"/>
      <c r="GOC14" s="119"/>
      <c r="GOD14" s="119"/>
      <c r="GOE14" s="119"/>
      <c r="GOF14" s="119"/>
      <c r="GOG14" s="119"/>
      <c r="GOH14" s="119"/>
      <c r="GOI14" s="120"/>
      <c r="GOJ14" s="120"/>
      <c r="GOK14" s="120"/>
      <c r="GOL14" s="59"/>
      <c r="GOM14" s="119"/>
      <c r="GON14" s="119"/>
      <c r="GOO14" s="119"/>
      <c r="GOP14" s="119"/>
      <c r="GOQ14" s="119"/>
      <c r="GOR14" s="119"/>
      <c r="GOS14" s="119"/>
      <c r="GOT14" s="119"/>
      <c r="GOU14" s="119"/>
      <c r="GOV14" s="119"/>
      <c r="GOW14" s="119"/>
      <c r="GOX14" s="119"/>
      <c r="GOY14" s="120"/>
      <c r="GOZ14" s="120"/>
      <c r="GPA14" s="120"/>
      <c r="GPB14" s="59"/>
      <c r="GPC14" s="119"/>
      <c r="GPD14" s="119"/>
      <c r="GPE14" s="119"/>
      <c r="GPF14" s="119"/>
      <c r="GPG14" s="119"/>
      <c r="GPH14" s="119"/>
      <c r="GPI14" s="119"/>
      <c r="GPJ14" s="119"/>
      <c r="GPK14" s="119"/>
      <c r="GPL14" s="119"/>
      <c r="GPM14" s="119"/>
      <c r="GPN14" s="119"/>
      <c r="GPO14" s="120"/>
      <c r="GPP14" s="120"/>
      <c r="GPQ14" s="120"/>
      <c r="GPR14" s="59"/>
      <c r="GPS14" s="119"/>
      <c r="GPT14" s="119"/>
      <c r="GPU14" s="119"/>
      <c r="GPV14" s="119"/>
      <c r="GPW14" s="119"/>
      <c r="GPX14" s="119"/>
      <c r="GPY14" s="119"/>
      <c r="GPZ14" s="119"/>
      <c r="GQA14" s="119"/>
      <c r="GQB14" s="119"/>
      <c r="GQC14" s="119"/>
      <c r="GQD14" s="119"/>
      <c r="GQE14" s="120"/>
      <c r="GQF14" s="120"/>
      <c r="GQG14" s="120"/>
      <c r="GQH14" s="59"/>
      <c r="GQI14" s="119"/>
      <c r="GQJ14" s="119"/>
      <c r="GQK14" s="119"/>
      <c r="GQL14" s="119"/>
      <c r="GQM14" s="119"/>
      <c r="GQN14" s="119"/>
      <c r="GQO14" s="119"/>
      <c r="GQP14" s="119"/>
      <c r="GQQ14" s="119"/>
      <c r="GQR14" s="119"/>
      <c r="GQS14" s="119"/>
      <c r="GQT14" s="119"/>
      <c r="GQU14" s="120"/>
      <c r="GQV14" s="120"/>
      <c r="GQW14" s="120"/>
      <c r="GQX14" s="59"/>
      <c r="GQY14" s="119"/>
      <c r="GQZ14" s="119"/>
      <c r="GRA14" s="119"/>
      <c r="GRB14" s="119"/>
      <c r="GRC14" s="119"/>
      <c r="GRD14" s="119"/>
      <c r="GRE14" s="119"/>
      <c r="GRF14" s="119"/>
      <c r="GRG14" s="119"/>
      <c r="GRH14" s="119"/>
      <c r="GRI14" s="119"/>
      <c r="GRJ14" s="119"/>
      <c r="GRK14" s="120"/>
      <c r="GRL14" s="120"/>
      <c r="GRM14" s="120"/>
      <c r="GRN14" s="59"/>
      <c r="GRO14" s="119"/>
      <c r="GRP14" s="119"/>
      <c r="GRQ14" s="119"/>
      <c r="GRR14" s="119"/>
      <c r="GRS14" s="119"/>
      <c r="GRT14" s="119"/>
      <c r="GRU14" s="119"/>
      <c r="GRV14" s="119"/>
      <c r="GRW14" s="119"/>
      <c r="GRX14" s="119"/>
      <c r="GRY14" s="119"/>
      <c r="GRZ14" s="119"/>
      <c r="GSA14" s="120"/>
      <c r="GSB14" s="120"/>
      <c r="GSC14" s="120"/>
      <c r="GSD14" s="59"/>
      <c r="GSE14" s="119"/>
      <c r="GSF14" s="119"/>
      <c r="GSG14" s="119"/>
      <c r="GSH14" s="119"/>
      <c r="GSI14" s="119"/>
      <c r="GSJ14" s="119"/>
      <c r="GSK14" s="119"/>
      <c r="GSL14" s="119"/>
      <c r="GSM14" s="119"/>
      <c r="GSN14" s="119"/>
      <c r="GSO14" s="119"/>
      <c r="GSP14" s="119"/>
      <c r="GSQ14" s="120"/>
      <c r="GSR14" s="120"/>
      <c r="GSS14" s="120"/>
      <c r="GST14" s="59"/>
      <c r="GSU14" s="119"/>
      <c r="GSV14" s="119"/>
      <c r="GSW14" s="119"/>
      <c r="GSX14" s="119"/>
      <c r="GSY14" s="119"/>
      <c r="GSZ14" s="119"/>
      <c r="GTA14" s="119"/>
      <c r="GTB14" s="119"/>
      <c r="GTC14" s="119"/>
      <c r="GTD14" s="119"/>
      <c r="GTE14" s="119"/>
      <c r="GTF14" s="119"/>
      <c r="GTG14" s="120"/>
      <c r="GTH14" s="120"/>
      <c r="GTI14" s="120"/>
      <c r="GTJ14" s="59"/>
      <c r="GTK14" s="119"/>
      <c r="GTL14" s="119"/>
      <c r="GTM14" s="119"/>
      <c r="GTN14" s="119"/>
      <c r="GTO14" s="119"/>
      <c r="GTP14" s="119"/>
      <c r="GTQ14" s="119"/>
      <c r="GTR14" s="119"/>
      <c r="GTS14" s="119"/>
      <c r="GTT14" s="119"/>
      <c r="GTU14" s="119"/>
      <c r="GTV14" s="119"/>
      <c r="GTW14" s="120"/>
      <c r="GTX14" s="120"/>
      <c r="GTY14" s="120"/>
      <c r="GTZ14" s="59"/>
      <c r="GUA14" s="119"/>
      <c r="GUB14" s="119"/>
      <c r="GUC14" s="119"/>
      <c r="GUD14" s="119"/>
      <c r="GUE14" s="119"/>
      <c r="GUF14" s="119"/>
      <c r="GUG14" s="119"/>
      <c r="GUH14" s="119"/>
      <c r="GUI14" s="119"/>
      <c r="GUJ14" s="119"/>
      <c r="GUK14" s="119"/>
      <c r="GUL14" s="119"/>
      <c r="GUM14" s="120"/>
      <c r="GUN14" s="120"/>
      <c r="GUO14" s="120"/>
      <c r="GUP14" s="59"/>
      <c r="GUQ14" s="119"/>
      <c r="GUR14" s="119"/>
      <c r="GUS14" s="119"/>
      <c r="GUT14" s="119"/>
      <c r="GUU14" s="119"/>
      <c r="GUV14" s="119"/>
      <c r="GUW14" s="119"/>
      <c r="GUX14" s="119"/>
      <c r="GUY14" s="119"/>
      <c r="GUZ14" s="119"/>
      <c r="GVA14" s="119"/>
      <c r="GVB14" s="119"/>
      <c r="GVC14" s="120"/>
      <c r="GVD14" s="120"/>
      <c r="GVE14" s="120"/>
      <c r="GVF14" s="59"/>
      <c r="GVG14" s="119"/>
      <c r="GVH14" s="119"/>
      <c r="GVI14" s="119"/>
      <c r="GVJ14" s="119"/>
      <c r="GVK14" s="119"/>
      <c r="GVL14" s="119"/>
      <c r="GVM14" s="119"/>
      <c r="GVN14" s="119"/>
      <c r="GVO14" s="119"/>
      <c r="GVP14" s="119"/>
      <c r="GVQ14" s="119"/>
      <c r="GVR14" s="119"/>
      <c r="GVS14" s="120"/>
      <c r="GVT14" s="120"/>
      <c r="GVU14" s="120"/>
      <c r="GVV14" s="59"/>
      <c r="GVW14" s="119"/>
      <c r="GVX14" s="119"/>
      <c r="GVY14" s="119"/>
      <c r="GVZ14" s="119"/>
      <c r="GWA14" s="119"/>
      <c r="GWB14" s="119"/>
      <c r="GWC14" s="119"/>
      <c r="GWD14" s="119"/>
      <c r="GWE14" s="119"/>
      <c r="GWF14" s="119"/>
      <c r="GWG14" s="119"/>
      <c r="GWH14" s="119"/>
      <c r="GWI14" s="120"/>
      <c r="GWJ14" s="120"/>
      <c r="GWK14" s="120"/>
      <c r="GWL14" s="59"/>
      <c r="GWM14" s="119"/>
      <c r="GWN14" s="119"/>
      <c r="GWO14" s="119"/>
      <c r="GWP14" s="119"/>
      <c r="GWQ14" s="119"/>
      <c r="GWR14" s="119"/>
      <c r="GWS14" s="119"/>
      <c r="GWT14" s="119"/>
      <c r="GWU14" s="119"/>
      <c r="GWV14" s="119"/>
      <c r="GWW14" s="119"/>
      <c r="GWX14" s="119"/>
      <c r="GWY14" s="120"/>
      <c r="GWZ14" s="120"/>
      <c r="GXA14" s="120"/>
      <c r="GXB14" s="59"/>
      <c r="GXC14" s="119"/>
      <c r="GXD14" s="119"/>
      <c r="GXE14" s="119"/>
      <c r="GXF14" s="119"/>
      <c r="GXG14" s="119"/>
      <c r="GXH14" s="119"/>
      <c r="GXI14" s="119"/>
      <c r="GXJ14" s="119"/>
      <c r="GXK14" s="119"/>
      <c r="GXL14" s="119"/>
      <c r="GXM14" s="119"/>
      <c r="GXN14" s="119"/>
      <c r="GXO14" s="120"/>
      <c r="GXP14" s="120"/>
      <c r="GXQ14" s="120"/>
      <c r="GXR14" s="59"/>
      <c r="GXS14" s="119"/>
      <c r="GXT14" s="119"/>
      <c r="GXU14" s="119"/>
      <c r="GXV14" s="119"/>
      <c r="GXW14" s="119"/>
      <c r="GXX14" s="119"/>
      <c r="GXY14" s="119"/>
      <c r="GXZ14" s="119"/>
      <c r="GYA14" s="119"/>
      <c r="GYB14" s="119"/>
      <c r="GYC14" s="119"/>
      <c r="GYD14" s="119"/>
      <c r="GYE14" s="120"/>
      <c r="GYF14" s="120"/>
      <c r="GYG14" s="120"/>
      <c r="GYH14" s="59"/>
      <c r="GYI14" s="119"/>
      <c r="GYJ14" s="119"/>
      <c r="GYK14" s="119"/>
      <c r="GYL14" s="119"/>
      <c r="GYM14" s="119"/>
      <c r="GYN14" s="119"/>
      <c r="GYO14" s="119"/>
      <c r="GYP14" s="119"/>
      <c r="GYQ14" s="119"/>
      <c r="GYR14" s="119"/>
      <c r="GYS14" s="119"/>
      <c r="GYT14" s="119"/>
      <c r="GYU14" s="120"/>
      <c r="GYV14" s="120"/>
      <c r="GYW14" s="120"/>
      <c r="GYX14" s="59"/>
      <c r="GYY14" s="119"/>
      <c r="GYZ14" s="119"/>
      <c r="GZA14" s="119"/>
      <c r="GZB14" s="119"/>
      <c r="GZC14" s="119"/>
      <c r="GZD14" s="119"/>
      <c r="GZE14" s="119"/>
      <c r="GZF14" s="119"/>
      <c r="GZG14" s="119"/>
      <c r="GZH14" s="119"/>
      <c r="GZI14" s="119"/>
      <c r="GZJ14" s="119"/>
      <c r="GZK14" s="120"/>
      <c r="GZL14" s="120"/>
      <c r="GZM14" s="120"/>
      <c r="GZN14" s="59"/>
      <c r="GZO14" s="119"/>
      <c r="GZP14" s="119"/>
      <c r="GZQ14" s="119"/>
      <c r="GZR14" s="119"/>
      <c r="GZS14" s="119"/>
      <c r="GZT14" s="119"/>
      <c r="GZU14" s="119"/>
      <c r="GZV14" s="119"/>
      <c r="GZW14" s="119"/>
      <c r="GZX14" s="119"/>
      <c r="GZY14" s="119"/>
      <c r="GZZ14" s="119"/>
      <c r="HAA14" s="120"/>
      <c r="HAB14" s="120"/>
      <c r="HAC14" s="120"/>
      <c r="HAD14" s="59"/>
      <c r="HAE14" s="119"/>
      <c r="HAF14" s="119"/>
      <c r="HAG14" s="119"/>
      <c r="HAH14" s="119"/>
      <c r="HAI14" s="119"/>
      <c r="HAJ14" s="119"/>
      <c r="HAK14" s="119"/>
      <c r="HAL14" s="119"/>
      <c r="HAM14" s="119"/>
      <c r="HAN14" s="119"/>
      <c r="HAO14" s="119"/>
      <c r="HAP14" s="119"/>
      <c r="HAQ14" s="120"/>
      <c r="HAR14" s="120"/>
      <c r="HAS14" s="120"/>
      <c r="HAT14" s="59"/>
      <c r="HAU14" s="119"/>
      <c r="HAV14" s="119"/>
      <c r="HAW14" s="119"/>
      <c r="HAX14" s="119"/>
      <c r="HAY14" s="119"/>
      <c r="HAZ14" s="119"/>
      <c r="HBA14" s="119"/>
      <c r="HBB14" s="119"/>
      <c r="HBC14" s="119"/>
      <c r="HBD14" s="119"/>
      <c r="HBE14" s="119"/>
      <c r="HBF14" s="119"/>
      <c r="HBG14" s="120"/>
      <c r="HBH14" s="120"/>
      <c r="HBI14" s="120"/>
      <c r="HBJ14" s="59"/>
      <c r="HBK14" s="119"/>
      <c r="HBL14" s="119"/>
      <c r="HBM14" s="119"/>
      <c r="HBN14" s="119"/>
      <c r="HBO14" s="119"/>
      <c r="HBP14" s="119"/>
      <c r="HBQ14" s="119"/>
      <c r="HBR14" s="119"/>
      <c r="HBS14" s="119"/>
      <c r="HBT14" s="119"/>
      <c r="HBU14" s="119"/>
      <c r="HBV14" s="119"/>
      <c r="HBW14" s="120"/>
      <c r="HBX14" s="120"/>
      <c r="HBY14" s="120"/>
      <c r="HBZ14" s="59"/>
      <c r="HCA14" s="119"/>
      <c r="HCB14" s="119"/>
      <c r="HCC14" s="119"/>
      <c r="HCD14" s="119"/>
      <c r="HCE14" s="119"/>
      <c r="HCF14" s="119"/>
      <c r="HCG14" s="119"/>
      <c r="HCH14" s="119"/>
      <c r="HCI14" s="119"/>
      <c r="HCJ14" s="119"/>
      <c r="HCK14" s="119"/>
      <c r="HCL14" s="119"/>
      <c r="HCM14" s="120"/>
      <c r="HCN14" s="120"/>
      <c r="HCO14" s="120"/>
      <c r="HCP14" s="59"/>
      <c r="HCQ14" s="119"/>
      <c r="HCR14" s="119"/>
      <c r="HCS14" s="119"/>
      <c r="HCT14" s="119"/>
      <c r="HCU14" s="119"/>
      <c r="HCV14" s="119"/>
      <c r="HCW14" s="119"/>
      <c r="HCX14" s="119"/>
      <c r="HCY14" s="119"/>
      <c r="HCZ14" s="119"/>
      <c r="HDA14" s="119"/>
      <c r="HDB14" s="119"/>
      <c r="HDC14" s="120"/>
      <c r="HDD14" s="120"/>
      <c r="HDE14" s="120"/>
      <c r="HDF14" s="59"/>
      <c r="HDG14" s="119"/>
      <c r="HDH14" s="119"/>
      <c r="HDI14" s="119"/>
      <c r="HDJ14" s="119"/>
      <c r="HDK14" s="119"/>
      <c r="HDL14" s="119"/>
      <c r="HDM14" s="119"/>
      <c r="HDN14" s="119"/>
      <c r="HDO14" s="119"/>
      <c r="HDP14" s="119"/>
      <c r="HDQ14" s="119"/>
      <c r="HDR14" s="119"/>
      <c r="HDS14" s="120"/>
      <c r="HDT14" s="120"/>
      <c r="HDU14" s="120"/>
      <c r="HDV14" s="59"/>
      <c r="HDW14" s="119"/>
      <c r="HDX14" s="119"/>
      <c r="HDY14" s="119"/>
      <c r="HDZ14" s="119"/>
      <c r="HEA14" s="119"/>
      <c r="HEB14" s="119"/>
      <c r="HEC14" s="119"/>
      <c r="HED14" s="119"/>
      <c r="HEE14" s="119"/>
      <c r="HEF14" s="119"/>
      <c r="HEG14" s="119"/>
      <c r="HEH14" s="119"/>
      <c r="HEI14" s="120"/>
      <c r="HEJ14" s="120"/>
      <c r="HEK14" s="120"/>
      <c r="HEL14" s="59"/>
      <c r="HEM14" s="119"/>
      <c r="HEN14" s="119"/>
      <c r="HEO14" s="119"/>
      <c r="HEP14" s="119"/>
      <c r="HEQ14" s="119"/>
      <c r="HER14" s="119"/>
      <c r="HES14" s="119"/>
      <c r="HET14" s="119"/>
      <c r="HEU14" s="119"/>
      <c r="HEV14" s="119"/>
      <c r="HEW14" s="119"/>
      <c r="HEX14" s="119"/>
      <c r="HEY14" s="120"/>
      <c r="HEZ14" s="120"/>
      <c r="HFA14" s="120"/>
      <c r="HFB14" s="59"/>
      <c r="HFC14" s="119"/>
      <c r="HFD14" s="119"/>
      <c r="HFE14" s="119"/>
      <c r="HFF14" s="119"/>
      <c r="HFG14" s="119"/>
      <c r="HFH14" s="119"/>
      <c r="HFI14" s="119"/>
      <c r="HFJ14" s="119"/>
      <c r="HFK14" s="119"/>
      <c r="HFL14" s="119"/>
      <c r="HFM14" s="119"/>
      <c r="HFN14" s="119"/>
      <c r="HFO14" s="120"/>
      <c r="HFP14" s="120"/>
      <c r="HFQ14" s="120"/>
      <c r="HFR14" s="59"/>
      <c r="HFS14" s="119"/>
      <c r="HFT14" s="119"/>
      <c r="HFU14" s="119"/>
      <c r="HFV14" s="119"/>
      <c r="HFW14" s="119"/>
      <c r="HFX14" s="119"/>
      <c r="HFY14" s="119"/>
      <c r="HFZ14" s="119"/>
      <c r="HGA14" s="119"/>
      <c r="HGB14" s="119"/>
      <c r="HGC14" s="119"/>
      <c r="HGD14" s="119"/>
      <c r="HGE14" s="120"/>
      <c r="HGF14" s="120"/>
      <c r="HGG14" s="120"/>
      <c r="HGH14" s="59"/>
      <c r="HGI14" s="119"/>
      <c r="HGJ14" s="119"/>
      <c r="HGK14" s="119"/>
      <c r="HGL14" s="119"/>
      <c r="HGM14" s="119"/>
      <c r="HGN14" s="119"/>
      <c r="HGO14" s="119"/>
      <c r="HGP14" s="119"/>
      <c r="HGQ14" s="119"/>
      <c r="HGR14" s="119"/>
      <c r="HGS14" s="119"/>
      <c r="HGT14" s="119"/>
      <c r="HGU14" s="120"/>
      <c r="HGV14" s="120"/>
      <c r="HGW14" s="120"/>
      <c r="HGX14" s="59"/>
      <c r="HGY14" s="119"/>
      <c r="HGZ14" s="119"/>
      <c r="HHA14" s="119"/>
      <c r="HHB14" s="119"/>
      <c r="HHC14" s="119"/>
      <c r="HHD14" s="119"/>
      <c r="HHE14" s="119"/>
      <c r="HHF14" s="119"/>
      <c r="HHG14" s="119"/>
      <c r="HHH14" s="119"/>
      <c r="HHI14" s="119"/>
      <c r="HHJ14" s="119"/>
      <c r="HHK14" s="120"/>
      <c r="HHL14" s="120"/>
      <c r="HHM14" s="120"/>
      <c r="HHN14" s="59"/>
      <c r="HHO14" s="119"/>
      <c r="HHP14" s="119"/>
      <c r="HHQ14" s="119"/>
      <c r="HHR14" s="119"/>
      <c r="HHS14" s="119"/>
      <c r="HHT14" s="119"/>
      <c r="HHU14" s="119"/>
      <c r="HHV14" s="119"/>
      <c r="HHW14" s="119"/>
      <c r="HHX14" s="119"/>
      <c r="HHY14" s="119"/>
      <c r="HHZ14" s="119"/>
      <c r="HIA14" s="120"/>
      <c r="HIB14" s="120"/>
      <c r="HIC14" s="120"/>
      <c r="HID14" s="59"/>
      <c r="HIE14" s="119"/>
      <c r="HIF14" s="119"/>
      <c r="HIG14" s="119"/>
      <c r="HIH14" s="119"/>
      <c r="HII14" s="119"/>
      <c r="HIJ14" s="119"/>
      <c r="HIK14" s="119"/>
      <c r="HIL14" s="119"/>
      <c r="HIM14" s="119"/>
      <c r="HIN14" s="119"/>
      <c r="HIO14" s="119"/>
      <c r="HIP14" s="119"/>
      <c r="HIQ14" s="120"/>
      <c r="HIR14" s="120"/>
      <c r="HIS14" s="120"/>
      <c r="HIT14" s="59"/>
      <c r="HIU14" s="119"/>
      <c r="HIV14" s="119"/>
      <c r="HIW14" s="119"/>
      <c r="HIX14" s="119"/>
      <c r="HIY14" s="119"/>
      <c r="HIZ14" s="119"/>
      <c r="HJA14" s="119"/>
      <c r="HJB14" s="119"/>
      <c r="HJC14" s="119"/>
      <c r="HJD14" s="119"/>
      <c r="HJE14" s="119"/>
      <c r="HJF14" s="119"/>
      <c r="HJG14" s="120"/>
      <c r="HJH14" s="120"/>
      <c r="HJI14" s="120"/>
      <c r="HJJ14" s="59"/>
      <c r="HJK14" s="119"/>
      <c r="HJL14" s="119"/>
      <c r="HJM14" s="119"/>
      <c r="HJN14" s="119"/>
      <c r="HJO14" s="119"/>
      <c r="HJP14" s="119"/>
      <c r="HJQ14" s="119"/>
      <c r="HJR14" s="119"/>
      <c r="HJS14" s="119"/>
      <c r="HJT14" s="119"/>
      <c r="HJU14" s="119"/>
      <c r="HJV14" s="119"/>
      <c r="HJW14" s="120"/>
      <c r="HJX14" s="120"/>
      <c r="HJY14" s="120"/>
      <c r="HJZ14" s="59"/>
      <c r="HKA14" s="119"/>
      <c r="HKB14" s="119"/>
      <c r="HKC14" s="119"/>
      <c r="HKD14" s="119"/>
      <c r="HKE14" s="119"/>
      <c r="HKF14" s="119"/>
      <c r="HKG14" s="119"/>
      <c r="HKH14" s="119"/>
      <c r="HKI14" s="119"/>
      <c r="HKJ14" s="119"/>
      <c r="HKK14" s="119"/>
      <c r="HKL14" s="119"/>
      <c r="HKM14" s="120"/>
      <c r="HKN14" s="120"/>
      <c r="HKO14" s="120"/>
      <c r="HKP14" s="59"/>
      <c r="HKQ14" s="119"/>
      <c r="HKR14" s="119"/>
      <c r="HKS14" s="119"/>
      <c r="HKT14" s="119"/>
      <c r="HKU14" s="119"/>
      <c r="HKV14" s="119"/>
      <c r="HKW14" s="119"/>
      <c r="HKX14" s="119"/>
      <c r="HKY14" s="119"/>
      <c r="HKZ14" s="119"/>
      <c r="HLA14" s="119"/>
      <c r="HLB14" s="119"/>
      <c r="HLC14" s="120"/>
      <c r="HLD14" s="120"/>
      <c r="HLE14" s="120"/>
      <c r="HLF14" s="59"/>
      <c r="HLG14" s="119"/>
      <c r="HLH14" s="119"/>
      <c r="HLI14" s="119"/>
      <c r="HLJ14" s="119"/>
      <c r="HLK14" s="119"/>
      <c r="HLL14" s="119"/>
      <c r="HLM14" s="119"/>
      <c r="HLN14" s="119"/>
      <c r="HLO14" s="119"/>
      <c r="HLP14" s="119"/>
      <c r="HLQ14" s="119"/>
      <c r="HLR14" s="119"/>
      <c r="HLS14" s="120"/>
      <c r="HLT14" s="120"/>
      <c r="HLU14" s="120"/>
      <c r="HLV14" s="59"/>
      <c r="HLW14" s="119"/>
      <c r="HLX14" s="119"/>
      <c r="HLY14" s="119"/>
      <c r="HLZ14" s="119"/>
      <c r="HMA14" s="119"/>
      <c r="HMB14" s="119"/>
      <c r="HMC14" s="119"/>
      <c r="HMD14" s="119"/>
      <c r="HME14" s="119"/>
      <c r="HMF14" s="119"/>
      <c r="HMG14" s="119"/>
      <c r="HMH14" s="119"/>
      <c r="HMI14" s="120"/>
      <c r="HMJ14" s="120"/>
      <c r="HMK14" s="120"/>
      <c r="HML14" s="59"/>
      <c r="HMM14" s="119"/>
      <c r="HMN14" s="119"/>
      <c r="HMO14" s="119"/>
      <c r="HMP14" s="119"/>
      <c r="HMQ14" s="119"/>
      <c r="HMR14" s="119"/>
      <c r="HMS14" s="119"/>
      <c r="HMT14" s="119"/>
      <c r="HMU14" s="119"/>
      <c r="HMV14" s="119"/>
      <c r="HMW14" s="119"/>
      <c r="HMX14" s="119"/>
      <c r="HMY14" s="120"/>
      <c r="HMZ14" s="120"/>
      <c r="HNA14" s="120"/>
      <c r="HNB14" s="59"/>
      <c r="HNC14" s="119"/>
      <c r="HND14" s="119"/>
      <c r="HNE14" s="119"/>
      <c r="HNF14" s="119"/>
      <c r="HNG14" s="119"/>
      <c r="HNH14" s="119"/>
      <c r="HNI14" s="119"/>
      <c r="HNJ14" s="119"/>
      <c r="HNK14" s="119"/>
      <c r="HNL14" s="119"/>
      <c r="HNM14" s="119"/>
      <c r="HNN14" s="119"/>
      <c r="HNO14" s="120"/>
      <c r="HNP14" s="120"/>
      <c r="HNQ14" s="120"/>
      <c r="HNR14" s="59"/>
      <c r="HNS14" s="119"/>
      <c r="HNT14" s="119"/>
      <c r="HNU14" s="119"/>
      <c r="HNV14" s="119"/>
      <c r="HNW14" s="119"/>
      <c r="HNX14" s="119"/>
      <c r="HNY14" s="119"/>
      <c r="HNZ14" s="119"/>
      <c r="HOA14" s="119"/>
      <c r="HOB14" s="119"/>
      <c r="HOC14" s="119"/>
      <c r="HOD14" s="119"/>
      <c r="HOE14" s="120"/>
      <c r="HOF14" s="120"/>
      <c r="HOG14" s="120"/>
      <c r="HOH14" s="59"/>
      <c r="HOI14" s="119"/>
      <c r="HOJ14" s="119"/>
      <c r="HOK14" s="119"/>
      <c r="HOL14" s="119"/>
      <c r="HOM14" s="119"/>
      <c r="HON14" s="119"/>
      <c r="HOO14" s="119"/>
      <c r="HOP14" s="119"/>
      <c r="HOQ14" s="119"/>
      <c r="HOR14" s="119"/>
      <c r="HOS14" s="119"/>
      <c r="HOT14" s="119"/>
      <c r="HOU14" s="120"/>
      <c r="HOV14" s="120"/>
      <c r="HOW14" s="120"/>
      <c r="HOX14" s="59"/>
      <c r="HOY14" s="119"/>
      <c r="HOZ14" s="119"/>
      <c r="HPA14" s="119"/>
      <c r="HPB14" s="119"/>
      <c r="HPC14" s="119"/>
      <c r="HPD14" s="119"/>
      <c r="HPE14" s="119"/>
      <c r="HPF14" s="119"/>
      <c r="HPG14" s="119"/>
      <c r="HPH14" s="119"/>
      <c r="HPI14" s="119"/>
      <c r="HPJ14" s="119"/>
      <c r="HPK14" s="120"/>
      <c r="HPL14" s="120"/>
      <c r="HPM14" s="120"/>
      <c r="HPN14" s="59"/>
      <c r="HPO14" s="119"/>
      <c r="HPP14" s="119"/>
      <c r="HPQ14" s="119"/>
      <c r="HPR14" s="119"/>
      <c r="HPS14" s="119"/>
      <c r="HPT14" s="119"/>
      <c r="HPU14" s="119"/>
      <c r="HPV14" s="119"/>
      <c r="HPW14" s="119"/>
      <c r="HPX14" s="119"/>
      <c r="HPY14" s="119"/>
      <c r="HPZ14" s="119"/>
      <c r="HQA14" s="120"/>
      <c r="HQB14" s="120"/>
      <c r="HQC14" s="120"/>
      <c r="HQD14" s="59"/>
      <c r="HQE14" s="119"/>
      <c r="HQF14" s="119"/>
      <c r="HQG14" s="119"/>
      <c r="HQH14" s="119"/>
      <c r="HQI14" s="119"/>
      <c r="HQJ14" s="119"/>
      <c r="HQK14" s="119"/>
      <c r="HQL14" s="119"/>
      <c r="HQM14" s="119"/>
      <c r="HQN14" s="119"/>
      <c r="HQO14" s="119"/>
      <c r="HQP14" s="119"/>
      <c r="HQQ14" s="120"/>
      <c r="HQR14" s="120"/>
      <c r="HQS14" s="120"/>
      <c r="HQT14" s="59"/>
      <c r="HQU14" s="119"/>
      <c r="HQV14" s="119"/>
      <c r="HQW14" s="119"/>
      <c r="HQX14" s="119"/>
      <c r="HQY14" s="119"/>
      <c r="HQZ14" s="119"/>
      <c r="HRA14" s="119"/>
      <c r="HRB14" s="119"/>
      <c r="HRC14" s="119"/>
      <c r="HRD14" s="119"/>
      <c r="HRE14" s="119"/>
      <c r="HRF14" s="119"/>
      <c r="HRG14" s="120"/>
      <c r="HRH14" s="120"/>
      <c r="HRI14" s="120"/>
      <c r="HRJ14" s="59"/>
      <c r="HRK14" s="119"/>
      <c r="HRL14" s="119"/>
      <c r="HRM14" s="119"/>
      <c r="HRN14" s="119"/>
      <c r="HRO14" s="119"/>
      <c r="HRP14" s="119"/>
      <c r="HRQ14" s="119"/>
      <c r="HRR14" s="119"/>
      <c r="HRS14" s="119"/>
      <c r="HRT14" s="119"/>
      <c r="HRU14" s="119"/>
      <c r="HRV14" s="119"/>
      <c r="HRW14" s="120"/>
      <c r="HRX14" s="120"/>
      <c r="HRY14" s="120"/>
      <c r="HRZ14" s="59"/>
      <c r="HSA14" s="119"/>
      <c r="HSB14" s="119"/>
      <c r="HSC14" s="119"/>
      <c r="HSD14" s="119"/>
      <c r="HSE14" s="119"/>
      <c r="HSF14" s="119"/>
      <c r="HSG14" s="119"/>
      <c r="HSH14" s="119"/>
      <c r="HSI14" s="119"/>
      <c r="HSJ14" s="119"/>
      <c r="HSK14" s="119"/>
      <c r="HSL14" s="119"/>
      <c r="HSM14" s="120"/>
      <c r="HSN14" s="120"/>
      <c r="HSO14" s="120"/>
      <c r="HSP14" s="59"/>
      <c r="HSQ14" s="119"/>
      <c r="HSR14" s="119"/>
      <c r="HSS14" s="119"/>
      <c r="HST14" s="119"/>
      <c r="HSU14" s="119"/>
      <c r="HSV14" s="119"/>
      <c r="HSW14" s="119"/>
      <c r="HSX14" s="119"/>
      <c r="HSY14" s="119"/>
      <c r="HSZ14" s="119"/>
      <c r="HTA14" s="119"/>
      <c r="HTB14" s="119"/>
      <c r="HTC14" s="120"/>
      <c r="HTD14" s="120"/>
      <c r="HTE14" s="120"/>
      <c r="HTF14" s="59"/>
      <c r="HTG14" s="119"/>
      <c r="HTH14" s="119"/>
      <c r="HTI14" s="119"/>
      <c r="HTJ14" s="119"/>
      <c r="HTK14" s="119"/>
      <c r="HTL14" s="119"/>
      <c r="HTM14" s="119"/>
      <c r="HTN14" s="119"/>
      <c r="HTO14" s="119"/>
      <c r="HTP14" s="119"/>
      <c r="HTQ14" s="119"/>
      <c r="HTR14" s="119"/>
      <c r="HTS14" s="120"/>
      <c r="HTT14" s="120"/>
      <c r="HTU14" s="120"/>
      <c r="HTV14" s="59"/>
      <c r="HTW14" s="119"/>
      <c r="HTX14" s="119"/>
      <c r="HTY14" s="119"/>
      <c r="HTZ14" s="119"/>
      <c r="HUA14" s="119"/>
      <c r="HUB14" s="119"/>
      <c r="HUC14" s="119"/>
      <c r="HUD14" s="119"/>
      <c r="HUE14" s="119"/>
      <c r="HUF14" s="119"/>
      <c r="HUG14" s="119"/>
      <c r="HUH14" s="119"/>
      <c r="HUI14" s="120"/>
      <c r="HUJ14" s="120"/>
      <c r="HUK14" s="120"/>
      <c r="HUL14" s="59"/>
      <c r="HUM14" s="119"/>
      <c r="HUN14" s="119"/>
      <c r="HUO14" s="119"/>
      <c r="HUP14" s="119"/>
      <c r="HUQ14" s="119"/>
      <c r="HUR14" s="119"/>
      <c r="HUS14" s="119"/>
      <c r="HUT14" s="119"/>
      <c r="HUU14" s="119"/>
      <c r="HUV14" s="119"/>
      <c r="HUW14" s="119"/>
      <c r="HUX14" s="119"/>
      <c r="HUY14" s="120"/>
      <c r="HUZ14" s="120"/>
      <c r="HVA14" s="120"/>
      <c r="HVB14" s="59"/>
      <c r="HVC14" s="119"/>
      <c r="HVD14" s="119"/>
      <c r="HVE14" s="119"/>
      <c r="HVF14" s="119"/>
      <c r="HVG14" s="119"/>
      <c r="HVH14" s="119"/>
      <c r="HVI14" s="119"/>
      <c r="HVJ14" s="119"/>
      <c r="HVK14" s="119"/>
      <c r="HVL14" s="119"/>
      <c r="HVM14" s="119"/>
      <c r="HVN14" s="119"/>
      <c r="HVO14" s="120"/>
      <c r="HVP14" s="120"/>
      <c r="HVQ14" s="120"/>
      <c r="HVR14" s="59"/>
      <c r="HVS14" s="119"/>
      <c r="HVT14" s="119"/>
      <c r="HVU14" s="119"/>
      <c r="HVV14" s="119"/>
      <c r="HVW14" s="119"/>
      <c r="HVX14" s="119"/>
      <c r="HVY14" s="119"/>
      <c r="HVZ14" s="119"/>
      <c r="HWA14" s="119"/>
      <c r="HWB14" s="119"/>
      <c r="HWC14" s="119"/>
      <c r="HWD14" s="119"/>
      <c r="HWE14" s="120"/>
      <c r="HWF14" s="120"/>
      <c r="HWG14" s="120"/>
      <c r="HWH14" s="59"/>
      <c r="HWI14" s="119"/>
      <c r="HWJ14" s="119"/>
      <c r="HWK14" s="119"/>
      <c r="HWL14" s="119"/>
      <c r="HWM14" s="119"/>
      <c r="HWN14" s="119"/>
      <c r="HWO14" s="119"/>
      <c r="HWP14" s="119"/>
      <c r="HWQ14" s="119"/>
      <c r="HWR14" s="119"/>
      <c r="HWS14" s="119"/>
      <c r="HWT14" s="119"/>
      <c r="HWU14" s="120"/>
      <c r="HWV14" s="120"/>
      <c r="HWW14" s="120"/>
      <c r="HWX14" s="59"/>
      <c r="HWY14" s="119"/>
      <c r="HWZ14" s="119"/>
      <c r="HXA14" s="119"/>
      <c r="HXB14" s="119"/>
      <c r="HXC14" s="119"/>
      <c r="HXD14" s="119"/>
      <c r="HXE14" s="119"/>
      <c r="HXF14" s="119"/>
      <c r="HXG14" s="119"/>
      <c r="HXH14" s="119"/>
      <c r="HXI14" s="119"/>
      <c r="HXJ14" s="119"/>
      <c r="HXK14" s="120"/>
      <c r="HXL14" s="120"/>
      <c r="HXM14" s="120"/>
      <c r="HXN14" s="59"/>
      <c r="HXO14" s="119"/>
      <c r="HXP14" s="119"/>
      <c r="HXQ14" s="119"/>
      <c r="HXR14" s="119"/>
      <c r="HXS14" s="119"/>
      <c r="HXT14" s="119"/>
      <c r="HXU14" s="119"/>
      <c r="HXV14" s="119"/>
      <c r="HXW14" s="119"/>
      <c r="HXX14" s="119"/>
      <c r="HXY14" s="119"/>
      <c r="HXZ14" s="119"/>
      <c r="HYA14" s="120"/>
      <c r="HYB14" s="120"/>
      <c r="HYC14" s="120"/>
      <c r="HYD14" s="59"/>
      <c r="HYE14" s="119"/>
      <c r="HYF14" s="119"/>
      <c r="HYG14" s="119"/>
      <c r="HYH14" s="119"/>
      <c r="HYI14" s="119"/>
      <c r="HYJ14" s="119"/>
      <c r="HYK14" s="119"/>
      <c r="HYL14" s="119"/>
      <c r="HYM14" s="119"/>
      <c r="HYN14" s="119"/>
      <c r="HYO14" s="119"/>
      <c r="HYP14" s="119"/>
      <c r="HYQ14" s="120"/>
      <c r="HYR14" s="120"/>
      <c r="HYS14" s="120"/>
      <c r="HYT14" s="59"/>
      <c r="HYU14" s="119"/>
      <c r="HYV14" s="119"/>
      <c r="HYW14" s="119"/>
      <c r="HYX14" s="119"/>
      <c r="HYY14" s="119"/>
      <c r="HYZ14" s="119"/>
      <c r="HZA14" s="119"/>
      <c r="HZB14" s="119"/>
      <c r="HZC14" s="119"/>
      <c r="HZD14" s="119"/>
      <c r="HZE14" s="119"/>
      <c r="HZF14" s="119"/>
      <c r="HZG14" s="120"/>
      <c r="HZH14" s="120"/>
      <c r="HZI14" s="120"/>
      <c r="HZJ14" s="59"/>
      <c r="HZK14" s="119"/>
      <c r="HZL14" s="119"/>
      <c r="HZM14" s="119"/>
      <c r="HZN14" s="119"/>
      <c r="HZO14" s="119"/>
      <c r="HZP14" s="119"/>
      <c r="HZQ14" s="119"/>
      <c r="HZR14" s="119"/>
      <c r="HZS14" s="119"/>
      <c r="HZT14" s="119"/>
      <c r="HZU14" s="119"/>
      <c r="HZV14" s="119"/>
      <c r="HZW14" s="120"/>
      <c r="HZX14" s="120"/>
      <c r="HZY14" s="120"/>
      <c r="HZZ14" s="59"/>
      <c r="IAA14" s="119"/>
      <c r="IAB14" s="119"/>
      <c r="IAC14" s="119"/>
      <c r="IAD14" s="119"/>
      <c r="IAE14" s="119"/>
      <c r="IAF14" s="119"/>
      <c r="IAG14" s="119"/>
      <c r="IAH14" s="119"/>
      <c r="IAI14" s="119"/>
      <c r="IAJ14" s="119"/>
      <c r="IAK14" s="119"/>
      <c r="IAL14" s="119"/>
      <c r="IAM14" s="120"/>
      <c r="IAN14" s="120"/>
      <c r="IAO14" s="120"/>
      <c r="IAP14" s="59"/>
      <c r="IAQ14" s="119"/>
      <c r="IAR14" s="119"/>
      <c r="IAS14" s="119"/>
      <c r="IAT14" s="119"/>
      <c r="IAU14" s="119"/>
      <c r="IAV14" s="119"/>
      <c r="IAW14" s="119"/>
      <c r="IAX14" s="119"/>
      <c r="IAY14" s="119"/>
      <c r="IAZ14" s="119"/>
      <c r="IBA14" s="119"/>
      <c r="IBB14" s="119"/>
      <c r="IBC14" s="120"/>
      <c r="IBD14" s="120"/>
      <c r="IBE14" s="120"/>
      <c r="IBF14" s="59"/>
      <c r="IBG14" s="119"/>
      <c r="IBH14" s="119"/>
      <c r="IBI14" s="119"/>
      <c r="IBJ14" s="119"/>
      <c r="IBK14" s="119"/>
      <c r="IBL14" s="119"/>
      <c r="IBM14" s="119"/>
      <c r="IBN14" s="119"/>
      <c r="IBO14" s="119"/>
      <c r="IBP14" s="119"/>
      <c r="IBQ14" s="119"/>
      <c r="IBR14" s="119"/>
      <c r="IBS14" s="120"/>
      <c r="IBT14" s="120"/>
      <c r="IBU14" s="120"/>
      <c r="IBV14" s="59"/>
      <c r="IBW14" s="119"/>
      <c r="IBX14" s="119"/>
      <c r="IBY14" s="119"/>
      <c r="IBZ14" s="119"/>
      <c r="ICA14" s="119"/>
      <c r="ICB14" s="119"/>
      <c r="ICC14" s="119"/>
      <c r="ICD14" s="119"/>
      <c r="ICE14" s="119"/>
      <c r="ICF14" s="119"/>
      <c r="ICG14" s="119"/>
      <c r="ICH14" s="119"/>
      <c r="ICI14" s="120"/>
      <c r="ICJ14" s="120"/>
      <c r="ICK14" s="120"/>
      <c r="ICL14" s="59"/>
      <c r="ICM14" s="119"/>
      <c r="ICN14" s="119"/>
      <c r="ICO14" s="119"/>
      <c r="ICP14" s="119"/>
      <c r="ICQ14" s="119"/>
      <c r="ICR14" s="119"/>
      <c r="ICS14" s="119"/>
      <c r="ICT14" s="119"/>
      <c r="ICU14" s="119"/>
      <c r="ICV14" s="119"/>
      <c r="ICW14" s="119"/>
      <c r="ICX14" s="119"/>
      <c r="ICY14" s="120"/>
      <c r="ICZ14" s="120"/>
      <c r="IDA14" s="120"/>
      <c r="IDB14" s="59"/>
      <c r="IDC14" s="119"/>
      <c r="IDD14" s="119"/>
      <c r="IDE14" s="119"/>
      <c r="IDF14" s="119"/>
      <c r="IDG14" s="119"/>
      <c r="IDH14" s="119"/>
      <c r="IDI14" s="119"/>
      <c r="IDJ14" s="119"/>
      <c r="IDK14" s="119"/>
      <c r="IDL14" s="119"/>
      <c r="IDM14" s="119"/>
      <c r="IDN14" s="119"/>
      <c r="IDO14" s="120"/>
      <c r="IDP14" s="120"/>
      <c r="IDQ14" s="120"/>
      <c r="IDR14" s="59"/>
      <c r="IDS14" s="119"/>
      <c r="IDT14" s="119"/>
      <c r="IDU14" s="119"/>
      <c r="IDV14" s="119"/>
      <c r="IDW14" s="119"/>
      <c r="IDX14" s="119"/>
      <c r="IDY14" s="119"/>
      <c r="IDZ14" s="119"/>
      <c r="IEA14" s="119"/>
      <c r="IEB14" s="119"/>
      <c r="IEC14" s="119"/>
      <c r="IED14" s="119"/>
      <c r="IEE14" s="120"/>
      <c r="IEF14" s="120"/>
      <c r="IEG14" s="120"/>
      <c r="IEH14" s="59"/>
      <c r="IEI14" s="119"/>
      <c r="IEJ14" s="119"/>
      <c r="IEK14" s="119"/>
      <c r="IEL14" s="119"/>
      <c r="IEM14" s="119"/>
      <c r="IEN14" s="119"/>
      <c r="IEO14" s="119"/>
      <c r="IEP14" s="119"/>
      <c r="IEQ14" s="119"/>
      <c r="IER14" s="119"/>
      <c r="IES14" s="119"/>
      <c r="IET14" s="119"/>
      <c r="IEU14" s="120"/>
      <c r="IEV14" s="120"/>
      <c r="IEW14" s="120"/>
      <c r="IEX14" s="59"/>
      <c r="IEY14" s="119"/>
      <c r="IEZ14" s="119"/>
      <c r="IFA14" s="119"/>
      <c r="IFB14" s="119"/>
      <c r="IFC14" s="119"/>
      <c r="IFD14" s="119"/>
      <c r="IFE14" s="119"/>
      <c r="IFF14" s="119"/>
      <c r="IFG14" s="119"/>
      <c r="IFH14" s="119"/>
      <c r="IFI14" s="119"/>
      <c r="IFJ14" s="119"/>
      <c r="IFK14" s="120"/>
      <c r="IFL14" s="120"/>
      <c r="IFM14" s="120"/>
      <c r="IFN14" s="59"/>
      <c r="IFO14" s="119"/>
      <c r="IFP14" s="119"/>
      <c r="IFQ14" s="119"/>
      <c r="IFR14" s="119"/>
      <c r="IFS14" s="119"/>
      <c r="IFT14" s="119"/>
      <c r="IFU14" s="119"/>
      <c r="IFV14" s="119"/>
      <c r="IFW14" s="119"/>
      <c r="IFX14" s="119"/>
      <c r="IFY14" s="119"/>
      <c r="IFZ14" s="119"/>
      <c r="IGA14" s="120"/>
      <c r="IGB14" s="120"/>
      <c r="IGC14" s="120"/>
      <c r="IGD14" s="59"/>
      <c r="IGE14" s="119"/>
      <c r="IGF14" s="119"/>
      <c r="IGG14" s="119"/>
      <c r="IGH14" s="119"/>
      <c r="IGI14" s="119"/>
      <c r="IGJ14" s="119"/>
      <c r="IGK14" s="119"/>
      <c r="IGL14" s="119"/>
      <c r="IGM14" s="119"/>
      <c r="IGN14" s="119"/>
      <c r="IGO14" s="119"/>
      <c r="IGP14" s="119"/>
      <c r="IGQ14" s="120"/>
      <c r="IGR14" s="120"/>
      <c r="IGS14" s="120"/>
      <c r="IGT14" s="59"/>
      <c r="IGU14" s="119"/>
      <c r="IGV14" s="119"/>
      <c r="IGW14" s="119"/>
      <c r="IGX14" s="119"/>
      <c r="IGY14" s="119"/>
      <c r="IGZ14" s="119"/>
      <c r="IHA14" s="119"/>
      <c r="IHB14" s="119"/>
      <c r="IHC14" s="119"/>
      <c r="IHD14" s="119"/>
      <c r="IHE14" s="119"/>
      <c r="IHF14" s="119"/>
      <c r="IHG14" s="120"/>
      <c r="IHH14" s="120"/>
      <c r="IHI14" s="120"/>
      <c r="IHJ14" s="59"/>
      <c r="IHK14" s="119"/>
      <c r="IHL14" s="119"/>
      <c r="IHM14" s="119"/>
      <c r="IHN14" s="119"/>
      <c r="IHO14" s="119"/>
      <c r="IHP14" s="119"/>
      <c r="IHQ14" s="119"/>
      <c r="IHR14" s="119"/>
      <c r="IHS14" s="119"/>
      <c r="IHT14" s="119"/>
      <c r="IHU14" s="119"/>
      <c r="IHV14" s="119"/>
      <c r="IHW14" s="120"/>
      <c r="IHX14" s="120"/>
      <c r="IHY14" s="120"/>
      <c r="IHZ14" s="59"/>
      <c r="IIA14" s="119"/>
      <c r="IIB14" s="119"/>
      <c r="IIC14" s="119"/>
      <c r="IID14" s="119"/>
      <c r="IIE14" s="119"/>
      <c r="IIF14" s="119"/>
      <c r="IIG14" s="119"/>
      <c r="IIH14" s="119"/>
      <c r="III14" s="119"/>
      <c r="IIJ14" s="119"/>
      <c r="IIK14" s="119"/>
      <c r="IIL14" s="119"/>
      <c r="IIM14" s="120"/>
      <c r="IIN14" s="120"/>
      <c r="IIO14" s="120"/>
      <c r="IIP14" s="59"/>
      <c r="IIQ14" s="119"/>
      <c r="IIR14" s="119"/>
      <c r="IIS14" s="119"/>
      <c r="IIT14" s="119"/>
      <c r="IIU14" s="119"/>
      <c r="IIV14" s="119"/>
      <c r="IIW14" s="119"/>
      <c r="IIX14" s="119"/>
      <c r="IIY14" s="119"/>
      <c r="IIZ14" s="119"/>
      <c r="IJA14" s="119"/>
      <c r="IJB14" s="119"/>
      <c r="IJC14" s="120"/>
      <c r="IJD14" s="120"/>
      <c r="IJE14" s="120"/>
      <c r="IJF14" s="59"/>
      <c r="IJG14" s="119"/>
      <c r="IJH14" s="119"/>
      <c r="IJI14" s="119"/>
      <c r="IJJ14" s="119"/>
      <c r="IJK14" s="119"/>
      <c r="IJL14" s="119"/>
      <c r="IJM14" s="119"/>
      <c r="IJN14" s="119"/>
      <c r="IJO14" s="119"/>
      <c r="IJP14" s="119"/>
      <c r="IJQ14" s="119"/>
      <c r="IJR14" s="119"/>
      <c r="IJS14" s="120"/>
      <c r="IJT14" s="120"/>
      <c r="IJU14" s="120"/>
      <c r="IJV14" s="59"/>
      <c r="IJW14" s="119"/>
      <c r="IJX14" s="119"/>
      <c r="IJY14" s="119"/>
      <c r="IJZ14" s="119"/>
      <c r="IKA14" s="119"/>
      <c r="IKB14" s="119"/>
      <c r="IKC14" s="119"/>
      <c r="IKD14" s="119"/>
      <c r="IKE14" s="119"/>
      <c r="IKF14" s="119"/>
      <c r="IKG14" s="119"/>
      <c r="IKH14" s="119"/>
      <c r="IKI14" s="120"/>
      <c r="IKJ14" s="120"/>
      <c r="IKK14" s="120"/>
      <c r="IKL14" s="59"/>
      <c r="IKM14" s="119"/>
      <c r="IKN14" s="119"/>
      <c r="IKO14" s="119"/>
      <c r="IKP14" s="119"/>
      <c r="IKQ14" s="119"/>
      <c r="IKR14" s="119"/>
      <c r="IKS14" s="119"/>
      <c r="IKT14" s="119"/>
      <c r="IKU14" s="119"/>
      <c r="IKV14" s="119"/>
      <c r="IKW14" s="119"/>
      <c r="IKX14" s="119"/>
      <c r="IKY14" s="120"/>
      <c r="IKZ14" s="120"/>
      <c r="ILA14" s="120"/>
      <c r="ILB14" s="59"/>
      <c r="ILC14" s="119"/>
      <c r="ILD14" s="119"/>
      <c r="ILE14" s="119"/>
      <c r="ILF14" s="119"/>
      <c r="ILG14" s="119"/>
      <c r="ILH14" s="119"/>
      <c r="ILI14" s="119"/>
      <c r="ILJ14" s="119"/>
      <c r="ILK14" s="119"/>
      <c r="ILL14" s="119"/>
      <c r="ILM14" s="119"/>
      <c r="ILN14" s="119"/>
      <c r="ILO14" s="120"/>
      <c r="ILP14" s="120"/>
      <c r="ILQ14" s="120"/>
      <c r="ILR14" s="59"/>
      <c r="ILS14" s="119"/>
      <c r="ILT14" s="119"/>
      <c r="ILU14" s="119"/>
      <c r="ILV14" s="119"/>
      <c r="ILW14" s="119"/>
      <c r="ILX14" s="119"/>
      <c r="ILY14" s="119"/>
      <c r="ILZ14" s="119"/>
      <c r="IMA14" s="119"/>
      <c r="IMB14" s="119"/>
      <c r="IMC14" s="119"/>
      <c r="IMD14" s="119"/>
      <c r="IME14" s="120"/>
      <c r="IMF14" s="120"/>
      <c r="IMG14" s="120"/>
      <c r="IMH14" s="59"/>
      <c r="IMI14" s="119"/>
      <c r="IMJ14" s="119"/>
      <c r="IMK14" s="119"/>
      <c r="IML14" s="119"/>
      <c r="IMM14" s="119"/>
      <c r="IMN14" s="119"/>
      <c r="IMO14" s="119"/>
      <c r="IMP14" s="119"/>
      <c r="IMQ14" s="119"/>
      <c r="IMR14" s="119"/>
      <c r="IMS14" s="119"/>
      <c r="IMT14" s="119"/>
      <c r="IMU14" s="120"/>
      <c r="IMV14" s="120"/>
      <c r="IMW14" s="120"/>
      <c r="IMX14" s="59"/>
      <c r="IMY14" s="119"/>
      <c r="IMZ14" s="119"/>
      <c r="INA14" s="119"/>
      <c r="INB14" s="119"/>
      <c r="INC14" s="119"/>
      <c r="IND14" s="119"/>
      <c r="INE14" s="119"/>
      <c r="INF14" s="119"/>
      <c r="ING14" s="119"/>
      <c r="INH14" s="119"/>
      <c r="INI14" s="119"/>
      <c r="INJ14" s="119"/>
      <c r="INK14" s="120"/>
      <c r="INL14" s="120"/>
      <c r="INM14" s="120"/>
      <c r="INN14" s="59"/>
      <c r="INO14" s="119"/>
      <c r="INP14" s="119"/>
      <c r="INQ14" s="119"/>
      <c r="INR14" s="119"/>
      <c r="INS14" s="119"/>
      <c r="INT14" s="119"/>
      <c r="INU14" s="119"/>
      <c r="INV14" s="119"/>
      <c r="INW14" s="119"/>
      <c r="INX14" s="119"/>
      <c r="INY14" s="119"/>
      <c r="INZ14" s="119"/>
      <c r="IOA14" s="120"/>
      <c r="IOB14" s="120"/>
      <c r="IOC14" s="120"/>
      <c r="IOD14" s="59"/>
      <c r="IOE14" s="119"/>
      <c r="IOF14" s="119"/>
      <c r="IOG14" s="119"/>
      <c r="IOH14" s="119"/>
      <c r="IOI14" s="119"/>
      <c r="IOJ14" s="119"/>
      <c r="IOK14" s="119"/>
      <c r="IOL14" s="119"/>
      <c r="IOM14" s="119"/>
      <c r="ION14" s="119"/>
      <c r="IOO14" s="119"/>
      <c r="IOP14" s="119"/>
      <c r="IOQ14" s="120"/>
      <c r="IOR14" s="120"/>
      <c r="IOS14" s="120"/>
      <c r="IOT14" s="59"/>
      <c r="IOU14" s="119"/>
      <c r="IOV14" s="119"/>
      <c r="IOW14" s="119"/>
      <c r="IOX14" s="119"/>
      <c r="IOY14" s="119"/>
      <c r="IOZ14" s="119"/>
      <c r="IPA14" s="119"/>
      <c r="IPB14" s="119"/>
      <c r="IPC14" s="119"/>
      <c r="IPD14" s="119"/>
      <c r="IPE14" s="119"/>
      <c r="IPF14" s="119"/>
      <c r="IPG14" s="120"/>
      <c r="IPH14" s="120"/>
      <c r="IPI14" s="120"/>
      <c r="IPJ14" s="59"/>
      <c r="IPK14" s="119"/>
      <c r="IPL14" s="119"/>
      <c r="IPM14" s="119"/>
      <c r="IPN14" s="119"/>
      <c r="IPO14" s="119"/>
      <c r="IPP14" s="119"/>
      <c r="IPQ14" s="119"/>
      <c r="IPR14" s="119"/>
      <c r="IPS14" s="119"/>
      <c r="IPT14" s="119"/>
      <c r="IPU14" s="119"/>
      <c r="IPV14" s="119"/>
      <c r="IPW14" s="120"/>
      <c r="IPX14" s="120"/>
      <c r="IPY14" s="120"/>
      <c r="IPZ14" s="59"/>
      <c r="IQA14" s="119"/>
      <c r="IQB14" s="119"/>
      <c r="IQC14" s="119"/>
      <c r="IQD14" s="119"/>
      <c r="IQE14" s="119"/>
      <c r="IQF14" s="119"/>
      <c r="IQG14" s="119"/>
      <c r="IQH14" s="119"/>
      <c r="IQI14" s="119"/>
      <c r="IQJ14" s="119"/>
      <c r="IQK14" s="119"/>
      <c r="IQL14" s="119"/>
      <c r="IQM14" s="120"/>
      <c r="IQN14" s="120"/>
      <c r="IQO14" s="120"/>
      <c r="IQP14" s="59"/>
      <c r="IQQ14" s="119"/>
      <c r="IQR14" s="119"/>
      <c r="IQS14" s="119"/>
      <c r="IQT14" s="119"/>
      <c r="IQU14" s="119"/>
      <c r="IQV14" s="119"/>
      <c r="IQW14" s="119"/>
      <c r="IQX14" s="119"/>
      <c r="IQY14" s="119"/>
      <c r="IQZ14" s="119"/>
      <c r="IRA14" s="119"/>
      <c r="IRB14" s="119"/>
      <c r="IRC14" s="120"/>
      <c r="IRD14" s="120"/>
      <c r="IRE14" s="120"/>
      <c r="IRF14" s="59"/>
      <c r="IRG14" s="119"/>
      <c r="IRH14" s="119"/>
      <c r="IRI14" s="119"/>
      <c r="IRJ14" s="119"/>
      <c r="IRK14" s="119"/>
      <c r="IRL14" s="119"/>
      <c r="IRM14" s="119"/>
      <c r="IRN14" s="119"/>
      <c r="IRO14" s="119"/>
      <c r="IRP14" s="119"/>
      <c r="IRQ14" s="119"/>
      <c r="IRR14" s="119"/>
      <c r="IRS14" s="120"/>
      <c r="IRT14" s="120"/>
      <c r="IRU14" s="120"/>
      <c r="IRV14" s="59"/>
      <c r="IRW14" s="119"/>
      <c r="IRX14" s="119"/>
      <c r="IRY14" s="119"/>
      <c r="IRZ14" s="119"/>
      <c r="ISA14" s="119"/>
      <c r="ISB14" s="119"/>
      <c r="ISC14" s="119"/>
      <c r="ISD14" s="119"/>
      <c r="ISE14" s="119"/>
      <c r="ISF14" s="119"/>
      <c r="ISG14" s="119"/>
      <c r="ISH14" s="119"/>
      <c r="ISI14" s="120"/>
      <c r="ISJ14" s="120"/>
      <c r="ISK14" s="120"/>
      <c r="ISL14" s="59"/>
      <c r="ISM14" s="119"/>
      <c r="ISN14" s="119"/>
      <c r="ISO14" s="119"/>
      <c r="ISP14" s="119"/>
      <c r="ISQ14" s="119"/>
      <c r="ISR14" s="119"/>
      <c r="ISS14" s="119"/>
      <c r="IST14" s="119"/>
      <c r="ISU14" s="119"/>
      <c r="ISV14" s="119"/>
      <c r="ISW14" s="119"/>
      <c r="ISX14" s="119"/>
      <c r="ISY14" s="120"/>
      <c r="ISZ14" s="120"/>
      <c r="ITA14" s="120"/>
      <c r="ITB14" s="59"/>
      <c r="ITC14" s="119"/>
      <c r="ITD14" s="119"/>
      <c r="ITE14" s="119"/>
      <c r="ITF14" s="119"/>
      <c r="ITG14" s="119"/>
      <c r="ITH14" s="119"/>
      <c r="ITI14" s="119"/>
      <c r="ITJ14" s="119"/>
      <c r="ITK14" s="119"/>
      <c r="ITL14" s="119"/>
      <c r="ITM14" s="119"/>
      <c r="ITN14" s="119"/>
      <c r="ITO14" s="120"/>
      <c r="ITP14" s="120"/>
      <c r="ITQ14" s="120"/>
      <c r="ITR14" s="59"/>
      <c r="ITS14" s="119"/>
      <c r="ITT14" s="119"/>
      <c r="ITU14" s="119"/>
      <c r="ITV14" s="119"/>
      <c r="ITW14" s="119"/>
      <c r="ITX14" s="119"/>
      <c r="ITY14" s="119"/>
      <c r="ITZ14" s="119"/>
      <c r="IUA14" s="119"/>
      <c r="IUB14" s="119"/>
      <c r="IUC14" s="119"/>
      <c r="IUD14" s="119"/>
      <c r="IUE14" s="120"/>
      <c r="IUF14" s="120"/>
      <c r="IUG14" s="120"/>
      <c r="IUH14" s="59"/>
      <c r="IUI14" s="119"/>
      <c r="IUJ14" s="119"/>
      <c r="IUK14" s="119"/>
      <c r="IUL14" s="119"/>
      <c r="IUM14" s="119"/>
      <c r="IUN14" s="119"/>
      <c r="IUO14" s="119"/>
      <c r="IUP14" s="119"/>
      <c r="IUQ14" s="119"/>
      <c r="IUR14" s="119"/>
      <c r="IUS14" s="119"/>
      <c r="IUT14" s="119"/>
      <c r="IUU14" s="120"/>
      <c r="IUV14" s="120"/>
      <c r="IUW14" s="120"/>
      <c r="IUX14" s="59"/>
      <c r="IUY14" s="119"/>
      <c r="IUZ14" s="119"/>
      <c r="IVA14" s="119"/>
      <c r="IVB14" s="119"/>
      <c r="IVC14" s="119"/>
      <c r="IVD14" s="119"/>
      <c r="IVE14" s="119"/>
      <c r="IVF14" s="119"/>
      <c r="IVG14" s="119"/>
      <c r="IVH14" s="119"/>
      <c r="IVI14" s="119"/>
      <c r="IVJ14" s="119"/>
      <c r="IVK14" s="120"/>
      <c r="IVL14" s="120"/>
      <c r="IVM14" s="120"/>
      <c r="IVN14" s="59"/>
      <c r="IVO14" s="119"/>
      <c r="IVP14" s="119"/>
      <c r="IVQ14" s="119"/>
      <c r="IVR14" s="119"/>
      <c r="IVS14" s="119"/>
      <c r="IVT14" s="119"/>
      <c r="IVU14" s="119"/>
      <c r="IVV14" s="119"/>
      <c r="IVW14" s="119"/>
      <c r="IVX14" s="119"/>
      <c r="IVY14" s="119"/>
      <c r="IVZ14" s="119"/>
      <c r="IWA14" s="120"/>
      <c r="IWB14" s="120"/>
      <c r="IWC14" s="120"/>
      <c r="IWD14" s="59"/>
      <c r="IWE14" s="119"/>
      <c r="IWF14" s="119"/>
      <c r="IWG14" s="119"/>
      <c r="IWH14" s="119"/>
      <c r="IWI14" s="119"/>
      <c r="IWJ14" s="119"/>
      <c r="IWK14" s="119"/>
      <c r="IWL14" s="119"/>
      <c r="IWM14" s="119"/>
      <c r="IWN14" s="119"/>
      <c r="IWO14" s="119"/>
      <c r="IWP14" s="119"/>
      <c r="IWQ14" s="120"/>
      <c r="IWR14" s="120"/>
      <c r="IWS14" s="120"/>
      <c r="IWT14" s="59"/>
      <c r="IWU14" s="119"/>
      <c r="IWV14" s="119"/>
      <c r="IWW14" s="119"/>
      <c r="IWX14" s="119"/>
      <c r="IWY14" s="119"/>
      <c r="IWZ14" s="119"/>
      <c r="IXA14" s="119"/>
      <c r="IXB14" s="119"/>
      <c r="IXC14" s="119"/>
      <c r="IXD14" s="119"/>
      <c r="IXE14" s="119"/>
      <c r="IXF14" s="119"/>
      <c r="IXG14" s="120"/>
      <c r="IXH14" s="120"/>
      <c r="IXI14" s="120"/>
      <c r="IXJ14" s="59"/>
      <c r="IXK14" s="119"/>
      <c r="IXL14" s="119"/>
      <c r="IXM14" s="119"/>
      <c r="IXN14" s="119"/>
      <c r="IXO14" s="119"/>
      <c r="IXP14" s="119"/>
      <c r="IXQ14" s="119"/>
      <c r="IXR14" s="119"/>
      <c r="IXS14" s="119"/>
      <c r="IXT14" s="119"/>
      <c r="IXU14" s="119"/>
      <c r="IXV14" s="119"/>
      <c r="IXW14" s="120"/>
      <c r="IXX14" s="120"/>
      <c r="IXY14" s="120"/>
      <c r="IXZ14" s="59"/>
      <c r="IYA14" s="119"/>
      <c r="IYB14" s="119"/>
      <c r="IYC14" s="119"/>
      <c r="IYD14" s="119"/>
      <c r="IYE14" s="119"/>
      <c r="IYF14" s="119"/>
      <c r="IYG14" s="119"/>
      <c r="IYH14" s="119"/>
      <c r="IYI14" s="119"/>
      <c r="IYJ14" s="119"/>
      <c r="IYK14" s="119"/>
      <c r="IYL14" s="119"/>
      <c r="IYM14" s="120"/>
      <c r="IYN14" s="120"/>
      <c r="IYO14" s="120"/>
      <c r="IYP14" s="59"/>
      <c r="IYQ14" s="119"/>
      <c r="IYR14" s="119"/>
      <c r="IYS14" s="119"/>
      <c r="IYT14" s="119"/>
      <c r="IYU14" s="119"/>
      <c r="IYV14" s="119"/>
      <c r="IYW14" s="119"/>
      <c r="IYX14" s="119"/>
      <c r="IYY14" s="119"/>
      <c r="IYZ14" s="119"/>
      <c r="IZA14" s="119"/>
      <c r="IZB14" s="119"/>
      <c r="IZC14" s="120"/>
      <c r="IZD14" s="120"/>
      <c r="IZE14" s="120"/>
      <c r="IZF14" s="59"/>
      <c r="IZG14" s="119"/>
      <c r="IZH14" s="119"/>
      <c r="IZI14" s="119"/>
      <c r="IZJ14" s="119"/>
      <c r="IZK14" s="119"/>
      <c r="IZL14" s="119"/>
      <c r="IZM14" s="119"/>
      <c r="IZN14" s="119"/>
      <c r="IZO14" s="119"/>
      <c r="IZP14" s="119"/>
      <c r="IZQ14" s="119"/>
      <c r="IZR14" s="119"/>
      <c r="IZS14" s="120"/>
      <c r="IZT14" s="120"/>
      <c r="IZU14" s="120"/>
      <c r="IZV14" s="59"/>
      <c r="IZW14" s="119"/>
      <c r="IZX14" s="119"/>
      <c r="IZY14" s="119"/>
      <c r="IZZ14" s="119"/>
      <c r="JAA14" s="119"/>
      <c r="JAB14" s="119"/>
      <c r="JAC14" s="119"/>
      <c r="JAD14" s="119"/>
      <c r="JAE14" s="119"/>
      <c r="JAF14" s="119"/>
      <c r="JAG14" s="119"/>
      <c r="JAH14" s="119"/>
      <c r="JAI14" s="120"/>
      <c r="JAJ14" s="120"/>
      <c r="JAK14" s="120"/>
      <c r="JAL14" s="59"/>
      <c r="JAM14" s="119"/>
      <c r="JAN14" s="119"/>
      <c r="JAO14" s="119"/>
      <c r="JAP14" s="119"/>
      <c r="JAQ14" s="119"/>
      <c r="JAR14" s="119"/>
      <c r="JAS14" s="119"/>
      <c r="JAT14" s="119"/>
      <c r="JAU14" s="119"/>
      <c r="JAV14" s="119"/>
      <c r="JAW14" s="119"/>
      <c r="JAX14" s="119"/>
      <c r="JAY14" s="120"/>
      <c r="JAZ14" s="120"/>
      <c r="JBA14" s="120"/>
      <c r="JBB14" s="59"/>
      <c r="JBC14" s="119"/>
      <c r="JBD14" s="119"/>
      <c r="JBE14" s="119"/>
      <c r="JBF14" s="119"/>
      <c r="JBG14" s="119"/>
      <c r="JBH14" s="119"/>
      <c r="JBI14" s="119"/>
      <c r="JBJ14" s="119"/>
      <c r="JBK14" s="119"/>
      <c r="JBL14" s="119"/>
      <c r="JBM14" s="119"/>
      <c r="JBN14" s="119"/>
      <c r="JBO14" s="120"/>
      <c r="JBP14" s="120"/>
      <c r="JBQ14" s="120"/>
      <c r="JBR14" s="59"/>
      <c r="JBS14" s="119"/>
      <c r="JBT14" s="119"/>
      <c r="JBU14" s="119"/>
      <c r="JBV14" s="119"/>
      <c r="JBW14" s="119"/>
      <c r="JBX14" s="119"/>
      <c r="JBY14" s="119"/>
      <c r="JBZ14" s="119"/>
      <c r="JCA14" s="119"/>
      <c r="JCB14" s="119"/>
      <c r="JCC14" s="119"/>
      <c r="JCD14" s="119"/>
      <c r="JCE14" s="120"/>
      <c r="JCF14" s="120"/>
      <c r="JCG14" s="120"/>
      <c r="JCH14" s="59"/>
      <c r="JCI14" s="119"/>
      <c r="JCJ14" s="119"/>
      <c r="JCK14" s="119"/>
      <c r="JCL14" s="119"/>
      <c r="JCM14" s="119"/>
      <c r="JCN14" s="119"/>
      <c r="JCO14" s="119"/>
      <c r="JCP14" s="119"/>
      <c r="JCQ14" s="119"/>
      <c r="JCR14" s="119"/>
      <c r="JCS14" s="119"/>
      <c r="JCT14" s="119"/>
      <c r="JCU14" s="120"/>
      <c r="JCV14" s="120"/>
      <c r="JCW14" s="120"/>
      <c r="JCX14" s="59"/>
      <c r="JCY14" s="119"/>
      <c r="JCZ14" s="119"/>
      <c r="JDA14" s="119"/>
      <c r="JDB14" s="119"/>
      <c r="JDC14" s="119"/>
      <c r="JDD14" s="119"/>
      <c r="JDE14" s="119"/>
      <c r="JDF14" s="119"/>
      <c r="JDG14" s="119"/>
      <c r="JDH14" s="119"/>
      <c r="JDI14" s="119"/>
      <c r="JDJ14" s="119"/>
      <c r="JDK14" s="120"/>
      <c r="JDL14" s="120"/>
      <c r="JDM14" s="120"/>
      <c r="JDN14" s="59"/>
      <c r="JDO14" s="119"/>
      <c r="JDP14" s="119"/>
      <c r="JDQ14" s="119"/>
      <c r="JDR14" s="119"/>
      <c r="JDS14" s="119"/>
      <c r="JDT14" s="119"/>
      <c r="JDU14" s="119"/>
      <c r="JDV14" s="119"/>
      <c r="JDW14" s="119"/>
      <c r="JDX14" s="119"/>
      <c r="JDY14" s="119"/>
      <c r="JDZ14" s="119"/>
      <c r="JEA14" s="120"/>
      <c r="JEB14" s="120"/>
      <c r="JEC14" s="120"/>
      <c r="JED14" s="59"/>
      <c r="JEE14" s="119"/>
      <c r="JEF14" s="119"/>
      <c r="JEG14" s="119"/>
      <c r="JEH14" s="119"/>
      <c r="JEI14" s="119"/>
      <c r="JEJ14" s="119"/>
      <c r="JEK14" s="119"/>
      <c r="JEL14" s="119"/>
      <c r="JEM14" s="119"/>
      <c r="JEN14" s="119"/>
      <c r="JEO14" s="119"/>
      <c r="JEP14" s="119"/>
      <c r="JEQ14" s="120"/>
      <c r="JER14" s="120"/>
      <c r="JES14" s="120"/>
      <c r="JET14" s="59"/>
      <c r="JEU14" s="119"/>
      <c r="JEV14" s="119"/>
      <c r="JEW14" s="119"/>
      <c r="JEX14" s="119"/>
      <c r="JEY14" s="119"/>
      <c r="JEZ14" s="119"/>
      <c r="JFA14" s="119"/>
      <c r="JFB14" s="119"/>
      <c r="JFC14" s="119"/>
      <c r="JFD14" s="119"/>
      <c r="JFE14" s="119"/>
      <c r="JFF14" s="119"/>
      <c r="JFG14" s="120"/>
      <c r="JFH14" s="120"/>
      <c r="JFI14" s="120"/>
      <c r="JFJ14" s="59"/>
      <c r="JFK14" s="119"/>
      <c r="JFL14" s="119"/>
      <c r="JFM14" s="119"/>
      <c r="JFN14" s="119"/>
      <c r="JFO14" s="119"/>
      <c r="JFP14" s="119"/>
      <c r="JFQ14" s="119"/>
      <c r="JFR14" s="119"/>
      <c r="JFS14" s="119"/>
      <c r="JFT14" s="119"/>
      <c r="JFU14" s="119"/>
      <c r="JFV14" s="119"/>
      <c r="JFW14" s="120"/>
      <c r="JFX14" s="120"/>
      <c r="JFY14" s="120"/>
      <c r="JFZ14" s="59"/>
      <c r="JGA14" s="119"/>
      <c r="JGB14" s="119"/>
      <c r="JGC14" s="119"/>
      <c r="JGD14" s="119"/>
      <c r="JGE14" s="119"/>
      <c r="JGF14" s="119"/>
      <c r="JGG14" s="119"/>
      <c r="JGH14" s="119"/>
      <c r="JGI14" s="119"/>
      <c r="JGJ14" s="119"/>
      <c r="JGK14" s="119"/>
      <c r="JGL14" s="119"/>
      <c r="JGM14" s="120"/>
      <c r="JGN14" s="120"/>
      <c r="JGO14" s="120"/>
      <c r="JGP14" s="59"/>
      <c r="JGQ14" s="119"/>
      <c r="JGR14" s="119"/>
      <c r="JGS14" s="119"/>
      <c r="JGT14" s="119"/>
      <c r="JGU14" s="119"/>
      <c r="JGV14" s="119"/>
      <c r="JGW14" s="119"/>
      <c r="JGX14" s="119"/>
      <c r="JGY14" s="119"/>
      <c r="JGZ14" s="119"/>
      <c r="JHA14" s="119"/>
      <c r="JHB14" s="119"/>
      <c r="JHC14" s="120"/>
      <c r="JHD14" s="120"/>
      <c r="JHE14" s="120"/>
      <c r="JHF14" s="59"/>
      <c r="JHG14" s="119"/>
      <c r="JHH14" s="119"/>
      <c r="JHI14" s="119"/>
      <c r="JHJ14" s="119"/>
      <c r="JHK14" s="119"/>
      <c r="JHL14" s="119"/>
      <c r="JHM14" s="119"/>
      <c r="JHN14" s="119"/>
      <c r="JHO14" s="119"/>
      <c r="JHP14" s="119"/>
      <c r="JHQ14" s="119"/>
      <c r="JHR14" s="119"/>
      <c r="JHS14" s="120"/>
      <c r="JHT14" s="120"/>
      <c r="JHU14" s="120"/>
      <c r="JHV14" s="59"/>
      <c r="JHW14" s="119"/>
      <c r="JHX14" s="119"/>
      <c r="JHY14" s="119"/>
      <c r="JHZ14" s="119"/>
      <c r="JIA14" s="119"/>
      <c r="JIB14" s="119"/>
      <c r="JIC14" s="119"/>
      <c r="JID14" s="119"/>
      <c r="JIE14" s="119"/>
      <c r="JIF14" s="119"/>
      <c r="JIG14" s="119"/>
      <c r="JIH14" s="119"/>
      <c r="JII14" s="120"/>
      <c r="JIJ14" s="120"/>
      <c r="JIK14" s="120"/>
      <c r="JIL14" s="59"/>
      <c r="JIM14" s="119"/>
      <c r="JIN14" s="119"/>
      <c r="JIO14" s="119"/>
      <c r="JIP14" s="119"/>
      <c r="JIQ14" s="119"/>
      <c r="JIR14" s="119"/>
      <c r="JIS14" s="119"/>
      <c r="JIT14" s="119"/>
      <c r="JIU14" s="119"/>
      <c r="JIV14" s="119"/>
      <c r="JIW14" s="119"/>
      <c r="JIX14" s="119"/>
      <c r="JIY14" s="120"/>
      <c r="JIZ14" s="120"/>
      <c r="JJA14" s="120"/>
      <c r="JJB14" s="59"/>
      <c r="JJC14" s="119"/>
      <c r="JJD14" s="119"/>
      <c r="JJE14" s="119"/>
      <c r="JJF14" s="119"/>
      <c r="JJG14" s="119"/>
      <c r="JJH14" s="119"/>
      <c r="JJI14" s="119"/>
      <c r="JJJ14" s="119"/>
      <c r="JJK14" s="119"/>
      <c r="JJL14" s="119"/>
      <c r="JJM14" s="119"/>
      <c r="JJN14" s="119"/>
      <c r="JJO14" s="120"/>
      <c r="JJP14" s="120"/>
      <c r="JJQ14" s="120"/>
      <c r="JJR14" s="59"/>
      <c r="JJS14" s="119"/>
      <c r="JJT14" s="119"/>
      <c r="JJU14" s="119"/>
      <c r="JJV14" s="119"/>
      <c r="JJW14" s="119"/>
      <c r="JJX14" s="119"/>
      <c r="JJY14" s="119"/>
      <c r="JJZ14" s="119"/>
      <c r="JKA14" s="119"/>
      <c r="JKB14" s="119"/>
      <c r="JKC14" s="119"/>
      <c r="JKD14" s="119"/>
      <c r="JKE14" s="120"/>
      <c r="JKF14" s="120"/>
      <c r="JKG14" s="120"/>
      <c r="JKH14" s="59"/>
      <c r="JKI14" s="119"/>
      <c r="JKJ14" s="119"/>
      <c r="JKK14" s="119"/>
      <c r="JKL14" s="119"/>
      <c r="JKM14" s="119"/>
      <c r="JKN14" s="119"/>
      <c r="JKO14" s="119"/>
      <c r="JKP14" s="119"/>
      <c r="JKQ14" s="119"/>
      <c r="JKR14" s="119"/>
      <c r="JKS14" s="119"/>
      <c r="JKT14" s="119"/>
      <c r="JKU14" s="120"/>
      <c r="JKV14" s="120"/>
      <c r="JKW14" s="120"/>
      <c r="JKX14" s="59"/>
      <c r="JKY14" s="119"/>
      <c r="JKZ14" s="119"/>
      <c r="JLA14" s="119"/>
      <c r="JLB14" s="119"/>
      <c r="JLC14" s="119"/>
      <c r="JLD14" s="119"/>
      <c r="JLE14" s="119"/>
      <c r="JLF14" s="119"/>
      <c r="JLG14" s="119"/>
      <c r="JLH14" s="119"/>
      <c r="JLI14" s="119"/>
      <c r="JLJ14" s="119"/>
      <c r="JLK14" s="120"/>
      <c r="JLL14" s="120"/>
      <c r="JLM14" s="120"/>
      <c r="JLN14" s="59"/>
      <c r="JLO14" s="119"/>
      <c r="JLP14" s="119"/>
      <c r="JLQ14" s="119"/>
      <c r="JLR14" s="119"/>
      <c r="JLS14" s="119"/>
      <c r="JLT14" s="119"/>
      <c r="JLU14" s="119"/>
      <c r="JLV14" s="119"/>
      <c r="JLW14" s="119"/>
      <c r="JLX14" s="119"/>
      <c r="JLY14" s="119"/>
      <c r="JLZ14" s="119"/>
      <c r="JMA14" s="120"/>
      <c r="JMB14" s="120"/>
      <c r="JMC14" s="120"/>
      <c r="JMD14" s="59"/>
      <c r="JME14" s="119"/>
      <c r="JMF14" s="119"/>
      <c r="JMG14" s="119"/>
      <c r="JMH14" s="119"/>
      <c r="JMI14" s="119"/>
      <c r="JMJ14" s="119"/>
      <c r="JMK14" s="119"/>
      <c r="JML14" s="119"/>
      <c r="JMM14" s="119"/>
      <c r="JMN14" s="119"/>
      <c r="JMO14" s="119"/>
      <c r="JMP14" s="119"/>
      <c r="JMQ14" s="120"/>
      <c r="JMR14" s="120"/>
      <c r="JMS14" s="120"/>
      <c r="JMT14" s="59"/>
      <c r="JMU14" s="119"/>
      <c r="JMV14" s="119"/>
      <c r="JMW14" s="119"/>
      <c r="JMX14" s="119"/>
      <c r="JMY14" s="119"/>
      <c r="JMZ14" s="119"/>
      <c r="JNA14" s="119"/>
      <c r="JNB14" s="119"/>
      <c r="JNC14" s="119"/>
      <c r="JND14" s="119"/>
      <c r="JNE14" s="119"/>
      <c r="JNF14" s="119"/>
      <c r="JNG14" s="120"/>
      <c r="JNH14" s="120"/>
      <c r="JNI14" s="120"/>
      <c r="JNJ14" s="59"/>
      <c r="JNK14" s="119"/>
      <c r="JNL14" s="119"/>
      <c r="JNM14" s="119"/>
      <c r="JNN14" s="119"/>
      <c r="JNO14" s="119"/>
      <c r="JNP14" s="119"/>
      <c r="JNQ14" s="119"/>
      <c r="JNR14" s="119"/>
      <c r="JNS14" s="119"/>
      <c r="JNT14" s="119"/>
      <c r="JNU14" s="119"/>
      <c r="JNV14" s="119"/>
      <c r="JNW14" s="120"/>
      <c r="JNX14" s="120"/>
      <c r="JNY14" s="120"/>
      <c r="JNZ14" s="59"/>
      <c r="JOA14" s="119"/>
      <c r="JOB14" s="119"/>
      <c r="JOC14" s="119"/>
      <c r="JOD14" s="119"/>
      <c r="JOE14" s="119"/>
      <c r="JOF14" s="119"/>
      <c r="JOG14" s="119"/>
      <c r="JOH14" s="119"/>
      <c r="JOI14" s="119"/>
      <c r="JOJ14" s="119"/>
      <c r="JOK14" s="119"/>
      <c r="JOL14" s="119"/>
      <c r="JOM14" s="120"/>
      <c r="JON14" s="120"/>
      <c r="JOO14" s="120"/>
      <c r="JOP14" s="59"/>
      <c r="JOQ14" s="119"/>
      <c r="JOR14" s="119"/>
      <c r="JOS14" s="119"/>
      <c r="JOT14" s="119"/>
      <c r="JOU14" s="119"/>
      <c r="JOV14" s="119"/>
      <c r="JOW14" s="119"/>
      <c r="JOX14" s="119"/>
      <c r="JOY14" s="119"/>
      <c r="JOZ14" s="119"/>
      <c r="JPA14" s="119"/>
      <c r="JPB14" s="119"/>
      <c r="JPC14" s="120"/>
      <c r="JPD14" s="120"/>
      <c r="JPE14" s="120"/>
      <c r="JPF14" s="59"/>
      <c r="JPG14" s="119"/>
      <c r="JPH14" s="119"/>
      <c r="JPI14" s="119"/>
      <c r="JPJ14" s="119"/>
      <c r="JPK14" s="119"/>
      <c r="JPL14" s="119"/>
      <c r="JPM14" s="119"/>
      <c r="JPN14" s="119"/>
      <c r="JPO14" s="119"/>
      <c r="JPP14" s="119"/>
      <c r="JPQ14" s="119"/>
      <c r="JPR14" s="119"/>
      <c r="JPS14" s="120"/>
      <c r="JPT14" s="120"/>
      <c r="JPU14" s="120"/>
      <c r="JPV14" s="59"/>
      <c r="JPW14" s="119"/>
      <c r="JPX14" s="119"/>
      <c r="JPY14" s="119"/>
      <c r="JPZ14" s="119"/>
      <c r="JQA14" s="119"/>
      <c r="JQB14" s="119"/>
      <c r="JQC14" s="119"/>
      <c r="JQD14" s="119"/>
      <c r="JQE14" s="119"/>
      <c r="JQF14" s="119"/>
      <c r="JQG14" s="119"/>
      <c r="JQH14" s="119"/>
      <c r="JQI14" s="120"/>
      <c r="JQJ14" s="120"/>
      <c r="JQK14" s="120"/>
      <c r="JQL14" s="59"/>
      <c r="JQM14" s="119"/>
      <c r="JQN14" s="119"/>
      <c r="JQO14" s="119"/>
      <c r="JQP14" s="119"/>
      <c r="JQQ14" s="119"/>
      <c r="JQR14" s="119"/>
      <c r="JQS14" s="119"/>
      <c r="JQT14" s="119"/>
      <c r="JQU14" s="119"/>
      <c r="JQV14" s="119"/>
      <c r="JQW14" s="119"/>
      <c r="JQX14" s="119"/>
      <c r="JQY14" s="120"/>
      <c r="JQZ14" s="120"/>
      <c r="JRA14" s="120"/>
      <c r="JRB14" s="59"/>
      <c r="JRC14" s="119"/>
      <c r="JRD14" s="119"/>
      <c r="JRE14" s="119"/>
      <c r="JRF14" s="119"/>
      <c r="JRG14" s="119"/>
      <c r="JRH14" s="119"/>
      <c r="JRI14" s="119"/>
      <c r="JRJ14" s="119"/>
      <c r="JRK14" s="119"/>
      <c r="JRL14" s="119"/>
      <c r="JRM14" s="119"/>
      <c r="JRN14" s="119"/>
      <c r="JRO14" s="120"/>
      <c r="JRP14" s="120"/>
      <c r="JRQ14" s="120"/>
      <c r="JRR14" s="59"/>
      <c r="JRS14" s="119"/>
      <c r="JRT14" s="119"/>
      <c r="JRU14" s="119"/>
      <c r="JRV14" s="119"/>
      <c r="JRW14" s="119"/>
      <c r="JRX14" s="119"/>
      <c r="JRY14" s="119"/>
      <c r="JRZ14" s="119"/>
      <c r="JSA14" s="119"/>
      <c r="JSB14" s="119"/>
      <c r="JSC14" s="119"/>
      <c r="JSD14" s="119"/>
      <c r="JSE14" s="120"/>
      <c r="JSF14" s="120"/>
      <c r="JSG14" s="120"/>
      <c r="JSH14" s="59"/>
      <c r="JSI14" s="119"/>
      <c r="JSJ14" s="119"/>
      <c r="JSK14" s="119"/>
      <c r="JSL14" s="119"/>
      <c r="JSM14" s="119"/>
      <c r="JSN14" s="119"/>
      <c r="JSO14" s="119"/>
      <c r="JSP14" s="119"/>
      <c r="JSQ14" s="119"/>
      <c r="JSR14" s="119"/>
      <c r="JSS14" s="119"/>
      <c r="JST14" s="119"/>
      <c r="JSU14" s="120"/>
      <c r="JSV14" s="120"/>
      <c r="JSW14" s="120"/>
      <c r="JSX14" s="59"/>
      <c r="JSY14" s="119"/>
      <c r="JSZ14" s="119"/>
      <c r="JTA14" s="119"/>
      <c r="JTB14" s="119"/>
      <c r="JTC14" s="119"/>
      <c r="JTD14" s="119"/>
      <c r="JTE14" s="119"/>
      <c r="JTF14" s="119"/>
      <c r="JTG14" s="119"/>
      <c r="JTH14" s="119"/>
      <c r="JTI14" s="119"/>
      <c r="JTJ14" s="119"/>
      <c r="JTK14" s="120"/>
      <c r="JTL14" s="120"/>
      <c r="JTM14" s="120"/>
      <c r="JTN14" s="59"/>
      <c r="JTO14" s="119"/>
      <c r="JTP14" s="119"/>
      <c r="JTQ14" s="119"/>
      <c r="JTR14" s="119"/>
      <c r="JTS14" s="119"/>
      <c r="JTT14" s="119"/>
      <c r="JTU14" s="119"/>
      <c r="JTV14" s="119"/>
      <c r="JTW14" s="119"/>
      <c r="JTX14" s="119"/>
      <c r="JTY14" s="119"/>
      <c r="JTZ14" s="119"/>
      <c r="JUA14" s="120"/>
      <c r="JUB14" s="120"/>
      <c r="JUC14" s="120"/>
      <c r="JUD14" s="59"/>
      <c r="JUE14" s="119"/>
      <c r="JUF14" s="119"/>
      <c r="JUG14" s="119"/>
      <c r="JUH14" s="119"/>
      <c r="JUI14" s="119"/>
      <c r="JUJ14" s="119"/>
      <c r="JUK14" s="119"/>
      <c r="JUL14" s="119"/>
      <c r="JUM14" s="119"/>
      <c r="JUN14" s="119"/>
      <c r="JUO14" s="119"/>
      <c r="JUP14" s="119"/>
      <c r="JUQ14" s="120"/>
      <c r="JUR14" s="120"/>
      <c r="JUS14" s="120"/>
      <c r="JUT14" s="59"/>
      <c r="JUU14" s="119"/>
      <c r="JUV14" s="119"/>
      <c r="JUW14" s="119"/>
      <c r="JUX14" s="119"/>
      <c r="JUY14" s="119"/>
      <c r="JUZ14" s="119"/>
      <c r="JVA14" s="119"/>
      <c r="JVB14" s="119"/>
      <c r="JVC14" s="119"/>
      <c r="JVD14" s="119"/>
      <c r="JVE14" s="119"/>
      <c r="JVF14" s="119"/>
      <c r="JVG14" s="120"/>
      <c r="JVH14" s="120"/>
      <c r="JVI14" s="120"/>
      <c r="JVJ14" s="59"/>
      <c r="JVK14" s="119"/>
      <c r="JVL14" s="119"/>
      <c r="JVM14" s="119"/>
      <c r="JVN14" s="119"/>
      <c r="JVO14" s="119"/>
      <c r="JVP14" s="119"/>
      <c r="JVQ14" s="119"/>
      <c r="JVR14" s="119"/>
      <c r="JVS14" s="119"/>
      <c r="JVT14" s="119"/>
      <c r="JVU14" s="119"/>
      <c r="JVV14" s="119"/>
      <c r="JVW14" s="120"/>
      <c r="JVX14" s="120"/>
      <c r="JVY14" s="120"/>
      <c r="JVZ14" s="59"/>
      <c r="JWA14" s="119"/>
      <c r="JWB14" s="119"/>
      <c r="JWC14" s="119"/>
      <c r="JWD14" s="119"/>
      <c r="JWE14" s="119"/>
      <c r="JWF14" s="119"/>
      <c r="JWG14" s="119"/>
      <c r="JWH14" s="119"/>
      <c r="JWI14" s="119"/>
      <c r="JWJ14" s="119"/>
      <c r="JWK14" s="119"/>
      <c r="JWL14" s="119"/>
      <c r="JWM14" s="120"/>
      <c r="JWN14" s="120"/>
      <c r="JWO14" s="120"/>
      <c r="JWP14" s="59"/>
      <c r="JWQ14" s="119"/>
      <c r="JWR14" s="119"/>
      <c r="JWS14" s="119"/>
      <c r="JWT14" s="119"/>
      <c r="JWU14" s="119"/>
      <c r="JWV14" s="119"/>
      <c r="JWW14" s="119"/>
      <c r="JWX14" s="119"/>
      <c r="JWY14" s="119"/>
      <c r="JWZ14" s="119"/>
      <c r="JXA14" s="119"/>
      <c r="JXB14" s="119"/>
      <c r="JXC14" s="120"/>
      <c r="JXD14" s="120"/>
      <c r="JXE14" s="120"/>
      <c r="JXF14" s="59"/>
      <c r="JXG14" s="119"/>
      <c r="JXH14" s="119"/>
      <c r="JXI14" s="119"/>
      <c r="JXJ14" s="119"/>
      <c r="JXK14" s="119"/>
      <c r="JXL14" s="119"/>
      <c r="JXM14" s="119"/>
      <c r="JXN14" s="119"/>
      <c r="JXO14" s="119"/>
      <c r="JXP14" s="119"/>
      <c r="JXQ14" s="119"/>
      <c r="JXR14" s="119"/>
      <c r="JXS14" s="120"/>
      <c r="JXT14" s="120"/>
      <c r="JXU14" s="120"/>
      <c r="JXV14" s="59"/>
      <c r="JXW14" s="119"/>
      <c r="JXX14" s="119"/>
      <c r="JXY14" s="119"/>
      <c r="JXZ14" s="119"/>
      <c r="JYA14" s="119"/>
      <c r="JYB14" s="119"/>
      <c r="JYC14" s="119"/>
      <c r="JYD14" s="119"/>
      <c r="JYE14" s="119"/>
      <c r="JYF14" s="119"/>
      <c r="JYG14" s="119"/>
      <c r="JYH14" s="119"/>
      <c r="JYI14" s="120"/>
      <c r="JYJ14" s="120"/>
      <c r="JYK14" s="120"/>
      <c r="JYL14" s="59"/>
      <c r="JYM14" s="119"/>
      <c r="JYN14" s="119"/>
      <c r="JYO14" s="119"/>
      <c r="JYP14" s="119"/>
      <c r="JYQ14" s="119"/>
      <c r="JYR14" s="119"/>
      <c r="JYS14" s="119"/>
      <c r="JYT14" s="119"/>
      <c r="JYU14" s="119"/>
      <c r="JYV14" s="119"/>
      <c r="JYW14" s="119"/>
      <c r="JYX14" s="119"/>
      <c r="JYY14" s="120"/>
      <c r="JYZ14" s="120"/>
      <c r="JZA14" s="120"/>
      <c r="JZB14" s="59"/>
      <c r="JZC14" s="119"/>
      <c r="JZD14" s="119"/>
      <c r="JZE14" s="119"/>
      <c r="JZF14" s="119"/>
      <c r="JZG14" s="119"/>
      <c r="JZH14" s="119"/>
      <c r="JZI14" s="119"/>
      <c r="JZJ14" s="119"/>
      <c r="JZK14" s="119"/>
      <c r="JZL14" s="119"/>
      <c r="JZM14" s="119"/>
      <c r="JZN14" s="119"/>
      <c r="JZO14" s="120"/>
      <c r="JZP14" s="120"/>
      <c r="JZQ14" s="120"/>
      <c r="JZR14" s="59"/>
      <c r="JZS14" s="119"/>
      <c r="JZT14" s="119"/>
      <c r="JZU14" s="119"/>
      <c r="JZV14" s="119"/>
      <c r="JZW14" s="119"/>
      <c r="JZX14" s="119"/>
      <c r="JZY14" s="119"/>
      <c r="JZZ14" s="119"/>
      <c r="KAA14" s="119"/>
      <c r="KAB14" s="119"/>
      <c r="KAC14" s="119"/>
      <c r="KAD14" s="119"/>
      <c r="KAE14" s="120"/>
      <c r="KAF14" s="120"/>
      <c r="KAG14" s="120"/>
      <c r="KAH14" s="59"/>
      <c r="KAI14" s="119"/>
      <c r="KAJ14" s="119"/>
      <c r="KAK14" s="119"/>
      <c r="KAL14" s="119"/>
      <c r="KAM14" s="119"/>
      <c r="KAN14" s="119"/>
      <c r="KAO14" s="119"/>
      <c r="KAP14" s="119"/>
      <c r="KAQ14" s="119"/>
      <c r="KAR14" s="119"/>
      <c r="KAS14" s="119"/>
      <c r="KAT14" s="119"/>
      <c r="KAU14" s="120"/>
      <c r="KAV14" s="120"/>
      <c r="KAW14" s="120"/>
      <c r="KAX14" s="59"/>
      <c r="KAY14" s="119"/>
      <c r="KAZ14" s="119"/>
      <c r="KBA14" s="119"/>
      <c r="KBB14" s="119"/>
      <c r="KBC14" s="119"/>
      <c r="KBD14" s="119"/>
      <c r="KBE14" s="119"/>
      <c r="KBF14" s="119"/>
      <c r="KBG14" s="119"/>
      <c r="KBH14" s="119"/>
      <c r="KBI14" s="119"/>
      <c r="KBJ14" s="119"/>
      <c r="KBK14" s="120"/>
      <c r="KBL14" s="120"/>
      <c r="KBM14" s="120"/>
      <c r="KBN14" s="59"/>
      <c r="KBO14" s="119"/>
      <c r="KBP14" s="119"/>
      <c r="KBQ14" s="119"/>
      <c r="KBR14" s="119"/>
      <c r="KBS14" s="119"/>
      <c r="KBT14" s="119"/>
      <c r="KBU14" s="119"/>
      <c r="KBV14" s="119"/>
      <c r="KBW14" s="119"/>
      <c r="KBX14" s="119"/>
      <c r="KBY14" s="119"/>
      <c r="KBZ14" s="119"/>
      <c r="KCA14" s="120"/>
      <c r="KCB14" s="120"/>
      <c r="KCC14" s="120"/>
      <c r="KCD14" s="59"/>
      <c r="KCE14" s="119"/>
      <c r="KCF14" s="119"/>
      <c r="KCG14" s="119"/>
      <c r="KCH14" s="119"/>
      <c r="KCI14" s="119"/>
      <c r="KCJ14" s="119"/>
      <c r="KCK14" s="119"/>
      <c r="KCL14" s="119"/>
      <c r="KCM14" s="119"/>
      <c r="KCN14" s="119"/>
      <c r="KCO14" s="119"/>
      <c r="KCP14" s="119"/>
      <c r="KCQ14" s="120"/>
      <c r="KCR14" s="120"/>
      <c r="KCS14" s="120"/>
      <c r="KCT14" s="59"/>
      <c r="KCU14" s="119"/>
      <c r="KCV14" s="119"/>
      <c r="KCW14" s="119"/>
      <c r="KCX14" s="119"/>
      <c r="KCY14" s="119"/>
      <c r="KCZ14" s="119"/>
      <c r="KDA14" s="119"/>
      <c r="KDB14" s="119"/>
      <c r="KDC14" s="119"/>
      <c r="KDD14" s="119"/>
      <c r="KDE14" s="119"/>
      <c r="KDF14" s="119"/>
      <c r="KDG14" s="120"/>
      <c r="KDH14" s="120"/>
      <c r="KDI14" s="120"/>
      <c r="KDJ14" s="59"/>
      <c r="KDK14" s="119"/>
      <c r="KDL14" s="119"/>
      <c r="KDM14" s="119"/>
      <c r="KDN14" s="119"/>
      <c r="KDO14" s="119"/>
      <c r="KDP14" s="119"/>
      <c r="KDQ14" s="119"/>
      <c r="KDR14" s="119"/>
      <c r="KDS14" s="119"/>
      <c r="KDT14" s="119"/>
      <c r="KDU14" s="119"/>
      <c r="KDV14" s="119"/>
      <c r="KDW14" s="120"/>
      <c r="KDX14" s="120"/>
      <c r="KDY14" s="120"/>
      <c r="KDZ14" s="59"/>
      <c r="KEA14" s="119"/>
      <c r="KEB14" s="119"/>
      <c r="KEC14" s="119"/>
      <c r="KED14" s="119"/>
      <c r="KEE14" s="119"/>
      <c r="KEF14" s="119"/>
      <c r="KEG14" s="119"/>
      <c r="KEH14" s="119"/>
      <c r="KEI14" s="119"/>
      <c r="KEJ14" s="119"/>
      <c r="KEK14" s="119"/>
      <c r="KEL14" s="119"/>
      <c r="KEM14" s="120"/>
      <c r="KEN14" s="120"/>
      <c r="KEO14" s="120"/>
      <c r="KEP14" s="59"/>
      <c r="KEQ14" s="119"/>
      <c r="KER14" s="119"/>
      <c r="KES14" s="119"/>
      <c r="KET14" s="119"/>
      <c r="KEU14" s="119"/>
      <c r="KEV14" s="119"/>
      <c r="KEW14" s="119"/>
      <c r="KEX14" s="119"/>
      <c r="KEY14" s="119"/>
      <c r="KEZ14" s="119"/>
      <c r="KFA14" s="119"/>
      <c r="KFB14" s="119"/>
      <c r="KFC14" s="120"/>
      <c r="KFD14" s="120"/>
      <c r="KFE14" s="120"/>
      <c r="KFF14" s="59"/>
      <c r="KFG14" s="119"/>
      <c r="KFH14" s="119"/>
      <c r="KFI14" s="119"/>
      <c r="KFJ14" s="119"/>
      <c r="KFK14" s="119"/>
      <c r="KFL14" s="119"/>
      <c r="KFM14" s="119"/>
      <c r="KFN14" s="119"/>
      <c r="KFO14" s="119"/>
      <c r="KFP14" s="119"/>
      <c r="KFQ14" s="119"/>
      <c r="KFR14" s="119"/>
      <c r="KFS14" s="120"/>
      <c r="KFT14" s="120"/>
      <c r="KFU14" s="120"/>
      <c r="KFV14" s="59"/>
      <c r="KFW14" s="119"/>
      <c r="KFX14" s="119"/>
      <c r="KFY14" s="119"/>
      <c r="KFZ14" s="119"/>
      <c r="KGA14" s="119"/>
      <c r="KGB14" s="119"/>
      <c r="KGC14" s="119"/>
      <c r="KGD14" s="119"/>
      <c r="KGE14" s="119"/>
      <c r="KGF14" s="119"/>
      <c r="KGG14" s="119"/>
      <c r="KGH14" s="119"/>
      <c r="KGI14" s="120"/>
      <c r="KGJ14" s="120"/>
      <c r="KGK14" s="120"/>
      <c r="KGL14" s="59"/>
      <c r="KGM14" s="119"/>
      <c r="KGN14" s="119"/>
      <c r="KGO14" s="119"/>
      <c r="KGP14" s="119"/>
      <c r="KGQ14" s="119"/>
      <c r="KGR14" s="119"/>
      <c r="KGS14" s="119"/>
      <c r="KGT14" s="119"/>
      <c r="KGU14" s="119"/>
      <c r="KGV14" s="119"/>
      <c r="KGW14" s="119"/>
      <c r="KGX14" s="119"/>
      <c r="KGY14" s="120"/>
      <c r="KGZ14" s="120"/>
      <c r="KHA14" s="120"/>
      <c r="KHB14" s="59"/>
      <c r="KHC14" s="119"/>
      <c r="KHD14" s="119"/>
      <c r="KHE14" s="119"/>
      <c r="KHF14" s="119"/>
      <c r="KHG14" s="119"/>
      <c r="KHH14" s="119"/>
      <c r="KHI14" s="119"/>
      <c r="KHJ14" s="119"/>
      <c r="KHK14" s="119"/>
      <c r="KHL14" s="119"/>
      <c r="KHM14" s="119"/>
      <c r="KHN14" s="119"/>
      <c r="KHO14" s="120"/>
      <c r="KHP14" s="120"/>
      <c r="KHQ14" s="120"/>
      <c r="KHR14" s="59"/>
      <c r="KHS14" s="119"/>
      <c r="KHT14" s="119"/>
      <c r="KHU14" s="119"/>
      <c r="KHV14" s="119"/>
      <c r="KHW14" s="119"/>
      <c r="KHX14" s="119"/>
      <c r="KHY14" s="119"/>
      <c r="KHZ14" s="119"/>
      <c r="KIA14" s="119"/>
      <c r="KIB14" s="119"/>
      <c r="KIC14" s="119"/>
      <c r="KID14" s="119"/>
      <c r="KIE14" s="120"/>
      <c r="KIF14" s="120"/>
      <c r="KIG14" s="120"/>
      <c r="KIH14" s="59"/>
      <c r="KII14" s="119"/>
      <c r="KIJ14" s="119"/>
      <c r="KIK14" s="119"/>
      <c r="KIL14" s="119"/>
      <c r="KIM14" s="119"/>
      <c r="KIN14" s="119"/>
      <c r="KIO14" s="119"/>
      <c r="KIP14" s="119"/>
      <c r="KIQ14" s="119"/>
      <c r="KIR14" s="119"/>
      <c r="KIS14" s="119"/>
      <c r="KIT14" s="119"/>
      <c r="KIU14" s="120"/>
      <c r="KIV14" s="120"/>
      <c r="KIW14" s="120"/>
      <c r="KIX14" s="59"/>
      <c r="KIY14" s="119"/>
      <c r="KIZ14" s="119"/>
      <c r="KJA14" s="119"/>
      <c r="KJB14" s="119"/>
      <c r="KJC14" s="119"/>
      <c r="KJD14" s="119"/>
      <c r="KJE14" s="119"/>
      <c r="KJF14" s="119"/>
      <c r="KJG14" s="119"/>
      <c r="KJH14" s="119"/>
      <c r="KJI14" s="119"/>
      <c r="KJJ14" s="119"/>
      <c r="KJK14" s="120"/>
      <c r="KJL14" s="120"/>
      <c r="KJM14" s="120"/>
      <c r="KJN14" s="59"/>
      <c r="KJO14" s="119"/>
      <c r="KJP14" s="119"/>
      <c r="KJQ14" s="119"/>
      <c r="KJR14" s="119"/>
      <c r="KJS14" s="119"/>
      <c r="KJT14" s="119"/>
      <c r="KJU14" s="119"/>
      <c r="KJV14" s="119"/>
      <c r="KJW14" s="119"/>
      <c r="KJX14" s="119"/>
      <c r="KJY14" s="119"/>
      <c r="KJZ14" s="119"/>
      <c r="KKA14" s="120"/>
      <c r="KKB14" s="120"/>
      <c r="KKC14" s="120"/>
      <c r="KKD14" s="59"/>
      <c r="KKE14" s="119"/>
      <c r="KKF14" s="119"/>
      <c r="KKG14" s="119"/>
      <c r="KKH14" s="119"/>
      <c r="KKI14" s="119"/>
      <c r="KKJ14" s="119"/>
      <c r="KKK14" s="119"/>
      <c r="KKL14" s="119"/>
      <c r="KKM14" s="119"/>
      <c r="KKN14" s="119"/>
      <c r="KKO14" s="119"/>
      <c r="KKP14" s="119"/>
      <c r="KKQ14" s="120"/>
      <c r="KKR14" s="120"/>
      <c r="KKS14" s="120"/>
      <c r="KKT14" s="59"/>
      <c r="KKU14" s="119"/>
      <c r="KKV14" s="119"/>
      <c r="KKW14" s="119"/>
      <c r="KKX14" s="119"/>
      <c r="KKY14" s="119"/>
      <c r="KKZ14" s="119"/>
      <c r="KLA14" s="119"/>
      <c r="KLB14" s="119"/>
      <c r="KLC14" s="119"/>
      <c r="KLD14" s="119"/>
      <c r="KLE14" s="119"/>
      <c r="KLF14" s="119"/>
      <c r="KLG14" s="120"/>
      <c r="KLH14" s="120"/>
      <c r="KLI14" s="120"/>
      <c r="KLJ14" s="59"/>
      <c r="KLK14" s="119"/>
      <c r="KLL14" s="119"/>
      <c r="KLM14" s="119"/>
      <c r="KLN14" s="119"/>
      <c r="KLO14" s="119"/>
      <c r="KLP14" s="119"/>
      <c r="KLQ14" s="119"/>
      <c r="KLR14" s="119"/>
      <c r="KLS14" s="119"/>
      <c r="KLT14" s="119"/>
      <c r="KLU14" s="119"/>
      <c r="KLV14" s="119"/>
      <c r="KLW14" s="120"/>
      <c r="KLX14" s="120"/>
      <c r="KLY14" s="120"/>
      <c r="KLZ14" s="59"/>
      <c r="KMA14" s="119"/>
      <c r="KMB14" s="119"/>
      <c r="KMC14" s="119"/>
      <c r="KMD14" s="119"/>
      <c r="KME14" s="119"/>
      <c r="KMF14" s="119"/>
      <c r="KMG14" s="119"/>
      <c r="KMH14" s="119"/>
      <c r="KMI14" s="119"/>
      <c r="KMJ14" s="119"/>
      <c r="KMK14" s="119"/>
      <c r="KML14" s="119"/>
      <c r="KMM14" s="120"/>
      <c r="KMN14" s="120"/>
      <c r="KMO14" s="120"/>
      <c r="KMP14" s="59"/>
      <c r="KMQ14" s="119"/>
      <c r="KMR14" s="119"/>
      <c r="KMS14" s="119"/>
      <c r="KMT14" s="119"/>
      <c r="KMU14" s="119"/>
      <c r="KMV14" s="119"/>
      <c r="KMW14" s="119"/>
      <c r="KMX14" s="119"/>
      <c r="KMY14" s="119"/>
      <c r="KMZ14" s="119"/>
      <c r="KNA14" s="119"/>
      <c r="KNB14" s="119"/>
      <c r="KNC14" s="120"/>
      <c r="KND14" s="120"/>
      <c r="KNE14" s="120"/>
      <c r="KNF14" s="59"/>
      <c r="KNG14" s="119"/>
      <c r="KNH14" s="119"/>
      <c r="KNI14" s="119"/>
      <c r="KNJ14" s="119"/>
      <c r="KNK14" s="119"/>
      <c r="KNL14" s="119"/>
      <c r="KNM14" s="119"/>
      <c r="KNN14" s="119"/>
      <c r="KNO14" s="119"/>
      <c r="KNP14" s="119"/>
      <c r="KNQ14" s="119"/>
      <c r="KNR14" s="119"/>
      <c r="KNS14" s="120"/>
      <c r="KNT14" s="120"/>
      <c r="KNU14" s="120"/>
      <c r="KNV14" s="59"/>
      <c r="KNW14" s="119"/>
      <c r="KNX14" s="119"/>
      <c r="KNY14" s="119"/>
      <c r="KNZ14" s="119"/>
      <c r="KOA14" s="119"/>
      <c r="KOB14" s="119"/>
      <c r="KOC14" s="119"/>
      <c r="KOD14" s="119"/>
      <c r="KOE14" s="119"/>
      <c r="KOF14" s="119"/>
      <c r="KOG14" s="119"/>
      <c r="KOH14" s="119"/>
      <c r="KOI14" s="120"/>
      <c r="KOJ14" s="120"/>
      <c r="KOK14" s="120"/>
      <c r="KOL14" s="59"/>
      <c r="KOM14" s="119"/>
      <c r="KON14" s="119"/>
      <c r="KOO14" s="119"/>
      <c r="KOP14" s="119"/>
      <c r="KOQ14" s="119"/>
      <c r="KOR14" s="119"/>
      <c r="KOS14" s="119"/>
      <c r="KOT14" s="119"/>
      <c r="KOU14" s="119"/>
      <c r="KOV14" s="119"/>
      <c r="KOW14" s="119"/>
      <c r="KOX14" s="119"/>
      <c r="KOY14" s="120"/>
      <c r="KOZ14" s="120"/>
      <c r="KPA14" s="120"/>
      <c r="KPB14" s="59"/>
      <c r="KPC14" s="119"/>
      <c r="KPD14" s="119"/>
      <c r="KPE14" s="119"/>
      <c r="KPF14" s="119"/>
      <c r="KPG14" s="119"/>
      <c r="KPH14" s="119"/>
      <c r="KPI14" s="119"/>
      <c r="KPJ14" s="119"/>
      <c r="KPK14" s="119"/>
      <c r="KPL14" s="119"/>
      <c r="KPM14" s="119"/>
      <c r="KPN14" s="119"/>
      <c r="KPO14" s="120"/>
      <c r="KPP14" s="120"/>
      <c r="KPQ14" s="120"/>
      <c r="KPR14" s="59"/>
      <c r="KPS14" s="119"/>
      <c r="KPT14" s="119"/>
      <c r="KPU14" s="119"/>
      <c r="KPV14" s="119"/>
      <c r="KPW14" s="119"/>
      <c r="KPX14" s="119"/>
      <c r="KPY14" s="119"/>
      <c r="KPZ14" s="119"/>
      <c r="KQA14" s="119"/>
      <c r="KQB14" s="119"/>
      <c r="KQC14" s="119"/>
      <c r="KQD14" s="119"/>
      <c r="KQE14" s="120"/>
      <c r="KQF14" s="120"/>
      <c r="KQG14" s="120"/>
      <c r="KQH14" s="59"/>
      <c r="KQI14" s="119"/>
      <c r="KQJ14" s="119"/>
      <c r="KQK14" s="119"/>
      <c r="KQL14" s="119"/>
      <c r="KQM14" s="119"/>
      <c r="KQN14" s="119"/>
      <c r="KQO14" s="119"/>
      <c r="KQP14" s="119"/>
      <c r="KQQ14" s="119"/>
      <c r="KQR14" s="119"/>
      <c r="KQS14" s="119"/>
      <c r="KQT14" s="119"/>
      <c r="KQU14" s="120"/>
      <c r="KQV14" s="120"/>
      <c r="KQW14" s="120"/>
      <c r="KQX14" s="59"/>
      <c r="KQY14" s="119"/>
      <c r="KQZ14" s="119"/>
      <c r="KRA14" s="119"/>
      <c r="KRB14" s="119"/>
      <c r="KRC14" s="119"/>
      <c r="KRD14" s="119"/>
      <c r="KRE14" s="119"/>
      <c r="KRF14" s="119"/>
      <c r="KRG14" s="119"/>
      <c r="KRH14" s="119"/>
      <c r="KRI14" s="119"/>
      <c r="KRJ14" s="119"/>
      <c r="KRK14" s="120"/>
      <c r="KRL14" s="120"/>
      <c r="KRM14" s="120"/>
      <c r="KRN14" s="59"/>
      <c r="KRO14" s="119"/>
      <c r="KRP14" s="119"/>
      <c r="KRQ14" s="119"/>
      <c r="KRR14" s="119"/>
      <c r="KRS14" s="119"/>
      <c r="KRT14" s="119"/>
      <c r="KRU14" s="119"/>
      <c r="KRV14" s="119"/>
      <c r="KRW14" s="119"/>
      <c r="KRX14" s="119"/>
      <c r="KRY14" s="119"/>
      <c r="KRZ14" s="119"/>
      <c r="KSA14" s="120"/>
      <c r="KSB14" s="120"/>
      <c r="KSC14" s="120"/>
      <c r="KSD14" s="59"/>
      <c r="KSE14" s="119"/>
      <c r="KSF14" s="119"/>
      <c r="KSG14" s="119"/>
      <c r="KSH14" s="119"/>
      <c r="KSI14" s="119"/>
      <c r="KSJ14" s="119"/>
      <c r="KSK14" s="119"/>
      <c r="KSL14" s="119"/>
      <c r="KSM14" s="119"/>
      <c r="KSN14" s="119"/>
      <c r="KSO14" s="119"/>
      <c r="KSP14" s="119"/>
      <c r="KSQ14" s="120"/>
      <c r="KSR14" s="120"/>
      <c r="KSS14" s="120"/>
      <c r="KST14" s="59"/>
      <c r="KSU14" s="119"/>
      <c r="KSV14" s="119"/>
      <c r="KSW14" s="119"/>
      <c r="KSX14" s="119"/>
      <c r="KSY14" s="119"/>
      <c r="KSZ14" s="119"/>
      <c r="KTA14" s="119"/>
      <c r="KTB14" s="119"/>
      <c r="KTC14" s="119"/>
      <c r="KTD14" s="119"/>
      <c r="KTE14" s="119"/>
      <c r="KTF14" s="119"/>
      <c r="KTG14" s="120"/>
      <c r="KTH14" s="120"/>
      <c r="KTI14" s="120"/>
      <c r="KTJ14" s="59"/>
      <c r="KTK14" s="119"/>
      <c r="KTL14" s="119"/>
      <c r="KTM14" s="119"/>
      <c r="KTN14" s="119"/>
      <c r="KTO14" s="119"/>
      <c r="KTP14" s="119"/>
      <c r="KTQ14" s="119"/>
      <c r="KTR14" s="119"/>
      <c r="KTS14" s="119"/>
      <c r="KTT14" s="119"/>
      <c r="KTU14" s="119"/>
      <c r="KTV14" s="119"/>
      <c r="KTW14" s="120"/>
      <c r="KTX14" s="120"/>
      <c r="KTY14" s="120"/>
      <c r="KTZ14" s="59"/>
      <c r="KUA14" s="119"/>
      <c r="KUB14" s="119"/>
      <c r="KUC14" s="119"/>
      <c r="KUD14" s="119"/>
      <c r="KUE14" s="119"/>
      <c r="KUF14" s="119"/>
      <c r="KUG14" s="119"/>
      <c r="KUH14" s="119"/>
      <c r="KUI14" s="119"/>
      <c r="KUJ14" s="119"/>
      <c r="KUK14" s="119"/>
      <c r="KUL14" s="119"/>
      <c r="KUM14" s="120"/>
      <c r="KUN14" s="120"/>
      <c r="KUO14" s="120"/>
      <c r="KUP14" s="59"/>
      <c r="KUQ14" s="119"/>
      <c r="KUR14" s="119"/>
      <c r="KUS14" s="119"/>
      <c r="KUT14" s="119"/>
      <c r="KUU14" s="119"/>
      <c r="KUV14" s="119"/>
      <c r="KUW14" s="119"/>
      <c r="KUX14" s="119"/>
      <c r="KUY14" s="119"/>
      <c r="KUZ14" s="119"/>
      <c r="KVA14" s="119"/>
      <c r="KVB14" s="119"/>
      <c r="KVC14" s="120"/>
      <c r="KVD14" s="120"/>
      <c r="KVE14" s="120"/>
      <c r="KVF14" s="59"/>
      <c r="KVG14" s="119"/>
      <c r="KVH14" s="119"/>
      <c r="KVI14" s="119"/>
      <c r="KVJ14" s="119"/>
      <c r="KVK14" s="119"/>
      <c r="KVL14" s="119"/>
      <c r="KVM14" s="119"/>
      <c r="KVN14" s="119"/>
      <c r="KVO14" s="119"/>
      <c r="KVP14" s="119"/>
      <c r="KVQ14" s="119"/>
      <c r="KVR14" s="119"/>
      <c r="KVS14" s="120"/>
      <c r="KVT14" s="120"/>
      <c r="KVU14" s="120"/>
      <c r="KVV14" s="59"/>
      <c r="KVW14" s="119"/>
      <c r="KVX14" s="119"/>
      <c r="KVY14" s="119"/>
      <c r="KVZ14" s="119"/>
      <c r="KWA14" s="119"/>
      <c r="KWB14" s="119"/>
      <c r="KWC14" s="119"/>
      <c r="KWD14" s="119"/>
      <c r="KWE14" s="119"/>
      <c r="KWF14" s="119"/>
      <c r="KWG14" s="119"/>
      <c r="KWH14" s="119"/>
      <c r="KWI14" s="120"/>
      <c r="KWJ14" s="120"/>
      <c r="KWK14" s="120"/>
      <c r="KWL14" s="59"/>
      <c r="KWM14" s="119"/>
      <c r="KWN14" s="119"/>
      <c r="KWO14" s="119"/>
      <c r="KWP14" s="119"/>
      <c r="KWQ14" s="119"/>
      <c r="KWR14" s="119"/>
      <c r="KWS14" s="119"/>
      <c r="KWT14" s="119"/>
      <c r="KWU14" s="119"/>
      <c r="KWV14" s="119"/>
      <c r="KWW14" s="119"/>
      <c r="KWX14" s="119"/>
      <c r="KWY14" s="120"/>
      <c r="KWZ14" s="120"/>
      <c r="KXA14" s="120"/>
      <c r="KXB14" s="59"/>
      <c r="KXC14" s="119"/>
      <c r="KXD14" s="119"/>
      <c r="KXE14" s="119"/>
      <c r="KXF14" s="119"/>
      <c r="KXG14" s="119"/>
      <c r="KXH14" s="119"/>
      <c r="KXI14" s="119"/>
      <c r="KXJ14" s="119"/>
      <c r="KXK14" s="119"/>
      <c r="KXL14" s="119"/>
      <c r="KXM14" s="119"/>
      <c r="KXN14" s="119"/>
      <c r="KXO14" s="120"/>
      <c r="KXP14" s="120"/>
      <c r="KXQ14" s="120"/>
      <c r="KXR14" s="59"/>
      <c r="KXS14" s="119"/>
      <c r="KXT14" s="119"/>
      <c r="KXU14" s="119"/>
      <c r="KXV14" s="119"/>
      <c r="KXW14" s="119"/>
      <c r="KXX14" s="119"/>
      <c r="KXY14" s="119"/>
      <c r="KXZ14" s="119"/>
      <c r="KYA14" s="119"/>
      <c r="KYB14" s="119"/>
      <c r="KYC14" s="119"/>
      <c r="KYD14" s="119"/>
      <c r="KYE14" s="120"/>
      <c r="KYF14" s="120"/>
      <c r="KYG14" s="120"/>
      <c r="KYH14" s="59"/>
      <c r="KYI14" s="119"/>
      <c r="KYJ14" s="119"/>
      <c r="KYK14" s="119"/>
      <c r="KYL14" s="119"/>
      <c r="KYM14" s="119"/>
      <c r="KYN14" s="119"/>
      <c r="KYO14" s="119"/>
      <c r="KYP14" s="119"/>
      <c r="KYQ14" s="119"/>
      <c r="KYR14" s="119"/>
      <c r="KYS14" s="119"/>
      <c r="KYT14" s="119"/>
      <c r="KYU14" s="120"/>
      <c r="KYV14" s="120"/>
      <c r="KYW14" s="120"/>
      <c r="KYX14" s="59"/>
      <c r="KYY14" s="119"/>
      <c r="KYZ14" s="119"/>
      <c r="KZA14" s="119"/>
      <c r="KZB14" s="119"/>
      <c r="KZC14" s="119"/>
      <c r="KZD14" s="119"/>
      <c r="KZE14" s="119"/>
      <c r="KZF14" s="119"/>
      <c r="KZG14" s="119"/>
      <c r="KZH14" s="119"/>
      <c r="KZI14" s="119"/>
      <c r="KZJ14" s="119"/>
      <c r="KZK14" s="120"/>
      <c r="KZL14" s="120"/>
      <c r="KZM14" s="120"/>
      <c r="KZN14" s="59"/>
      <c r="KZO14" s="119"/>
      <c r="KZP14" s="119"/>
      <c r="KZQ14" s="119"/>
      <c r="KZR14" s="119"/>
      <c r="KZS14" s="119"/>
      <c r="KZT14" s="119"/>
      <c r="KZU14" s="119"/>
      <c r="KZV14" s="119"/>
      <c r="KZW14" s="119"/>
      <c r="KZX14" s="119"/>
      <c r="KZY14" s="119"/>
      <c r="KZZ14" s="119"/>
      <c r="LAA14" s="120"/>
      <c r="LAB14" s="120"/>
      <c r="LAC14" s="120"/>
      <c r="LAD14" s="59"/>
      <c r="LAE14" s="119"/>
      <c r="LAF14" s="119"/>
      <c r="LAG14" s="119"/>
      <c r="LAH14" s="119"/>
      <c r="LAI14" s="119"/>
      <c r="LAJ14" s="119"/>
      <c r="LAK14" s="119"/>
      <c r="LAL14" s="119"/>
      <c r="LAM14" s="119"/>
      <c r="LAN14" s="119"/>
      <c r="LAO14" s="119"/>
      <c r="LAP14" s="119"/>
      <c r="LAQ14" s="120"/>
      <c r="LAR14" s="120"/>
      <c r="LAS14" s="120"/>
      <c r="LAT14" s="59"/>
      <c r="LAU14" s="119"/>
      <c r="LAV14" s="119"/>
      <c r="LAW14" s="119"/>
      <c r="LAX14" s="119"/>
      <c r="LAY14" s="119"/>
      <c r="LAZ14" s="119"/>
      <c r="LBA14" s="119"/>
      <c r="LBB14" s="119"/>
      <c r="LBC14" s="119"/>
      <c r="LBD14" s="119"/>
      <c r="LBE14" s="119"/>
      <c r="LBF14" s="119"/>
      <c r="LBG14" s="120"/>
      <c r="LBH14" s="120"/>
      <c r="LBI14" s="120"/>
      <c r="LBJ14" s="59"/>
      <c r="LBK14" s="119"/>
      <c r="LBL14" s="119"/>
      <c r="LBM14" s="119"/>
      <c r="LBN14" s="119"/>
      <c r="LBO14" s="119"/>
      <c r="LBP14" s="119"/>
      <c r="LBQ14" s="119"/>
      <c r="LBR14" s="119"/>
      <c r="LBS14" s="119"/>
      <c r="LBT14" s="119"/>
      <c r="LBU14" s="119"/>
      <c r="LBV14" s="119"/>
      <c r="LBW14" s="120"/>
      <c r="LBX14" s="120"/>
      <c r="LBY14" s="120"/>
      <c r="LBZ14" s="59"/>
      <c r="LCA14" s="119"/>
      <c r="LCB14" s="119"/>
      <c r="LCC14" s="119"/>
      <c r="LCD14" s="119"/>
      <c r="LCE14" s="119"/>
      <c r="LCF14" s="119"/>
      <c r="LCG14" s="119"/>
      <c r="LCH14" s="119"/>
      <c r="LCI14" s="119"/>
      <c r="LCJ14" s="119"/>
      <c r="LCK14" s="119"/>
      <c r="LCL14" s="119"/>
      <c r="LCM14" s="120"/>
      <c r="LCN14" s="120"/>
      <c r="LCO14" s="120"/>
      <c r="LCP14" s="59"/>
      <c r="LCQ14" s="119"/>
      <c r="LCR14" s="119"/>
      <c r="LCS14" s="119"/>
      <c r="LCT14" s="119"/>
      <c r="LCU14" s="119"/>
      <c r="LCV14" s="119"/>
      <c r="LCW14" s="119"/>
      <c r="LCX14" s="119"/>
      <c r="LCY14" s="119"/>
      <c r="LCZ14" s="119"/>
      <c r="LDA14" s="119"/>
      <c r="LDB14" s="119"/>
      <c r="LDC14" s="120"/>
      <c r="LDD14" s="120"/>
      <c r="LDE14" s="120"/>
      <c r="LDF14" s="59"/>
      <c r="LDG14" s="119"/>
      <c r="LDH14" s="119"/>
      <c r="LDI14" s="119"/>
      <c r="LDJ14" s="119"/>
      <c r="LDK14" s="119"/>
      <c r="LDL14" s="119"/>
      <c r="LDM14" s="119"/>
      <c r="LDN14" s="119"/>
      <c r="LDO14" s="119"/>
      <c r="LDP14" s="119"/>
      <c r="LDQ14" s="119"/>
      <c r="LDR14" s="119"/>
      <c r="LDS14" s="120"/>
      <c r="LDT14" s="120"/>
      <c r="LDU14" s="120"/>
      <c r="LDV14" s="59"/>
      <c r="LDW14" s="119"/>
      <c r="LDX14" s="119"/>
      <c r="LDY14" s="119"/>
      <c r="LDZ14" s="119"/>
      <c r="LEA14" s="119"/>
      <c r="LEB14" s="119"/>
      <c r="LEC14" s="119"/>
      <c r="LED14" s="119"/>
      <c r="LEE14" s="119"/>
      <c r="LEF14" s="119"/>
      <c r="LEG14" s="119"/>
      <c r="LEH14" s="119"/>
      <c r="LEI14" s="120"/>
      <c r="LEJ14" s="120"/>
      <c r="LEK14" s="120"/>
      <c r="LEL14" s="59"/>
      <c r="LEM14" s="119"/>
      <c r="LEN14" s="119"/>
      <c r="LEO14" s="119"/>
      <c r="LEP14" s="119"/>
      <c r="LEQ14" s="119"/>
      <c r="LER14" s="119"/>
      <c r="LES14" s="119"/>
      <c r="LET14" s="119"/>
      <c r="LEU14" s="119"/>
      <c r="LEV14" s="119"/>
      <c r="LEW14" s="119"/>
      <c r="LEX14" s="119"/>
      <c r="LEY14" s="120"/>
      <c r="LEZ14" s="120"/>
      <c r="LFA14" s="120"/>
      <c r="LFB14" s="59"/>
      <c r="LFC14" s="119"/>
      <c r="LFD14" s="119"/>
      <c r="LFE14" s="119"/>
      <c r="LFF14" s="119"/>
      <c r="LFG14" s="119"/>
      <c r="LFH14" s="119"/>
      <c r="LFI14" s="119"/>
      <c r="LFJ14" s="119"/>
      <c r="LFK14" s="119"/>
      <c r="LFL14" s="119"/>
      <c r="LFM14" s="119"/>
      <c r="LFN14" s="119"/>
      <c r="LFO14" s="120"/>
      <c r="LFP14" s="120"/>
      <c r="LFQ14" s="120"/>
      <c r="LFR14" s="59"/>
      <c r="LFS14" s="119"/>
      <c r="LFT14" s="119"/>
      <c r="LFU14" s="119"/>
      <c r="LFV14" s="119"/>
      <c r="LFW14" s="119"/>
      <c r="LFX14" s="119"/>
      <c r="LFY14" s="119"/>
      <c r="LFZ14" s="119"/>
      <c r="LGA14" s="119"/>
      <c r="LGB14" s="119"/>
      <c r="LGC14" s="119"/>
      <c r="LGD14" s="119"/>
      <c r="LGE14" s="120"/>
      <c r="LGF14" s="120"/>
      <c r="LGG14" s="120"/>
      <c r="LGH14" s="59"/>
      <c r="LGI14" s="119"/>
      <c r="LGJ14" s="119"/>
      <c r="LGK14" s="119"/>
      <c r="LGL14" s="119"/>
      <c r="LGM14" s="119"/>
      <c r="LGN14" s="119"/>
      <c r="LGO14" s="119"/>
      <c r="LGP14" s="119"/>
      <c r="LGQ14" s="119"/>
      <c r="LGR14" s="119"/>
      <c r="LGS14" s="119"/>
      <c r="LGT14" s="119"/>
      <c r="LGU14" s="120"/>
      <c r="LGV14" s="120"/>
      <c r="LGW14" s="120"/>
      <c r="LGX14" s="59"/>
      <c r="LGY14" s="119"/>
      <c r="LGZ14" s="119"/>
      <c r="LHA14" s="119"/>
      <c r="LHB14" s="119"/>
      <c r="LHC14" s="119"/>
      <c r="LHD14" s="119"/>
      <c r="LHE14" s="119"/>
      <c r="LHF14" s="119"/>
      <c r="LHG14" s="119"/>
      <c r="LHH14" s="119"/>
      <c r="LHI14" s="119"/>
      <c r="LHJ14" s="119"/>
      <c r="LHK14" s="120"/>
      <c r="LHL14" s="120"/>
      <c r="LHM14" s="120"/>
      <c r="LHN14" s="59"/>
      <c r="LHO14" s="119"/>
      <c r="LHP14" s="119"/>
      <c r="LHQ14" s="119"/>
      <c r="LHR14" s="119"/>
      <c r="LHS14" s="119"/>
      <c r="LHT14" s="119"/>
      <c r="LHU14" s="119"/>
      <c r="LHV14" s="119"/>
      <c r="LHW14" s="119"/>
      <c r="LHX14" s="119"/>
      <c r="LHY14" s="119"/>
      <c r="LHZ14" s="119"/>
      <c r="LIA14" s="120"/>
      <c r="LIB14" s="120"/>
      <c r="LIC14" s="120"/>
      <c r="LID14" s="59"/>
      <c r="LIE14" s="119"/>
      <c r="LIF14" s="119"/>
      <c r="LIG14" s="119"/>
      <c r="LIH14" s="119"/>
      <c r="LII14" s="119"/>
      <c r="LIJ14" s="119"/>
      <c r="LIK14" s="119"/>
      <c r="LIL14" s="119"/>
      <c r="LIM14" s="119"/>
      <c r="LIN14" s="119"/>
      <c r="LIO14" s="119"/>
      <c r="LIP14" s="119"/>
      <c r="LIQ14" s="120"/>
      <c r="LIR14" s="120"/>
      <c r="LIS14" s="120"/>
      <c r="LIT14" s="59"/>
      <c r="LIU14" s="119"/>
      <c r="LIV14" s="119"/>
      <c r="LIW14" s="119"/>
      <c r="LIX14" s="119"/>
      <c r="LIY14" s="119"/>
      <c r="LIZ14" s="119"/>
      <c r="LJA14" s="119"/>
      <c r="LJB14" s="119"/>
      <c r="LJC14" s="119"/>
      <c r="LJD14" s="119"/>
      <c r="LJE14" s="119"/>
      <c r="LJF14" s="119"/>
      <c r="LJG14" s="120"/>
      <c r="LJH14" s="120"/>
      <c r="LJI14" s="120"/>
      <c r="LJJ14" s="59"/>
      <c r="LJK14" s="119"/>
      <c r="LJL14" s="119"/>
      <c r="LJM14" s="119"/>
      <c r="LJN14" s="119"/>
      <c r="LJO14" s="119"/>
      <c r="LJP14" s="119"/>
      <c r="LJQ14" s="119"/>
      <c r="LJR14" s="119"/>
      <c r="LJS14" s="119"/>
      <c r="LJT14" s="119"/>
      <c r="LJU14" s="119"/>
      <c r="LJV14" s="119"/>
      <c r="LJW14" s="120"/>
      <c r="LJX14" s="120"/>
      <c r="LJY14" s="120"/>
      <c r="LJZ14" s="59"/>
      <c r="LKA14" s="119"/>
      <c r="LKB14" s="119"/>
      <c r="LKC14" s="119"/>
      <c r="LKD14" s="119"/>
      <c r="LKE14" s="119"/>
      <c r="LKF14" s="119"/>
      <c r="LKG14" s="119"/>
      <c r="LKH14" s="119"/>
      <c r="LKI14" s="119"/>
      <c r="LKJ14" s="119"/>
      <c r="LKK14" s="119"/>
      <c r="LKL14" s="119"/>
      <c r="LKM14" s="120"/>
      <c r="LKN14" s="120"/>
      <c r="LKO14" s="120"/>
      <c r="LKP14" s="59"/>
      <c r="LKQ14" s="119"/>
      <c r="LKR14" s="119"/>
      <c r="LKS14" s="119"/>
      <c r="LKT14" s="119"/>
      <c r="LKU14" s="119"/>
      <c r="LKV14" s="119"/>
      <c r="LKW14" s="119"/>
      <c r="LKX14" s="119"/>
      <c r="LKY14" s="119"/>
      <c r="LKZ14" s="119"/>
      <c r="LLA14" s="119"/>
      <c r="LLB14" s="119"/>
      <c r="LLC14" s="120"/>
      <c r="LLD14" s="120"/>
      <c r="LLE14" s="120"/>
      <c r="LLF14" s="59"/>
      <c r="LLG14" s="119"/>
      <c r="LLH14" s="119"/>
      <c r="LLI14" s="119"/>
      <c r="LLJ14" s="119"/>
      <c r="LLK14" s="119"/>
      <c r="LLL14" s="119"/>
      <c r="LLM14" s="119"/>
      <c r="LLN14" s="119"/>
      <c r="LLO14" s="119"/>
      <c r="LLP14" s="119"/>
      <c r="LLQ14" s="119"/>
      <c r="LLR14" s="119"/>
      <c r="LLS14" s="120"/>
      <c r="LLT14" s="120"/>
      <c r="LLU14" s="120"/>
      <c r="LLV14" s="59"/>
      <c r="LLW14" s="119"/>
      <c r="LLX14" s="119"/>
      <c r="LLY14" s="119"/>
      <c r="LLZ14" s="119"/>
      <c r="LMA14" s="119"/>
      <c r="LMB14" s="119"/>
      <c r="LMC14" s="119"/>
      <c r="LMD14" s="119"/>
      <c r="LME14" s="119"/>
      <c r="LMF14" s="119"/>
      <c r="LMG14" s="119"/>
      <c r="LMH14" s="119"/>
      <c r="LMI14" s="120"/>
      <c r="LMJ14" s="120"/>
      <c r="LMK14" s="120"/>
      <c r="LML14" s="59"/>
      <c r="LMM14" s="119"/>
      <c r="LMN14" s="119"/>
      <c r="LMO14" s="119"/>
      <c r="LMP14" s="119"/>
      <c r="LMQ14" s="119"/>
      <c r="LMR14" s="119"/>
      <c r="LMS14" s="119"/>
      <c r="LMT14" s="119"/>
      <c r="LMU14" s="119"/>
      <c r="LMV14" s="119"/>
      <c r="LMW14" s="119"/>
      <c r="LMX14" s="119"/>
      <c r="LMY14" s="120"/>
      <c r="LMZ14" s="120"/>
      <c r="LNA14" s="120"/>
      <c r="LNB14" s="59"/>
      <c r="LNC14" s="119"/>
      <c r="LND14" s="119"/>
      <c r="LNE14" s="119"/>
      <c r="LNF14" s="119"/>
      <c r="LNG14" s="119"/>
      <c r="LNH14" s="119"/>
      <c r="LNI14" s="119"/>
      <c r="LNJ14" s="119"/>
      <c r="LNK14" s="119"/>
      <c r="LNL14" s="119"/>
      <c r="LNM14" s="119"/>
      <c r="LNN14" s="119"/>
      <c r="LNO14" s="120"/>
      <c r="LNP14" s="120"/>
      <c r="LNQ14" s="120"/>
      <c r="LNR14" s="59"/>
      <c r="LNS14" s="119"/>
      <c r="LNT14" s="119"/>
      <c r="LNU14" s="119"/>
      <c r="LNV14" s="119"/>
      <c r="LNW14" s="119"/>
      <c r="LNX14" s="119"/>
      <c r="LNY14" s="119"/>
      <c r="LNZ14" s="119"/>
      <c r="LOA14" s="119"/>
      <c r="LOB14" s="119"/>
      <c r="LOC14" s="119"/>
      <c r="LOD14" s="119"/>
      <c r="LOE14" s="120"/>
      <c r="LOF14" s="120"/>
      <c r="LOG14" s="120"/>
      <c r="LOH14" s="59"/>
      <c r="LOI14" s="119"/>
      <c r="LOJ14" s="119"/>
      <c r="LOK14" s="119"/>
      <c r="LOL14" s="119"/>
      <c r="LOM14" s="119"/>
      <c r="LON14" s="119"/>
      <c r="LOO14" s="119"/>
      <c r="LOP14" s="119"/>
      <c r="LOQ14" s="119"/>
      <c r="LOR14" s="119"/>
      <c r="LOS14" s="119"/>
      <c r="LOT14" s="119"/>
      <c r="LOU14" s="120"/>
      <c r="LOV14" s="120"/>
      <c r="LOW14" s="120"/>
      <c r="LOX14" s="59"/>
      <c r="LOY14" s="119"/>
      <c r="LOZ14" s="119"/>
      <c r="LPA14" s="119"/>
      <c r="LPB14" s="119"/>
      <c r="LPC14" s="119"/>
      <c r="LPD14" s="119"/>
      <c r="LPE14" s="119"/>
      <c r="LPF14" s="119"/>
      <c r="LPG14" s="119"/>
      <c r="LPH14" s="119"/>
      <c r="LPI14" s="119"/>
      <c r="LPJ14" s="119"/>
      <c r="LPK14" s="120"/>
      <c r="LPL14" s="120"/>
      <c r="LPM14" s="120"/>
      <c r="LPN14" s="59"/>
      <c r="LPO14" s="119"/>
      <c r="LPP14" s="119"/>
      <c r="LPQ14" s="119"/>
      <c r="LPR14" s="119"/>
      <c r="LPS14" s="119"/>
      <c r="LPT14" s="119"/>
      <c r="LPU14" s="119"/>
      <c r="LPV14" s="119"/>
      <c r="LPW14" s="119"/>
      <c r="LPX14" s="119"/>
      <c r="LPY14" s="119"/>
      <c r="LPZ14" s="119"/>
      <c r="LQA14" s="120"/>
      <c r="LQB14" s="120"/>
      <c r="LQC14" s="120"/>
      <c r="LQD14" s="59"/>
      <c r="LQE14" s="119"/>
      <c r="LQF14" s="119"/>
      <c r="LQG14" s="119"/>
      <c r="LQH14" s="119"/>
      <c r="LQI14" s="119"/>
      <c r="LQJ14" s="119"/>
      <c r="LQK14" s="119"/>
      <c r="LQL14" s="119"/>
      <c r="LQM14" s="119"/>
      <c r="LQN14" s="119"/>
      <c r="LQO14" s="119"/>
      <c r="LQP14" s="119"/>
      <c r="LQQ14" s="120"/>
      <c r="LQR14" s="120"/>
      <c r="LQS14" s="120"/>
      <c r="LQT14" s="59"/>
      <c r="LQU14" s="119"/>
      <c r="LQV14" s="119"/>
      <c r="LQW14" s="119"/>
      <c r="LQX14" s="119"/>
      <c r="LQY14" s="119"/>
      <c r="LQZ14" s="119"/>
      <c r="LRA14" s="119"/>
      <c r="LRB14" s="119"/>
      <c r="LRC14" s="119"/>
      <c r="LRD14" s="119"/>
      <c r="LRE14" s="119"/>
      <c r="LRF14" s="119"/>
      <c r="LRG14" s="120"/>
      <c r="LRH14" s="120"/>
      <c r="LRI14" s="120"/>
      <c r="LRJ14" s="59"/>
      <c r="LRK14" s="119"/>
      <c r="LRL14" s="119"/>
      <c r="LRM14" s="119"/>
      <c r="LRN14" s="119"/>
      <c r="LRO14" s="119"/>
      <c r="LRP14" s="119"/>
      <c r="LRQ14" s="119"/>
      <c r="LRR14" s="119"/>
      <c r="LRS14" s="119"/>
      <c r="LRT14" s="119"/>
      <c r="LRU14" s="119"/>
      <c r="LRV14" s="119"/>
      <c r="LRW14" s="120"/>
      <c r="LRX14" s="120"/>
      <c r="LRY14" s="120"/>
      <c r="LRZ14" s="59"/>
      <c r="LSA14" s="119"/>
      <c r="LSB14" s="119"/>
      <c r="LSC14" s="119"/>
      <c r="LSD14" s="119"/>
      <c r="LSE14" s="119"/>
      <c r="LSF14" s="119"/>
      <c r="LSG14" s="119"/>
      <c r="LSH14" s="119"/>
      <c r="LSI14" s="119"/>
      <c r="LSJ14" s="119"/>
      <c r="LSK14" s="119"/>
      <c r="LSL14" s="119"/>
      <c r="LSM14" s="120"/>
      <c r="LSN14" s="120"/>
      <c r="LSO14" s="120"/>
      <c r="LSP14" s="59"/>
      <c r="LSQ14" s="119"/>
      <c r="LSR14" s="119"/>
      <c r="LSS14" s="119"/>
      <c r="LST14" s="119"/>
      <c r="LSU14" s="119"/>
      <c r="LSV14" s="119"/>
      <c r="LSW14" s="119"/>
      <c r="LSX14" s="119"/>
      <c r="LSY14" s="119"/>
      <c r="LSZ14" s="119"/>
      <c r="LTA14" s="119"/>
      <c r="LTB14" s="119"/>
      <c r="LTC14" s="120"/>
      <c r="LTD14" s="120"/>
      <c r="LTE14" s="120"/>
      <c r="LTF14" s="59"/>
      <c r="LTG14" s="119"/>
      <c r="LTH14" s="119"/>
      <c r="LTI14" s="119"/>
      <c r="LTJ14" s="119"/>
      <c r="LTK14" s="119"/>
      <c r="LTL14" s="119"/>
      <c r="LTM14" s="119"/>
      <c r="LTN14" s="119"/>
      <c r="LTO14" s="119"/>
      <c r="LTP14" s="119"/>
      <c r="LTQ14" s="119"/>
      <c r="LTR14" s="119"/>
      <c r="LTS14" s="120"/>
      <c r="LTT14" s="120"/>
      <c r="LTU14" s="120"/>
      <c r="LTV14" s="59"/>
      <c r="LTW14" s="119"/>
      <c r="LTX14" s="119"/>
      <c r="LTY14" s="119"/>
      <c r="LTZ14" s="119"/>
      <c r="LUA14" s="119"/>
      <c r="LUB14" s="119"/>
      <c r="LUC14" s="119"/>
      <c r="LUD14" s="119"/>
      <c r="LUE14" s="119"/>
      <c r="LUF14" s="119"/>
      <c r="LUG14" s="119"/>
      <c r="LUH14" s="119"/>
      <c r="LUI14" s="120"/>
      <c r="LUJ14" s="120"/>
      <c r="LUK14" s="120"/>
      <c r="LUL14" s="59"/>
      <c r="LUM14" s="119"/>
      <c r="LUN14" s="119"/>
      <c r="LUO14" s="119"/>
      <c r="LUP14" s="119"/>
      <c r="LUQ14" s="119"/>
      <c r="LUR14" s="119"/>
      <c r="LUS14" s="119"/>
      <c r="LUT14" s="119"/>
      <c r="LUU14" s="119"/>
      <c r="LUV14" s="119"/>
      <c r="LUW14" s="119"/>
      <c r="LUX14" s="119"/>
      <c r="LUY14" s="120"/>
      <c r="LUZ14" s="120"/>
      <c r="LVA14" s="120"/>
      <c r="LVB14" s="59"/>
      <c r="LVC14" s="119"/>
      <c r="LVD14" s="119"/>
      <c r="LVE14" s="119"/>
      <c r="LVF14" s="119"/>
      <c r="LVG14" s="119"/>
      <c r="LVH14" s="119"/>
      <c r="LVI14" s="119"/>
      <c r="LVJ14" s="119"/>
      <c r="LVK14" s="119"/>
      <c r="LVL14" s="119"/>
      <c r="LVM14" s="119"/>
      <c r="LVN14" s="119"/>
      <c r="LVO14" s="120"/>
      <c r="LVP14" s="120"/>
      <c r="LVQ14" s="120"/>
      <c r="LVR14" s="59"/>
      <c r="LVS14" s="119"/>
      <c r="LVT14" s="119"/>
      <c r="LVU14" s="119"/>
      <c r="LVV14" s="119"/>
      <c r="LVW14" s="119"/>
      <c r="LVX14" s="119"/>
      <c r="LVY14" s="119"/>
      <c r="LVZ14" s="119"/>
      <c r="LWA14" s="119"/>
      <c r="LWB14" s="119"/>
      <c r="LWC14" s="119"/>
      <c r="LWD14" s="119"/>
      <c r="LWE14" s="120"/>
      <c r="LWF14" s="120"/>
      <c r="LWG14" s="120"/>
      <c r="LWH14" s="59"/>
      <c r="LWI14" s="119"/>
      <c r="LWJ14" s="119"/>
      <c r="LWK14" s="119"/>
      <c r="LWL14" s="119"/>
      <c r="LWM14" s="119"/>
      <c r="LWN14" s="119"/>
      <c r="LWO14" s="119"/>
      <c r="LWP14" s="119"/>
      <c r="LWQ14" s="119"/>
      <c r="LWR14" s="119"/>
      <c r="LWS14" s="119"/>
      <c r="LWT14" s="119"/>
      <c r="LWU14" s="120"/>
      <c r="LWV14" s="120"/>
      <c r="LWW14" s="120"/>
      <c r="LWX14" s="59"/>
      <c r="LWY14" s="119"/>
      <c r="LWZ14" s="119"/>
      <c r="LXA14" s="119"/>
      <c r="LXB14" s="119"/>
      <c r="LXC14" s="119"/>
      <c r="LXD14" s="119"/>
      <c r="LXE14" s="119"/>
      <c r="LXF14" s="119"/>
      <c r="LXG14" s="119"/>
      <c r="LXH14" s="119"/>
      <c r="LXI14" s="119"/>
      <c r="LXJ14" s="119"/>
      <c r="LXK14" s="120"/>
      <c r="LXL14" s="120"/>
      <c r="LXM14" s="120"/>
      <c r="LXN14" s="59"/>
      <c r="LXO14" s="119"/>
      <c r="LXP14" s="119"/>
      <c r="LXQ14" s="119"/>
      <c r="LXR14" s="119"/>
      <c r="LXS14" s="119"/>
      <c r="LXT14" s="119"/>
      <c r="LXU14" s="119"/>
      <c r="LXV14" s="119"/>
      <c r="LXW14" s="119"/>
      <c r="LXX14" s="119"/>
      <c r="LXY14" s="119"/>
      <c r="LXZ14" s="119"/>
      <c r="LYA14" s="120"/>
      <c r="LYB14" s="120"/>
      <c r="LYC14" s="120"/>
      <c r="LYD14" s="59"/>
      <c r="LYE14" s="119"/>
      <c r="LYF14" s="119"/>
      <c r="LYG14" s="119"/>
      <c r="LYH14" s="119"/>
      <c r="LYI14" s="119"/>
      <c r="LYJ14" s="119"/>
      <c r="LYK14" s="119"/>
      <c r="LYL14" s="119"/>
      <c r="LYM14" s="119"/>
      <c r="LYN14" s="119"/>
      <c r="LYO14" s="119"/>
      <c r="LYP14" s="119"/>
      <c r="LYQ14" s="120"/>
      <c r="LYR14" s="120"/>
      <c r="LYS14" s="120"/>
      <c r="LYT14" s="59"/>
      <c r="LYU14" s="119"/>
      <c r="LYV14" s="119"/>
      <c r="LYW14" s="119"/>
      <c r="LYX14" s="119"/>
      <c r="LYY14" s="119"/>
      <c r="LYZ14" s="119"/>
      <c r="LZA14" s="119"/>
      <c r="LZB14" s="119"/>
      <c r="LZC14" s="119"/>
      <c r="LZD14" s="119"/>
      <c r="LZE14" s="119"/>
      <c r="LZF14" s="119"/>
      <c r="LZG14" s="120"/>
      <c r="LZH14" s="120"/>
      <c r="LZI14" s="120"/>
      <c r="LZJ14" s="59"/>
      <c r="LZK14" s="119"/>
      <c r="LZL14" s="119"/>
      <c r="LZM14" s="119"/>
      <c r="LZN14" s="119"/>
      <c r="LZO14" s="119"/>
      <c r="LZP14" s="119"/>
      <c r="LZQ14" s="119"/>
      <c r="LZR14" s="119"/>
      <c r="LZS14" s="119"/>
      <c r="LZT14" s="119"/>
      <c r="LZU14" s="119"/>
      <c r="LZV14" s="119"/>
      <c r="LZW14" s="120"/>
      <c r="LZX14" s="120"/>
      <c r="LZY14" s="120"/>
      <c r="LZZ14" s="59"/>
      <c r="MAA14" s="119"/>
      <c r="MAB14" s="119"/>
      <c r="MAC14" s="119"/>
      <c r="MAD14" s="119"/>
      <c r="MAE14" s="119"/>
      <c r="MAF14" s="119"/>
      <c r="MAG14" s="119"/>
      <c r="MAH14" s="119"/>
      <c r="MAI14" s="119"/>
      <c r="MAJ14" s="119"/>
      <c r="MAK14" s="119"/>
      <c r="MAL14" s="119"/>
      <c r="MAM14" s="120"/>
      <c r="MAN14" s="120"/>
      <c r="MAO14" s="120"/>
      <c r="MAP14" s="59"/>
      <c r="MAQ14" s="119"/>
      <c r="MAR14" s="119"/>
      <c r="MAS14" s="119"/>
      <c r="MAT14" s="119"/>
      <c r="MAU14" s="119"/>
      <c r="MAV14" s="119"/>
      <c r="MAW14" s="119"/>
      <c r="MAX14" s="119"/>
      <c r="MAY14" s="119"/>
      <c r="MAZ14" s="119"/>
      <c r="MBA14" s="119"/>
      <c r="MBB14" s="119"/>
      <c r="MBC14" s="120"/>
      <c r="MBD14" s="120"/>
      <c r="MBE14" s="120"/>
      <c r="MBF14" s="59"/>
      <c r="MBG14" s="119"/>
      <c r="MBH14" s="119"/>
      <c r="MBI14" s="119"/>
      <c r="MBJ14" s="119"/>
      <c r="MBK14" s="119"/>
      <c r="MBL14" s="119"/>
      <c r="MBM14" s="119"/>
      <c r="MBN14" s="119"/>
      <c r="MBO14" s="119"/>
      <c r="MBP14" s="119"/>
      <c r="MBQ14" s="119"/>
      <c r="MBR14" s="119"/>
      <c r="MBS14" s="120"/>
      <c r="MBT14" s="120"/>
      <c r="MBU14" s="120"/>
      <c r="MBV14" s="59"/>
      <c r="MBW14" s="119"/>
      <c r="MBX14" s="119"/>
      <c r="MBY14" s="119"/>
      <c r="MBZ14" s="119"/>
      <c r="MCA14" s="119"/>
      <c r="MCB14" s="119"/>
      <c r="MCC14" s="119"/>
      <c r="MCD14" s="119"/>
      <c r="MCE14" s="119"/>
      <c r="MCF14" s="119"/>
      <c r="MCG14" s="119"/>
      <c r="MCH14" s="119"/>
      <c r="MCI14" s="120"/>
      <c r="MCJ14" s="120"/>
      <c r="MCK14" s="120"/>
      <c r="MCL14" s="59"/>
      <c r="MCM14" s="119"/>
      <c r="MCN14" s="119"/>
      <c r="MCO14" s="119"/>
      <c r="MCP14" s="119"/>
      <c r="MCQ14" s="119"/>
      <c r="MCR14" s="119"/>
      <c r="MCS14" s="119"/>
      <c r="MCT14" s="119"/>
      <c r="MCU14" s="119"/>
      <c r="MCV14" s="119"/>
      <c r="MCW14" s="119"/>
      <c r="MCX14" s="119"/>
      <c r="MCY14" s="120"/>
      <c r="MCZ14" s="120"/>
      <c r="MDA14" s="120"/>
      <c r="MDB14" s="59"/>
      <c r="MDC14" s="119"/>
      <c r="MDD14" s="119"/>
      <c r="MDE14" s="119"/>
      <c r="MDF14" s="119"/>
      <c r="MDG14" s="119"/>
      <c r="MDH14" s="119"/>
      <c r="MDI14" s="119"/>
      <c r="MDJ14" s="119"/>
      <c r="MDK14" s="119"/>
      <c r="MDL14" s="119"/>
      <c r="MDM14" s="119"/>
      <c r="MDN14" s="119"/>
      <c r="MDO14" s="120"/>
      <c r="MDP14" s="120"/>
      <c r="MDQ14" s="120"/>
      <c r="MDR14" s="59"/>
      <c r="MDS14" s="119"/>
      <c r="MDT14" s="119"/>
      <c r="MDU14" s="119"/>
      <c r="MDV14" s="119"/>
      <c r="MDW14" s="119"/>
      <c r="MDX14" s="119"/>
      <c r="MDY14" s="119"/>
      <c r="MDZ14" s="119"/>
      <c r="MEA14" s="119"/>
      <c r="MEB14" s="119"/>
      <c r="MEC14" s="119"/>
      <c r="MED14" s="119"/>
      <c r="MEE14" s="120"/>
      <c r="MEF14" s="120"/>
      <c r="MEG14" s="120"/>
      <c r="MEH14" s="59"/>
      <c r="MEI14" s="119"/>
      <c r="MEJ14" s="119"/>
      <c r="MEK14" s="119"/>
      <c r="MEL14" s="119"/>
      <c r="MEM14" s="119"/>
      <c r="MEN14" s="119"/>
      <c r="MEO14" s="119"/>
      <c r="MEP14" s="119"/>
      <c r="MEQ14" s="119"/>
      <c r="MER14" s="119"/>
      <c r="MES14" s="119"/>
      <c r="MET14" s="119"/>
      <c r="MEU14" s="120"/>
      <c r="MEV14" s="120"/>
      <c r="MEW14" s="120"/>
      <c r="MEX14" s="59"/>
      <c r="MEY14" s="119"/>
      <c r="MEZ14" s="119"/>
      <c r="MFA14" s="119"/>
      <c r="MFB14" s="119"/>
      <c r="MFC14" s="119"/>
      <c r="MFD14" s="119"/>
      <c r="MFE14" s="119"/>
      <c r="MFF14" s="119"/>
      <c r="MFG14" s="119"/>
      <c r="MFH14" s="119"/>
      <c r="MFI14" s="119"/>
      <c r="MFJ14" s="119"/>
      <c r="MFK14" s="120"/>
      <c r="MFL14" s="120"/>
      <c r="MFM14" s="120"/>
      <c r="MFN14" s="59"/>
      <c r="MFO14" s="119"/>
      <c r="MFP14" s="119"/>
      <c r="MFQ14" s="119"/>
      <c r="MFR14" s="119"/>
      <c r="MFS14" s="119"/>
      <c r="MFT14" s="119"/>
      <c r="MFU14" s="119"/>
      <c r="MFV14" s="119"/>
      <c r="MFW14" s="119"/>
      <c r="MFX14" s="119"/>
      <c r="MFY14" s="119"/>
      <c r="MFZ14" s="119"/>
      <c r="MGA14" s="120"/>
      <c r="MGB14" s="120"/>
      <c r="MGC14" s="120"/>
      <c r="MGD14" s="59"/>
      <c r="MGE14" s="119"/>
      <c r="MGF14" s="119"/>
      <c r="MGG14" s="119"/>
      <c r="MGH14" s="119"/>
      <c r="MGI14" s="119"/>
      <c r="MGJ14" s="119"/>
      <c r="MGK14" s="119"/>
      <c r="MGL14" s="119"/>
      <c r="MGM14" s="119"/>
      <c r="MGN14" s="119"/>
      <c r="MGO14" s="119"/>
      <c r="MGP14" s="119"/>
      <c r="MGQ14" s="120"/>
      <c r="MGR14" s="120"/>
      <c r="MGS14" s="120"/>
      <c r="MGT14" s="59"/>
      <c r="MGU14" s="119"/>
      <c r="MGV14" s="119"/>
      <c r="MGW14" s="119"/>
      <c r="MGX14" s="119"/>
      <c r="MGY14" s="119"/>
      <c r="MGZ14" s="119"/>
      <c r="MHA14" s="119"/>
      <c r="MHB14" s="119"/>
      <c r="MHC14" s="119"/>
      <c r="MHD14" s="119"/>
      <c r="MHE14" s="119"/>
      <c r="MHF14" s="119"/>
      <c r="MHG14" s="120"/>
      <c r="MHH14" s="120"/>
      <c r="MHI14" s="120"/>
      <c r="MHJ14" s="59"/>
      <c r="MHK14" s="119"/>
      <c r="MHL14" s="119"/>
      <c r="MHM14" s="119"/>
      <c r="MHN14" s="119"/>
      <c r="MHO14" s="119"/>
      <c r="MHP14" s="119"/>
      <c r="MHQ14" s="119"/>
      <c r="MHR14" s="119"/>
      <c r="MHS14" s="119"/>
      <c r="MHT14" s="119"/>
      <c r="MHU14" s="119"/>
      <c r="MHV14" s="119"/>
      <c r="MHW14" s="120"/>
      <c r="MHX14" s="120"/>
      <c r="MHY14" s="120"/>
      <c r="MHZ14" s="59"/>
      <c r="MIA14" s="119"/>
      <c r="MIB14" s="119"/>
      <c r="MIC14" s="119"/>
      <c r="MID14" s="119"/>
      <c r="MIE14" s="119"/>
      <c r="MIF14" s="119"/>
      <c r="MIG14" s="119"/>
      <c r="MIH14" s="119"/>
      <c r="MII14" s="119"/>
      <c r="MIJ14" s="119"/>
      <c r="MIK14" s="119"/>
      <c r="MIL14" s="119"/>
      <c r="MIM14" s="120"/>
      <c r="MIN14" s="120"/>
      <c r="MIO14" s="120"/>
      <c r="MIP14" s="59"/>
      <c r="MIQ14" s="119"/>
      <c r="MIR14" s="119"/>
      <c r="MIS14" s="119"/>
      <c r="MIT14" s="119"/>
      <c r="MIU14" s="119"/>
      <c r="MIV14" s="119"/>
      <c r="MIW14" s="119"/>
      <c r="MIX14" s="119"/>
      <c r="MIY14" s="119"/>
      <c r="MIZ14" s="119"/>
      <c r="MJA14" s="119"/>
      <c r="MJB14" s="119"/>
      <c r="MJC14" s="120"/>
      <c r="MJD14" s="120"/>
      <c r="MJE14" s="120"/>
      <c r="MJF14" s="59"/>
      <c r="MJG14" s="119"/>
      <c r="MJH14" s="119"/>
      <c r="MJI14" s="119"/>
      <c r="MJJ14" s="119"/>
      <c r="MJK14" s="119"/>
      <c r="MJL14" s="119"/>
      <c r="MJM14" s="119"/>
      <c r="MJN14" s="119"/>
      <c r="MJO14" s="119"/>
      <c r="MJP14" s="119"/>
      <c r="MJQ14" s="119"/>
      <c r="MJR14" s="119"/>
      <c r="MJS14" s="120"/>
      <c r="MJT14" s="120"/>
      <c r="MJU14" s="120"/>
      <c r="MJV14" s="59"/>
      <c r="MJW14" s="119"/>
      <c r="MJX14" s="119"/>
      <c r="MJY14" s="119"/>
      <c r="MJZ14" s="119"/>
      <c r="MKA14" s="119"/>
      <c r="MKB14" s="119"/>
      <c r="MKC14" s="119"/>
      <c r="MKD14" s="119"/>
      <c r="MKE14" s="119"/>
      <c r="MKF14" s="119"/>
      <c r="MKG14" s="119"/>
      <c r="MKH14" s="119"/>
      <c r="MKI14" s="120"/>
      <c r="MKJ14" s="120"/>
      <c r="MKK14" s="120"/>
      <c r="MKL14" s="59"/>
      <c r="MKM14" s="119"/>
      <c r="MKN14" s="119"/>
      <c r="MKO14" s="119"/>
      <c r="MKP14" s="119"/>
      <c r="MKQ14" s="119"/>
      <c r="MKR14" s="119"/>
      <c r="MKS14" s="119"/>
      <c r="MKT14" s="119"/>
      <c r="MKU14" s="119"/>
      <c r="MKV14" s="119"/>
      <c r="MKW14" s="119"/>
      <c r="MKX14" s="119"/>
      <c r="MKY14" s="120"/>
      <c r="MKZ14" s="120"/>
      <c r="MLA14" s="120"/>
      <c r="MLB14" s="59"/>
      <c r="MLC14" s="119"/>
      <c r="MLD14" s="119"/>
      <c r="MLE14" s="119"/>
      <c r="MLF14" s="119"/>
      <c r="MLG14" s="119"/>
      <c r="MLH14" s="119"/>
      <c r="MLI14" s="119"/>
      <c r="MLJ14" s="119"/>
      <c r="MLK14" s="119"/>
      <c r="MLL14" s="119"/>
      <c r="MLM14" s="119"/>
      <c r="MLN14" s="119"/>
      <c r="MLO14" s="120"/>
      <c r="MLP14" s="120"/>
      <c r="MLQ14" s="120"/>
      <c r="MLR14" s="59"/>
      <c r="MLS14" s="119"/>
      <c r="MLT14" s="119"/>
      <c r="MLU14" s="119"/>
      <c r="MLV14" s="119"/>
      <c r="MLW14" s="119"/>
      <c r="MLX14" s="119"/>
      <c r="MLY14" s="119"/>
      <c r="MLZ14" s="119"/>
      <c r="MMA14" s="119"/>
      <c r="MMB14" s="119"/>
      <c r="MMC14" s="119"/>
      <c r="MMD14" s="119"/>
      <c r="MME14" s="120"/>
      <c r="MMF14" s="120"/>
      <c r="MMG14" s="120"/>
      <c r="MMH14" s="59"/>
      <c r="MMI14" s="119"/>
      <c r="MMJ14" s="119"/>
      <c r="MMK14" s="119"/>
      <c r="MML14" s="119"/>
      <c r="MMM14" s="119"/>
      <c r="MMN14" s="119"/>
      <c r="MMO14" s="119"/>
      <c r="MMP14" s="119"/>
      <c r="MMQ14" s="119"/>
      <c r="MMR14" s="119"/>
      <c r="MMS14" s="119"/>
      <c r="MMT14" s="119"/>
      <c r="MMU14" s="120"/>
      <c r="MMV14" s="120"/>
      <c r="MMW14" s="120"/>
      <c r="MMX14" s="59"/>
      <c r="MMY14" s="119"/>
      <c r="MMZ14" s="119"/>
      <c r="MNA14" s="119"/>
      <c r="MNB14" s="119"/>
      <c r="MNC14" s="119"/>
      <c r="MND14" s="119"/>
      <c r="MNE14" s="119"/>
      <c r="MNF14" s="119"/>
      <c r="MNG14" s="119"/>
      <c r="MNH14" s="119"/>
      <c r="MNI14" s="119"/>
      <c r="MNJ14" s="119"/>
      <c r="MNK14" s="120"/>
      <c r="MNL14" s="120"/>
      <c r="MNM14" s="120"/>
      <c r="MNN14" s="59"/>
      <c r="MNO14" s="119"/>
      <c r="MNP14" s="119"/>
      <c r="MNQ14" s="119"/>
      <c r="MNR14" s="119"/>
      <c r="MNS14" s="119"/>
      <c r="MNT14" s="119"/>
      <c r="MNU14" s="119"/>
      <c r="MNV14" s="119"/>
      <c r="MNW14" s="119"/>
      <c r="MNX14" s="119"/>
      <c r="MNY14" s="119"/>
      <c r="MNZ14" s="119"/>
      <c r="MOA14" s="120"/>
      <c r="MOB14" s="120"/>
      <c r="MOC14" s="120"/>
      <c r="MOD14" s="59"/>
      <c r="MOE14" s="119"/>
      <c r="MOF14" s="119"/>
      <c r="MOG14" s="119"/>
      <c r="MOH14" s="119"/>
      <c r="MOI14" s="119"/>
      <c r="MOJ14" s="119"/>
      <c r="MOK14" s="119"/>
      <c r="MOL14" s="119"/>
      <c r="MOM14" s="119"/>
      <c r="MON14" s="119"/>
      <c r="MOO14" s="119"/>
      <c r="MOP14" s="119"/>
      <c r="MOQ14" s="120"/>
      <c r="MOR14" s="120"/>
      <c r="MOS14" s="120"/>
      <c r="MOT14" s="59"/>
      <c r="MOU14" s="119"/>
      <c r="MOV14" s="119"/>
      <c r="MOW14" s="119"/>
      <c r="MOX14" s="119"/>
      <c r="MOY14" s="119"/>
      <c r="MOZ14" s="119"/>
      <c r="MPA14" s="119"/>
      <c r="MPB14" s="119"/>
      <c r="MPC14" s="119"/>
      <c r="MPD14" s="119"/>
      <c r="MPE14" s="119"/>
      <c r="MPF14" s="119"/>
      <c r="MPG14" s="120"/>
      <c r="MPH14" s="120"/>
      <c r="MPI14" s="120"/>
      <c r="MPJ14" s="59"/>
      <c r="MPK14" s="119"/>
      <c r="MPL14" s="119"/>
      <c r="MPM14" s="119"/>
      <c r="MPN14" s="119"/>
      <c r="MPO14" s="119"/>
      <c r="MPP14" s="119"/>
      <c r="MPQ14" s="119"/>
      <c r="MPR14" s="119"/>
      <c r="MPS14" s="119"/>
      <c r="MPT14" s="119"/>
      <c r="MPU14" s="119"/>
      <c r="MPV14" s="119"/>
      <c r="MPW14" s="120"/>
      <c r="MPX14" s="120"/>
      <c r="MPY14" s="120"/>
      <c r="MPZ14" s="59"/>
      <c r="MQA14" s="119"/>
      <c r="MQB14" s="119"/>
      <c r="MQC14" s="119"/>
      <c r="MQD14" s="119"/>
      <c r="MQE14" s="119"/>
      <c r="MQF14" s="119"/>
      <c r="MQG14" s="119"/>
      <c r="MQH14" s="119"/>
      <c r="MQI14" s="119"/>
      <c r="MQJ14" s="119"/>
      <c r="MQK14" s="119"/>
      <c r="MQL14" s="119"/>
      <c r="MQM14" s="120"/>
      <c r="MQN14" s="120"/>
      <c r="MQO14" s="120"/>
      <c r="MQP14" s="59"/>
      <c r="MQQ14" s="119"/>
      <c r="MQR14" s="119"/>
      <c r="MQS14" s="119"/>
      <c r="MQT14" s="119"/>
      <c r="MQU14" s="119"/>
      <c r="MQV14" s="119"/>
      <c r="MQW14" s="119"/>
      <c r="MQX14" s="119"/>
      <c r="MQY14" s="119"/>
      <c r="MQZ14" s="119"/>
      <c r="MRA14" s="119"/>
      <c r="MRB14" s="119"/>
      <c r="MRC14" s="120"/>
      <c r="MRD14" s="120"/>
      <c r="MRE14" s="120"/>
      <c r="MRF14" s="59"/>
      <c r="MRG14" s="119"/>
      <c r="MRH14" s="119"/>
      <c r="MRI14" s="119"/>
      <c r="MRJ14" s="119"/>
      <c r="MRK14" s="119"/>
      <c r="MRL14" s="119"/>
      <c r="MRM14" s="119"/>
      <c r="MRN14" s="119"/>
      <c r="MRO14" s="119"/>
      <c r="MRP14" s="119"/>
      <c r="MRQ14" s="119"/>
      <c r="MRR14" s="119"/>
      <c r="MRS14" s="120"/>
      <c r="MRT14" s="120"/>
      <c r="MRU14" s="120"/>
      <c r="MRV14" s="59"/>
      <c r="MRW14" s="119"/>
      <c r="MRX14" s="119"/>
      <c r="MRY14" s="119"/>
      <c r="MRZ14" s="119"/>
      <c r="MSA14" s="119"/>
      <c r="MSB14" s="119"/>
      <c r="MSC14" s="119"/>
      <c r="MSD14" s="119"/>
      <c r="MSE14" s="119"/>
      <c r="MSF14" s="119"/>
      <c r="MSG14" s="119"/>
      <c r="MSH14" s="119"/>
      <c r="MSI14" s="120"/>
      <c r="MSJ14" s="120"/>
      <c r="MSK14" s="120"/>
      <c r="MSL14" s="59"/>
      <c r="MSM14" s="119"/>
      <c r="MSN14" s="119"/>
      <c r="MSO14" s="119"/>
      <c r="MSP14" s="119"/>
      <c r="MSQ14" s="119"/>
      <c r="MSR14" s="119"/>
      <c r="MSS14" s="119"/>
      <c r="MST14" s="119"/>
      <c r="MSU14" s="119"/>
      <c r="MSV14" s="119"/>
      <c r="MSW14" s="119"/>
      <c r="MSX14" s="119"/>
      <c r="MSY14" s="120"/>
      <c r="MSZ14" s="120"/>
      <c r="MTA14" s="120"/>
      <c r="MTB14" s="59"/>
      <c r="MTC14" s="119"/>
      <c r="MTD14" s="119"/>
      <c r="MTE14" s="119"/>
      <c r="MTF14" s="119"/>
      <c r="MTG14" s="119"/>
      <c r="MTH14" s="119"/>
      <c r="MTI14" s="119"/>
      <c r="MTJ14" s="119"/>
      <c r="MTK14" s="119"/>
      <c r="MTL14" s="119"/>
      <c r="MTM14" s="119"/>
      <c r="MTN14" s="119"/>
      <c r="MTO14" s="120"/>
      <c r="MTP14" s="120"/>
      <c r="MTQ14" s="120"/>
      <c r="MTR14" s="59"/>
      <c r="MTS14" s="119"/>
      <c r="MTT14" s="119"/>
      <c r="MTU14" s="119"/>
      <c r="MTV14" s="119"/>
      <c r="MTW14" s="119"/>
      <c r="MTX14" s="119"/>
      <c r="MTY14" s="119"/>
      <c r="MTZ14" s="119"/>
      <c r="MUA14" s="119"/>
      <c r="MUB14" s="119"/>
      <c r="MUC14" s="119"/>
      <c r="MUD14" s="119"/>
      <c r="MUE14" s="120"/>
      <c r="MUF14" s="120"/>
      <c r="MUG14" s="120"/>
      <c r="MUH14" s="59"/>
      <c r="MUI14" s="119"/>
      <c r="MUJ14" s="119"/>
      <c r="MUK14" s="119"/>
      <c r="MUL14" s="119"/>
      <c r="MUM14" s="119"/>
      <c r="MUN14" s="119"/>
      <c r="MUO14" s="119"/>
      <c r="MUP14" s="119"/>
      <c r="MUQ14" s="119"/>
      <c r="MUR14" s="119"/>
      <c r="MUS14" s="119"/>
      <c r="MUT14" s="119"/>
      <c r="MUU14" s="120"/>
      <c r="MUV14" s="120"/>
      <c r="MUW14" s="120"/>
      <c r="MUX14" s="59"/>
      <c r="MUY14" s="119"/>
      <c r="MUZ14" s="119"/>
      <c r="MVA14" s="119"/>
      <c r="MVB14" s="119"/>
      <c r="MVC14" s="119"/>
      <c r="MVD14" s="119"/>
      <c r="MVE14" s="119"/>
      <c r="MVF14" s="119"/>
      <c r="MVG14" s="119"/>
      <c r="MVH14" s="119"/>
      <c r="MVI14" s="119"/>
      <c r="MVJ14" s="119"/>
      <c r="MVK14" s="120"/>
      <c r="MVL14" s="120"/>
      <c r="MVM14" s="120"/>
      <c r="MVN14" s="59"/>
      <c r="MVO14" s="119"/>
      <c r="MVP14" s="119"/>
      <c r="MVQ14" s="119"/>
      <c r="MVR14" s="119"/>
      <c r="MVS14" s="119"/>
      <c r="MVT14" s="119"/>
      <c r="MVU14" s="119"/>
      <c r="MVV14" s="119"/>
      <c r="MVW14" s="119"/>
      <c r="MVX14" s="119"/>
      <c r="MVY14" s="119"/>
      <c r="MVZ14" s="119"/>
      <c r="MWA14" s="120"/>
      <c r="MWB14" s="120"/>
      <c r="MWC14" s="120"/>
      <c r="MWD14" s="59"/>
      <c r="MWE14" s="119"/>
      <c r="MWF14" s="119"/>
      <c r="MWG14" s="119"/>
      <c r="MWH14" s="119"/>
      <c r="MWI14" s="119"/>
      <c r="MWJ14" s="119"/>
      <c r="MWK14" s="119"/>
      <c r="MWL14" s="119"/>
      <c r="MWM14" s="119"/>
      <c r="MWN14" s="119"/>
      <c r="MWO14" s="119"/>
      <c r="MWP14" s="119"/>
      <c r="MWQ14" s="120"/>
      <c r="MWR14" s="120"/>
      <c r="MWS14" s="120"/>
      <c r="MWT14" s="59"/>
      <c r="MWU14" s="119"/>
      <c r="MWV14" s="119"/>
      <c r="MWW14" s="119"/>
      <c r="MWX14" s="119"/>
      <c r="MWY14" s="119"/>
      <c r="MWZ14" s="119"/>
      <c r="MXA14" s="119"/>
      <c r="MXB14" s="119"/>
      <c r="MXC14" s="119"/>
      <c r="MXD14" s="119"/>
      <c r="MXE14" s="119"/>
      <c r="MXF14" s="119"/>
      <c r="MXG14" s="120"/>
      <c r="MXH14" s="120"/>
      <c r="MXI14" s="120"/>
      <c r="MXJ14" s="59"/>
      <c r="MXK14" s="119"/>
      <c r="MXL14" s="119"/>
      <c r="MXM14" s="119"/>
      <c r="MXN14" s="119"/>
      <c r="MXO14" s="119"/>
      <c r="MXP14" s="119"/>
      <c r="MXQ14" s="119"/>
      <c r="MXR14" s="119"/>
      <c r="MXS14" s="119"/>
      <c r="MXT14" s="119"/>
      <c r="MXU14" s="119"/>
      <c r="MXV14" s="119"/>
      <c r="MXW14" s="120"/>
      <c r="MXX14" s="120"/>
      <c r="MXY14" s="120"/>
      <c r="MXZ14" s="59"/>
      <c r="MYA14" s="119"/>
      <c r="MYB14" s="119"/>
      <c r="MYC14" s="119"/>
      <c r="MYD14" s="119"/>
      <c r="MYE14" s="119"/>
      <c r="MYF14" s="119"/>
      <c r="MYG14" s="119"/>
      <c r="MYH14" s="119"/>
      <c r="MYI14" s="119"/>
      <c r="MYJ14" s="119"/>
      <c r="MYK14" s="119"/>
      <c r="MYL14" s="119"/>
      <c r="MYM14" s="120"/>
      <c r="MYN14" s="120"/>
      <c r="MYO14" s="120"/>
      <c r="MYP14" s="59"/>
      <c r="MYQ14" s="119"/>
      <c r="MYR14" s="119"/>
      <c r="MYS14" s="119"/>
      <c r="MYT14" s="119"/>
      <c r="MYU14" s="119"/>
      <c r="MYV14" s="119"/>
      <c r="MYW14" s="119"/>
      <c r="MYX14" s="119"/>
      <c r="MYY14" s="119"/>
      <c r="MYZ14" s="119"/>
      <c r="MZA14" s="119"/>
      <c r="MZB14" s="119"/>
      <c r="MZC14" s="120"/>
      <c r="MZD14" s="120"/>
      <c r="MZE14" s="120"/>
      <c r="MZF14" s="59"/>
      <c r="MZG14" s="119"/>
      <c r="MZH14" s="119"/>
      <c r="MZI14" s="119"/>
      <c r="MZJ14" s="119"/>
      <c r="MZK14" s="119"/>
      <c r="MZL14" s="119"/>
      <c r="MZM14" s="119"/>
      <c r="MZN14" s="119"/>
      <c r="MZO14" s="119"/>
      <c r="MZP14" s="119"/>
      <c r="MZQ14" s="119"/>
      <c r="MZR14" s="119"/>
      <c r="MZS14" s="120"/>
      <c r="MZT14" s="120"/>
      <c r="MZU14" s="120"/>
      <c r="MZV14" s="59"/>
      <c r="MZW14" s="119"/>
      <c r="MZX14" s="119"/>
      <c r="MZY14" s="119"/>
      <c r="MZZ14" s="119"/>
      <c r="NAA14" s="119"/>
      <c r="NAB14" s="119"/>
      <c r="NAC14" s="119"/>
      <c r="NAD14" s="119"/>
      <c r="NAE14" s="119"/>
      <c r="NAF14" s="119"/>
      <c r="NAG14" s="119"/>
      <c r="NAH14" s="119"/>
      <c r="NAI14" s="120"/>
      <c r="NAJ14" s="120"/>
      <c r="NAK14" s="120"/>
      <c r="NAL14" s="59"/>
      <c r="NAM14" s="119"/>
      <c r="NAN14" s="119"/>
      <c r="NAO14" s="119"/>
      <c r="NAP14" s="119"/>
      <c r="NAQ14" s="119"/>
      <c r="NAR14" s="119"/>
      <c r="NAS14" s="119"/>
      <c r="NAT14" s="119"/>
      <c r="NAU14" s="119"/>
      <c r="NAV14" s="119"/>
      <c r="NAW14" s="119"/>
      <c r="NAX14" s="119"/>
      <c r="NAY14" s="120"/>
      <c r="NAZ14" s="120"/>
      <c r="NBA14" s="120"/>
      <c r="NBB14" s="59"/>
      <c r="NBC14" s="119"/>
      <c r="NBD14" s="119"/>
      <c r="NBE14" s="119"/>
      <c r="NBF14" s="119"/>
      <c r="NBG14" s="119"/>
      <c r="NBH14" s="119"/>
      <c r="NBI14" s="119"/>
      <c r="NBJ14" s="119"/>
      <c r="NBK14" s="119"/>
      <c r="NBL14" s="119"/>
      <c r="NBM14" s="119"/>
      <c r="NBN14" s="119"/>
      <c r="NBO14" s="120"/>
      <c r="NBP14" s="120"/>
      <c r="NBQ14" s="120"/>
      <c r="NBR14" s="59"/>
      <c r="NBS14" s="119"/>
      <c r="NBT14" s="119"/>
      <c r="NBU14" s="119"/>
      <c r="NBV14" s="119"/>
      <c r="NBW14" s="119"/>
      <c r="NBX14" s="119"/>
      <c r="NBY14" s="119"/>
      <c r="NBZ14" s="119"/>
      <c r="NCA14" s="119"/>
      <c r="NCB14" s="119"/>
      <c r="NCC14" s="119"/>
      <c r="NCD14" s="119"/>
      <c r="NCE14" s="120"/>
      <c r="NCF14" s="120"/>
      <c r="NCG14" s="120"/>
      <c r="NCH14" s="59"/>
      <c r="NCI14" s="119"/>
      <c r="NCJ14" s="119"/>
      <c r="NCK14" s="119"/>
      <c r="NCL14" s="119"/>
      <c r="NCM14" s="119"/>
      <c r="NCN14" s="119"/>
      <c r="NCO14" s="119"/>
      <c r="NCP14" s="119"/>
      <c r="NCQ14" s="119"/>
      <c r="NCR14" s="119"/>
      <c r="NCS14" s="119"/>
      <c r="NCT14" s="119"/>
      <c r="NCU14" s="120"/>
      <c r="NCV14" s="120"/>
      <c r="NCW14" s="120"/>
      <c r="NCX14" s="59"/>
      <c r="NCY14" s="119"/>
      <c r="NCZ14" s="119"/>
      <c r="NDA14" s="119"/>
      <c r="NDB14" s="119"/>
      <c r="NDC14" s="119"/>
      <c r="NDD14" s="119"/>
      <c r="NDE14" s="119"/>
      <c r="NDF14" s="119"/>
      <c r="NDG14" s="119"/>
      <c r="NDH14" s="119"/>
      <c r="NDI14" s="119"/>
      <c r="NDJ14" s="119"/>
      <c r="NDK14" s="120"/>
      <c r="NDL14" s="120"/>
      <c r="NDM14" s="120"/>
      <c r="NDN14" s="59"/>
      <c r="NDO14" s="119"/>
      <c r="NDP14" s="119"/>
      <c r="NDQ14" s="119"/>
      <c r="NDR14" s="119"/>
      <c r="NDS14" s="119"/>
      <c r="NDT14" s="119"/>
      <c r="NDU14" s="119"/>
      <c r="NDV14" s="119"/>
      <c r="NDW14" s="119"/>
      <c r="NDX14" s="119"/>
      <c r="NDY14" s="119"/>
      <c r="NDZ14" s="119"/>
      <c r="NEA14" s="120"/>
      <c r="NEB14" s="120"/>
      <c r="NEC14" s="120"/>
      <c r="NED14" s="59"/>
      <c r="NEE14" s="119"/>
      <c r="NEF14" s="119"/>
      <c r="NEG14" s="119"/>
      <c r="NEH14" s="119"/>
      <c r="NEI14" s="119"/>
      <c r="NEJ14" s="119"/>
      <c r="NEK14" s="119"/>
      <c r="NEL14" s="119"/>
      <c r="NEM14" s="119"/>
      <c r="NEN14" s="119"/>
      <c r="NEO14" s="119"/>
      <c r="NEP14" s="119"/>
      <c r="NEQ14" s="120"/>
      <c r="NER14" s="120"/>
      <c r="NES14" s="120"/>
      <c r="NET14" s="59"/>
      <c r="NEU14" s="119"/>
      <c r="NEV14" s="119"/>
      <c r="NEW14" s="119"/>
      <c r="NEX14" s="119"/>
      <c r="NEY14" s="119"/>
      <c r="NEZ14" s="119"/>
      <c r="NFA14" s="119"/>
      <c r="NFB14" s="119"/>
      <c r="NFC14" s="119"/>
      <c r="NFD14" s="119"/>
      <c r="NFE14" s="119"/>
      <c r="NFF14" s="119"/>
      <c r="NFG14" s="120"/>
      <c r="NFH14" s="120"/>
      <c r="NFI14" s="120"/>
      <c r="NFJ14" s="59"/>
      <c r="NFK14" s="119"/>
      <c r="NFL14" s="119"/>
      <c r="NFM14" s="119"/>
      <c r="NFN14" s="119"/>
      <c r="NFO14" s="119"/>
      <c r="NFP14" s="119"/>
      <c r="NFQ14" s="119"/>
      <c r="NFR14" s="119"/>
      <c r="NFS14" s="119"/>
      <c r="NFT14" s="119"/>
      <c r="NFU14" s="119"/>
      <c r="NFV14" s="119"/>
      <c r="NFW14" s="120"/>
      <c r="NFX14" s="120"/>
      <c r="NFY14" s="120"/>
      <c r="NFZ14" s="59"/>
      <c r="NGA14" s="119"/>
      <c r="NGB14" s="119"/>
      <c r="NGC14" s="119"/>
      <c r="NGD14" s="119"/>
      <c r="NGE14" s="119"/>
      <c r="NGF14" s="119"/>
      <c r="NGG14" s="119"/>
      <c r="NGH14" s="119"/>
      <c r="NGI14" s="119"/>
      <c r="NGJ14" s="119"/>
      <c r="NGK14" s="119"/>
      <c r="NGL14" s="119"/>
      <c r="NGM14" s="120"/>
      <c r="NGN14" s="120"/>
      <c r="NGO14" s="120"/>
      <c r="NGP14" s="59"/>
      <c r="NGQ14" s="119"/>
      <c r="NGR14" s="119"/>
      <c r="NGS14" s="119"/>
      <c r="NGT14" s="119"/>
      <c r="NGU14" s="119"/>
      <c r="NGV14" s="119"/>
      <c r="NGW14" s="119"/>
      <c r="NGX14" s="119"/>
      <c r="NGY14" s="119"/>
      <c r="NGZ14" s="119"/>
      <c r="NHA14" s="119"/>
      <c r="NHB14" s="119"/>
      <c r="NHC14" s="120"/>
      <c r="NHD14" s="120"/>
      <c r="NHE14" s="120"/>
      <c r="NHF14" s="59"/>
      <c r="NHG14" s="119"/>
      <c r="NHH14" s="119"/>
      <c r="NHI14" s="119"/>
      <c r="NHJ14" s="119"/>
      <c r="NHK14" s="119"/>
      <c r="NHL14" s="119"/>
      <c r="NHM14" s="119"/>
      <c r="NHN14" s="119"/>
      <c r="NHO14" s="119"/>
      <c r="NHP14" s="119"/>
      <c r="NHQ14" s="119"/>
      <c r="NHR14" s="119"/>
      <c r="NHS14" s="120"/>
      <c r="NHT14" s="120"/>
      <c r="NHU14" s="120"/>
      <c r="NHV14" s="59"/>
      <c r="NHW14" s="119"/>
      <c r="NHX14" s="119"/>
      <c r="NHY14" s="119"/>
      <c r="NHZ14" s="119"/>
      <c r="NIA14" s="119"/>
      <c r="NIB14" s="119"/>
      <c r="NIC14" s="119"/>
      <c r="NID14" s="119"/>
      <c r="NIE14" s="119"/>
      <c r="NIF14" s="119"/>
      <c r="NIG14" s="119"/>
      <c r="NIH14" s="119"/>
      <c r="NII14" s="120"/>
      <c r="NIJ14" s="120"/>
      <c r="NIK14" s="120"/>
      <c r="NIL14" s="59"/>
      <c r="NIM14" s="119"/>
      <c r="NIN14" s="119"/>
      <c r="NIO14" s="119"/>
      <c r="NIP14" s="119"/>
      <c r="NIQ14" s="119"/>
      <c r="NIR14" s="119"/>
      <c r="NIS14" s="119"/>
      <c r="NIT14" s="119"/>
      <c r="NIU14" s="119"/>
      <c r="NIV14" s="119"/>
      <c r="NIW14" s="119"/>
      <c r="NIX14" s="119"/>
      <c r="NIY14" s="120"/>
      <c r="NIZ14" s="120"/>
      <c r="NJA14" s="120"/>
      <c r="NJB14" s="59"/>
      <c r="NJC14" s="119"/>
      <c r="NJD14" s="119"/>
      <c r="NJE14" s="119"/>
      <c r="NJF14" s="119"/>
      <c r="NJG14" s="119"/>
      <c r="NJH14" s="119"/>
      <c r="NJI14" s="119"/>
      <c r="NJJ14" s="119"/>
      <c r="NJK14" s="119"/>
      <c r="NJL14" s="119"/>
      <c r="NJM14" s="119"/>
      <c r="NJN14" s="119"/>
      <c r="NJO14" s="120"/>
      <c r="NJP14" s="120"/>
      <c r="NJQ14" s="120"/>
      <c r="NJR14" s="59"/>
      <c r="NJS14" s="119"/>
      <c r="NJT14" s="119"/>
      <c r="NJU14" s="119"/>
      <c r="NJV14" s="119"/>
      <c r="NJW14" s="119"/>
      <c r="NJX14" s="119"/>
      <c r="NJY14" s="119"/>
      <c r="NJZ14" s="119"/>
      <c r="NKA14" s="119"/>
      <c r="NKB14" s="119"/>
      <c r="NKC14" s="119"/>
      <c r="NKD14" s="119"/>
      <c r="NKE14" s="120"/>
      <c r="NKF14" s="120"/>
      <c r="NKG14" s="120"/>
      <c r="NKH14" s="59"/>
      <c r="NKI14" s="119"/>
      <c r="NKJ14" s="119"/>
      <c r="NKK14" s="119"/>
      <c r="NKL14" s="119"/>
      <c r="NKM14" s="119"/>
      <c r="NKN14" s="119"/>
      <c r="NKO14" s="119"/>
      <c r="NKP14" s="119"/>
      <c r="NKQ14" s="119"/>
      <c r="NKR14" s="119"/>
      <c r="NKS14" s="119"/>
      <c r="NKT14" s="119"/>
      <c r="NKU14" s="120"/>
      <c r="NKV14" s="120"/>
      <c r="NKW14" s="120"/>
      <c r="NKX14" s="59"/>
      <c r="NKY14" s="119"/>
      <c r="NKZ14" s="119"/>
      <c r="NLA14" s="119"/>
      <c r="NLB14" s="119"/>
      <c r="NLC14" s="119"/>
      <c r="NLD14" s="119"/>
      <c r="NLE14" s="119"/>
      <c r="NLF14" s="119"/>
      <c r="NLG14" s="119"/>
      <c r="NLH14" s="119"/>
      <c r="NLI14" s="119"/>
      <c r="NLJ14" s="119"/>
      <c r="NLK14" s="120"/>
      <c r="NLL14" s="120"/>
      <c r="NLM14" s="120"/>
      <c r="NLN14" s="59"/>
      <c r="NLO14" s="119"/>
      <c r="NLP14" s="119"/>
      <c r="NLQ14" s="119"/>
      <c r="NLR14" s="119"/>
      <c r="NLS14" s="119"/>
      <c r="NLT14" s="119"/>
      <c r="NLU14" s="119"/>
      <c r="NLV14" s="119"/>
      <c r="NLW14" s="119"/>
      <c r="NLX14" s="119"/>
      <c r="NLY14" s="119"/>
      <c r="NLZ14" s="119"/>
      <c r="NMA14" s="120"/>
      <c r="NMB14" s="120"/>
      <c r="NMC14" s="120"/>
      <c r="NMD14" s="59"/>
      <c r="NME14" s="119"/>
      <c r="NMF14" s="119"/>
      <c r="NMG14" s="119"/>
      <c r="NMH14" s="119"/>
      <c r="NMI14" s="119"/>
      <c r="NMJ14" s="119"/>
      <c r="NMK14" s="119"/>
      <c r="NML14" s="119"/>
      <c r="NMM14" s="119"/>
      <c r="NMN14" s="119"/>
      <c r="NMO14" s="119"/>
      <c r="NMP14" s="119"/>
      <c r="NMQ14" s="120"/>
      <c r="NMR14" s="120"/>
      <c r="NMS14" s="120"/>
      <c r="NMT14" s="59"/>
      <c r="NMU14" s="119"/>
      <c r="NMV14" s="119"/>
      <c r="NMW14" s="119"/>
      <c r="NMX14" s="119"/>
      <c r="NMY14" s="119"/>
      <c r="NMZ14" s="119"/>
      <c r="NNA14" s="119"/>
      <c r="NNB14" s="119"/>
      <c r="NNC14" s="119"/>
      <c r="NND14" s="119"/>
      <c r="NNE14" s="119"/>
      <c r="NNF14" s="119"/>
      <c r="NNG14" s="120"/>
      <c r="NNH14" s="120"/>
      <c r="NNI14" s="120"/>
      <c r="NNJ14" s="59"/>
      <c r="NNK14" s="119"/>
      <c r="NNL14" s="119"/>
      <c r="NNM14" s="119"/>
      <c r="NNN14" s="119"/>
      <c r="NNO14" s="119"/>
      <c r="NNP14" s="119"/>
      <c r="NNQ14" s="119"/>
      <c r="NNR14" s="119"/>
      <c r="NNS14" s="119"/>
      <c r="NNT14" s="119"/>
      <c r="NNU14" s="119"/>
      <c r="NNV14" s="119"/>
      <c r="NNW14" s="120"/>
      <c r="NNX14" s="120"/>
      <c r="NNY14" s="120"/>
      <c r="NNZ14" s="59"/>
      <c r="NOA14" s="119"/>
      <c r="NOB14" s="119"/>
      <c r="NOC14" s="119"/>
      <c r="NOD14" s="119"/>
      <c r="NOE14" s="119"/>
      <c r="NOF14" s="119"/>
      <c r="NOG14" s="119"/>
      <c r="NOH14" s="119"/>
      <c r="NOI14" s="119"/>
      <c r="NOJ14" s="119"/>
      <c r="NOK14" s="119"/>
      <c r="NOL14" s="119"/>
      <c r="NOM14" s="120"/>
      <c r="NON14" s="120"/>
      <c r="NOO14" s="120"/>
      <c r="NOP14" s="59"/>
      <c r="NOQ14" s="119"/>
      <c r="NOR14" s="119"/>
      <c r="NOS14" s="119"/>
      <c r="NOT14" s="119"/>
      <c r="NOU14" s="119"/>
      <c r="NOV14" s="119"/>
      <c r="NOW14" s="119"/>
      <c r="NOX14" s="119"/>
      <c r="NOY14" s="119"/>
      <c r="NOZ14" s="119"/>
      <c r="NPA14" s="119"/>
      <c r="NPB14" s="119"/>
      <c r="NPC14" s="120"/>
      <c r="NPD14" s="120"/>
      <c r="NPE14" s="120"/>
      <c r="NPF14" s="59"/>
      <c r="NPG14" s="119"/>
      <c r="NPH14" s="119"/>
      <c r="NPI14" s="119"/>
      <c r="NPJ14" s="119"/>
      <c r="NPK14" s="119"/>
      <c r="NPL14" s="119"/>
      <c r="NPM14" s="119"/>
      <c r="NPN14" s="119"/>
      <c r="NPO14" s="119"/>
      <c r="NPP14" s="119"/>
      <c r="NPQ14" s="119"/>
      <c r="NPR14" s="119"/>
      <c r="NPS14" s="120"/>
      <c r="NPT14" s="120"/>
      <c r="NPU14" s="120"/>
      <c r="NPV14" s="59"/>
      <c r="NPW14" s="119"/>
      <c r="NPX14" s="119"/>
      <c r="NPY14" s="119"/>
      <c r="NPZ14" s="119"/>
      <c r="NQA14" s="119"/>
      <c r="NQB14" s="119"/>
      <c r="NQC14" s="119"/>
      <c r="NQD14" s="119"/>
      <c r="NQE14" s="119"/>
      <c r="NQF14" s="119"/>
      <c r="NQG14" s="119"/>
      <c r="NQH14" s="119"/>
      <c r="NQI14" s="120"/>
      <c r="NQJ14" s="120"/>
      <c r="NQK14" s="120"/>
      <c r="NQL14" s="59"/>
      <c r="NQM14" s="119"/>
      <c r="NQN14" s="119"/>
      <c r="NQO14" s="119"/>
      <c r="NQP14" s="119"/>
      <c r="NQQ14" s="119"/>
      <c r="NQR14" s="119"/>
      <c r="NQS14" s="119"/>
      <c r="NQT14" s="119"/>
      <c r="NQU14" s="119"/>
      <c r="NQV14" s="119"/>
      <c r="NQW14" s="119"/>
      <c r="NQX14" s="119"/>
      <c r="NQY14" s="120"/>
      <c r="NQZ14" s="120"/>
      <c r="NRA14" s="120"/>
      <c r="NRB14" s="59"/>
      <c r="NRC14" s="119"/>
      <c r="NRD14" s="119"/>
      <c r="NRE14" s="119"/>
      <c r="NRF14" s="119"/>
      <c r="NRG14" s="119"/>
      <c r="NRH14" s="119"/>
      <c r="NRI14" s="119"/>
      <c r="NRJ14" s="119"/>
      <c r="NRK14" s="119"/>
      <c r="NRL14" s="119"/>
      <c r="NRM14" s="119"/>
      <c r="NRN14" s="119"/>
      <c r="NRO14" s="120"/>
      <c r="NRP14" s="120"/>
      <c r="NRQ14" s="120"/>
      <c r="NRR14" s="59"/>
      <c r="NRS14" s="119"/>
      <c r="NRT14" s="119"/>
      <c r="NRU14" s="119"/>
      <c r="NRV14" s="119"/>
      <c r="NRW14" s="119"/>
      <c r="NRX14" s="119"/>
      <c r="NRY14" s="119"/>
      <c r="NRZ14" s="119"/>
      <c r="NSA14" s="119"/>
      <c r="NSB14" s="119"/>
      <c r="NSC14" s="119"/>
      <c r="NSD14" s="119"/>
      <c r="NSE14" s="120"/>
      <c r="NSF14" s="120"/>
      <c r="NSG14" s="120"/>
      <c r="NSH14" s="59"/>
      <c r="NSI14" s="119"/>
      <c r="NSJ14" s="119"/>
      <c r="NSK14" s="119"/>
      <c r="NSL14" s="119"/>
      <c r="NSM14" s="119"/>
      <c r="NSN14" s="119"/>
      <c r="NSO14" s="119"/>
      <c r="NSP14" s="119"/>
      <c r="NSQ14" s="119"/>
      <c r="NSR14" s="119"/>
      <c r="NSS14" s="119"/>
      <c r="NST14" s="119"/>
      <c r="NSU14" s="120"/>
      <c r="NSV14" s="120"/>
      <c r="NSW14" s="120"/>
      <c r="NSX14" s="59"/>
      <c r="NSY14" s="119"/>
      <c r="NSZ14" s="119"/>
      <c r="NTA14" s="119"/>
      <c r="NTB14" s="119"/>
      <c r="NTC14" s="119"/>
      <c r="NTD14" s="119"/>
      <c r="NTE14" s="119"/>
      <c r="NTF14" s="119"/>
      <c r="NTG14" s="119"/>
      <c r="NTH14" s="119"/>
      <c r="NTI14" s="119"/>
      <c r="NTJ14" s="119"/>
      <c r="NTK14" s="120"/>
      <c r="NTL14" s="120"/>
      <c r="NTM14" s="120"/>
      <c r="NTN14" s="59"/>
      <c r="NTO14" s="119"/>
      <c r="NTP14" s="119"/>
      <c r="NTQ14" s="119"/>
      <c r="NTR14" s="119"/>
      <c r="NTS14" s="119"/>
      <c r="NTT14" s="119"/>
      <c r="NTU14" s="119"/>
      <c r="NTV14" s="119"/>
      <c r="NTW14" s="119"/>
      <c r="NTX14" s="119"/>
      <c r="NTY14" s="119"/>
      <c r="NTZ14" s="119"/>
      <c r="NUA14" s="120"/>
      <c r="NUB14" s="120"/>
      <c r="NUC14" s="120"/>
      <c r="NUD14" s="59"/>
      <c r="NUE14" s="119"/>
      <c r="NUF14" s="119"/>
      <c r="NUG14" s="119"/>
      <c r="NUH14" s="119"/>
      <c r="NUI14" s="119"/>
      <c r="NUJ14" s="119"/>
      <c r="NUK14" s="119"/>
      <c r="NUL14" s="119"/>
      <c r="NUM14" s="119"/>
      <c r="NUN14" s="119"/>
      <c r="NUO14" s="119"/>
      <c r="NUP14" s="119"/>
      <c r="NUQ14" s="120"/>
      <c r="NUR14" s="120"/>
      <c r="NUS14" s="120"/>
      <c r="NUT14" s="59"/>
      <c r="NUU14" s="119"/>
      <c r="NUV14" s="119"/>
      <c r="NUW14" s="119"/>
      <c r="NUX14" s="119"/>
      <c r="NUY14" s="119"/>
      <c r="NUZ14" s="119"/>
      <c r="NVA14" s="119"/>
      <c r="NVB14" s="119"/>
      <c r="NVC14" s="119"/>
      <c r="NVD14" s="119"/>
      <c r="NVE14" s="119"/>
      <c r="NVF14" s="119"/>
      <c r="NVG14" s="120"/>
      <c r="NVH14" s="120"/>
      <c r="NVI14" s="120"/>
      <c r="NVJ14" s="59"/>
      <c r="NVK14" s="119"/>
      <c r="NVL14" s="119"/>
      <c r="NVM14" s="119"/>
      <c r="NVN14" s="119"/>
      <c r="NVO14" s="119"/>
      <c r="NVP14" s="119"/>
      <c r="NVQ14" s="119"/>
      <c r="NVR14" s="119"/>
      <c r="NVS14" s="119"/>
      <c r="NVT14" s="119"/>
      <c r="NVU14" s="119"/>
      <c r="NVV14" s="119"/>
      <c r="NVW14" s="120"/>
      <c r="NVX14" s="120"/>
      <c r="NVY14" s="120"/>
      <c r="NVZ14" s="59"/>
      <c r="NWA14" s="119"/>
      <c r="NWB14" s="119"/>
      <c r="NWC14" s="119"/>
      <c r="NWD14" s="119"/>
      <c r="NWE14" s="119"/>
      <c r="NWF14" s="119"/>
      <c r="NWG14" s="119"/>
      <c r="NWH14" s="119"/>
      <c r="NWI14" s="119"/>
      <c r="NWJ14" s="119"/>
      <c r="NWK14" s="119"/>
      <c r="NWL14" s="119"/>
      <c r="NWM14" s="120"/>
      <c r="NWN14" s="120"/>
      <c r="NWO14" s="120"/>
      <c r="NWP14" s="59"/>
      <c r="NWQ14" s="119"/>
      <c r="NWR14" s="119"/>
      <c r="NWS14" s="119"/>
      <c r="NWT14" s="119"/>
      <c r="NWU14" s="119"/>
      <c r="NWV14" s="119"/>
      <c r="NWW14" s="119"/>
      <c r="NWX14" s="119"/>
      <c r="NWY14" s="119"/>
      <c r="NWZ14" s="119"/>
      <c r="NXA14" s="119"/>
      <c r="NXB14" s="119"/>
      <c r="NXC14" s="120"/>
      <c r="NXD14" s="120"/>
      <c r="NXE14" s="120"/>
      <c r="NXF14" s="59"/>
      <c r="NXG14" s="119"/>
      <c r="NXH14" s="119"/>
      <c r="NXI14" s="119"/>
      <c r="NXJ14" s="119"/>
      <c r="NXK14" s="119"/>
      <c r="NXL14" s="119"/>
      <c r="NXM14" s="119"/>
      <c r="NXN14" s="119"/>
      <c r="NXO14" s="119"/>
      <c r="NXP14" s="119"/>
      <c r="NXQ14" s="119"/>
      <c r="NXR14" s="119"/>
      <c r="NXS14" s="120"/>
      <c r="NXT14" s="120"/>
      <c r="NXU14" s="120"/>
      <c r="NXV14" s="59"/>
      <c r="NXW14" s="119"/>
      <c r="NXX14" s="119"/>
      <c r="NXY14" s="119"/>
      <c r="NXZ14" s="119"/>
      <c r="NYA14" s="119"/>
      <c r="NYB14" s="119"/>
      <c r="NYC14" s="119"/>
      <c r="NYD14" s="119"/>
      <c r="NYE14" s="119"/>
      <c r="NYF14" s="119"/>
      <c r="NYG14" s="119"/>
      <c r="NYH14" s="119"/>
      <c r="NYI14" s="120"/>
      <c r="NYJ14" s="120"/>
      <c r="NYK14" s="120"/>
      <c r="NYL14" s="59"/>
      <c r="NYM14" s="119"/>
      <c r="NYN14" s="119"/>
      <c r="NYO14" s="119"/>
      <c r="NYP14" s="119"/>
      <c r="NYQ14" s="119"/>
      <c r="NYR14" s="119"/>
      <c r="NYS14" s="119"/>
      <c r="NYT14" s="119"/>
      <c r="NYU14" s="119"/>
      <c r="NYV14" s="119"/>
      <c r="NYW14" s="119"/>
      <c r="NYX14" s="119"/>
      <c r="NYY14" s="120"/>
      <c r="NYZ14" s="120"/>
      <c r="NZA14" s="120"/>
      <c r="NZB14" s="59"/>
      <c r="NZC14" s="119"/>
      <c r="NZD14" s="119"/>
      <c r="NZE14" s="119"/>
      <c r="NZF14" s="119"/>
      <c r="NZG14" s="119"/>
      <c r="NZH14" s="119"/>
      <c r="NZI14" s="119"/>
      <c r="NZJ14" s="119"/>
      <c r="NZK14" s="119"/>
      <c r="NZL14" s="119"/>
      <c r="NZM14" s="119"/>
      <c r="NZN14" s="119"/>
      <c r="NZO14" s="120"/>
      <c r="NZP14" s="120"/>
      <c r="NZQ14" s="120"/>
      <c r="NZR14" s="59"/>
      <c r="NZS14" s="119"/>
      <c r="NZT14" s="119"/>
      <c r="NZU14" s="119"/>
      <c r="NZV14" s="119"/>
      <c r="NZW14" s="119"/>
      <c r="NZX14" s="119"/>
      <c r="NZY14" s="119"/>
      <c r="NZZ14" s="119"/>
      <c r="OAA14" s="119"/>
      <c r="OAB14" s="119"/>
      <c r="OAC14" s="119"/>
      <c r="OAD14" s="119"/>
      <c r="OAE14" s="120"/>
      <c r="OAF14" s="120"/>
      <c r="OAG14" s="120"/>
      <c r="OAH14" s="59"/>
      <c r="OAI14" s="119"/>
      <c r="OAJ14" s="119"/>
      <c r="OAK14" s="119"/>
      <c r="OAL14" s="119"/>
      <c r="OAM14" s="119"/>
      <c r="OAN14" s="119"/>
      <c r="OAO14" s="119"/>
      <c r="OAP14" s="119"/>
      <c r="OAQ14" s="119"/>
      <c r="OAR14" s="119"/>
      <c r="OAS14" s="119"/>
      <c r="OAT14" s="119"/>
      <c r="OAU14" s="120"/>
      <c r="OAV14" s="120"/>
      <c r="OAW14" s="120"/>
      <c r="OAX14" s="59"/>
      <c r="OAY14" s="119"/>
      <c r="OAZ14" s="119"/>
      <c r="OBA14" s="119"/>
      <c r="OBB14" s="119"/>
      <c r="OBC14" s="119"/>
      <c r="OBD14" s="119"/>
      <c r="OBE14" s="119"/>
      <c r="OBF14" s="119"/>
      <c r="OBG14" s="119"/>
      <c r="OBH14" s="119"/>
      <c r="OBI14" s="119"/>
      <c r="OBJ14" s="119"/>
      <c r="OBK14" s="120"/>
      <c r="OBL14" s="120"/>
      <c r="OBM14" s="120"/>
      <c r="OBN14" s="59"/>
      <c r="OBO14" s="119"/>
      <c r="OBP14" s="119"/>
      <c r="OBQ14" s="119"/>
      <c r="OBR14" s="119"/>
      <c r="OBS14" s="119"/>
      <c r="OBT14" s="119"/>
      <c r="OBU14" s="119"/>
      <c r="OBV14" s="119"/>
      <c r="OBW14" s="119"/>
      <c r="OBX14" s="119"/>
      <c r="OBY14" s="119"/>
      <c r="OBZ14" s="119"/>
      <c r="OCA14" s="120"/>
      <c r="OCB14" s="120"/>
      <c r="OCC14" s="120"/>
      <c r="OCD14" s="59"/>
      <c r="OCE14" s="119"/>
      <c r="OCF14" s="119"/>
      <c r="OCG14" s="119"/>
      <c r="OCH14" s="119"/>
      <c r="OCI14" s="119"/>
      <c r="OCJ14" s="119"/>
      <c r="OCK14" s="119"/>
      <c r="OCL14" s="119"/>
      <c r="OCM14" s="119"/>
      <c r="OCN14" s="119"/>
      <c r="OCO14" s="119"/>
      <c r="OCP14" s="119"/>
      <c r="OCQ14" s="120"/>
      <c r="OCR14" s="120"/>
      <c r="OCS14" s="120"/>
      <c r="OCT14" s="59"/>
      <c r="OCU14" s="119"/>
      <c r="OCV14" s="119"/>
      <c r="OCW14" s="119"/>
      <c r="OCX14" s="119"/>
      <c r="OCY14" s="119"/>
      <c r="OCZ14" s="119"/>
      <c r="ODA14" s="119"/>
      <c r="ODB14" s="119"/>
      <c r="ODC14" s="119"/>
      <c r="ODD14" s="119"/>
      <c r="ODE14" s="119"/>
      <c r="ODF14" s="119"/>
      <c r="ODG14" s="120"/>
      <c r="ODH14" s="120"/>
      <c r="ODI14" s="120"/>
      <c r="ODJ14" s="59"/>
      <c r="ODK14" s="119"/>
      <c r="ODL14" s="119"/>
      <c r="ODM14" s="119"/>
      <c r="ODN14" s="119"/>
      <c r="ODO14" s="119"/>
      <c r="ODP14" s="119"/>
      <c r="ODQ14" s="119"/>
      <c r="ODR14" s="119"/>
      <c r="ODS14" s="119"/>
      <c r="ODT14" s="119"/>
      <c r="ODU14" s="119"/>
      <c r="ODV14" s="119"/>
      <c r="ODW14" s="120"/>
      <c r="ODX14" s="120"/>
      <c r="ODY14" s="120"/>
      <c r="ODZ14" s="59"/>
      <c r="OEA14" s="119"/>
      <c r="OEB14" s="119"/>
      <c r="OEC14" s="119"/>
      <c r="OED14" s="119"/>
      <c r="OEE14" s="119"/>
      <c r="OEF14" s="119"/>
      <c r="OEG14" s="119"/>
      <c r="OEH14" s="119"/>
      <c r="OEI14" s="119"/>
      <c r="OEJ14" s="119"/>
      <c r="OEK14" s="119"/>
      <c r="OEL14" s="119"/>
      <c r="OEM14" s="120"/>
      <c r="OEN14" s="120"/>
      <c r="OEO14" s="120"/>
      <c r="OEP14" s="59"/>
      <c r="OEQ14" s="119"/>
      <c r="OER14" s="119"/>
      <c r="OES14" s="119"/>
      <c r="OET14" s="119"/>
      <c r="OEU14" s="119"/>
      <c r="OEV14" s="119"/>
      <c r="OEW14" s="119"/>
      <c r="OEX14" s="119"/>
      <c r="OEY14" s="119"/>
      <c r="OEZ14" s="119"/>
      <c r="OFA14" s="119"/>
      <c r="OFB14" s="119"/>
      <c r="OFC14" s="120"/>
      <c r="OFD14" s="120"/>
      <c r="OFE14" s="120"/>
      <c r="OFF14" s="59"/>
      <c r="OFG14" s="119"/>
      <c r="OFH14" s="119"/>
      <c r="OFI14" s="119"/>
      <c r="OFJ14" s="119"/>
      <c r="OFK14" s="119"/>
      <c r="OFL14" s="119"/>
      <c r="OFM14" s="119"/>
      <c r="OFN14" s="119"/>
      <c r="OFO14" s="119"/>
      <c r="OFP14" s="119"/>
      <c r="OFQ14" s="119"/>
      <c r="OFR14" s="119"/>
      <c r="OFS14" s="120"/>
      <c r="OFT14" s="120"/>
      <c r="OFU14" s="120"/>
      <c r="OFV14" s="59"/>
      <c r="OFW14" s="119"/>
      <c r="OFX14" s="119"/>
      <c r="OFY14" s="119"/>
      <c r="OFZ14" s="119"/>
      <c r="OGA14" s="119"/>
      <c r="OGB14" s="119"/>
      <c r="OGC14" s="119"/>
      <c r="OGD14" s="119"/>
      <c r="OGE14" s="119"/>
      <c r="OGF14" s="119"/>
      <c r="OGG14" s="119"/>
      <c r="OGH14" s="119"/>
      <c r="OGI14" s="120"/>
      <c r="OGJ14" s="120"/>
      <c r="OGK14" s="120"/>
      <c r="OGL14" s="59"/>
      <c r="OGM14" s="119"/>
      <c r="OGN14" s="119"/>
      <c r="OGO14" s="119"/>
      <c r="OGP14" s="119"/>
      <c r="OGQ14" s="119"/>
      <c r="OGR14" s="119"/>
      <c r="OGS14" s="119"/>
      <c r="OGT14" s="119"/>
      <c r="OGU14" s="119"/>
      <c r="OGV14" s="119"/>
      <c r="OGW14" s="119"/>
      <c r="OGX14" s="119"/>
      <c r="OGY14" s="120"/>
      <c r="OGZ14" s="120"/>
      <c r="OHA14" s="120"/>
      <c r="OHB14" s="59"/>
      <c r="OHC14" s="119"/>
      <c r="OHD14" s="119"/>
      <c r="OHE14" s="119"/>
      <c r="OHF14" s="119"/>
      <c r="OHG14" s="119"/>
      <c r="OHH14" s="119"/>
      <c r="OHI14" s="119"/>
      <c r="OHJ14" s="119"/>
      <c r="OHK14" s="119"/>
      <c r="OHL14" s="119"/>
      <c r="OHM14" s="119"/>
      <c r="OHN14" s="119"/>
      <c r="OHO14" s="120"/>
      <c r="OHP14" s="120"/>
      <c r="OHQ14" s="120"/>
      <c r="OHR14" s="59"/>
      <c r="OHS14" s="119"/>
      <c r="OHT14" s="119"/>
      <c r="OHU14" s="119"/>
      <c r="OHV14" s="119"/>
      <c r="OHW14" s="119"/>
      <c r="OHX14" s="119"/>
      <c r="OHY14" s="119"/>
      <c r="OHZ14" s="119"/>
      <c r="OIA14" s="119"/>
      <c r="OIB14" s="119"/>
      <c r="OIC14" s="119"/>
      <c r="OID14" s="119"/>
      <c r="OIE14" s="120"/>
      <c r="OIF14" s="120"/>
      <c r="OIG14" s="120"/>
      <c r="OIH14" s="59"/>
      <c r="OII14" s="119"/>
      <c r="OIJ14" s="119"/>
      <c r="OIK14" s="119"/>
      <c r="OIL14" s="119"/>
      <c r="OIM14" s="119"/>
      <c r="OIN14" s="119"/>
      <c r="OIO14" s="119"/>
      <c r="OIP14" s="119"/>
      <c r="OIQ14" s="119"/>
      <c r="OIR14" s="119"/>
      <c r="OIS14" s="119"/>
      <c r="OIT14" s="119"/>
      <c r="OIU14" s="120"/>
      <c r="OIV14" s="120"/>
      <c r="OIW14" s="120"/>
      <c r="OIX14" s="59"/>
      <c r="OIY14" s="119"/>
      <c r="OIZ14" s="119"/>
      <c r="OJA14" s="119"/>
      <c r="OJB14" s="119"/>
      <c r="OJC14" s="119"/>
      <c r="OJD14" s="119"/>
      <c r="OJE14" s="119"/>
      <c r="OJF14" s="119"/>
      <c r="OJG14" s="119"/>
      <c r="OJH14" s="119"/>
      <c r="OJI14" s="119"/>
      <c r="OJJ14" s="119"/>
      <c r="OJK14" s="120"/>
      <c r="OJL14" s="120"/>
      <c r="OJM14" s="120"/>
      <c r="OJN14" s="59"/>
      <c r="OJO14" s="119"/>
      <c r="OJP14" s="119"/>
      <c r="OJQ14" s="119"/>
      <c r="OJR14" s="119"/>
      <c r="OJS14" s="119"/>
      <c r="OJT14" s="119"/>
      <c r="OJU14" s="119"/>
      <c r="OJV14" s="119"/>
      <c r="OJW14" s="119"/>
      <c r="OJX14" s="119"/>
      <c r="OJY14" s="119"/>
      <c r="OJZ14" s="119"/>
      <c r="OKA14" s="120"/>
      <c r="OKB14" s="120"/>
      <c r="OKC14" s="120"/>
      <c r="OKD14" s="59"/>
      <c r="OKE14" s="119"/>
      <c r="OKF14" s="119"/>
      <c r="OKG14" s="119"/>
      <c r="OKH14" s="119"/>
      <c r="OKI14" s="119"/>
      <c r="OKJ14" s="119"/>
      <c r="OKK14" s="119"/>
      <c r="OKL14" s="119"/>
      <c r="OKM14" s="119"/>
      <c r="OKN14" s="119"/>
      <c r="OKO14" s="119"/>
      <c r="OKP14" s="119"/>
      <c r="OKQ14" s="120"/>
      <c r="OKR14" s="120"/>
      <c r="OKS14" s="120"/>
      <c r="OKT14" s="59"/>
      <c r="OKU14" s="119"/>
      <c r="OKV14" s="119"/>
      <c r="OKW14" s="119"/>
      <c r="OKX14" s="119"/>
      <c r="OKY14" s="119"/>
      <c r="OKZ14" s="119"/>
      <c r="OLA14" s="119"/>
      <c r="OLB14" s="119"/>
      <c r="OLC14" s="119"/>
      <c r="OLD14" s="119"/>
      <c r="OLE14" s="119"/>
      <c r="OLF14" s="119"/>
      <c r="OLG14" s="120"/>
      <c r="OLH14" s="120"/>
      <c r="OLI14" s="120"/>
      <c r="OLJ14" s="59"/>
      <c r="OLK14" s="119"/>
      <c r="OLL14" s="119"/>
      <c r="OLM14" s="119"/>
      <c r="OLN14" s="119"/>
      <c r="OLO14" s="119"/>
      <c r="OLP14" s="119"/>
      <c r="OLQ14" s="119"/>
      <c r="OLR14" s="119"/>
      <c r="OLS14" s="119"/>
      <c r="OLT14" s="119"/>
      <c r="OLU14" s="119"/>
      <c r="OLV14" s="119"/>
      <c r="OLW14" s="120"/>
      <c r="OLX14" s="120"/>
      <c r="OLY14" s="120"/>
      <c r="OLZ14" s="59"/>
      <c r="OMA14" s="119"/>
      <c r="OMB14" s="119"/>
      <c r="OMC14" s="119"/>
      <c r="OMD14" s="119"/>
      <c r="OME14" s="119"/>
      <c r="OMF14" s="119"/>
      <c r="OMG14" s="119"/>
      <c r="OMH14" s="119"/>
      <c r="OMI14" s="119"/>
      <c r="OMJ14" s="119"/>
      <c r="OMK14" s="119"/>
      <c r="OML14" s="119"/>
      <c r="OMM14" s="120"/>
      <c r="OMN14" s="120"/>
      <c r="OMO14" s="120"/>
      <c r="OMP14" s="59"/>
      <c r="OMQ14" s="119"/>
      <c r="OMR14" s="119"/>
      <c r="OMS14" s="119"/>
      <c r="OMT14" s="119"/>
      <c r="OMU14" s="119"/>
      <c r="OMV14" s="119"/>
      <c r="OMW14" s="119"/>
      <c r="OMX14" s="119"/>
      <c r="OMY14" s="119"/>
      <c r="OMZ14" s="119"/>
      <c r="ONA14" s="119"/>
      <c r="ONB14" s="119"/>
      <c r="ONC14" s="120"/>
      <c r="OND14" s="120"/>
      <c r="ONE14" s="120"/>
      <c r="ONF14" s="59"/>
      <c r="ONG14" s="119"/>
      <c r="ONH14" s="119"/>
      <c r="ONI14" s="119"/>
      <c r="ONJ14" s="119"/>
      <c r="ONK14" s="119"/>
      <c r="ONL14" s="119"/>
      <c r="ONM14" s="119"/>
      <c r="ONN14" s="119"/>
      <c r="ONO14" s="119"/>
      <c r="ONP14" s="119"/>
      <c r="ONQ14" s="119"/>
      <c r="ONR14" s="119"/>
      <c r="ONS14" s="120"/>
      <c r="ONT14" s="120"/>
      <c r="ONU14" s="120"/>
      <c r="ONV14" s="59"/>
      <c r="ONW14" s="119"/>
      <c r="ONX14" s="119"/>
      <c r="ONY14" s="119"/>
      <c r="ONZ14" s="119"/>
      <c r="OOA14" s="119"/>
      <c r="OOB14" s="119"/>
      <c r="OOC14" s="119"/>
      <c r="OOD14" s="119"/>
      <c r="OOE14" s="119"/>
      <c r="OOF14" s="119"/>
      <c r="OOG14" s="119"/>
      <c r="OOH14" s="119"/>
      <c r="OOI14" s="120"/>
      <c r="OOJ14" s="120"/>
      <c r="OOK14" s="120"/>
      <c r="OOL14" s="59"/>
      <c r="OOM14" s="119"/>
      <c r="OON14" s="119"/>
      <c r="OOO14" s="119"/>
      <c r="OOP14" s="119"/>
      <c r="OOQ14" s="119"/>
      <c r="OOR14" s="119"/>
      <c r="OOS14" s="119"/>
      <c r="OOT14" s="119"/>
      <c r="OOU14" s="119"/>
      <c r="OOV14" s="119"/>
      <c r="OOW14" s="119"/>
      <c r="OOX14" s="119"/>
      <c r="OOY14" s="120"/>
      <c r="OOZ14" s="120"/>
      <c r="OPA14" s="120"/>
      <c r="OPB14" s="59"/>
      <c r="OPC14" s="119"/>
      <c r="OPD14" s="119"/>
      <c r="OPE14" s="119"/>
      <c r="OPF14" s="119"/>
      <c r="OPG14" s="119"/>
      <c r="OPH14" s="119"/>
      <c r="OPI14" s="119"/>
      <c r="OPJ14" s="119"/>
      <c r="OPK14" s="119"/>
      <c r="OPL14" s="119"/>
      <c r="OPM14" s="119"/>
      <c r="OPN14" s="119"/>
      <c r="OPO14" s="120"/>
      <c r="OPP14" s="120"/>
      <c r="OPQ14" s="120"/>
      <c r="OPR14" s="59"/>
      <c r="OPS14" s="119"/>
      <c r="OPT14" s="119"/>
      <c r="OPU14" s="119"/>
      <c r="OPV14" s="119"/>
      <c r="OPW14" s="119"/>
      <c r="OPX14" s="119"/>
      <c r="OPY14" s="119"/>
      <c r="OPZ14" s="119"/>
      <c r="OQA14" s="119"/>
      <c r="OQB14" s="119"/>
      <c r="OQC14" s="119"/>
      <c r="OQD14" s="119"/>
      <c r="OQE14" s="120"/>
      <c r="OQF14" s="120"/>
      <c r="OQG14" s="120"/>
      <c r="OQH14" s="59"/>
      <c r="OQI14" s="119"/>
      <c r="OQJ14" s="119"/>
      <c r="OQK14" s="119"/>
      <c r="OQL14" s="119"/>
      <c r="OQM14" s="119"/>
      <c r="OQN14" s="119"/>
      <c r="OQO14" s="119"/>
      <c r="OQP14" s="119"/>
      <c r="OQQ14" s="119"/>
      <c r="OQR14" s="119"/>
      <c r="OQS14" s="119"/>
      <c r="OQT14" s="119"/>
      <c r="OQU14" s="120"/>
      <c r="OQV14" s="120"/>
      <c r="OQW14" s="120"/>
      <c r="OQX14" s="59"/>
      <c r="OQY14" s="119"/>
      <c r="OQZ14" s="119"/>
      <c r="ORA14" s="119"/>
      <c r="ORB14" s="119"/>
      <c r="ORC14" s="119"/>
      <c r="ORD14" s="119"/>
      <c r="ORE14" s="119"/>
      <c r="ORF14" s="119"/>
      <c r="ORG14" s="119"/>
      <c r="ORH14" s="119"/>
      <c r="ORI14" s="119"/>
      <c r="ORJ14" s="119"/>
      <c r="ORK14" s="120"/>
      <c r="ORL14" s="120"/>
      <c r="ORM14" s="120"/>
      <c r="ORN14" s="59"/>
      <c r="ORO14" s="119"/>
      <c r="ORP14" s="119"/>
      <c r="ORQ14" s="119"/>
      <c r="ORR14" s="119"/>
      <c r="ORS14" s="119"/>
      <c r="ORT14" s="119"/>
      <c r="ORU14" s="119"/>
      <c r="ORV14" s="119"/>
      <c r="ORW14" s="119"/>
      <c r="ORX14" s="119"/>
      <c r="ORY14" s="119"/>
      <c r="ORZ14" s="119"/>
      <c r="OSA14" s="120"/>
      <c r="OSB14" s="120"/>
      <c r="OSC14" s="120"/>
      <c r="OSD14" s="59"/>
      <c r="OSE14" s="119"/>
      <c r="OSF14" s="119"/>
      <c r="OSG14" s="119"/>
      <c r="OSH14" s="119"/>
      <c r="OSI14" s="119"/>
      <c r="OSJ14" s="119"/>
      <c r="OSK14" s="119"/>
      <c r="OSL14" s="119"/>
      <c r="OSM14" s="119"/>
      <c r="OSN14" s="119"/>
      <c r="OSO14" s="119"/>
      <c r="OSP14" s="119"/>
      <c r="OSQ14" s="120"/>
      <c r="OSR14" s="120"/>
      <c r="OSS14" s="120"/>
      <c r="OST14" s="59"/>
      <c r="OSU14" s="119"/>
      <c r="OSV14" s="119"/>
      <c r="OSW14" s="119"/>
      <c r="OSX14" s="119"/>
      <c r="OSY14" s="119"/>
      <c r="OSZ14" s="119"/>
      <c r="OTA14" s="119"/>
      <c r="OTB14" s="119"/>
      <c r="OTC14" s="119"/>
      <c r="OTD14" s="119"/>
      <c r="OTE14" s="119"/>
      <c r="OTF14" s="119"/>
      <c r="OTG14" s="120"/>
      <c r="OTH14" s="120"/>
      <c r="OTI14" s="120"/>
      <c r="OTJ14" s="59"/>
      <c r="OTK14" s="119"/>
      <c r="OTL14" s="119"/>
      <c r="OTM14" s="119"/>
      <c r="OTN14" s="119"/>
      <c r="OTO14" s="119"/>
      <c r="OTP14" s="119"/>
      <c r="OTQ14" s="119"/>
      <c r="OTR14" s="119"/>
      <c r="OTS14" s="119"/>
      <c r="OTT14" s="119"/>
      <c r="OTU14" s="119"/>
      <c r="OTV14" s="119"/>
      <c r="OTW14" s="120"/>
      <c r="OTX14" s="120"/>
      <c r="OTY14" s="120"/>
      <c r="OTZ14" s="59"/>
      <c r="OUA14" s="119"/>
      <c r="OUB14" s="119"/>
      <c r="OUC14" s="119"/>
      <c r="OUD14" s="119"/>
      <c r="OUE14" s="119"/>
      <c r="OUF14" s="119"/>
      <c r="OUG14" s="119"/>
      <c r="OUH14" s="119"/>
      <c r="OUI14" s="119"/>
      <c r="OUJ14" s="119"/>
      <c r="OUK14" s="119"/>
      <c r="OUL14" s="119"/>
      <c r="OUM14" s="120"/>
      <c r="OUN14" s="120"/>
      <c r="OUO14" s="120"/>
      <c r="OUP14" s="59"/>
      <c r="OUQ14" s="119"/>
      <c r="OUR14" s="119"/>
      <c r="OUS14" s="119"/>
      <c r="OUT14" s="119"/>
      <c r="OUU14" s="119"/>
      <c r="OUV14" s="119"/>
      <c r="OUW14" s="119"/>
      <c r="OUX14" s="119"/>
      <c r="OUY14" s="119"/>
      <c r="OUZ14" s="119"/>
      <c r="OVA14" s="119"/>
      <c r="OVB14" s="119"/>
      <c r="OVC14" s="120"/>
      <c r="OVD14" s="120"/>
      <c r="OVE14" s="120"/>
      <c r="OVF14" s="59"/>
      <c r="OVG14" s="119"/>
      <c r="OVH14" s="119"/>
      <c r="OVI14" s="119"/>
      <c r="OVJ14" s="119"/>
      <c r="OVK14" s="119"/>
      <c r="OVL14" s="119"/>
      <c r="OVM14" s="119"/>
      <c r="OVN14" s="119"/>
      <c r="OVO14" s="119"/>
      <c r="OVP14" s="119"/>
      <c r="OVQ14" s="119"/>
      <c r="OVR14" s="119"/>
      <c r="OVS14" s="120"/>
      <c r="OVT14" s="120"/>
      <c r="OVU14" s="120"/>
      <c r="OVV14" s="59"/>
      <c r="OVW14" s="119"/>
      <c r="OVX14" s="119"/>
      <c r="OVY14" s="119"/>
      <c r="OVZ14" s="119"/>
      <c r="OWA14" s="119"/>
      <c r="OWB14" s="119"/>
      <c r="OWC14" s="119"/>
      <c r="OWD14" s="119"/>
      <c r="OWE14" s="119"/>
      <c r="OWF14" s="119"/>
      <c r="OWG14" s="119"/>
      <c r="OWH14" s="119"/>
      <c r="OWI14" s="120"/>
      <c r="OWJ14" s="120"/>
      <c r="OWK14" s="120"/>
      <c r="OWL14" s="59"/>
      <c r="OWM14" s="119"/>
      <c r="OWN14" s="119"/>
      <c r="OWO14" s="119"/>
      <c r="OWP14" s="119"/>
      <c r="OWQ14" s="119"/>
      <c r="OWR14" s="119"/>
      <c r="OWS14" s="119"/>
      <c r="OWT14" s="119"/>
      <c r="OWU14" s="119"/>
      <c r="OWV14" s="119"/>
      <c r="OWW14" s="119"/>
      <c r="OWX14" s="119"/>
      <c r="OWY14" s="120"/>
      <c r="OWZ14" s="120"/>
      <c r="OXA14" s="120"/>
      <c r="OXB14" s="59"/>
      <c r="OXC14" s="119"/>
      <c r="OXD14" s="119"/>
      <c r="OXE14" s="119"/>
      <c r="OXF14" s="119"/>
      <c r="OXG14" s="119"/>
      <c r="OXH14" s="119"/>
      <c r="OXI14" s="119"/>
      <c r="OXJ14" s="119"/>
      <c r="OXK14" s="119"/>
      <c r="OXL14" s="119"/>
      <c r="OXM14" s="119"/>
      <c r="OXN14" s="119"/>
      <c r="OXO14" s="120"/>
      <c r="OXP14" s="120"/>
      <c r="OXQ14" s="120"/>
      <c r="OXR14" s="59"/>
      <c r="OXS14" s="119"/>
      <c r="OXT14" s="119"/>
      <c r="OXU14" s="119"/>
      <c r="OXV14" s="119"/>
      <c r="OXW14" s="119"/>
      <c r="OXX14" s="119"/>
      <c r="OXY14" s="119"/>
      <c r="OXZ14" s="119"/>
      <c r="OYA14" s="119"/>
      <c r="OYB14" s="119"/>
      <c r="OYC14" s="119"/>
      <c r="OYD14" s="119"/>
      <c r="OYE14" s="120"/>
      <c r="OYF14" s="120"/>
      <c r="OYG14" s="120"/>
      <c r="OYH14" s="59"/>
      <c r="OYI14" s="119"/>
      <c r="OYJ14" s="119"/>
      <c r="OYK14" s="119"/>
      <c r="OYL14" s="119"/>
      <c r="OYM14" s="119"/>
      <c r="OYN14" s="119"/>
      <c r="OYO14" s="119"/>
      <c r="OYP14" s="119"/>
      <c r="OYQ14" s="119"/>
      <c r="OYR14" s="119"/>
      <c r="OYS14" s="119"/>
      <c r="OYT14" s="119"/>
      <c r="OYU14" s="120"/>
      <c r="OYV14" s="120"/>
      <c r="OYW14" s="120"/>
      <c r="OYX14" s="59"/>
      <c r="OYY14" s="119"/>
      <c r="OYZ14" s="119"/>
      <c r="OZA14" s="119"/>
      <c r="OZB14" s="119"/>
      <c r="OZC14" s="119"/>
      <c r="OZD14" s="119"/>
      <c r="OZE14" s="119"/>
      <c r="OZF14" s="119"/>
      <c r="OZG14" s="119"/>
      <c r="OZH14" s="119"/>
      <c r="OZI14" s="119"/>
      <c r="OZJ14" s="119"/>
      <c r="OZK14" s="120"/>
      <c r="OZL14" s="120"/>
      <c r="OZM14" s="120"/>
      <c r="OZN14" s="59"/>
      <c r="OZO14" s="119"/>
      <c r="OZP14" s="119"/>
      <c r="OZQ14" s="119"/>
      <c r="OZR14" s="119"/>
      <c r="OZS14" s="119"/>
      <c r="OZT14" s="119"/>
      <c r="OZU14" s="119"/>
      <c r="OZV14" s="119"/>
      <c r="OZW14" s="119"/>
      <c r="OZX14" s="119"/>
      <c r="OZY14" s="119"/>
      <c r="OZZ14" s="119"/>
      <c r="PAA14" s="120"/>
      <c r="PAB14" s="120"/>
      <c r="PAC14" s="120"/>
      <c r="PAD14" s="59"/>
      <c r="PAE14" s="119"/>
      <c r="PAF14" s="119"/>
      <c r="PAG14" s="119"/>
      <c r="PAH14" s="119"/>
      <c r="PAI14" s="119"/>
      <c r="PAJ14" s="119"/>
      <c r="PAK14" s="119"/>
      <c r="PAL14" s="119"/>
      <c r="PAM14" s="119"/>
      <c r="PAN14" s="119"/>
      <c r="PAO14" s="119"/>
      <c r="PAP14" s="119"/>
      <c r="PAQ14" s="120"/>
      <c r="PAR14" s="120"/>
      <c r="PAS14" s="120"/>
      <c r="PAT14" s="59"/>
      <c r="PAU14" s="119"/>
      <c r="PAV14" s="119"/>
      <c r="PAW14" s="119"/>
      <c r="PAX14" s="119"/>
      <c r="PAY14" s="119"/>
      <c r="PAZ14" s="119"/>
      <c r="PBA14" s="119"/>
      <c r="PBB14" s="119"/>
      <c r="PBC14" s="119"/>
      <c r="PBD14" s="119"/>
      <c r="PBE14" s="119"/>
      <c r="PBF14" s="119"/>
      <c r="PBG14" s="120"/>
      <c r="PBH14" s="120"/>
      <c r="PBI14" s="120"/>
      <c r="PBJ14" s="59"/>
      <c r="PBK14" s="119"/>
      <c r="PBL14" s="119"/>
      <c r="PBM14" s="119"/>
      <c r="PBN14" s="119"/>
      <c r="PBO14" s="119"/>
      <c r="PBP14" s="119"/>
      <c r="PBQ14" s="119"/>
      <c r="PBR14" s="119"/>
      <c r="PBS14" s="119"/>
      <c r="PBT14" s="119"/>
      <c r="PBU14" s="119"/>
      <c r="PBV14" s="119"/>
      <c r="PBW14" s="120"/>
      <c r="PBX14" s="120"/>
      <c r="PBY14" s="120"/>
      <c r="PBZ14" s="59"/>
      <c r="PCA14" s="119"/>
      <c r="PCB14" s="119"/>
      <c r="PCC14" s="119"/>
      <c r="PCD14" s="119"/>
      <c r="PCE14" s="119"/>
      <c r="PCF14" s="119"/>
      <c r="PCG14" s="119"/>
      <c r="PCH14" s="119"/>
      <c r="PCI14" s="119"/>
      <c r="PCJ14" s="119"/>
      <c r="PCK14" s="119"/>
      <c r="PCL14" s="119"/>
      <c r="PCM14" s="120"/>
      <c r="PCN14" s="120"/>
      <c r="PCO14" s="120"/>
      <c r="PCP14" s="59"/>
      <c r="PCQ14" s="119"/>
      <c r="PCR14" s="119"/>
      <c r="PCS14" s="119"/>
      <c r="PCT14" s="119"/>
      <c r="PCU14" s="119"/>
      <c r="PCV14" s="119"/>
      <c r="PCW14" s="119"/>
      <c r="PCX14" s="119"/>
      <c r="PCY14" s="119"/>
      <c r="PCZ14" s="119"/>
      <c r="PDA14" s="119"/>
      <c r="PDB14" s="119"/>
      <c r="PDC14" s="120"/>
      <c r="PDD14" s="120"/>
      <c r="PDE14" s="120"/>
      <c r="PDF14" s="59"/>
      <c r="PDG14" s="119"/>
      <c r="PDH14" s="119"/>
      <c r="PDI14" s="119"/>
      <c r="PDJ14" s="119"/>
      <c r="PDK14" s="119"/>
      <c r="PDL14" s="119"/>
      <c r="PDM14" s="119"/>
      <c r="PDN14" s="119"/>
      <c r="PDO14" s="119"/>
      <c r="PDP14" s="119"/>
      <c r="PDQ14" s="119"/>
      <c r="PDR14" s="119"/>
      <c r="PDS14" s="120"/>
      <c r="PDT14" s="120"/>
      <c r="PDU14" s="120"/>
      <c r="PDV14" s="59"/>
      <c r="PDW14" s="119"/>
      <c r="PDX14" s="119"/>
      <c r="PDY14" s="119"/>
      <c r="PDZ14" s="119"/>
      <c r="PEA14" s="119"/>
      <c r="PEB14" s="119"/>
      <c r="PEC14" s="119"/>
      <c r="PED14" s="119"/>
      <c r="PEE14" s="119"/>
      <c r="PEF14" s="119"/>
      <c r="PEG14" s="119"/>
      <c r="PEH14" s="119"/>
      <c r="PEI14" s="120"/>
      <c r="PEJ14" s="120"/>
      <c r="PEK14" s="120"/>
      <c r="PEL14" s="59"/>
      <c r="PEM14" s="119"/>
      <c r="PEN14" s="119"/>
      <c r="PEO14" s="119"/>
      <c r="PEP14" s="119"/>
      <c r="PEQ14" s="119"/>
      <c r="PER14" s="119"/>
      <c r="PES14" s="119"/>
      <c r="PET14" s="119"/>
      <c r="PEU14" s="119"/>
      <c r="PEV14" s="119"/>
      <c r="PEW14" s="119"/>
      <c r="PEX14" s="119"/>
      <c r="PEY14" s="120"/>
      <c r="PEZ14" s="120"/>
      <c r="PFA14" s="120"/>
      <c r="PFB14" s="59"/>
      <c r="PFC14" s="119"/>
      <c r="PFD14" s="119"/>
      <c r="PFE14" s="119"/>
      <c r="PFF14" s="119"/>
      <c r="PFG14" s="119"/>
      <c r="PFH14" s="119"/>
      <c r="PFI14" s="119"/>
      <c r="PFJ14" s="119"/>
      <c r="PFK14" s="119"/>
      <c r="PFL14" s="119"/>
      <c r="PFM14" s="119"/>
      <c r="PFN14" s="119"/>
      <c r="PFO14" s="120"/>
      <c r="PFP14" s="120"/>
      <c r="PFQ14" s="120"/>
      <c r="PFR14" s="59"/>
      <c r="PFS14" s="119"/>
      <c r="PFT14" s="119"/>
      <c r="PFU14" s="119"/>
      <c r="PFV14" s="119"/>
      <c r="PFW14" s="119"/>
      <c r="PFX14" s="119"/>
      <c r="PFY14" s="119"/>
      <c r="PFZ14" s="119"/>
      <c r="PGA14" s="119"/>
      <c r="PGB14" s="119"/>
      <c r="PGC14" s="119"/>
      <c r="PGD14" s="119"/>
      <c r="PGE14" s="120"/>
      <c r="PGF14" s="120"/>
      <c r="PGG14" s="120"/>
      <c r="PGH14" s="59"/>
      <c r="PGI14" s="119"/>
      <c r="PGJ14" s="119"/>
      <c r="PGK14" s="119"/>
      <c r="PGL14" s="119"/>
      <c r="PGM14" s="119"/>
      <c r="PGN14" s="119"/>
      <c r="PGO14" s="119"/>
      <c r="PGP14" s="119"/>
      <c r="PGQ14" s="119"/>
      <c r="PGR14" s="119"/>
      <c r="PGS14" s="119"/>
      <c r="PGT14" s="119"/>
      <c r="PGU14" s="120"/>
      <c r="PGV14" s="120"/>
      <c r="PGW14" s="120"/>
      <c r="PGX14" s="59"/>
      <c r="PGY14" s="119"/>
      <c r="PGZ14" s="119"/>
      <c r="PHA14" s="119"/>
      <c r="PHB14" s="119"/>
      <c r="PHC14" s="119"/>
      <c r="PHD14" s="119"/>
      <c r="PHE14" s="119"/>
      <c r="PHF14" s="119"/>
      <c r="PHG14" s="119"/>
      <c r="PHH14" s="119"/>
      <c r="PHI14" s="119"/>
      <c r="PHJ14" s="119"/>
      <c r="PHK14" s="120"/>
      <c r="PHL14" s="120"/>
      <c r="PHM14" s="120"/>
      <c r="PHN14" s="59"/>
      <c r="PHO14" s="119"/>
      <c r="PHP14" s="119"/>
      <c r="PHQ14" s="119"/>
      <c r="PHR14" s="119"/>
      <c r="PHS14" s="119"/>
      <c r="PHT14" s="119"/>
      <c r="PHU14" s="119"/>
      <c r="PHV14" s="119"/>
      <c r="PHW14" s="119"/>
      <c r="PHX14" s="119"/>
      <c r="PHY14" s="119"/>
      <c r="PHZ14" s="119"/>
      <c r="PIA14" s="120"/>
      <c r="PIB14" s="120"/>
      <c r="PIC14" s="120"/>
      <c r="PID14" s="59"/>
      <c r="PIE14" s="119"/>
      <c r="PIF14" s="119"/>
      <c r="PIG14" s="119"/>
      <c r="PIH14" s="119"/>
      <c r="PII14" s="119"/>
      <c r="PIJ14" s="119"/>
      <c r="PIK14" s="119"/>
      <c r="PIL14" s="119"/>
      <c r="PIM14" s="119"/>
      <c r="PIN14" s="119"/>
      <c r="PIO14" s="119"/>
      <c r="PIP14" s="119"/>
      <c r="PIQ14" s="120"/>
      <c r="PIR14" s="120"/>
      <c r="PIS14" s="120"/>
      <c r="PIT14" s="59"/>
      <c r="PIU14" s="119"/>
      <c r="PIV14" s="119"/>
      <c r="PIW14" s="119"/>
      <c r="PIX14" s="119"/>
      <c r="PIY14" s="119"/>
      <c r="PIZ14" s="119"/>
      <c r="PJA14" s="119"/>
      <c r="PJB14" s="119"/>
      <c r="PJC14" s="119"/>
      <c r="PJD14" s="119"/>
      <c r="PJE14" s="119"/>
      <c r="PJF14" s="119"/>
      <c r="PJG14" s="120"/>
      <c r="PJH14" s="120"/>
      <c r="PJI14" s="120"/>
      <c r="PJJ14" s="59"/>
      <c r="PJK14" s="119"/>
      <c r="PJL14" s="119"/>
      <c r="PJM14" s="119"/>
      <c r="PJN14" s="119"/>
      <c r="PJO14" s="119"/>
      <c r="PJP14" s="119"/>
      <c r="PJQ14" s="119"/>
      <c r="PJR14" s="119"/>
      <c r="PJS14" s="119"/>
      <c r="PJT14" s="119"/>
      <c r="PJU14" s="119"/>
      <c r="PJV14" s="119"/>
      <c r="PJW14" s="120"/>
      <c r="PJX14" s="120"/>
      <c r="PJY14" s="120"/>
      <c r="PJZ14" s="59"/>
      <c r="PKA14" s="119"/>
      <c r="PKB14" s="119"/>
      <c r="PKC14" s="119"/>
      <c r="PKD14" s="119"/>
      <c r="PKE14" s="119"/>
      <c r="PKF14" s="119"/>
      <c r="PKG14" s="119"/>
      <c r="PKH14" s="119"/>
      <c r="PKI14" s="119"/>
      <c r="PKJ14" s="119"/>
      <c r="PKK14" s="119"/>
      <c r="PKL14" s="119"/>
      <c r="PKM14" s="120"/>
      <c r="PKN14" s="120"/>
      <c r="PKO14" s="120"/>
      <c r="PKP14" s="59"/>
      <c r="PKQ14" s="119"/>
      <c r="PKR14" s="119"/>
      <c r="PKS14" s="119"/>
      <c r="PKT14" s="119"/>
      <c r="PKU14" s="119"/>
      <c r="PKV14" s="119"/>
      <c r="PKW14" s="119"/>
      <c r="PKX14" s="119"/>
      <c r="PKY14" s="119"/>
      <c r="PKZ14" s="119"/>
      <c r="PLA14" s="119"/>
      <c r="PLB14" s="119"/>
      <c r="PLC14" s="120"/>
      <c r="PLD14" s="120"/>
      <c r="PLE14" s="120"/>
      <c r="PLF14" s="59"/>
      <c r="PLG14" s="119"/>
      <c r="PLH14" s="119"/>
      <c r="PLI14" s="119"/>
      <c r="PLJ14" s="119"/>
      <c r="PLK14" s="119"/>
      <c r="PLL14" s="119"/>
      <c r="PLM14" s="119"/>
      <c r="PLN14" s="119"/>
      <c r="PLO14" s="119"/>
      <c r="PLP14" s="119"/>
      <c r="PLQ14" s="119"/>
      <c r="PLR14" s="119"/>
      <c r="PLS14" s="120"/>
      <c r="PLT14" s="120"/>
      <c r="PLU14" s="120"/>
      <c r="PLV14" s="59"/>
      <c r="PLW14" s="119"/>
      <c r="PLX14" s="119"/>
      <c r="PLY14" s="119"/>
      <c r="PLZ14" s="119"/>
      <c r="PMA14" s="119"/>
      <c r="PMB14" s="119"/>
      <c r="PMC14" s="119"/>
      <c r="PMD14" s="119"/>
      <c r="PME14" s="119"/>
      <c r="PMF14" s="119"/>
      <c r="PMG14" s="119"/>
      <c r="PMH14" s="119"/>
      <c r="PMI14" s="120"/>
      <c r="PMJ14" s="120"/>
      <c r="PMK14" s="120"/>
      <c r="PML14" s="59"/>
      <c r="PMM14" s="119"/>
      <c r="PMN14" s="119"/>
      <c r="PMO14" s="119"/>
      <c r="PMP14" s="119"/>
      <c r="PMQ14" s="119"/>
      <c r="PMR14" s="119"/>
      <c r="PMS14" s="119"/>
      <c r="PMT14" s="119"/>
      <c r="PMU14" s="119"/>
      <c r="PMV14" s="119"/>
      <c r="PMW14" s="119"/>
      <c r="PMX14" s="119"/>
      <c r="PMY14" s="120"/>
      <c r="PMZ14" s="120"/>
      <c r="PNA14" s="120"/>
      <c r="PNB14" s="59"/>
      <c r="PNC14" s="119"/>
      <c r="PND14" s="119"/>
      <c r="PNE14" s="119"/>
      <c r="PNF14" s="119"/>
      <c r="PNG14" s="119"/>
      <c r="PNH14" s="119"/>
      <c r="PNI14" s="119"/>
      <c r="PNJ14" s="119"/>
      <c r="PNK14" s="119"/>
      <c r="PNL14" s="119"/>
      <c r="PNM14" s="119"/>
      <c r="PNN14" s="119"/>
      <c r="PNO14" s="120"/>
      <c r="PNP14" s="120"/>
      <c r="PNQ14" s="120"/>
      <c r="PNR14" s="59"/>
      <c r="PNS14" s="119"/>
      <c r="PNT14" s="119"/>
      <c r="PNU14" s="119"/>
      <c r="PNV14" s="119"/>
      <c r="PNW14" s="119"/>
      <c r="PNX14" s="119"/>
      <c r="PNY14" s="119"/>
      <c r="PNZ14" s="119"/>
      <c r="POA14" s="119"/>
      <c r="POB14" s="119"/>
      <c r="POC14" s="119"/>
      <c r="POD14" s="119"/>
      <c r="POE14" s="120"/>
      <c r="POF14" s="120"/>
      <c r="POG14" s="120"/>
      <c r="POH14" s="59"/>
      <c r="POI14" s="119"/>
      <c r="POJ14" s="119"/>
      <c r="POK14" s="119"/>
      <c r="POL14" s="119"/>
      <c r="POM14" s="119"/>
      <c r="PON14" s="119"/>
      <c r="POO14" s="119"/>
      <c r="POP14" s="119"/>
      <c r="POQ14" s="119"/>
      <c r="POR14" s="119"/>
      <c r="POS14" s="119"/>
      <c r="POT14" s="119"/>
      <c r="POU14" s="120"/>
      <c r="POV14" s="120"/>
      <c r="POW14" s="120"/>
      <c r="POX14" s="59"/>
      <c r="POY14" s="119"/>
      <c r="POZ14" s="119"/>
      <c r="PPA14" s="119"/>
      <c r="PPB14" s="119"/>
      <c r="PPC14" s="119"/>
      <c r="PPD14" s="119"/>
      <c r="PPE14" s="119"/>
      <c r="PPF14" s="119"/>
      <c r="PPG14" s="119"/>
      <c r="PPH14" s="119"/>
      <c r="PPI14" s="119"/>
      <c r="PPJ14" s="119"/>
      <c r="PPK14" s="120"/>
      <c r="PPL14" s="120"/>
      <c r="PPM14" s="120"/>
      <c r="PPN14" s="59"/>
      <c r="PPO14" s="119"/>
      <c r="PPP14" s="119"/>
      <c r="PPQ14" s="119"/>
      <c r="PPR14" s="119"/>
      <c r="PPS14" s="119"/>
      <c r="PPT14" s="119"/>
      <c r="PPU14" s="119"/>
      <c r="PPV14" s="119"/>
      <c r="PPW14" s="119"/>
      <c r="PPX14" s="119"/>
      <c r="PPY14" s="119"/>
      <c r="PPZ14" s="119"/>
      <c r="PQA14" s="120"/>
      <c r="PQB14" s="120"/>
      <c r="PQC14" s="120"/>
      <c r="PQD14" s="59"/>
      <c r="PQE14" s="119"/>
      <c r="PQF14" s="119"/>
      <c r="PQG14" s="119"/>
      <c r="PQH14" s="119"/>
      <c r="PQI14" s="119"/>
      <c r="PQJ14" s="119"/>
      <c r="PQK14" s="119"/>
      <c r="PQL14" s="119"/>
      <c r="PQM14" s="119"/>
      <c r="PQN14" s="119"/>
      <c r="PQO14" s="119"/>
      <c r="PQP14" s="119"/>
      <c r="PQQ14" s="120"/>
      <c r="PQR14" s="120"/>
      <c r="PQS14" s="120"/>
      <c r="PQT14" s="59"/>
      <c r="PQU14" s="119"/>
      <c r="PQV14" s="119"/>
      <c r="PQW14" s="119"/>
      <c r="PQX14" s="119"/>
      <c r="PQY14" s="119"/>
      <c r="PQZ14" s="119"/>
      <c r="PRA14" s="119"/>
      <c r="PRB14" s="119"/>
      <c r="PRC14" s="119"/>
      <c r="PRD14" s="119"/>
      <c r="PRE14" s="119"/>
      <c r="PRF14" s="119"/>
      <c r="PRG14" s="120"/>
      <c r="PRH14" s="120"/>
      <c r="PRI14" s="120"/>
      <c r="PRJ14" s="59"/>
      <c r="PRK14" s="119"/>
      <c r="PRL14" s="119"/>
      <c r="PRM14" s="119"/>
      <c r="PRN14" s="119"/>
      <c r="PRO14" s="119"/>
      <c r="PRP14" s="119"/>
      <c r="PRQ14" s="119"/>
      <c r="PRR14" s="119"/>
      <c r="PRS14" s="119"/>
      <c r="PRT14" s="119"/>
      <c r="PRU14" s="119"/>
      <c r="PRV14" s="119"/>
      <c r="PRW14" s="120"/>
      <c r="PRX14" s="120"/>
      <c r="PRY14" s="120"/>
      <c r="PRZ14" s="59"/>
      <c r="PSA14" s="119"/>
      <c r="PSB14" s="119"/>
      <c r="PSC14" s="119"/>
      <c r="PSD14" s="119"/>
      <c r="PSE14" s="119"/>
      <c r="PSF14" s="119"/>
      <c r="PSG14" s="119"/>
      <c r="PSH14" s="119"/>
      <c r="PSI14" s="119"/>
      <c r="PSJ14" s="119"/>
      <c r="PSK14" s="119"/>
      <c r="PSL14" s="119"/>
      <c r="PSM14" s="120"/>
      <c r="PSN14" s="120"/>
      <c r="PSO14" s="120"/>
      <c r="PSP14" s="59"/>
      <c r="PSQ14" s="119"/>
      <c r="PSR14" s="119"/>
      <c r="PSS14" s="119"/>
      <c r="PST14" s="119"/>
      <c r="PSU14" s="119"/>
      <c r="PSV14" s="119"/>
      <c r="PSW14" s="119"/>
      <c r="PSX14" s="119"/>
      <c r="PSY14" s="119"/>
      <c r="PSZ14" s="119"/>
      <c r="PTA14" s="119"/>
      <c r="PTB14" s="119"/>
      <c r="PTC14" s="120"/>
      <c r="PTD14" s="120"/>
      <c r="PTE14" s="120"/>
      <c r="PTF14" s="59"/>
      <c r="PTG14" s="119"/>
      <c r="PTH14" s="119"/>
      <c r="PTI14" s="119"/>
      <c r="PTJ14" s="119"/>
      <c r="PTK14" s="119"/>
      <c r="PTL14" s="119"/>
      <c r="PTM14" s="119"/>
      <c r="PTN14" s="119"/>
      <c r="PTO14" s="119"/>
      <c r="PTP14" s="119"/>
      <c r="PTQ14" s="119"/>
      <c r="PTR14" s="119"/>
      <c r="PTS14" s="120"/>
      <c r="PTT14" s="120"/>
      <c r="PTU14" s="120"/>
      <c r="PTV14" s="59"/>
      <c r="PTW14" s="119"/>
      <c r="PTX14" s="119"/>
      <c r="PTY14" s="119"/>
      <c r="PTZ14" s="119"/>
      <c r="PUA14" s="119"/>
      <c r="PUB14" s="119"/>
      <c r="PUC14" s="119"/>
      <c r="PUD14" s="119"/>
      <c r="PUE14" s="119"/>
      <c r="PUF14" s="119"/>
      <c r="PUG14" s="119"/>
      <c r="PUH14" s="119"/>
      <c r="PUI14" s="120"/>
      <c r="PUJ14" s="120"/>
      <c r="PUK14" s="120"/>
      <c r="PUL14" s="59"/>
      <c r="PUM14" s="119"/>
      <c r="PUN14" s="119"/>
      <c r="PUO14" s="119"/>
      <c r="PUP14" s="119"/>
      <c r="PUQ14" s="119"/>
      <c r="PUR14" s="119"/>
      <c r="PUS14" s="119"/>
      <c r="PUT14" s="119"/>
      <c r="PUU14" s="119"/>
      <c r="PUV14" s="119"/>
      <c r="PUW14" s="119"/>
      <c r="PUX14" s="119"/>
      <c r="PUY14" s="120"/>
      <c r="PUZ14" s="120"/>
      <c r="PVA14" s="120"/>
      <c r="PVB14" s="59"/>
      <c r="PVC14" s="119"/>
      <c r="PVD14" s="119"/>
      <c r="PVE14" s="119"/>
      <c r="PVF14" s="119"/>
      <c r="PVG14" s="119"/>
      <c r="PVH14" s="119"/>
      <c r="PVI14" s="119"/>
      <c r="PVJ14" s="119"/>
      <c r="PVK14" s="119"/>
      <c r="PVL14" s="119"/>
      <c r="PVM14" s="119"/>
      <c r="PVN14" s="119"/>
      <c r="PVO14" s="120"/>
      <c r="PVP14" s="120"/>
      <c r="PVQ14" s="120"/>
      <c r="PVR14" s="59"/>
      <c r="PVS14" s="119"/>
      <c r="PVT14" s="119"/>
      <c r="PVU14" s="119"/>
      <c r="PVV14" s="119"/>
      <c r="PVW14" s="119"/>
      <c r="PVX14" s="119"/>
      <c r="PVY14" s="119"/>
      <c r="PVZ14" s="119"/>
      <c r="PWA14" s="119"/>
      <c r="PWB14" s="119"/>
      <c r="PWC14" s="119"/>
      <c r="PWD14" s="119"/>
      <c r="PWE14" s="120"/>
      <c r="PWF14" s="120"/>
      <c r="PWG14" s="120"/>
      <c r="PWH14" s="59"/>
      <c r="PWI14" s="119"/>
      <c r="PWJ14" s="119"/>
      <c r="PWK14" s="119"/>
      <c r="PWL14" s="119"/>
      <c r="PWM14" s="119"/>
      <c r="PWN14" s="119"/>
      <c r="PWO14" s="119"/>
      <c r="PWP14" s="119"/>
      <c r="PWQ14" s="119"/>
      <c r="PWR14" s="119"/>
      <c r="PWS14" s="119"/>
      <c r="PWT14" s="119"/>
      <c r="PWU14" s="120"/>
      <c r="PWV14" s="120"/>
      <c r="PWW14" s="120"/>
      <c r="PWX14" s="59"/>
      <c r="PWY14" s="119"/>
      <c r="PWZ14" s="119"/>
      <c r="PXA14" s="119"/>
      <c r="PXB14" s="119"/>
      <c r="PXC14" s="119"/>
      <c r="PXD14" s="119"/>
      <c r="PXE14" s="119"/>
      <c r="PXF14" s="119"/>
      <c r="PXG14" s="119"/>
      <c r="PXH14" s="119"/>
      <c r="PXI14" s="119"/>
      <c r="PXJ14" s="119"/>
      <c r="PXK14" s="120"/>
      <c r="PXL14" s="120"/>
      <c r="PXM14" s="120"/>
      <c r="PXN14" s="59"/>
      <c r="PXO14" s="119"/>
      <c r="PXP14" s="119"/>
      <c r="PXQ14" s="119"/>
      <c r="PXR14" s="119"/>
      <c r="PXS14" s="119"/>
      <c r="PXT14" s="119"/>
      <c r="PXU14" s="119"/>
      <c r="PXV14" s="119"/>
      <c r="PXW14" s="119"/>
      <c r="PXX14" s="119"/>
      <c r="PXY14" s="119"/>
      <c r="PXZ14" s="119"/>
      <c r="PYA14" s="120"/>
      <c r="PYB14" s="120"/>
      <c r="PYC14" s="120"/>
      <c r="PYD14" s="59"/>
      <c r="PYE14" s="119"/>
      <c r="PYF14" s="119"/>
      <c r="PYG14" s="119"/>
      <c r="PYH14" s="119"/>
      <c r="PYI14" s="119"/>
      <c r="PYJ14" s="119"/>
      <c r="PYK14" s="119"/>
      <c r="PYL14" s="119"/>
      <c r="PYM14" s="119"/>
      <c r="PYN14" s="119"/>
      <c r="PYO14" s="119"/>
      <c r="PYP14" s="119"/>
      <c r="PYQ14" s="120"/>
      <c r="PYR14" s="120"/>
      <c r="PYS14" s="120"/>
      <c r="PYT14" s="59"/>
      <c r="PYU14" s="119"/>
      <c r="PYV14" s="119"/>
      <c r="PYW14" s="119"/>
      <c r="PYX14" s="119"/>
      <c r="PYY14" s="119"/>
      <c r="PYZ14" s="119"/>
      <c r="PZA14" s="119"/>
      <c r="PZB14" s="119"/>
      <c r="PZC14" s="119"/>
      <c r="PZD14" s="119"/>
      <c r="PZE14" s="119"/>
      <c r="PZF14" s="119"/>
      <c r="PZG14" s="120"/>
      <c r="PZH14" s="120"/>
      <c r="PZI14" s="120"/>
      <c r="PZJ14" s="59"/>
      <c r="PZK14" s="119"/>
      <c r="PZL14" s="119"/>
      <c r="PZM14" s="119"/>
      <c r="PZN14" s="119"/>
      <c r="PZO14" s="119"/>
      <c r="PZP14" s="119"/>
      <c r="PZQ14" s="119"/>
      <c r="PZR14" s="119"/>
      <c r="PZS14" s="119"/>
      <c r="PZT14" s="119"/>
      <c r="PZU14" s="119"/>
      <c r="PZV14" s="119"/>
      <c r="PZW14" s="120"/>
      <c r="PZX14" s="120"/>
      <c r="PZY14" s="120"/>
      <c r="PZZ14" s="59"/>
      <c r="QAA14" s="119"/>
      <c r="QAB14" s="119"/>
      <c r="QAC14" s="119"/>
      <c r="QAD14" s="119"/>
      <c r="QAE14" s="119"/>
      <c r="QAF14" s="119"/>
      <c r="QAG14" s="119"/>
      <c r="QAH14" s="119"/>
      <c r="QAI14" s="119"/>
      <c r="QAJ14" s="119"/>
      <c r="QAK14" s="119"/>
      <c r="QAL14" s="119"/>
      <c r="QAM14" s="120"/>
      <c r="QAN14" s="120"/>
      <c r="QAO14" s="120"/>
      <c r="QAP14" s="59"/>
      <c r="QAQ14" s="119"/>
      <c r="QAR14" s="119"/>
      <c r="QAS14" s="119"/>
      <c r="QAT14" s="119"/>
      <c r="QAU14" s="119"/>
      <c r="QAV14" s="119"/>
      <c r="QAW14" s="119"/>
      <c r="QAX14" s="119"/>
      <c r="QAY14" s="119"/>
      <c r="QAZ14" s="119"/>
      <c r="QBA14" s="119"/>
      <c r="QBB14" s="119"/>
      <c r="QBC14" s="120"/>
      <c r="QBD14" s="120"/>
      <c r="QBE14" s="120"/>
      <c r="QBF14" s="59"/>
      <c r="QBG14" s="119"/>
      <c r="QBH14" s="119"/>
      <c r="QBI14" s="119"/>
      <c r="QBJ14" s="119"/>
      <c r="QBK14" s="119"/>
      <c r="QBL14" s="119"/>
      <c r="QBM14" s="119"/>
      <c r="QBN14" s="119"/>
      <c r="QBO14" s="119"/>
      <c r="QBP14" s="119"/>
      <c r="QBQ14" s="119"/>
      <c r="QBR14" s="119"/>
      <c r="QBS14" s="120"/>
      <c r="QBT14" s="120"/>
      <c r="QBU14" s="120"/>
      <c r="QBV14" s="59"/>
      <c r="QBW14" s="119"/>
      <c r="QBX14" s="119"/>
      <c r="QBY14" s="119"/>
      <c r="QBZ14" s="119"/>
      <c r="QCA14" s="119"/>
      <c r="QCB14" s="119"/>
      <c r="QCC14" s="119"/>
      <c r="QCD14" s="119"/>
      <c r="QCE14" s="119"/>
      <c r="QCF14" s="119"/>
      <c r="QCG14" s="119"/>
      <c r="QCH14" s="119"/>
      <c r="QCI14" s="120"/>
      <c r="QCJ14" s="120"/>
      <c r="QCK14" s="120"/>
      <c r="QCL14" s="59"/>
      <c r="QCM14" s="119"/>
      <c r="QCN14" s="119"/>
      <c r="QCO14" s="119"/>
      <c r="QCP14" s="119"/>
      <c r="QCQ14" s="119"/>
      <c r="QCR14" s="119"/>
      <c r="QCS14" s="119"/>
      <c r="QCT14" s="119"/>
      <c r="QCU14" s="119"/>
      <c r="QCV14" s="119"/>
      <c r="QCW14" s="119"/>
      <c r="QCX14" s="119"/>
      <c r="QCY14" s="120"/>
      <c r="QCZ14" s="120"/>
      <c r="QDA14" s="120"/>
      <c r="QDB14" s="59"/>
      <c r="QDC14" s="119"/>
      <c r="QDD14" s="119"/>
      <c r="QDE14" s="119"/>
      <c r="QDF14" s="119"/>
      <c r="QDG14" s="119"/>
      <c r="QDH14" s="119"/>
      <c r="QDI14" s="119"/>
      <c r="QDJ14" s="119"/>
      <c r="QDK14" s="119"/>
      <c r="QDL14" s="119"/>
      <c r="QDM14" s="119"/>
      <c r="QDN14" s="119"/>
      <c r="QDO14" s="120"/>
      <c r="QDP14" s="120"/>
      <c r="QDQ14" s="120"/>
      <c r="QDR14" s="59"/>
      <c r="QDS14" s="119"/>
      <c r="QDT14" s="119"/>
      <c r="QDU14" s="119"/>
      <c r="QDV14" s="119"/>
      <c r="QDW14" s="119"/>
      <c r="QDX14" s="119"/>
      <c r="QDY14" s="119"/>
      <c r="QDZ14" s="119"/>
      <c r="QEA14" s="119"/>
      <c r="QEB14" s="119"/>
      <c r="QEC14" s="119"/>
      <c r="QED14" s="119"/>
      <c r="QEE14" s="120"/>
      <c r="QEF14" s="120"/>
      <c r="QEG14" s="120"/>
      <c r="QEH14" s="59"/>
      <c r="QEI14" s="119"/>
      <c r="QEJ14" s="119"/>
      <c r="QEK14" s="119"/>
      <c r="QEL14" s="119"/>
      <c r="QEM14" s="119"/>
      <c r="QEN14" s="119"/>
      <c r="QEO14" s="119"/>
      <c r="QEP14" s="119"/>
      <c r="QEQ14" s="119"/>
      <c r="QER14" s="119"/>
      <c r="QES14" s="119"/>
      <c r="QET14" s="119"/>
      <c r="QEU14" s="120"/>
      <c r="QEV14" s="120"/>
      <c r="QEW14" s="120"/>
      <c r="QEX14" s="59"/>
      <c r="QEY14" s="119"/>
      <c r="QEZ14" s="119"/>
      <c r="QFA14" s="119"/>
      <c r="QFB14" s="119"/>
      <c r="QFC14" s="119"/>
      <c r="QFD14" s="119"/>
      <c r="QFE14" s="119"/>
      <c r="QFF14" s="119"/>
      <c r="QFG14" s="119"/>
      <c r="QFH14" s="119"/>
      <c r="QFI14" s="119"/>
      <c r="QFJ14" s="119"/>
      <c r="QFK14" s="120"/>
      <c r="QFL14" s="120"/>
      <c r="QFM14" s="120"/>
      <c r="QFN14" s="59"/>
      <c r="QFO14" s="119"/>
      <c r="QFP14" s="119"/>
      <c r="QFQ14" s="119"/>
      <c r="QFR14" s="119"/>
      <c r="QFS14" s="119"/>
      <c r="QFT14" s="119"/>
      <c r="QFU14" s="119"/>
      <c r="QFV14" s="119"/>
      <c r="QFW14" s="119"/>
      <c r="QFX14" s="119"/>
      <c r="QFY14" s="119"/>
      <c r="QFZ14" s="119"/>
      <c r="QGA14" s="120"/>
      <c r="QGB14" s="120"/>
      <c r="QGC14" s="120"/>
      <c r="QGD14" s="59"/>
      <c r="QGE14" s="119"/>
      <c r="QGF14" s="119"/>
      <c r="QGG14" s="119"/>
      <c r="QGH14" s="119"/>
      <c r="QGI14" s="119"/>
      <c r="QGJ14" s="119"/>
      <c r="QGK14" s="119"/>
      <c r="QGL14" s="119"/>
      <c r="QGM14" s="119"/>
      <c r="QGN14" s="119"/>
      <c r="QGO14" s="119"/>
      <c r="QGP14" s="119"/>
      <c r="QGQ14" s="120"/>
      <c r="QGR14" s="120"/>
      <c r="QGS14" s="120"/>
      <c r="QGT14" s="59"/>
      <c r="QGU14" s="119"/>
      <c r="QGV14" s="119"/>
      <c r="QGW14" s="119"/>
      <c r="QGX14" s="119"/>
      <c r="QGY14" s="119"/>
      <c r="QGZ14" s="119"/>
      <c r="QHA14" s="119"/>
      <c r="QHB14" s="119"/>
      <c r="QHC14" s="119"/>
      <c r="QHD14" s="119"/>
      <c r="QHE14" s="119"/>
      <c r="QHF14" s="119"/>
      <c r="QHG14" s="120"/>
      <c r="QHH14" s="120"/>
      <c r="QHI14" s="120"/>
      <c r="QHJ14" s="59"/>
      <c r="QHK14" s="119"/>
      <c r="QHL14" s="119"/>
      <c r="QHM14" s="119"/>
      <c r="QHN14" s="119"/>
      <c r="QHO14" s="119"/>
      <c r="QHP14" s="119"/>
      <c r="QHQ14" s="119"/>
      <c r="QHR14" s="119"/>
      <c r="QHS14" s="119"/>
      <c r="QHT14" s="119"/>
      <c r="QHU14" s="119"/>
      <c r="QHV14" s="119"/>
      <c r="QHW14" s="120"/>
      <c r="QHX14" s="120"/>
      <c r="QHY14" s="120"/>
      <c r="QHZ14" s="59"/>
      <c r="QIA14" s="119"/>
      <c r="QIB14" s="119"/>
      <c r="QIC14" s="119"/>
      <c r="QID14" s="119"/>
      <c r="QIE14" s="119"/>
      <c r="QIF14" s="119"/>
      <c r="QIG14" s="119"/>
      <c r="QIH14" s="119"/>
      <c r="QII14" s="119"/>
      <c r="QIJ14" s="119"/>
      <c r="QIK14" s="119"/>
      <c r="QIL14" s="119"/>
      <c r="QIM14" s="120"/>
      <c r="QIN14" s="120"/>
      <c r="QIO14" s="120"/>
      <c r="QIP14" s="59"/>
      <c r="QIQ14" s="119"/>
      <c r="QIR14" s="119"/>
      <c r="QIS14" s="119"/>
      <c r="QIT14" s="119"/>
      <c r="QIU14" s="119"/>
      <c r="QIV14" s="119"/>
      <c r="QIW14" s="119"/>
      <c r="QIX14" s="119"/>
      <c r="QIY14" s="119"/>
      <c r="QIZ14" s="119"/>
      <c r="QJA14" s="119"/>
      <c r="QJB14" s="119"/>
      <c r="QJC14" s="120"/>
      <c r="QJD14" s="120"/>
      <c r="QJE14" s="120"/>
      <c r="QJF14" s="59"/>
      <c r="QJG14" s="119"/>
      <c r="QJH14" s="119"/>
      <c r="QJI14" s="119"/>
      <c r="QJJ14" s="119"/>
      <c r="QJK14" s="119"/>
      <c r="QJL14" s="119"/>
      <c r="QJM14" s="119"/>
      <c r="QJN14" s="119"/>
      <c r="QJO14" s="119"/>
      <c r="QJP14" s="119"/>
      <c r="QJQ14" s="119"/>
      <c r="QJR14" s="119"/>
      <c r="QJS14" s="120"/>
      <c r="QJT14" s="120"/>
      <c r="QJU14" s="120"/>
      <c r="QJV14" s="59"/>
      <c r="QJW14" s="119"/>
      <c r="QJX14" s="119"/>
      <c r="QJY14" s="119"/>
      <c r="QJZ14" s="119"/>
      <c r="QKA14" s="119"/>
      <c r="QKB14" s="119"/>
      <c r="QKC14" s="119"/>
      <c r="QKD14" s="119"/>
      <c r="QKE14" s="119"/>
      <c r="QKF14" s="119"/>
      <c r="QKG14" s="119"/>
      <c r="QKH14" s="119"/>
      <c r="QKI14" s="120"/>
      <c r="QKJ14" s="120"/>
      <c r="QKK14" s="120"/>
      <c r="QKL14" s="59"/>
      <c r="QKM14" s="119"/>
      <c r="QKN14" s="119"/>
      <c r="QKO14" s="119"/>
      <c r="QKP14" s="119"/>
      <c r="QKQ14" s="119"/>
      <c r="QKR14" s="119"/>
      <c r="QKS14" s="119"/>
      <c r="QKT14" s="119"/>
      <c r="QKU14" s="119"/>
      <c r="QKV14" s="119"/>
      <c r="QKW14" s="119"/>
      <c r="QKX14" s="119"/>
      <c r="QKY14" s="120"/>
      <c r="QKZ14" s="120"/>
      <c r="QLA14" s="120"/>
      <c r="QLB14" s="59"/>
      <c r="QLC14" s="119"/>
      <c r="QLD14" s="119"/>
      <c r="QLE14" s="119"/>
      <c r="QLF14" s="119"/>
      <c r="QLG14" s="119"/>
      <c r="QLH14" s="119"/>
      <c r="QLI14" s="119"/>
      <c r="QLJ14" s="119"/>
      <c r="QLK14" s="119"/>
      <c r="QLL14" s="119"/>
      <c r="QLM14" s="119"/>
      <c r="QLN14" s="119"/>
      <c r="QLO14" s="120"/>
      <c r="QLP14" s="120"/>
      <c r="QLQ14" s="120"/>
      <c r="QLR14" s="59"/>
      <c r="QLS14" s="119"/>
      <c r="QLT14" s="119"/>
      <c r="QLU14" s="119"/>
      <c r="QLV14" s="119"/>
      <c r="QLW14" s="119"/>
      <c r="QLX14" s="119"/>
      <c r="QLY14" s="119"/>
      <c r="QLZ14" s="119"/>
      <c r="QMA14" s="119"/>
      <c r="QMB14" s="119"/>
      <c r="QMC14" s="119"/>
      <c r="QMD14" s="119"/>
      <c r="QME14" s="120"/>
      <c r="QMF14" s="120"/>
      <c r="QMG14" s="120"/>
      <c r="QMH14" s="59"/>
      <c r="QMI14" s="119"/>
      <c r="QMJ14" s="119"/>
      <c r="QMK14" s="119"/>
      <c r="QML14" s="119"/>
      <c r="QMM14" s="119"/>
      <c r="QMN14" s="119"/>
      <c r="QMO14" s="119"/>
      <c r="QMP14" s="119"/>
      <c r="QMQ14" s="119"/>
      <c r="QMR14" s="119"/>
      <c r="QMS14" s="119"/>
      <c r="QMT14" s="119"/>
      <c r="QMU14" s="120"/>
      <c r="QMV14" s="120"/>
      <c r="QMW14" s="120"/>
      <c r="QMX14" s="59"/>
      <c r="QMY14" s="119"/>
      <c r="QMZ14" s="119"/>
      <c r="QNA14" s="119"/>
      <c r="QNB14" s="119"/>
      <c r="QNC14" s="119"/>
      <c r="QND14" s="119"/>
      <c r="QNE14" s="119"/>
      <c r="QNF14" s="119"/>
      <c r="QNG14" s="119"/>
      <c r="QNH14" s="119"/>
      <c r="QNI14" s="119"/>
      <c r="QNJ14" s="119"/>
      <c r="QNK14" s="120"/>
      <c r="QNL14" s="120"/>
      <c r="QNM14" s="120"/>
      <c r="QNN14" s="59"/>
      <c r="QNO14" s="119"/>
      <c r="QNP14" s="119"/>
      <c r="QNQ14" s="119"/>
      <c r="QNR14" s="119"/>
      <c r="QNS14" s="119"/>
      <c r="QNT14" s="119"/>
      <c r="QNU14" s="119"/>
      <c r="QNV14" s="119"/>
      <c r="QNW14" s="119"/>
      <c r="QNX14" s="119"/>
      <c r="QNY14" s="119"/>
      <c r="QNZ14" s="119"/>
      <c r="QOA14" s="120"/>
      <c r="QOB14" s="120"/>
      <c r="QOC14" s="120"/>
      <c r="QOD14" s="59"/>
      <c r="QOE14" s="119"/>
      <c r="QOF14" s="119"/>
      <c r="QOG14" s="119"/>
      <c r="QOH14" s="119"/>
      <c r="QOI14" s="119"/>
      <c r="QOJ14" s="119"/>
      <c r="QOK14" s="119"/>
      <c r="QOL14" s="119"/>
      <c r="QOM14" s="119"/>
      <c r="QON14" s="119"/>
      <c r="QOO14" s="119"/>
      <c r="QOP14" s="119"/>
      <c r="QOQ14" s="120"/>
      <c r="QOR14" s="120"/>
      <c r="QOS14" s="120"/>
      <c r="QOT14" s="59"/>
      <c r="QOU14" s="119"/>
      <c r="QOV14" s="119"/>
      <c r="QOW14" s="119"/>
      <c r="QOX14" s="119"/>
      <c r="QOY14" s="119"/>
      <c r="QOZ14" s="119"/>
      <c r="QPA14" s="119"/>
      <c r="QPB14" s="119"/>
      <c r="QPC14" s="119"/>
      <c r="QPD14" s="119"/>
      <c r="QPE14" s="119"/>
      <c r="QPF14" s="119"/>
      <c r="QPG14" s="120"/>
      <c r="QPH14" s="120"/>
      <c r="QPI14" s="120"/>
      <c r="QPJ14" s="59"/>
      <c r="QPK14" s="119"/>
      <c r="QPL14" s="119"/>
      <c r="QPM14" s="119"/>
      <c r="QPN14" s="119"/>
      <c r="QPO14" s="119"/>
      <c r="QPP14" s="119"/>
      <c r="QPQ14" s="119"/>
      <c r="QPR14" s="119"/>
      <c r="QPS14" s="119"/>
      <c r="QPT14" s="119"/>
      <c r="QPU14" s="119"/>
      <c r="QPV14" s="119"/>
      <c r="QPW14" s="120"/>
      <c r="QPX14" s="120"/>
      <c r="QPY14" s="120"/>
      <c r="QPZ14" s="59"/>
      <c r="QQA14" s="119"/>
      <c r="QQB14" s="119"/>
      <c r="QQC14" s="119"/>
      <c r="QQD14" s="119"/>
      <c r="QQE14" s="119"/>
      <c r="QQF14" s="119"/>
      <c r="QQG14" s="119"/>
      <c r="QQH14" s="119"/>
      <c r="QQI14" s="119"/>
      <c r="QQJ14" s="119"/>
      <c r="QQK14" s="119"/>
      <c r="QQL14" s="119"/>
      <c r="QQM14" s="120"/>
      <c r="QQN14" s="120"/>
      <c r="QQO14" s="120"/>
      <c r="QQP14" s="59"/>
      <c r="QQQ14" s="119"/>
      <c r="QQR14" s="119"/>
      <c r="QQS14" s="119"/>
      <c r="QQT14" s="119"/>
      <c r="QQU14" s="119"/>
      <c r="QQV14" s="119"/>
      <c r="QQW14" s="119"/>
      <c r="QQX14" s="119"/>
      <c r="QQY14" s="119"/>
      <c r="QQZ14" s="119"/>
      <c r="QRA14" s="119"/>
      <c r="QRB14" s="119"/>
      <c r="QRC14" s="120"/>
      <c r="QRD14" s="120"/>
      <c r="QRE14" s="120"/>
      <c r="QRF14" s="59"/>
      <c r="QRG14" s="119"/>
      <c r="QRH14" s="119"/>
      <c r="QRI14" s="119"/>
      <c r="QRJ14" s="119"/>
      <c r="QRK14" s="119"/>
      <c r="QRL14" s="119"/>
      <c r="QRM14" s="119"/>
      <c r="QRN14" s="119"/>
      <c r="QRO14" s="119"/>
      <c r="QRP14" s="119"/>
      <c r="QRQ14" s="119"/>
      <c r="QRR14" s="119"/>
      <c r="QRS14" s="120"/>
      <c r="QRT14" s="120"/>
      <c r="QRU14" s="120"/>
      <c r="QRV14" s="59"/>
      <c r="QRW14" s="119"/>
      <c r="QRX14" s="119"/>
      <c r="QRY14" s="119"/>
      <c r="QRZ14" s="119"/>
      <c r="QSA14" s="119"/>
      <c r="QSB14" s="119"/>
      <c r="QSC14" s="119"/>
      <c r="QSD14" s="119"/>
      <c r="QSE14" s="119"/>
      <c r="QSF14" s="119"/>
      <c r="QSG14" s="119"/>
      <c r="QSH14" s="119"/>
      <c r="QSI14" s="120"/>
      <c r="QSJ14" s="120"/>
      <c r="QSK14" s="120"/>
      <c r="QSL14" s="59"/>
      <c r="QSM14" s="119"/>
      <c r="QSN14" s="119"/>
      <c r="QSO14" s="119"/>
      <c r="QSP14" s="119"/>
      <c r="QSQ14" s="119"/>
      <c r="QSR14" s="119"/>
      <c r="QSS14" s="119"/>
      <c r="QST14" s="119"/>
      <c r="QSU14" s="119"/>
      <c r="QSV14" s="119"/>
      <c r="QSW14" s="119"/>
      <c r="QSX14" s="119"/>
      <c r="QSY14" s="120"/>
      <c r="QSZ14" s="120"/>
      <c r="QTA14" s="120"/>
      <c r="QTB14" s="59"/>
      <c r="QTC14" s="119"/>
      <c r="QTD14" s="119"/>
      <c r="QTE14" s="119"/>
      <c r="QTF14" s="119"/>
      <c r="QTG14" s="119"/>
      <c r="QTH14" s="119"/>
      <c r="QTI14" s="119"/>
      <c r="QTJ14" s="119"/>
      <c r="QTK14" s="119"/>
      <c r="QTL14" s="119"/>
      <c r="QTM14" s="119"/>
      <c r="QTN14" s="119"/>
      <c r="QTO14" s="120"/>
      <c r="QTP14" s="120"/>
      <c r="QTQ14" s="120"/>
      <c r="QTR14" s="59"/>
      <c r="QTS14" s="119"/>
      <c r="QTT14" s="119"/>
      <c r="QTU14" s="119"/>
      <c r="QTV14" s="119"/>
      <c r="QTW14" s="119"/>
      <c r="QTX14" s="119"/>
      <c r="QTY14" s="119"/>
      <c r="QTZ14" s="119"/>
      <c r="QUA14" s="119"/>
      <c r="QUB14" s="119"/>
      <c r="QUC14" s="119"/>
      <c r="QUD14" s="119"/>
      <c r="QUE14" s="120"/>
      <c r="QUF14" s="120"/>
      <c r="QUG14" s="120"/>
      <c r="QUH14" s="59"/>
      <c r="QUI14" s="119"/>
      <c r="QUJ14" s="119"/>
      <c r="QUK14" s="119"/>
      <c r="QUL14" s="119"/>
      <c r="QUM14" s="119"/>
      <c r="QUN14" s="119"/>
      <c r="QUO14" s="119"/>
      <c r="QUP14" s="119"/>
      <c r="QUQ14" s="119"/>
      <c r="QUR14" s="119"/>
      <c r="QUS14" s="119"/>
      <c r="QUT14" s="119"/>
      <c r="QUU14" s="120"/>
      <c r="QUV14" s="120"/>
      <c r="QUW14" s="120"/>
      <c r="QUX14" s="59"/>
      <c r="QUY14" s="119"/>
      <c r="QUZ14" s="119"/>
      <c r="QVA14" s="119"/>
      <c r="QVB14" s="119"/>
      <c r="QVC14" s="119"/>
      <c r="QVD14" s="119"/>
      <c r="QVE14" s="119"/>
      <c r="QVF14" s="119"/>
      <c r="QVG14" s="119"/>
      <c r="QVH14" s="119"/>
      <c r="QVI14" s="119"/>
      <c r="QVJ14" s="119"/>
      <c r="QVK14" s="120"/>
      <c r="QVL14" s="120"/>
      <c r="QVM14" s="120"/>
      <c r="QVN14" s="59"/>
      <c r="QVO14" s="119"/>
      <c r="QVP14" s="119"/>
      <c r="QVQ14" s="119"/>
      <c r="QVR14" s="119"/>
      <c r="QVS14" s="119"/>
      <c r="QVT14" s="119"/>
      <c r="QVU14" s="119"/>
      <c r="QVV14" s="119"/>
      <c r="QVW14" s="119"/>
      <c r="QVX14" s="119"/>
      <c r="QVY14" s="119"/>
      <c r="QVZ14" s="119"/>
      <c r="QWA14" s="120"/>
      <c r="QWB14" s="120"/>
      <c r="QWC14" s="120"/>
      <c r="QWD14" s="59"/>
      <c r="QWE14" s="119"/>
      <c r="QWF14" s="119"/>
      <c r="QWG14" s="119"/>
      <c r="QWH14" s="119"/>
      <c r="QWI14" s="119"/>
      <c r="QWJ14" s="119"/>
      <c r="QWK14" s="119"/>
      <c r="QWL14" s="119"/>
      <c r="QWM14" s="119"/>
      <c r="QWN14" s="119"/>
      <c r="QWO14" s="119"/>
      <c r="QWP14" s="119"/>
      <c r="QWQ14" s="120"/>
      <c r="QWR14" s="120"/>
      <c r="QWS14" s="120"/>
      <c r="QWT14" s="59"/>
      <c r="QWU14" s="119"/>
      <c r="QWV14" s="119"/>
      <c r="QWW14" s="119"/>
      <c r="QWX14" s="119"/>
      <c r="QWY14" s="119"/>
      <c r="QWZ14" s="119"/>
      <c r="QXA14" s="119"/>
      <c r="QXB14" s="119"/>
      <c r="QXC14" s="119"/>
      <c r="QXD14" s="119"/>
      <c r="QXE14" s="119"/>
      <c r="QXF14" s="119"/>
      <c r="QXG14" s="120"/>
      <c r="QXH14" s="120"/>
      <c r="QXI14" s="120"/>
      <c r="QXJ14" s="59"/>
      <c r="QXK14" s="119"/>
      <c r="QXL14" s="119"/>
      <c r="QXM14" s="119"/>
      <c r="QXN14" s="119"/>
      <c r="QXO14" s="119"/>
      <c r="QXP14" s="119"/>
      <c r="QXQ14" s="119"/>
      <c r="QXR14" s="119"/>
      <c r="QXS14" s="119"/>
      <c r="QXT14" s="119"/>
      <c r="QXU14" s="119"/>
      <c r="QXV14" s="119"/>
      <c r="QXW14" s="120"/>
      <c r="QXX14" s="120"/>
      <c r="QXY14" s="120"/>
      <c r="QXZ14" s="59"/>
      <c r="QYA14" s="119"/>
      <c r="QYB14" s="119"/>
      <c r="QYC14" s="119"/>
      <c r="QYD14" s="119"/>
      <c r="QYE14" s="119"/>
      <c r="QYF14" s="119"/>
      <c r="QYG14" s="119"/>
      <c r="QYH14" s="119"/>
      <c r="QYI14" s="119"/>
      <c r="QYJ14" s="119"/>
      <c r="QYK14" s="119"/>
      <c r="QYL14" s="119"/>
      <c r="QYM14" s="120"/>
      <c r="QYN14" s="120"/>
      <c r="QYO14" s="120"/>
      <c r="QYP14" s="59"/>
      <c r="QYQ14" s="119"/>
      <c r="QYR14" s="119"/>
      <c r="QYS14" s="119"/>
      <c r="QYT14" s="119"/>
      <c r="QYU14" s="119"/>
      <c r="QYV14" s="119"/>
      <c r="QYW14" s="119"/>
      <c r="QYX14" s="119"/>
      <c r="QYY14" s="119"/>
      <c r="QYZ14" s="119"/>
      <c r="QZA14" s="119"/>
      <c r="QZB14" s="119"/>
      <c r="QZC14" s="120"/>
      <c r="QZD14" s="120"/>
      <c r="QZE14" s="120"/>
      <c r="QZF14" s="59"/>
      <c r="QZG14" s="119"/>
      <c r="QZH14" s="119"/>
      <c r="QZI14" s="119"/>
      <c r="QZJ14" s="119"/>
      <c r="QZK14" s="119"/>
      <c r="QZL14" s="119"/>
      <c r="QZM14" s="119"/>
      <c r="QZN14" s="119"/>
      <c r="QZO14" s="119"/>
      <c r="QZP14" s="119"/>
      <c r="QZQ14" s="119"/>
      <c r="QZR14" s="119"/>
      <c r="QZS14" s="120"/>
      <c r="QZT14" s="120"/>
      <c r="QZU14" s="120"/>
      <c r="QZV14" s="59"/>
      <c r="QZW14" s="119"/>
      <c r="QZX14" s="119"/>
      <c r="QZY14" s="119"/>
      <c r="QZZ14" s="119"/>
      <c r="RAA14" s="119"/>
      <c r="RAB14" s="119"/>
      <c r="RAC14" s="119"/>
      <c r="RAD14" s="119"/>
      <c r="RAE14" s="119"/>
      <c r="RAF14" s="119"/>
      <c r="RAG14" s="119"/>
      <c r="RAH14" s="119"/>
      <c r="RAI14" s="120"/>
      <c r="RAJ14" s="120"/>
      <c r="RAK14" s="120"/>
      <c r="RAL14" s="59"/>
      <c r="RAM14" s="119"/>
      <c r="RAN14" s="119"/>
      <c r="RAO14" s="119"/>
      <c r="RAP14" s="119"/>
      <c r="RAQ14" s="119"/>
      <c r="RAR14" s="119"/>
      <c r="RAS14" s="119"/>
      <c r="RAT14" s="119"/>
      <c r="RAU14" s="119"/>
      <c r="RAV14" s="119"/>
      <c r="RAW14" s="119"/>
      <c r="RAX14" s="119"/>
      <c r="RAY14" s="120"/>
      <c r="RAZ14" s="120"/>
      <c r="RBA14" s="120"/>
      <c r="RBB14" s="59"/>
      <c r="RBC14" s="119"/>
      <c r="RBD14" s="119"/>
      <c r="RBE14" s="119"/>
      <c r="RBF14" s="119"/>
      <c r="RBG14" s="119"/>
      <c r="RBH14" s="119"/>
      <c r="RBI14" s="119"/>
      <c r="RBJ14" s="119"/>
      <c r="RBK14" s="119"/>
      <c r="RBL14" s="119"/>
      <c r="RBM14" s="119"/>
      <c r="RBN14" s="119"/>
      <c r="RBO14" s="120"/>
      <c r="RBP14" s="120"/>
      <c r="RBQ14" s="120"/>
      <c r="RBR14" s="59"/>
      <c r="RBS14" s="119"/>
      <c r="RBT14" s="119"/>
      <c r="RBU14" s="119"/>
      <c r="RBV14" s="119"/>
      <c r="RBW14" s="119"/>
      <c r="RBX14" s="119"/>
      <c r="RBY14" s="119"/>
      <c r="RBZ14" s="119"/>
      <c r="RCA14" s="119"/>
      <c r="RCB14" s="119"/>
      <c r="RCC14" s="119"/>
      <c r="RCD14" s="119"/>
      <c r="RCE14" s="120"/>
      <c r="RCF14" s="120"/>
      <c r="RCG14" s="120"/>
      <c r="RCH14" s="59"/>
      <c r="RCI14" s="119"/>
      <c r="RCJ14" s="119"/>
      <c r="RCK14" s="119"/>
      <c r="RCL14" s="119"/>
      <c r="RCM14" s="119"/>
      <c r="RCN14" s="119"/>
      <c r="RCO14" s="119"/>
      <c r="RCP14" s="119"/>
      <c r="RCQ14" s="119"/>
      <c r="RCR14" s="119"/>
      <c r="RCS14" s="119"/>
      <c r="RCT14" s="119"/>
      <c r="RCU14" s="120"/>
      <c r="RCV14" s="120"/>
      <c r="RCW14" s="120"/>
      <c r="RCX14" s="59"/>
      <c r="RCY14" s="119"/>
      <c r="RCZ14" s="119"/>
      <c r="RDA14" s="119"/>
      <c r="RDB14" s="119"/>
      <c r="RDC14" s="119"/>
      <c r="RDD14" s="119"/>
      <c r="RDE14" s="119"/>
      <c r="RDF14" s="119"/>
      <c r="RDG14" s="119"/>
      <c r="RDH14" s="119"/>
      <c r="RDI14" s="119"/>
      <c r="RDJ14" s="119"/>
      <c r="RDK14" s="120"/>
      <c r="RDL14" s="120"/>
      <c r="RDM14" s="120"/>
      <c r="RDN14" s="59"/>
      <c r="RDO14" s="119"/>
      <c r="RDP14" s="119"/>
      <c r="RDQ14" s="119"/>
      <c r="RDR14" s="119"/>
      <c r="RDS14" s="119"/>
      <c r="RDT14" s="119"/>
      <c r="RDU14" s="119"/>
      <c r="RDV14" s="119"/>
      <c r="RDW14" s="119"/>
      <c r="RDX14" s="119"/>
      <c r="RDY14" s="119"/>
      <c r="RDZ14" s="119"/>
      <c r="REA14" s="120"/>
      <c r="REB14" s="120"/>
      <c r="REC14" s="120"/>
      <c r="RED14" s="59"/>
      <c r="REE14" s="119"/>
      <c r="REF14" s="119"/>
      <c r="REG14" s="119"/>
      <c r="REH14" s="119"/>
      <c r="REI14" s="119"/>
      <c r="REJ14" s="119"/>
      <c r="REK14" s="119"/>
      <c r="REL14" s="119"/>
      <c r="REM14" s="119"/>
      <c r="REN14" s="119"/>
      <c r="REO14" s="119"/>
      <c r="REP14" s="119"/>
      <c r="REQ14" s="120"/>
      <c r="RER14" s="120"/>
      <c r="RES14" s="120"/>
      <c r="RET14" s="59"/>
      <c r="REU14" s="119"/>
      <c r="REV14" s="119"/>
      <c r="REW14" s="119"/>
      <c r="REX14" s="119"/>
      <c r="REY14" s="119"/>
      <c r="REZ14" s="119"/>
      <c r="RFA14" s="119"/>
      <c r="RFB14" s="119"/>
      <c r="RFC14" s="119"/>
      <c r="RFD14" s="119"/>
      <c r="RFE14" s="119"/>
      <c r="RFF14" s="119"/>
      <c r="RFG14" s="120"/>
      <c r="RFH14" s="120"/>
      <c r="RFI14" s="120"/>
      <c r="RFJ14" s="59"/>
      <c r="RFK14" s="119"/>
      <c r="RFL14" s="119"/>
      <c r="RFM14" s="119"/>
      <c r="RFN14" s="119"/>
      <c r="RFO14" s="119"/>
      <c r="RFP14" s="119"/>
      <c r="RFQ14" s="119"/>
      <c r="RFR14" s="119"/>
      <c r="RFS14" s="119"/>
      <c r="RFT14" s="119"/>
      <c r="RFU14" s="119"/>
      <c r="RFV14" s="119"/>
      <c r="RFW14" s="120"/>
      <c r="RFX14" s="120"/>
      <c r="RFY14" s="120"/>
      <c r="RFZ14" s="59"/>
      <c r="RGA14" s="119"/>
      <c r="RGB14" s="119"/>
      <c r="RGC14" s="119"/>
      <c r="RGD14" s="119"/>
      <c r="RGE14" s="119"/>
      <c r="RGF14" s="119"/>
      <c r="RGG14" s="119"/>
      <c r="RGH14" s="119"/>
      <c r="RGI14" s="119"/>
      <c r="RGJ14" s="119"/>
      <c r="RGK14" s="119"/>
      <c r="RGL14" s="119"/>
      <c r="RGM14" s="120"/>
      <c r="RGN14" s="120"/>
      <c r="RGO14" s="120"/>
      <c r="RGP14" s="59"/>
      <c r="RGQ14" s="119"/>
      <c r="RGR14" s="119"/>
      <c r="RGS14" s="119"/>
      <c r="RGT14" s="119"/>
      <c r="RGU14" s="119"/>
      <c r="RGV14" s="119"/>
      <c r="RGW14" s="119"/>
      <c r="RGX14" s="119"/>
      <c r="RGY14" s="119"/>
      <c r="RGZ14" s="119"/>
      <c r="RHA14" s="119"/>
      <c r="RHB14" s="119"/>
      <c r="RHC14" s="120"/>
      <c r="RHD14" s="120"/>
      <c r="RHE14" s="120"/>
      <c r="RHF14" s="59"/>
      <c r="RHG14" s="119"/>
      <c r="RHH14" s="119"/>
      <c r="RHI14" s="119"/>
      <c r="RHJ14" s="119"/>
      <c r="RHK14" s="119"/>
      <c r="RHL14" s="119"/>
      <c r="RHM14" s="119"/>
      <c r="RHN14" s="119"/>
      <c r="RHO14" s="119"/>
      <c r="RHP14" s="119"/>
      <c r="RHQ14" s="119"/>
      <c r="RHR14" s="119"/>
      <c r="RHS14" s="120"/>
      <c r="RHT14" s="120"/>
      <c r="RHU14" s="120"/>
      <c r="RHV14" s="59"/>
      <c r="RHW14" s="119"/>
      <c r="RHX14" s="119"/>
      <c r="RHY14" s="119"/>
      <c r="RHZ14" s="119"/>
      <c r="RIA14" s="119"/>
      <c r="RIB14" s="119"/>
      <c r="RIC14" s="119"/>
      <c r="RID14" s="119"/>
      <c r="RIE14" s="119"/>
      <c r="RIF14" s="119"/>
      <c r="RIG14" s="119"/>
      <c r="RIH14" s="119"/>
      <c r="RII14" s="120"/>
      <c r="RIJ14" s="120"/>
      <c r="RIK14" s="120"/>
      <c r="RIL14" s="59"/>
      <c r="RIM14" s="119"/>
      <c r="RIN14" s="119"/>
      <c r="RIO14" s="119"/>
      <c r="RIP14" s="119"/>
      <c r="RIQ14" s="119"/>
      <c r="RIR14" s="119"/>
      <c r="RIS14" s="119"/>
      <c r="RIT14" s="119"/>
      <c r="RIU14" s="119"/>
      <c r="RIV14" s="119"/>
      <c r="RIW14" s="119"/>
      <c r="RIX14" s="119"/>
      <c r="RIY14" s="120"/>
      <c r="RIZ14" s="120"/>
      <c r="RJA14" s="120"/>
      <c r="RJB14" s="59"/>
      <c r="RJC14" s="119"/>
      <c r="RJD14" s="119"/>
      <c r="RJE14" s="119"/>
      <c r="RJF14" s="119"/>
      <c r="RJG14" s="119"/>
      <c r="RJH14" s="119"/>
      <c r="RJI14" s="119"/>
      <c r="RJJ14" s="119"/>
      <c r="RJK14" s="119"/>
      <c r="RJL14" s="119"/>
      <c r="RJM14" s="119"/>
      <c r="RJN14" s="119"/>
      <c r="RJO14" s="120"/>
      <c r="RJP14" s="120"/>
      <c r="RJQ14" s="120"/>
      <c r="RJR14" s="59"/>
      <c r="RJS14" s="119"/>
      <c r="RJT14" s="119"/>
      <c r="RJU14" s="119"/>
      <c r="RJV14" s="119"/>
      <c r="RJW14" s="119"/>
      <c r="RJX14" s="119"/>
      <c r="RJY14" s="119"/>
      <c r="RJZ14" s="119"/>
      <c r="RKA14" s="119"/>
      <c r="RKB14" s="119"/>
      <c r="RKC14" s="119"/>
      <c r="RKD14" s="119"/>
      <c r="RKE14" s="120"/>
      <c r="RKF14" s="120"/>
      <c r="RKG14" s="120"/>
      <c r="RKH14" s="59"/>
      <c r="RKI14" s="119"/>
      <c r="RKJ14" s="119"/>
      <c r="RKK14" s="119"/>
      <c r="RKL14" s="119"/>
      <c r="RKM14" s="119"/>
      <c r="RKN14" s="119"/>
      <c r="RKO14" s="119"/>
      <c r="RKP14" s="119"/>
      <c r="RKQ14" s="119"/>
      <c r="RKR14" s="119"/>
      <c r="RKS14" s="119"/>
      <c r="RKT14" s="119"/>
      <c r="RKU14" s="120"/>
      <c r="RKV14" s="120"/>
      <c r="RKW14" s="120"/>
      <c r="RKX14" s="59"/>
      <c r="RKY14" s="119"/>
      <c r="RKZ14" s="119"/>
      <c r="RLA14" s="119"/>
      <c r="RLB14" s="119"/>
      <c r="RLC14" s="119"/>
      <c r="RLD14" s="119"/>
      <c r="RLE14" s="119"/>
      <c r="RLF14" s="119"/>
      <c r="RLG14" s="119"/>
      <c r="RLH14" s="119"/>
      <c r="RLI14" s="119"/>
      <c r="RLJ14" s="119"/>
      <c r="RLK14" s="120"/>
      <c r="RLL14" s="120"/>
      <c r="RLM14" s="120"/>
      <c r="RLN14" s="59"/>
      <c r="RLO14" s="119"/>
      <c r="RLP14" s="119"/>
      <c r="RLQ14" s="119"/>
      <c r="RLR14" s="119"/>
      <c r="RLS14" s="119"/>
      <c r="RLT14" s="119"/>
      <c r="RLU14" s="119"/>
      <c r="RLV14" s="119"/>
      <c r="RLW14" s="119"/>
      <c r="RLX14" s="119"/>
      <c r="RLY14" s="119"/>
      <c r="RLZ14" s="119"/>
      <c r="RMA14" s="120"/>
      <c r="RMB14" s="120"/>
      <c r="RMC14" s="120"/>
      <c r="RMD14" s="59"/>
      <c r="RME14" s="119"/>
      <c r="RMF14" s="119"/>
      <c r="RMG14" s="119"/>
      <c r="RMH14" s="119"/>
      <c r="RMI14" s="119"/>
      <c r="RMJ14" s="119"/>
      <c r="RMK14" s="119"/>
      <c r="RML14" s="119"/>
      <c r="RMM14" s="119"/>
      <c r="RMN14" s="119"/>
      <c r="RMO14" s="119"/>
      <c r="RMP14" s="119"/>
      <c r="RMQ14" s="120"/>
      <c r="RMR14" s="120"/>
      <c r="RMS14" s="120"/>
      <c r="RMT14" s="59"/>
      <c r="RMU14" s="119"/>
      <c r="RMV14" s="119"/>
      <c r="RMW14" s="119"/>
      <c r="RMX14" s="119"/>
      <c r="RMY14" s="119"/>
      <c r="RMZ14" s="119"/>
      <c r="RNA14" s="119"/>
      <c r="RNB14" s="119"/>
      <c r="RNC14" s="119"/>
      <c r="RND14" s="119"/>
      <c r="RNE14" s="119"/>
      <c r="RNF14" s="119"/>
      <c r="RNG14" s="120"/>
      <c r="RNH14" s="120"/>
      <c r="RNI14" s="120"/>
      <c r="RNJ14" s="59"/>
      <c r="RNK14" s="119"/>
      <c r="RNL14" s="119"/>
      <c r="RNM14" s="119"/>
      <c r="RNN14" s="119"/>
      <c r="RNO14" s="119"/>
      <c r="RNP14" s="119"/>
      <c r="RNQ14" s="119"/>
      <c r="RNR14" s="119"/>
      <c r="RNS14" s="119"/>
      <c r="RNT14" s="119"/>
      <c r="RNU14" s="119"/>
      <c r="RNV14" s="119"/>
      <c r="RNW14" s="120"/>
      <c r="RNX14" s="120"/>
      <c r="RNY14" s="120"/>
      <c r="RNZ14" s="59"/>
      <c r="ROA14" s="119"/>
      <c r="ROB14" s="119"/>
      <c r="ROC14" s="119"/>
      <c r="ROD14" s="119"/>
      <c r="ROE14" s="119"/>
      <c r="ROF14" s="119"/>
      <c r="ROG14" s="119"/>
      <c r="ROH14" s="119"/>
      <c r="ROI14" s="119"/>
      <c r="ROJ14" s="119"/>
      <c r="ROK14" s="119"/>
      <c r="ROL14" s="119"/>
      <c r="ROM14" s="120"/>
      <c r="RON14" s="120"/>
      <c r="ROO14" s="120"/>
      <c r="ROP14" s="59"/>
      <c r="ROQ14" s="119"/>
      <c r="ROR14" s="119"/>
      <c r="ROS14" s="119"/>
      <c r="ROT14" s="119"/>
      <c r="ROU14" s="119"/>
      <c r="ROV14" s="119"/>
      <c r="ROW14" s="119"/>
      <c r="ROX14" s="119"/>
      <c r="ROY14" s="119"/>
      <c r="ROZ14" s="119"/>
      <c r="RPA14" s="119"/>
      <c r="RPB14" s="119"/>
      <c r="RPC14" s="120"/>
      <c r="RPD14" s="120"/>
      <c r="RPE14" s="120"/>
      <c r="RPF14" s="59"/>
      <c r="RPG14" s="119"/>
      <c r="RPH14" s="119"/>
      <c r="RPI14" s="119"/>
      <c r="RPJ14" s="119"/>
      <c r="RPK14" s="119"/>
      <c r="RPL14" s="119"/>
      <c r="RPM14" s="119"/>
      <c r="RPN14" s="119"/>
      <c r="RPO14" s="119"/>
      <c r="RPP14" s="119"/>
      <c r="RPQ14" s="119"/>
      <c r="RPR14" s="119"/>
      <c r="RPS14" s="120"/>
      <c r="RPT14" s="120"/>
      <c r="RPU14" s="120"/>
      <c r="RPV14" s="59"/>
      <c r="RPW14" s="119"/>
      <c r="RPX14" s="119"/>
      <c r="RPY14" s="119"/>
      <c r="RPZ14" s="119"/>
      <c r="RQA14" s="119"/>
      <c r="RQB14" s="119"/>
      <c r="RQC14" s="119"/>
      <c r="RQD14" s="119"/>
      <c r="RQE14" s="119"/>
      <c r="RQF14" s="119"/>
      <c r="RQG14" s="119"/>
      <c r="RQH14" s="119"/>
      <c r="RQI14" s="120"/>
      <c r="RQJ14" s="120"/>
      <c r="RQK14" s="120"/>
      <c r="RQL14" s="59"/>
      <c r="RQM14" s="119"/>
      <c r="RQN14" s="119"/>
      <c r="RQO14" s="119"/>
      <c r="RQP14" s="119"/>
      <c r="RQQ14" s="119"/>
      <c r="RQR14" s="119"/>
      <c r="RQS14" s="119"/>
      <c r="RQT14" s="119"/>
      <c r="RQU14" s="119"/>
      <c r="RQV14" s="119"/>
      <c r="RQW14" s="119"/>
      <c r="RQX14" s="119"/>
      <c r="RQY14" s="120"/>
      <c r="RQZ14" s="120"/>
      <c r="RRA14" s="120"/>
      <c r="RRB14" s="59"/>
      <c r="RRC14" s="119"/>
      <c r="RRD14" s="119"/>
      <c r="RRE14" s="119"/>
      <c r="RRF14" s="119"/>
      <c r="RRG14" s="119"/>
      <c r="RRH14" s="119"/>
      <c r="RRI14" s="119"/>
      <c r="RRJ14" s="119"/>
      <c r="RRK14" s="119"/>
      <c r="RRL14" s="119"/>
      <c r="RRM14" s="119"/>
      <c r="RRN14" s="119"/>
      <c r="RRO14" s="120"/>
      <c r="RRP14" s="120"/>
      <c r="RRQ14" s="120"/>
      <c r="RRR14" s="59"/>
      <c r="RRS14" s="119"/>
      <c r="RRT14" s="119"/>
      <c r="RRU14" s="119"/>
      <c r="RRV14" s="119"/>
      <c r="RRW14" s="119"/>
      <c r="RRX14" s="119"/>
      <c r="RRY14" s="119"/>
      <c r="RRZ14" s="119"/>
      <c r="RSA14" s="119"/>
      <c r="RSB14" s="119"/>
      <c r="RSC14" s="119"/>
      <c r="RSD14" s="119"/>
      <c r="RSE14" s="120"/>
      <c r="RSF14" s="120"/>
      <c r="RSG14" s="120"/>
      <c r="RSH14" s="59"/>
      <c r="RSI14" s="119"/>
      <c r="RSJ14" s="119"/>
      <c r="RSK14" s="119"/>
      <c r="RSL14" s="119"/>
      <c r="RSM14" s="119"/>
      <c r="RSN14" s="119"/>
      <c r="RSO14" s="119"/>
      <c r="RSP14" s="119"/>
      <c r="RSQ14" s="119"/>
      <c r="RSR14" s="119"/>
      <c r="RSS14" s="119"/>
      <c r="RST14" s="119"/>
      <c r="RSU14" s="120"/>
      <c r="RSV14" s="120"/>
      <c r="RSW14" s="120"/>
      <c r="RSX14" s="59"/>
      <c r="RSY14" s="119"/>
      <c r="RSZ14" s="119"/>
      <c r="RTA14" s="119"/>
      <c r="RTB14" s="119"/>
      <c r="RTC14" s="119"/>
      <c r="RTD14" s="119"/>
      <c r="RTE14" s="119"/>
      <c r="RTF14" s="119"/>
      <c r="RTG14" s="119"/>
      <c r="RTH14" s="119"/>
      <c r="RTI14" s="119"/>
      <c r="RTJ14" s="119"/>
      <c r="RTK14" s="120"/>
      <c r="RTL14" s="120"/>
      <c r="RTM14" s="120"/>
      <c r="RTN14" s="59"/>
      <c r="RTO14" s="119"/>
      <c r="RTP14" s="119"/>
      <c r="RTQ14" s="119"/>
      <c r="RTR14" s="119"/>
      <c r="RTS14" s="119"/>
      <c r="RTT14" s="119"/>
      <c r="RTU14" s="119"/>
      <c r="RTV14" s="119"/>
      <c r="RTW14" s="119"/>
      <c r="RTX14" s="119"/>
      <c r="RTY14" s="119"/>
      <c r="RTZ14" s="119"/>
      <c r="RUA14" s="120"/>
      <c r="RUB14" s="120"/>
      <c r="RUC14" s="120"/>
      <c r="RUD14" s="59"/>
      <c r="RUE14" s="119"/>
      <c r="RUF14" s="119"/>
      <c r="RUG14" s="119"/>
      <c r="RUH14" s="119"/>
      <c r="RUI14" s="119"/>
      <c r="RUJ14" s="119"/>
      <c r="RUK14" s="119"/>
      <c r="RUL14" s="119"/>
      <c r="RUM14" s="119"/>
      <c r="RUN14" s="119"/>
      <c r="RUO14" s="119"/>
      <c r="RUP14" s="119"/>
      <c r="RUQ14" s="120"/>
      <c r="RUR14" s="120"/>
      <c r="RUS14" s="120"/>
      <c r="RUT14" s="59"/>
      <c r="RUU14" s="119"/>
      <c r="RUV14" s="119"/>
      <c r="RUW14" s="119"/>
      <c r="RUX14" s="119"/>
      <c r="RUY14" s="119"/>
      <c r="RUZ14" s="119"/>
      <c r="RVA14" s="119"/>
      <c r="RVB14" s="119"/>
      <c r="RVC14" s="119"/>
      <c r="RVD14" s="119"/>
      <c r="RVE14" s="119"/>
      <c r="RVF14" s="119"/>
      <c r="RVG14" s="120"/>
      <c r="RVH14" s="120"/>
      <c r="RVI14" s="120"/>
      <c r="RVJ14" s="59"/>
      <c r="RVK14" s="119"/>
      <c r="RVL14" s="119"/>
      <c r="RVM14" s="119"/>
      <c r="RVN14" s="119"/>
      <c r="RVO14" s="119"/>
      <c r="RVP14" s="119"/>
      <c r="RVQ14" s="119"/>
      <c r="RVR14" s="119"/>
      <c r="RVS14" s="119"/>
      <c r="RVT14" s="119"/>
      <c r="RVU14" s="119"/>
      <c r="RVV14" s="119"/>
      <c r="RVW14" s="120"/>
      <c r="RVX14" s="120"/>
      <c r="RVY14" s="120"/>
      <c r="RVZ14" s="59"/>
      <c r="RWA14" s="119"/>
      <c r="RWB14" s="119"/>
      <c r="RWC14" s="119"/>
      <c r="RWD14" s="119"/>
      <c r="RWE14" s="119"/>
      <c r="RWF14" s="119"/>
      <c r="RWG14" s="119"/>
      <c r="RWH14" s="119"/>
      <c r="RWI14" s="119"/>
      <c r="RWJ14" s="119"/>
      <c r="RWK14" s="119"/>
      <c r="RWL14" s="119"/>
      <c r="RWM14" s="120"/>
      <c r="RWN14" s="120"/>
      <c r="RWO14" s="120"/>
      <c r="RWP14" s="59"/>
      <c r="RWQ14" s="119"/>
      <c r="RWR14" s="119"/>
      <c r="RWS14" s="119"/>
      <c r="RWT14" s="119"/>
      <c r="RWU14" s="119"/>
      <c r="RWV14" s="119"/>
      <c r="RWW14" s="119"/>
      <c r="RWX14" s="119"/>
      <c r="RWY14" s="119"/>
      <c r="RWZ14" s="119"/>
      <c r="RXA14" s="119"/>
      <c r="RXB14" s="119"/>
      <c r="RXC14" s="120"/>
      <c r="RXD14" s="120"/>
      <c r="RXE14" s="120"/>
      <c r="RXF14" s="59"/>
      <c r="RXG14" s="119"/>
      <c r="RXH14" s="119"/>
      <c r="RXI14" s="119"/>
      <c r="RXJ14" s="119"/>
      <c r="RXK14" s="119"/>
      <c r="RXL14" s="119"/>
      <c r="RXM14" s="119"/>
      <c r="RXN14" s="119"/>
      <c r="RXO14" s="119"/>
      <c r="RXP14" s="119"/>
      <c r="RXQ14" s="119"/>
      <c r="RXR14" s="119"/>
      <c r="RXS14" s="120"/>
      <c r="RXT14" s="120"/>
      <c r="RXU14" s="120"/>
      <c r="RXV14" s="59"/>
      <c r="RXW14" s="119"/>
      <c r="RXX14" s="119"/>
      <c r="RXY14" s="119"/>
      <c r="RXZ14" s="119"/>
      <c r="RYA14" s="119"/>
      <c r="RYB14" s="119"/>
      <c r="RYC14" s="119"/>
      <c r="RYD14" s="119"/>
      <c r="RYE14" s="119"/>
      <c r="RYF14" s="119"/>
      <c r="RYG14" s="119"/>
      <c r="RYH14" s="119"/>
      <c r="RYI14" s="120"/>
      <c r="RYJ14" s="120"/>
      <c r="RYK14" s="120"/>
      <c r="RYL14" s="59"/>
      <c r="RYM14" s="119"/>
      <c r="RYN14" s="119"/>
      <c r="RYO14" s="119"/>
      <c r="RYP14" s="119"/>
      <c r="RYQ14" s="119"/>
      <c r="RYR14" s="119"/>
      <c r="RYS14" s="119"/>
      <c r="RYT14" s="119"/>
      <c r="RYU14" s="119"/>
      <c r="RYV14" s="119"/>
      <c r="RYW14" s="119"/>
      <c r="RYX14" s="119"/>
      <c r="RYY14" s="120"/>
      <c r="RYZ14" s="120"/>
      <c r="RZA14" s="120"/>
      <c r="RZB14" s="59"/>
      <c r="RZC14" s="119"/>
      <c r="RZD14" s="119"/>
      <c r="RZE14" s="119"/>
      <c r="RZF14" s="119"/>
      <c r="RZG14" s="119"/>
      <c r="RZH14" s="119"/>
      <c r="RZI14" s="119"/>
      <c r="RZJ14" s="119"/>
      <c r="RZK14" s="119"/>
      <c r="RZL14" s="119"/>
      <c r="RZM14" s="119"/>
      <c r="RZN14" s="119"/>
      <c r="RZO14" s="120"/>
      <c r="RZP14" s="120"/>
      <c r="RZQ14" s="120"/>
      <c r="RZR14" s="59"/>
      <c r="RZS14" s="119"/>
      <c r="RZT14" s="119"/>
      <c r="RZU14" s="119"/>
      <c r="RZV14" s="119"/>
      <c r="RZW14" s="119"/>
      <c r="RZX14" s="119"/>
      <c r="RZY14" s="119"/>
      <c r="RZZ14" s="119"/>
      <c r="SAA14" s="119"/>
      <c r="SAB14" s="119"/>
      <c r="SAC14" s="119"/>
      <c r="SAD14" s="119"/>
      <c r="SAE14" s="120"/>
      <c r="SAF14" s="120"/>
      <c r="SAG14" s="120"/>
      <c r="SAH14" s="59"/>
      <c r="SAI14" s="119"/>
      <c r="SAJ14" s="119"/>
      <c r="SAK14" s="119"/>
      <c r="SAL14" s="119"/>
      <c r="SAM14" s="119"/>
      <c r="SAN14" s="119"/>
      <c r="SAO14" s="119"/>
      <c r="SAP14" s="119"/>
      <c r="SAQ14" s="119"/>
      <c r="SAR14" s="119"/>
      <c r="SAS14" s="119"/>
      <c r="SAT14" s="119"/>
      <c r="SAU14" s="120"/>
      <c r="SAV14" s="120"/>
      <c r="SAW14" s="120"/>
      <c r="SAX14" s="59"/>
      <c r="SAY14" s="119"/>
      <c r="SAZ14" s="119"/>
      <c r="SBA14" s="119"/>
      <c r="SBB14" s="119"/>
      <c r="SBC14" s="119"/>
      <c r="SBD14" s="119"/>
      <c r="SBE14" s="119"/>
      <c r="SBF14" s="119"/>
      <c r="SBG14" s="119"/>
      <c r="SBH14" s="119"/>
      <c r="SBI14" s="119"/>
      <c r="SBJ14" s="119"/>
      <c r="SBK14" s="120"/>
      <c r="SBL14" s="120"/>
      <c r="SBM14" s="120"/>
      <c r="SBN14" s="59"/>
      <c r="SBO14" s="119"/>
      <c r="SBP14" s="119"/>
      <c r="SBQ14" s="119"/>
      <c r="SBR14" s="119"/>
      <c r="SBS14" s="119"/>
      <c r="SBT14" s="119"/>
      <c r="SBU14" s="119"/>
      <c r="SBV14" s="119"/>
      <c r="SBW14" s="119"/>
      <c r="SBX14" s="119"/>
      <c r="SBY14" s="119"/>
      <c r="SBZ14" s="119"/>
      <c r="SCA14" s="120"/>
      <c r="SCB14" s="120"/>
      <c r="SCC14" s="120"/>
      <c r="SCD14" s="59"/>
      <c r="SCE14" s="119"/>
      <c r="SCF14" s="119"/>
      <c r="SCG14" s="119"/>
      <c r="SCH14" s="119"/>
      <c r="SCI14" s="119"/>
      <c r="SCJ14" s="119"/>
      <c r="SCK14" s="119"/>
      <c r="SCL14" s="119"/>
      <c r="SCM14" s="119"/>
      <c r="SCN14" s="119"/>
      <c r="SCO14" s="119"/>
      <c r="SCP14" s="119"/>
      <c r="SCQ14" s="120"/>
      <c r="SCR14" s="120"/>
      <c r="SCS14" s="120"/>
      <c r="SCT14" s="59"/>
      <c r="SCU14" s="119"/>
      <c r="SCV14" s="119"/>
      <c r="SCW14" s="119"/>
      <c r="SCX14" s="119"/>
      <c r="SCY14" s="119"/>
      <c r="SCZ14" s="119"/>
      <c r="SDA14" s="119"/>
      <c r="SDB14" s="119"/>
      <c r="SDC14" s="119"/>
      <c r="SDD14" s="119"/>
      <c r="SDE14" s="119"/>
      <c r="SDF14" s="119"/>
      <c r="SDG14" s="120"/>
      <c r="SDH14" s="120"/>
      <c r="SDI14" s="120"/>
      <c r="SDJ14" s="59"/>
      <c r="SDK14" s="119"/>
      <c r="SDL14" s="119"/>
      <c r="SDM14" s="119"/>
      <c r="SDN14" s="119"/>
      <c r="SDO14" s="119"/>
      <c r="SDP14" s="119"/>
      <c r="SDQ14" s="119"/>
      <c r="SDR14" s="119"/>
      <c r="SDS14" s="119"/>
      <c r="SDT14" s="119"/>
      <c r="SDU14" s="119"/>
      <c r="SDV14" s="119"/>
      <c r="SDW14" s="120"/>
      <c r="SDX14" s="120"/>
      <c r="SDY14" s="120"/>
      <c r="SDZ14" s="59"/>
      <c r="SEA14" s="119"/>
      <c r="SEB14" s="119"/>
      <c r="SEC14" s="119"/>
      <c r="SED14" s="119"/>
      <c r="SEE14" s="119"/>
      <c r="SEF14" s="119"/>
      <c r="SEG14" s="119"/>
      <c r="SEH14" s="119"/>
      <c r="SEI14" s="119"/>
      <c r="SEJ14" s="119"/>
      <c r="SEK14" s="119"/>
      <c r="SEL14" s="119"/>
      <c r="SEM14" s="120"/>
      <c r="SEN14" s="120"/>
      <c r="SEO14" s="120"/>
      <c r="SEP14" s="59"/>
      <c r="SEQ14" s="119"/>
      <c r="SER14" s="119"/>
      <c r="SES14" s="119"/>
      <c r="SET14" s="119"/>
      <c r="SEU14" s="119"/>
      <c r="SEV14" s="119"/>
      <c r="SEW14" s="119"/>
      <c r="SEX14" s="119"/>
      <c r="SEY14" s="119"/>
      <c r="SEZ14" s="119"/>
      <c r="SFA14" s="119"/>
      <c r="SFB14" s="119"/>
      <c r="SFC14" s="120"/>
      <c r="SFD14" s="120"/>
      <c r="SFE14" s="120"/>
      <c r="SFF14" s="59"/>
      <c r="SFG14" s="119"/>
      <c r="SFH14" s="119"/>
      <c r="SFI14" s="119"/>
      <c r="SFJ14" s="119"/>
      <c r="SFK14" s="119"/>
      <c r="SFL14" s="119"/>
      <c r="SFM14" s="119"/>
      <c r="SFN14" s="119"/>
      <c r="SFO14" s="119"/>
      <c r="SFP14" s="119"/>
      <c r="SFQ14" s="119"/>
      <c r="SFR14" s="119"/>
      <c r="SFS14" s="120"/>
      <c r="SFT14" s="120"/>
      <c r="SFU14" s="120"/>
      <c r="SFV14" s="59"/>
      <c r="SFW14" s="119"/>
      <c r="SFX14" s="119"/>
      <c r="SFY14" s="119"/>
      <c r="SFZ14" s="119"/>
      <c r="SGA14" s="119"/>
      <c r="SGB14" s="119"/>
      <c r="SGC14" s="119"/>
      <c r="SGD14" s="119"/>
      <c r="SGE14" s="119"/>
      <c r="SGF14" s="119"/>
      <c r="SGG14" s="119"/>
      <c r="SGH14" s="119"/>
      <c r="SGI14" s="120"/>
      <c r="SGJ14" s="120"/>
      <c r="SGK14" s="120"/>
      <c r="SGL14" s="59"/>
      <c r="SGM14" s="119"/>
      <c r="SGN14" s="119"/>
      <c r="SGO14" s="119"/>
      <c r="SGP14" s="119"/>
      <c r="SGQ14" s="119"/>
      <c r="SGR14" s="119"/>
      <c r="SGS14" s="119"/>
      <c r="SGT14" s="119"/>
      <c r="SGU14" s="119"/>
      <c r="SGV14" s="119"/>
      <c r="SGW14" s="119"/>
      <c r="SGX14" s="119"/>
      <c r="SGY14" s="120"/>
      <c r="SGZ14" s="120"/>
      <c r="SHA14" s="120"/>
      <c r="SHB14" s="59"/>
      <c r="SHC14" s="119"/>
      <c r="SHD14" s="119"/>
      <c r="SHE14" s="119"/>
      <c r="SHF14" s="119"/>
      <c r="SHG14" s="119"/>
      <c r="SHH14" s="119"/>
      <c r="SHI14" s="119"/>
      <c r="SHJ14" s="119"/>
      <c r="SHK14" s="119"/>
      <c r="SHL14" s="119"/>
      <c r="SHM14" s="119"/>
      <c r="SHN14" s="119"/>
      <c r="SHO14" s="120"/>
      <c r="SHP14" s="120"/>
      <c r="SHQ14" s="120"/>
      <c r="SHR14" s="59"/>
      <c r="SHS14" s="119"/>
      <c r="SHT14" s="119"/>
      <c r="SHU14" s="119"/>
      <c r="SHV14" s="119"/>
      <c r="SHW14" s="119"/>
      <c r="SHX14" s="119"/>
      <c r="SHY14" s="119"/>
      <c r="SHZ14" s="119"/>
      <c r="SIA14" s="119"/>
      <c r="SIB14" s="119"/>
      <c r="SIC14" s="119"/>
      <c r="SID14" s="119"/>
      <c r="SIE14" s="120"/>
      <c r="SIF14" s="120"/>
      <c r="SIG14" s="120"/>
      <c r="SIH14" s="59"/>
      <c r="SII14" s="119"/>
      <c r="SIJ14" s="119"/>
      <c r="SIK14" s="119"/>
      <c r="SIL14" s="119"/>
      <c r="SIM14" s="119"/>
      <c r="SIN14" s="119"/>
      <c r="SIO14" s="119"/>
      <c r="SIP14" s="119"/>
      <c r="SIQ14" s="119"/>
      <c r="SIR14" s="119"/>
      <c r="SIS14" s="119"/>
      <c r="SIT14" s="119"/>
      <c r="SIU14" s="120"/>
      <c r="SIV14" s="120"/>
      <c r="SIW14" s="120"/>
      <c r="SIX14" s="59"/>
      <c r="SIY14" s="119"/>
      <c r="SIZ14" s="119"/>
      <c r="SJA14" s="119"/>
      <c r="SJB14" s="119"/>
      <c r="SJC14" s="119"/>
      <c r="SJD14" s="119"/>
      <c r="SJE14" s="119"/>
      <c r="SJF14" s="119"/>
      <c r="SJG14" s="119"/>
      <c r="SJH14" s="119"/>
      <c r="SJI14" s="119"/>
      <c r="SJJ14" s="119"/>
      <c r="SJK14" s="120"/>
      <c r="SJL14" s="120"/>
      <c r="SJM14" s="120"/>
      <c r="SJN14" s="59"/>
      <c r="SJO14" s="119"/>
      <c r="SJP14" s="119"/>
      <c r="SJQ14" s="119"/>
      <c r="SJR14" s="119"/>
      <c r="SJS14" s="119"/>
      <c r="SJT14" s="119"/>
      <c r="SJU14" s="119"/>
      <c r="SJV14" s="119"/>
      <c r="SJW14" s="119"/>
      <c r="SJX14" s="119"/>
      <c r="SJY14" s="119"/>
      <c r="SJZ14" s="119"/>
      <c r="SKA14" s="120"/>
      <c r="SKB14" s="120"/>
      <c r="SKC14" s="120"/>
      <c r="SKD14" s="59"/>
      <c r="SKE14" s="119"/>
      <c r="SKF14" s="119"/>
      <c r="SKG14" s="119"/>
      <c r="SKH14" s="119"/>
      <c r="SKI14" s="119"/>
      <c r="SKJ14" s="119"/>
      <c r="SKK14" s="119"/>
      <c r="SKL14" s="119"/>
      <c r="SKM14" s="119"/>
      <c r="SKN14" s="119"/>
      <c r="SKO14" s="119"/>
      <c r="SKP14" s="119"/>
      <c r="SKQ14" s="120"/>
      <c r="SKR14" s="120"/>
      <c r="SKS14" s="120"/>
      <c r="SKT14" s="59"/>
      <c r="SKU14" s="119"/>
      <c r="SKV14" s="119"/>
      <c r="SKW14" s="119"/>
      <c r="SKX14" s="119"/>
      <c r="SKY14" s="119"/>
      <c r="SKZ14" s="119"/>
      <c r="SLA14" s="119"/>
      <c r="SLB14" s="119"/>
      <c r="SLC14" s="119"/>
      <c r="SLD14" s="119"/>
      <c r="SLE14" s="119"/>
      <c r="SLF14" s="119"/>
      <c r="SLG14" s="120"/>
      <c r="SLH14" s="120"/>
      <c r="SLI14" s="120"/>
      <c r="SLJ14" s="59"/>
      <c r="SLK14" s="119"/>
      <c r="SLL14" s="119"/>
      <c r="SLM14" s="119"/>
      <c r="SLN14" s="119"/>
      <c r="SLO14" s="119"/>
      <c r="SLP14" s="119"/>
      <c r="SLQ14" s="119"/>
      <c r="SLR14" s="119"/>
      <c r="SLS14" s="119"/>
      <c r="SLT14" s="119"/>
      <c r="SLU14" s="119"/>
      <c r="SLV14" s="119"/>
      <c r="SLW14" s="120"/>
      <c r="SLX14" s="120"/>
      <c r="SLY14" s="120"/>
      <c r="SLZ14" s="59"/>
      <c r="SMA14" s="119"/>
      <c r="SMB14" s="119"/>
      <c r="SMC14" s="119"/>
      <c r="SMD14" s="119"/>
      <c r="SME14" s="119"/>
      <c r="SMF14" s="119"/>
      <c r="SMG14" s="119"/>
      <c r="SMH14" s="119"/>
      <c r="SMI14" s="119"/>
      <c r="SMJ14" s="119"/>
      <c r="SMK14" s="119"/>
      <c r="SML14" s="119"/>
      <c r="SMM14" s="120"/>
      <c r="SMN14" s="120"/>
      <c r="SMO14" s="120"/>
      <c r="SMP14" s="59"/>
      <c r="SMQ14" s="119"/>
      <c r="SMR14" s="119"/>
      <c r="SMS14" s="119"/>
      <c r="SMT14" s="119"/>
      <c r="SMU14" s="119"/>
      <c r="SMV14" s="119"/>
      <c r="SMW14" s="119"/>
      <c r="SMX14" s="119"/>
      <c r="SMY14" s="119"/>
      <c r="SMZ14" s="119"/>
      <c r="SNA14" s="119"/>
      <c r="SNB14" s="119"/>
      <c r="SNC14" s="120"/>
      <c r="SND14" s="120"/>
      <c r="SNE14" s="120"/>
      <c r="SNF14" s="59"/>
      <c r="SNG14" s="119"/>
      <c r="SNH14" s="119"/>
      <c r="SNI14" s="119"/>
      <c r="SNJ14" s="119"/>
      <c r="SNK14" s="119"/>
      <c r="SNL14" s="119"/>
      <c r="SNM14" s="119"/>
      <c r="SNN14" s="119"/>
      <c r="SNO14" s="119"/>
      <c r="SNP14" s="119"/>
      <c r="SNQ14" s="119"/>
      <c r="SNR14" s="119"/>
      <c r="SNS14" s="120"/>
      <c r="SNT14" s="120"/>
      <c r="SNU14" s="120"/>
      <c r="SNV14" s="59"/>
      <c r="SNW14" s="119"/>
      <c r="SNX14" s="119"/>
      <c r="SNY14" s="119"/>
      <c r="SNZ14" s="119"/>
      <c r="SOA14" s="119"/>
      <c r="SOB14" s="119"/>
      <c r="SOC14" s="119"/>
      <c r="SOD14" s="119"/>
      <c r="SOE14" s="119"/>
      <c r="SOF14" s="119"/>
      <c r="SOG14" s="119"/>
      <c r="SOH14" s="119"/>
      <c r="SOI14" s="120"/>
      <c r="SOJ14" s="120"/>
      <c r="SOK14" s="120"/>
      <c r="SOL14" s="59"/>
      <c r="SOM14" s="119"/>
      <c r="SON14" s="119"/>
      <c r="SOO14" s="119"/>
      <c r="SOP14" s="119"/>
      <c r="SOQ14" s="119"/>
      <c r="SOR14" s="119"/>
      <c r="SOS14" s="119"/>
      <c r="SOT14" s="119"/>
      <c r="SOU14" s="119"/>
      <c r="SOV14" s="119"/>
      <c r="SOW14" s="119"/>
      <c r="SOX14" s="119"/>
      <c r="SOY14" s="120"/>
      <c r="SOZ14" s="120"/>
      <c r="SPA14" s="120"/>
      <c r="SPB14" s="59"/>
      <c r="SPC14" s="119"/>
      <c r="SPD14" s="119"/>
      <c r="SPE14" s="119"/>
      <c r="SPF14" s="119"/>
      <c r="SPG14" s="119"/>
      <c r="SPH14" s="119"/>
      <c r="SPI14" s="119"/>
      <c r="SPJ14" s="119"/>
      <c r="SPK14" s="119"/>
      <c r="SPL14" s="119"/>
      <c r="SPM14" s="119"/>
      <c r="SPN14" s="119"/>
      <c r="SPO14" s="120"/>
      <c r="SPP14" s="120"/>
      <c r="SPQ14" s="120"/>
      <c r="SPR14" s="59"/>
      <c r="SPS14" s="119"/>
      <c r="SPT14" s="119"/>
      <c r="SPU14" s="119"/>
      <c r="SPV14" s="119"/>
      <c r="SPW14" s="119"/>
      <c r="SPX14" s="119"/>
      <c r="SPY14" s="119"/>
      <c r="SPZ14" s="119"/>
      <c r="SQA14" s="119"/>
      <c r="SQB14" s="119"/>
      <c r="SQC14" s="119"/>
      <c r="SQD14" s="119"/>
      <c r="SQE14" s="120"/>
      <c r="SQF14" s="120"/>
      <c r="SQG14" s="120"/>
      <c r="SQH14" s="59"/>
      <c r="SQI14" s="119"/>
      <c r="SQJ14" s="119"/>
      <c r="SQK14" s="119"/>
      <c r="SQL14" s="119"/>
      <c r="SQM14" s="119"/>
      <c r="SQN14" s="119"/>
      <c r="SQO14" s="119"/>
      <c r="SQP14" s="119"/>
      <c r="SQQ14" s="119"/>
      <c r="SQR14" s="119"/>
      <c r="SQS14" s="119"/>
      <c r="SQT14" s="119"/>
      <c r="SQU14" s="120"/>
      <c r="SQV14" s="120"/>
      <c r="SQW14" s="120"/>
      <c r="SQX14" s="59"/>
      <c r="SQY14" s="119"/>
      <c r="SQZ14" s="119"/>
      <c r="SRA14" s="119"/>
      <c r="SRB14" s="119"/>
      <c r="SRC14" s="119"/>
      <c r="SRD14" s="119"/>
      <c r="SRE14" s="119"/>
      <c r="SRF14" s="119"/>
      <c r="SRG14" s="119"/>
      <c r="SRH14" s="119"/>
      <c r="SRI14" s="119"/>
      <c r="SRJ14" s="119"/>
      <c r="SRK14" s="120"/>
      <c r="SRL14" s="120"/>
      <c r="SRM14" s="120"/>
      <c r="SRN14" s="59"/>
      <c r="SRO14" s="119"/>
      <c r="SRP14" s="119"/>
      <c r="SRQ14" s="119"/>
      <c r="SRR14" s="119"/>
      <c r="SRS14" s="119"/>
      <c r="SRT14" s="119"/>
      <c r="SRU14" s="119"/>
      <c r="SRV14" s="119"/>
      <c r="SRW14" s="119"/>
      <c r="SRX14" s="119"/>
      <c r="SRY14" s="119"/>
      <c r="SRZ14" s="119"/>
      <c r="SSA14" s="120"/>
      <c r="SSB14" s="120"/>
      <c r="SSC14" s="120"/>
      <c r="SSD14" s="59"/>
      <c r="SSE14" s="119"/>
      <c r="SSF14" s="119"/>
      <c r="SSG14" s="119"/>
      <c r="SSH14" s="119"/>
      <c r="SSI14" s="119"/>
      <c r="SSJ14" s="119"/>
      <c r="SSK14" s="119"/>
      <c r="SSL14" s="119"/>
      <c r="SSM14" s="119"/>
      <c r="SSN14" s="119"/>
      <c r="SSO14" s="119"/>
      <c r="SSP14" s="119"/>
      <c r="SSQ14" s="120"/>
      <c r="SSR14" s="120"/>
      <c r="SSS14" s="120"/>
      <c r="SST14" s="59"/>
      <c r="SSU14" s="119"/>
      <c r="SSV14" s="119"/>
      <c r="SSW14" s="119"/>
      <c r="SSX14" s="119"/>
      <c r="SSY14" s="119"/>
      <c r="SSZ14" s="119"/>
      <c r="STA14" s="119"/>
      <c r="STB14" s="119"/>
      <c r="STC14" s="119"/>
      <c r="STD14" s="119"/>
      <c r="STE14" s="119"/>
      <c r="STF14" s="119"/>
      <c r="STG14" s="120"/>
      <c r="STH14" s="120"/>
      <c r="STI14" s="120"/>
      <c r="STJ14" s="59"/>
      <c r="STK14" s="119"/>
      <c r="STL14" s="119"/>
      <c r="STM14" s="119"/>
      <c r="STN14" s="119"/>
      <c r="STO14" s="119"/>
      <c r="STP14" s="119"/>
      <c r="STQ14" s="119"/>
      <c r="STR14" s="119"/>
      <c r="STS14" s="119"/>
      <c r="STT14" s="119"/>
      <c r="STU14" s="119"/>
      <c r="STV14" s="119"/>
      <c r="STW14" s="120"/>
      <c r="STX14" s="120"/>
      <c r="STY14" s="120"/>
      <c r="STZ14" s="59"/>
      <c r="SUA14" s="119"/>
      <c r="SUB14" s="119"/>
      <c r="SUC14" s="119"/>
      <c r="SUD14" s="119"/>
      <c r="SUE14" s="119"/>
      <c r="SUF14" s="119"/>
      <c r="SUG14" s="119"/>
      <c r="SUH14" s="119"/>
      <c r="SUI14" s="119"/>
      <c r="SUJ14" s="119"/>
      <c r="SUK14" s="119"/>
      <c r="SUL14" s="119"/>
      <c r="SUM14" s="120"/>
      <c r="SUN14" s="120"/>
      <c r="SUO14" s="120"/>
      <c r="SUP14" s="59"/>
      <c r="SUQ14" s="119"/>
      <c r="SUR14" s="119"/>
      <c r="SUS14" s="119"/>
      <c r="SUT14" s="119"/>
      <c r="SUU14" s="119"/>
      <c r="SUV14" s="119"/>
      <c r="SUW14" s="119"/>
      <c r="SUX14" s="119"/>
      <c r="SUY14" s="119"/>
      <c r="SUZ14" s="119"/>
      <c r="SVA14" s="119"/>
      <c r="SVB14" s="119"/>
      <c r="SVC14" s="120"/>
      <c r="SVD14" s="120"/>
      <c r="SVE14" s="120"/>
      <c r="SVF14" s="59"/>
      <c r="SVG14" s="119"/>
      <c r="SVH14" s="119"/>
      <c r="SVI14" s="119"/>
      <c r="SVJ14" s="119"/>
      <c r="SVK14" s="119"/>
      <c r="SVL14" s="119"/>
      <c r="SVM14" s="119"/>
      <c r="SVN14" s="119"/>
      <c r="SVO14" s="119"/>
      <c r="SVP14" s="119"/>
      <c r="SVQ14" s="119"/>
      <c r="SVR14" s="119"/>
      <c r="SVS14" s="120"/>
      <c r="SVT14" s="120"/>
      <c r="SVU14" s="120"/>
      <c r="SVV14" s="59"/>
      <c r="SVW14" s="119"/>
      <c r="SVX14" s="119"/>
      <c r="SVY14" s="119"/>
      <c r="SVZ14" s="119"/>
      <c r="SWA14" s="119"/>
      <c r="SWB14" s="119"/>
      <c r="SWC14" s="119"/>
      <c r="SWD14" s="119"/>
      <c r="SWE14" s="119"/>
      <c r="SWF14" s="119"/>
      <c r="SWG14" s="119"/>
      <c r="SWH14" s="119"/>
      <c r="SWI14" s="120"/>
      <c r="SWJ14" s="120"/>
      <c r="SWK14" s="120"/>
      <c r="SWL14" s="59"/>
      <c r="SWM14" s="119"/>
      <c r="SWN14" s="119"/>
      <c r="SWO14" s="119"/>
      <c r="SWP14" s="119"/>
      <c r="SWQ14" s="119"/>
      <c r="SWR14" s="119"/>
      <c r="SWS14" s="119"/>
      <c r="SWT14" s="119"/>
      <c r="SWU14" s="119"/>
      <c r="SWV14" s="119"/>
      <c r="SWW14" s="119"/>
      <c r="SWX14" s="119"/>
      <c r="SWY14" s="120"/>
      <c r="SWZ14" s="120"/>
      <c r="SXA14" s="120"/>
      <c r="SXB14" s="59"/>
      <c r="SXC14" s="119"/>
      <c r="SXD14" s="119"/>
      <c r="SXE14" s="119"/>
      <c r="SXF14" s="119"/>
      <c r="SXG14" s="119"/>
      <c r="SXH14" s="119"/>
      <c r="SXI14" s="119"/>
      <c r="SXJ14" s="119"/>
      <c r="SXK14" s="119"/>
      <c r="SXL14" s="119"/>
      <c r="SXM14" s="119"/>
      <c r="SXN14" s="119"/>
      <c r="SXO14" s="120"/>
      <c r="SXP14" s="120"/>
      <c r="SXQ14" s="120"/>
      <c r="SXR14" s="59"/>
      <c r="SXS14" s="119"/>
      <c r="SXT14" s="119"/>
      <c r="SXU14" s="119"/>
      <c r="SXV14" s="119"/>
      <c r="SXW14" s="119"/>
      <c r="SXX14" s="119"/>
      <c r="SXY14" s="119"/>
      <c r="SXZ14" s="119"/>
      <c r="SYA14" s="119"/>
      <c r="SYB14" s="119"/>
      <c r="SYC14" s="119"/>
      <c r="SYD14" s="119"/>
      <c r="SYE14" s="120"/>
      <c r="SYF14" s="120"/>
      <c r="SYG14" s="120"/>
      <c r="SYH14" s="59"/>
      <c r="SYI14" s="119"/>
      <c r="SYJ14" s="119"/>
      <c r="SYK14" s="119"/>
      <c r="SYL14" s="119"/>
      <c r="SYM14" s="119"/>
      <c r="SYN14" s="119"/>
      <c r="SYO14" s="119"/>
      <c r="SYP14" s="119"/>
      <c r="SYQ14" s="119"/>
      <c r="SYR14" s="119"/>
      <c r="SYS14" s="119"/>
      <c r="SYT14" s="119"/>
      <c r="SYU14" s="120"/>
      <c r="SYV14" s="120"/>
      <c r="SYW14" s="120"/>
      <c r="SYX14" s="59"/>
      <c r="SYY14" s="119"/>
      <c r="SYZ14" s="119"/>
      <c r="SZA14" s="119"/>
      <c r="SZB14" s="119"/>
      <c r="SZC14" s="119"/>
      <c r="SZD14" s="119"/>
      <c r="SZE14" s="119"/>
      <c r="SZF14" s="119"/>
      <c r="SZG14" s="119"/>
      <c r="SZH14" s="119"/>
      <c r="SZI14" s="119"/>
      <c r="SZJ14" s="119"/>
      <c r="SZK14" s="120"/>
      <c r="SZL14" s="120"/>
      <c r="SZM14" s="120"/>
      <c r="SZN14" s="59"/>
      <c r="SZO14" s="119"/>
      <c r="SZP14" s="119"/>
      <c r="SZQ14" s="119"/>
      <c r="SZR14" s="119"/>
      <c r="SZS14" s="119"/>
      <c r="SZT14" s="119"/>
      <c r="SZU14" s="119"/>
      <c r="SZV14" s="119"/>
      <c r="SZW14" s="119"/>
      <c r="SZX14" s="119"/>
      <c r="SZY14" s="119"/>
      <c r="SZZ14" s="119"/>
      <c r="TAA14" s="120"/>
      <c r="TAB14" s="120"/>
      <c r="TAC14" s="120"/>
      <c r="TAD14" s="59"/>
      <c r="TAE14" s="119"/>
      <c r="TAF14" s="119"/>
      <c r="TAG14" s="119"/>
      <c r="TAH14" s="119"/>
      <c r="TAI14" s="119"/>
      <c r="TAJ14" s="119"/>
      <c r="TAK14" s="119"/>
      <c r="TAL14" s="119"/>
      <c r="TAM14" s="119"/>
      <c r="TAN14" s="119"/>
      <c r="TAO14" s="119"/>
      <c r="TAP14" s="119"/>
      <c r="TAQ14" s="120"/>
      <c r="TAR14" s="120"/>
      <c r="TAS14" s="120"/>
      <c r="TAT14" s="59"/>
      <c r="TAU14" s="119"/>
      <c r="TAV14" s="119"/>
      <c r="TAW14" s="119"/>
      <c r="TAX14" s="119"/>
      <c r="TAY14" s="119"/>
      <c r="TAZ14" s="119"/>
      <c r="TBA14" s="119"/>
      <c r="TBB14" s="119"/>
      <c r="TBC14" s="119"/>
      <c r="TBD14" s="119"/>
      <c r="TBE14" s="119"/>
      <c r="TBF14" s="119"/>
      <c r="TBG14" s="120"/>
      <c r="TBH14" s="120"/>
      <c r="TBI14" s="120"/>
      <c r="TBJ14" s="59"/>
      <c r="TBK14" s="119"/>
      <c r="TBL14" s="119"/>
      <c r="TBM14" s="119"/>
      <c r="TBN14" s="119"/>
      <c r="TBO14" s="119"/>
      <c r="TBP14" s="119"/>
      <c r="TBQ14" s="119"/>
      <c r="TBR14" s="119"/>
      <c r="TBS14" s="119"/>
      <c r="TBT14" s="119"/>
      <c r="TBU14" s="119"/>
      <c r="TBV14" s="119"/>
      <c r="TBW14" s="120"/>
      <c r="TBX14" s="120"/>
      <c r="TBY14" s="120"/>
      <c r="TBZ14" s="59"/>
      <c r="TCA14" s="119"/>
      <c r="TCB14" s="119"/>
      <c r="TCC14" s="119"/>
      <c r="TCD14" s="119"/>
      <c r="TCE14" s="119"/>
      <c r="TCF14" s="119"/>
      <c r="TCG14" s="119"/>
      <c r="TCH14" s="119"/>
      <c r="TCI14" s="119"/>
      <c r="TCJ14" s="119"/>
      <c r="TCK14" s="119"/>
      <c r="TCL14" s="119"/>
      <c r="TCM14" s="120"/>
      <c r="TCN14" s="120"/>
      <c r="TCO14" s="120"/>
      <c r="TCP14" s="59"/>
      <c r="TCQ14" s="119"/>
      <c r="TCR14" s="119"/>
      <c r="TCS14" s="119"/>
      <c r="TCT14" s="119"/>
      <c r="TCU14" s="119"/>
      <c r="TCV14" s="119"/>
      <c r="TCW14" s="119"/>
      <c r="TCX14" s="119"/>
      <c r="TCY14" s="119"/>
      <c r="TCZ14" s="119"/>
      <c r="TDA14" s="119"/>
      <c r="TDB14" s="119"/>
      <c r="TDC14" s="120"/>
      <c r="TDD14" s="120"/>
      <c r="TDE14" s="120"/>
      <c r="TDF14" s="59"/>
      <c r="TDG14" s="119"/>
      <c r="TDH14" s="119"/>
      <c r="TDI14" s="119"/>
      <c r="TDJ14" s="119"/>
      <c r="TDK14" s="119"/>
      <c r="TDL14" s="119"/>
      <c r="TDM14" s="119"/>
      <c r="TDN14" s="119"/>
      <c r="TDO14" s="119"/>
      <c r="TDP14" s="119"/>
      <c r="TDQ14" s="119"/>
      <c r="TDR14" s="119"/>
      <c r="TDS14" s="120"/>
      <c r="TDT14" s="120"/>
      <c r="TDU14" s="120"/>
      <c r="TDV14" s="59"/>
      <c r="TDW14" s="119"/>
      <c r="TDX14" s="119"/>
      <c r="TDY14" s="119"/>
      <c r="TDZ14" s="119"/>
      <c r="TEA14" s="119"/>
      <c r="TEB14" s="119"/>
      <c r="TEC14" s="119"/>
      <c r="TED14" s="119"/>
      <c r="TEE14" s="119"/>
      <c r="TEF14" s="119"/>
      <c r="TEG14" s="119"/>
      <c r="TEH14" s="119"/>
      <c r="TEI14" s="120"/>
      <c r="TEJ14" s="120"/>
      <c r="TEK14" s="120"/>
      <c r="TEL14" s="59"/>
      <c r="TEM14" s="119"/>
      <c r="TEN14" s="119"/>
      <c r="TEO14" s="119"/>
      <c r="TEP14" s="119"/>
      <c r="TEQ14" s="119"/>
      <c r="TER14" s="119"/>
      <c r="TES14" s="119"/>
      <c r="TET14" s="119"/>
      <c r="TEU14" s="119"/>
      <c r="TEV14" s="119"/>
      <c r="TEW14" s="119"/>
      <c r="TEX14" s="119"/>
      <c r="TEY14" s="120"/>
      <c r="TEZ14" s="120"/>
      <c r="TFA14" s="120"/>
      <c r="TFB14" s="59"/>
      <c r="TFC14" s="119"/>
      <c r="TFD14" s="119"/>
      <c r="TFE14" s="119"/>
      <c r="TFF14" s="119"/>
      <c r="TFG14" s="119"/>
      <c r="TFH14" s="119"/>
      <c r="TFI14" s="119"/>
      <c r="TFJ14" s="119"/>
      <c r="TFK14" s="119"/>
      <c r="TFL14" s="119"/>
      <c r="TFM14" s="119"/>
      <c r="TFN14" s="119"/>
      <c r="TFO14" s="120"/>
      <c r="TFP14" s="120"/>
      <c r="TFQ14" s="120"/>
      <c r="TFR14" s="59"/>
      <c r="TFS14" s="119"/>
      <c r="TFT14" s="119"/>
      <c r="TFU14" s="119"/>
      <c r="TFV14" s="119"/>
      <c r="TFW14" s="119"/>
      <c r="TFX14" s="119"/>
      <c r="TFY14" s="119"/>
      <c r="TFZ14" s="119"/>
      <c r="TGA14" s="119"/>
      <c r="TGB14" s="119"/>
      <c r="TGC14" s="119"/>
      <c r="TGD14" s="119"/>
      <c r="TGE14" s="120"/>
      <c r="TGF14" s="120"/>
      <c r="TGG14" s="120"/>
      <c r="TGH14" s="59"/>
      <c r="TGI14" s="119"/>
      <c r="TGJ14" s="119"/>
      <c r="TGK14" s="119"/>
      <c r="TGL14" s="119"/>
      <c r="TGM14" s="119"/>
      <c r="TGN14" s="119"/>
      <c r="TGO14" s="119"/>
      <c r="TGP14" s="119"/>
      <c r="TGQ14" s="119"/>
      <c r="TGR14" s="119"/>
      <c r="TGS14" s="119"/>
      <c r="TGT14" s="119"/>
      <c r="TGU14" s="120"/>
      <c r="TGV14" s="120"/>
      <c r="TGW14" s="120"/>
      <c r="TGX14" s="59"/>
      <c r="TGY14" s="119"/>
      <c r="TGZ14" s="119"/>
      <c r="THA14" s="119"/>
      <c r="THB14" s="119"/>
      <c r="THC14" s="119"/>
      <c r="THD14" s="119"/>
      <c r="THE14" s="119"/>
      <c r="THF14" s="119"/>
      <c r="THG14" s="119"/>
      <c r="THH14" s="119"/>
      <c r="THI14" s="119"/>
      <c r="THJ14" s="119"/>
      <c r="THK14" s="120"/>
      <c r="THL14" s="120"/>
      <c r="THM14" s="120"/>
      <c r="THN14" s="59"/>
      <c r="THO14" s="119"/>
      <c r="THP14" s="119"/>
      <c r="THQ14" s="119"/>
      <c r="THR14" s="119"/>
      <c r="THS14" s="119"/>
      <c r="THT14" s="119"/>
      <c r="THU14" s="119"/>
      <c r="THV14" s="119"/>
      <c r="THW14" s="119"/>
      <c r="THX14" s="119"/>
      <c r="THY14" s="119"/>
      <c r="THZ14" s="119"/>
      <c r="TIA14" s="120"/>
      <c r="TIB14" s="120"/>
      <c r="TIC14" s="120"/>
      <c r="TID14" s="59"/>
      <c r="TIE14" s="119"/>
      <c r="TIF14" s="119"/>
      <c r="TIG14" s="119"/>
      <c r="TIH14" s="119"/>
      <c r="TII14" s="119"/>
      <c r="TIJ14" s="119"/>
      <c r="TIK14" s="119"/>
      <c r="TIL14" s="119"/>
      <c r="TIM14" s="119"/>
      <c r="TIN14" s="119"/>
      <c r="TIO14" s="119"/>
      <c r="TIP14" s="119"/>
      <c r="TIQ14" s="120"/>
      <c r="TIR14" s="120"/>
      <c r="TIS14" s="120"/>
      <c r="TIT14" s="59"/>
      <c r="TIU14" s="119"/>
      <c r="TIV14" s="119"/>
      <c r="TIW14" s="119"/>
      <c r="TIX14" s="119"/>
      <c r="TIY14" s="119"/>
      <c r="TIZ14" s="119"/>
      <c r="TJA14" s="119"/>
      <c r="TJB14" s="119"/>
      <c r="TJC14" s="119"/>
      <c r="TJD14" s="119"/>
      <c r="TJE14" s="119"/>
      <c r="TJF14" s="119"/>
      <c r="TJG14" s="120"/>
      <c r="TJH14" s="120"/>
      <c r="TJI14" s="120"/>
      <c r="TJJ14" s="59"/>
      <c r="TJK14" s="119"/>
      <c r="TJL14" s="119"/>
      <c r="TJM14" s="119"/>
      <c r="TJN14" s="119"/>
      <c r="TJO14" s="119"/>
      <c r="TJP14" s="119"/>
      <c r="TJQ14" s="119"/>
      <c r="TJR14" s="119"/>
      <c r="TJS14" s="119"/>
      <c r="TJT14" s="119"/>
      <c r="TJU14" s="119"/>
      <c r="TJV14" s="119"/>
      <c r="TJW14" s="120"/>
      <c r="TJX14" s="120"/>
      <c r="TJY14" s="120"/>
      <c r="TJZ14" s="59"/>
      <c r="TKA14" s="119"/>
      <c r="TKB14" s="119"/>
      <c r="TKC14" s="119"/>
      <c r="TKD14" s="119"/>
      <c r="TKE14" s="119"/>
      <c r="TKF14" s="119"/>
      <c r="TKG14" s="119"/>
      <c r="TKH14" s="119"/>
      <c r="TKI14" s="119"/>
      <c r="TKJ14" s="119"/>
      <c r="TKK14" s="119"/>
      <c r="TKL14" s="119"/>
      <c r="TKM14" s="120"/>
      <c r="TKN14" s="120"/>
      <c r="TKO14" s="120"/>
      <c r="TKP14" s="59"/>
      <c r="TKQ14" s="119"/>
      <c r="TKR14" s="119"/>
      <c r="TKS14" s="119"/>
      <c r="TKT14" s="119"/>
      <c r="TKU14" s="119"/>
      <c r="TKV14" s="119"/>
      <c r="TKW14" s="119"/>
      <c r="TKX14" s="119"/>
      <c r="TKY14" s="119"/>
      <c r="TKZ14" s="119"/>
      <c r="TLA14" s="119"/>
      <c r="TLB14" s="119"/>
      <c r="TLC14" s="120"/>
      <c r="TLD14" s="120"/>
      <c r="TLE14" s="120"/>
      <c r="TLF14" s="59"/>
      <c r="TLG14" s="119"/>
      <c r="TLH14" s="119"/>
      <c r="TLI14" s="119"/>
      <c r="TLJ14" s="119"/>
      <c r="TLK14" s="119"/>
      <c r="TLL14" s="119"/>
      <c r="TLM14" s="119"/>
      <c r="TLN14" s="119"/>
      <c r="TLO14" s="119"/>
      <c r="TLP14" s="119"/>
      <c r="TLQ14" s="119"/>
      <c r="TLR14" s="119"/>
      <c r="TLS14" s="120"/>
      <c r="TLT14" s="120"/>
      <c r="TLU14" s="120"/>
      <c r="TLV14" s="59"/>
      <c r="TLW14" s="119"/>
      <c r="TLX14" s="119"/>
      <c r="TLY14" s="119"/>
      <c r="TLZ14" s="119"/>
      <c r="TMA14" s="119"/>
      <c r="TMB14" s="119"/>
      <c r="TMC14" s="119"/>
      <c r="TMD14" s="119"/>
      <c r="TME14" s="119"/>
      <c r="TMF14" s="119"/>
      <c r="TMG14" s="119"/>
      <c r="TMH14" s="119"/>
      <c r="TMI14" s="120"/>
      <c r="TMJ14" s="120"/>
      <c r="TMK14" s="120"/>
      <c r="TML14" s="59"/>
      <c r="TMM14" s="119"/>
      <c r="TMN14" s="119"/>
      <c r="TMO14" s="119"/>
      <c r="TMP14" s="119"/>
      <c r="TMQ14" s="119"/>
      <c r="TMR14" s="119"/>
      <c r="TMS14" s="119"/>
      <c r="TMT14" s="119"/>
      <c r="TMU14" s="119"/>
      <c r="TMV14" s="119"/>
      <c r="TMW14" s="119"/>
      <c r="TMX14" s="119"/>
      <c r="TMY14" s="120"/>
      <c r="TMZ14" s="120"/>
      <c r="TNA14" s="120"/>
      <c r="TNB14" s="59"/>
      <c r="TNC14" s="119"/>
      <c r="TND14" s="119"/>
      <c r="TNE14" s="119"/>
      <c r="TNF14" s="119"/>
      <c r="TNG14" s="119"/>
      <c r="TNH14" s="119"/>
      <c r="TNI14" s="119"/>
      <c r="TNJ14" s="119"/>
      <c r="TNK14" s="119"/>
      <c r="TNL14" s="119"/>
      <c r="TNM14" s="119"/>
      <c r="TNN14" s="119"/>
      <c r="TNO14" s="120"/>
      <c r="TNP14" s="120"/>
      <c r="TNQ14" s="120"/>
      <c r="TNR14" s="59"/>
      <c r="TNS14" s="119"/>
      <c r="TNT14" s="119"/>
      <c r="TNU14" s="119"/>
      <c r="TNV14" s="119"/>
      <c r="TNW14" s="119"/>
      <c r="TNX14" s="119"/>
      <c r="TNY14" s="119"/>
      <c r="TNZ14" s="119"/>
      <c r="TOA14" s="119"/>
      <c r="TOB14" s="119"/>
      <c r="TOC14" s="119"/>
      <c r="TOD14" s="119"/>
      <c r="TOE14" s="120"/>
      <c r="TOF14" s="120"/>
      <c r="TOG14" s="120"/>
      <c r="TOH14" s="59"/>
      <c r="TOI14" s="119"/>
      <c r="TOJ14" s="119"/>
      <c r="TOK14" s="119"/>
      <c r="TOL14" s="119"/>
      <c r="TOM14" s="119"/>
      <c r="TON14" s="119"/>
      <c r="TOO14" s="119"/>
      <c r="TOP14" s="119"/>
      <c r="TOQ14" s="119"/>
      <c r="TOR14" s="119"/>
      <c r="TOS14" s="119"/>
      <c r="TOT14" s="119"/>
      <c r="TOU14" s="120"/>
      <c r="TOV14" s="120"/>
      <c r="TOW14" s="120"/>
      <c r="TOX14" s="59"/>
      <c r="TOY14" s="119"/>
      <c r="TOZ14" s="119"/>
      <c r="TPA14" s="119"/>
      <c r="TPB14" s="119"/>
      <c r="TPC14" s="119"/>
      <c r="TPD14" s="119"/>
      <c r="TPE14" s="119"/>
      <c r="TPF14" s="119"/>
      <c r="TPG14" s="119"/>
      <c r="TPH14" s="119"/>
      <c r="TPI14" s="119"/>
      <c r="TPJ14" s="119"/>
      <c r="TPK14" s="120"/>
      <c r="TPL14" s="120"/>
      <c r="TPM14" s="120"/>
      <c r="TPN14" s="59"/>
      <c r="TPO14" s="119"/>
      <c r="TPP14" s="119"/>
      <c r="TPQ14" s="119"/>
      <c r="TPR14" s="119"/>
      <c r="TPS14" s="119"/>
      <c r="TPT14" s="119"/>
      <c r="TPU14" s="119"/>
      <c r="TPV14" s="119"/>
      <c r="TPW14" s="119"/>
      <c r="TPX14" s="119"/>
      <c r="TPY14" s="119"/>
      <c r="TPZ14" s="119"/>
      <c r="TQA14" s="120"/>
      <c r="TQB14" s="120"/>
      <c r="TQC14" s="120"/>
      <c r="TQD14" s="59"/>
      <c r="TQE14" s="119"/>
      <c r="TQF14" s="119"/>
      <c r="TQG14" s="119"/>
      <c r="TQH14" s="119"/>
      <c r="TQI14" s="119"/>
      <c r="TQJ14" s="119"/>
      <c r="TQK14" s="119"/>
      <c r="TQL14" s="119"/>
      <c r="TQM14" s="119"/>
      <c r="TQN14" s="119"/>
      <c r="TQO14" s="119"/>
      <c r="TQP14" s="119"/>
      <c r="TQQ14" s="120"/>
      <c r="TQR14" s="120"/>
      <c r="TQS14" s="120"/>
      <c r="TQT14" s="59"/>
      <c r="TQU14" s="119"/>
      <c r="TQV14" s="119"/>
      <c r="TQW14" s="119"/>
      <c r="TQX14" s="119"/>
      <c r="TQY14" s="119"/>
      <c r="TQZ14" s="119"/>
      <c r="TRA14" s="119"/>
      <c r="TRB14" s="119"/>
      <c r="TRC14" s="119"/>
      <c r="TRD14" s="119"/>
      <c r="TRE14" s="119"/>
      <c r="TRF14" s="119"/>
      <c r="TRG14" s="120"/>
      <c r="TRH14" s="120"/>
      <c r="TRI14" s="120"/>
      <c r="TRJ14" s="59"/>
      <c r="TRK14" s="119"/>
      <c r="TRL14" s="119"/>
      <c r="TRM14" s="119"/>
      <c r="TRN14" s="119"/>
      <c r="TRO14" s="119"/>
      <c r="TRP14" s="119"/>
      <c r="TRQ14" s="119"/>
      <c r="TRR14" s="119"/>
      <c r="TRS14" s="119"/>
      <c r="TRT14" s="119"/>
      <c r="TRU14" s="119"/>
      <c r="TRV14" s="119"/>
      <c r="TRW14" s="120"/>
      <c r="TRX14" s="120"/>
      <c r="TRY14" s="120"/>
      <c r="TRZ14" s="59"/>
      <c r="TSA14" s="119"/>
      <c r="TSB14" s="119"/>
      <c r="TSC14" s="119"/>
      <c r="TSD14" s="119"/>
      <c r="TSE14" s="119"/>
      <c r="TSF14" s="119"/>
      <c r="TSG14" s="119"/>
      <c r="TSH14" s="119"/>
      <c r="TSI14" s="119"/>
      <c r="TSJ14" s="119"/>
      <c r="TSK14" s="119"/>
      <c r="TSL14" s="119"/>
      <c r="TSM14" s="120"/>
      <c r="TSN14" s="120"/>
      <c r="TSO14" s="120"/>
      <c r="TSP14" s="59"/>
      <c r="TSQ14" s="119"/>
      <c r="TSR14" s="119"/>
      <c r="TSS14" s="119"/>
      <c r="TST14" s="119"/>
      <c r="TSU14" s="119"/>
      <c r="TSV14" s="119"/>
      <c r="TSW14" s="119"/>
      <c r="TSX14" s="119"/>
      <c r="TSY14" s="119"/>
      <c r="TSZ14" s="119"/>
      <c r="TTA14" s="119"/>
      <c r="TTB14" s="119"/>
      <c r="TTC14" s="120"/>
      <c r="TTD14" s="120"/>
      <c r="TTE14" s="120"/>
      <c r="TTF14" s="59"/>
      <c r="TTG14" s="119"/>
      <c r="TTH14" s="119"/>
      <c r="TTI14" s="119"/>
      <c r="TTJ14" s="119"/>
      <c r="TTK14" s="119"/>
      <c r="TTL14" s="119"/>
      <c r="TTM14" s="119"/>
      <c r="TTN14" s="119"/>
      <c r="TTO14" s="119"/>
      <c r="TTP14" s="119"/>
      <c r="TTQ14" s="119"/>
      <c r="TTR14" s="119"/>
      <c r="TTS14" s="120"/>
      <c r="TTT14" s="120"/>
      <c r="TTU14" s="120"/>
      <c r="TTV14" s="59"/>
      <c r="TTW14" s="119"/>
      <c r="TTX14" s="119"/>
      <c r="TTY14" s="119"/>
      <c r="TTZ14" s="119"/>
      <c r="TUA14" s="119"/>
      <c r="TUB14" s="119"/>
      <c r="TUC14" s="119"/>
      <c r="TUD14" s="119"/>
      <c r="TUE14" s="119"/>
      <c r="TUF14" s="119"/>
      <c r="TUG14" s="119"/>
      <c r="TUH14" s="119"/>
      <c r="TUI14" s="120"/>
      <c r="TUJ14" s="120"/>
      <c r="TUK14" s="120"/>
      <c r="TUL14" s="59"/>
      <c r="TUM14" s="119"/>
      <c r="TUN14" s="119"/>
      <c r="TUO14" s="119"/>
      <c r="TUP14" s="119"/>
      <c r="TUQ14" s="119"/>
      <c r="TUR14" s="119"/>
      <c r="TUS14" s="119"/>
      <c r="TUT14" s="119"/>
      <c r="TUU14" s="119"/>
      <c r="TUV14" s="119"/>
      <c r="TUW14" s="119"/>
      <c r="TUX14" s="119"/>
      <c r="TUY14" s="120"/>
      <c r="TUZ14" s="120"/>
      <c r="TVA14" s="120"/>
      <c r="TVB14" s="59"/>
      <c r="TVC14" s="119"/>
      <c r="TVD14" s="119"/>
      <c r="TVE14" s="119"/>
      <c r="TVF14" s="119"/>
      <c r="TVG14" s="119"/>
      <c r="TVH14" s="119"/>
      <c r="TVI14" s="119"/>
      <c r="TVJ14" s="119"/>
      <c r="TVK14" s="119"/>
      <c r="TVL14" s="119"/>
      <c r="TVM14" s="119"/>
      <c r="TVN14" s="119"/>
      <c r="TVO14" s="120"/>
      <c r="TVP14" s="120"/>
      <c r="TVQ14" s="120"/>
      <c r="TVR14" s="59"/>
      <c r="TVS14" s="119"/>
      <c r="TVT14" s="119"/>
      <c r="TVU14" s="119"/>
      <c r="TVV14" s="119"/>
      <c r="TVW14" s="119"/>
      <c r="TVX14" s="119"/>
      <c r="TVY14" s="119"/>
      <c r="TVZ14" s="119"/>
      <c r="TWA14" s="119"/>
      <c r="TWB14" s="119"/>
      <c r="TWC14" s="119"/>
      <c r="TWD14" s="119"/>
      <c r="TWE14" s="120"/>
      <c r="TWF14" s="120"/>
      <c r="TWG14" s="120"/>
      <c r="TWH14" s="59"/>
      <c r="TWI14" s="119"/>
      <c r="TWJ14" s="119"/>
      <c r="TWK14" s="119"/>
      <c r="TWL14" s="119"/>
      <c r="TWM14" s="119"/>
      <c r="TWN14" s="119"/>
      <c r="TWO14" s="119"/>
      <c r="TWP14" s="119"/>
      <c r="TWQ14" s="119"/>
      <c r="TWR14" s="119"/>
      <c r="TWS14" s="119"/>
      <c r="TWT14" s="119"/>
      <c r="TWU14" s="120"/>
      <c r="TWV14" s="120"/>
      <c r="TWW14" s="120"/>
      <c r="TWX14" s="59"/>
      <c r="TWY14" s="119"/>
      <c r="TWZ14" s="119"/>
      <c r="TXA14" s="119"/>
      <c r="TXB14" s="119"/>
      <c r="TXC14" s="119"/>
      <c r="TXD14" s="119"/>
      <c r="TXE14" s="119"/>
      <c r="TXF14" s="119"/>
      <c r="TXG14" s="119"/>
      <c r="TXH14" s="119"/>
      <c r="TXI14" s="119"/>
      <c r="TXJ14" s="119"/>
      <c r="TXK14" s="120"/>
      <c r="TXL14" s="120"/>
      <c r="TXM14" s="120"/>
      <c r="TXN14" s="59"/>
      <c r="TXO14" s="119"/>
      <c r="TXP14" s="119"/>
      <c r="TXQ14" s="119"/>
      <c r="TXR14" s="119"/>
      <c r="TXS14" s="119"/>
      <c r="TXT14" s="119"/>
      <c r="TXU14" s="119"/>
      <c r="TXV14" s="119"/>
      <c r="TXW14" s="119"/>
      <c r="TXX14" s="119"/>
      <c r="TXY14" s="119"/>
      <c r="TXZ14" s="119"/>
      <c r="TYA14" s="120"/>
      <c r="TYB14" s="120"/>
      <c r="TYC14" s="120"/>
      <c r="TYD14" s="59"/>
      <c r="TYE14" s="119"/>
      <c r="TYF14" s="119"/>
      <c r="TYG14" s="119"/>
      <c r="TYH14" s="119"/>
      <c r="TYI14" s="119"/>
      <c r="TYJ14" s="119"/>
      <c r="TYK14" s="119"/>
      <c r="TYL14" s="119"/>
      <c r="TYM14" s="119"/>
      <c r="TYN14" s="119"/>
      <c r="TYO14" s="119"/>
      <c r="TYP14" s="119"/>
      <c r="TYQ14" s="120"/>
      <c r="TYR14" s="120"/>
      <c r="TYS14" s="120"/>
      <c r="TYT14" s="59"/>
      <c r="TYU14" s="119"/>
      <c r="TYV14" s="119"/>
      <c r="TYW14" s="119"/>
      <c r="TYX14" s="119"/>
      <c r="TYY14" s="119"/>
      <c r="TYZ14" s="119"/>
      <c r="TZA14" s="119"/>
      <c r="TZB14" s="119"/>
      <c r="TZC14" s="119"/>
      <c r="TZD14" s="119"/>
      <c r="TZE14" s="119"/>
      <c r="TZF14" s="119"/>
      <c r="TZG14" s="120"/>
      <c r="TZH14" s="120"/>
      <c r="TZI14" s="120"/>
      <c r="TZJ14" s="59"/>
      <c r="TZK14" s="119"/>
      <c r="TZL14" s="119"/>
      <c r="TZM14" s="119"/>
      <c r="TZN14" s="119"/>
      <c r="TZO14" s="119"/>
      <c r="TZP14" s="119"/>
      <c r="TZQ14" s="119"/>
      <c r="TZR14" s="119"/>
      <c r="TZS14" s="119"/>
      <c r="TZT14" s="119"/>
      <c r="TZU14" s="119"/>
      <c r="TZV14" s="119"/>
      <c r="TZW14" s="120"/>
      <c r="TZX14" s="120"/>
      <c r="TZY14" s="120"/>
      <c r="TZZ14" s="59"/>
      <c r="UAA14" s="119"/>
      <c r="UAB14" s="119"/>
      <c r="UAC14" s="119"/>
      <c r="UAD14" s="119"/>
      <c r="UAE14" s="119"/>
      <c r="UAF14" s="119"/>
      <c r="UAG14" s="119"/>
      <c r="UAH14" s="119"/>
      <c r="UAI14" s="119"/>
      <c r="UAJ14" s="119"/>
      <c r="UAK14" s="119"/>
      <c r="UAL14" s="119"/>
      <c r="UAM14" s="120"/>
      <c r="UAN14" s="120"/>
      <c r="UAO14" s="120"/>
      <c r="UAP14" s="59"/>
      <c r="UAQ14" s="119"/>
      <c r="UAR14" s="119"/>
      <c r="UAS14" s="119"/>
      <c r="UAT14" s="119"/>
      <c r="UAU14" s="119"/>
      <c r="UAV14" s="119"/>
      <c r="UAW14" s="119"/>
      <c r="UAX14" s="119"/>
      <c r="UAY14" s="119"/>
      <c r="UAZ14" s="119"/>
      <c r="UBA14" s="119"/>
      <c r="UBB14" s="119"/>
      <c r="UBC14" s="120"/>
      <c r="UBD14" s="120"/>
      <c r="UBE14" s="120"/>
      <c r="UBF14" s="59"/>
      <c r="UBG14" s="119"/>
      <c r="UBH14" s="119"/>
      <c r="UBI14" s="119"/>
      <c r="UBJ14" s="119"/>
      <c r="UBK14" s="119"/>
      <c r="UBL14" s="119"/>
      <c r="UBM14" s="119"/>
      <c r="UBN14" s="119"/>
      <c r="UBO14" s="119"/>
      <c r="UBP14" s="119"/>
      <c r="UBQ14" s="119"/>
      <c r="UBR14" s="119"/>
      <c r="UBS14" s="120"/>
      <c r="UBT14" s="120"/>
      <c r="UBU14" s="120"/>
      <c r="UBV14" s="59"/>
      <c r="UBW14" s="119"/>
      <c r="UBX14" s="119"/>
      <c r="UBY14" s="119"/>
      <c r="UBZ14" s="119"/>
      <c r="UCA14" s="119"/>
      <c r="UCB14" s="119"/>
      <c r="UCC14" s="119"/>
      <c r="UCD14" s="119"/>
      <c r="UCE14" s="119"/>
      <c r="UCF14" s="119"/>
      <c r="UCG14" s="119"/>
      <c r="UCH14" s="119"/>
      <c r="UCI14" s="120"/>
      <c r="UCJ14" s="120"/>
      <c r="UCK14" s="120"/>
      <c r="UCL14" s="59"/>
      <c r="UCM14" s="119"/>
      <c r="UCN14" s="119"/>
      <c r="UCO14" s="119"/>
      <c r="UCP14" s="119"/>
      <c r="UCQ14" s="119"/>
      <c r="UCR14" s="119"/>
      <c r="UCS14" s="119"/>
      <c r="UCT14" s="119"/>
      <c r="UCU14" s="119"/>
      <c r="UCV14" s="119"/>
      <c r="UCW14" s="119"/>
      <c r="UCX14" s="119"/>
      <c r="UCY14" s="120"/>
      <c r="UCZ14" s="120"/>
      <c r="UDA14" s="120"/>
      <c r="UDB14" s="59"/>
      <c r="UDC14" s="119"/>
      <c r="UDD14" s="119"/>
      <c r="UDE14" s="119"/>
      <c r="UDF14" s="119"/>
      <c r="UDG14" s="119"/>
      <c r="UDH14" s="119"/>
      <c r="UDI14" s="119"/>
      <c r="UDJ14" s="119"/>
      <c r="UDK14" s="119"/>
      <c r="UDL14" s="119"/>
      <c r="UDM14" s="119"/>
      <c r="UDN14" s="119"/>
      <c r="UDO14" s="120"/>
      <c r="UDP14" s="120"/>
      <c r="UDQ14" s="120"/>
      <c r="UDR14" s="59"/>
      <c r="UDS14" s="119"/>
      <c r="UDT14" s="119"/>
      <c r="UDU14" s="119"/>
      <c r="UDV14" s="119"/>
      <c r="UDW14" s="119"/>
      <c r="UDX14" s="119"/>
      <c r="UDY14" s="119"/>
      <c r="UDZ14" s="119"/>
      <c r="UEA14" s="119"/>
      <c r="UEB14" s="119"/>
      <c r="UEC14" s="119"/>
      <c r="UED14" s="119"/>
      <c r="UEE14" s="120"/>
      <c r="UEF14" s="120"/>
      <c r="UEG14" s="120"/>
      <c r="UEH14" s="59"/>
      <c r="UEI14" s="119"/>
      <c r="UEJ14" s="119"/>
      <c r="UEK14" s="119"/>
      <c r="UEL14" s="119"/>
      <c r="UEM14" s="119"/>
      <c r="UEN14" s="119"/>
      <c r="UEO14" s="119"/>
      <c r="UEP14" s="119"/>
      <c r="UEQ14" s="119"/>
      <c r="UER14" s="119"/>
      <c r="UES14" s="119"/>
      <c r="UET14" s="119"/>
      <c r="UEU14" s="120"/>
      <c r="UEV14" s="120"/>
      <c r="UEW14" s="120"/>
      <c r="UEX14" s="59"/>
      <c r="UEY14" s="119"/>
      <c r="UEZ14" s="119"/>
      <c r="UFA14" s="119"/>
      <c r="UFB14" s="119"/>
      <c r="UFC14" s="119"/>
      <c r="UFD14" s="119"/>
      <c r="UFE14" s="119"/>
      <c r="UFF14" s="119"/>
      <c r="UFG14" s="119"/>
      <c r="UFH14" s="119"/>
      <c r="UFI14" s="119"/>
      <c r="UFJ14" s="119"/>
      <c r="UFK14" s="120"/>
      <c r="UFL14" s="120"/>
      <c r="UFM14" s="120"/>
      <c r="UFN14" s="59"/>
      <c r="UFO14" s="119"/>
      <c r="UFP14" s="119"/>
      <c r="UFQ14" s="119"/>
      <c r="UFR14" s="119"/>
      <c r="UFS14" s="119"/>
      <c r="UFT14" s="119"/>
      <c r="UFU14" s="119"/>
      <c r="UFV14" s="119"/>
      <c r="UFW14" s="119"/>
      <c r="UFX14" s="119"/>
      <c r="UFY14" s="119"/>
      <c r="UFZ14" s="119"/>
      <c r="UGA14" s="120"/>
      <c r="UGB14" s="120"/>
      <c r="UGC14" s="120"/>
      <c r="UGD14" s="59"/>
      <c r="UGE14" s="119"/>
      <c r="UGF14" s="119"/>
      <c r="UGG14" s="119"/>
      <c r="UGH14" s="119"/>
      <c r="UGI14" s="119"/>
      <c r="UGJ14" s="119"/>
      <c r="UGK14" s="119"/>
      <c r="UGL14" s="119"/>
      <c r="UGM14" s="119"/>
      <c r="UGN14" s="119"/>
      <c r="UGO14" s="119"/>
      <c r="UGP14" s="119"/>
      <c r="UGQ14" s="120"/>
      <c r="UGR14" s="120"/>
      <c r="UGS14" s="120"/>
      <c r="UGT14" s="59"/>
      <c r="UGU14" s="119"/>
      <c r="UGV14" s="119"/>
      <c r="UGW14" s="119"/>
      <c r="UGX14" s="119"/>
      <c r="UGY14" s="119"/>
      <c r="UGZ14" s="119"/>
      <c r="UHA14" s="119"/>
      <c r="UHB14" s="119"/>
      <c r="UHC14" s="119"/>
      <c r="UHD14" s="119"/>
      <c r="UHE14" s="119"/>
      <c r="UHF14" s="119"/>
      <c r="UHG14" s="120"/>
      <c r="UHH14" s="120"/>
      <c r="UHI14" s="120"/>
      <c r="UHJ14" s="59"/>
      <c r="UHK14" s="119"/>
      <c r="UHL14" s="119"/>
      <c r="UHM14" s="119"/>
      <c r="UHN14" s="119"/>
      <c r="UHO14" s="119"/>
      <c r="UHP14" s="119"/>
      <c r="UHQ14" s="119"/>
      <c r="UHR14" s="119"/>
      <c r="UHS14" s="119"/>
      <c r="UHT14" s="119"/>
      <c r="UHU14" s="119"/>
      <c r="UHV14" s="119"/>
      <c r="UHW14" s="120"/>
      <c r="UHX14" s="120"/>
      <c r="UHY14" s="120"/>
      <c r="UHZ14" s="59"/>
      <c r="UIA14" s="119"/>
      <c r="UIB14" s="119"/>
      <c r="UIC14" s="119"/>
      <c r="UID14" s="119"/>
      <c r="UIE14" s="119"/>
      <c r="UIF14" s="119"/>
      <c r="UIG14" s="119"/>
      <c r="UIH14" s="119"/>
      <c r="UII14" s="119"/>
      <c r="UIJ14" s="119"/>
      <c r="UIK14" s="119"/>
      <c r="UIL14" s="119"/>
      <c r="UIM14" s="120"/>
      <c r="UIN14" s="120"/>
      <c r="UIO14" s="120"/>
      <c r="UIP14" s="59"/>
      <c r="UIQ14" s="119"/>
      <c r="UIR14" s="119"/>
      <c r="UIS14" s="119"/>
      <c r="UIT14" s="119"/>
      <c r="UIU14" s="119"/>
      <c r="UIV14" s="119"/>
      <c r="UIW14" s="119"/>
      <c r="UIX14" s="119"/>
      <c r="UIY14" s="119"/>
      <c r="UIZ14" s="119"/>
      <c r="UJA14" s="119"/>
      <c r="UJB14" s="119"/>
      <c r="UJC14" s="120"/>
      <c r="UJD14" s="120"/>
      <c r="UJE14" s="120"/>
      <c r="UJF14" s="59"/>
      <c r="UJG14" s="119"/>
      <c r="UJH14" s="119"/>
      <c r="UJI14" s="119"/>
      <c r="UJJ14" s="119"/>
      <c r="UJK14" s="119"/>
      <c r="UJL14" s="119"/>
      <c r="UJM14" s="119"/>
      <c r="UJN14" s="119"/>
      <c r="UJO14" s="119"/>
      <c r="UJP14" s="119"/>
      <c r="UJQ14" s="119"/>
      <c r="UJR14" s="119"/>
      <c r="UJS14" s="120"/>
      <c r="UJT14" s="120"/>
      <c r="UJU14" s="120"/>
      <c r="UJV14" s="59"/>
      <c r="UJW14" s="119"/>
      <c r="UJX14" s="119"/>
      <c r="UJY14" s="119"/>
      <c r="UJZ14" s="119"/>
      <c r="UKA14" s="119"/>
      <c r="UKB14" s="119"/>
      <c r="UKC14" s="119"/>
      <c r="UKD14" s="119"/>
      <c r="UKE14" s="119"/>
      <c r="UKF14" s="119"/>
      <c r="UKG14" s="119"/>
      <c r="UKH14" s="119"/>
      <c r="UKI14" s="120"/>
      <c r="UKJ14" s="120"/>
      <c r="UKK14" s="120"/>
      <c r="UKL14" s="59"/>
      <c r="UKM14" s="119"/>
      <c r="UKN14" s="119"/>
      <c r="UKO14" s="119"/>
      <c r="UKP14" s="119"/>
      <c r="UKQ14" s="119"/>
      <c r="UKR14" s="119"/>
      <c r="UKS14" s="119"/>
      <c r="UKT14" s="119"/>
      <c r="UKU14" s="119"/>
      <c r="UKV14" s="119"/>
      <c r="UKW14" s="119"/>
      <c r="UKX14" s="119"/>
      <c r="UKY14" s="120"/>
      <c r="UKZ14" s="120"/>
      <c r="ULA14" s="120"/>
      <c r="ULB14" s="59"/>
      <c r="ULC14" s="119"/>
      <c r="ULD14" s="119"/>
      <c r="ULE14" s="119"/>
      <c r="ULF14" s="119"/>
      <c r="ULG14" s="119"/>
      <c r="ULH14" s="119"/>
      <c r="ULI14" s="119"/>
      <c r="ULJ14" s="119"/>
      <c r="ULK14" s="119"/>
      <c r="ULL14" s="119"/>
      <c r="ULM14" s="119"/>
      <c r="ULN14" s="119"/>
      <c r="ULO14" s="120"/>
      <c r="ULP14" s="120"/>
      <c r="ULQ14" s="120"/>
      <c r="ULR14" s="59"/>
      <c r="ULS14" s="119"/>
      <c r="ULT14" s="119"/>
      <c r="ULU14" s="119"/>
      <c r="ULV14" s="119"/>
      <c r="ULW14" s="119"/>
      <c r="ULX14" s="119"/>
      <c r="ULY14" s="119"/>
      <c r="ULZ14" s="119"/>
      <c r="UMA14" s="119"/>
      <c r="UMB14" s="119"/>
      <c r="UMC14" s="119"/>
      <c r="UMD14" s="119"/>
      <c r="UME14" s="120"/>
      <c r="UMF14" s="120"/>
      <c r="UMG14" s="120"/>
      <c r="UMH14" s="59"/>
      <c r="UMI14" s="119"/>
      <c r="UMJ14" s="119"/>
      <c r="UMK14" s="119"/>
      <c r="UML14" s="119"/>
      <c r="UMM14" s="119"/>
      <c r="UMN14" s="119"/>
      <c r="UMO14" s="119"/>
      <c r="UMP14" s="119"/>
      <c r="UMQ14" s="119"/>
      <c r="UMR14" s="119"/>
      <c r="UMS14" s="119"/>
      <c r="UMT14" s="119"/>
      <c r="UMU14" s="120"/>
      <c r="UMV14" s="120"/>
      <c r="UMW14" s="120"/>
      <c r="UMX14" s="59"/>
      <c r="UMY14" s="119"/>
      <c r="UMZ14" s="119"/>
      <c r="UNA14" s="119"/>
      <c r="UNB14" s="119"/>
      <c r="UNC14" s="119"/>
      <c r="UND14" s="119"/>
      <c r="UNE14" s="119"/>
      <c r="UNF14" s="119"/>
      <c r="UNG14" s="119"/>
      <c r="UNH14" s="119"/>
      <c r="UNI14" s="119"/>
      <c r="UNJ14" s="119"/>
      <c r="UNK14" s="120"/>
      <c r="UNL14" s="120"/>
      <c r="UNM14" s="120"/>
      <c r="UNN14" s="59"/>
      <c r="UNO14" s="119"/>
      <c r="UNP14" s="119"/>
      <c r="UNQ14" s="119"/>
      <c r="UNR14" s="119"/>
      <c r="UNS14" s="119"/>
      <c r="UNT14" s="119"/>
      <c r="UNU14" s="119"/>
      <c r="UNV14" s="119"/>
      <c r="UNW14" s="119"/>
      <c r="UNX14" s="119"/>
      <c r="UNY14" s="119"/>
      <c r="UNZ14" s="119"/>
      <c r="UOA14" s="120"/>
      <c r="UOB14" s="120"/>
      <c r="UOC14" s="120"/>
      <c r="UOD14" s="59"/>
      <c r="UOE14" s="119"/>
      <c r="UOF14" s="119"/>
      <c r="UOG14" s="119"/>
      <c r="UOH14" s="119"/>
      <c r="UOI14" s="119"/>
      <c r="UOJ14" s="119"/>
      <c r="UOK14" s="119"/>
      <c r="UOL14" s="119"/>
      <c r="UOM14" s="119"/>
      <c r="UON14" s="119"/>
      <c r="UOO14" s="119"/>
      <c r="UOP14" s="119"/>
      <c r="UOQ14" s="120"/>
      <c r="UOR14" s="120"/>
      <c r="UOS14" s="120"/>
      <c r="UOT14" s="59"/>
      <c r="UOU14" s="119"/>
      <c r="UOV14" s="119"/>
      <c r="UOW14" s="119"/>
      <c r="UOX14" s="119"/>
      <c r="UOY14" s="119"/>
      <c r="UOZ14" s="119"/>
      <c r="UPA14" s="119"/>
      <c r="UPB14" s="119"/>
      <c r="UPC14" s="119"/>
      <c r="UPD14" s="119"/>
      <c r="UPE14" s="119"/>
      <c r="UPF14" s="119"/>
      <c r="UPG14" s="120"/>
      <c r="UPH14" s="120"/>
      <c r="UPI14" s="120"/>
      <c r="UPJ14" s="59"/>
      <c r="UPK14" s="119"/>
      <c r="UPL14" s="119"/>
      <c r="UPM14" s="119"/>
      <c r="UPN14" s="119"/>
      <c r="UPO14" s="119"/>
      <c r="UPP14" s="119"/>
      <c r="UPQ14" s="119"/>
      <c r="UPR14" s="119"/>
      <c r="UPS14" s="119"/>
      <c r="UPT14" s="119"/>
      <c r="UPU14" s="119"/>
      <c r="UPV14" s="119"/>
      <c r="UPW14" s="120"/>
      <c r="UPX14" s="120"/>
      <c r="UPY14" s="120"/>
      <c r="UPZ14" s="59"/>
      <c r="UQA14" s="119"/>
      <c r="UQB14" s="119"/>
      <c r="UQC14" s="119"/>
      <c r="UQD14" s="119"/>
      <c r="UQE14" s="119"/>
      <c r="UQF14" s="119"/>
      <c r="UQG14" s="119"/>
      <c r="UQH14" s="119"/>
      <c r="UQI14" s="119"/>
      <c r="UQJ14" s="119"/>
      <c r="UQK14" s="119"/>
      <c r="UQL14" s="119"/>
      <c r="UQM14" s="120"/>
      <c r="UQN14" s="120"/>
      <c r="UQO14" s="120"/>
      <c r="UQP14" s="59"/>
      <c r="UQQ14" s="119"/>
      <c r="UQR14" s="119"/>
      <c r="UQS14" s="119"/>
      <c r="UQT14" s="119"/>
      <c r="UQU14" s="119"/>
      <c r="UQV14" s="119"/>
      <c r="UQW14" s="119"/>
      <c r="UQX14" s="119"/>
      <c r="UQY14" s="119"/>
      <c r="UQZ14" s="119"/>
      <c r="URA14" s="119"/>
      <c r="URB14" s="119"/>
      <c r="URC14" s="120"/>
      <c r="URD14" s="120"/>
      <c r="URE14" s="120"/>
      <c r="URF14" s="59"/>
      <c r="URG14" s="119"/>
      <c r="URH14" s="119"/>
      <c r="URI14" s="119"/>
      <c r="URJ14" s="119"/>
      <c r="URK14" s="119"/>
      <c r="URL14" s="119"/>
      <c r="URM14" s="119"/>
      <c r="URN14" s="119"/>
      <c r="URO14" s="119"/>
      <c r="URP14" s="119"/>
      <c r="URQ14" s="119"/>
      <c r="URR14" s="119"/>
      <c r="URS14" s="120"/>
      <c r="URT14" s="120"/>
      <c r="URU14" s="120"/>
      <c r="URV14" s="59"/>
      <c r="URW14" s="119"/>
      <c r="URX14" s="119"/>
      <c r="URY14" s="119"/>
      <c r="URZ14" s="119"/>
      <c r="USA14" s="119"/>
      <c r="USB14" s="119"/>
      <c r="USC14" s="119"/>
      <c r="USD14" s="119"/>
      <c r="USE14" s="119"/>
      <c r="USF14" s="119"/>
      <c r="USG14" s="119"/>
      <c r="USH14" s="119"/>
      <c r="USI14" s="120"/>
      <c r="USJ14" s="120"/>
      <c r="USK14" s="120"/>
      <c r="USL14" s="59"/>
      <c r="USM14" s="119"/>
      <c r="USN14" s="119"/>
      <c r="USO14" s="119"/>
      <c r="USP14" s="119"/>
      <c r="USQ14" s="119"/>
      <c r="USR14" s="119"/>
      <c r="USS14" s="119"/>
      <c r="UST14" s="119"/>
      <c r="USU14" s="119"/>
      <c r="USV14" s="119"/>
      <c r="USW14" s="119"/>
      <c r="USX14" s="119"/>
      <c r="USY14" s="120"/>
      <c r="USZ14" s="120"/>
      <c r="UTA14" s="120"/>
      <c r="UTB14" s="59"/>
      <c r="UTC14" s="119"/>
      <c r="UTD14" s="119"/>
      <c r="UTE14" s="119"/>
      <c r="UTF14" s="119"/>
      <c r="UTG14" s="119"/>
      <c r="UTH14" s="119"/>
      <c r="UTI14" s="119"/>
      <c r="UTJ14" s="119"/>
      <c r="UTK14" s="119"/>
      <c r="UTL14" s="119"/>
      <c r="UTM14" s="119"/>
      <c r="UTN14" s="119"/>
      <c r="UTO14" s="120"/>
      <c r="UTP14" s="120"/>
      <c r="UTQ14" s="120"/>
      <c r="UTR14" s="59"/>
      <c r="UTS14" s="119"/>
      <c r="UTT14" s="119"/>
      <c r="UTU14" s="119"/>
      <c r="UTV14" s="119"/>
      <c r="UTW14" s="119"/>
      <c r="UTX14" s="119"/>
      <c r="UTY14" s="119"/>
      <c r="UTZ14" s="119"/>
      <c r="UUA14" s="119"/>
      <c r="UUB14" s="119"/>
      <c r="UUC14" s="119"/>
      <c r="UUD14" s="119"/>
      <c r="UUE14" s="120"/>
      <c r="UUF14" s="120"/>
      <c r="UUG14" s="120"/>
      <c r="UUH14" s="59"/>
      <c r="UUI14" s="119"/>
      <c r="UUJ14" s="119"/>
      <c r="UUK14" s="119"/>
      <c r="UUL14" s="119"/>
      <c r="UUM14" s="119"/>
      <c r="UUN14" s="119"/>
      <c r="UUO14" s="119"/>
      <c r="UUP14" s="119"/>
      <c r="UUQ14" s="119"/>
      <c r="UUR14" s="119"/>
      <c r="UUS14" s="119"/>
      <c r="UUT14" s="119"/>
      <c r="UUU14" s="120"/>
      <c r="UUV14" s="120"/>
      <c r="UUW14" s="120"/>
      <c r="UUX14" s="59"/>
      <c r="UUY14" s="119"/>
      <c r="UUZ14" s="119"/>
      <c r="UVA14" s="119"/>
      <c r="UVB14" s="119"/>
      <c r="UVC14" s="119"/>
      <c r="UVD14" s="119"/>
      <c r="UVE14" s="119"/>
      <c r="UVF14" s="119"/>
      <c r="UVG14" s="119"/>
      <c r="UVH14" s="119"/>
      <c r="UVI14" s="119"/>
      <c r="UVJ14" s="119"/>
      <c r="UVK14" s="120"/>
      <c r="UVL14" s="120"/>
      <c r="UVM14" s="120"/>
      <c r="UVN14" s="59"/>
      <c r="UVO14" s="119"/>
      <c r="UVP14" s="119"/>
      <c r="UVQ14" s="119"/>
      <c r="UVR14" s="119"/>
      <c r="UVS14" s="119"/>
      <c r="UVT14" s="119"/>
      <c r="UVU14" s="119"/>
      <c r="UVV14" s="119"/>
      <c r="UVW14" s="119"/>
      <c r="UVX14" s="119"/>
      <c r="UVY14" s="119"/>
      <c r="UVZ14" s="119"/>
      <c r="UWA14" s="120"/>
      <c r="UWB14" s="120"/>
      <c r="UWC14" s="120"/>
      <c r="UWD14" s="59"/>
      <c r="UWE14" s="119"/>
      <c r="UWF14" s="119"/>
      <c r="UWG14" s="119"/>
      <c r="UWH14" s="119"/>
      <c r="UWI14" s="119"/>
      <c r="UWJ14" s="119"/>
      <c r="UWK14" s="119"/>
      <c r="UWL14" s="119"/>
      <c r="UWM14" s="119"/>
      <c r="UWN14" s="119"/>
      <c r="UWO14" s="119"/>
      <c r="UWP14" s="119"/>
      <c r="UWQ14" s="120"/>
      <c r="UWR14" s="120"/>
      <c r="UWS14" s="120"/>
      <c r="UWT14" s="59"/>
      <c r="UWU14" s="119"/>
      <c r="UWV14" s="119"/>
      <c r="UWW14" s="119"/>
      <c r="UWX14" s="119"/>
      <c r="UWY14" s="119"/>
      <c r="UWZ14" s="119"/>
      <c r="UXA14" s="119"/>
      <c r="UXB14" s="119"/>
      <c r="UXC14" s="119"/>
      <c r="UXD14" s="119"/>
      <c r="UXE14" s="119"/>
      <c r="UXF14" s="119"/>
      <c r="UXG14" s="120"/>
      <c r="UXH14" s="120"/>
      <c r="UXI14" s="120"/>
      <c r="UXJ14" s="59"/>
      <c r="UXK14" s="119"/>
      <c r="UXL14" s="119"/>
      <c r="UXM14" s="119"/>
      <c r="UXN14" s="119"/>
      <c r="UXO14" s="119"/>
      <c r="UXP14" s="119"/>
      <c r="UXQ14" s="119"/>
      <c r="UXR14" s="119"/>
      <c r="UXS14" s="119"/>
      <c r="UXT14" s="119"/>
      <c r="UXU14" s="119"/>
      <c r="UXV14" s="119"/>
      <c r="UXW14" s="120"/>
      <c r="UXX14" s="120"/>
      <c r="UXY14" s="120"/>
      <c r="UXZ14" s="59"/>
      <c r="UYA14" s="119"/>
      <c r="UYB14" s="119"/>
      <c r="UYC14" s="119"/>
      <c r="UYD14" s="119"/>
      <c r="UYE14" s="119"/>
      <c r="UYF14" s="119"/>
      <c r="UYG14" s="119"/>
      <c r="UYH14" s="119"/>
      <c r="UYI14" s="119"/>
      <c r="UYJ14" s="119"/>
      <c r="UYK14" s="119"/>
      <c r="UYL14" s="119"/>
      <c r="UYM14" s="120"/>
      <c r="UYN14" s="120"/>
      <c r="UYO14" s="120"/>
      <c r="UYP14" s="59"/>
      <c r="UYQ14" s="119"/>
      <c r="UYR14" s="119"/>
      <c r="UYS14" s="119"/>
      <c r="UYT14" s="119"/>
      <c r="UYU14" s="119"/>
      <c r="UYV14" s="119"/>
      <c r="UYW14" s="119"/>
      <c r="UYX14" s="119"/>
      <c r="UYY14" s="119"/>
      <c r="UYZ14" s="119"/>
      <c r="UZA14" s="119"/>
      <c r="UZB14" s="119"/>
      <c r="UZC14" s="120"/>
      <c r="UZD14" s="120"/>
      <c r="UZE14" s="120"/>
      <c r="UZF14" s="59"/>
      <c r="UZG14" s="119"/>
      <c r="UZH14" s="119"/>
      <c r="UZI14" s="119"/>
      <c r="UZJ14" s="119"/>
      <c r="UZK14" s="119"/>
      <c r="UZL14" s="119"/>
      <c r="UZM14" s="119"/>
      <c r="UZN14" s="119"/>
      <c r="UZO14" s="119"/>
      <c r="UZP14" s="119"/>
      <c r="UZQ14" s="119"/>
      <c r="UZR14" s="119"/>
      <c r="UZS14" s="120"/>
      <c r="UZT14" s="120"/>
      <c r="UZU14" s="120"/>
      <c r="UZV14" s="59"/>
      <c r="UZW14" s="119"/>
      <c r="UZX14" s="119"/>
      <c r="UZY14" s="119"/>
      <c r="UZZ14" s="119"/>
      <c r="VAA14" s="119"/>
      <c r="VAB14" s="119"/>
      <c r="VAC14" s="119"/>
      <c r="VAD14" s="119"/>
      <c r="VAE14" s="119"/>
      <c r="VAF14" s="119"/>
      <c r="VAG14" s="119"/>
      <c r="VAH14" s="119"/>
      <c r="VAI14" s="120"/>
      <c r="VAJ14" s="120"/>
      <c r="VAK14" s="120"/>
      <c r="VAL14" s="59"/>
      <c r="VAM14" s="119"/>
      <c r="VAN14" s="119"/>
      <c r="VAO14" s="119"/>
      <c r="VAP14" s="119"/>
      <c r="VAQ14" s="119"/>
      <c r="VAR14" s="119"/>
      <c r="VAS14" s="119"/>
      <c r="VAT14" s="119"/>
      <c r="VAU14" s="119"/>
      <c r="VAV14" s="119"/>
      <c r="VAW14" s="119"/>
      <c r="VAX14" s="119"/>
      <c r="VAY14" s="120"/>
      <c r="VAZ14" s="120"/>
      <c r="VBA14" s="120"/>
      <c r="VBB14" s="59"/>
      <c r="VBC14" s="119"/>
      <c r="VBD14" s="119"/>
      <c r="VBE14" s="119"/>
      <c r="VBF14" s="119"/>
      <c r="VBG14" s="119"/>
      <c r="VBH14" s="119"/>
      <c r="VBI14" s="119"/>
      <c r="VBJ14" s="119"/>
      <c r="VBK14" s="119"/>
      <c r="VBL14" s="119"/>
      <c r="VBM14" s="119"/>
      <c r="VBN14" s="119"/>
      <c r="VBO14" s="120"/>
      <c r="VBP14" s="120"/>
      <c r="VBQ14" s="120"/>
      <c r="VBR14" s="59"/>
      <c r="VBS14" s="119"/>
      <c r="VBT14" s="119"/>
      <c r="VBU14" s="119"/>
      <c r="VBV14" s="119"/>
      <c r="VBW14" s="119"/>
      <c r="VBX14" s="119"/>
      <c r="VBY14" s="119"/>
      <c r="VBZ14" s="119"/>
      <c r="VCA14" s="119"/>
      <c r="VCB14" s="119"/>
      <c r="VCC14" s="119"/>
      <c r="VCD14" s="119"/>
      <c r="VCE14" s="120"/>
      <c r="VCF14" s="120"/>
      <c r="VCG14" s="120"/>
      <c r="VCH14" s="59"/>
      <c r="VCI14" s="119"/>
      <c r="VCJ14" s="119"/>
      <c r="VCK14" s="119"/>
      <c r="VCL14" s="119"/>
      <c r="VCM14" s="119"/>
      <c r="VCN14" s="119"/>
      <c r="VCO14" s="119"/>
      <c r="VCP14" s="119"/>
      <c r="VCQ14" s="119"/>
      <c r="VCR14" s="119"/>
      <c r="VCS14" s="119"/>
      <c r="VCT14" s="119"/>
      <c r="VCU14" s="120"/>
      <c r="VCV14" s="120"/>
      <c r="VCW14" s="120"/>
      <c r="VCX14" s="59"/>
      <c r="VCY14" s="119"/>
      <c r="VCZ14" s="119"/>
      <c r="VDA14" s="119"/>
      <c r="VDB14" s="119"/>
      <c r="VDC14" s="119"/>
      <c r="VDD14" s="119"/>
      <c r="VDE14" s="119"/>
      <c r="VDF14" s="119"/>
      <c r="VDG14" s="119"/>
      <c r="VDH14" s="119"/>
      <c r="VDI14" s="119"/>
      <c r="VDJ14" s="119"/>
      <c r="VDK14" s="120"/>
      <c r="VDL14" s="120"/>
      <c r="VDM14" s="120"/>
      <c r="VDN14" s="59"/>
      <c r="VDO14" s="119"/>
      <c r="VDP14" s="119"/>
      <c r="VDQ14" s="119"/>
      <c r="VDR14" s="119"/>
      <c r="VDS14" s="119"/>
      <c r="VDT14" s="119"/>
      <c r="VDU14" s="119"/>
      <c r="VDV14" s="119"/>
      <c r="VDW14" s="119"/>
      <c r="VDX14" s="119"/>
      <c r="VDY14" s="119"/>
      <c r="VDZ14" s="119"/>
      <c r="VEA14" s="120"/>
      <c r="VEB14" s="120"/>
      <c r="VEC14" s="120"/>
      <c r="VED14" s="59"/>
      <c r="VEE14" s="119"/>
      <c r="VEF14" s="119"/>
      <c r="VEG14" s="119"/>
      <c r="VEH14" s="119"/>
      <c r="VEI14" s="119"/>
      <c r="VEJ14" s="119"/>
      <c r="VEK14" s="119"/>
      <c r="VEL14" s="119"/>
      <c r="VEM14" s="119"/>
      <c r="VEN14" s="119"/>
      <c r="VEO14" s="119"/>
      <c r="VEP14" s="119"/>
      <c r="VEQ14" s="120"/>
      <c r="VER14" s="120"/>
      <c r="VES14" s="120"/>
      <c r="VET14" s="59"/>
      <c r="VEU14" s="119"/>
      <c r="VEV14" s="119"/>
      <c r="VEW14" s="119"/>
      <c r="VEX14" s="119"/>
      <c r="VEY14" s="119"/>
      <c r="VEZ14" s="119"/>
      <c r="VFA14" s="119"/>
      <c r="VFB14" s="119"/>
      <c r="VFC14" s="119"/>
      <c r="VFD14" s="119"/>
      <c r="VFE14" s="119"/>
      <c r="VFF14" s="119"/>
      <c r="VFG14" s="120"/>
      <c r="VFH14" s="120"/>
      <c r="VFI14" s="120"/>
      <c r="VFJ14" s="59"/>
      <c r="VFK14" s="119"/>
      <c r="VFL14" s="119"/>
      <c r="VFM14" s="119"/>
      <c r="VFN14" s="119"/>
      <c r="VFO14" s="119"/>
      <c r="VFP14" s="119"/>
      <c r="VFQ14" s="119"/>
      <c r="VFR14" s="119"/>
      <c r="VFS14" s="119"/>
      <c r="VFT14" s="119"/>
      <c r="VFU14" s="119"/>
      <c r="VFV14" s="119"/>
      <c r="VFW14" s="120"/>
      <c r="VFX14" s="120"/>
      <c r="VFY14" s="120"/>
      <c r="VFZ14" s="59"/>
      <c r="VGA14" s="119"/>
      <c r="VGB14" s="119"/>
      <c r="VGC14" s="119"/>
      <c r="VGD14" s="119"/>
      <c r="VGE14" s="119"/>
      <c r="VGF14" s="119"/>
      <c r="VGG14" s="119"/>
      <c r="VGH14" s="119"/>
      <c r="VGI14" s="119"/>
      <c r="VGJ14" s="119"/>
      <c r="VGK14" s="119"/>
      <c r="VGL14" s="119"/>
      <c r="VGM14" s="120"/>
      <c r="VGN14" s="120"/>
      <c r="VGO14" s="120"/>
      <c r="VGP14" s="59"/>
      <c r="VGQ14" s="119"/>
      <c r="VGR14" s="119"/>
      <c r="VGS14" s="119"/>
      <c r="VGT14" s="119"/>
      <c r="VGU14" s="119"/>
      <c r="VGV14" s="119"/>
      <c r="VGW14" s="119"/>
      <c r="VGX14" s="119"/>
      <c r="VGY14" s="119"/>
      <c r="VGZ14" s="119"/>
      <c r="VHA14" s="119"/>
      <c r="VHB14" s="119"/>
      <c r="VHC14" s="120"/>
      <c r="VHD14" s="120"/>
      <c r="VHE14" s="120"/>
      <c r="VHF14" s="59"/>
      <c r="VHG14" s="119"/>
      <c r="VHH14" s="119"/>
      <c r="VHI14" s="119"/>
      <c r="VHJ14" s="119"/>
      <c r="VHK14" s="119"/>
      <c r="VHL14" s="119"/>
      <c r="VHM14" s="119"/>
      <c r="VHN14" s="119"/>
      <c r="VHO14" s="119"/>
      <c r="VHP14" s="119"/>
      <c r="VHQ14" s="119"/>
      <c r="VHR14" s="119"/>
      <c r="VHS14" s="120"/>
      <c r="VHT14" s="120"/>
      <c r="VHU14" s="120"/>
      <c r="VHV14" s="59"/>
      <c r="VHW14" s="119"/>
      <c r="VHX14" s="119"/>
      <c r="VHY14" s="119"/>
      <c r="VHZ14" s="119"/>
      <c r="VIA14" s="119"/>
      <c r="VIB14" s="119"/>
      <c r="VIC14" s="119"/>
      <c r="VID14" s="119"/>
      <c r="VIE14" s="119"/>
      <c r="VIF14" s="119"/>
      <c r="VIG14" s="119"/>
      <c r="VIH14" s="119"/>
      <c r="VII14" s="120"/>
      <c r="VIJ14" s="120"/>
      <c r="VIK14" s="120"/>
      <c r="VIL14" s="59"/>
      <c r="VIM14" s="119"/>
      <c r="VIN14" s="119"/>
      <c r="VIO14" s="119"/>
      <c r="VIP14" s="119"/>
      <c r="VIQ14" s="119"/>
      <c r="VIR14" s="119"/>
      <c r="VIS14" s="119"/>
      <c r="VIT14" s="119"/>
      <c r="VIU14" s="119"/>
      <c r="VIV14" s="119"/>
      <c r="VIW14" s="119"/>
      <c r="VIX14" s="119"/>
      <c r="VIY14" s="120"/>
      <c r="VIZ14" s="120"/>
      <c r="VJA14" s="120"/>
      <c r="VJB14" s="59"/>
      <c r="VJC14" s="119"/>
      <c r="VJD14" s="119"/>
      <c r="VJE14" s="119"/>
      <c r="VJF14" s="119"/>
      <c r="VJG14" s="119"/>
      <c r="VJH14" s="119"/>
      <c r="VJI14" s="119"/>
      <c r="VJJ14" s="119"/>
      <c r="VJK14" s="119"/>
      <c r="VJL14" s="119"/>
      <c r="VJM14" s="119"/>
      <c r="VJN14" s="119"/>
      <c r="VJO14" s="120"/>
      <c r="VJP14" s="120"/>
      <c r="VJQ14" s="120"/>
      <c r="VJR14" s="59"/>
      <c r="VJS14" s="119"/>
      <c r="VJT14" s="119"/>
      <c r="VJU14" s="119"/>
      <c r="VJV14" s="119"/>
      <c r="VJW14" s="119"/>
      <c r="VJX14" s="119"/>
      <c r="VJY14" s="119"/>
      <c r="VJZ14" s="119"/>
      <c r="VKA14" s="119"/>
      <c r="VKB14" s="119"/>
      <c r="VKC14" s="119"/>
      <c r="VKD14" s="119"/>
      <c r="VKE14" s="120"/>
      <c r="VKF14" s="120"/>
      <c r="VKG14" s="120"/>
      <c r="VKH14" s="59"/>
      <c r="VKI14" s="119"/>
      <c r="VKJ14" s="119"/>
      <c r="VKK14" s="119"/>
      <c r="VKL14" s="119"/>
      <c r="VKM14" s="119"/>
      <c r="VKN14" s="119"/>
      <c r="VKO14" s="119"/>
      <c r="VKP14" s="119"/>
      <c r="VKQ14" s="119"/>
      <c r="VKR14" s="119"/>
      <c r="VKS14" s="119"/>
      <c r="VKT14" s="119"/>
      <c r="VKU14" s="120"/>
      <c r="VKV14" s="120"/>
      <c r="VKW14" s="120"/>
      <c r="VKX14" s="59"/>
      <c r="VKY14" s="119"/>
      <c r="VKZ14" s="119"/>
      <c r="VLA14" s="119"/>
      <c r="VLB14" s="119"/>
      <c r="VLC14" s="119"/>
      <c r="VLD14" s="119"/>
      <c r="VLE14" s="119"/>
      <c r="VLF14" s="119"/>
      <c r="VLG14" s="119"/>
      <c r="VLH14" s="119"/>
      <c r="VLI14" s="119"/>
      <c r="VLJ14" s="119"/>
      <c r="VLK14" s="120"/>
      <c r="VLL14" s="120"/>
      <c r="VLM14" s="120"/>
      <c r="VLN14" s="59"/>
      <c r="VLO14" s="119"/>
      <c r="VLP14" s="119"/>
      <c r="VLQ14" s="119"/>
      <c r="VLR14" s="119"/>
      <c r="VLS14" s="119"/>
      <c r="VLT14" s="119"/>
      <c r="VLU14" s="119"/>
      <c r="VLV14" s="119"/>
      <c r="VLW14" s="119"/>
      <c r="VLX14" s="119"/>
      <c r="VLY14" s="119"/>
      <c r="VLZ14" s="119"/>
      <c r="VMA14" s="120"/>
      <c r="VMB14" s="120"/>
      <c r="VMC14" s="120"/>
      <c r="VMD14" s="59"/>
      <c r="VME14" s="119"/>
      <c r="VMF14" s="119"/>
      <c r="VMG14" s="119"/>
      <c r="VMH14" s="119"/>
      <c r="VMI14" s="119"/>
      <c r="VMJ14" s="119"/>
      <c r="VMK14" s="119"/>
      <c r="VML14" s="119"/>
      <c r="VMM14" s="119"/>
      <c r="VMN14" s="119"/>
      <c r="VMO14" s="119"/>
      <c r="VMP14" s="119"/>
      <c r="VMQ14" s="120"/>
      <c r="VMR14" s="120"/>
      <c r="VMS14" s="120"/>
      <c r="VMT14" s="59"/>
      <c r="VMU14" s="119"/>
      <c r="VMV14" s="119"/>
      <c r="VMW14" s="119"/>
      <c r="VMX14" s="119"/>
      <c r="VMY14" s="119"/>
      <c r="VMZ14" s="119"/>
      <c r="VNA14" s="119"/>
      <c r="VNB14" s="119"/>
      <c r="VNC14" s="119"/>
      <c r="VND14" s="119"/>
      <c r="VNE14" s="119"/>
      <c r="VNF14" s="119"/>
      <c r="VNG14" s="120"/>
      <c r="VNH14" s="120"/>
      <c r="VNI14" s="120"/>
      <c r="VNJ14" s="59"/>
      <c r="VNK14" s="119"/>
      <c r="VNL14" s="119"/>
      <c r="VNM14" s="119"/>
      <c r="VNN14" s="119"/>
      <c r="VNO14" s="119"/>
      <c r="VNP14" s="119"/>
      <c r="VNQ14" s="119"/>
      <c r="VNR14" s="119"/>
      <c r="VNS14" s="119"/>
      <c r="VNT14" s="119"/>
      <c r="VNU14" s="119"/>
      <c r="VNV14" s="119"/>
      <c r="VNW14" s="120"/>
      <c r="VNX14" s="120"/>
      <c r="VNY14" s="120"/>
      <c r="VNZ14" s="59"/>
      <c r="VOA14" s="119"/>
      <c r="VOB14" s="119"/>
      <c r="VOC14" s="119"/>
      <c r="VOD14" s="119"/>
      <c r="VOE14" s="119"/>
      <c r="VOF14" s="119"/>
      <c r="VOG14" s="119"/>
      <c r="VOH14" s="119"/>
      <c r="VOI14" s="119"/>
      <c r="VOJ14" s="119"/>
      <c r="VOK14" s="119"/>
      <c r="VOL14" s="119"/>
      <c r="VOM14" s="120"/>
      <c r="VON14" s="120"/>
      <c r="VOO14" s="120"/>
      <c r="VOP14" s="59"/>
      <c r="VOQ14" s="119"/>
      <c r="VOR14" s="119"/>
      <c r="VOS14" s="119"/>
      <c r="VOT14" s="119"/>
      <c r="VOU14" s="119"/>
      <c r="VOV14" s="119"/>
      <c r="VOW14" s="119"/>
      <c r="VOX14" s="119"/>
      <c r="VOY14" s="119"/>
      <c r="VOZ14" s="119"/>
      <c r="VPA14" s="119"/>
      <c r="VPB14" s="119"/>
      <c r="VPC14" s="120"/>
      <c r="VPD14" s="120"/>
      <c r="VPE14" s="120"/>
      <c r="VPF14" s="59"/>
      <c r="VPG14" s="119"/>
      <c r="VPH14" s="119"/>
      <c r="VPI14" s="119"/>
      <c r="VPJ14" s="119"/>
      <c r="VPK14" s="119"/>
      <c r="VPL14" s="119"/>
      <c r="VPM14" s="119"/>
      <c r="VPN14" s="119"/>
      <c r="VPO14" s="119"/>
      <c r="VPP14" s="119"/>
      <c r="VPQ14" s="119"/>
      <c r="VPR14" s="119"/>
      <c r="VPS14" s="120"/>
      <c r="VPT14" s="120"/>
      <c r="VPU14" s="120"/>
      <c r="VPV14" s="59"/>
      <c r="VPW14" s="119"/>
      <c r="VPX14" s="119"/>
      <c r="VPY14" s="119"/>
      <c r="VPZ14" s="119"/>
      <c r="VQA14" s="119"/>
      <c r="VQB14" s="119"/>
      <c r="VQC14" s="119"/>
      <c r="VQD14" s="119"/>
      <c r="VQE14" s="119"/>
      <c r="VQF14" s="119"/>
      <c r="VQG14" s="119"/>
      <c r="VQH14" s="119"/>
      <c r="VQI14" s="120"/>
      <c r="VQJ14" s="120"/>
      <c r="VQK14" s="120"/>
      <c r="VQL14" s="59"/>
      <c r="VQM14" s="119"/>
      <c r="VQN14" s="119"/>
      <c r="VQO14" s="119"/>
      <c r="VQP14" s="119"/>
      <c r="VQQ14" s="119"/>
      <c r="VQR14" s="119"/>
      <c r="VQS14" s="119"/>
      <c r="VQT14" s="119"/>
      <c r="VQU14" s="119"/>
      <c r="VQV14" s="119"/>
      <c r="VQW14" s="119"/>
      <c r="VQX14" s="119"/>
      <c r="VQY14" s="120"/>
      <c r="VQZ14" s="120"/>
      <c r="VRA14" s="120"/>
      <c r="VRB14" s="59"/>
      <c r="VRC14" s="119"/>
      <c r="VRD14" s="119"/>
      <c r="VRE14" s="119"/>
      <c r="VRF14" s="119"/>
      <c r="VRG14" s="119"/>
      <c r="VRH14" s="119"/>
      <c r="VRI14" s="119"/>
      <c r="VRJ14" s="119"/>
      <c r="VRK14" s="119"/>
      <c r="VRL14" s="119"/>
      <c r="VRM14" s="119"/>
      <c r="VRN14" s="119"/>
      <c r="VRO14" s="120"/>
      <c r="VRP14" s="120"/>
      <c r="VRQ14" s="120"/>
      <c r="VRR14" s="59"/>
      <c r="VRS14" s="119"/>
      <c r="VRT14" s="119"/>
      <c r="VRU14" s="119"/>
      <c r="VRV14" s="119"/>
      <c r="VRW14" s="119"/>
      <c r="VRX14" s="119"/>
      <c r="VRY14" s="119"/>
      <c r="VRZ14" s="119"/>
      <c r="VSA14" s="119"/>
      <c r="VSB14" s="119"/>
      <c r="VSC14" s="119"/>
      <c r="VSD14" s="119"/>
      <c r="VSE14" s="120"/>
      <c r="VSF14" s="120"/>
      <c r="VSG14" s="120"/>
      <c r="VSH14" s="59"/>
      <c r="VSI14" s="119"/>
      <c r="VSJ14" s="119"/>
      <c r="VSK14" s="119"/>
      <c r="VSL14" s="119"/>
      <c r="VSM14" s="119"/>
      <c r="VSN14" s="119"/>
      <c r="VSO14" s="119"/>
      <c r="VSP14" s="119"/>
      <c r="VSQ14" s="119"/>
      <c r="VSR14" s="119"/>
      <c r="VSS14" s="119"/>
      <c r="VST14" s="119"/>
      <c r="VSU14" s="120"/>
      <c r="VSV14" s="120"/>
      <c r="VSW14" s="120"/>
      <c r="VSX14" s="59"/>
      <c r="VSY14" s="119"/>
      <c r="VSZ14" s="119"/>
      <c r="VTA14" s="119"/>
      <c r="VTB14" s="119"/>
      <c r="VTC14" s="119"/>
      <c r="VTD14" s="119"/>
      <c r="VTE14" s="119"/>
      <c r="VTF14" s="119"/>
      <c r="VTG14" s="119"/>
      <c r="VTH14" s="119"/>
      <c r="VTI14" s="119"/>
      <c r="VTJ14" s="119"/>
      <c r="VTK14" s="120"/>
      <c r="VTL14" s="120"/>
      <c r="VTM14" s="120"/>
      <c r="VTN14" s="59"/>
      <c r="VTO14" s="119"/>
      <c r="VTP14" s="119"/>
      <c r="VTQ14" s="119"/>
      <c r="VTR14" s="119"/>
      <c r="VTS14" s="119"/>
      <c r="VTT14" s="119"/>
      <c r="VTU14" s="119"/>
      <c r="VTV14" s="119"/>
      <c r="VTW14" s="119"/>
      <c r="VTX14" s="119"/>
      <c r="VTY14" s="119"/>
      <c r="VTZ14" s="119"/>
      <c r="VUA14" s="120"/>
      <c r="VUB14" s="120"/>
      <c r="VUC14" s="120"/>
      <c r="VUD14" s="59"/>
      <c r="VUE14" s="119"/>
      <c r="VUF14" s="119"/>
      <c r="VUG14" s="119"/>
      <c r="VUH14" s="119"/>
      <c r="VUI14" s="119"/>
      <c r="VUJ14" s="119"/>
      <c r="VUK14" s="119"/>
      <c r="VUL14" s="119"/>
      <c r="VUM14" s="119"/>
      <c r="VUN14" s="119"/>
      <c r="VUO14" s="119"/>
      <c r="VUP14" s="119"/>
      <c r="VUQ14" s="120"/>
      <c r="VUR14" s="120"/>
      <c r="VUS14" s="120"/>
      <c r="VUT14" s="59"/>
      <c r="VUU14" s="119"/>
      <c r="VUV14" s="119"/>
      <c r="VUW14" s="119"/>
      <c r="VUX14" s="119"/>
      <c r="VUY14" s="119"/>
      <c r="VUZ14" s="119"/>
      <c r="VVA14" s="119"/>
      <c r="VVB14" s="119"/>
      <c r="VVC14" s="119"/>
      <c r="VVD14" s="119"/>
      <c r="VVE14" s="119"/>
      <c r="VVF14" s="119"/>
      <c r="VVG14" s="120"/>
      <c r="VVH14" s="120"/>
      <c r="VVI14" s="120"/>
      <c r="VVJ14" s="59"/>
      <c r="VVK14" s="119"/>
      <c r="VVL14" s="119"/>
      <c r="VVM14" s="119"/>
      <c r="VVN14" s="119"/>
      <c r="VVO14" s="119"/>
      <c r="VVP14" s="119"/>
      <c r="VVQ14" s="119"/>
      <c r="VVR14" s="119"/>
      <c r="VVS14" s="119"/>
      <c r="VVT14" s="119"/>
      <c r="VVU14" s="119"/>
      <c r="VVV14" s="119"/>
      <c r="VVW14" s="120"/>
      <c r="VVX14" s="120"/>
      <c r="VVY14" s="120"/>
      <c r="VVZ14" s="59"/>
      <c r="VWA14" s="119"/>
      <c r="VWB14" s="119"/>
      <c r="VWC14" s="119"/>
      <c r="VWD14" s="119"/>
      <c r="VWE14" s="119"/>
      <c r="VWF14" s="119"/>
      <c r="VWG14" s="119"/>
      <c r="VWH14" s="119"/>
      <c r="VWI14" s="119"/>
      <c r="VWJ14" s="119"/>
      <c r="VWK14" s="119"/>
      <c r="VWL14" s="119"/>
      <c r="VWM14" s="120"/>
      <c r="VWN14" s="120"/>
      <c r="VWO14" s="120"/>
      <c r="VWP14" s="59"/>
      <c r="VWQ14" s="119"/>
      <c r="VWR14" s="119"/>
      <c r="VWS14" s="119"/>
      <c r="VWT14" s="119"/>
      <c r="VWU14" s="119"/>
      <c r="VWV14" s="119"/>
      <c r="VWW14" s="119"/>
      <c r="VWX14" s="119"/>
      <c r="VWY14" s="119"/>
      <c r="VWZ14" s="119"/>
      <c r="VXA14" s="119"/>
      <c r="VXB14" s="119"/>
      <c r="VXC14" s="120"/>
      <c r="VXD14" s="120"/>
      <c r="VXE14" s="120"/>
      <c r="VXF14" s="59"/>
      <c r="VXG14" s="119"/>
      <c r="VXH14" s="119"/>
      <c r="VXI14" s="119"/>
      <c r="VXJ14" s="119"/>
      <c r="VXK14" s="119"/>
      <c r="VXL14" s="119"/>
      <c r="VXM14" s="119"/>
      <c r="VXN14" s="119"/>
      <c r="VXO14" s="119"/>
      <c r="VXP14" s="119"/>
      <c r="VXQ14" s="119"/>
      <c r="VXR14" s="119"/>
      <c r="VXS14" s="120"/>
      <c r="VXT14" s="120"/>
      <c r="VXU14" s="120"/>
      <c r="VXV14" s="59"/>
      <c r="VXW14" s="119"/>
      <c r="VXX14" s="119"/>
      <c r="VXY14" s="119"/>
      <c r="VXZ14" s="119"/>
      <c r="VYA14" s="119"/>
      <c r="VYB14" s="119"/>
      <c r="VYC14" s="119"/>
      <c r="VYD14" s="119"/>
      <c r="VYE14" s="119"/>
      <c r="VYF14" s="119"/>
      <c r="VYG14" s="119"/>
      <c r="VYH14" s="119"/>
      <c r="VYI14" s="120"/>
      <c r="VYJ14" s="120"/>
      <c r="VYK14" s="120"/>
      <c r="VYL14" s="59"/>
      <c r="VYM14" s="119"/>
      <c r="VYN14" s="119"/>
      <c r="VYO14" s="119"/>
      <c r="VYP14" s="119"/>
      <c r="VYQ14" s="119"/>
      <c r="VYR14" s="119"/>
      <c r="VYS14" s="119"/>
      <c r="VYT14" s="119"/>
      <c r="VYU14" s="119"/>
      <c r="VYV14" s="119"/>
      <c r="VYW14" s="119"/>
      <c r="VYX14" s="119"/>
      <c r="VYY14" s="120"/>
      <c r="VYZ14" s="120"/>
      <c r="VZA14" s="120"/>
      <c r="VZB14" s="59"/>
      <c r="VZC14" s="119"/>
      <c r="VZD14" s="119"/>
      <c r="VZE14" s="119"/>
      <c r="VZF14" s="119"/>
      <c r="VZG14" s="119"/>
      <c r="VZH14" s="119"/>
      <c r="VZI14" s="119"/>
      <c r="VZJ14" s="119"/>
      <c r="VZK14" s="119"/>
      <c r="VZL14" s="119"/>
      <c r="VZM14" s="119"/>
      <c r="VZN14" s="119"/>
      <c r="VZO14" s="120"/>
      <c r="VZP14" s="120"/>
      <c r="VZQ14" s="120"/>
      <c r="VZR14" s="59"/>
      <c r="VZS14" s="119"/>
      <c r="VZT14" s="119"/>
      <c r="VZU14" s="119"/>
      <c r="VZV14" s="119"/>
      <c r="VZW14" s="119"/>
      <c r="VZX14" s="119"/>
      <c r="VZY14" s="119"/>
      <c r="VZZ14" s="119"/>
      <c r="WAA14" s="119"/>
      <c r="WAB14" s="119"/>
      <c r="WAC14" s="119"/>
      <c r="WAD14" s="119"/>
      <c r="WAE14" s="120"/>
      <c r="WAF14" s="120"/>
      <c r="WAG14" s="120"/>
      <c r="WAH14" s="59"/>
      <c r="WAI14" s="119"/>
      <c r="WAJ14" s="119"/>
      <c r="WAK14" s="119"/>
      <c r="WAL14" s="119"/>
      <c r="WAM14" s="119"/>
      <c r="WAN14" s="119"/>
      <c r="WAO14" s="119"/>
      <c r="WAP14" s="119"/>
      <c r="WAQ14" s="119"/>
      <c r="WAR14" s="119"/>
      <c r="WAS14" s="119"/>
      <c r="WAT14" s="119"/>
      <c r="WAU14" s="120"/>
      <c r="WAV14" s="120"/>
      <c r="WAW14" s="120"/>
      <c r="WAX14" s="59"/>
      <c r="WAY14" s="119"/>
      <c r="WAZ14" s="119"/>
      <c r="WBA14" s="119"/>
      <c r="WBB14" s="119"/>
      <c r="WBC14" s="119"/>
      <c r="WBD14" s="119"/>
      <c r="WBE14" s="119"/>
      <c r="WBF14" s="119"/>
      <c r="WBG14" s="119"/>
      <c r="WBH14" s="119"/>
      <c r="WBI14" s="119"/>
      <c r="WBJ14" s="119"/>
      <c r="WBK14" s="120"/>
      <c r="WBL14" s="120"/>
      <c r="WBM14" s="120"/>
      <c r="WBN14" s="59"/>
      <c r="WBO14" s="119"/>
      <c r="WBP14" s="119"/>
      <c r="WBQ14" s="119"/>
      <c r="WBR14" s="119"/>
      <c r="WBS14" s="119"/>
      <c r="WBT14" s="119"/>
      <c r="WBU14" s="119"/>
      <c r="WBV14" s="119"/>
      <c r="WBW14" s="119"/>
      <c r="WBX14" s="119"/>
      <c r="WBY14" s="119"/>
      <c r="WBZ14" s="119"/>
      <c r="WCA14" s="120"/>
      <c r="WCB14" s="120"/>
      <c r="WCC14" s="120"/>
      <c r="WCD14" s="59"/>
      <c r="WCE14" s="119"/>
      <c r="WCF14" s="119"/>
      <c r="WCG14" s="119"/>
      <c r="WCH14" s="119"/>
      <c r="WCI14" s="119"/>
      <c r="WCJ14" s="119"/>
      <c r="WCK14" s="119"/>
      <c r="WCL14" s="119"/>
      <c r="WCM14" s="119"/>
      <c r="WCN14" s="119"/>
      <c r="WCO14" s="119"/>
      <c r="WCP14" s="119"/>
      <c r="WCQ14" s="120"/>
      <c r="WCR14" s="120"/>
      <c r="WCS14" s="120"/>
      <c r="WCT14" s="59"/>
      <c r="WCU14" s="119"/>
      <c r="WCV14" s="119"/>
      <c r="WCW14" s="119"/>
      <c r="WCX14" s="119"/>
      <c r="WCY14" s="119"/>
      <c r="WCZ14" s="119"/>
      <c r="WDA14" s="119"/>
      <c r="WDB14" s="119"/>
      <c r="WDC14" s="119"/>
      <c r="WDD14" s="119"/>
      <c r="WDE14" s="119"/>
      <c r="WDF14" s="119"/>
      <c r="WDG14" s="120"/>
      <c r="WDH14" s="120"/>
      <c r="WDI14" s="120"/>
      <c r="WDJ14" s="59"/>
      <c r="WDK14" s="119"/>
      <c r="WDL14" s="119"/>
      <c r="WDM14" s="119"/>
      <c r="WDN14" s="119"/>
      <c r="WDO14" s="119"/>
      <c r="WDP14" s="119"/>
      <c r="WDQ14" s="119"/>
      <c r="WDR14" s="119"/>
      <c r="WDS14" s="119"/>
      <c r="WDT14" s="119"/>
      <c r="WDU14" s="119"/>
      <c r="WDV14" s="119"/>
      <c r="WDW14" s="120"/>
      <c r="WDX14" s="120"/>
      <c r="WDY14" s="120"/>
      <c r="WDZ14" s="59"/>
      <c r="WEA14" s="119"/>
      <c r="WEB14" s="119"/>
      <c r="WEC14" s="119"/>
      <c r="WED14" s="119"/>
      <c r="WEE14" s="119"/>
      <c r="WEF14" s="119"/>
      <c r="WEG14" s="119"/>
      <c r="WEH14" s="119"/>
      <c r="WEI14" s="119"/>
      <c r="WEJ14" s="119"/>
      <c r="WEK14" s="119"/>
      <c r="WEL14" s="119"/>
      <c r="WEM14" s="120"/>
      <c r="WEN14" s="120"/>
      <c r="WEO14" s="120"/>
      <c r="WEP14" s="59"/>
      <c r="WEQ14" s="119"/>
      <c r="WER14" s="119"/>
      <c r="WES14" s="119"/>
      <c r="WET14" s="119"/>
      <c r="WEU14" s="119"/>
      <c r="WEV14" s="119"/>
      <c r="WEW14" s="119"/>
      <c r="WEX14" s="119"/>
      <c r="WEY14" s="119"/>
      <c r="WEZ14" s="119"/>
      <c r="WFA14" s="119"/>
      <c r="WFB14" s="119"/>
      <c r="WFC14" s="120"/>
      <c r="WFD14" s="120"/>
      <c r="WFE14" s="120"/>
      <c r="WFF14" s="59"/>
      <c r="WFG14" s="119"/>
      <c r="WFH14" s="119"/>
      <c r="WFI14" s="119"/>
      <c r="WFJ14" s="119"/>
      <c r="WFK14" s="119"/>
      <c r="WFL14" s="119"/>
      <c r="WFM14" s="119"/>
      <c r="WFN14" s="119"/>
      <c r="WFO14" s="119"/>
      <c r="WFP14" s="119"/>
      <c r="WFQ14" s="119"/>
      <c r="WFR14" s="119"/>
      <c r="WFS14" s="120"/>
      <c r="WFT14" s="120"/>
      <c r="WFU14" s="120"/>
      <c r="WFV14" s="59"/>
      <c r="WFW14" s="119"/>
      <c r="WFX14" s="119"/>
      <c r="WFY14" s="119"/>
      <c r="WFZ14" s="119"/>
      <c r="WGA14" s="119"/>
      <c r="WGB14" s="119"/>
      <c r="WGC14" s="119"/>
      <c r="WGD14" s="119"/>
      <c r="WGE14" s="119"/>
      <c r="WGF14" s="119"/>
      <c r="WGG14" s="119"/>
      <c r="WGH14" s="119"/>
      <c r="WGI14" s="120"/>
      <c r="WGJ14" s="120"/>
      <c r="WGK14" s="120"/>
      <c r="WGL14" s="59"/>
      <c r="WGM14" s="119"/>
      <c r="WGN14" s="119"/>
      <c r="WGO14" s="119"/>
      <c r="WGP14" s="119"/>
      <c r="WGQ14" s="119"/>
      <c r="WGR14" s="119"/>
      <c r="WGS14" s="119"/>
      <c r="WGT14" s="119"/>
      <c r="WGU14" s="119"/>
      <c r="WGV14" s="119"/>
      <c r="WGW14" s="119"/>
      <c r="WGX14" s="119"/>
      <c r="WGY14" s="120"/>
      <c r="WGZ14" s="120"/>
      <c r="WHA14" s="120"/>
      <c r="WHB14" s="59"/>
      <c r="WHC14" s="119"/>
      <c r="WHD14" s="119"/>
      <c r="WHE14" s="119"/>
      <c r="WHF14" s="119"/>
      <c r="WHG14" s="119"/>
      <c r="WHH14" s="119"/>
      <c r="WHI14" s="119"/>
      <c r="WHJ14" s="119"/>
      <c r="WHK14" s="119"/>
      <c r="WHL14" s="119"/>
      <c r="WHM14" s="119"/>
      <c r="WHN14" s="119"/>
      <c r="WHO14" s="120"/>
      <c r="WHP14" s="120"/>
      <c r="WHQ14" s="120"/>
      <c r="WHR14" s="59"/>
      <c r="WHS14" s="119"/>
      <c r="WHT14" s="119"/>
      <c r="WHU14" s="119"/>
      <c r="WHV14" s="119"/>
      <c r="WHW14" s="119"/>
      <c r="WHX14" s="119"/>
      <c r="WHY14" s="119"/>
      <c r="WHZ14" s="119"/>
      <c r="WIA14" s="119"/>
      <c r="WIB14" s="119"/>
      <c r="WIC14" s="119"/>
      <c r="WID14" s="119"/>
      <c r="WIE14" s="120"/>
      <c r="WIF14" s="120"/>
      <c r="WIG14" s="120"/>
      <c r="WIH14" s="59"/>
      <c r="WII14" s="119"/>
      <c r="WIJ14" s="119"/>
      <c r="WIK14" s="119"/>
      <c r="WIL14" s="119"/>
      <c r="WIM14" s="119"/>
      <c r="WIN14" s="119"/>
      <c r="WIO14" s="119"/>
      <c r="WIP14" s="119"/>
      <c r="WIQ14" s="119"/>
      <c r="WIR14" s="119"/>
      <c r="WIS14" s="119"/>
      <c r="WIT14" s="119"/>
      <c r="WIU14" s="120"/>
      <c r="WIV14" s="120"/>
      <c r="WIW14" s="120"/>
      <c r="WIX14" s="59"/>
      <c r="WIY14" s="119"/>
      <c r="WIZ14" s="119"/>
      <c r="WJA14" s="119"/>
      <c r="WJB14" s="119"/>
      <c r="WJC14" s="119"/>
      <c r="WJD14" s="119"/>
      <c r="WJE14" s="119"/>
      <c r="WJF14" s="119"/>
      <c r="WJG14" s="119"/>
      <c r="WJH14" s="119"/>
      <c r="WJI14" s="119"/>
      <c r="WJJ14" s="119"/>
      <c r="WJK14" s="120"/>
      <c r="WJL14" s="120"/>
      <c r="WJM14" s="120"/>
      <c r="WJN14" s="59"/>
      <c r="WJO14" s="119"/>
      <c r="WJP14" s="119"/>
      <c r="WJQ14" s="119"/>
      <c r="WJR14" s="119"/>
      <c r="WJS14" s="119"/>
      <c r="WJT14" s="119"/>
      <c r="WJU14" s="119"/>
      <c r="WJV14" s="119"/>
      <c r="WJW14" s="119"/>
      <c r="WJX14" s="119"/>
      <c r="WJY14" s="119"/>
      <c r="WJZ14" s="119"/>
      <c r="WKA14" s="120"/>
      <c r="WKB14" s="120"/>
      <c r="WKC14" s="120"/>
      <c r="WKD14" s="59"/>
      <c r="WKE14" s="119"/>
      <c r="WKF14" s="119"/>
      <c r="WKG14" s="119"/>
      <c r="WKH14" s="119"/>
      <c r="WKI14" s="119"/>
      <c r="WKJ14" s="119"/>
      <c r="WKK14" s="119"/>
      <c r="WKL14" s="119"/>
      <c r="WKM14" s="119"/>
      <c r="WKN14" s="119"/>
      <c r="WKO14" s="119"/>
      <c r="WKP14" s="119"/>
      <c r="WKQ14" s="120"/>
      <c r="WKR14" s="120"/>
      <c r="WKS14" s="120"/>
      <c r="WKT14" s="59"/>
      <c r="WKU14" s="119"/>
      <c r="WKV14" s="119"/>
      <c r="WKW14" s="119"/>
      <c r="WKX14" s="119"/>
      <c r="WKY14" s="119"/>
      <c r="WKZ14" s="119"/>
      <c r="WLA14" s="119"/>
      <c r="WLB14" s="119"/>
      <c r="WLC14" s="119"/>
      <c r="WLD14" s="119"/>
      <c r="WLE14" s="119"/>
      <c r="WLF14" s="119"/>
      <c r="WLG14" s="120"/>
      <c r="WLH14" s="120"/>
      <c r="WLI14" s="120"/>
      <c r="WLJ14" s="59"/>
      <c r="WLK14" s="119"/>
      <c r="WLL14" s="119"/>
      <c r="WLM14" s="119"/>
      <c r="WLN14" s="119"/>
      <c r="WLO14" s="119"/>
      <c r="WLP14" s="119"/>
      <c r="WLQ14" s="119"/>
      <c r="WLR14" s="119"/>
      <c r="WLS14" s="119"/>
      <c r="WLT14" s="119"/>
      <c r="WLU14" s="119"/>
      <c r="WLV14" s="119"/>
      <c r="WLW14" s="120"/>
      <c r="WLX14" s="120"/>
      <c r="WLY14" s="120"/>
      <c r="WLZ14" s="59"/>
      <c r="WMA14" s="119"/>
      <c r="WMB14" s="119"/>
      <c r="WMC14" s="119"/>
      <c r="WMD14" s="119"/>
      <c r="WME14" s="119"/>
      <c r="WMF14" s="119"/>
      <c r="WMG14" s="119"/>
      <c r="WMH14" s="119"/>
      <c r="WMI14" s="119"/>
      <c r="WMJ14" s="119"/>
      <c r="WMK14" s="119"/>
      <c r="WML14" s="119"/>
      <c r="WMM14" s="120"/>
      <c r="WMN14" s="120"/>
      <c r="WMO14" s="120"/>
      <c r="WMP14" s="59"/>
      <c r="WMQ14" s="119"/>
      <c r="WMR14" s="119"/>
      <c r="WMS14" s="119"/>
      <c r="WMT14" s="119"/>
      <c r="WMU14" s="119"/>
      <c r="WMV14" s="119"/>
      <c r="WMW14" s="119"/>
      <c r="WMX14" s="119"/>
      <c r="WMY14" s="119"/>
      <c r="WMZ14" s="119"/>
      <c r="WNA14" s="119"/>
      <c r="WNB14" s="119"/>
      <c r="WNC14" s="120"/>
      <c r="WND14" s="120"/>
      <c r="WNE14" s="120"/>
      <c r="WNF14" s="59"/>
      <c r="WNG14" s="119"/>
      <c r="WNH14" s="119"/>
      <c r="WNI14" s="119"/>
      <c r="WNJ14" s="119"/>
      <c r="WNK14" s="119"/>
      <c r="WNL14" s="119"/>
      <c r="WNM14" s="119"/>
      <c r="WNN14" s="119"/>
      <c r="WNO14" s="119"/>
      <c r="WNP14" s="119"/>
      <c r="WNQ14" s="119"/>
      <c r="WNR14" s="119"/>
      <c r="WNS14" s="120"/>
      <c r="WNT14" s="120"/>
      <c r="WNU14" s="120"/>
      <c r="WNV14" s="59"/>
      <c r="WNW14" s="119"/>
      <c r="WNX14" s="119"/>
      <c r="WNY14" s="119"/>
      <c r="WNZ14" s="119"/>
      <c r="WOA14" s="119"/>
      <c r="WOB14" s="119"/>
      <c r="WOC14" s="119"/>
      <c r="WOD14" s="119"/>
      <c r="WOE14" s="119"/>
      <c r="WOF14" s="119"/>
      <c r="WOG14" s="119"/>
      <c r="WOH14" s="119"/>
      <c r="WOI14" s="120"/>
      <c r="WOJ14" s="120"/>
      <c r="WOK14" s="120"/>
      <c r="WOL14" s="59"/>
      <c r="WOM14" s="119"/>
      <c r="WON14" s="119"/>
      <c r="WOO14" s="119"/>
      <c r="WOP14" s="119"/>
      <c r="WOQ14" s="119"/>
      <c r="WOR14" s="119"/>
      <c r="WOS14" s="119"/>
      <c r="WOT14" s="119"/>
      <c r="WOU14" s="119"/>
      <c r="WOV14" s="119"/>
      <c r="WOW14" s="119"/>
      <c r="WOX14" s="119"/>
      <c r="WOY14" s="120"/>
      <c r="WOZ14" s="120"/>
      <c r="WPA14" s="120"/>
      <c r="WPB14" s="59"/>
      <c r="WPC14" s="119"/>
      <c r="WPD14" s="119"/>
      <c r="WPE14" s="119"/>
      <c r="WPF14" s="119"/>
      <c r="WPG14" s="119"/>
      <c r="WPH14" s="119"/>
      <c r="WPI14" s="119"/>
      <c r="WPJ14" s="119"/>
      <c r="WPK14" s="119"/>
      <c r="WPL14" s="119"/>
      <c r="WPM14" s="119"/>
      <c r="WPN14" s="119"/>
      <c r="WPO14" s="120"/>
      <c r="WPP14" s="120"/>
      <c r="WPQ14" s="120"/>
      <c r="WPR14" s="59"/>
      <c r="WPS14" s="119"/>
      <c r="WPT14" s="119"/>
      <c r="WPU14" s="119"/>
      <c r="WPV14" s="119"/>
      <c r="WPW14" s="119"/>
      <c r="WPX14" s="119"/>
      <c r="WPY14" s="119"/>
      <c r="WPZ14" s="119"/>
      <c r="WQA14" s="119"/>
      <c r="WQB14" s="119"/>
      <c r="WQC14" s="119"/>
      <c r="WQD14" s="119"/>
      <c r="WQE14" s="120"/>
      <c r="WQF14" s="120"/>
      <c r="WQG14" s="120"/>
      <c r="WQH14" s="59"/>
      <c r="WQI14" s="119"/>
      <c r="WQJ14" s="119"/>
      <c r="WQK14" s="119"/>
      <c r="WQL14" s="119"/>
      <c r="WQM14" s="119"/>
      <c r="WQN14" s="119"/>
      <c r="WQO14" s="119"/>
      <c r="WQP14" s="119"/>
      <c r="WQQ14" s="119"/>
      <c r="WQR14" s="119"/>
      <c r="WQS14" s="119"/>
      <c r="WQT14" s="119"/>
      <c r="WQU14" s="120"/>
      <c r="WQV14" s="120"/>
      <c r="WQW14" s="120"/>
      <c r="WQX14" s="59"/>
      <c r="WQY14" s="119"/>
      <c r="WQZ14" s="119"/>
      <c r="WRA14" s="119"/>
      <c r="WRB14" s="119"/>
      <c r="WRC14" s="119"/>
      <c r="WRD14" s="119"/>
      <c r="WRE14" s="119"/>
      <c r="WRF14" s="119"/>
      <c r="WRG14" s="119"/>
      <c r="WRH14" s="119"/>
      <c r="WRI14" s="119"/>
      <c r="WRJ14" s="119"/>
      <c r="WRK14" s="120"/>
      <c r="WRL14" s="120"/>
      <c r="WRM14" s="120"/>
      <c r="WRN14" s="59"/>
      <c r="WRO14" s="119"/>
      <c r="WRP14" s="119"/>
      <c r="WRQ14" s="119"/>
      <c r="WRR14" s="119"/>
      <c r="WRS14" s="119"/>
      <c r="WRT14" s="119"/>
      <c r="WRU14" s="119"/>
      <c r="WRV14" s="119"/>
      <c r="WRW14" s="119"/>
      <c r="WRX14" s="119"/>
      <c r="WRY14" s="119"/>
      <c r="WRZ14" s="119"/>
      <c r="WSA14" s="120"/>
      <c r="WSB14" s="120"/>
      <c r="WSC14" s="120"/>
      <c r="WSD14" s="59"/>
      <c r="WSE14" s="119"/>
      <c r="WSF14" s="119"/>
      <c r="WSG14" s="119"/>
      <c r="WSH14" s="119"/>
      <c r="WSI14" s="119"/>
      <c r="WSJ14" s="119"/>
      <c r="WSK14" s="119"/>
      <c r="WSL14" s="119"/>
      <c r="WSM14" s="119"/>
      <c r="WSN14" s="119"/>
      <c r="WSO14" s="119"/>
      <c r="WSP14" s="119"/>
      <c r="WSQ14" s="120"/>
      <c r="WSR14" s="120"/>
      <c r="WSS14" s="120"/>
      <c r="WST14" s="59"/>
      <c r="WSU14" s="119"/>
      <c r="WSV14" s="119"/>
      <c r="WSW14" s="119"/>
      <c r="WSX14" s="119"/>
      <c r="WSY14" s="119"/>
      <c r="WSZ14" s="119"/>
      <c r="WTA14" s="119"/>
      <c r="WTB14" s="119"/>
      <c r="WTC14" s="119"/>
      <c r="WTD14" s="119"/>
      <c r="WTE14" s="119"/>
      <c r="WTF14" s="119"/>
      <c r="WTG14" s="120"/>
      <c r="WTH14" s="120"/>
      <c r="WTI14" s="120"/>
      <c r="WTJ14" s="59"/>
      <c r="WTK14" s="119"/>
      <c r="WTL14" s="119"/>
      <c r="WTM14" s="119"/>
      <c r="WTN14" s="119"/>
      <c r="WTO14" s="119"/>
      <c r="WTP14" s="119"/>
      <c r="WTQ14" s="119"/>
      <c r="WTR14" s="119"/>
      <c r="WTS14" s="119"/>
      <c r="WTT14" s="119"/>
      <c r="WTU14" s="119"/>
      <c r="WTV14" s="119"/>
      <c r="WTW14" s="120"/>
      <c r="WTX14" s="120"/>
      <c r="WTY14" s="120"/>
      <c r="WTZ14" s="59"/>
      <c r="WUA14" s="119"/>
      <c r="WUB14" s="119"/>
      <c r="WUC14" s="119"/>
      <c r="WUD14" s="119"/>
      <c r="WUE14" s="119"/>
      <c r="WUF14" s="119"/>
      <c r="WUG14" s="119"/>
      <c r="WUH14" s="119"/>
      <c r="WUI14" s="119"/>
      <c r="WUJ14" s="119"/>
      <c r="WUK14" s="119"/>
      <c r="WUL14" s="119"/>
      <c r="WUM14" s="120"/>
      <c r="WUN14" s="120"/>
      <c r="WUO14" s="120"/>
      <c r="WUP14" s="59"/>
      <c r="WUQ14" s="119"/>
      <c r="WUR14" s="119"/>
      <c r="WUS14" s="119"/>
      <c r="WUT14" s="119"/>
      <c r="WUU14" s="119"/>
      <c r="WUV14" s="119"/>
      <c r="WUW14" s="119"/>
      <c r="WUX14" s="119"/>
      <c r="WUY14" s="119"/>
      <c r="WUZ14" s="119"/>
      <c r="WVA14" s="119"/>
      <c r="WVB14" s="119"/>
      <c r="WVC14" s="120"/>
      <c r="WVD14" s="120"/>
      <c r="WVE14" s="120"/>
      <c r="WVF14" s="59"/>
      <c r="WVG14" s="119"/>
      <c r="WVH14" s="119"/>
      <c r="WVI14" s="119"/>
      <c r="WVJ14" s="119"/>
      <c r="WVK14" s="119"/>
      <c r="WVL14" s="119"/>
      <c r="WVM14" s="119"/>
      <c r="WVN14" s="119"/>
      <c r="WVO14" s="119"/>
      <c r="WVP14" s="119"/>
      <c r="WVQ14" s="119"/>
      <c r="WVR14" s="119"/>
      <c r="WVS14" s="120"/>
      <c r="WVT14" s="120"/>
      <c r="WVU14" s="120"/>
      <c r="WVV14" s="59"/>
      <c r="WVW14" s="119"/>
      <c r="WVX14" s="119"/>
      <c r="WVY14" s="119"/>
      <c r="WVZ14" s="119"/>
      <c r="WWA14" s="119"/>
      <c r="WWB14" s="119"/>
      <c r="WWC14" s="119"/>
      <c r="WWD14" s="119"/>
      <c r="WWE14" s="119"/>
      <c r="WWF14" s="119"/>
      <c r="WWG14" s="119"/>
      <c r="WWH14" s="119"/>
      <c r="WWI14" s="120"/>
      <c r="WWJ14" s="120"/>
      <c r="WWK14" s="120"/>
      <c r="WWL14" s="59"/>
      <c r="WWM14" s="119"/>
      <c r="WWN14" s="119"/>
      <c r="WWO14" s="119"/>
      <c r="WWP14" s="119"/>
      <c r="WWQ14" s="119"/>
      <c r="WWR14" s="119"/>
      <c r="WWS14" s="119"/>
      <c r="WWT14" s="119"/>
      <c r="WWU14" s="119"/>
      <c r="WWV14" s="119"/>
      <c r="WWW14" s="119"/>
      <c r="WWX14" s="119"/>
      <c r="WWY14" s="120"/>
      <c r="WWZ14" s="120"/>
      <c r="WXA14" s="120"/>
      <c r="WXB14" s="59"/>
      <c r="WXC14" s="119"/>
      <c r="WXD14" s="119"/>
      <c r="WXE14" s="119"/>
      <c r="WXF14" s="119"/>
      <c r="WXG14" s="119"/>
      <c r="WXH14" s="119"/>
      <c r="WXI14" s="119"/>
      <c r="WXJ14" s="119"/>
      <c r="WXK14" s="119"/>
      <c r="WXL14" s="119"/>
      <c r="WXM14" s="119"/>
      <c r="WXN14" s="119"/>
      <c r="WXO14" s="120"/>
      <c r="WXP14" s="120"/>
      <c r="WXQ14" s="120"/>
      <c r="WXR14" s="59"/>
      <c r="WXS14" s="119"/>
      <c r="WXT14" s="119"/>
      <c r="WXU14" s="119"/>
      <c r="WXV14" s="119"/>
      <c r="WXW14" s="119"/>
      <c r="WXX14" s="119"/>
      <c r="WXY14" s="119"/>
      <c r="WXZ14" s="119"/>
      <c r="WYA14" s="119"/>
      <c r="WYB14" s="119"/>
      <c r="WYC14" s="119"/>
      <c r="WYD14" s="119"/>
      <c r="WYE14" s="120"/>
      <c r="WYF14" s="120"/>
      <c r="WYG14" s="120"/>
      <c r="WYH14" s="59"/>
      <c r="WYI14" s="119"/>
      <c r="WYJ14" s="119"/>
      <c r="WYK14" s="119"/>
      <c r="WYL14" s="119"/>
      <c r="WYM14" s="119"/>
      <c r="WYN14" s="119"/>
      <c r="WYO14" s="119"/>
      <c r="WYP14" s="119"/>
      <c r="WYQ14" s="119"/>
      <c r="WYR14" s="119"/>
      <c r="WYS14" s="119"/>
      <c r="WYT14" s="119"/>
      <c r="WYU14" s="120"/>
      <c r="WYV14" s="120"/>
      <c r="WYW14" s="120"/>
      <c r="WYX14" s="59"/>
      <c r="WYY14" s="119"/>
      <c r="WYZ14" s="119"/>
      <c r="WZA14" s="119"/>
      <c r="WZB14" s="119"/>
      <c r="WZC14" s="119"/>
      <c r="WZD14" s="119"/>
      <c r="WZE14" s="119"/>
      <c r="WZF14" s="119"/>
      <c r="WZG14" s="119"/>
      <c r="WZH14" s="119"/>
      <c r="WZI14" s="119"/>
      <c r="WZJ14" s="119"/>
      <c r="WZK14" s="120"/>
      <c r="WZL14" s="120"/>
      <c r="WZM14" s="120"/>
      <c r="WZN14" s="59"/>
      <c r="WZO14" s="119"/>
      <c r="WZP14" s="119"/>
      <c r="WZQ14" s="119"/>
      <c r="WZR14" s="119"/>
      <c r="WZS14" s="119"/>
      <c r="WZT14" s="119"/>
      <c r="WZU14" s="119"/>
      <c r="WZV14" s="119"/>
      <c r="WZW14" s="119"/>
      <c r="WZX14" s="119"/>
      <c r="WZY14" s="119"/>
      <c r="WZZ14" s="119"/>
      <c r="XAA14" s="120"/>
      <c r="XAB14" s="120"/>
      <c r="XAC14" s="120"/>
      <c r="XAD14" s="59"/>
      <c r="XAE14" s="119"/>
      <c r="XAF14" s="119"/>
      <c r="XAG14" s="119"/>
      <c r="XAH14" s="119"/>
      <c r="XAI14" s="119"/>
      <c r="XAJ14" s="119"/>
      <c r="XAK14" s="119"/>
      <c r="XAL14" s="119"/>
      <c r="XAM14" s="119"/>
      <c r="XAN14" s="119"/>
      <c r="XAO14" s="119"/>
      <c r="XAP14" s="119"/>
      <c r="XAQ14" s="120"/>
      <c r="XAR14" s="120"/>
      <c r="XAS14" s="120"/>
      <c r="XAT14" s="59"/>
      <c r="XAU14" s="119"/>
      <c r="XAV14" s="119"/>
      <c r="XAW14" s="119"/>
      <c r="XAX14" s="119"/>
      <c r="XAY14" s="119"/>
      <c r="XAZ14" s="119"/>
      <c r="XBA14" s="119"/>
      <c r="XBB14" s="119"/>
      <c r="XBC14" s="119"/>
      <c r="XBD14" s="119"/>
      <c r="XBE14" s="119"/>
      <c r="XBF14" s="119"/>
      <c r="XBG14" s="120"/>
      <c r="XBH14" s="120"/>
      <c r="XBI14" s="120"/>
      <c r="XBJ14" s="59"/>
      <c r="XBK14" s="119"/>
      <c r="XBL14" s="119"/>
      <c r="XBM14" s="119"/>
      <c r="XBN14" s="119"/>
      <c r="XBO14" s="119"/>
      <c r="XBP14" s="119"/>
      <c r="XBQ14" s="119"/>
      <c r="XBR14" s="119"/>
      <c r="XBS14" s="119"/>
      <c r="XBT14" s="119"/>
      <c r="XBU14" s="119"/>
      <c r="XBV14" s="119"/>
      <c r="XBW14" s="120"/>
      <c r="XBX14" s="120"/>
      <c r="XBY14" s="120"/>
      <c r="XBZ14" s="59"/>
      <c r="XCA14" s="119"/>
      <c r="XCB14" s="119"/>
      <c r="XCC14" s="119"/>
      <c r="XCD14" s="119"/>
      <c r="XCE14" s="119"/>
      <c r="XCF14" s="119"/>
      <c r="XCG14" s="119"/>
      <c r="XCH14" s="119"/>
      <c r="XCI14" s="119"/>
      <c r="XCJ14" s="119"/>
      <c r="XCK14" s="119"/>
      <c r="XCL14" s="119"/>
      <c r="XCM14" s="120"/>
      <c r="XCN14" s="120"/>
      <c r="XCO14" s="120"/>
      <c r="XCP14" s="59"/>
      <c r="XCQ14" s="119"/>
      <c r="XCR14" s="119"/>
      <c r="XCS14" s="119"/>
      <c r="XCT14" s="119"/>
      <c r="XCU14" s="119"/>
      <c r="XCV14" s="119"/>
      <c r="XCW14" s="119"/>
      <c r="XCX14" s="119"/>
      <c r="XCY14" s="119"/>
      <c r="XCZ14" s="119"/>
      <c r="XDA14" s="119"/>
      <c r="XDB14" s="119"/>
      <c r="XDC14" s="120"/>
      <c r="XDD14" s="120"/>
      <c r="XDE14" s="120"/>
      <c r="XDF14" s="59"/>
      <c r="XDG14" s="119"/>
      <c r="XDH14" s="119"/>
      <c r="XDI14" s="119"/>
      <c r="XDJ14" s="119"/>
      <c r="XDK14" s="119"/>
      <c r="XDL14" s="119"/>
      <c r="XDM14" s="119"/>
      <c r="XDN14" s="119"/>
      <c r="XDO14" s="119"/>
      <c r="XDP14" s="119"/>
      <c r="XDQ14" s="119"/>
      <c r="XDR14" s="119"/>
      <c r="XDS14" s="120"/>
      <c r="XDT14" s="120"/>
      <c r="XDU14" s="120"/>
      <c r="XDV14" s="59"/>
      <c r="XDW14" s="119"/>
      <c r="XDX14" s="119"/>
      <c r="XDY14" s="119"/>
      <c r="XDZ14" s="119"/>
      <c r="XEA14" s="119"/>
      <c r="XEB14" s="119"/>
      <c r="XEC14" s="119"/>
      <c r="XED14" s="119"/>
      <c r="XEE14" s="119"/>
      <c r="XEF14" s="119"/>
      <c r="XEG14" s="119"/>
      <c r="XEH14" s="119"/>
      <c r="XEI14" s="120"/>
      <c r="XEJ14" s="120"/>
      <c r="XEK14" s="120"/>
      <c r="XEL14" s="59"/>
      <c r="XEM14" s="119"/>
      <c r="XEN14" s="119"/>
      <c r="XEO14" s="119"/>
      <c r="XEP14" s="119"/>
      <c r="XEQ14" s="119"/>
      <c r="XER14" s="119"/>
      <c r="XES14" s="119"/>
      <c r="XET14" s="119"/>
      <c r="XEU14" s="119"/>
      <c r="XEV14" s="119"/>
      <c r="XEW14" s="119"/>
      <c r="XEX14" s="119"/>
    </row>
    <row r="15" spans="1:16378">
      <c r="A15" s="109" t="s">
        <v>433</v>
      </c>
      <c r="B15" s="122"/>
      <c r="C15" s="123"/>
      <c r="D15" s="124"/>
      <c r="E15" s="124"/>
      <c r="F15" s="125"/>
      <c r="G15" s="125">
        <f>SUM(G11:G14)</f>
        <v>10495</v>
      </c>
      <c r="H15" s="125"/>
      <c r="I15" s="125">
        <f>SUM(I11:I14)</f>
        <v>64859.1</v>
      </c>
      <c r="J15" s="125"/>
      <c r="K15" s="125">
        <f>SUM(K11:K14)</f>
        <v>66804.872999999992</v>
      </c>
      <c r="L15" s="125"/>
      <c r="M15" s="125">
        <f>SUM(M11:M14)</f>
        <v>11468.169865</v>
      </c>
      <c r="N15" s="125"/>
      <c r="O15" s="125">
        <f>SUM(O11:O14)</f>
        <v>0</v>
      </c>
      <c r="P15" s="125">
        <f>SUM(P11:P14)</f>
        <v>153627.142865</v>
      </c>
      <c r="Q15" s="125">
        <f>SUM(Q11:Q14)</f>
        <v>0</v>
      </c>
      <c r="R15" s="125">
        <f>SUM(R11:R14)</f>
        <v>153627.142865</v>
      </c>
    </row>
    <row r="16" spans="1:16378">
      <c r="B16" s="56"/>
      <c r="F16" s="56"/>
      <c r="G16" s="56"/>
      <c r="I16" s="56"/>
      <c r="K16" s="56"/>
      <c r="M16" s="56"/>
      <c r="O16" s="56"/>
    </row>
    <row r="17" spans="1:18">
      <c r="A17" s="109" t="s">
        <v>837</v>
      </c>
      <c r="B17" s="110"/>
      <c r="C17" s="109"/>
      <c r="D17" s="109"/>
      <c r="E17" s="109"/>
      <c r="F17" s="111"/>
      <c r="G17" s="111"/>
      <c r="H17" s="109"/>
      <c r="I17" s="111"/>
      <c r="J17" s="109"/>
      <c r="K17" s="111"/>
      <c r="L17" s="109"/>
      <c r="M17" s="111"/>
      <c r="N17" s="109"/>
      <c r="O17" s="111"/>
      <c r="P17" s="109"/>
      <c r="Q17" s="109"/>
      <c r="R17" s="109"/>
    </row>
    <row r="18" spans="1:18">
      <c r="A18" s="58" t="s">
        <v>838</v>
      </c>
      <c r="B18" s="58"/>
      <c r="C18" s="58" t="s">
        <v>95</v>
      </c>
      <c r="D18" s="126" t="s">
        <v>221</v>
      </c>
      <c r="E18" s="119">
        <v>6</v>
      </c>
      <c r="F18" s="119">
        <v>200</v>
      </c>
      <c r="G18" s="119">
        <f>E18*F18</f>
        <v>1200</v>
      </c>
      <c r="H18" s="119">
        <v>12</v>
      </c>
      <c r="I18" s="119">
        <f>H18*F18</f>
        <v>2400</v>
      </c>
      <c r="J18" s="119">
        <v>12</v>
      </c>
      <c r="K18" s="119">
        <f>J18*F18</f>
        <v>2400</v>
      </c>
      <c r="L18" s="119">
        <v>2</v>
      </c>
      <c r="M18" s="119">
        <f>L18*F18</f>
        <v>400</v>
      </c>
      <c r="N18" s="119">
        <v>0</v>
      </c>
      <c r="O18" s="119">
        <f>N18*F18</f>
        <v>0</v>
      </c>
      <c r="P18" s="119">
        <f>G18+I18+K18+M18+O18</f>
        <v>6400</v>
      </c>
      <c r="Q18" s="119" t="s">
        <v>243</v>
      </c>
      <c r="R18" s="119">
        <f>SUM(P18:Q18)</f>
        <v>6400</v>
      </c>
    </row>
    <row r="19" spans="1:18">
      <c r="A19" s="137" t="s">
        <v>839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</row>
    <row r="20" spans="1:18">
      <c r="A20" s="58" t="s">
        <v>840</v>
      </c>
      <c r="B20" s="58"/>
      <c r="C20" s="58" t="s">
        <v>95</v>
      </c>
      <c r="D20" s="126" t="s">
        <v>255</v>
      </c>
      <c r="E20" s="119">
        <v>7</v>
      </c>
      <c r="F20" s="119">
        <v>150</v>
      </c>
      <c r="G20" s="119">
        <f>E20*F20</f>
        <v>1050</v>
      </c>
      <c r="H20" s="119">
        <f>2*4</f>
        <v>8</v>
      </c>
      <c r="I20" s="119">
        <f>H20*F20</f>
        <v>1200</v>
      </c>
      <c r="J20" s="119">
        <f>2*4</f>
        <v>8</v>
      </c>
      <c r="K20" s="119">
        <f>J20*F20</f>
        <v>1200</v>
      </c>
      <c r="L20" s="119">
        <v>1</v>
      </c>
      <c r="M20" s="119">
        <f>L20*F20</f>
        <v>150</v>
      </c>
      <c r="N20" s="119">
        <v>0</v>
      </c>
      <c r="O20" s="119">
        <f>N20*F20</f>
        <v>0</v>
      </c>
      <c r="P20" s="119">
        <f>G20+I20+K20+M20+O20</f>
        <v>3600</v>
      </c>
      <c r="Q20" s="119" t="s">
        <v>243</v>
      </c>
      <c r="R20" s="119">
        <f>SUM(P20:Q20)</f>
        <v>3600</v>
      </c>
    </row>
    <row r="21" spans="1:18">
      <c r="A21" s="58" t="s">
        <v>841</v>
      </c>
      <c r="B21" s="58"/>
      <c r="C21" s="58" t="s">
        <v>95</v>
      </c>
      <c r="D21" s="126" t="s">
        <v>259</v>
      </c>
      <c r="E21" s="119">
        <f>5*E20</f>
        <v>35</v>
      </c>
      <c r="F21" s="119">
        <v>78.125</v>
      </c>
      <c r="G21" s="119">
        <f>E21*F21</f>
        <v>2734.375</v>
      </c>
      <c r="H21" s="119">
        <f>5*H20</f>
        <v>40</v>
      </c>
      <c r="I21" s="119">
        <f>H21*F21</f>
        <v>3125</v>
      </c>
      <c r="J21" s="119">
        <f>5*J20</f>
        <v>40</v>
      </c>
      <c r="K21" s="119">
        <f>J21*F21</f>
        <v>3125</v>
      </c>
      <c r="L21" s="119">
        <f>L20*5</f>
        <v>5</v>
      </c>
      <c r="M21" s="119">
        <f>L21*F21</f>
        <v>390.625</v>
      </c>
      <c r="N21" s="119">
        <v>0</v>
      </c>
      <c r="O21" s="119">
        <f>N21*F21</f>
        <v>0</v>
      </c>
      <c r="P21" s="119">
        <f>G21+I21+K21+M21+O21</f>
        <v>9375</v>
      </c>
      <c r="Q21" s="119" t="s">
        <v>243</v>
      </c>
      <c r="R21" s="119">
        <f>SUM(P21:Q21)</f>
        <v>9375</v>
      </c>
    </row>
    <row r="22" spans="1:18">
      <c r="A22" s="58" t="s">
        <v>842</v>
      </c>
      <c r="B22" s="58"/>
      <c r="C22" s="58" t="s">
        <v>95</v>
      </c>
      <c r="D22" s="126" t="s">
        <v>259</v>
      </c>
      <c r="E22" s="119">
        <f>5*E20</f>
        <v>35</v>
      </c>
      <c r="F22" s="119">
        <v>62.5</v>
      </c>
      <c r="G22" s="119">
        <f>E22*F22</f>
        <v>2187.5</v>
      </c>
      <c r="H22" s="119">
        <f>5*H20</f>
        <v>40</v>
      </c>
      <c r="I22" s="119">
        <f>H22*F22</f>
        <v>2500</v>
      </c>
      <c r="J22" s="119">
        <f>5*J20</f>
        <v>40</v>
      </c>
      <c r="K22" s="119">
        <f>J22*F22</f>
        <v>2500</v>
      </c>
      <c r="L22" s="119">
        <f>L20*5</f>
        <v>5</v>
      </c>
      <c r="M22" s="119">
        <f>L22*F22</f>
        <v>312.5</v>
      </c>
      <c r="N22" s="119">
        <v>0</v>
      </c>
      <c r="O22" s="119">
        <f>N22*F22</f>
        <v>0</v>
      </c>
      <c r="P22" s="119">
        <f>G22+I22+K22+M22+O22</f>
        <v>7500</v>
      </c>
      <c r="Q22" s="119" t="s">
        <v>243</v>
      </c>
      <c r="R22" s="119">
        <f>SUM(P22:Q22)</f>
        <v>7500</v>
      </c>
    </row>
    <row r="23" spans="1:18">
      <c r="A23" s="58" t="s">
        <v>843</v>
      </c>
      <c r="B23" s="58"/>
      <c r="C23" s="58" t="s">
        <v>95</v>
      </c>
      <c r="D23" s="126" t="s">
        <v>259</v>
      </c>
      <c r="E23" s="119">
        <f>5*E20</f>
        <v>35</v>
      </c>
      <c r="F23" s="119">
        <v>35</v>
      </c>
      <c r="G23" s="119">
        <f>E23*F23</f>
        <v>1225</v>
      </c>
      <c r="H23" s="119">
        <f>5*H20</f>
        <v>40</v>
      </c>
      <c r="I23" s="119">
        <f>H23*F23</f>
        <v>1400</v>
      </c>
      <c r="J23" s="119">
        <f>5*J20</f>
        <v>40</v>
      </c>
      <c r="K23" s="119">
        <f>J23*F23</f>
        <v>1400</v>
      </c>
      <c r="L23" s="119">
        <f>5*L20</f>
        <v>5</v>
      </c>
      <c r="M23" s="119">
        <f>L23*F23</f>
        <v>175</v>
      </c>
      <c r="N23" s="119">
        <v>0</v>
      </c>
      <c r="O23" s="119">
        <f>N23*F23</f>
        <v>0</v>
      </c>
      <c r="P23" s="119">
        <f>G23+I23+K23+M23+O23</f>
        <v>4200</v>
      </c>
      <c r="Q23" s="119" t="s">
        <v>243</v>
      </c>
      <c r="R23" s="119">
        <f>SUM(P23:Q23)</f>
        <v>4200</v>
      </c>
    </row>
    <row r="24" spans="1:18">
      <c r="A24" s="109" t="s">
        <v>844</v>
      </c>
      <c r="B24" s="122"/>
      <c r="C24" s="123"/>
      <c r="D24" s="124"/>
      <c r="E24" s="124"/>
      <c r="F24" s="125"/>
      <c r="G24" s="125">
        <f>SUM(G18:G23)</f>
        <v>8396.875</v>
      </c>
      <c r="H24" s="125"/>
      <c r="I24" s="125">
        <f>SUM(I18:I23)</f>
        <v>10625</v>
      </c>
      <c r="J24" s="125"/>
      <c r="K24" s="125">
        <f>SUM(K18:K23)</f>
        <v>10625</v>
      </c>
      <c r="L24" s="125"/>
      <c r="M24" s="125">
        <f>SUM(M18:M23)</f>
        <v>1428.125</v>
      </c>
      <c r="N24" s="125"/>
      <c r="O24" s="125">
        <f>SUM(O18:O23)</f>
        <v>0</v>
      </c>
      <c r="P24" s="125">
        <f>SUM(P18:P23)</f>
        <v>31075</v>
      </c>
      <c r="Q24" s="125">
        <f>SUM(Q18:Q23)</f>
        <v>0</v>
      </c>
      <c r="R24" s="125">
        <f>SUM(R18:R23)</f>
        <v>31075</v>
      </c>
    </row>
    <row r="26" spans="1:18">
      <c r="A26" s="109" t="s">
        <v>845</v>
      </c>
      <c r="B26" s="110"/>
      <c r="C26" s="109"/>
      <c r="D26" s="109"/>
      <c r="E26" s="109"/>
      <c r="F26" s="111"/>
      <c r="G26" s="111"/>
      <c r="H26" s="109"/>
      <c r="I26" s="111"/>
      <c r="J26" s="109"/>
      <c r="K26" s="111"/>
      <c r="L26" s="109"/>
      <c r="M26" s="111"/>
      <c r="N26" s="109"/>
      <c r="O26" s="111"/>
      <c r="P26" s="109"/>
      <c r="Q26" s="109"/>
      <c r="R26" s="109"/>
    </row>
    <row r="27" spans="1:18">
      <c r="A27" s="58" t="s">
        <v>846</v>
      </c>
      <c r="B27" s="152"/>
      <c r="C27" s="58" t="s">
        <v>97</v>
      </c>
      <c r="D27" s="58" t="s">
        <v>281</v>
      </c>
      <c r="E27" s="119">
        <v>1</v>
      </c>
      <c r="F27" s="119">
        <v>0</v>
      </c>
      <c r="G27" s="119">
        <v>38000</v>
      </c>
      <c r="H27" s="119">
        <v>1</v>
      </c>
      <c r="I27" s="119">
        <v>65000</v>
      </c>
      <c r="J27" s="119">
        <v>0</v>
      </c>
      <c r="K27" s="119">
        <f t="shared" ref="K27" si="11">J27*F27</f>
        <v>0</v>
      </c>
      <c r="L27" s="119">
        <v>0</v>
      </c>
      <c r="M27" s="119">
        <f t="shared" ref="M27" si="12">L27*F27</f>
        <v>0</v>
      </c>
      <c r="N27" s="119">
        <v>0</v>
      </c>
      <c r="O27" s="119">
        <f t="shared" ref="O27" si="13">N27*F27</f>
        <v>0</v>
      </c>
      <c r="P27" s="119">
        <f t="shared" ref="P27" si="14">G27+I27+K27+M27+O27</f>
        <v>103000</v>
      </c>
      <c r="Q27" s="119">
        <v>0</v>
      </c>
      <c r="R27" s="119">
        <f t="shared" ref="R27" si="15">SUM(P27:Q27)</f>
        <v>103000</v>
      </c>
    </row>
    <row r="28" spans="1:18">
      <c r="A28" s="109" t="s">
        <v>847</v>
      </c>
      <c r="B28" s="122"/>
      <c r="C28" s="123"/>
      <c r="D28" s="124"/>
      <c r="E28" s="124"/>
      <c r="F28" s="125">
        <f>SUM(C22:C27)</f>
        <v>0</v>
      </c>
      <c r="G28" s="125">
        <f>SUM(G27)</f>
        <v>38000</v>
      </c>
      <c r="H28" s="125"/>
      <c r="I28" s="125">
        <f>SUM(I27)</f>
        <v>65000</v>
      </c>
      <c r="J28" s="125"/>
      <c r="K28" s="125">
        <f>SUM(K27)</f>
        <v>0</v>
      </c>
      <c r="L28" s="125"/>
      <c r="M28" s="125">
        <f>SUM(M27)</f>
        <v>0</v>
      </c>
      <c r="N28" s="125"/>
      <c r="O28" s="125">
        <f>SUM(O27)</f>
        <v>0</v>
      </c>
      <c r="P28" s="125">
        <f>SUM(P27)</f>
        <v>103000</v>
      </c>
      <c r="Q28" s="125">
        <f>SUM(Q27)</f>
        <v>0</v>
      </c>
      <c r="R28" s="125">
        <f>SUM(R27)</f>
        <v>103000</v>
      </c>
    </row>
    <row r="30" spans="1:18">
      <c r="A30" s="109" t="s">
        <v>848</v>
      </c>
      <c r="B30" s="122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</row>
    <row r="31" spans="1:18">
      <c r="A31" s="58" t="s">
        <v>733</v>
      </c>
      <c r="B31" s="152"/>
      <c r="C31" s="58" t="s">
        <v>99</v>
      </c>
      <c r="D31" s="58" t="s">
        <v>281</v>
      </c>
      <c r="E31" s="119">
        <v>2</v>
      </c>
      <c r="F31" s="119">
        <v>1000</v>
      </c>
      <c r="G31" s="119">
        <f t="shared" ref="G31:G33" si="16">E31*F31</f>
        <v>2000</v>
      </c>
      <c r="H31" s="119">
        <v>0</v>
      </c>
      <c r="I31" s="119">
        <f t="shared" ref="I31:I32" si="17">H31*F31</f>
        <v>0</v>
      </c>
      <c r="J31" s="119">
        <v>0</v>
      </c>
      <c r="K31" s="119">
        <f t="shared" ref="K31:K33" si="18">J31*F31</f>
        <v>0</v>
      </c>
      <c r="L31" s="119">
        <v>0</v>
      </c>
      <c r="M31" s="119">
        <f t="shared" ref="M31:M33" si="19">L31*F31</f>
        <v>0</v>
      </c>
      <c r="N31" s="119">
        <v>0</v>
      </c>
      <c r="O31" s="119">
        <f t="shared" ref="O31:O33" si="20">N31*F31</f>
        <v>0</v>
      </c>
      <c r="P31" s="119">
        <f t="shared" ref="P31:P33" si="21">G31+I31+K31+M31+O31</f>
        <v>2000</v>
      </c>
      <c r="Q31" s="119">
        <v>0</v>
      </c>
      <c r="R31" s="119">
        <f t="shared" ref="R31:R33" si="22">SUM(P31:Q31)</f>
        <v>2000</v>
      </c>
    </row>
    <row r="32" spans="1:18">
      <c r="A32" s="58" t="s">
        <v>849</v>
      </c>
      <c r="B32" s="152"/>
      <c r="C32" s="58" t="s">
        <v>99</v>
      </c>
      <c r="D32" s="58" t="s">
        <v>221</v>
      </c>
      <c r="E32" s="119">
        <v>2</v>
      </c>
      <c r="F32" s="119">
        <v>200</v>
      </c>
      <c r="G32" s="119">
        <f t="shared" si="16"/>
        <v>400</v>
      </c>
      <c r="H32" s="119">
        <v>12</v>
      </c>
      <c r="I32" s="119">
        <f t="shared" si="17"/>
        <v>2400</v>
      </c>
      <c r="J32" s="119">
        <v>12</v>
      </c>
      <c r="K32" s="119">
        <f t="shared" si="18"/>
        <v>2400</v>
      </c>
      <c r="L32" s="119">
        <v>2</v>
      </c>
      <c r="M32" s="119">
        <f t="shared" si="19"/>
        <v>400</v>
      </c>
      <c r="N32" s="119">
        <v>0</v>
      </c>
      <c r="O32" s="119">
        <f t="shared" si="20"/>
        <v>0</v>
      </c>
      <c r="P32" s="119">
        <f t="shared" si="21"/>
        <v>5600</v>
      </c>
      <c r="Q32" s="119">
        <v>0</v>
      </c>
      <c r="R32" s="119">
        <f t="shared" si="22"/>
        <v>5600</v>
      </c>
    </row>
    <row r="33" spans="1:18">
      <c r="A33" s="58" t="s">
        <v>850</v>
      </c>
      <c r="B33" s="120"/>
      <c r="C33" s="58" t="s">
        <v>99</v>
      </c>
      <c r="D33" s="58" t="s">
        <v>221</v>
      </c>
      <c r="E33" s="119">
        <v>2</v>
      </c>
      <c r="F33" s="119">
        <v>45</v>
      </c>
      <c r="G33" s="119">
        <f t="shared" si="16"/>
        <v>90</v>
      </c>
      <c r="H33" s="119">
        <v>12</v>
      </c>
      <c r="I33" s="119">
        <f>H33*F33</f>
        <v>540</v>
      </c>
      <c r="J33" s="119">
        <v>12</v>
      </c>
      <c r="K33" s="119">
        <f t="shared" si="18"/>
        <v>540</v>
      </c>
      <c r="L33" s="119">
        <v>2</v>
      </c>
      <c r="M33" s="119">
        <f t="shared" si="19"/>
        <v>90</v>
      </c>
      <c r="N33" s="119">
        <v>0</v>
      </c>
      <c r="O33" s="119">
        <f t="shared" si="20"/>
        <v>0</v>
      </c>
      <c r="P33" s="119">
        <f t="shared" si="21"/>
        <v>1260</v>
      </c>
      <c r="Q33" s="119">
        <v>0</v>
      </c>
      <c r="R33" s="119">
        <f t="shared" si="22"/>
        <v>1260</v>
      </c>
    </row>
    <row r="34" spans="1:18">
      <c r="A34" s="58" t="s">
        <v>851</v>
      </c>
      <c r="B34" s="152"/>
      <c r="C34" s="58" t="s">
        <v>99</v>
      </c>
      <c r="D34" s="58" t="s">
        <v>281</v>
      </c>
      <c r="E34" s="119">
        <v>1</v>
      </c>
      <c r="F34" s="119">
        <v>0</v>
      </c>
      <c r="G34" s="119">
        <v>1500</v>
      </c>
      <c r="H34" s="119">
        <v>1</v>
      </c>
      <c r="I34" s="119">
        <v>25500</v>
      </c>
      <c r="J34" s="119">
        <v>0</v>
      </c>
      <c r="K34" s="119">
        <f t="shared" ref="K34" si="23">J34*F34</f>
        <v>0</v>
      </c>
      <c r="L34" s="119">
        <v>0</v>
      </c>
      <c r="M34" s="119">
        <f t="shared" ref="M34" si="24">L34*F34</f>
        <v>0</v>
      </c>
      <c r="N34" s="119">
        <v>0</v>
      </c>
      <c r="O34" s="119">
        <f t="shared" ref="O34" si="25">N34*F34</f>
        <v>0</v>
      </c>
      <c r="P34" s="119">
        <f t="shared" ref="P34" si="26">G34+I34+K34+M34+O34</f>
        <v>27000</v>
      </c>
      <c r="Q34" s="119">
        <v>0</v>
      </c>
      <c r="R34" s="119">
        <f t="shared" ref="R34" si="27">SUM(P34:Q34)</f>
        <v>27000</v>
      </c>
    </row>
    <row r="35" spans="1:18">
      <c r="A35" s="109" t="s">
        <v>852</v>
      </c>
      <c r="B35" s="122"/>
      <c r="C35" s="123"/>
      <c r="D35" s="124"/>
      <c r="E35" s="125"/>
      <c r="F35" s="125"/>
      <c r="G35" s="125">
        <f>SUM(G31:G34)</f>
        <v>3990</v>
      </c>
      <c r="H35" s="125"/>
      <c r="I35" s="125">
        <f>SUM(I31:I34)</f>
        <v>28440</v>
      </c>
      <c r="J35" s="125"/>
      <c r="K35" s="125">
        <f>SUM(K31:K34)</f>
        <v>2940</v>
      </c>
      <c r="L35" s="125"/>
      <c r="M35" s="125">
        <f>SUM(M31:M34)</f>
        <v>490</v>
      </c>
      <c r="N35" s="125"/>
      <c r="O35" s="125">
        <f>SUM(O31:O34)</f>
        <v>0</v>
      </c>
      <c r="P35" s="125">
        <f>SUM(P31:P34)</f>
        <v>35860</v>
      </c>
      <c r="Q35" s="125">
        <f>SUM(Q31:Q34)</f>
        <v>0</v>
      </c>
      <c r="R35" s="125">
        <f>SUM(R31:R34)</f>
        <v>35860</v>
      </c>
    </row>
    <row r="37" spans="1:18">
      <c r="A37" s="109" t="s">
        <v>853</v>
      </c>
      <c r="B37" s="122"/>
      <c r="C37" s="123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</row>
    <row r="38" spans="1:18">
      <c r="A38" s="120" t="s">
        <v>854</v>
      </c>
      <c r="B38" s="120"/>
      <c r="C38" s="120" t="s">
        <v>311</v>
      </c>
      <c r="D38" s="126" t="s">
        <v>221</v>
      </c>
      <c r="E38" s="119">
        <v>0</v>
      </c>
      <c r="F38" s="119">
        <v>40</v>
      </c>
      <c r="G38" s="119">
        <f t="shared" ref="G38" si="28">E38*F38</f>
        <v>0</v>
      </c>
      <c r="H38" s="119">
        <v>12</v>
      </c>
      <c r="I38" s="119">
        <f t="shared" ref="I38" si="29">H38*F38</f>
        <v>480</v>
      </c>
      <c r="J38" s="119">
        <v>12</v>
      </c>
      <c r="K38" s="119">
        <f t="shared" ref="K38" si="30">J38*F38</f>
        <v>480</v>
      </c>
      <c r="L38" s="119">
        <v>2</v>
      </c>
      <c r="M38" s="119">
        <f t="shared" ref="M38" si="31">L38*F38</f>
        <v>80</v>
      </c>
      <c r="N38" s="119">
        <v>0</v>
      </c>
      <c r="O38" s="119">
        <f>N38*F38</f>
        <v>0</v>
      </c>
      <c r="P38" s="119">
        <f>G38+I38+K38+M38+O38</f>
        <v>1040</v>
      </c>
      <c r="Q38" s="119">
        <v>0</v>
      </c>
      <c r="R38" s="119">
        <f t="shared" ref="R38" si="32">SUM(P38:Q38)</f>
        <v>1040</v>
      </c>
    </row>
    <row r="39" spans="1:18">
      <c r="A39" s="109" t="s">
        <v>855</v>
      </c>
      <c r="B39" s="122"/>
      <c r="C39" s="131"/>
      <c r="D39" s="125"/>
      <c r="E39" s="125"/>
      <c r="F39" s="125"/>
      <c r="G39" s="125">
        <f>SUM(G38:G38)</f>
        <v>0</v>
      </c>
      <c r="H39" s="125"/>
      <c r="I39" s="125">
        <f>SUM(I38:I38)</f>
        <v>480</v>
      </c>
      <c r="J39" s="125"/>
      <c r="K39" s="125">
        <f>SUM(K38:K38)</f>
        <v>480</v>
      </c>
      <c r="L39" s="125"/>
      <c r="M39" s="125">
        <f>SUM(M38:M38)</f>
        <v>80</v>
      </c>
      <c r="N39" s="125"/>
      <c r="O39" s="125">
        <f>SUM(O38:O38)</f>
        <v>0</v>
      </c>
      <c r="P39" s="125">
        <f>SUM(P38:P38)</f>
        <v>1040</v>
      </c>
      <c r="Q39" s="125">
        <f>SUM(Q38:Q38)</f>
        <v>0</v>
      </c>
      <c r="R39" s="125">
        <f>SUM(R38:R38)</f>
        <v>1040</v>
      </c>
    </row>
    <row r="40" spans="1:18">
      <c r="B40" s="56"/>
      <c r="F40" s="56"/>
      <c r="G40" s="56"/>
      <c r="I40" s="56"/>
      <c r="K40" s="56"/>
      <c r="M40" s="56"/>
      <c r="O40" s="56"/>
    </row>
    <row r="41" spans="1:18" ht="12.9" thickBot="1">
      <c r="A41" s="143" t="s">
        <v>856</v>
      </c>
      <c r="B41" s="143"/>
      <c r="C41" s="143"/>
      <c r="D41" s="144"/>
      <c r="E41" s="144"/>
      <c r="F41" s="145"/>
      <c r="G41" s="146">
        <f>G39+G35+G24+G15+G28</f>
        <v>60881.875</v>
      </c>
      <c r="H41" s="146"/>
      <c r="I41" s="146">
        <f>I39+I35+I24+I15+I28</f>
        <v>169404.1</v>
      </c>
      <c r="J41" s="146"/>
      <c r="K41" s="146">
        <f>K39+K35+K24+K15+K28</f>
        <v>80849.872999999992</v>
      </c>
      <c r="L41" s="146"/>
      <c r="M41" s="146">
        <f>M39+M35+M24+M15+M28</f>
        <v>13466.294865</v>
      </c>
      <c r="N41" s="146"/>
      <c r="O41" s="146">
        <f>O39+O35+O24+O15+O28</f>
        <v>0</v>
      </c>
      <c r="P41" s="146">
        <f>P39+P35+P24+P15+P28</f>
        <v>324602.142865</v>
      </c>
      <c r="Q41" s="146">
        <f>Q39+Q35+Q24+Q15+Q28</f>
        <v>0</v>
      </c>
      <c r="R41" s="146">
        <f>R39+R35+R24+R15+R28</f>
        <v>324602.142865</v>
      </c>
    </row>
    <row r="43" spans="1:18">
      <c r="A43" s="147" t="s">
        <v>857</v>
      </c>
      <c r="B43" s="148"/>
      <c r="C43" s="58" t="s">
        <v>741</v>
      </c>
      <c r="D43" s="149"/>
      <c r="E43" s="149"/>
      <c r="F43" s="150">
        <v>0.03</v>
      </c>
      <c r="G43" s="151">
        <f>$F$43*G41</f>
        <v>1826.45625</v>
      </c>
      <c r="H43" s="151"/>
      <c r="I43" s="151">
        <f>$F$43*I41</f>
        <v>5082.1229999999996</v>
      </c>
      <c r="J43" s="151"/>
      <c r="K43" s="151">
        <f>$F$43*K41</f>
        <v>2425.4961899999998</v>
      </c>
      <c r="L43" s="94"/>
      <c r="M43" s="151">
        <f>$F$43*M41</f>
        <v>403.98884594999998</v>
      </c>
      <c r="N43" s="94"/>
      <c r="O43" s="151">
        <f>$F$43*O41</f>
        <v>0</v>
      </c>
      <c r="P43" s="151">
        <f>O43+M43+K43+I43+G43</f>
        <v>9738.0642859499985</v>
      </c>
      <c r="Q43" s="151">
        <v>0</v>
      </c>
      <c r="R43" s="151">
        <f>SUM(P43:Q43)</f>
        <v>9738.0642859499985</v>
      </c>
    </row>
    <row r="44" spans="1:18">
      <c r="A44" s="120"/>
      <c r="B44" s="118"/>
      <c r="C44" s="120"/>
      <c r="D44" s="126"/>
      <c r="E44" s="58"/>
      <c r="F44" s="128"/>
      <c r="H44" s="94"/>
      <c r="J44" s="94"/>
      <c r="L44" s="94"/>
      <c r="N44" s="94"/>
      <c r="P44" s="94"/>
      <c r="Q44" s="94"/>
      <c r="R44" s="94"/>
    </row>
    <row r="45" spans="1:18" ht="12.9" thickBot="1">
      <c r="A45" s="132" t="s">
        <v>181</v>
      </c>
      <c r="B45" s="133"/>
      <c r="C45" s="132"/>
      <c r="D45" s="132"/>
      <c r="E45" s="132"/>
      <c r="F45" s="132"/>
      <c r="G45" s="134">
        <f>G43+G41</f>
        <v>62708.331250000003</v>
      </c>
      <c r="H45" s="132"/>
      <c r="I45" s="134">
        <f>I43+I41</f>
        <v>174486.223</v>
      </c>
      <c r="J45" s="132"/>
      <c r="K45" s="134">
        <f>K43+K41</f>
        <v>83275.369189999998</v>
      </c>
      <c r="L45" s="132"/>
      <c r="M45" s="134">
        <f>M43+M41</f>
        <v>13870.28371095</v>
      </c>
      <c r="N45" s="132"/>
      <c r="O45" s="134">
        <f>O43+O41</f>
        <v>0</v>
      </c>
      <c r="P45" s="134">
        <f>P43+P41</f>
        <v>334340.20715094998</v>
      </c>
      <c r="Q45" s="134">
        <f>Q43+Q41</f>
        <v>0</v>
      </c>
      <c r="R45" s="134">
        <f>R43+R41</f>
        <v>334340.20715094998</v>
      </c>
    </row>
    <row r="47" spans="1:18" ht="12.9" thickBot="1">
      <c r="A47" s="132" t="s">
        <v>858</v>
      </c>
      <c r="B47" s="133"/>
      <c r="C47" s="132"/>
      <c r="D47" s="132"/>
      <c r="E47" s="132"/>
      <c r="F47" s="132"/>
      <c r="G47" s="134">
        <f>G45</f>
        <v>62708.331250000003</v>
      </c>
      <c r="H47" s="132"/>
      <c r="I47" s="134">
        <f>I45</f>
        <v>174486.223</v>
      </c>
      <c r="J47" s="132"/>
      <c r="K47" s="134">
        <f>K45</f>
        <v>83275.369189999998</v>
      </c>
      <c r="L47" s="132"/>
      <c r="M47" s="134">
        <f>M45</f>
        <v>13870.28371095</v>
      </c>
      <c r="N47" s="132"/>
      <c r="O47" s="134">
        <f>O45</f>
        <v>0</v>
      </c>
      <c r="P47" s="134">
        <f>P45</f>
        <v>334340.20715094998</v>
      </c>
      <c r="Q47" s="134">
        <f>Q45</f>
        <v>0</v>
      </c>
      <c r="R47" s="134">
        <f>R45</f>
        <v>334340.20715094998</v>
      </c>
    </row>
    <row r="50" spans="16:16">
      <c r="P50" s="163"/>
    </row>
  </sheetData>
  <mergeCells count="5">
    <mergeCell ref="M6:P6"/>
    <mergeCell ref="A1:R1"/>
    <mergeCell ref="A2:R2"/>
    <mergeCell ref="A3:R3"/>
    <mergeCell ref="A4: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workbookViewId="0">
      <selection activeCell="A4" sqref="A4:B6"/>
    </sheetView>
  </sheetViews>
  <sheetFormatPr defaultColWidth="8.71875" defaultRowHeight="12.6"/>
  <cols>
    <col min="1" max="1" width="52.71875" style="56" bestFit="1" customWidth="1"/>
    <col min="2" max="3" width="6.44140625" style="87" bestFit="1" customWidth="1"/>
    <col min="4" max="4" width="9.44140625" style="56" bestFit="1" customWidth="1"/>
    <col min="5" max="16384" width="8.71875" style="56"/>
  </cols>
  <sheetData>
    <row r="1" spans="1:3" s="82" customFormat="1" ht="15" customHeight="1">
      <c r="A1" s="560" t="s">
        <v>859</v>
      </c>
      <c r="B1" s="561"/>
    </row>
    <row r="2" spans="1:3" s="82" customFormat="1" ht="15" customHeight="1">
      <c r="A2" s="562"/>
      <c r="B2" s="563"/>
    </row>
    <row r="3" spans="1:3" ht="15" customHeight="1">
      <c r="A3" s="88" t="s">
        <v>860</v>
      </c>
      <c r="B3" s="89" t="s">
        <v>861</v>
      </c>
      <c r="C3" s="56"/>
    </row>
    <row r="4" spans="1:3" ht="15" customHeight="1">
      <c r="A4" s="83" t="s">
        <v>862</v>
      </c>
      <c r="B4" s="90"/>
      <c r="C4" s="56"/>
    </row>
    <row r="5" spans="1:3" ht="15" customHeight="1">
      <c r="A5" s="84" t="s">
        <v>863</v>
      </c>
      <c r="B5" s="85">
        <v>850</v>
      </c>
      <c r="C5" s="56"/>
    </row>
    <row r="6" spans="1:3" ht="15" customHeight="1">
      <c r="A6" s="91"/>
      <c r="B6" s="86">
        <f>SUM(B5)</f>
        <v>850</v>
      </c>
      <c r="C6" s="56"/>
    </row>
    <row r="7" spans="1:3" ht="15" customHeight="1">
      <c r="A7" s="91"/>
      <c r="B7" s="90"/>
      <c r="C7" s="56"/>
    </row>
    <row r="8" spans="1:3" ht="15" customHeight="1">
      <c r="A8" s="83" t="s">
        <v>864</v>
      </c>
      <c r="B8" s="86"/>
      <c r="C8" s="56"/>
    </row>
    <row r="9" spans="1:3">
      <c r="A9" s="84" t="s">
        <v>865</v>
      </c>
      <c r="B9" s="85">
        <v>1049.99</v>
      </c>
      <c r="C9" s="56"/>
    </row>
    <row r="10" spans="1:3">
      <c r="A10" s="84" t="s">
        <v>866</v>
      </c>
      <c r="B10" s="85">
        <v>44.99</v>
      </c>
      <c r="C10" s="56"/>
    </row>
    <row r="11" spans="1:3">
      <c r="A11" s="84" t="s">
        <v>867</v>
      </c>
      <c r="B11" s="85">
        <v>19.989999999999998</v>
      </c>
      <c r="C11" s="56"/>
    </row>
    <row r="12" spans="1:3">
      <c r="A12" s="84"/>
      <c r="B12" s="86">
        <f>SUM(B9:B11)</f>
        <v>1114.97</v>
      </c>
      <c r="C12" s="56"/>
    </row>
    <row r="13" spans="1:3">
      <c r="A13" s="91"/>
      <c r="B13" s="90"/>
      <c r="C13" s="56"/>
    </row>
    <row r="14" spans="1:3">
      <c r="A14" s="83" t="s">
        <v>868</v>
      </c>
      <c r="B14" s="85"/>
      <c r="C14" s="56"/>
    </row>
    <row r="15" spans="1:3">
      <c r="A15" s="84" t="s">
        <v>869</v>
      </c>
      <c r="B15" s="85">
        <v>583</v>
      </c>
      <c r="C15" s="56"/>
    </row>
    <row r="16" spans="1:3">
      <c r="A16" s="84" t="s">
        <v>870</v>
      </c>
      <c r="B16" s="85">
        <v>51.5</v>
      </c>
      <c r="C16" s="56"/>
    </row>
    <row r="17" spans="1:3">
      <c r="A17" s="84"/>
      <c r="B17" s="86">
        <f>SUM(B15:B16)</f>
        <v>634.5</v>
      </c>
      <c r="C17" s="56"/>
    </row>
    <row r="18" spans="1:3">
      <c r="A18" s="91"/>
      <c r="B18" s="90"/>
      <c r="C18" s="56"/>
    </row>
    <row r="19" spans="1:3">
      <c r="A19" s="83" t="s">
        <v>871</v>
      </c>
      <c r="B19" s="85"/>
      <c r="C19" s="56"/>
    </row>
    <row r="20" spans="1:3">
      <c r="A20" s="84" t="s">
        <v>872</v>
      </c>
      <c r="B20" s="85">
        <v>390</v>
      </c>
      <c r="C20" s="56"/>
    </row>
    <row r="21" spans="1:3">
      <c r="A21" s="84" t="s">
        <v>873</v>
      </c>
      <c r="B21" s="85">
        <v>450</v>
      </c>
      <c r="C21" s="56"/>
    </row>
    <row r="22" spans="1:3">
      <c r="A22" s="84"/>
      <c r="B22" s="86">
        <f>SUM(B19:B21)</f>
        <v>840</v>
      </c>
      <c r="C22" s="56"/>
    </row>
  </sheetData>
  <mergeCells count="1">
    <mergeCell ref="A1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9"/>
  <sheetViews>
    <sheetView workbookViewId="0">
      <selection activeCell="G5" sqref="G5"/>
    </sheetView>
  </sheetViews>
  <sheetFormatPr defaultColWidth="8.44140625" defaultRowHeight="12.3"/>
  <cols>
    <col min="1" max="1" width="14.44140625" customWidth="1"/>
    <col min="2" max="2" width="19.44140625" customWidth="1"/>
    <col min="3" max="3" width="18.44140625" customWidth="1"/>
    <col min="4" max="4" width="15" customWidth="1"/>
    <col min="5" max="5" width="14" customWidth="1"/>
    <col min="6" max="6" width="16.44140625" customWidth="1"/>
    <col min="7" max="7" width="19.44140625" customWidth="1"/>
    <col min="8" max="9" width="17.44140625" customWidth="1"/>
    <col min="10" max="10" width="24.44140625" customWidth="1"/>
    <col min="11" max="11" width="17" customWidth="1"/>
    <col min="12" max="12" width="14.44140625" customWidth="1"/>
    <col min="13" max="13" width="16.44140625" customWidth="1"/>
    <col min="14" max="14" width="14" customWidth="1"/>
    <col min="15" max="15" width="21.44140625" customWidth="1"/>
  </cols>
  <sheetData>
    <row r="1" spans="1:11">
      <c r="A1" s="564" t="s">
        <v>874</v>
      </c>
      <c r="B1" s="564"/>
      <c r="C1" s="564"/>
      <c r="D1" s="564"/>
      <c r="E1" s="564"/>
      <c r="F1" s="564"/>
      <c r="G1" s="564"/>
      <c r="H1" s="601" t="s">
        <v>875</v>
      </c>
      <c r="I1" s="602"/>
      <c r="J1" s="7"/>
    </row>
    <row r="2" spans="1:11">
      <c r="A2" s="10" t="s">
        <v>249</v>
      </c>
      <c r="B2" s="9" t="s">
        <v>876</v>
      </c>
      <c r="C2" s="607" t="s">
        <v>877</v>
      </c>
      <c r="D2" s="607"/>
      <c r="E2" s="608" t="s">
        <v>878</v>
      </c>
      <c r="F2" s="608"/>
      <c r="G2" s="9" t="s">
        <v>703</v>
      </c>
      <c r="H2" s="603"/>
      <c r="I2" s="604"/>
      <c r="J2" s="7"/>
    </row>
    <row r="3" spans="1:11">
      <c r="A3" s="10" t="s">
        <v>879</v>
      </c>
      <c r="B3" s="14" t="s">
        <v>880</v>
      </c>
      <c r="C3" s="14" t="s">
        <v>881</v>
      </c>
      <c r="D3" s="14" t="s">
        <v>882</v>
      </c>
      <c r="E3" s="14" t="s">
        <v>881</v>
      </c>
      <c r="F3" s="14" t="s">
        <v>882</v>
      </c>
      <c r="G3" s="14" t="s">
        <v>882</v>
      </c>
      <c r="H3" s="605"/>
      <c r="I3" s="606"/>
      <c r="J3" s="7"/>
    </row>
    <row r="4" spans="1:11">
      <c r="A4" s="323" t="s">
        <v>883</v>
      </c>
      <c r="B4" s="11">
        <v>75</v>
      </c>
      <c r="C4" s="12">
        <v>125</v>
      </c>
      <c r="D4" s="11">
        <v>75</v>
      </c>
      <c r="E4" s="13">
        <v>75</v>
      </c>
      <c r="F4" s="12">
        <v>125</v>
      </c>
      <c r="G4" s="13">
        <v>75</v>
      </c>
      <c r="H4" s="2">
        <f>B4+C4+E4</f>
        <v>275</v>
      </c>
      <c r="I4" s="601">
        <f>H4+H5+H6</f>
        <v>850</v>
      </c>
      <c r="J4" s="626" t="s">
        <v>884</v>
      </c>
      <c r="K4" s="324"/>
    </row>
    <row r="5" spans="1:11">
      <c r="A5" s="323" t="s">
        <v>885</v>
      </c>
      <c r="B5" s="11">
        <v>75</v>
      </c>
      <c r="C5" s="12">
        <v>125</v>
      </c>
      <c r="D5" s="11">
        <v>75</v>
      </c>
      <c r="E5" s="13">
        <v>100</v>
      </c>
      <c r="F5" s="12">
        <v>125</v>
      </c>
      <c r="G5" s="13">
        <v>100</v>
      </c>
      <c r="H5" s="1">
        <f>B5+C5+E5</f>
        <v>300</v>
      </c>
      <c r="I5" s="603"/>
      <c r="J5" s="627"/>
    </row>
    <row r="6" spans="1:11">
      <c r="A6" s="323" t="s">
        <v>886</v>
      </c>
      <c r="B6" s="11">
        <v>75</v>
      </c>
      <c r="C6" s="12">
        <v>100</v>
      </c>
      <c r="D6" s="11">
        <v>75</v>
      </c>
      <c r="E6" s="13">
        <v>100</v>
      </c>
      <c r="F6" s="12">
        <v>100</v>
      </c>
      <c r="G6" s="13">
        <v>100</v>
      </c>
      <c r="H6" s="1">
        <f>B6+C6+E6</f>
        <v>275</v>
      </c>
      <c r="I6" s="605"/>
      <c r="J6" s="627"/>
    </row>
    <row r="7" spans="1:11">
      <c r="A7" s="7"/>
      <c r="B7" s="7"/>
      <c r="C7" s="7"/>
      <c r="D7" s="7"/>
      <c r="E7" s="7"/>
      <c r="F7" s="7"/>
      <c r="G7" s="7"/>
      <c r="H7" s="7"/>
      <c r="I7" s="7"/>
      <c r="J7" s="628"/>
    </row>
    <row r="8" spans="1:11">
      <c r="A8" s="564" t="s">
        <v>887</v>
      </c>
      <c r="B8" s="564"/>
      <c r="C8" s="564"/>
      <c r="D8" s="564"/>
      <c r="E8" s="564"/>
      <c r="F8" s="564"/>
      <c r="G8" s="564"/>
      <c r="H8" s="601" t="s">
        <v>875</v>
      </c>
      <c r="I8" s="609"/>
      <c r="J8" s="584">
        <f>I4+I11</f>
        <v>1750</v>
      </c>
    </row>
    <row r="9" spans="1:11">
      <c r="A9" s="10" t="s">
        <v>249</v>
      </c>
      <c r="B9" s="9" t="s">
        <v>876</v>
      </c>
      <c r="C9" s="612" t="s">
        <v>877</v>
      </c>
      <c r="D9" s="613"/>
      <c r="E9" s="614" t="s">
        <v>878</v>
      </c>
      <c r="F9" s="615"/>
      <c r="G9" s="9" t="s">
        <v>703</v>
      </c>
      <c r="H9" s="603"/>
      <c r="I9" s="610"/>
      <c r="J9" s="585"/>
    </row>
    <row r="10" spans="1:11">
      <c r="A10" s="10" t="s">
        <v>879</v>
      </c>
      <c r="B10" s="15"/>
      <c r="C10" s="582" t="s">
        <v>888</v>
      </c>
      <c r="D10" s="583"/>
      <c r="E10" s="582" t="s">
        <v>888</v>
      </c>
      <c r="F10" s="583"/>
      <c r="G10" s="14" t="s">
        <v>889</v>
      </c>
      <c r="H10" s="605"/>
      <c r="I10" s="611"/>
      <c r="J10" s="586"/>
    </row>
    <row r="11" spans="1:11">
      <c r="A11" s="323" t="s">
        <v>883</v>
      </c>
      <c r="B11" s="6"/>
      <c r="C11" s="587">
        <v>75</v>
      </c>
      <c r="D11" s="588"/>
      <c r="E11" s="589">
        <v>100</v>
      </c>
      <c r="F11" s="590"/>
      <c r="G11" s="13">
        <v>125</v>
      </c>
      <c r="H11" s="1">
        <f>C11+E11+G11</f>
        <v>300</v>
      </c>
      <c r="I11" s="584">
        <f>H11+H12+H13</f>
        <v>900</v>
      </c>
      <c r="J11" s="16"/>
    </row>
    <row r="12" spans="1:11">
      <c r="A12" s="323" t="s">
        <v>885</v>
      </c>
      <c r="B12" s="6"/>
      <c r="C12" s="587">
        <v>75</v>
      </c>
      <c r="D12" s="588"/>
      <c r="E12" s="589">
        <v>100</v>
      </c>
      <c r="F12" s="590"/>
      <c r="G12" s="13">
        <v>125</v>
      </c>
      <c r="H12" s="1">
        <f>C12+E12+G12</f>
        <v>300</v>
      </c>
      <c r="I12" s="585"/>
      <c r="J12" s="16"/>
    </row>
    <row r="13" spans="1:11">
      <c r="A13" s="323" t="s">
        <v>886</v>
      </c>
      <c r="B13" s="6"/>
      <c r="C13" s="587">
        <v>75</v>
      </c>
      <c r="D13" s="588"/>
      <c r="E13" s="589">
        <v>100</v>
      </c>
      <c r="F13" s="590"/>
      <c r="G13" s="13">
        <v>125</v>
      </c>
      <c r="H13" s="1">
        <f>C13+E13+G13</f>
        <v>300</v>
      </c>
      <c r="I13" s="586"/>
      <c r="J13" s="16"/>
    </row>
    <row r="14" spans="1:11" ht="51" customHeight="1">
      <c r="A14" s="325"/>
      <c r="B14" s="22"/>
      <c r="C14" s="22"/>
      <c r="D14" s="22"/>
      <c r="E14" s="22" t="s">
        <v>798</v>
      </c>
      <c r="F14" s="22"/>
      <c r="G14" s="22"/>
      <c r="H14" s="22"/>
      <c r="I14" s="23"/>
      <c r="J14" s="19"/>
      <c r="K14" s="324"/>
    </row>
    <row r="15" spans="1:11" ht="12.75" customHeight="1">
      <c r="A15" s="564" t="s">
        <v>890</v>
      </c>
      <c r="B15" s="564"/>
      <c r="C15" s="564"/>
      <c r="D15" s="564"/>
      <c r="E15" s="564"/>
      <c r="F15" s="564"/>
      <c r="G15" s="564"/>
      <c r="H15" s="601" t="s">
        <v>891</v>
      </c>
      <c r="I15" s="602"/>
      <c r="J15" s="26" t="s">
        <v>892</v>
      </c>
      <c r="K15" s="591" t="s">
        <v>893</v>
      </c>
    </row>
    <row r="16" spans="1:11">
      <c r="A16" s="10" t="s">
        <v>249</v>
      </c>
      <c r="B16" s="9" t="s">
        <v>876</v>
      </c>
      <c r="C16" s="607" t="s">
        <v>877</v>
      </c>
      <c r="D16" s="607"/>
      <c r="E16" s="608" t="s">
        <v>878</v>
      </c>
      <c r="F16" s="608"/>
      <c r="G16" s="9" t="s">
        <v>703</v>
      </c>
      <c r="H16" s="603"/>
      <c r="I16" s="604"/>
      <c r="J16" s="27" t="s">
        <v>894</v>
      </c>
      <c r="K16" s="592"/>
    </row>
    <row r="17" spans="1:15">
      <c r="A17" s="10" t="s">
        <v>879</v>
      </c>
      <c r="B17" s="14" t="s">
        <v>880</v>
      </c>
      <c r="C17" s="14" t="s">
        <v>881</v>
      </c>
      <c r="D17" s="14" t="s">
        <v>882</v>
      </c>
      <c r="E17" s="14" t="s">
        <v>881</v>
      </c>
      <c r="F17" s="14" t="s">
        <v>882</v>
      </c>
      <c r="G17" s="14" t="s">
        <v>882</v>
      </c>
      <c r="H17" s="605"/>
      <c r="I17" s="606"/>
      <c r="J17" s="28">
        <v>25</v>
      </c>
      <c r="K17" s="593"/>
    </row>
    <row r="18" spans="1:15" ht="12.75" customHeight="1">
      <c r="A18" s="323" t="s">
        <v>883</v>
      </c>
      <c r="B18" s="326">
        <f>B4/J17</f>
        <v>3</v>
      </c>
      <c r="C18" s="12">
        <f>C4/J17</f>
        <v>5</v>
      </c>
      <c r="D18" s="11">
        <f>D4/J17</f>
        <v>3</v>
      </c>
      <c r="E18" s="13">
        <f>E4/J17</f>
        <v>3</v>
      </c>
      <c r="F18" s="12">
        <f>F4/J17</f>
        <v>5</v>
      </c>
      <c r="G18" s="13">
        <f>G4/J17</f>
        <v>3</v>
      </c>
      <c r="H18" s="2">
        <f>B18+C18+E18</f>
        <v>11</v>
      </c>
      <c r="I18" s="601">
        <f>H18+H19+H20</f>
        <v>34</v>
      </c>
      <c r="J18" s="598" t="s">
        <v>895</v>
      </c>
      <c r="K18" s="591">
        <f>B21+C21</f>
        <v>23</v>
      </c>
      <c r="L18" s="591" t="s">
        <v>896</v>
      </c>
    </row>
    <row r="19" spans="1:15">
      <c r="A19" s="323" t="s">
        <v>885</v>
      </c>
      <c r="B19" s="11">
        <f>B5/J17</f>
        <v>3</v>
      </c>
      <c r="C19" s="12">
        <f>C5/J17</f>
        <v>5</v>
      </c>
      <c r="D19" s="11">
        <f>D5/J17</f>
        <v>3</v>
      </c>
      <c r="E19" s="13">
        <f>E5/J17</f>
        <v>4</v>
      </c>
      <c r="F19" s="12">
        <f>F5/J17</f>
        <v>5</v>
      </c>
      <c r="G19" s="13">
        <f>G5/J17</f>
        <v>4</v>
      </c>
      <c r="H19" s="2">
        <f>B19+C19+E19</f>
        <v>12</v>
      </c>
      <c r="I19" s="603"/>
      <c r="J19" s="599"/>
      <c r="K19" s="592"/>
      <c r="L19" s="592"/>
    </row>
    <row r="20" spans="1:15">
      <c r="A20" s="323" t="s">
        <v>886</v>
      </c>
      <c r="B20" s="11">
        <f>B6/J17</f>
        <v>3</v>
      </c>
      <c r="C20" s="12">
        <f>C6/J17</f>
        <v>4</v>
      </c>
      <c r="D20" s="11">
        <f>D6/J17</f>
        <v>3</v>
      </c>
      <c r="E20" s="13">
        <f>E6/J17</f>
        <v>4</v>
      </c>
      <c r="F20" s="12">
        <f>F6/J17</f>
        <v>4</v>
      </c>
      <c r="G20" s="13">
        <f>G6/J17</f>
        <v>4</v>
      </c>
      <c r="H20" s="1">
        <f>B20+C20+E20</f>
        <v>11</v>
      </c>
      <c r="I20" s="605"/>
      <c r="J20" s="599"/>
      <c r="K20" s="592"/>
      <c r="L20" s="592"/>
    </row>
    <row r="21" spans="1:15">
      <c r="A21" s="327"/>
      <c r="B21" s="34">
        <f t="shared" ref="B21:G21" si="0">SUM(B18:B20)</f>
        <v>9</v>
      </c>
      <c r="C21" s="34">
        <f t="shared" si="0"/>
        <v>14</v>
      </c>
      <c r="D21" s="34">
        <f t="shared" si="0"/>
        <v>9</v>
      </c>
      <c r="E21" s="34">
        <f t="shared" si="0"/>
        <v>11</v>
      </c>
      <c r="F21" s="34">
        <f t="shared" si="0"/>
        <v>14</v>
      </c>
      <c r="G21" s="34">
        <f t="shared" si="0"/>
        <v>11</v>
      </c>
      <c r="H21" s="7"/>
      <c r="I21" s="20"/>
      <c r="J21" s="600"/>
      <c r="K21" s="593"/>
      <c r="L21" s="592"/>
    </row>
    <row r="22" spans="1:15">
      <c r="A22" s="7"/>
      <c r="B22" s="25"/>
      <c r="C22" s="7"/>
      <c r="D22" s="7"/>
      <c r="E22" s="7"/>
      <c r="F22" s="7"/>
      <c r="G22" s="7"/>
      <c r="H22" s="7"/>
      <c r="I22" s="7"/>
      <c r="J22" s="584">
        <f>I18+I26</f>
        <v>70</v>
      </c>
      <c r="K22" s="568"/>
      <c r="L22" s="565">
        <f>K18+K28</f>
        <v>38</v>
      </c>
    </row>
    <row r="23" spans="1:15">
      <c r="A23" s="564" t="s">
        <v>897</v>
      </c>
      <c r="B23" s="564"/>
      <c r="C23" s="564"/>
      <c r="D23" s="564"/>
      <c r="E23" s="564"/>
      <c r="F23" s="564"/>
      <c r="G23" s="564"/>
      <c r="H23" s="601" t="s">
        <v>875</v>
      </c>
      <c r="I23" s="609"/>
      <c r="J23" s="585"/>
      <c r="K23" s="569"/>
      <c r="L23" s="566"/>
    </row>
    <row r="24" spans="1:15">
      <c r="A24" s="10" t="s">
        <v>249</v>
      </c>
      <c r="B24" s="9" t="s">
        <v>876</v>
      </c>
      <c r="C24" s="612" t="s">
        <v>877</v>
      </c>
      <c r="D24" s="613"/>
      <c r="E24" s="614" t="s">
        <v>878</v>
      </c>
      <c r="F24" s="615"/>
      <c r="G24" s="9" t="s">
        <v>703</v>
      </c>
      <c r="H24" s="603"/>
      <c r="I24" s="610"/>
      <c r="J24" s="586"/>
      <c r="K24" s="569"/>
      <c r="L24" s="567"/>
    </row>
    <row r="25" spans="1:15" ht="12.75" customHeight="1">
      <c r="A25" s="10" t="s">
        <v>879</v>
      </c>
      <c r="B25" s="15"/>
      <c r="C25" s="582" t="s">
        <v>888</v>
      </c>
      <c r="D25" s="583"/>
      <c r="E25" s="582" t="s">
        <v>888</v>
      </c>
      <c r="F25" s="583"/>
      <c r="G25" s="14" t="s">
        <v>889</v>
      </c>
      <c r="H25" s="605"/>
      <c r="I25" s="611"/>
      <c r="J25" s="16"/>
      <c r="K25" s="591" t="s">
        <v>898</v>
      </c>
    </row>
    <row r="26" spans="1:15">
      <c r="A26" s="323" t="s">
        <v>883</v>
      </c>
      <c r="B26" s="6"/>
      <c r="C26" s="587">
        <f>C11/J17</f>
        <v>3</v>
      </c>
      <c r="D26" s="588"/>
      <c r="E26" s="589">
        <f>E11/J17</f>
        <v>4</v>
      </c>
      <c r="F26" s="590"/>
      <c r="G26" s="328">
        <f>G11/J17</f>
        <v>5</v>
      </c>
      <c r="H26" s="1">
        <f>C26+E26+G26</f>
        <v>12</v>
      </c>
      <c r="I26" s="584">
        <f>H26+H27+H28</f>
        <v>36</v>
      </c>
      <c r="J26" s="16"/>
      <c r="K26" s="592"/>
    </row>
    <row r="27" spans="1:15">
      <c r="A27" s="323" t="s">
        <v>885</v>
      </c>
      <c r="B27" s="6"/>
      <c r="C27" s="587">
        <f>C12/J17</f>
        <v>3</v>
      </c>
      <c r="D27" s="588"/>
      <c r="E27" s="589">
        <f>E12/J17</f>
        <v>4</v>
      </c>
      <c r="F27" s="590"/>
      <c r="G27" s="13">
        <f>G12/J17</f>
        <v>5</v>
      </c>
      <c r="H27" s="1">
        <f>C27+E27+G27</f>
        <v>12</v>
      </c>
      <c r="I27" s="585"/>
      <c r="J27" s="16"/>
      <c r="K27" s="593"/>
    </row>
    <row r="28" spans="1:15">
      <c r="A28" s="323" t="s">
        <v>886</v>
      </c>
      <c r="B28" s="6"/>
      <c r="C28" s="587">
        <f>C13/J17</f>
        <v>3</v>
      </c>
      <c r="D28" s="588"/>
      <c r="E28" s="589">
        <f>E13/J17</f>
        <v>4</v>
      </c>
      <c r="F28" s="590"/>
      <c r="G28" s="13">
        <f>G13/J17</f>
        <v>5</v>
      </c>
      <c r="H28" s="1">
        <f>C28+E28+G28</f>
        <v>12</v>
      </c>
      <c r="I28" s="586"/>
      <c r="J28" s="24"/>
      <c r="K28" s="565">
        <v>15</v>
      </c>
    </row>
    <row r="29" spans="1:15">
      <c r="A29" s="329"/>
      <c r="B29" s="6"/>
      <c r="C29" s="45">
        <f>SUM(C26:D28)</f>
        <v>9</v>
      </c>
      <c r="D29" s="46"/>
      <c r="E29" s="45">
        <f>SUM(E26:F28)</f>
        <v>12</v>
      </c>
      <c r="F29" s="46"/>
      <c r="G29" s="47">
        <f>SUM(G26:G28)</f>
        <v>15</v>
      </c>
      <c r="H29" s="6"/>
      <c r="I29" s="15"/>
      <c r="J29" s="21"/>
      <c r="K29" s="566"/>
    </row>
    <row r="30" spans="1:15" ht="12" customHeight="1">
      <c r="A30" s="329"/>
      <c r="B30" s="6"/>
      <c r="C30" s="8"/>
      <c r="D30" s="8"/>
      <c r="E30" s="8"/>
      <c r="F30" s="8"/>
      <c r="G30" s="6"/>
      <c r="H30" s="6"/>
      <c r="I30" s="15"/>
      <c r="J30" s="21"/>
      <c r="K30" s="567"/>
    </row>
    <row r="31" spans="1:15" ht="54.75" customHeight="1" thickBot="1">
      <c r="A31" s="21"/>
      <c r="B31" s="21"/>
      <c r="C31" s="21"/>
      <c r="D31" s="21"/>
      <c r="E31" s="21"/>
      <c r="F31" s="21"/>
      <c r="G31" s="21"/>
      <c r="H31" s="21"/>
      <c r="I31" s="21"/>
    </row>
    <row r="32" spans="1:15">
      <c r="A32" s="564" t="s">
        <v>899</v>
      </c>
      <c r="B32" s="564"/>
      <c r="C32" s="564"/>
      <c r="D32" s="564"/>
      <c r="E32" s="564"/>
      <c r="F32" s="564"/>
      <c r="G32" s="575"/>
      <c r="H32" s="576" t="s">
        <v>900</v>
      </c>
      <c r="I32" s="577"/>
      <c r="J32" s="570" t="s">
        <v>901</v>
      </c>
      <c r="K32" s="571"/>
      <c r="L32" s="571"/>
      <c r="M32" s="571"/>
      <c r="N32" s="571"/>
      <c r="O32" s="572"/>
    </row>
    <row r="33" spans="1:15">
      <c r="A33" s="330"/>
      <c r="B33" s="576" t="s">
        <v>902</v>
      </c>
      <c r="C33" s="576"/>
      <c r="D33" s="576" t="s">
        <v>903</v>
      </c>
      <c r="E33" s="576"/>
      <c r="F33" s="576" t="s">
        <v>904</v>
      </c>
      <c r="G33" s="577"/>
      <c r="H33" s="576" t="s">
        <v>905</v>
      </c>
      <c r="I33" s="577"/>
      <c r="J33" s="31" t="s">
        <v>700</v>
      </c>
      <c r="K33" s="582" t="s">
        <v>877</v>
      </c>
      <c r="L33" s="583"/>
      <c r="M33" s="582" t="s">
        <v>878</v>
      </c>
      <c r="N33" s="583"/>
      <c r="O33" s="32" t="s">
        <v>703</v>
      </c>
    </row>
    <row r="34" spans="1:15">
      <c r="A34" s="329"/>
      <c r="B34" s="17" t="s">
        <v>876</v>
      </c>
      <c r="C34" s="18" t="s">
        <v>877</v>
      </c>
      <c r="D34" s="17" t="s">
        <v>876</v>
      </c>
      <c r="E34" s="18" t="s">
        <v>877</v>
      </c>
      <c r="F34" s="17" t="s">
        <v>876</v>
      </c>
      <c r="G34" s="18" t="s">
        <v>701</v>
      </c>
      <c r="H34" s="29" t="s">
        <v>876</v>
      </c>
      <c r="I34" s="30" t="s">
        <v>877</v>
      </c>
      <c r="J34" s="331" t="s">
        <v>700</v>
      </c>
      <c r="K34" s="332" t="s">
        <v>700</v>
      </c>
      <c r="L34" s="333" t="s">
        <v>701</v>
      </c>
      <c r="M34" s="334" t="s">
        <v>700</v>
      </c>
      <c r="N34" s="335" t="s">
        <v>701</v>
      </c>
      <c r="O34" s="336" t="s">
        <v>701</v>
      </c>
    </row>
    <row r="35" spans="1:15" ht="12.6" thickBot="1">
      <c r="A35" s="1" t="s">
        <v>906</v>
      </c>
      <c r="B35" s="5">
        <v>30</v>
      </c>
      <c r="C35" s="5">
        <v>30</v>
      </c>
      <c r="D35" s="337">
        <v>3</v>
      </c>
      <c r="E35" s="5">
        <v>2</v>
      </c>
      <c r="F35" s="5">
        <v>2</v>
      </c>
      <c r="G35" s="4">
        <v>2</v>
      </c>
      <c r="H35" s="3">
        <f>B35*D35*F35</f>
        <v>180</v>
      </c>
      <c r="I35" s="3">
        <f>C35*E35*G35</f>
        <v>120</v>
      </c>
      <c r="J35" s="35">
        <f>B21*H35</f>
        <v>1620</v>
      </c>
      <c r="K35" s="36">
        <f>C21*H35</f>
        <v>2520</v>
      </c>
      <c r="L35" s="36">
        <f>D21*I35</f>
        <v>1080</v>
      </c>
      <c r="M35" s="36">
        <f>E21*H35</f>
        <v>1980</v>
      </c>
      <c r="N35" s="36">
        <f>F21*I35</f>
        <v>1680</v>
      </c>
      <c r="O35" s="37">
        <f>G21*I35</f>
        <v>1320</v>
      </c>
    </row>
    <row r="36" spans="1:15" ht="12.6" thickBot="1">
      <c r="A36" s="21"/>
      <c r="B36" s="21"/>
      <c r="C36" s="21"/>
      <c r="D36" s="21"/>
      <c r="E36" s="21"/>
      <c r="F36" s="21"/>
      <c r="G36" s="33" t="s">
        <v>907</v>
      </c>
      <c r="H36" s="573">
        <f>H35+I35</f>
        <v>300</v>
      </c>
      <c r="I36" s="574"/>
      <c r="J36" s="39"/>
      <c r="K36" s="21"/>
      <c r="L36" s="21"/>
      <c r="M36" s="21"/>
      <c r="N36" s="21"/>
      <c r="O36" s="21"/>
    </row>
    <row r="37" spans="1:15" ht="12.6" thickBo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1:15">
      <c r="A38" s="564" t="s">
        <v>908</v>
      </c>
      <c r="B38" s="564"/>
      <c r="C38" s="564"/>
      <c r="D38" s="564"/>
      <c r="E38" s="564"/>
      <c r="F38" s="564"/>
      <c r="G38" s="575"/>
      <c r="H38" s="576" t="s">
        <v>900</v>
      </c>
      <c r="I38" s="577"/>
      <c r="J38" s="570" t="s">
        <v>909</v>
      </c>
      <c r="K38" s="571"/>
      <c r="L38" s="571"/>
      <c r="M38" s="571"/>
      <c r="N38" s="571"/>
      <c r="O38" s="572"/>
    </row>
    <row r="39" spans="1:15">
      <c r="A39" s="330"/>
      <c r="B39" s="576" t="s">
        <v>902</v>
      </c>
      <c r="C39" s="576"/>
      <c r="D39" s="576" t="s">
        <v>903</v>
      </c>
      <c r="E39" s="576"/>
      <c r="F39" s="576" t="s">
        <v>904</v>
      </c>
      <c r="G39" s="577"/>
      <c r="H39" s="576" t="s">
        <v>905</v>
      </c>
      <c r="I39" s="577"/>
      <c r="J39" s="31" t="s">
        <v>700</v>
      </c>
      <c r="K39" s="582" t="s">
        <v>877</v>
      </c>
      <c r="L39" s="583"/>
      <c r="M39" s="582" t="s">
        <v>878</v>
      </c>
      <c r="N39" s="583"/>
      <c r="O39" s="32" t="s">
        <v>703</v>
      </c>
    </row>
    <row r="40" spans="1:15">
      <c r="A40" s="329"/>
      <c r="B40" s="616" t="s">
        <v>876</v>
      </c>
      <c r="C40" s="617"/>
      <c r="D40" s="616" t="s">
        <v>876</v>
      </c>
      <c r="E40" s="617"/>
      <c r="F40" s="616" t="s">
        <v>876</v>
      </c>
      <c r="G40" s="617"/>
      <c r="H40" s="614" t="s">
        <v>876</v>
      </c>
      <c r="I40" s="623"/>
      <c r="J40" s="38" t="s">
        <v>700</v>
      </c>
      <c r="K40" s="594" t="s">
        <v>700</v>
      </c>
      <c r="L40" s="595"/>
      <c r="M40" s="578" t="s">
        <v>700</v>
      </c>
      <c r="N40" s="579"/>
      <c r="O40" s="336" t="s">
        <v>701</v>
      </c>
    </row>
    <row r="41" spans="1:15" ht="12.6" thickBot="1">
      <c r="A41" s="1" t="s">
        <v>906</v>
      </c>
      <c r="B41" s="618">
        <v>32</v>
      </c>
      <c r="C41" s="619"/>
      <c r="D41" s="620">
        <v>5</v>
      </c>
      <c r="E41" s="621"/>
      <c r="F41" s="618">
        <v>4</v>
      </c>
      <c r="G41" s="622"/>
      <c r="H41" s="624">
        <f>B41*D41*F41</f>
        <v>640</v>
      </c>
      <c r="I41" s="625"/>
      <c r="J41" s="338"/>
      <c r="K41" s="596">
        <f>H41*C29</f>
        <v>5760</v>
      </c>
      <c r="L41" s="597"/>
      <c r="M41" s="580">
        <f>E29*H41</f>
        <v>7680</v>
      </c>
      <c r="N41" s="581"/>
      <c r="O41" s="37">
        <f>G29*H41</f>
        <v>9600</v>
      </c>
    </row>
    <row r="42" spans="1:15" ht="12.6" thickBot="1">
      <c r="G42" s="33" t="s">
        <v>907</v>
      </c>
      <c r="H42" s="573">
        <f>H41+I41</f>
        <v>640</v>
      </c>
      <c r="I42" s="574"/>
    </row>
    <row r="43" spans="1:15">
      <c r="A43" s="564" t="s">
        <v>910</v>
      </c>
      <c r="B43" s="564"/>
      <c r="C43" s="564"/>
      <c r="D43" s="564"/>
      <c r="E43" s="564"/>
    </row>
    <row r="44" spans="1:15">
      <c r="A44" s="6"/>
      <c r="B44" s="6"/>
      <c r="C44" s="502" t="s">
        <v>364</v>
      </c>
      <c r="D44" s="43" t="s">
        <v>911</v>
      </c>
      <c r="E44" s="502" t="s">
        <v>912</v>
      </c>
    </row>
    <row r="45" spans="1:15">
      <c r="A45" s="44" t="s">
        <v>913</v>
      </c>
      <c r="B45" s="339" t="s">
        <v>914</v>
      </c>
      <c r="C45" s="41">
        <f>H35</f>
        <v>180</v>
      </c>
      <c r="D45" s="42">
        <v>8</v>
      </c>
      <c r="E45" s="40">
        <f>C45*D45</f>
        <v>1440</v>
      </c>
    </row>
    <row r="46" spans="1:15">
      <c r="A46" s="44" t="s">
        <v>915</v>
      </c>
      <c r="B46" s="339" t="s">
        <v>914</v>
      </c>
      <c r="C46" s="41">
        <f>I35</f>
        <v>120</v>
      </c>
      <c r="D46" s="42">
        <v>8</v>
      </c>
      <c r="E46" s="40">
        <f>C46*D46</f>
        <v>960</v>
      </c>
    </row>
    <row r="48" spans="1:15">
      <c r="A48" s="564" t="s">
        <v>916</v>
      </c>
      <c r="B48" s="564"/>
      <c r="C48" s="564"/>
      <c r="D48" s="564"/>
      <c r="E48" s="564"/>
    </row>
    <row r="49" spans="1:5">
      <c r="A49" s="6"/>
      <c r="B49" s="6"/>
      <c r="C49" s="337" t="s">
        <v>917</v>
      </c>
      <c r="D49" s="340" t="s">
        <v>918</v>
      </c>
      <c r="E49" s="337" t="s">
        <v>912</v>
      </c>
    </row>
    <row r="50" spans="1:5">
      <c r="A50" s="44" t="s">
        <v>913</v>
      </c>
      <c r="B50" s="339" t="s">
        <v>919</v>
      </c>
      <c r="C50" s="41">
        <f>B35*D35</f>
        <v>90</v>
      </c>
      <c r="D50" s="42">
        <v>10</v>
      </c>
      <c r="E50" s="40">
        <f>C50*D50</f>
        <v>900</v>
      </c>
    </row>
    <row r="51" spans="1:5">
      <c r="A51" s="44" t="s">
        <v>915</v>
      </c>
      <c r="B51" s="339" t="s">
        <v>919</v>
      </c>
      <c r="C51" s="41">
        <f>C35*E35</f>
        <v>60</v>
      </c>
      <c r="D51" s="42">
        <v>10</v>
      </c>
      <c r="E51" s="40">
        <f>C51*D51</f>
        <v>600</v>
      </c>
    </row>
    <row r="52" spans="1:5">
      <c r="D52" s="324"/>
    </row>
    <row r="53" spans="1:5">
      <c r="A53" s="564" t="s">
        <v>920</v>
      </c>
      <c r="B53" s="564"/>
      <c r="C53" s="564"/>
      <c r="D53" s="564"/>
      <c r="E53" s="564"/>
    </row>
    <row r="54" spans="1:5">
      <c r="A54" s="6"/>
      <c r="B54" s="6"/>
      <c r="C54" s="337" t="s">
        <v>364</v>
      </c>
      <c r="D54" s="340" t="s">
        <v>911</v>
      </c>
      <c r="E54" s="337" t="s">
        <v>912</v>
      </c>
    </row>
    <row r="55" spans="1:5">
      <c r="A55" s="339" t="s">
        <v>913</v>
      </c>
      <c r="B55" s="339" t="s">
        <v>921</v>
      </c>
      <c r="C55" s="41">
        <f>H41</f>
        <v>640</v>
      </c>
      <c r="D55" s="42">
        <v>8</v>
      </c>
      <c r="E55" s="40">
        <f>C55*D55</f>
        <v>5120</v>
      </c>
    </row>
    <row r="57" spans="1:5">
      <c r="A57" s="564" t="s">
        <v>922</v>
      </c>
      <c r="B57" s="564"/>
      <c r="C57" s="564"/>
      <c r="D57" s="564"/>
      <c r="E57" s="564"/>
    </row>
    <row r="58" spans="1:5">
      <c r="A58" s="6"/>
      <c r="B58" s="6"/>
      <c r="C58" s="337" t="s">
        <v>917</v>
      </c>
      <c r="D58" s="340" t="s">
        <v>918</v>
      </c>
      <c r="E58" s="337" t="s">
        <v>912</v>
      </c>
    </row>
    <row r="59" spans="1:5">
      <c r="A59" s="44" t="s">
        <v>913</v>
      </c>
      <c r="B59" s="339" t="s">
        <v>919</v>
      </c>
      <c r="C59" s="41">
        <f>B41*D41</f>
        <v>160</v>
      </c>
      <c r="D59" s="42">
        <v>10</v>
      </c>
      <c r="E59" s="40">
        <f>C59*D59</f>
        <v>1600</v>
      </c>
    </row>
  </sheetData>
  <mergeCells count="83">
    <mergeCell ref="E12:F12"/>
    <mergeCell ref="E13:F13"/>
    <mergeCell ref="A8:G8"/>
    <mergeCell ref="J4:J7"/>
    <mergeCell ref="J8:J10"/>
    <mergeCell ref="C9:D9"/>
    <mergeCell ref="E9:F9"/>
    <mergeCell ref="C10:D10"/>
    <mergeCell ref="F40:G40"/>
    <mergeCell ref="F41:G41"/>
    <mergeCell ref="H40:I40"/>
    <mergeCell ref="H41:I41"/>
    <mergeCell ref="H1:I3"/>
    <mergeCell ref="I4:I6"/>
    <mergeCell ref="H8:I10"/>
    <mergeCell ref="I11:I13"/>
    <mergeCell ref="A1:G1"/>
    <mergeCell ref="C2:D2"/>
    <mergeCell ref="E2:F2"/>
    <mergeCell ref="C11:D11"/>
    <mergeCell ref="C12:D12"/>
    <mergeCell ref="C13:D13"/>
    <mergeCell ref="E10:F10"/>
    <mergeCell ref="E11:F11"/>
    <mergeCell ref="A23:G23"/>
    <mergeCell ref="H23:I25"/>
    <mergeCell ref="C24:D24"/>
    <mergeCell ref="E24:F24"/>
    <mergeCell ref="H42:I42"/>
    <mergeCell ref="A32:G32"/>
    <mergeCell ref="H32:I32"/>
    <mergeCell ref="B33:C33"/>
    <mergeCell ref="D33:E33"/>
    <mergeCell ref="F33:G33"/>
    <mergeCell ref="H33:I33"/>
    <mergeCell ref="B39:C39"/>
    <mergeCell ref="B40:C40"/>
    <mergeCell ref="B41:C41"/>
    <mergeCell ref="D40:E40"/>
    <mergeCell ref="D41:E41"/>
    <mergeCell ref="H15:I17"/>
    <mergeCell ref="I18:I20"/>
    <mergeCell ref="A15:G15"/>
    <mergeCell ref="C16:D16"/>
    <mergeCell ref="E16:F16"/>
    <mergeCell ref="K15:K17"/>
    <mergeCell ref="K25:K27"/>
    <mergeCell ref="K28:K30"/>
    <mergeCell ref="K40:L40"/>
    <mergeCell ref="K41:L41"/>
    <mergeCell ref="L18:L21"/>
    <mergeCell ref="K39:L39"/>
    <mergeCell ref="J38:O38"/>
    <mergeCell ref="K33:L33"/>
    <mergeCell ref="J18:J21"/>
    <mergeCell ref="J22:J24"/>
    <mergeCell ref="K18:K21"/>
    <mergeCell ref="D39:E39"/>
    <mergeCell ref="F39:G39"/>
    <mergeCell ref="H39:I39"/>
    <mergeCell ref="C25:D25"/>
    <mergeCell ref="E25:F25"/>
    <mergeCell ref="C26:D26"/>
    <mergeCell ref="E26:F26"/>
    <mergeCell ref="E27:F27"/>
    <mergeCell ref="C28:D28"/>
    <mergeCell ref="E28:F28"/>
    <mergeCell ref="A53:E53"/>
    <mergeCell ref="A57:E57"/>
    <mergeCell ref="L22:L24"/>
    <mergeCell ref="A43:E43"/>
    <mergeCell ref="A48:E48"/>
    <mergeCell ref="K22:K24"/>
    <mergeCell ref="J32:O32"/>
    <mergeCell ref="H36:I36"/>
    <mergeCell ref="A38:G38"/>
    <mergeCell ref="H38:I38"/>
    <mergeCell ref="M40:N40"/>
    <mergeCell ref="M41:N41"/>
    <mergeCell ref="M39:N39"/>
    <mergeCell ref="M33:N33"/>
    <mergeCell ref="I26:I28"/>
    <mergeCell ref="C27:D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2e75368e33d2ef203d08b1eb8711185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deca49b1148d9f513ef6847c9ab419e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16A195-F478-4256-96CF-892E1E481714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3E7B32A-376E-41F5-8BAD-5BA7D75DB916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customXml/itemProps3.xml><?xml version="1.0" encoding="utf-8"?>
<ds:datastoreItem xmlns:ds="http://schemas.openxmlformats.org/officeDocument/2006/customXml" ds:itemID="{738B9145-C169-452B-8C82-9D77736DEFD3}"/>
</file>

<file path=customXml/itemProps4.xml><?xml version="1.0" encoding="utf-8"?>
<ds:datastoreItem xmlns:ds="http://schemas.openxmlformats.org/officeDocument/2006/customXml" ds:itemID="{E694317B-D0E0-4282-8BFC-94619C138F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Project Funds Snapshots</vt:lpstr>
      <vt:lpstr>USDA Budget Summary</vt:lpstr>
      <vt:lpstr>Indirect Calculations</vt:lpstr>
      <vt:lpstr>Program Budget</vt:lpstr>
      <vt:lpstr>Partners by Activity</vt:lpstr>
      <vt:lpstr>Personnel &amp; LOE Summary</vt:lpstr>
      <vt:lpstr>LOE Breakdown by Year</vt:lpstr>
      <vt:lpstr>Activity 2 Sub Budget</vt:lpstr>
      <vt:lpstr>CIAT Sub Budget</vt:lpstr>
      <vt:lpstr>Agrosavia Sub Budget</vt:lpstr>
      <vt:lpstr>Supplies</vt:lpstr>
      <vt:lpstr>Education Worksheet </vt:lpstr>
      <vt:lpstr>'Indirect Calculations'!Print_Area</vt:lpstr>
      <vt:lpstr>'Program Budget'!Print_Area</vt:lpstr>
      <vt:lpstr>'Activity 2 Sub Budget'!TRM</vt:lpstr>
      <vt:lpstr>TRM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Danielle Martin</cp:lastModifiedBy>
  <cp:revision/>
  <dcterms:created xsi:type="dcterms:W3CDTF">2007-06-26T13:33:20Z</dcterms:created>
  <dcterms:modified xsi:type="dcterms:W3CDTF">2024-09-24T05:40:28Z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7412600.00000000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WorkbookGuid">
    <vt:lpwstr>f9165d3f-2e95-4cb0-b0d6-1503465abe40</vt:lpwstr>
  </property>
  <property fmtid="{D5CDD505-2E9C-101B-9397-08002B2CF9AE}" pid="5" name="TaxKeyword">
    <vt:lpwstr/>
  </property>
  <property fmtid="{D5CDD505-2E9C-101B-9397-08002B2CF9AE}" pid="6" name="Tags">
    <vt:lpwstr/>
  </property>
  <property fmtid="{D5CDD505-2E9C-101B-9397-08002B2CF9AE}" pid="7" name="MediaServiceImageTags">
    <vt:lpwstr/>
  </property>
</Properties>
</file>