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.sharepoint.com/sites/FA/Finance  Operational/Budgets/"/>
    </mc:Choice>
  </mc:AlternateContent>
  <xr:revisionPtr revIDLastSave="0" documentId="8_{6D363B4C-A803-4469-ACBB-1B88B5FD1F07}" xr6:coauthVersionLast="47" xr6:coauthVersionMax="47" xr10:uidLastSave="{00000000-0000-0000-0000-000000000000}"/>
  <bookViews>
    <workbookView xWindow="-96" yWindow="-96" windowWidth="23232" windowHeight="12552" xr2:uid="{0CDD8D98-19D9-45F9-9063-CD1349C76DBA}"/>
  </bookViews>
  <sheets>
    <sheet name="RMS" sheetId="1" r:id="rId1"/>
  </sheets>
  <externalReferences>
    <externalReference r:id="rId2"/>
  </externalReferences>
  <definedNames>
    <definedName name="Category" localSheetId="0">RMS!$G$9:$G$113</definedName>
    <definedName name="DL_Country" localSheetId="0">RMS!#REF!</definedName>
    <definedName name="DL_Country">'[1]Project Budget'!#REF!</definedName>
    <definedName name="DL_TotalDOL" localSheetId="0">RMS!$T$9:$T$27</definedName>
    <definedName name="EQ_Country" localSheetId="0">RMS!#REF!</definedName>
    <definedName name="EQ_Country">'[1]Project Budget'!#REF!</definedName>
    <definedName name="EQ_TotalDOL" localSheetId="0">RMS!#REF!</definedName>
    <definedName name="EQ_TotalDOL">'[1]Project Budget'!#REF!</definedName>
    <definedName name="inf" localSheetId="0">#REF!</definedName>
    <definedName name="inf">#REF!</definedName>
    <definedName name="JEA_Country" localSheetId="0">#REF!</definedName>
    <definedName name="JEA_Country">#REF!</definedName>
    <definedName name="JEA_Year1" localSheetId="0">#REF!</definedName>
    <definedName name="JEA_Year1">#REF!</definedName>
    <definedName name="ME_Country" localSheetId="0">RMS!#REF!</definedName>
    <definedName name="ME_Country">'[1]Project Budget'!#REF!</definedName>
    <definedName name="ME_TotalDOL" localSheetId="0">RMS!#REF!</definedName>
    <definedName name="O1_Country" localSheetId="0">RMS!#REF!</definedName>
    <definedName name="O1_Country">'[1]Project Budget'!#REF!</definedName>
    <definedName name="O1_TotalDOL" localSheetId="0">RMS!$T$108:$T$109</definedName>
    <definedName name="O1_TotalDOL">'[1]Project Budget'!#REF!</definedName>
    <definedName name="O2_Country" localSheetId="0">RMS!#REF!</definedName>
    <definedName name="O2_Country">'[1]Project Budget'!#REF!</definedName>
    <definedName name="O2_TotalDOL" localSheetId="0">RMS!#REF!</definedName>
    <definedName name="O2_TotalDOL">'[1]Project Budget'!#REF!</definedName>
    <definedName name="_xlnm.Print_Area" localSheetId="0">RMS!$F$1:$V$115</definedName>
    <definedName name="SU_Country" localSheetId="0">RMS!#REF!</definedName>
    <definedName name="SU_Country">'[1]Project Budget'!#REF!</definedName>
    <definedName name="SU_TotalDOL" localSheetId="0">RMS!$T$50:$T$55</definedName>
    <definedName name="TotalDOL" localSheetId="0">RMS!$T$9:$T$113</definedName>
    <definedName name="TR_Country" localSheetId="0">RMS!#REF!</definedName>
    <definedName name="TR_Country">'[1]Project Budget'!#REF!</definedName>
    <definedName name="TR_TotalDOL" localSheetId="0">RMS!$T$33:$T$37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09" i="1" l="1"/>
  <c r="U113" i="1" s="1"/>
  <c r="S107" i="1"/>
  <c r="Q107" i="1"/>
  <c r="O107" i="1"/>
  <c r="M107" i="1"/>
  <c r="K107" i="1"/>
  <c r="T107" i="1" s="1"/>
  <c r="V107" i="1" s="1"/>
  <c r="S106" i="1"/>
  <c r="Q106" i="1"/>
  <c r="O106" i="1"/>
  <c r="M106" i="1"/>
  <c r="T106" i="1" s="1"/>
  <c r="V106" i="1" s="1"/>
  <c r="K106" i="1"/>
  <c r="S105" i="1"/>
  <c r="Q105" i="1"/>
  <c r="O105" i="1"/>
  <c r="M105" i="1"/>
  <c r="K105" i="1"/>
  <c r="T105" i="1" s="1"/>
  <c r="V105" i="1" s="1"/>
  <c r="U98" i="1"/>
  <c r="U94" i="1"/>
  <c r="S93" i="1"/>
  <c r="Q93" i="1"/>
  <c r="O93" i="1"/>
  <c r="M93" i="1"/>
  <c r="K93" i="1"/>
  <c r="T93" i="1" s="1"/>
  <c r="V93" i="1" s="1"/>
  <c r="S92" i="1"/>
  <c r="Q92" i="1"/>
  <c r="O92" i="1"/>
  <c r="M92" i="1"/>
  <c r="K92" i="1"/>
  <c r="T92" i="1" s="1"/>
  <c r="V92" i="1" s="1"/>
  <c r="S91" i="1"/>
  <c r="Q91" i="1"/>
  <c r="O91" i="1"/>
  <c r="M91" i="1"/>
  <c r="K91" i="1"/>
  <c r="T91" i="1" s="1"/>
  <c r="V91" i="1" s="1"/>
  <c r="T89" i="1"/>
  <c r="V89" i="1" s="1"/>
  <c r="S89" i="1"/>
  <c r="Q89" i="1"/>
  <c r="O89" i="1"/>
  <c r="M89" i="1"/>
  <c r="K89" i="1"/>
  <c r="U77" i="1"/>
  <c r="U81" i="1" s="1"/>
  <c r="S75" i="1"/>
  <c r="Q75" i="1"/>
  <c r="O75" i="1"/>
  <c r="M75" i="1"/>
  <c r="K75" i="1"/>
  <c r="T75" i="1" s="1"/>
  <c r="V75" i="1" s="1"/>
  <c r="S73" i="1"/>
  <c r="Q73" i="1"/>
  <c r="O73" i="1"/>
  <c r="M73" i="1"/>
  <c r="K73" i="1"/>
  <c r="T73" i="1" s="1"/>
  <c r="V73" i="1" s="1"/>
  <c r="J71" i="1"/>
  <c r="O71" i="1" s="1"/>
  <c r="S69" i="1"/>
  <c r="Q69" i="1"/>
  <c r="O69" i="1"/>
  <c r="M69" i="1"/>
  <c r="T69" i="1" s="1"/>
  <c r="V69" i="1" s="1"/>
  <c r="K69" i="1"/>
  <c r="S67" i="1"/>
  <c r="Q67" i="1"/>
  <c r="O67" i="1"/>
  <c r="M67" i="1"/>
  <c r="K67" i="1"/>
  <c r="T67" i="1" s="1"/>
  <c r="V67" i="1" s="1"/>
  <c r="U57" i="1"/>
  <c r="S55" i="1"/>
  <c r="Q55" i="1"/>
  <c r="O55" i="1"/>
  <c r="M55" i="1"/>
  <c r="K55" i="1"/>
  <c r="T55" i="1" s="1"/>
  <c r="V55" i="1" s="1"/>
  <c r="S54" i="1"/>
  <c r="Q54" i="1"/>
  <c r="O54" i="1"/>
  <c r="M54" i="1"/>
  <c r="K54" i="1"/>
  <c r="T54" i="1" s="1"/>
  <c r="V54" i="1" s="1"/>
  <c r="J53" i="1"/>
  <c r="S53" i="1" s="1"/>
  <c r="S52" i="1"/>
  <c r="Q52" i="1"/>
  <c r="O52" i="1"/>
  <c r="M52" i="1"/>
  <c r="K52" i="1"/>
  <c r="T52" i="1" s="1"/>
  <c r="V52" i="1" s="1"/>
  <c r="S51" i="1"/>
  <c r="Q51" i="1"/>
  <c r="O51" i="1"/>
  <c r="M51" i="1"/>
  <c r="T51" i="1" s="1"/>
  <c r="V51" i="1" s="1"/>
  <c r="K51" i="1"/>
  <c r="S50" i="1"/>
  <c r="S57" i="1" s="1"/>
  <c r="Q50" i="1"/>
  <c r="O50" i="1"/>
  <c r="M50" i="1"/>
  <c r="K50" i="1"/>
  <c r="U48" i="1"/>
  <c r="S46" i="1"/>
  <c r="Q46" i="1"/>
  <c r="O46" i="1"/>
  <c r="M46" i="1"/>
  <c r="K46" i="1"/>
  <c r="T46" i="1" s="1"/>
  <c r="V46" i="1" s="1"/>
  <c r="S45" i="1"/>
  <c r="Q45" i="1"/>
  <c r="O45" i="1"/>
  <c r="M45" i="1"/>
  <c r="K45" i="1"/>
  <c r="T45" i="1" s="1"/>
  <c r="V45" i="1" s="1"/>
  <c r="S44" i="1"/>
  <c r="Q44" i="1"/>
  <c r="O44" i="1"/>
  <c r="M44" i="1"/>
  <c r="K44" i="1"/>
  <c r="T44" i="1" s="1"/>
  <c r="V44" i="1" s="1"/>
  <c r="S43" i="1"/>
  <c r="Q43" i="1"/>
  <c r="O43" i="1"/>
  <c r="M43" i="1"/>
  <c r="K43" i="1"/>
  <c r="T43" i="1" s="1"/>
  <c r="V43" i="1" s="1"/>
  <c r="S42" i="1"/>
  <c r="Q42" i="1"/>
  <c r="O42" i="1"/>
  <c r="M42" i="1"/>
  <c r="K42" i="1"/>
  <c r="T42" i="1" s="1"/>
  <c r="V42" i="1" s="1"/>
  <c r="S41" i="1"/>
  <c r="S48" i="1" s="1"/>
  <c r="Q41" i="1"/>
  <c r="Q48" i="1" s="1"/>
  <c r="O41" i="1"/>
  <c r="O48" i="1" s="1"/>
  <c r="M41" i="1"/>
  <c r="M48" i="1" s="1"/>
  <c r="K41" i="1"/>
  <c r="T41" i="1" s="1"/>
  <c r="V41" i="1" s="1"/>
  <c r="U39" i="1"/>
  <c r="S37" i="1"/>
  <c r="P37" i="1"/>
  <c r="Q37" i="1" s="1"/>
  <c r="O37" i="1"/>
  <c r="N37" i="1"/>
  <c r="L37" i="1"/>
  <c r="M37" i="1" s="1"/>
  <c r="K37" i="1"/>
  <c r="I37" i="1"/>
  <c r="S36" i="1"/>
  <c r="P36" i="1"/>
  <c r="Q36" i="1" s="1"/>
  <c r="N36" i="1"/>
  <c r="O36" i="1" s="1"/>
  <c r="L36" i="1"/>
  <c r="M36" i="1" s="1"/>
  <c r="I36" i="1"/>
  <c r="K36" i="1" s="1"/>
  <c r="S35" i="1"/>
  <c r="Q35" i="1"/>
  <c r="P35" i="1"/>
  <c r="N35" i="1"/>
  <c r="O35" i="1" s="1"/>
  <c r="M35" i="1"/>
  <c r="L35" i="1"/>
  <c r="I35" i="1"/>
  <c r="K35" i="1" s="1"/>
  <c r="S34" i="1"/>
  <c r="P34" i="1"/>
  <c r="Q34" i="1" s="1"/>
  <c r="N34" i="1"/>
  <c r="O34" i="1" s="1"/>
  <c r="M34" i="1"/>
  <c r="L34" i="1"/>
  <c r="I34" i="1"/>
  <c r="K34" i="1" s="1"/>
  <c r="S33" i="1"/>
  <c r="S39" i="1" s="1"/>
  <c r="Q33" i="1"/>
  <c r="O33" i="1"/>
  <c r="M33" i="1"/>
  <c r="T33" i="1" s="1"/>
  <c r="V33" i="1" s="1"/>
  <c r="K33" i="1"/>
  <c r="K39" i="1" s="1"/>
  <c r="U24" i="1"/>
  <c r="U29" i="1" s="1"/>
  <c r="S23" i="1"/>
  <c r="Q23" i="1"/>
  <c r="O23" i="1"/>
  <c r="M23" i="1"/>
  <c r="K23" i="1"/>
  <c r="T23" i="1" s="1"/>
  <c r="V23" i="1" s="1"/>
  <c r="S22" i="1"/>
  <c r="Q22" i="1"/>
  <c r="O22" i="1"/>
  <c r="M22" i="1"/>
  <c r="K22" i="1"/>
  <c r="T22" i="1" s="1"/>
  <c r="V22" i="1" s="1"/>
  <c r="S21" i="1"/>
  <c r="Q21" i="1"/>
  <c r="O21" i="1"/>
  <c r="M21" i="1"/>
  <c r="T21" i="1" s="1"/>
  <c r="V21" i="1" s="1"/>
  <c r="K21" i="1"/>
  <c r="S20" i="1"/>
  <c r="O20" i="1"/>
  <c r="M20" i="1"/>
  <c r="K20" i="1"/>
  <c r="T20" i="1" s="1"/>
  <c r="V20" i="1" s="1"/>
  <c r="J20" i="1"/>
  <c r="Q20" i="1" s="1"/>
  <c r="S19" i="1"/>
  <c r="O19" i="1"/>
  <c r="M19" i="1"/>
  <c r="K19" i="1"/>
  <c r="J19" i="1"/>
  <c r="Q19" i="1" s="1"/>
  <c r="S18" i="1"/>
  <c r="Q18" i="1"/>
  <c r="O18" i="1"/>
  <c r="M18" i="1"/>
  <c r="K18" i="1"/>
  <c r="T18" i="1" s="1"/>
  <c r="V18" i="1" s="1"/>
  <c r="S17" i="1"/>
  <c r="Q17" i="1"/>
  <c r="O17" i="1"/>
  <c r="M17" i="1"/>
  <c r="K17" i="1"/>
  <c r="T17" i="1" s="1"/>
  <c r="V17" i="1" s="1"/>
  <c r="S16" i="1"/>
  <c r="Q16" i="1"/>
  <c r="O16" i="1"/>
  <c r="M16" i="1"/>
  <c r="K16" i="1"/>
  <c r="T16" i="1" s="1"/>
  <c r="V16" i="1" s="1"/>
  <c r="M15" i="1"/>
  <c r="J15" i="1"/>
  <c r="K15" i="1" s="1"/>
  <c r="S14" i="1"/>
  <c r="Q14" i="1"/>
  <c r="O14" i="1"/>
  <c r="M14" i="1"/>
  <c r="T14" i="1" s="1"/>
  <c r="V14" i="1" s="1"/>
  <c r="K14" i="1"/>
  <c r="S13" i="1"/>
  <c r="Q13" i="1"/>
  <c r="O13" i="1"/>
  <c r="M13" i="1"/>
  <c r="K13" i="1"/>
  <c r="T13" i="1" s="1"/>
  <c r="V13" i="1" s="1"/>
  <c r="J12" i="1"/>
  <c r="S12" i="1" s="1"/>
  <c r="J11" i="1"/>
  <c r="S11" i="1" s="1"/>
  <c r="J10" i="1"/>
  <c r="S10" i="1" s="1"/>
  <c r="J9" i="1"/>
  <c r="S9" i="1" s="1"/>
  <c r="T19" i="1" l="1"/>
  <c r="V19" i="1" s="1"/>
  <c r="I85" i="1"/>
  <c r="K85" i="1" s="1"/>
  <c r="I63" i="1"/>
  <c r="K63" i="1" s="1"/>
  <c r="I102" i="1"/>
  <c r="K102" i="1" s="1"/>
  <c r="T37" i="1"/>
  <c r="V37" i="1" s="1"/>
  <c r="L103" i="1"/>
  <c r="M103" i="1" s="1"/>
  <c r="L86" i="1"/>
  <c r="M86" i="1" s="1"/>
  <c r="L64" i="1"/>
  <c r="M64" i="1" s="1"/>
  <c r="N86" i="1"/>
  <c r="O86" i="1" s="1"/>
  <c r="N64" i="1"/>
  <c r="O64" i="1" s="1"/>
  <c r="N103" i="1"/>
  <c r="O103" i="1" s="1"/>
  <c r="O39" i="1"/>
  <c r="T36" i="1"/>
  <c r="V36" i="1" s="1"/>
  <c r="P86" i="1"/>
  <c r="Q86" i="1" s="1"/>
  <c r="P64" i="1"/>
  <c r="Q64" i="1" s="1"/>
  <c r="P103" i="1"/>
  <c r="Q103" i="1" s="1"/>
  <c r="R87" i="1"/>
  <c r="S87" i="1" s="1"/>
  <c r="R65" i="1"/>
  <c r="S65" i="1" s="1"/>
  <c r="R104" i="1"/>
  <c r="S104" i="1" s="1"/>
  <c r="Q39" i="1"/>
  <c r="T35" i="1"/>
  <c r="V35" i="1" s="1"/>
  <c r="R64" i="1"/>
  <c r="S64" i="1" s="1"/>
  <c r="R103" i="1"/>
  <c r="S103" i="1" s="1"/>
  <c r="R86" i="1"/>
  <c r="S86" i="1" s="1"/>
  <c r="R85" i="1"/>
  <c r="S85" i="1" s="1"/>
  <c r="R63" i="1"/>
  <c r="S63" i="1" s="1"/>
  <c r="R102" i="1"/>
  <c r="S102" i="1" s="1"/>
  <c r="T34" i="1"/>
  <c r="V34" i="1" s="1"/>
  <c r="U115" i="1"/>
  <c r="K9" i="1"/>
  <c r="K10" i="1"/>
  <c r="T10" i="1" s="1"/>
  <c r="V10" i="1" s="1"/>
  <c r="K11" i="1"/>
  <c r="K12" i="1"/>
  <c r="O15" i="1"/>
  <c r="T50" i="1"/>
  <c r="V50" i="1" s="1"/>
  <c r="Q71" i="1"/>
  <c r="M10" i="1"/>
  <c r="M11" i="1"/>
  <c r="M12" i="1"/>
  <c r="Q15" i="1"/>
  <c r="T15" i="1" s="1"/>
  <c r="V15" i="1" s="1"/>
  <c r="K53" i="1"/>
  <c r="S71" i="1"/>
  <c r="M9" i="1"/>
  <c r="O9" i="1"/>
  <c r="O10" i="1"/>
  <c r="O11" i="1"/>
  <c r="O12" i="1"/>
  <c r="S15" i="1"/>
  <c r="S24" i="1" s="1"/>
  <c r="M39" i="1"/>
  <c r="M53" i="1"/>
  <c r="M57" i="1" s="1"/>
  <c r="Q9" i="1"/>
  <c r="Q24" i="1" s="1"/>
  <c r="Q10" i="1"/>
  <c r="Q11" i="1"/>
  <c r="Q12" i="1"/>
  <c r="K48" i="1"/>
  <c r="O53" i="1"/>
  <c r="O57" i="1" s="1"/>
  <c r="Q53" i="1"/>
  <c r="Q57" i="1" s="1"/>
  <c r="K71" i="1"/>
  <c r="M71" i="1"/>
  <c r="S27" i="1" l="1"/>
  <c r="S29" i="1"/>
  <c r="N65" i="1"/>
  <c r="O65" i="1" s="1"/>
  <c r="N104" i="1"/>
  <c r="O104" i="1" s="1"/>
  <c r="N87" i="1"/>
  <c r="O87" i="1" s="1"/>
  <c r="L87" i="1"/>
  <c r="M87" i="1" s="1"/>
  <c r="L65" i="1"/>
  <c r="M65" i="1" s="1"/>
  <c r="L104" i="1"/>
  <c r="M104" i="1" s="1"/>
  <c r="P104" i="1"/>
  <c r="Q104" i="1" s="1"/>
  <c r="P87" i="1"/>
  <c r="Q87" i="1" s="1"/>
  <c r="P65" i="1"/>
  <c r="Q65" i="1" s="1"/>
  <c r="L85" i="1"/>
  <c r="M85" i="1" s="1"/>
  <c r="L63" i="1"/>
  <c r="M63" i="1" s="1"/>
  <c r="T63" i="1" s="1"/>
  <c r="V63" i="1" s="1"/>
  <c r="L102" i="1"/>
  <c r="M102" i="1" s="1"/>
  <c r="T102" i="1" s="1"/>
  <c r="V102" i="1" s="1"/>
  <c r="T53" i="1"/>
  <c r="V53" i="1" s="1"/>
  <c r="T12" i="1"/>
  <c r="V12" i="1" s="1"/>
  <c r="T11" i="1"/>
  <c r="V11" i="1" s="1"/>
  <c r="K24" i="1"/>
  <c r="T9" i="1"/>
  <c r="T39" i="1"/>
  <c r="V39" i="1" s="1"/>
  <c r="I64" i="1"/>
  <c r="K64" i="1" s="1"/>
  <c r="T64" i="1" s="1"/>
  <c r="V64" i="1" s="1"/>
  <c r="I103" i="1"/>
  <c r="K103" i="1" s="1"/>
  <c r="T103" i="1" s="1"/>
  <c r="V103" i="1" s="1"/>
  <c r="I86" i="1"/>
  <c r="K86" i="1" s="1"/>
  <c r="T86" i="1" s="1"/>
  <c r="V86" i="1" s="1"/>
  <c r="T48" i="1"/>
  <c r="V48" i="1" s="1"/>
  <c r="O24" i="1"/>
  <c r="Q27" i="1"/>
  <c r="Q29" i="1"/>
  <c r="M24" i="1"/>
  <c r="P102" i="1"/>
  <c r="Q102" i="1" s="1"/>
  <c r="P85" i="1"/>
  <c r="Q85" i="1" s="1"/>
  <c r="P63" i="1"/>
  <c r="Q63" i="1" s="1"/>
  <c r="N63" i="1"/>
  <c r="O63" i="1" s="1"/>
  <c r="N102" i="1"/>
  <c r="O102" i="1" s="1"/>
  <c r="N85" i="1"/>
  <c r="O85" i="1" s="1"/>
  <c r="T85" i="1" s="1"/>
  <c r="V85" i="1" s="1"/>
  <c r="T71" i="1"/>
  <c r="V71" i="1" s="1"/>
  <c r="K57" i="1"/>
  <c r="I87" i="1" l="1"/>
  <c r="K87" i="1" s="1"/>
  <c r="T87" i="1" s="1"/>
  <c r="V87" i="1" s="1"/>
  <c r="T57" i="1"/>
  <c r="V57" i="1" s="1"/>
  <c r="I65" i="1"/>
  <c r="K65" i="1" s="1"/>
  <c r="T65" i="1" s="1"/>
  <c r="V65" i="1" s="1"/>
  <c r="I104" i="1"/>
  <c r="K104" i="1" s="1"/>
  <c r="T104" i="1" s="1"/>
  <c r="V104" i="1" s="1"/>
  <c r="M27" i="1"/>
  <c r="M29" i="1" s="1"/>
  <c r="P84" i="1"/>
  <c r="Q84" i="1" s="1"/>
  <c r="Q94" i="1" s="1"/>
  <c r="P62" i="1"/>
  <c r="Q62" i="1" s="1"/>
  <c r="Q77" i="1" s="1"/>
  <c r="P101" i="1"/>
  <c r="Q101" i="1" s="1"/>
  <c r="Q109" i="1" s="1"/>
  <c r="V9" i="1"/>
  <c r="V24" i="1" s="1"/>
  <c r="T24" i="1"/>
  <c r="K27" i="1"/>
  <c r="T27" i="1" s="1"/>
  <c r="V27" i="1" s="1"/>
  <c r="O27" i="1"/>
  <c r="O29" i="1"/>
  <c r="R62" i="1"/>
  <c r="S62" i="1" s="1"/>
  <c r="S77" i="1" s="1"/>
  <c r="R101" i="1"/>
  <c r="S101" i="1" s="1"/>
  <c r="S109" i="1" s="1"/>
  <c r="R84" i="1"/>
  <c r="S84" i="1" s="1"/>
  <c r="S94" i="1" s="1"/>
  <c r="L101" i="1" l="1"/>
  <c r="M101" i="1" s="1"/>
  <c r="M109" i="1" s="1"/>
  <c r="L84" i="1"/>
  <c r="M84" i="1" s="1"/>
  <c r="M94" i="1" s="1"/>
  <c r="L62" i="1"/>
  <c r="M62" i="1" s="1"/>
  <c r="M77" i="1" s="1"/>
  <c r="Q79" i="1"/>
  <c r="Q81" i="1" s="1"/>
  <c r="Q96" i="1"/>
  <c r="Q98" i="1" s="1"/>
  <c r="S79" i="1"/>
  <c r="S81" i="1"/>
  <c r="N84" i="1"/>
  <c r="O84" i="1" s="1"/>
  <c r="O94" i="1" s="1"/>
  <c r="N62" i="1"/>
  <c r="O62" i="1" s="1"/>
  <c r="O77" i="1" s="1"/>
  <c r="N101" i="1"/>
  <c r="O101" i="1" s="1"/>
  <c r="O109" i="1" s="1"/>
  <c r="K29" i="1"/>
  <c r="S96" i="1"/>
  <c r="S98" i="1"/>
  <c r="S111" i="1"/>
  <c r="S113" i="1"/>
  <c r="S115" i="1" s="1"/>
  <c r="Q111" i="1"/>
  <c r="Q113" i="1" s="1"/>
  <c r="Q115" i="1" s="1"/>
  <c r="M111" i="1" l="1"/>
  <c r="M113" i="1"/>
  <c r="I62" i="1"/>
  <c r="K62" i="1" s="1"/>
  <c r="I101" i="1"/>
  <c r="K101" i="1" s="1"/>
  <c r="T29" i="1"/>
  <c r="V29" i="1" s="1"/>
  <c r="I84" i="1"/>
  <c r="K84" i="1" s="1"/>
  <c r="O111" i="1"/>
  <c r="O113" i="1" s="1"/>
  <c r="O79" i="1"/>
  <c r="O81" i="1" s="1"/>
  <c r="M79" i="1"/>
  <c r="M81" i="1" s="1"/>
  <c r="O96" i="1"/>
  <c r="O98" i="1" s="1"/>
  <c r="M96" i="1"/>
  <c r="M98" i="1"/>
  <c r="O115" i="1" l="1"/>
  <c r="M115" i="1"/>
  <c r="K94" i="1"/>
  <c r="T84" i="1"/>
  <c r="T101" i="1"/>
  <c r="V101" i="1" s="1"/>
  <c r="K109" i="1"/>
  <c r="K77" i="1"/>
  <c r="T62" i="1"/>
  <c r="V62" i="1" s="1"/>
  <c r="T77" i="1" l="1"/>
  <c r="V77" i="1" s="1"/>
  <c r="K79" i="1"/>
  <c r="T79" i="1" s="1"/>
  <c r="V79" i="1" s="1"/>
  <c r="K81" i="1"/>
  <c r="T81" i="1" s="1"/>
  <c r="V81" i="1" s="1"/>
  <c r="T109" i="1"/>
  <c r="V109" i="1" s="1"/>
  <c r="K111" i="1"/>
  <c r="T111" i="1" s="1"/>
  <c r="V111" i="1" s="1"/>
  <c r="V84" i="1"/>
  <c r="T94" i="1"/>
  <c r="V94" i="1" s="1"/>
  <c r="K96" i="1"/>
  <c r="T96" i="1" s="1"/>
  <c r="V96" i="1" s="1"/>
  <c r="K113" i="1" l="1"/>
  <c r="K98" i="1"/>
  <c r="T98" i="1" s="1"/>
  <c r="V98" i="1" s="1"/>
  <c r="T113" i="1" l="1"/>
  <c r="V113" i="1" s="1"/>
  <c r="K115" i="1"/>
  <c r="T115" i="1" s="1"/>
  <c r="V115" i="1" s="1"/>
</calcChain>
</file>

<file path=xl/sharedStrings.xml><?xml version="1.0" encoding="utf-8"?>
<sst xmlns="http://schemas.openxmlformats.org/spreadsheetml/2006/main" count="435" uniqueCount="181">
  <si>
    <t>Name of Project: DOL425 Improving Gender Equity in the Mexican Workplace</t>
  </si>
  <si>
    <t>Name of Subawardee: Red de Mujeres Sindicalistas (RMS)</t>
  </si>
  <si>
    <t>Subaward Budget</t>
  </si>
  <si>
    <t>Entity:</t>
  </si>
  <si>
    <t>P</t>
  </si>
  <si>
    <t>Budget Assumptions:</t>
  </si>
  <si>
    <t>Program-Dept.:</t>
  </si>
  <si>
    <t>Inflation - Locally Purchased Goods/Services</t>
  </si>
  <si>
    <t>Funder-Grant:</t>
  </si>
  <si>
    <t>DOL425</t>
  </si>
  <si>
    <t>Merit Based Increases for Staff</t>
  </si>
  <si>
    <t>Activity Code</t>
  </si>
  <si>
    <t>Account Code</t>
  </si>
  <si>
    <t>Country Code</t>
  </si>
  <si>
    <t>Subcontract Code</t>
  </si>
  <si>
    <t>Sub-budget Code</t>
  </si>
  <si>
    <t>BUDGET ITEM</t>
  </si>
  <si>
    <t>CATEGORY</t>
  </si>
  <si>
    <t>UNIT</t>
  </si>
  <si>
    <t># of Units</t>
  </si>
  <si>
    <t>RATE/ UNIT</t>
  </si>
  <si>
    <t>YEAR 1
2022</t>
  </si>
  <si>
    <t>YEAR 2
2023</t>
  </si>
  <si>
    <t>YEAR 3
2024</t>
  </si>
  <si>
    <t>YEAR 4
2025</t>
  </si>
  <si>
    <t>YEAR 5
2026</t>
  </si>
  <si>
    <t>TOTAL PARTNERS OF THE AMERICAS</t>
  </si>
  <si>
    <t>TOTAL COST SHARING</t>
  </si>
  <si>
    <t>PROJECT GRAND TOTAL</t>
  </si>
  <si>
    <t>Direct Labor</t>
  </si>
  <si>
    <t>SUBRMS</t>
  </si>
  <si>
    <t>MEX</t>
  </si>
  <si>
    <t>RMS</t>
  </si>
  <si>
    <t>RMSPERPC</t>
  </si>
  <si>
    <t>General Project Coordinator (50%)</t>
  </si>
  <si>
    <t>Salaries</t>
  </si>
  <si>
    <t>Month</t>
  </si>
  <si>
    <t>RMSPERTC</t>
  </si>
  <si>
    <t>Training Coordinator (50%)</t>
  </si>
  <si>
    <t>RMSPERAC</t>
  </si>
  <si>
    <t>Administration Coordinator (50%)</t>
  </si>
  <si>
    <t>RMSPERCOM</t>
  </si>
  <si>
    <t>Communication Coordinator (50%)</t>
  </si>
  <si>
    <t>RMSPERM&amp;E</t>
  </si>
  <si>
    <t>Monitoring &amp; Evaluation Coordinator (100%)</t>
  </si>
  <si>
    <t>RMSPERIMPC</t>
  </si>
  <si>
    <t>Follow-up and Implementation Coordinator (100%)</t>
  </si>
  <si>
    <t>RMSPERADM</t>
  </si>
  <si>
    <t>Administration Assistant (50%)</t>
  </si>
  <si>
    <t>RMSPERORG</t>
  </si>
  <si>
    <t>Organization and Logistics Lead (100%)</t>
  </si>
  <si>
    <t>RMSPEREVN</t>
  </si>
  <si>
    <t>Events Assistant (100%)</t>
  </si>
  <si>
    <t>RMSPERACCT</t>
  </si>
  <si>
    <t>Accountant (100%)</t>
  </si>
  <si>
    <t>RMSPERDES</t>
  </si>
  <si>
    <t>Designer (50%)</t>
  </si>
  <si>
    <t>RMSPERSOC</t>
  </si>
  <si>
    <t>Social Media and Campaigns Lead (50%)</t>
  </si>
  <si>
    <t>RMSPERCDJ</t>
  </si>
  <si>
    <t>Cd. Juarez Organizer (100%)</t>
  </si>
  <si>
    <t>RMSPERGUAD</t>
  </si>
  <si>
    <t>Guadalajara Organizer (100%)</t>
  </si>
  <si>
    <t>RMSPERCDMX</t>
  </si>
  <si>
    <t>CDMX Organizer (100%)</t>
  </si>
  <si>
    <t xml:space="preserve">Subtotal </t>
  </si>
  <si>
    <t xml:space="preserve">Fringe Benefits  </t>
  </si>
  <si>
    <t>RMSFRINGE</t>
  </si>
  <si>
    <t xml:space="preserve">Fringe benefits - Field Office </t>
  </si>
  <si>
    <t>Fringe Benefits</t>
  </si>
  <si>
    <t>Subtotal Direct Labor</t>
  </si>
  <si>
    <t>Travel</t>
  </si>
  <si>
    <t>T1: Cd. Juarez Chihuahua / Guadalajara/ CDMX</t>
  </si>
  <si>
    <t>RMSAIRFARE</t>
  </si>
  <si>
    <t xml:space="preserve">Airfare  </t>
  </si>
  <si>
    <t>Trip</t>
  </si>
  <si>
    <t>RMSLODGING</t>
  </si>
  <si>
    <r>
      <t xml:space="preserve">Lodging   </t>
    </r>
    <r>
      <rPr>
        <sz val="8"/>
        <color rgb="FFFF0000"/>
        <rFont val="Arial"/>
        <family val="2"/>
      </rPr>
      <t xml:space="preserve"> </t>
    </r>
  </si>
  <si>
    <t>Day</t>
  </si>
  <si>
    <t>RMSM&amp;IE</t>
  </si>
  <si>
    <r>
      <t xml:space="preserve">M&amp;IE   </t>
    </r>
    <r>
      <rPr>
        <sz val="8"/>
        <color rgb="FFFF0000"/>
        <rFont val="Arial"/>
        <family val="2"/>
      </rPr>
      <t xml:space="preserve"> </t>
    </r>
  </si>
  <si>
    <t>RMSTRANS</t>
  </si>
  <si>
    <r>
      <t xml:space="preserve">Ground Transportation </t>
    </r>
    <r>
      <rPr>
        <sz val="8"/>
        <color rgb="FFFF0000"/>
        <rFont val="Arial"/>
        <family val="2"/>
      </rPr>
      <t xml:space="preserve"> </t>
    </r>
  </si>
  <si>
    <t>RMSMSTRE</t>
  </si>
  <si>
    <t xml:space="preserve">Misc. Staff Travel Related Expenses  </t>
  </si>
  <si>
    <t>Subtotal Travel</t>
  </si>
  <si>
    <t xml:space="preserve">Supplies - Under $5,000 USD  </t>
  </si>
  <si>
    <t>RMSDESKTOP</t>
  </si>
  <si>
    <t xml:space="preserve">Desktop computers, laptops and software </t>
  </si>
  <si>
    <t>Supplies</t>
  </si>
  <si>
    <t>Unit</t>
  </si>
  <si>
    <t>RMSMEET</t>
  </si>
  <si>
    <r>
      <t>Meeting Expenses</t>
    </r>
    <r>
      <rPr>
        <sz val="8"/>
        <color rgb="FFFF0000"/>
        <rFont val="Arial"/>
        <family val="2"/>
      </rPr>
      <t xml:space="preserve"> </t>
    </r>
  </si>
  <si>
    <t>RMSPHONE</t>
  </si>
  <si>
    <t xml:space="preserve">Phones </t>
  </si>
  <si>
    <t>RMSSUPPLY</t>
  </si>
  <si>
    <t xml:space="preserve">Office Supplies </t>
  </si>
  <si>
    <t>RMSMATLS</t>
  </si>
  <si>
    <t xml:space="preserve">Stationary/Printing Materials </t>
  </si>
  <si>
    <t>RMSCAMAE</t>
  </si>
  <si>
    <t>Camera and audio equipment</t>
  </si>
  <si>
    <t>Subtotal Supplies</t>
  </si>
  <si>
    <t xml:space="preserve">Office Expenses </t>
  </si>
  <si>
    <t>RMSBANK</t>
  </si>
  <si>
    <t xml:space="preserve">Banking and cash handling fees  </t>
  </si>
  <si>
    <t>Office Expenses</t>
  </si>
  <si>
    <t>RMSPOSTAGE</t>
  </si>
  <si>
    <t xml:space="preserve">Courier fees/services/postage  </t>
  </si>
  <si>
    <t>RMSINTEMA</t>
  </si>
  <si>
    <t xml:space="preserve">Email/Internet </t>
  </si>
  <si>
    <t xml:space="preserve">Phones line rent  </t>
  </si>
  <si>
    <t>RMSRENT</t>
  </si>
  <si>
    <t xml:space="preserve">Office Rent </t>
  </si>
  <si>
    <t>RMSEQUMAN</t>
  </si>
  <si>
    <t xml:space="preserve">Equipment and office repairs and maintenance  </t>
  </si>
  <si>
    <t>Subtotal Office Expenses</t>
  </si>
  <si>
    <t>The above is only for percentage calculations for the below outcomes</t>
  </si>
  <si>
    <t>Outcome 1: WO advance issues surrounding substantive equality, including gender proportionality in leadership and participation in key activities, within their institutions</t>
  </si>
  <si>
    <t>Activities/Costs</t>
  </si>
  <si>
    <t>Personnel &amp; Fringe (60% of Direct Labor line item)</t>
  </si>
  <si>
    <t>Outcome1</t>
  </si>
  <si>
    <t>Travel (60%)</t>
  </si>
  <si>
    <t>Supplies (60%)</t>
  </si>
  <si>
    <t>Office Expenses (60%)</t>
  </si>
  <si>
    <t>1: Conduct a participatory diagnosis on gender equality and representation issues within WO</t>
  </si>
  <si>
    <t>RMSOUT1-1</t>
  </si>
  <si>
    <t>Participatory diagnosis on gender equality and gender representation issues within WO</t>
  </si>
  <si>
    <t>2: Identify and train young women workers in leadership, negotiation, and conflict resolution</t>
  </si>
  <si>
    <t>RMSOUT1-2</t>
  </si>
  <si>
    <t>Training of young women workers in leadership, negotiation and conflict resolution.</t>
  </si>
  <si>
    <t xml:space="preserve">Activity 3. Train female leaders in WO on collective negotiation and issues of substantive equality. </t>
  </si>
  <si>
    <t>RMSOUT1-3</t>
  </si>
  <si>
    <t>Training for OPT leaders for collective bargaining on issues of substantive equality.</t>
  </si>
  <si>
    <t xml:space="preserve">6: Develop protocols focused on eliminating violence and harassment within WO membership </t>
  </si>
  <si>
    <t>RMSOUT1-6</t>
  </si>
  <si>
    <t>Protocols focused on eliminating violence and harassment among WO members</t>
  </si>
  <si>
    <t>7: Develop a toolkit for WO to support the integration of the gender perspective and the increase of women members</t>
  </si>
  <si>
    <t>RMSOUT1-7</t>
  </si>
  <si>
    <t>Toolkit for substantive equality and the unionization of women</t>
  </si>
  <si>
    <t>Direct Costs Total for Outcome 1</t>
  </si>
  <si>
    <t>RMSIDCCOST</t>
  </si>
  <si>
    <t>Total Indirect Costs (NICRA or De Minimis) for Outcome 1</t>
  </si>
  <si>
    <t>Indirect Charges</t>
  </si>
  <si>
    <t>Subtotal Outcome 1</t>
  </si>
  <si>
    <t>Outcome 2: Worker organizations undertake sustained action to promote gender equity in the workplace.</t>
  </si>
  <si>
    <t>Personnel &amp; Fringe (45% of Direct Labor line item)</t>
  </si>
  <si>
    <t>Outcome2</t>
  </si>
  <si>
    <t>Travel (45%)</t>
  </si>
  <si>
    <t>Supplies (45%)</t>
  </si>
  <si>
    <t>Office Expenses (45%)</t>
  </si>
  <si>
    <t>15: Train workers and WO on effective methods for gathering evidence and reporting discrimination and GBVH in the workplace</t>
  </si>
  <si>
    <t>RMSOUT2-15</t>
  </si>
  <si>
    <t>Specialized training for the presentation of cases of discrimination and GBVH aimed at workers and WO</t>
  </si>
  <si>
    <t>16: Provide legal support to workers in cases related to gender discrimination, wage violations, failure to pay social protection systems, harassment or violence, and other relevant labor violations</t>
  </si>
  <si>
    <t>RMSOUT2116</t>
  </si>
  <si>
    <t>Network of Lawyers for the Defense of Workers</t>
  </si>
  <si>
    <t>RMSOUT2216</t>
  </si>
  <si>
    <t xml:space="preserve">Consultants for training workers to gathering evidence </t>
  </si>
  <si>
    <t>RMSOUT2316</t>
  </si>
  <si>
    <t>Legal Advice delivered to workers in cases of gender discrimination in the workplace and associated labor violations.</t>
  </si>
  <si>
    <t>Workshop</t>
  </si>
  <si>
    <t>Direct Costs Total for Outcome 2</t>
  </si>
  <si>
    <t>Total Indirect Costs (NICRA or De Minimis) for Outcome 2</t>
  </si>
  <si>
    <t>Subtotal Outcome 2</t>
  </si>
  <si>
    <t>Monitoring, Evaluation, and Collection of Reliable Data</t>
  </si>
  <si>
    <t>Personnel &amp; Fringe (5% of Direct Labor line item)</t>
  </si>
  <si>
    <t>M&amp;E</t>
  </si>
  <si>
    <t>Travel (5%)</t>
  </si>
  <si>
    <t>Supplies (5%)</t>
  </si>
  <si>
    <t>Office Expenses (5%)</t>
  </si>
  <si>
    <t>RMSLDPRM&amp;E</t>
  </si>
  <si>
    <t>Lodging and M&amp;IE - Field verification and data collection visits</t>
  </si>
  <si>
    <t>Days</t>
  </si>
  <si>
    <t>RMSTRANM&amp;E</t>
  </si>
  <si>
    <t>Local transportation - Field verification and data collection visits</t>
  </si>
  <si>
    <t>RMSDATAM&amp;E</t>
  </si>
  <si>
    <t>Data collection materials and printing</t>
  </si>
  <si>
    <t>Direct Costs Total for Monitoring, Evaluation, and Collection of Reliable Data</t>
  </si>
  <si>
    <t>Total Indirect Costs (NICRA or De Minimis)  for M&amp;E and Collection of Reliable Data</t>
  </si>
  <si>
    <t>Subtotal Monitoring, Evaluation, and Collection of Reliable Data</t>
  </si>
  <si>
    <t>TOTAL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</si>
</sst>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%"/>
    <numFmt numFmtId="165" formatCode="_-* #,##0\ _B_s_-;\-* #,##0\ _B_s_-;_-* &quot;-&quot;??\ _B_s_-;_-@_-"/>
    <numFmt numFmtId="166" formatCode="_-* #,##0\ _B_s_-;\-* #,##0\ _B_s_-;_-* &quot;-&quot;??\ _B_s_-;_-@"/>
    <numFmt numFmtId="167" formatCode="_-* #,##0.00\ _B_s_-;\-* #,##0.00\ _B_s_-;_-* &quot;-&quot;??\ _B_s_-;_-@_-"/>
    <numFmt numFmtId="168" formatCode="_-* #,##0.000\ _B_s_-;\-* #,##0.000\ _B_s_-;_-* &quot;-&quot;??\ _B_s_-;_-@_-"/>
    <numFmt numFmtId="169" formatCode="_([$$-409]* #,##0_);_([$$-409]* \(#,##0\);_([$$-409]* &quot;-&quot;??_);_(@_)"/>
    <numFmt numFmtId="170" formatCode="_(&quot;$&quot;* #,##0_);_(&quot;$&quot;* \(#,##0\);_(&quot;$&quot;* &quot;-&quot;??_);_(@_)"/>
    <numFmt numFmtId="171" formatCode="_-* #,##0.00\ &quot;Bs&quot;_-;\-* #,##0.00\ &quot;Bs&quot;_-;_-* &quot;-&quot;??\ &quot;Bs&quot;_-;_-@_-"/>
    <numFmt numFmtId="172" formatCode="_-&quot;$&quot;* #,##0.00_-;\-&quot;$&quot;* #,##0.00_-;_-&quot;$&quot;* &quot;-&quot;??_-;_-@_-"/>
  </numFmts>
  <fonts count="15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i/>
      <sz val="10"/>
      <name val="Times New Roman"/>
      <family val="1"/>
    </font>
    <font>
      <sz val="10"/>
      <name val="Times New Roman"/>
      <family val="1"/>
    </font>
    <font>
      <sz val="8"/>
      <color theme="1"/>
      <name val="Arial"/>
      <family val="2"/>
    </font>
    <font>
      <sz val="10"/>
      <color rgb="FF000000"/>
      <name val="Arial"/>
      <family val="2"/>
    </font>
    <font>
      <u/>
      <sz val="8"/>
      <name val="Arial"/>
      <family val="2"/>
    </font>
    <font>
      <sz val="8"/>
      <color rgb="FFFF0000"/>
      <name val="Arial"/>
      <family val="2"/>
    </font>
    <font>
      <b/>
      <sz val="14"/>
      <name val="Arial"/>
      <family val="2"/>
    </font>
    <font>
      <b/>
      <u/>
      <sz val="8"/>
      <name val="Arial"/>
      <family val="2"/>
    </font>
    <font>
      <sz val="8"/>
      <color indexed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6">
    <xf numFmtId="0" fontId="0" fillId="0" borderId="0"/>
    <xf numFmtId="167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9" fillId="0" borderId="0"/>
  </cellStyleXfs>
  <cellXfs count="102">
    <xf numFmtId="0" fontId="0" fillId="0" borderId="0" xfId="0"/>
    <xf numFmtId="0" fontId="2" fillId="0" borderId="0" xfId="4" applyFont="1"/>
    <xf numFmtId="0" fontId="4" fillId="0" borderId="0" xfId="4" applyFont="1"/>
    <xf numFmtId="0" fontId="5" fillId="0" borderId="0" xfId="0" applyFont="1" applyAlignment="1">
      <alignment horizontal="left" vertical="center"/>
    </xf>
    <xf numFmtId="0" fontId="2" fillId="0" borderId="0" xfId="0" applyFont="1"/>
    <xf numFmtId="0" fontId="6" fillId="0" borderId="0" xfId="0" applyFont="1" applyAlignment="1">
      <alignment horizontal="center" vertical="center" wrapText="1"/>
    </xf>
    <xf numFmtId="0" fontId="7" fillId="0" borderId="0" xfId="0" applyFont="1"/>
    <xf numFmtId="0" fontId="7" fillId="0" borderId="1" xfId="0" applyFont="1" applyBorder="1" applyAlignment="1">
      <alignment wrapText="1"/>
    </xf>
    <xf numFmtId="9" fontId="7" fillId="0" borderId="1" xfId="3" applyFont="1" applyBorder="1" applyAlignment="1">
      <alignment wrapText="1"/>
    </xf>
    <xf numFmtId="0" fontId="7" fillId="0" borderId="0" xfId="0" applyFont="1" applyAlignment="1">
      <alignment wrapText="1"/>
    </xf>
    <xf numFmtId="3" fontId="7" fillId="0" borderId="0" xfId="0" applyNumberFormat="1" applyFont="1" applyAlignment="1">
      <alignment wrapText="1"/>
    </xf>
    <xf numFmtId="3" fontId="7" fillId="0" borderId="0" xfId="0" applyNumberFormat="1" applyFont="1"/>
    <xf numFmtId="164" fontId="7" fillId="0" borderId="1" xfId="3" applyNumberFormat="1" applyFont="1" applyBorder="1" applyAlignment="1">
      <alignment wrapText="1"/>
    </xf>
    <xf numFmtId="0" fontId="3" fillId="0" borderId="2" xfId="0" applyFont="1" applyBorder="1" applyAlignment="1">
      <alignment horizontal="left" vertical="center" wrapText="1"/>
    </xf>
    <xf numFmtId="0" fontId="4" fillId="0" borderId="2" xfId="4" applyFont="1" applyBorder="1" applyAlignment="1">
      <alignment horizontal="center" wrapText="1"/>
    </xf>
    <xf numFmtId="3" fontId="4" fillId="0" borderId="2" xfId="4" applyNumberFormat="1" applyFont="1" applyBorder="1" applyAlignment="1">
      <alignment horizontal="center" wrapText="1"/>
    </xf>
    <xf numFmtId="0" fontId="4" fillId="2" borderId="0" xfId="4" applyFont="1" applyFill="1" applyAlignment="1">
      <alignment vertical="center" wrapText="1"/>
    </xf>
    <xf numFmtId="0" fontId="4" fillId="2" borderId="0" xfId="4" applyFont="1" applyFill="1" applyAlignment="1">
      <alignment wrapText="1"/>
    </xf>
    <xf numFmtId="3" fontId="4" fillId="2" borderId="0" xfId="4" applyNumberFormat="1" applyFont="1" applyFill="1" applyAlignment="1">
      <alignment wrapText="1"/>
    </xf>
    <xf numFmtId="3" fontId="2" fillId="2" borderId="0" xfId="4" applyNumberFormat="1" applyFont="1" applyFill="1"/>
    <xf numFmtId="0" fontId="2" fillId="0" borderId="0" xfId="0" applyFont="1" applyAlignment="1">
      <alignment horizontal="left" vertical="top"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4" applyFont="1" applyAlignment="1">
      <alignment horizontal="left" wrapText="1"/>
    </xf>
    <xf numFmtId="0" fontId="2" fillId="0" borderId="0" xfId="4" applyFont="1" applyAlignment="1">
      <alignment horizontal="left"/>
    </xf>
    <xf numFmtId="165" fontId="2" fillId="0" borderId="0" xfId="4" applyNumberFormat="1" applyFont="1" applyAlignment="1">
      <alignment horizontal="right" wrapText="1"/>
    </xf>
    <xf numFmtId="166" fontId="8" fillId="0" borderId="0" xfId="5" applyNumberFormat="1" applyFont="1" applyAlignment="1">
      <alignment horizontal="right" wrapText="1"/>
    </xf>
    <xf numFmtId="168" fontId="2" fillId="0" borderId="0" xfId="1" applyNumberFormat="1" applyFont="1" applyFill="1" applyBorder="1" applyAlignment="1"/>
    <xf numFmtId="165" fontId="2" fillId="0" borderId="0" xfId="1" applyNumberFormat="1" applyFont="1" applyFill="1" applyBorder="1" applyAlignment="1"/>
    <xf numFmtId="0" fontId="4" fillId="0" borderId="0" xfId="4" applyFont="1" applyAlignment="1">
      <alignment horizontal="left" wrapText="1"/>
    </xf>
    <xf numFmtId="165" fontId="4" fillId="0" borderId="0" xfId="4" applyNumberFormat="1" applyFont="1" applyAlignment="1">
      <alignment horizontal="right" wrapText="1"/>
    </xf>
    <xf numFmtId="0" fontId="4" fillId="0" borderId="0" xfId="4" applyFont="1" applyAlignment="1">
      <alignment horizontal="left"/>
    </xf>
    <xf numFmtId="3" fontId="2" fillId="0" borderId="0" xfId="4" applyNumberFormat="1" applyFont="1" applyAlignment="1">
      <alignment wrapText="1"/>
    </xf>
    <xf numFmtId="10" fontId="2" fillId="0" borderId="0" xfId="3" applyNumberFormat="1" applyFont="1" applyFill="1" applyAlignment="1">
      <alignment horizontal="right" wrapText="1"/>
    </xf>
    <xf numFmtId="0" fontId="2" fillId="0" borderId="0" xfId="4" applyFont="1" applyAlignment="1">
      <alignment wrapText="1"/>
    </xf>
    <xf numFmtId="0" fontId="2" fillId="3" borderId="0" xfId="4" applyFont="1" applyFill="1" applyAlignment="1">
      <alignment wrapText="1"/>
    </xf>
    <xf numFmtId="0" fontId="2" fillId="3" borderId="0" xfId="4" applyFont="1" applyFill="1" applyAlignment="1">
      <alignment horizontal="left" vertical="top"/>
    </xf>
    <xf numFmtId="0" fontId="2" fillId="0" borderId="0" xfId="4" applyFont="1" applyAlignment="1">
      <alignment horizontal="right" wrapText="1"/>
    </xf>
    <xf numFmtId="3" fontId="2" fillId="0" borderId="0" xfId="4" applyNumberFormat="1" applyFont="1" applyAlignment="1">
      <alignment horizontal="right" wrapText="1"/>
    </xf>
    <xf numFmtId="0" fontId="4" fillId="4" borderId="2" xfId="4" applyFont="1" applyFill="1" applyBorder="1" applyAlignment="1">
      <alignment wrapText="1"/>
    </xf>
    <xf numFmtId="0" fontId="4" fillId="4" borderId="2" xfId="4" applyFont="1" applyFill="1" applyBorder="1" applyAlignment="1">
      <alignment horizontal="right" wrapText="1"/>
    </xf>
    <xf numFmtId="3" fontId="4" fillId="4" borderId="2" xfId="4" applyNumberFormat="1" applyFont="1" applyFill="1" applyBorder="1" applyAlignment="1">
      <alignment horizontal="right" wrapText="1"/>
    </xf>
    <xf numFmtId="169" fontId="4" fillId="4" borderId="2" xfId="4" applyNumberFormat="1" applyFont="1" applyFill="1" applyBorder="1" applyAlignment="1">
      <alignment horizontal="right" wrapText="1"/>
    </xf>
    <xf numFmtId="170" fontId="4" fillId="4" borderId="2" xfId="4" applyNumberFormat="1" applyFont="1" applyFill="1" applyBorder="1" applyAlignment="1">
      <alignment horizontal="right" wrapText="1"/>
    </xf>
    <xf numFmtId="170" fontId="2" fillId="0" borderId="0" xfId="4" applyNumberFormat="1" applyFont="1"/>
    <xf numFmtId="0" fontId="2" fillId="0" borderId="0" xfId="4" applyFont="1" applyAlignment="1">
      <alignment horizontal="left" vertical="top"/>
    </xf>
    <xf numFmtId="0" fontId="4" fillId="5" borderId="0" xfId="4" applyFont="1" applyFill="1" applyAlignment="1">
      <alignment wrapText="1"/>
    </xf>
    <xf numFmtId="0" fontId="4" fillId="5" borderId="0" xfId="4" applyFont="1" applyFill="1" applyAlignment="1">
      <alignment horizontal="right" wrapText="1"/>
    </xf>
    <xf numFmtId="3" fontId="4" fillId="5" borderId="0" xfId="4" applyNumberFormat="1" applyFont="1" applyFill="1" applyAlignment="1">
      <alignment horizontal="right" wrapText="1"/>
    </xf>
    <xf numFmtId="169" fontId="4" fillId="5" borderId="0" xfId="4" applyNumberFormat="1" applyFont="1" applyFill="1" applyAlignment="1">
      <alignment horizontal="right" wrapText="1"/>
    </xf>
    <xf numFmtId="170" fontId="4" fillId="5" borderId="0" xfId="4" applyNumberFormat="1" applyFont="1" applyFill="1" applyAlignment="1">
      <alignment horizontal="right" wrapText="1"/>
    </xf>
    <xf numFmtId="0" fontId="10" fillId="4" borderId="0" xfId="0" applyFont="1" applyFill="1" applyAlignment="1">
      <alignment wrapText="1"/>
    </xf>
    <xf numFmtId="0" fontId="2" fillId="4" borderId="0" xfId="4" applyFont="1" applyFill="1" applyAlignment="1">
      <alignment horizontal="left" wrapText="1"/>
    </xf>
    <xf numFmtId="0" fontId="2" fillId="4" borderId="0" xfId="4" applyFont="1" applyFill="1" applyAlignment="1">
      <alignment horizontal="left" vertical="top" wrapText="1"/>
    </xf>
    <xf numFmtId="165" fontId="2" fillId="4" borderId="0" xfId="4" applyNumberFormat="1" applyFont="1" applyFill="1" applyAlignment="1">
      <alignment horizontal="right" wrapText="1"/>
    </xf>
    <xf numFmtId="0" fontId="2" fillId="0" borderId="0" xfId="4" applyFont="1" applyAlignment="1">
      <alignment horizontal="left" vertical="top" wrapText="1"/>
    </xf>
    <xf numFmtId="3" fontId="2" fillId="0" borderId="0" xfId="4" applyNumberFormat="1" applyFont="1"/>
    <xf numFmtId="0" fontId="4" fillId="4" borderId="2" xfId="4" applyFont="1" applyFill="1" applyBorder="1" applyAlignment="1">
      <alignment horizontal="left" wrapText="1"/>
    </xf>
    <xf numFmtId="3" fontId="4" fillId="4" borderId="2" xfId="4" applyNumberFormat="1" applyFont="1" applyFill="1" applyBorder="1" applyAlignment="1">
      <alignment wrapText="1"/>
    </xf>
    <xf numFmtId="169" fontId="4" fillId="4" borderId="2" xfId="2" applyNumberFormat="1" applyFont="1" applyFill="1" applyBorder="1" applyAlignment="1">
      <alignment horizontal="right" wrapText="1"/>
    </xf>
    <xf numFmtId="0" fontId="4" fillId="4" borderId="0" xfId="4" applyFont="1" applyFill="1" applyAlignment="1">
      <alignment horizontal="left" wrapText="1"/>
    </xf>
    <xf numFmtId="0" fontId="4" fillId="4" borderId="0" xfId="4" applyFont="1" applyFill="1" applyAlignment="1">
      <alignment wrapText="1"/>
    </xf>
    <xf numFmtId="3" fontId="4" fillId="4" borderId="0" xfId="4" applyNumberFormat="1" applyFont="1" applyFill="1" applyAlignment="1">
      <alignment wrapText="1"/>
    </xf>
    <xf numFmtId="169" fontId="4" fillId="4" borderId="0" xfId="2" applyNumberFormat="1" applyFont="1" applyFill="1" applyBorder="1" applyAlignment="1">
      <alignment horizontal="right" wrapText="1"/>
    </xf>
    <xf numFmtId="169" fontId="4" fillId="4" borderId="0" xfId="4" applyNumberFormat="1" applyFont="1" applyFill="1" applyAlignment="1">
      <alignment horizontal="right" wrapText="1"/>
    </xf>
    <xf numFmtId="170" fontId="4" fillId="4" borderId="0" xfId="4" applyNumberFormat="1" applyFont="1" applyFill="1" applyAlignment="1">
      <alignment horizontal="right" wrapText="1"/>
    </xf>
    <xf numFmtId="0" fontId="13" fillId="2" borderId="4" xfId="4" applyFont="1" applyFill="1" applyBorder="1" applyAlignment="1">
      <alignment vertical="top"/>
    </xf>
    <xf numFmtId="0" fontId="4" fillId="2" borderId="4" xfId="4" applyFont="1" applyFill="1" applyBorder="1" applyAlignment="1">
      <alignment vertical="top"/>
    </xf>
    <xf numFmtId="0" fontId="4" fillId="6" borderId="0" xfId="4" applyFont="1" applyFill="1" applyAlignment="1">
      <alignment horizontal="left" wrapText="1"/>
    </xf>
    <xf numFmtId="0" fontId="2" fillId="6" borderId="0" xfId="4" applyFont="1" applyFill="1" applyAlignment="1">
      <alignment horizontal="left" wrapText="1"/>
    </xf>
    <xf numFmtId="0" fontId="2" fillId="6" borderId="0" xfId="4" applyFont="1" applyFill="1" applyAlignment="1">
      <alignment horizontal="left" vertical="top" wrapText="1"/>
    </xf>
    <xf numFmtId="165" fontId="2" fillId="6" borderId="0" xfId="4" applyNumberFormat="1" applyFont="1" applyFill="1" applyAlignment="1">
      <alignment horizontal="right" wrapText="1"/>
    </xf>
    <xf numFmtId="10" fontId="2" fillId="0" borderId="0" xfId="4" applyNumberFormat="1" applyFont="1" applyAlignment="1">
      <alignment horizontal="right" wrapText="1"/>
    </xf>
    <xf numFmtId="0" fontId="10" fillId="4" borderId="0" xfId="4" applyFont="1" applyFill="1" applyAlignment="1">
      <alignment horizontal="left" wrapText="1"/>
    </xf>
    <xf numFmtId="0" fontId="2" fillId="4" borderId="0" xfId="4" applyFont="1" applyFill="1" applyAlignment="1">
      <alignment horizontal="left"/>
    </xf>
    <xf numFmtId="0" fontId="8" fillId="0" borderId="0" xfId="5" applyFont="1" applyAlignment="1">
      <alignment wrapText="1"/>
    </xf>
    <xf numFmtId="0" fontId="2" fillId="4" borderId="0" xfId="4" applyFont="1" applyFill="1"/>
    <xf numFmtId="0" fontId="11" fillId="4" borderId="0" xfId="4" applyFont="1" applyFill="1"/>
    <xf numFmtId="165" fontId="4" fillId="4" borderId="2" xfId="4" applyNumberFormat="1" applyFont="1" applyFill="1" applyBorder="1" applyAlignment="1">
      <alignment horizontal="right" wrapText="1"/>
    </xf>
    <xf numFmtId="0" fontId="10" fillId="0" borderId="0" xfId="4" applyFont="1" applyAlignment="1">
      <alignment wrapText="1"/>
    </xf>
    <xf numFmtId="0" fontId="4" fillId="0" borderId="0" xfId="4" applyFont="1" applyAlignment="1">
      <alignment wrapText="1"/>
    </xf>
    <xf numFmtId="170" fontId="2" fillId="0" borderId="0" xfId="4" applyNumberFormat="1" applyFont="1" applyAlignment="1">
      <alignment horizontal="right" wrapText="1"/>
    </xf>
    <xf numFmtId="172" fontId="4" fillId="2" borderId="4" xfId="4" applyNumberFormat="1" applyFont="1" applyFill="1" applyBorder="1" applyAlignment="1">
      <alignment vertical="top"/>
    </xf>
    <xf numFmtId="165" fontId="2" fillId="0" borderId="0" xfId="4" applyNumberFormat="1" applyFont="1" applyAlignment="1">
      <alignment horizontal="left" wrapText="1"/>
    </xf>
    <xf numFmtId="0" fontId="10" fillId="4" borderId="0" xfId="4" applyFont="1" applyFill="1" applyAlignment="1">
      <alignment horizontal="left" vertical="top" wrapText="1"/>
    </xf>
    <xf numFmtId="165" fontId="2" fillId="0" borderId="0" xfId="4" applyNumberFormat="1" applyFont="1" applyAlignment="1">
      <alignment wrapText="1"/>
    </xf>
    <xf numFmtId="0" fontId="11" fillId="0" borderId="0" xfId="4" applyFont="1"/>
    <xf numFmtId="10" fontId="4" fillId="0" borderId="0" xfId="4" applyNumberFormat="1" applyFont="1"/>
    <xf numFmtId="3" fontId="4" fillId="0" borderId="0" xfId="4" applyNumberFormat="1" applyFont="1" applyAlignment="1">
      <alignment horizontal="right" wrapText="1"/>
    </xf>
    <xf numFmtId="169" fontId="2" fillId="0" borderId="0" xfId="4" applyNumberFormat="1" applyFont="1" applyAlignment="1">
      <alignment horizontal="right" wrapText="1"/>
    </xf>
    <xf numFmtId="0" fontId="4" fillId="7" borderId="5" xfId="4" applyFont="1" applyFill="1" applyBorder="1" applyAlignment="1">
      <alignment wrapText="1"/>
    </xf>
    <xf numFmtId="3" fontId="4" fillId="7" borderId="5" xfId="4" applyNumberFormat="1" applyFont="1" applyFill="1" applyBorder="1" applyAlignment="1">
      <alignment horizontal="right" wrapText="1"/>
    </xf>
    <xf numFmtId="169" fontId="4" fillId="7" borderId="5" xfId="2" applyNumberFormat="1" applyFont="1" applyFill="1" applyBorder="1" applyAlignment="1">
      <alignment horizontal="right" wrapText="1"/>
    </xf>
    <xf numFmtId="2" fontId="2" fillId="0" borderId="0" xfId="4" applyNumberFormat="1" applyFont="1"/>
    <xf numFmtId="10" fontId="2" fillId="0" borderId="0" xfId="3" applyNumberFormat="1" applyFont="1"/>
    <xf numFmtId="0" fontId="14" fillId="0" borderId="0" xfId="4" applyFont="1" applyAlignment="1">
      <alignment wrapText="1"/>
    </xf>
    <xf numFmtId="165" fontId="2" fillId="0" borderId="0" xfId="1" applyNumberFormat="1" applyFont="1" applyAlignment="1">
      <alignment wrapText="1"/>
    </xf>
    <xf numFmtId="0" fontId="3" fillId="0" borderId="0" xfId="4" applyFont="1" applyAlignment="1">
      <alignment horizontal="center" wrapText="1"/>
    </xf>
    <xf numFmtId="0" fontId="3" fillId="0" borderId="0" xfId="4" applyFont="1" applyAlignment="1">
      <alignment horizontal="center" vertical="center" wrapText="1"/>
    </xf>
    <xf numFmtId="3" fontId="3" fillId="0" borderId="0" xfId="4" applyNumberFormat="1" applyFont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12" fillId="4" borderId="3" xfId="4" applyFont="1" applyFill="1" applyBorder="1" applyAlignment="1">
      <alignment horizontal="center" vertical="center" wrapText="1"/>
    </xf>
  </cellXfs>
  <cellStyles count="6">
    <cellStyle name="Comma" xfId="1" builtinId="3"/>
    <cellStyle name="Currency" xfId="2" builtinId="4"/>
    <cellStyle name="Normal" xfId="0" builtinId="0"/>
    <cellStyle name="Normal 7" xfId="5" xr:uid="{4199A3DE-EBE1-4D97-93DB-1E1721E849E0}"/>
    <cellStyle name="Normal 8" xfId="4" xr:uid="{CF5C4675-E4F1-4577-B19D-506CCF05E9DA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OL425%20Improving%20Gender%20Equity%20Mod%20001%202022-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Summary"/>
      <sheetName val="Project Budget"/>
      <sheetName val="RMS"/>
      <sheetName val="CEREAL"/>
      <sheetName val="Comparasion"/>
    </sheetNames>
    <sheetDataSet>
      <sheetData sheetId="0" refreshError="1"/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4D6F5-9AE1-49E7-B7CC-1F404C71C25D}">
  <sheetPr>
    <pageSetUpPr fitToPage="1"/>
  </sheetPr>
  <dimension ref="A1:AF139"/>
  <sheetViews>
    <sheetView tabSelected="1" topLeftCell="A79" zoomScale="85" zoomScaleNormal="85" zoomScaleSheetLayoutView="90" workbookViewId="0">
      <pane xSplit="6" topLeftCell="G1" activePane="topRight" state="frozen"/>
      <selection pane="topRight" activeCell="E94" sqref="E94"/>
    </sheetView>
  </sheetViews>
  <sheetFormatPr defaultColWidth="11.42578125" defaultRowHeight="12" customHeight="1"/>
  <cols>
    <col min="1" max="4" width="9.7109375" style="34" customWidth="1"/>
    <col min="5" max="5" width="16.7109375" style="34" customWidth="1"/>
    <col min="6" max="6" width="69.140625" style="34" customWidth="1"/>
    <col min="7" max="7" width="10.85546875" style="34" bestFit="1" customWidth="1"/>
    <col min="8" max="8" width="7.42578125" style="34" bestFit="1" customWidth="1"/>
    <col min="9" max="9" width="8.140625" style="34" customWidth="1"/>
    <col min="10" max="10" width="8.7109375" style="32" bestFit="1" customWidth="1"/>
    <col min="11" max="11" width="9.85546875" style="56" customWidth="1"/>
    <col min="12" max="12" width="8.7109375" style="56" customWidth="1"/>
    <col min="13" max="13" width="8.42578125" style="56" bestFit="1" customWidth="1"/>
    <col min="14" max="14" width="8.85546875" style="56" customWidth="1"/>
    <col min="15" max="15" width="8.42578125" style="56" bestFit="1" customWidth="1"/>
    <col min="16" max="16" width="9.42578125" style="56" customWidth="1"/>
    <col min="17" max="17" width="8.42578125" style="56" bestFit="1" customWidth="1"/>
    <col min="18" max="18" width="8.85546875" style="56" customWidth="1"/>
    <col min="19" max="19" width="7.7109375" style="56" bestFit="1" customWidth="1"/>
    <col min="20" max="20" width="11.5703125" style="56" bestFit="1" customWidth="1"/>
    <col min="21" max="21" width="9.85546875" style="56" bestFit="1" customWidth="1"/>
    <col min="22" max="22" width="11.140625" style="56" bestFit="1" customWidth="1"/>
    <col min="23" max="23" width="12" style="1" customWidth="1"/>
    <col min="24" max="16384" width="11.42578125" style="1"/>
  </cols>
  <sheetData>
    <row r="1" spans="1:23" ht="12" customHeight="1">
      <c r="A1" s="1"/>
      <c r="B1" s="1"/>
      <c r="C1" s="1"/>
      <c r="D1" s="1"/>
      <c r="E1" s="1"/>
      <c r="F1" s="97" t="s">
        <v>0</v>
      </c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2"/>
    </row>
    <row r="2" spans="1:23" ht="12" customHeight="1">
      <c r="A2" s="1"/>
      <c r="B2" s="1"/>
      <c r="C2" s="1"/>
      <c r="D2" s="1"/>
      <c r="E2" s="1"/>
      <c r="F2" s="98" t="s">
        <v>1</v>
      </c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</row>
    <row r="3" spans="1:23" ht="12" customHeight="1">
      <c r="A3" s="1"/>
      <c r="B3" s="1"/>
      <c r="C3" s="1"/>
      <c r="D3" s="1"/>
      <c r="E3" s="1"/>
      <c r="F3" s="99" t="s">
        <v>2</v>
      </c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</row>
    <row r="4" spans="1:23" s="6" customFormat="1" ht="12" customHeight="1">
      <c r="A4" s="3" t="s">
        <v>3</v>
      </c>
      <c r="B4" s="3" t="s">
        <v>4</v>
      </c>
      <c r="C4" s="4"/>
      <c r="D4" s="4"/>
      <c r="E4" s="4"/>
      <c r="F4" s="100" t="s">
        <v>5</v>
      </c>
      <c r="G4" s="100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s="6" customFormat="1" ht="12" customHeight="1">
      <c r="A5" s="3" t="s">
        <v>6</v>
      </c>
      <c r="B5" s="3">
        <v>20200</v>
      </c>
      <c r="C5" s="4"/>
      <c r="D5" s="4"/>
      <c r="E5" s="4"/>
      <c r="F5" s="7" t="s">
        <v>7</v>
      </c>
      <c r="G5" s="8">
        <v>1.04</v>
      </c>
      <c r="H5" s="5"/>
      <c r="I5" s="9"/>
      <c r="J5" s="9"/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</row>
    <row r="6" spans="1:23" s="6" customFormat="1" ht="12" customHeight="1">
      <c r="A6" s="3" t="s">
        <v>8</v>
      </c>
      <c r="B6" s="3" t="s">
        <v>9</v>
      </c>
      <c r="C6" s="4"/>
      <c r="D6" s="4"/>
      <c r="E6" s="4"/>
      <c r="F6" s="7" t="s">
        <v>10</v>
      </c>
      <c r="G6" s="12">
        <v>1.0349999999999999</v>
      </c>
      <c r="H6" s="5"/>
      <c r="I6" s="9"/>
      <c r="J6" s="9"/>
      <c r="K6" s="10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</row>
    <row r="7" spans="1:23" ht="31.9" customHeight="1" thickBot="1">
      <c r="A7" s="13" t="s">
        <v>11</v>
      </c>
      <c r="B7" s="13" t="s">
        <v>12</v>
      </c>
      <c r="C7" s="13" t="s">
        <v>13</v>
      </c>
      <c r="D7" s="13" t="s">
        <v>14</v>
      </c>
      <c r="E7" s="13" t="s">
        <v>15</v>
      </c>
      <c r="F7" s="14" t="s">
        <v>16</v>
      </c>
      <c r="G7" s="14" t="s">
        <v>17</v>
      </c>
      <c r="H7" s="14" t="s">
        <v>18</v>
      </c>
      <c r="I7" s="14" t="s">
        <v>19</v>
      </c>
      <c r="J7" s="15" t="s">
        <v>20</v>
      </c>
      <c r="K7" s="15" t="s">
        <v>21</v>
      </c>
      <c r="L7" s="14" t="s">
        <v>19</v>
      </c>
      <c r="M7" s="15" t="s">
        <v>22</v>
      </c>
      <c r="N7" s="14" t="s">
        <v>19</v>
      </c>
      <c r="O7" s="15" t="s">
        <v>23</v>
      </c>
      <c r="P7" s="14" t="s">
        <v>19</v>
      </c>
      <c r="Q7" s="15" t="s">
        <v>24</v>
      </c>
      <c r="R7" s="14" t="s">
        <v>19</v>
      </c>
      <c r="S7" s="15" t="s">
        <v>25</v>
      </c>
      <c r="T7" s="15" t="s">
        <v>26</v>
      </c>
      <c r="U7" s="15" t="s">
        <v>27</v>
      </c>
      <c r="V7" s="15" t="s">
        <v>28</v>
      </c>
    </row>
    <row r="8" spans="1:23" ht="10.5">
      <c r="A8" s="16"/>
      <c r="B8" s="16"/>
      <c r="C8" s="16"/>
      <c r="D8" s="16"/>
      <c r="E8" s="16"/>
      <c r="F8" s="16" t="s">
        <v>29</v>
      </c>
      <c r="G8" s="16"/>
      <c r="H8" s="17"/>
      <c r="I8" s="17"/>
      <c r="J8" s="18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</row>
    <row r="9" spans="1:23" ht="10.15">
      <c r="A9" s="20" t="s">
        <v>30</v>
      </c>
      <c r="B9" s="21">
        <v>89050</v>
      </c>
      <c r="C9" s="21" t="s">
        <v>31</v>
      </c>
      <c r="D9" s="22" t="s">
        <v>32</v>
      </c>
      <c r="E9" s="22" t="s">
        <v>33</v>
      </c>
      <c r="F9" s="22" t="s">
        <v>34</v>
      </c>
      <c r="G9" s="23" t="s">
        <v>35</v>
      </c>
      <c r="H9" s="24" t="s">
        <v>36</v>
      </c>
      <c r="I9" s="25">
        <v>3</v>
      </c>
      <c r="J9" s="25">
        <f>4500*0.5</f>
        <v>2250</v>
      </c>
      <c r="K9" s="25">
        <f>I9*J9</f>
        <v>6750</v>
      </c>
      <c r="L9" s="25">
        <v>12</v>
      </c>
      <c r="M9" s="26">
        <f t="shared" ref="M9:M23" si="0">L9*J9*$G$6</f>
        <v>27944.999999999996</v>
      </c>
      <c r="N9" s="25">
        <v>12</v>
      </c>
      <c r="O9" s="26">
        <f t="shared" ref="O9:O23" si="1">N9*J9*$G$6*$G$6</f>
        <v>28923.074999999993</v>
      </c>
      <c r="P9" s="25">
        <v>12</v>
      </c>
      <c r="Q9" s="26">
        <f>P9*J9*$G$6*$G$6*$G$6</f>
        <v>29935.382624999991</v>
      </c>
      <c r="R9" s="25">
        <v>2</v>
      </c>
      <c r="S9" s="26">
        <f>R9*J9*$G$6*$G$6*$G$6*$G$6</f>
        <v>5163.8535028124988</v>
      </c>
      <c r="T9" s="25">
        <f>SUM(K9+M9+O9+Q9+S9)</f>
        <v>98717.311127812485</v>
      </c>
      <c r="U9" s="25">
        <v>0</v>
      </c>
      <c r="V9" s="25">
        <f>SUM(T9:U9)</f>
        <v>98717.311127812485</v>
      </c>
    </row>
    <row r="10" spans="1:23" ht="10.15">
      <c r="A10" s="20" t="s">
        <v>30</v>
      </c>
      <c r="B10" s="21">
        <v>89050</v>
      </c>
      <c r="C10" s="21" t="s">
        <v>31</v>
      </c>
      <c r="D10" s="22" t="s">
        <v>32</v>
      </c>
      <c r="E10" s="22" t="s">
        <v>37</v>
      </c>
      <c r="F10" s="22" t="s">
        <v>38</v>
      </c>
      <c r="G10" s="23" t="s">
        <v>35</v>
      </c>
      <c r="H10" s="24" t="s">
        <v>36</v>
      </c>
      <c r="I10" s="25">
        <v>3</v>
      </c>
      <c r="J10" s="25">
        <f>4500*0.5</f>
        <v>2250</v>
      </c>
      <c r="K10" s="25">
        <f t="shared" ref="K10:K23" si="2">I10*J10</f>
        <v>6750</v>
      </c>
      <c r="L10" s="25">
        <v>12</v>
      </c>
      <c r="M10" s="26">
        <f t="shared" si="0"/>
        <v>27944.999999999996</v>
      </c>
      <c r="N10" s="25">
        <v>12</v>
      </c>
      <c r="O10" s="26">
        <f t="shared" si="1"/>
        <v>28923.074999999993</v>
      </c>
      <c r="P10" s="25">
        <v>12</v>
      </c>
      <c r="Q10" s="26">
        <f t="shared" ref="Q10:Q23" si="3">P10*J10*$G$6*$G$6*$G$6</f>
        <v>29935.382624999991</v>
      </c>
      <c r="R10" s="25">
        <v>2</v>
      </c>
      <c r="S10" s="26">
        <f t="shared" ref="S10:S23" si="4">R10*J10*$G$6*$G$6*$G$6*$G$6</f>
        <v>5163.8535028124988</v>
      </c>
      <c r="T10" s="25">
        <f t="shared" ref="T10:T23" si="5">SUM(K10+M10+O10+Q10+S10)</f>
        <v>98717.311127812485</v>
      </c>
      <c r="U10" s="25">
        <v>0</v>
      </c>
      <c r="V10" s="25">
        <f t="shared" ref="V10:V23" si="6">SUM(T10:U10)</f>
        <v>98717.311127812485</v>
      </c>
    </row>
    <row r="11" spans="1:23" ht="10.15">
      <c r="A11" s="20" t="s">
        <v>30</v>
      </c>
      <c r="B11" s="21">
        <v>89050</v>
      </c>
      <c r="C11" s="21" t="s">
        <v>31</v>
      </c>
      <c r="D11" s="22" t="s">
        <v>32</v>
      </c>
      <c r="E11" s="22" t="s">
        <v>39</v>
      </c>
      <c r="F11" s="22" t="s">
        <v>40</v>
      </c>
      <c r="G11" s="23" t="s">
        <v>35</v>
      </c>
      <c r="H11" s="24" t="s">
        <v>36</v>
      </c>
      <c r="I11" s="25">
        <v>3</v>
      </c>
      <c r="J11" s="25">
        <f>4500*0.5</f>
        <v>2250</v>
      </c>
      <c r="K11" s="25">
        <f t="shared" si="2"/>
        <v>6750</v>
      </c>
      <c r="L11" s="25">
        <v>12</v>
      </c>
      <c r="M11" s="26">
        <f t="shared" si="0"/>
        <v>27944.999999999996</v>
      </c>
      <c r="N11" s="25">
        <v>12</v>
      </c>
      <c r="O11" s="26">
        <f t="shared" si="1"/>
        <v>28923.074999999993</v>
      </c>
      <c r="P11" s="25">
        <v>12</v>
      </c>
      <c r="Q11" s="26">
        <f t="shared" si="3"/>
        <v>29935.382624999991</v>
      </c>
      <c r="R11" s="25">
        <v>2</v>
      </c>
      <c r="S11" s="26">
        <f t="shared" si="4"/>
        <v>5163.8535028124988</v>
      </c>
      <c r="T11" s="25">
        <f t="shared" si="5"/>
        <v>98717.311127812485</v>
      </c>
      <c r="U11" s="25">
        <v>0</v>
      </c>
      <c r="V11" s="25">
        <f t="shared" si="6"/>
        <v>98717.311127812485</v>
      </c>
    </row>
    <row r="12" spans="1:23" ht="10.15">
      <c r="A12" s="20" t="s">
        <v>30</v>
      </c>
      <c r="B12" s="21">
        <v>89050</v>
      </c>
      <c r="C12" s="21" t="s">
        <v>31</v>
      </c>
      <c r="D12" s="22" t="s">
        <v>32</v>
      </c>
      <c r="E12" s="22" t="s">
        <v>41</v>
      </c>
      <c r="F12" s="22" t="s">
        <v>42</v>
      </c>
      <c r="G12" s="23" t="s">
        <v>35</v>
      </c>
      <c r="H12" s="24" t="s">
        <v>36</v>
      </c>
      <c r="I12" s="25">
        <v>3</v>
      </c>
      <c r="J12" s="25">
        <f>2500*0.5</f>
        <v>1250</v>
      </c>
      <c r="K12" s="25">
        <f t="shared" si="2"/>
        <v>3750</v>
      </c>
      <c r="L12" s="25">
        <v>12</v>
      </c>
      <c r="M12" s="26">
        <f t="shared" si="0"/>
        <v>15524.999999999998</v>
      </c>
      <c r="N12" s="25">
        <v>12</v>
      </c>
      <c r="O12" s="26">
        <f t="shared" si="1"/>
        <v>16068.374999999996</v>
      </c>
      <c r="P12" s="25">
        <v>12</v>
      </c>
      <c r="Q12" s="26">
        <f t="shared" si="3"/>
        <v>16630.768124999995</v>
      </c>
      <c r="R12" s="25">
        <v>2</v>
      </c>
      <c r="S12" s="26">
        <f t="shared" si="4"/>
        <v>2868.8075015624995</v>
      </c>
      <c r="T12" s="25">
        <f t="shared" si="5"/>
        <v>54842.950626562495</v>
      </c>
      <c r="U12" s="25">
        <v>0</v>
      </c>
      <c r="V12" s="25">
        <f t="shared" si="6"/>
        <v>54842.950626562495</v>
      </c>
      <c r="W12" s="27"/>
    </row>
    <row r="13" spans="1:23" ht="10.15">
      <c r="A13" s="20" t="s">
        <v>30</v>
      </c>
      <c r="B13" s="21">
        <v>89050</v>
      </c>
      <c r="C13" s="21" t="s">
        <v>31</v>
      </c>
      <c r="D13" s="22" t="s">
        <v>32</v>
      </c>
      <c r="E13" s="22" t="s">
        <v>43</v>
      </c>
      <c r="F13" s="22" t="s">
        <v>44</v>
      </c>
      <c r="G13" s="23" t="s">
        <v>35</v>
      </c>
      <c r="H13" s="24" t="s">
        <v>36</v>
      </c>
      <c r="I13" s="25">
        <v>2</v>
      </c>
      <c r="J13" s="25">
        <v>1752</v>
      </c>
      <c r="K13" s="25">
        <f t="shared" si="2"/>
        <v>3504</v>
      </c>
      <c r="L13" s="25">
        <v>12</v>
      </c>
      <c r="M13" s="26">
        <f t="shared" si="0"/>
        <v>21759.839999999997</v>
      </c>
      <c r="N13" s="25">
        <v>12</v>
      </c>
      <c r="O13" s="26">
        <f t="shared" si="1"/>
        <v>22521.434399999995</v>
      </c>
      <c r="P13" s="25">
        <v>12</v>
      </c>
      <c r="Q13" s="26">
        <f t="shared" si="3"/>
        <v>23309.684603999991</v>
      </c>
      <c r="R13" s="25">
        <v>2</v>
      </c>
      <c r="S13" s="26">
        <f t="shared" si="4"/>
        <v>4020.9205941899991</v>
      </c>
      <c r="T13" s="25">
        <f t="shared" si="5"/>
        <v>75115.879598189989</v>
      </c>
      <c r="U13" s="25">
        <v>0</v>
      </c>
      <c r="V13" s="25">
        <f t="shared" si="6"/>
        <v>75115.879598189989</v>
      </c>
      <c r="W13" s="28"/>
    </row>
    <row r="14" spans="1:23" ht="10.15">
      <c r="A14" s="20" t="s">
        <v>30</v>
      </c>
      <c r="B14" s="21">
        <v>89050</v>
      </c>
      <c r="C14" s="21" t="s">
        <v>31</v>
      </c>
      <c r="D14" s="22" t="s">
        <v>32</v>
      </c>
      <c r="E14" s="22" t="s">
        <v>45</v>
      </c>
      <c r="F14" s="22" t="s">
        <v>46</v>
      </c>
      <c r="G14" s="23" t="s">
        <v>35</v>
      </c>
      <c r="H14" s="24" t="s">
        <v>36</v>
      </c>
      <c r="I14" s="25">
        <v>2</v>
      </c>
      <c r="J14" s="25">
        <v>1502</v>
      </c>
      <c r="K14" s="25">
        <f t="shared" si="2"/>
        <v>3004</v>
      </c>
      <c r="L14" s="25">
        <v>12</v>
      </c>
      <c r="M14" s="26">
        <f t="shared" si="0"/>
        <v>18654.84</v>
      </c>
      <c r="N14" s="25">
        <v>12</v>
      </c>
      <c r="O14" s="26">
        <f t="shared" si="1"/>
        <v>19307.759399999999</v>
      </c>
      <c r="P14" s="25">
        <v>12</v>
      </c>
      <c r="Q14" s="26">
        <f t="shared" si="3"/>
        <v>19983.530978999999</v>
      </c>
      <c r="R14" s="25">
        <v>2</v>
      </c>
      <c r="S14" s="26">
        <f t="shared" si="4"/>
        <v>3447.1590938774993</v>
      </c>
      <c r="T14" s="25">
        <f t="shared" si="5"/>
        <v>64397.289472877492</v>
      </c>
      <c r="U14" s="25">
        <v>0</v>
      </c>
      <c r="V14" s="25">
        <f t="shared" si="6"/>
        <v>64397.289472877492</v>
      </c>
    </row>
    <row r="15" spans="1:23" ht="10.15">
      <c r="A15" s="20" t="s">
        <v>30</v>
      </c>
      <c r="B15" s="21">
        <v>89050</v>
      </c>
      <c r="C15" s="21" t="s">
        <v>31</v>
      </c>
      <c r="D15" s="22" t="s">
        <v>32</v>
      </c>
      <c r="E15" s="22" t="s">
        <v>47</v>
      </c>
      <c r="F15" s="22" t="s">
        <v>48</v>
      </c>
      <c r="G15" s="23" t="s">
        <v>35</v>
      </c>
      <c r="H15" s="24" t="s">
        <v>36</v>
      </c>
      <c r="I15" s="25">
        <v>2</v>
      </c>
      <c r="J15" s="25">
        <f>1001*0.5</f>
        <v>500.5</v>
      </c>
      <c r="K15" s="25">
        <f t="shared" si="2"/>
        <v>1001</v>
      </c>
      <c r="L15" s="25">
        <v>12</v>
      </c>
      <c r="M15" s="26">
        <f t="shared" si="0"/>
        <v>6216.2099999999991</v>
      </c>
      <c r="N15" s="25">
        <v>12</v>
      </c>
      <c r="O15" s="26">
        <f t="shared" si="1"/>
        <v>6433.7773499999985</v>
      </c>
      <c r="P15" s="25">
        <v>12</v>
      </c>
      <c r="Q15" s="26">
        <f t="shared" si="3"/>
        <v>6658.9595572499975</v>
      </c>
      <c r="R15" s="25">
        <v>2</v>
      </c>
      <c r="S15" s="26">
        <f t="shared" si="4"/>
        <v>1148.6705236256246</v>
      </c>
      <c r="T15" s="25">
        <f t="shared" si="5"/>
        <v>21458.61743087562</v>
      </c>
      <c r="U15" s="25">
        <v>0</v>
      </c>
      <c r="V15" s="25">
        <f t="shared" si="6"/>
        <v>21458.61743087562</v>
      </c>
    </row>
    <row r="16" spans="1:23" ht="10.15">
      <c r="A16" s="20" t="s">
        <v>30</v>
      </c>
      <c r="B16" s="21">
        <v>89050</v>
      </c>
      <c r="C16" s="21" t="s">
        <v>31</v>
      </c>
      <c r="D16" s="22" t="s">
        <v>32</v>
      </c>
      <c r="E16" s="22" t="s">
        <v>49</v>
      </c>
      <c r="F16" s="22" t="s">
        <v>50</v>
      </c>
      <c r="G16" s="23" t="s">
        <v>35</v>
      </c>
      <c r="H16" s="24" t="s">
        <v>36</v>
      </c>
      <c r="I16" s="25">
        <v>2</v>
      </c>
      <c r="J16" s="25">
        <v>1001</v>
      </c>
      <c r="K16" s="25">
        <f t="shared" si="2"/>
        <v>2002</v>
      </c>
      <c r="L16" s="25">
        <v>12</v>
      </c>
      <c r="M16" s="26">
        <f t="shared" si="0"/>
        <v>12432.419999999998</v>
      </c>
      <c r="N16" s="25">
        <v>12</v>
      </c>
      <c r="O16" s="26">
        <f t="shared" si="1"/>
        <v>12867.554699999997</v>
      </c>
      <c r="P16" s="25">
        <v>12</v>
      </c>
      <c r="Q16" s="26">
        <f t="shared" si="3"/>
        <v>13317.919114499995</v>
      </c>
      <c r="R16" s="25">
        <v>2</v>
      </c>
      <c r="S16" s="26">
        <f t="shared" si="4"/>
        <v>2297.3410472512492</v>
      </c>
      <c r="T16" s="25">
        <f t="shared" si="5"/>
        <v>42917.23486175124</v>
      </c>
      <c r="U16" s="25">
        <v>0</v>
      </c>
      <c r="V16" s="25">
        <f t="shared" si="6"/>
        <v>42917.23486175124</v>
      </c>
    </row>
    <row r="17" spans="1:23" ht="10.15">
      <c r="A17" s="20" t="s">
        <v>30</v>
      </c>
      <c r="B17" s="21">
        <v>89050</v>
      </c>
      <c r="C17" s="21" t="s">
        <v>31</v>
      </c>
      <c r="D17" s="22" t="s">
        <v>32</v>
      </c>
      <c r="E17" s="22" t="s">
        <v>51</v>
      </c>
      <c r="F17" s="22" t="s">
        <v>52</v>
      </c>
      <c r="G17" s="23" t="s">
        <v>35</v>
      </c>
      <c r="H17" s="24" t="s">
        <v>36</v>
      </c>
      <c r="I17" s="25">
        <v>2</v>
      </c>
      <c r="J17" s="25">
        <v>1001</v>
      </c>
      <c r="K17" s="25">
        <f t="shared" si="2"/>
        <v>2002</v>
      </c>
      <c r="L17" s="25">
        <v>12</v>
      </c>
      <c r="M17" s="26">
        <f t="shared" si="0"/>
        <v>12432.419999999998</v>
      </c>
      <c r="N17" s="25">
        <v>12</v>
      </c>
      <c r="O17" s="26">
        <f t="shared" si="1"/>
        <v>12867.554699999997</v>
      </c>
      <c r="P17" s="25">
        <v>12</v>
      </c>
      <c r="Q17" s="26">
        <f t="shared" si="3"/>
        <v>13317.919114499995</v>
      </c>
      <c r="R17" s="25">
        <v>2</v>
      </c>
      <c r="S17" s="26">
        <f t="shared" si="4"/>
        <v>2297.3410472512492</v>
      </c>
      <c r="T17" s="25">
        <f t="shared" si="5"/>
        <v>42917.23486175124</v>
      </c>
      <c r="U17" s="25">
        <v>0</v>
      </c>
      <c r="V17" s="25">
        <f t="shared" si="6"/>
        <v>42917.23486175124</v>
      </c>
    </row>
    <row r="18" spans="1:23" ht="10.15">
      <c r="A18" s="20" t="s">
        <v>30</v>
      </c>
      <c r="B18" s="21">
        <v>89050</v>
      </c>
      <c r="C18" s="21" t="s">
        <v>31</v>
      </c>
      <c r="D18" s="22" t="s">
        <v>32</v>
      </c>
      <c r="E18" s="22" t="s">
        <v>53</v>
      </c>
      <c r="F18" s="22" t="s">
        <v>54</v>
      </c>
      <c r="G18" s="23" t="s">
        <v>35</v>
      </c>
      <c r="H18" s="24" t="s">
        <v>36</v>
      </c>
      <c r="I18" s="25">
        <v>3</v>
      </c>
      <c r="J18" s="25">
        <v>1001</v>
      </c>
      <c r="K18" s="25">
        <f t="shared" si="2"/>
        <v>3003</v>
      </c>
      <c r="L18" s="25">
        <v>12</v>
      </c>
      <c r="M18" s="26">
        <f t="shared" si="0"/>
        <v>12432.419999999998</v>
      </c>
      <c r="N18" s="25">
        <v>12</v>
      </c>
      <c r="O18" s="26">
        <f t="shared" si="1"/>
        <v>12867.554699999997</v>
      </c>
      <c r="P18" s="25">
        <v>12</v>
      </c>
      <c r="Q18" s="26">
        <f t="shared" si="3"/>
        <v>13317.919114499995</v>
      </c>
      <c r="R18" s="25">
        <v>2</v>
      </c>
      <c r="S18" s="26">
        <f t="shared" si="4"/>
        <v>2297.3410472512492</v>
      </c>
      <c r="T18" s="25">
        <f t="shared" si="5"/>
        <v>43918.23486175124</v>
      </c>
      <c r="U18" s="25">
        <v>0</v>
      </c>
      <c r="V18" s="25">
        <f t="shared" si="6"/>
        <v>43918.23486175124</v>
      </c>
    </row>
    <row r="19" spans="1:23" ht="10.15">
      <c r="A19" s="20" t="s">
        <v>30</v>
      </c>
      <c r="B19" s="21">
        <v>89050</v>
      </c>
      <c r="C19" s="21" t="s">
        <v>31</v>
      </c>
      <c r="D19" s="22" t="s">
        <v>32</v>
      </c>
      <c r="E19" s="22" t="s">
        <v>55</v>
      </c>
      <c r="F19" s="22" t="s">
        <v>56</v>
      </c>
      <c r="G19" s="23" t="s">
        <v>35</v>
      </c>
      <c r="H19" s="24" t="s">
        <v>36</v>
      </c>
      <c r="I19" s="25">
        <v>2</v>
      </c>
      <c r="J19" s="25">
        <f>1001*0.5</f>
        <v>500.5</v>
      </c>
      <c r="K19" s="25">
        <f t="shared" si="2"/>
        <v>1001</v>
      </c>
      <c r="L19" s="25">
        <v>12</v>
      </c>
      <c r="M19" s="26">
        <f t="shared" si="0"/>
        <v>6216.2099999999991</v>
      </c>
      <c r="N19" s="25">
        <v>12</v>
      </c>
      <c r="O19" s="26">
        <f t="shared" si="1"/>
        <v>6433.7773499999985</v>
      </c>
      <c r="P19" s="25">
        <v>12</v>
      </c>
      <c r="Q19" s="26">
        <f t="shared" si="3"/>
        <v>6658.9595572499975</v>
      </c>
      <c r="R19" s="25">
        <v>2</v>
      </c>
      <c r="S19" s="26">
        <f t="shared" si="4"/>
        <v>1148.6705236256246</v>
      </c>
      <c r="T19" s="25">
        <f t="shared" si="5"/>
        <v>21458.61743087562</v>
      </c>
      <c r="U19" s="25">
        <v>0</v>
      </c>
      <c r="V19" s="25">
        <f t="shared" si="6"/>
        <v>21458.61743087562</v>
      </c>
    </row>
    <row r="20" spans="1:23" ht="10.15">
      <c r="A20" s="20" t="s">
        <v>30</v>
      </c>
      <c r="B20" s="21">
        <v>89050</v>
      </c>
      <c r="C20" s="21" t="s">
        <v>31</v>
      </c>
      <c r="D20" s="22" t="s">
        <v>32</v>
      </c>
      <c r="E20" s="22" t="s">
        <v>57</v>
      </c>
      <c r="F20" s="22" t="s">
        <v>58</v>
      </c>
      <c r="G20" s="23" t="s">
        <v>35</v>
      </c>
      <c r="H20" s="24" t="s">
        <v>36</v>
      </c>
      <c r="I20" s="25">
        <v>2</v>
      </c>
      <c r="J20" s="25">
        <f>1001*0.5</f>
        <v>500.5</v>
      </c>
      <c r="K20" s="25">
        <f t="shared" si="2"/>
        <v>1001</v>
      </c>
      <c r="L20" s="25">
        <v>12</v>
      </c>
      <c r="M20" s="26">
        <f t="shared" si="0"/>
        <v>6216.2099999999991</v>
      </c>
      <c r="N20" s="25">
        <v>12</v>
      </c>
      <c r="O20" s="26">
        <f t="shared" si="1"/>
        <v>6433.7773499999985</v>
      </c>
      <c r="P20" s="25">
        <v>12</v>
      </c>
      <c r="Q20" s="26">
        <f t="shared" si="3"/>
        <v>6658.9595572499975</v>
      </c>
      <c r="R20" s="25">
        <v>2</v>
      </c>
      <c r="S20" s="26">
        <f t="shared" si="4"/>
        <v>1148.6705236256246</v>
      </c>
      <c r="T20" s="25">
        <f t="shared" si="5"/>
        <v>21458.61743087562</v>
      </c>
      <c r="U20" s="25">
        <v>0</v>
      </c>
      <c r="V20" s="25">
        <f t="shared" si="6"/>
        <v>21458.61743087562</v>
      </c>
    </row>
    <row r="21" spans="1:23" ht="10.15">
      <c r="A21" s="20" t="s">
        <v>30</v>
      </c>
      <c r="B21" s="21">
        <v>89050</v>
      </c>
      <c r="C21" s="21" t="s">
        <v>31</v>
      </c>
      <c r="D21" s="22" t="s">
        <v>32</v>
      </c>
      <c r="E21" s="22" t="s">
        <v>59</v>
      </c>
      <c r="F21" s="22" t="s">
        <v>60</v>
      </c>
      <c r="G21" s="23" t="s">
        <v>35</v>
      </c>
      <c r="H21" s="24" t="s">
        <v>36</v>
      </c>
      <c r="I21" s="25">
        <v>2</v>
      </c>
      <c r="J21" s="25">
        <v>1001</v>
      </c>
      <c r="K21" s="25">
        <f t="shared" si="2"/>
        <v>2002</v>
      </c>
      <c r="L21" s="25">
        <v>12</v>
      </c>
      <c r="M21" s="26">
        <f t="shared" si="0"/>
        <v>12432.419999999998</v>
      </c>
      <c r="N21" s="25">
        <v>12</v>
      </c>
      <c r="O21" s="26">
        <f t="shared" si="1"/>
        <v>12867.554699999997</v>
      </c>
      <c r="P21" s="25">
        <v>12</v>
      </c>
      <c r="Q21" s="26">
        <f t="shared" si="3"/>
        <v>13317.919114499995</v>
      </c>
      <c r="R21" s="25">
        <v>2</v>
      </c>
      <c r="S21" s="26">
        <f t="shared" si="4"/>
        <v>2297.3410472512492</v>
      </c>
      <c r="T21" s="25">
        <f t="shared" si="5"/>
        <v>42917.23486175124</v>
      </c>
      <c r="U21" s="25">
        <v>0</v>
      </c>
      <c r="V21" s="25">
        <f t="shared" si="6"/>
        <v>42917.23486175124</v>
      </c>
    </row>
    <row r="22" spans="1:23" ht="10.15">
      <c r="A22" s="20" t="s">
        <v>30</v>
      </c>
      <c r="B22" s="21">
        <v>89050</v>
      </c>
      <c r="C22" s="21" t="s">
        <v>31</v>
      </c>
      <c r="D22" s="22" t="s">
        <v>32</v>
      </c>
      <c r="E22" s="22" t="s">
        <v>61</v>
      </c>
      <c r="F22" s="22" t="s">
        <v>62</v>
      </c>
      <c r="G22" s="23" t="s">
        <v>35</v>
      </c>
      <c r="H22" s="24" t="s">
        <v>36</v>
      </c>
      <c r="I22" s="25">
        <v>2</v>
      </c>
      <c r="J22" s="25">
        <v>851</v>
      </c>
      <c r="K22" s="25">
        <f t="shared" si="2"/>
        <v>1702</v>
      </c>
      <c r="L22" s="25">
        <v>12</v>
      </c>
      <c r="M22" s="26">
        <f t="shared" si="0"/>
        <v>10569.42</v>
      </c>
      <c r="N22" s="25">
        <v>12</v>
      </c>
      <c r="O22" s="26">
        <f t="shared" si="1"/>
        <v>10939.349699999999</v>
      </c>
      <c r="P22" s="25">
        <v>12</v>
      </c>
      <c r="Q22" s="26">
        <f t="shared" si="3"/>
        <v>11322.226939499998</v>
      </c>
      <c r="R22" s="25">
        <v>2</v>
      </c>
      <c r="S22" s="26">
        <f t="shared" si="4"/>
        <v>1953.0841470637497</v>
      </c>
      <c r="T22" s="25">
        <f t="shared" si="5"/>
        <v>36486.080786563747</v>
      </c>
      <c r="U22" s="25">
        <v>0</v>
      </c>
      <c r="V22" s="25">
        <f t="shared" si="6"/>
        <v>36486.080786563747</v>
      </c>
    </row>
    <row r="23" spans="1:23" ht="10.15">
      <c r="A23" s="20" t="s">
        <v>30</v>
      </c>
      <c r="B23" s="21">
        <v>89050</v>
      </c>
      <c r="C23" s="21" t="s">
        <v>31</v>
      </c>
      <c r="D23" s="22" t="s">
        <v>32</v>
      </c>
      <c r="E23" s="22" t="s">
        <v>63</v>
      </c>
      <c r="F23" s="22" t="s">
        <v>64</v>
      </c>
      <c r="G23" s="23" t="s">
        <v>35</v>
      </c>
      <c r="H23" s="24" t="s">
        <v>36</v>
      </c>
      <c r="I23" s="25">
        <v>2</v>
      </c>
      <c r="J23" s="25">
        <v>851</v>
      </c>
      <c r="K23" s="25">
        <f t="shared" si="2"/>
        <v>1702</v>
      </c>
      <c r="L23" s="25">
        <v>12</v>
      </c>
      <c r="M23" s="26">
        <f t="shared" si="0"/>
        <v>10569.42</v>
      </c>
      <c r="N23" s="25">
        <v>12</v>
      </c>
      <c r="O23" s="26">
        <f t="shared" si="1"/>
        <v>10939.349699999999</v>
      </c>
      <c r="P23" s="25">
        <v>12</v>
      </c>
      <c r="Q23" s="26">
        <f t="shared" si="3"/>
        <v>11322.226939499998</v>
      </c>
      <c r="R23" s="25">
        <v>2</v>
      </c>
      <c r="S23" s="26">
        <f t="shared" si="4"/>
        <v>1953.0841470637497</v>
      </c>
      <c r="T23" s="25">
        <f t="shared" si="5"/>
        <v>36486.080786563747</v>
      </c>
      <c r="U23" s="25">
        <v>0</v>
      </c>
      <c r="V23" s="25">
        <f t="shared" si="6"/>
        <v>36486.080786563747</v>
      </c>
    </row>
    <row r="24" spans="1:23" ht="10.5">
      <c r="A24" s="29"/>
      <c r="B24" s="29"/>
      <c r="C24" s="29"/>
      <c r="D24" s="29"/>
      <c r="E24" s="29"/>
      <c r="F24" s="29" t="s">
        <v>65</v>
      </c>
      <c r="G24" s="30"/>
      <c r="H24" s="31"/>
      <c r="I24" s="30"/>
      <c r="K24" s="30">
        <f>SUM(K9:K23)</f>
        <v>45924</v>
      </c>
      <c r="L24" s="30"/>
      <c r="M24" s="30">
        <f>SUM(M9:M23)</f>
        <v>229291.82999999996</v>
      </c>
      <c r="N24" s="30"/>
      <c r="O24" s="30">
        <f>SUM(O9:O23)</f>
        <v>237317.04404999997</v>
      </c>
      <c r="P24" s="30"/>
      <c r="Q24" s="30">
        <f>SUM(Q9:Q23)</f>
        <v>245623.14059174989</v>
      </c>
      <c r="R24" s="30"/>
      <c r="S24" s="30">
        <f>SUM(S9:S23)</f>
        <v>42369.991752076865</v>
      </c>
      <c r="T24" s="30">
        <f>SUM(T9:T23)</f>
        <v>800526.00639382657</v>
      </c>
      <c r="U24" s="30">
        <f>SUM(U9:U23)</f>
        <v>0</v>
      </c>
      <c r="V24" s="30">
        <f>SUM(V9:V23)</f>
        <v>800526.00639382657</v>
      </c>
    </row>
    <row r="25" spans="1:23" ht="10.5">
      <c r="A25" s="29"/>
      <c r="B25" s="29"/>
      <c r="C25" s="29"/>
      <c r="D25" s="29"/>
      <c r="E25" s="29"/>
      <c r="F25" s="29"/>
      <c r="G25" s="29"/>
      <c r="H25" s="31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</row>
    <row r="26" spans="1:23" ht="10.5">
      <c r="A26" s="29"/>
      <c r="B26" s="29"/>
      <c r="C26" s="29"/>
      <c r="D26" s="29"/>
      <c r="E26" s="29"/>
      <c r="F26" s="29" t="s">
        <v>66</v>
      </c>
      <c r="G26" s="29"/>
      <c r="H26" s="31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25"/>
      <c r="U26" s="30"/>
      <c r="V26" s="30"/>
    </row>
    <row r="27" spans="1:23" ht="10.5">
      <c r="A27" s="20" t="s">
        <v>30</v>
      </c>
      <c r="B27" s="21">
        <v>89050</v>
      </c>
      <c r="C27" s="21" t="s">
        <v>31</v>
      </c>
      <c r="D27" s="22" t="s">
        <v>32</v>
      </c>
      <c r="E27" s="22" t="s">
        <v>67</v>
      </c>
      <c r="F27" s="23" t="s">
        <v>68</v>
      </c>
      <c r="G27" s="23" t="s">
        <v>69</v>
      </c>
      <c r="H27" s="31"/>
      <c r="I27" s="30"/>
      <c r="J27" s="33">
        <v>0.2</v>
      </c>
      <c r="K27" s="25">
        <f>K24*$J$27</f>
        <v>9184.8000000000011</v>
      </c>
      <c r="L27" s="25"/>
      <c r="M27" s="25">
        <f>M24*$J$27</f>
        <v>45858.365999999995</v>
      </c>
      <c r="N27" s="25"/>
      <c r="O27" s="25">
        <f>O24*$J$27</f>
        <v>47463.408809999994</v>
      </c>
      <c r="P27" s="25"/>
      <c r="Q27" s="25">
        <f>Q24*$J$27</f>
        <v>49124.628118349981</v>
      </c>
      <c r="R27" s="25"/>
      <c r="S27" s="25">
        <f>S24*$J$27</f>
        <v>8473.9983504153734</v>
      </c>
      <c r="T27" s="25">
        <f>SUM(K27+M27+O27+Q27+S27)</f>
        <v>160105.20127876534</v>
      </c>
      <c r="U27" s="25">
        <v>0</v>
      </c>
      <c r="V27" s="25">
        <f>SUM(T27:U27)</f>
        <v>160105.20127876534</v>
      </c>
    </row>
    <row r="28" spans="1:23" ht="10.15">
      <c r="G28" s="35"/>
      <c r="H28" s="36"/>
      <c r="I28" s="37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25"/>
      <c r="V28" s="38"/>
    </row>
    <row r="29" spans="1:23" ht="10.9" thickBot="1">
      <c r="A29" s="39"/>
      <c r="B29" s="39"/>
      <c r="C29" s="39"/>
      <c r="D29" s="39"/>
      <c r="E29" s="39"/>
      <c r="F29" s="39" t="s">
        <v>70</v>
      </c>
      <c r="G29" s="39"/>
      <c r="H29" s="40"/>
      <c r="I29" s="40"/>
      <c r="J29" s="41"/>
      <c r="K29" s="42">
        <f>SUM(K24:K27)</f>
        <v>55108.800000000003</v>
      </c>
      <c r="L29" s="42"/>
      <c r="M29" s="42">
        <f>SUM(M24:M27)</f>
        <v>275150.19599999994</v>
      </c>
      <c r="N29" s="42"/>
      <c r="O29" s="42">
        <f>SUM(O24:O27)</f>
        <v>284780.45285999996</v>
      </c>
      <c r="P29" s="42"/>
      <c r="Q29" s="42">
        <f>SUM(Q24:Q27)</f>
        <v>294747.76871009986</v>
      </c>
      <c r="R29" s="42"/>
      <c r="S29" s="42">
        <f>SUM(S24:S27)</f>
        <v>50843.990102492236</v>
      </c>
      <c r="T29" s="42">
        <f>K29+M29+O29+Q29+S29</f>
        <v>960631.20767259202</v>
      </c>
      <c r="U29" s="42">
        <f>SUM(U9:U27)</f>
        <v>0</v>
      </c>
      <c r="V29" s="43">
        <f>SUM(T29:U29)</f>
        <v>960631.20767259202</v>
      </c>
      <c r="W29" s="44"/>
    </row>
    <row r="30" spans="1:23" ht="10.15">
      <c r="H30" s="45"/>
      <c r="I30" s="37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25"/>
      <c r="V30" s="38"/>
    </row>
    <row r="31" spans="1:23" ht="10.5">
      <c r="A31" s="46"/>
      <c r="B31" s="46"/>
      <c r="C31" s="46"/>
      <c r="D31" s="46"/>
      <c r="E31" s="46"/>
      <c r="F31" s="46" t="s">
        <v>71</v>
      </c>
      <c r="G31" s="46"/>
      <c r="H31" s="47"/>
      <c r="I31" s="47"/>
      <c r="J31" s="48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50"/>
    </row>
    <row r="32" spans="1:23" ht="10.15">
      <c r="A32" s="51"/>
      <c r="B32" s="51"/>
      <c r="C32" s="51"/>
      <c r="D32" s="51"/>
      <c r="E32" s="51"/>
      <c r="F32" s="51" t="s">
        <v>72</v>
      </c>
      <c r="G32" s="52"/>
      <c r="H32" s="53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</row>
    <row r="33" spans="1:32" ht="10.15">
      <c r="A33" s="20" t="s">
        <v>30</v>
      </c>
      <c r="B33" s="21">
        <v>89050</v>
      </c>
      <c r="C33" s="21" t="s">
        <v>31</v>
      </c>
      <c r="D33" s="22" t="s">
        <v>32</v>
      </c>
      <c r="E33" s="22" t="s">
        <v>73</v>
      </c>
      <c r="F33" s="34" t="s">
        <v>74</v>
      </c>
      <c r="G33" s="34" t="s">
        <v>71</v>
      </c>
      <c r="H33" s="55" t="s">
        <v>75</v>
      </c>
      <c r="I33" s="25">
        <v>9</v>
      </c>
      <c r="J33" s="25">
        <v>300</v>
      </c>
      <c r="K33" s="25">
        <f>I33*J33</f>
        <v>2700</v>
      </c>
      <c r="L33" s="25">
        <v>32</v>
      </c>
      <c r="M33" s="25">
        <f>L33*J33</f>
        <v>9600</v>
      </c>
      <c r="N33" s="25">
        <v>60</v>
      </c>
      <c r="O33" s="25">
        <f>N33*J33</f>
        <v>18000</v>
      </c>
      <c r="P33" s="25">
        <v>36</v>
      </c>
      <c r="Q33" s="25">
        <f>P33*J33</f>
        <v>10800</v>
      </c>
      <c r="R33" s="25">
        <v>4</v>
      </c>
      <c r="S33" s="25">
        <f>R33*J33</f>
        <v>1200</v>
      </c>
      <c r="T33" s="25">
        <f>K33+M33+O33+Q33+S33</f>
        <v>42300</v>
      </c>
      <c r="U33" s="25">
        <v>0</v>
      </c>
      <c r="V33" s="25">
        <f>SUM(T33:U33)</f>
        <v>42300</v>
      </c>
    </row>
    <row r="34" spans="1:32" ht="10.15">
      <c r="A34" s="20" t="s">
        <v>30</v>
      </c>
      <c r="B34" s="21">
        <v>89050</v>
      </c>
      <c r="C34" s="21" t="s">
        <v>31</v>
      </c>
      <c r="D34" s="22" t="s">
        <v>32</v>
      </c>
      <c r="E34" s="22" t="s">
        <v>76</v>
      </c>
      <c r="F34" s="34" t="s">
        <v>77</v>
      </c>
      <c r="G34" s="34" t="s">
        <v>71</v>
      </c>
      <c r="H34" s="55" t="s">
        <v>78</v>
      </c>
      <c r="I34" s="25">
        <f>9+9+6+3</f>
        <v>27</v>
      </c>
      <c r="J34" s="25">
        <v>75</v>
      </c>
      <c r="K34" s="25">
        <f>I34*J34</f>
        <v>2025</v>
      </c>
      <c r="L34" s="25">
        <f>20+18+14+12</f>
        <v>64</v>
      </c>
      <c r="M34" s="25">
        <f>L34*J34</f>
        <v>4800</v>
      </c>
      <c r="N34" s="25">
        <f>36+36+36+12</f>
        <v>120</v>
      </c>
      <c r="O34" s="25">
        <f>N34*J34</f>
        <v>9000</v>
      </c>
      <c r="P34" s="25">
        <f>28+22+22</f>
        <v>72</v>
      </c>
      <c r="Q34" s="25">
        <f>P34*J34</f>
        <v>5400</v>
      </c>
      <c r="R34" s="25">
        <v>16</v>
      </c>
      <c r="S34" s="25">
        <f>R34*J34</f>
        <v>1200</v>
      </c>
      <c r="T34" s="25">
        <f>K34+M34+O34+Q34+S34</f>
        <v>22425</v>
      </c>
      <c r="U34" s="25">
        <v>0</v>
      </c>
      <c r="V34" s="25">
        <f>SUM(T34:U34)</f>
        <v>22425</v>
      </c>
    </row>
    <row r="35" spans="1:32" ht="10.15">
      <c r="A35" s="20" t="s">
        <v>30</v>
      </c>
      <c r="B35" s="21">
        <v>89050</v>
      </c>
      <c r="C35" s="21" t="s">
        <v>31</v>
      </c>
      <c r="D35" s="22" t="s">
        <v>32</v>
      </c>
      <c r="E35" s="22" t="s">
        <v>79</v>
      </c>
      <c r="F35" s="34" t="s">
        <v>80</v>
      </c>
      <c r="G35" s="34" t="s">
        <v>71</v>
      </c>
      <c r="H35" s="55" t="s">
        <v>78</v>
      </c>
      <c r="I35" s="25">
        <f>9+9+6+1</f>
        <v>25</v>
      </c>
      <c r="J35" s="25">
        <v>40</v>
      </c>
      <c r="K35" s="25">
        <f>I35*J35</f>
        <v>1000</v>
      </c>
      <c r="L35" s="25">
        <f>20+18+14+6</f>
        <v>58</v>
      </c>
      <c r="M35" s="25">
        <f>L35*J35</f>
        <v>2320</v>
      </c>
      <c r="N35" s="25">
        <f>36+36+36+36+6</f>
        <v>150</v>
      </c>
      <c r="O35" s="25">
        <f>N35*J35</f>
        <v>6000</v>
      </c>
      <c r="P35" s="25">
        <f>28+22+22</f>
        <v>72</v>
      </c>
      <c r="Q35" s="25">
        <f>P35*J35</f>
        <v>2880</v>
      </c>
      <c r="R35" s="25">
        <v>16</v>
      </c>
      <c r="S35" s="25">
        <f>R35*J35</f>
        <v>640</v>
      </c>
      <c r="T35" s="25">
        <f>K35+M35+O35+Q35+S35</f>
        <v>12840</v>
      </c>
      <c r="U35" s="25">
        <v>0</v>
      </c>
      <c r="V35" s="25">
        <f>SUM(T35:U35)</f>
        <v>12840</v>
      </c>
    </row>
    <row r="36" spans="1:32" ht="10.15">
      <c r="A36" s="20" t="s">
        <v>30</v>
      </c>
      <c r="B36" s="21">
        <v>89050</v>
      </c>
      <c r="C36" s="21" t="s">
        <v>31</v>
      </c>
      <c r="D36" s="22" t="s">
        <v>32</v>
      </c>
      <c r="E36" s="22" t="s">
        <v>81</v>
      </c>
      <c r="F36" s="34" t="s">
        <v>82</v>
      </c>
      <c r="G36" s="34" t="s">
        <v>71</v>
      </c>
      <c r="H36" s="55" t="s">
        <v>78</v>
      </c>
      <c r="I36" s="25">
        <f>9+9+6+3</f>
        <v>27</v>
      </c>
      <c r="J36" s="25">
        <v>35</v>
      </c>
      <c r="K36" s="25">
        <f>I36*J36</f>
        <v>945</v>
      </c>
      <c r="L36" s="25">
        <f>20+18+14+12</f>
        <v>64</v>
      </c>
      <c r="M36" s="25">
        <f>L36*J36</f>
        <v>2240</v>
      </c>
      <c r="N36" s="25">
        <f>36+36+36+12</f>
        <v>120</v>
      </c>
      <c r="O36" s="25">
        <f>N36*J36</f>
        <v>4200</v>
      </c>
      <c r="P36" s="25">
        <f>28+22+22</f>
        <v>72</v>
      </c>
      <c r="Q36" s="25">
        <f>P36*J36</f>
        <v>2520</v>
      </c>
      <c r="R36" s="25">
        <v>16</v>
      </c>
      <c r="S36" s="25">
        <f>R36*J36</f>
        <v>560</v>
      </c>
      <c r="T36" s="25">
        <f>K36+M36+O36+Q36+S36</f>
        <v>10465</v>
      </c>
      <c r="U36" s="25">
        <v>0</v>
      </c>
      <c r="V36" s="25">
        <f>SUM(T36:U36)</f>
        <v>10465</v>
      </c>
    </row>
    <row r="37" spans="1:32" ht="10.15">
      <c r="A37" s="20" t="s">
        <v>30</v>
      </c>
      <c r="B37" s="21">
        <v>89050</v>
      </c>
      <c r="C37" s="21" t="s">
        <v>31</v>
      </c>
      <c r="D37" s="22" t="s">
        <v>32</v>
      </c>
      <c r="E37" s="22" t="s">
        <v>83</v>
      </c>
      <c r="F37" s="34" t="s">
        <v>84</v>
      </c>
      <c r="G37" s="34" t="s">
        <v>71</v>
      </c>
      <c r="H37" s="55" t="s">
        <v>78</v>
      </c>
      <c r="I37" s="25">
        <f>3+9</f>
        <v>12</v>
      </c>
      <c r="J37" s="25">
        <v>25</v>
      </c>
      <c r="K37" s="25">
        <f>I37*J37</f>
        <v>300</v>
      </c>
      <c r="L37" s="25">
        <f>10+18+14</f>
        <v>42</v>
      </c>
      <c r="M37" s="25">
        <f>L37*J37</f>
        <v>1050</v>
      </c>
      <c r="N37" s="25">
        <f>18+36</f>
        <v>54</v>
      </c>
      <c r="O37" s="25">
        <f>N37*J37</f>
        <v>1350</v>
      </c>
      <c r="P37" s="25">
        <f>14+22</f>
        <v>36</v>
      </c>
      <c r="Q37" s="25">
        <f>P37*J37</f>
        <v>900</v>
      </c>
      <c r="R37" s="25">
        <v>5</v>
      </c>
      <c r="S37" s="25">
        <f>R37*J37</f>
        <v>125</v>
      </c>
      <c r="T37" s="25">
        <f>K37+M37+O37+Q37+S37</f>
        <v>3725</v>
      </c>
      <c r="U37" s="25">
        <v>0</v>
      </c>
      <c r="V37" s="25">
        <f>SUM(T37:U37)</f>
        <v>3725</v>
      </c>
    </row>
    <row r="38" spans="1:32" ht="10.15">
      <c r="A38" s="23"/>
      <c r="B38" s="23"/>
      <c r="C38" s="23"/>
      <c r="D38" s="23"/>
      <c r="E38" s="23"/>
      <c r="F38" s="23"/>
      <c r="G38" s="23"/>
      <c r="H38" s="5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</row>
    <row r="39" spans="1:32" ht="10.9" thickBot="1">
      <c r="A39" s="39"/>
      <c r="B39" s="39"/>
      <c r="C39" s="39"/>
      <c r="D39" s="39"/>
      <c r="E39" s="39"/>
      <c r="F39" s="39" t="s">
        <v>85</v>
      </c>
      <c r="G39" s="39"/>
      <c r="H39" s="40"/>
      <c r="I39" s="40"/>
      <c r="J39" s="41"/>
      <c r="K39" s="42">
        <f>SUM(K33:K37)</f>
        <v>6970</v>
      </c>
      <c r="L39" s="42"/>
      <c r="M39" s="42">
        <f>SUM(M33:M37)</f>
        <v>20010</v>
      </c>
      <c r="N39" s="42"/>
      <c r="O39" s="42">
        <f>SUM(O33:O37)</f>
        <v>38550</v>
      </c>
      <c r="P39" s="42"/>
      <c r="Q39" s="42">
        <f>SUM(Q33:Q37)</f>
        <v>22500</v>
      </c>
      <c r="R39" s="42"/>
      <c r="S39" s="42">
        <f>SUM(S33:S37)</f>
        <v>3725</v>
      </c>
      <c r="T39" s="42">
        <f>K39+M39+O39+Q39+S39</f>
        <v>91755</v>
      </c>
      <c r="U39" s="42">
        <f>SUM(U33:U37)</f>
        <v>0</v>
      </c>
      <c r="V39" s="43">
        <f>SUM(T39:U39)</f>
        <v>91755</v>
      </c>
    </row>
    <row r="40" spans="1:32" ht="10.5">
      <c r="A40" s="17"/>
      <c r="B40" s="17"/>
      <c r="C40" s="17"/>
      <c r="D40" s="17"/>
      <c r="E40" s="17"/>
      <c r="F40" s="17" t="s">
        <v>86</v>
      </c>
      <c r="G40" s="17"/>
      <c r="H40" s="17"/>
      <c r="I40" s="17"/>
      <c r="J40" s="18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</row>
    <row r="41" spans="1:32" ht="10.15">
      <c r="A41" s="20" t="s">
        <v>30</v>
      </c>
      <c r="B41" s="21">
        <v>89050</v>
      </c>
      <c r="C41" s="21" t="s">
        <v>31</v>
      </c>
      <c r="D41" s="22" t="s">
        <v>32</v>
      </c>
      <c r="E41" s="22" t="s">
        <v>87</v>
      </c>
      <c r="F41" s="1" t="s">
        <v>88</v>
      </c>
      <c r="G41" s="23" t="s">
        <v>89</v>
      </c>
      <c r="H41" s="45" t="s">
        <v>90</v>
      </c>
      <c r="I41" s="25">
        <v>5</v>
      </c>
      <c r="J41" s="25">
        <v>751</v>
      </c>
      <c r="K41" s="25">
        <f t="shared" ref="K41:K46" si="7">I41*J41</f>
        <v>3755</v>
      </c>
      <c r="L41" s="25">
        <v>5</v>
      </c>
      <c r="M41" s="25">
        <f t="shared" ref="M41:M46" si="8">L41*J41</f>
        <v>3755</v>
      </c>
      <c r="N41" s="25">
        <v>0</v>
      </c>
      <c r="O41" s="25">
        <f t="shared" ref="O41:O46" si="9">N41*J41</f>
        <v>0</v>
      </c>
      <c r="P41" s="25">
        <v>0</v>
      </c>
      <c r="Q41" s="25">
        <f t="shared" ref="Q41:Q46" si="10">P41*J41</f>
        <v>0</v>
      </c>
      <c r="R41" s="25">
        <v>0</v>
      </c>
      <c r="S41" s="25">
        <f t="shared" ref="S41:S46" si="11">R41*J41</f>
        <v>0</v>
      </c>
      <c r="T41" s="25">
        <f t="shared" ref="T41:T46" si="12">K41+M41+O41+Q41+S41</f>
        <v>7510</v>
      </c>
      <c r="U41" s="25">
        <v>0</v>
      </c>
      <c r="V41" s="25">
        <f t="shared" ref="V41:V46" si="13">SUM(T41:U41)</f>
        <v>7510</v>
      </c>
    </row>
    <row r="42" spans="1:32" ht="10.15">
      <c r="A42" s="20" t="s">
        <v>30</v>
      </c>
      <c r="B42" s="21">
        <v>89050</v>
      </c>
      <c r="C42" s="21" t="s">
        <v>31</v>
      </c>
      <c r="D42" s="22" t="s">
        <v>32</v>
      </c>
      <c r="E42" s="22" t="s">
        <v>91</v>
      </c>
      <c r="F42" s="23" t="s">
        <v>92</v>
      </c>
      <c r="G42" s="23" t="s">
        <v>89</v>
      </c>
      <c r="H42" s="45" t="s">
        <v>90</v>
      </c>
      <c r="I42" s="25">
        <v>1</v>
      </c>
      <c r="J42" s="25">
        <v>100</v>
      </c>
      <c r="K42" s="25">
        <f t="shared" si="7"/>
        <v>100</v>
      </c>
      <c r="L42" s="25">
        <v>12</v>
      </c>
      <c r="M42" s="25">
        <f t="shared" si="8"/>
        <v>1200</v>
      </c>
      <c r="N42" s="25">
        <v>12</v>
      </c>
      <c r="O42" s="25">
        <f t="shared" si="9"/>
        <v>1200</v>
      </c>
      <c r="P42" s="25">
        <v>12</v>
      </c>
      <c r="Q42" s="25">
        <f t="shared" si="10"/>
        <v>1200</v>
      </c>
      <c r="R42" s="25">
        <v>3</v>
      </c>
      <c r="S42" s="25">
        <f t="shared" si="11"/>
        <v>300</v>
      </c>
      <c r="T42" s="25">
        <f t="shared" si="12"/>
        <v>4000</v>
      </c>
      <c r="U42" s="25">
        <v>0</v>
      </c>
      <c r="V42" s="25">
        <f t="shared" si="13"/>
        <v>4000</v>
      </c>
    </row>
    <row r="43" spans="1:32" ht="10.15">
      <c r="A43" s="20" t="s">
        <v>30</v>
      </c>
      <c r="B43" s="21">
        <v>89050</v>
      </c>
      <c r="C43" s="21" t="s">
        <v>31</v>
      </c>
      <c r="D43" s="22" t="s">
        <v>32</v>
      </c>
      <c r="E43" s="22" t="s">
        <v>93</v>
      </c>
      <c r="F43" s="23" t="s">
        <v>94</v>
      </c>
      <c r="G43" s="23" t="s">
        <v>89</v>
      </c>
      <c r="H43" s="45" t="s">
        <v>90</v>
      </c>
      <c r="I43" s="25">
        <v>7</v>
      </c>
      <c r="J43" s="25">
        <v>300</v>
      </c>
      <c r="K43" s="25">
        <f t="shared" si="7"/>
        <v>2100</v>
      </c>
      <c r="L43" s="25">
        <v>0</v>
      </c>
      <c r="M43" s="25">
        <f t="shared" si="8"/>
        <v>0</v>
      </c>
      <c r="N43" s="25">
        <v>2</v>
      </c>
      <c r="O43" s="25">
        <f t="shared" si="9"/>
        <v>600</v>
      </c>
      <c r="P43" s="25">
        <v>0</v>
      </c>
      <c r="Q43" s="25">
        <f t="shared" si="10"/>
        <v>0</v>
      </c>
      <c r="R43" s="25">
        <v>0</v>
      </c>
      <c r="S43" s="25">
        <f t="shared" si="11"/>
        <v>0</v>
      </c>
      <c r="T43" s="25">
        <f t="shared" si="12"/>
        <v>2700</v>
      </c>
      <c r="U43" s="25">
        <v>0</v>
      </c>
      <c r="V43" s="25">
        <f t="shared" si="13"/>
        <v>2700</v>
      </c>
      <c r="X43" s="25"/>
      <c r="Y43" s="25"/>
      <c r="Z43" s="56"/>
      <c r="AA43" s="25"/>
      <c r="AB43" s="56"/>
      <c r="AC43" s="56"/>
      <c r="AD43" s="56"/>
      <c r="AE43" s="28"/>
      <c r="AF43" s="28"/>
    </row>
    <row r="44" spans="1:32" ht="10.15">
      <c r="A44" s="20" t="s">
        <v>30</v>
      </c>
      <c r="B44" s="21">
        <v>89050</v>
      </c>
      <c r="C44" s="21" t="s">
        <v>31</v>
      </c>
      <c r="D44" s="22" t="s">
        <v>32</v>
      </c>
      <c r="E44" s="22" t="s">
        <v>95</v>
      </c>
      <c r="F44" s="23" t="s">
        <v>96</v>
      </c>
      <c r="G44" s="23" t="s">
        <v>89</v>
      </c>
      <c r="H44" s="45" t="s">
        <v>36</v>
      </c>
      <c r="I44" s="25">
        <v>1</v>
      </c>
      <c r="J44" s="25">
        <v>75</v>
      </c>
      <c r="K44" s="25">
        <f>I44*J44</f>
        <v>75</v>
      </c>
      <c r="L44" s="25">
        <v>12</v>
      </c>
      <c r="M44" s="25">
        <f>L44*J44</f>
        <v>900</v>
      </c>
      <c r="N44" s="25">
        <v>12</v>
      </c>
      <c r="O44" s="25">
        <f>N44*J44</f>
        <v>900</v>
      </c>
      <c r="P44" s="25">
        <v>12</v>
      </c>
      <c r="Q44" s="25">
        <f>P44*J44</f>
        <v>900</v>
      </c>
      <c r="R44" s="25">
        <v>1</v>
      </c>
      <c r="S44" s="25">
        <f>R44*J44</f>
        <v>75</v>
      </c>
      <c r="T44" s="25">
        <f>K44+M44+O44+Q44+S44</f>
        <v>2850</v>
      </c>
      <c r="U44" s="25">
        <v>0</v>
      </c>
      <c r="V44" s="25">
        <f>SUM(T44:U44)</f>
        <v>2850</v>
      </c>
    </row>
    <row r="45" spans="1:32" ht="10.15">
      <c r="A45" s="20" t="s">
        <v>30</v>
      </c>
      <c r="B45" s="21">
        <v>89050</v>
      </c>
      <c r="C45" s="21" t="s">
        <v>31</v>
      </c>
      <c r="D45" s="22" t="s">
        <v>32</v>
      </c>
      <c r="E45" s="22" t="s">
        <v>97</v>
      </c>
      <c r="F45" s="23" t="s">
        <v>98</v>
      </c>
      <c r="G45" s="23" t="s">
        <v>89</v>
      </c>
      <c r="H45" s="45" t="s">
        <v>90</v>
      </c>
      <c r="I45" s="25">
        <v>1</v>
      </c>
      <c r="J45" s="25">
        <v>100</v>
      </c>
      <c r="K45" s="25">
        <f t="shared" si="7"/>
        <v>100</v>
      </c>
      <c r="L45" s="25">
        <v>4</v>
      </c>
      <c r="M45" s="25">
        <f t="shared" si="8"/>
        <v>400</v>
      </c>
      <c r="N45" s="25">
        <v>4</v>
      </c>
      <c r="O45" s="25">
        <f t="shared" si="9"/>
        <v>400</v>
      </c>
      <c r="P45" s="25">
        <v>4</v>
      </c>
      <c r="Q45" s="25">
        <f t="shared" si="10"/>
        <v>400</v>
      </c>
      <c r="R45" s="25">
        <v>1</v>
      </c>
      <c r="S45" s="25">
        <f t="shared" si="11"/>
        <v>100</v>
      </c>
      <c r="T45" s="25">
        <f t="shared" si="12"/>
        <v>1400</v>
      </c>
      <c r="U45" s="25">
        <v>0</v>
      </c>
      <c r="V45" s="25">
        <f t="shared" si="13"/>
        <v>1400</v>
      </c>
    </row>
    <row r="46" spans="1:32" ht="10.15">
      <c r="A46" s="20" t="s">
        <v>30</v>
      </c>
      <c r="B46" s="21">
        <v>89050</v>
      </c>
      <c r="C46" s="21" t="s">
        <v>31</v>
      </c>
      <c r="D46" s="22" t="s">
        <v>32</v>
      </c>
      <c r="E46" s="22" t="s">
        <v>99</v>
      </c>
      <c r="F46" s="23" t="s">
        <v>100</v>
      </c>
      <c r="G46" s="23" t="s">
        <v>89</v>
      </c>
      <c r="H46" s="45" t="s">
        <v>90</v>
      </c>
      <c r="I46" s="25">
        <v>1</v>
      </c>
      <c r="J46" s="25">
        <v>1252</v>
      </c>
      <c r="K46" s="25">
        <f t="shared" si="7"/>
        <v>1252</v>
      </c>
      <c r="L46" s="25">
        <v>1</v>
      </c>
      <c r="M46" s="25">
        <f t="shared" si="8"/>
        <v>1252</v>
      </c>
      <c r="N46" s="25">
        <v>0</v>
      </c>
      <c r="O46" s="25">
        <f t="shared" si="9"/>
        <v>0</v>
      </c>
      <c r="P46" s="25">
        <v>0</v>
      </c>
      <c r="Q46" s="25">
        <f t="shared" si="10"/>
        <v>0</v>
      </c>
      <c r="R46" s="25">
        <v>0</v>
      </c>
      <c r="S46" s="25">
        <f t="shared" si="11"/>
        <v>0</v>
      </c>
      <c r="T46" s="25">
        <f t="shared" si="12"/>
        <v>2504</v>
      </c>
      <c r="U46" s="25">
        <v>0</v>
      </c>
      <c r="V46" s="25">
        <f t="shared" si="13"/>
        <v>2504</v>
      </c>
    </row>
    <row r="47" spans="1:32" ht="10.15">
      <c r="A47" s="23"/>
      <c r="B47" s="23"/>
      <c r="C47" s="23"/>
      <c r="D47" s="23"/>
      <c r="E47" s="23"/>
      <c r="F47" s="23"/>
      <c r="G47" s="23"/>
      <c r="H47" s="55"/>
      <c r="U47" s="25"/>
    </row>
    <row r="48" spans="1:32" ht="10.9" thickBot="1">
      <c r="A48" s="57"/>
      <c r="B48" s="57"/>
      <c r="C48" s="57"/>
      <c r="D48" s="57"/>
      <c r="E48" s="57"/>
      <c r="F48" s="57" t="s">
        <v>101</v>
      </c>
      <c r="G48" s="57"/>
      <c r="H48" s="39"/>
      <c r="I48" s="39"/>
      <c r="J48" s="58"/>
      <c r="K48" s="59">
        <f>SUM(K41:K46)</f>
        <v>7382</v>
      </c>
      <c r="L48" s="59"/>
      <c r="M48" s="59">
        <f>SUM(M41:M46)</f>
        <v>7507</v>
      </c>
      <c r="N48" s="59"/>
      <c r="O48" s="59">
        <f>SUM(O41:O46)</f>
        <v>3100</v>
      </c>
      <c r="P48" s="59"/>
      <c r="Q48" s="59">
        <f>SUM(Q41:Q46)</f>
        <v>2500</v>
      </c>
      <c r="R48" s="59"/>
      <c r="S48" s="59">
        <f>SUM(S41:S46)</f>
        <v>475</v>
      </c>
      <c r="T48" s="42">
        <f>K48+M48+O48+Q48+S48</f>
        <v>20964</v>
      </c>
      <c r="U48" s="59">
        <f>SUM(U41:U46)</f>
        <v>0</v>
      </c>
      <c r="V48" s="43">
        <f>SUM(T48:U48)</f>
        <v>20964</v>
      </c>
    </row>
    <row r="49" spans="1:23" ht="10.5">
      <c r="A49" s="17"/>
      <c r="B49" s="17"/>
      <c r="C49" s="17"/>
      <c r="D49" s="17"/>
      <c r="E49" s="17"/>
      <c r="F49" s="17" t="s">
        <v>102</v>
      </c>
      <c r="G49" s="17"/>
      <c r="H49" s="17"/>
      <c r="I49" s="17"/>
      <c r="J49" s="18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spans="1:23" ht="20.45">
      <c r="A50" s="20" t="s">
        <v>30</v>
      </c>
      <c r="B50" s="21">
        <v>89050</v>
      </c>
      <c r="C50" s="21" t="s">
        <v>31</v>
      </c>
      <c r="D50" s="22" t="s">
        <v>32</v>
      </c>
      <c r="E50" s="22" t="s">
        <v>103</v>
      </c>
      <c r="F50" s="23" t="s">
        <v>104</v>
      </c>
      <c r="G50" s="23" t="s">
        <v>105</v>
      </c>
      <c r="H50" s="55" t="s">
        <v>36</v>
      </c>
      <c r="I50" s="25">
        <v>3</v>
      </c>
      <c r="J50" s="25">
        <v>50</v>
      </c>
      <c r="K50" s="25">
        <f t="shared" ref="K50:K55" si="14">I50*J50</f>
        <v>150</v>
      </c>
      <c r="L50" s="25">
        <v>12</v>
      </c>
      <c r="M50" s="25">
        <f t="shared" ref="M50:M55" si="15">L50*J50</f>
        <v>600</v>
      </c>
      <c r="N50" s="25">
        <v>12</v>
      </c>
      <c r="O50" s="25">
        <f t="shared" ref="O50:O55" si="16">N50*J50</f>
        <v>600</v>
      </c>
      <c r="P50" s="25">
        <v>12</v>
      </c>
      <c r="Q50" s="25">
        <f t="shared" ref="Q50:Q55" si="17">P50*J50</f>
        <v>600</v>
      </c>
      <c r="R50" s="25">
        <v>2</v>
      </c>
      <c r="S50" s="25">
        <f t="shared" ref="S50:S55" si="18">R50*J50</f>
        <v>100</v>
      </c>
      <c r="T50" s="25">
        <f t="shared" ref="T50:T55" si="19">K50+M50+O50+Q50+S50</f>
        <v>2050</v>
      </c>
      <c r="U50" s="25">
        <v>0</v>
      </c>
      <c r="V50" s="25">
        <f t="shared" ref="V50:V55" si="20">SUM(T50:U50)</f>
        <v>2050</v>
      </c>
    </row>
    <row r="51" spans="1:23" ht="20.45">
      <c r="A51" s="20" t="s">
        <v>30</v>
      </c>
      <c r="B51" s="21">
        <v>89050</v>
      </c>
      <c r="C51" s="21" t="s">
        <v>31</v>
      </c>
      <c r="D51" s="22" t="s">
        <v>32</v>
      </c>
      <c r="E51" s="22" t="s">
        <v>106</v>
      </c>
      <c r="F51" s="23" t="s">
        <v>107</v>
      </c>
      <c r="G51" s="23" t="s">
        <v>105</v>
      </c>
      <c r="H51" s="55" t="s">
        <v>36</v>
      </c>
      <c r="I51" s="25">
        <v>1</v>
      </c>
      <c r="J51" s="25">
        <v>35</v>
      </c>
      <c r="K51" s="25">
        <f t="shared" si="14"/>
        <v>35</v>
      </c>
      <c r="L51" s="25">
        <v>5</v>
      </c>
      <c r="M51" s="25">
        <f t="shared" si="15"/>
        <v>175</v>
      </c>
      <c r="N51" s="25">
        <v>5</v>
      </c>
      <c r="O51" s="25">
        <f t="shared" si="16"/>
        <v>175</v>
      </c>
      <c r="P51" s="25">
        <v>5</v>
      </c>
      <c r="Q51" s="25">
        <f t="shared" si="17"/>
        <v>175</v>
      </c>
      <c r="R51" s="25">
        <v>2</v>
      </c>
      <c r="S51" s="25">
        <f t="shared" si="18"/>
        <v>70</v>
      </c>
      <c r="T51" s="25">
        <f t="shared" si="19"/>
        <v>630</v>
      </c>
      <c r="U51" s="25">
        <v>0</v>
      </c>
      <c r="V51" s="25">
        <f t="shared" si="20"/>
        <v>630</v>
      </c>
    </row>
    <row r="52" spans="1:23" ht="20.45">
      <c r="A52" s="20" t="s">
        <v>30</v>
      </c>
      <c r="B52" s="21">
        <v>89050</v>
      </c>
      <c r="C52" s="21" t="s">
        <v>31</v>
      </c>
      <c r="D52" s="22" t="s">
        <v>32</v>
      </c>
      <c r="E52" s="22" t="s">
        <v>108</v>
      </c>
      <c r="F52" s="23" t="s">
        <v>109</v>
      </c>
      <c r="G52" s="23" t="s">
        <v>105</v>
      </c>
      <c r="H52" s="55" t="s">
        <v>36</v>
      </c>
      <c r="I52" s="25">
        <v>3</v>
      </c>
      <c r="J52" s="25">
        <v>50</v>
      </c>
      <c r="K52" s="25">
        <f t="shared" si="14"/>
        <v>150</v>
      </c>
      <c r="L52" s="25">
        <v>12</v>
      </c>
      <c r="M52" s="25">
        <f t="shared" si="15"/>
        <v>600</v>
      </c>
      <c r="N52" s="25">
        <v>12</v>
      </c>
      <c r="O52" s="25">
        <f t="shared" si="16"/>
        <v>600</v>
      </c>
      <c r="P52" s="25">
        <v>12</v>
      </c>
      <c r="Q52" s="25">
        <f t="shared" si="17"/>
        <v>600</v>
      </c>
      <c r="R52" s="25">
        <v>2</v>
      </c>
      <c r="S52" s="25">
        <f t="shared" si="18"/>
        <v>100</v>
      </c>
      <c r="T52" s="25">
        <f t="shared" si="19"/>
        <v>2050</v>
      </c>
      <c r="U52" s="25">
        <v>0</v>
      </c>
      <c r="V52" s="25">
        <f t="shared" si="20"/>
        <v>2050</v>
      </c>
    </row>
    <row r="53" spans="1:23" ht="20.45">
      <c r="A53" s="20" t="s">
        <v>30</v>
      </c>
      <c r="B53" s="21">
        <v>89050</v>
      </c>
      <c r="C53" s="21" t="s">
        <v>31</v>
      </c>
      <c r="D53" s="22" t="s">
        <v>32</v>
      </c>
      <c r="E53" s="22" t="s">
        <v>93</v>
      </c>
      <c r="F53" s="23" t="s">
        <v>110</v>
      </c>
      <c r="G53" s="23" t="s">
        <v>105</v>
      </c>
      <c r="H53" s="55" t="s">
        <v>36</v>
      </c>
      <c r="I53" s="25">
        <v>2</v>
      </c>
      <c r="J53" s="25">
        <f>30*7</f>
        <v>210</v>
      </c>
      <c r="K53" s="25">
        <f t="shared" si="14"/>
        <v>420</v>
      </c>
      <c r="L53" s="25">
        <v>12</v>
      </c>
      <c r="M53" s="25">
        <f t="shared" si="15"/>
        <v>2520</v>
      </c>
      <c r="N53" s="25">
        <v>12</v>
      </c>
      <c r="O53" s="25">
        <f t="shared" si="16"/>
        <v>2520</v>
      </c>
      <c r="P53" s="25">
        <v>12</v>
      </c>
      <c r="Q53" s="25">
        <f t="shared" si="17"/>
        <v>2520</v>
      </c>
      <c r="R53" s="25">
        <v>2</v>
      </c>
      <c r="S53" s="25">
        <f t="shared" si="18"/>
        <v>420</v>
      </c>
      <c r="T53" s="25">
        <f t="shared" si="19"/>
        <v>8400</v>
      </c>
      <c r="U53" s="25">
        <v>0</v>
      </c>
      <c r="V53" s="25">
        <f t="shared" si="20"/>
        <v>8400</v>
      </c>
    </row>
    <row r="54" spans="1:23" ht="20.45">
      <c r="A54" s="20" t="s">
        <v>30</v>
      </c>
      <c r="B54" s="21">
        <v>89050</v>
      </c>
      <c r="C54" s="21" t="s">
        <v>31</v>
      </c>
      <c r="D54" s="22" t="s">
        <v>32</v>
      </c>
      <c r="E54" s="22" t="s">
        <v>111</v>
      </c>
      <c r="F54" s="23" t="s">
        <v>112</v>
      </c>
      <c r="G54" s="23" t="s">
        <v>105</v>
      </c>
      <c r="H54" s="55" t="s">
        <v>36</v>
      </c>
      <c r="I54" s="25">
        <v>2</v>
      </c>
      <c r="J54" s="25">
        <v>1250</v>
      </c>
      <c r="K54" s="25">
        <f t="shared" si="14"/>
        <v>2500</v>
      </c>
      <c r="L54" s="25">
        <v>12</v>
      </c>
      <c r="M54" s="25">
        <f t="shared" si="15"/>
        <v>15000</v>
      </c>
      <c r="N54" s="25">
        <v>12</v>
      </c>
      <c r="O54" s="25">
        <f t="shared" si="16"/>
        <v>15000</v>
      </c>
      <c r="P54" s="25">
        <v>12</v>
      </c>
      <c r="Q54" s="25">
        <f t="shared" si="17"/>
        <v>15000</v>
      </c>
      <c r="R54" s="25">
        <v>2</v>
      </c>
      <c r="S54" s="25">
        <f t="shared" si="18"/>
        <v>2500</v>
      </c>
      <c r="T54" s="25">
        <f t="shared" si="19"/>
        <v>50000</v>
      </c>
      <c r="U54" s="25">
        <v>0</v>
      </c>
      <c r="V54" s="25">
        <f t="shared" si="20"/>
        <v>50000</v>
      </c>
    </row>
    <row r="55" spans="1:23" ht="20.45">
      <c r="A55" s="20" t="s">
        <v>30</v>
      </c>
      <c r="B55" s="21">
        <v>89050</v>
      </c>
      <c r="C55" s="21" t="s">
        <v>31</v>
      </c>
      <c r="D55" s="22" t="s">
        <v>32</v>
      </c>
      <c r="E55" s="22" t="s">
        <v>113</v>
      </c>
      <c r="F55" s="23" t="s">
        <v>114</v>
      </c>
      <c r="G55" s="23" t="s">
        <v>105</v>
      </c>
      <c r="H55" s="23" t="s">
        <v>36</v>
      </c>
      <c r="I55" s="25">
        <v>0</v>
      </c>
      <c r="J55" s="25">
        <v>100</v>
      </c>
      <c r="K55" s="25">
        <f t="shared" si="14"/>
        <v>0</v>
      </c>
      <c r="L55" s="25">
        <v>4</v>
      </c>
      <c r="M55" s="25">
        <f t="shared" si="15"/>
        <v>400</v>
      </c>
      <c r="N55" s="25">
        <v>4</v>
      </c>
      <c r="O55" s="25">
        <f t="shared" si="16"/>
        <v>400</v>
      </c>
      <c r="P55" s="25">
        <v>4</v>
      </c>
      <c r="Q55" s="25">
        <f t="shared" si="17"/>
        <v>400</v>
      </c>
      <c r="R55" s="25">
        <v>1</v>
      </c>
      <c r="S55" s="25">
        <f t="shared" si="18"/>
        <v>100</v>
      </c>
      <c r="T55" s="25">
        <f t="shared" si="19"/>
        <v>1300</v>
      </c>
      <c r="U55" s="25">
        <v>0</v>
      </c>
      <c r="V55" s="25">
        <f t="shared" si="20"/>
        <v>1300</v>
      </c>
    </row>
    <row r="56" spans="1:23" ht="10.15">
      <c r="A56" s="23"/>
      <c r="B56" s="23"/>
      <c r="C56" s="23"/>
      <c r="D56" s="23"/>
      <c r="E56" s="23"/>
      <c r="F56" s="23"/>
      <c r="G56" s="23"/>
      <c r="H56" s="55"/>
    </row>
    <row r="57" spans="1:23" ht="10.9" thickBot="1">
      <c r="A57" s="57"/>
      <c r="B57" s="57"/>
      <c r="C57" s="57"/>
      <c r="D57" s="57"/>
      <c r="E57" s="57"/>
      <c r="F57" s="57" t="s">
        <v>115</v>
      </c>
      <c r="G57" s="57"/>
      <c r="H57" s="39"/>
      <c r="I57" s="39"/>
      <c r="J57" s="58"/>
      <c r="K57" s="59">
        <f>SUM(K50:K55)</f>
        <v>3255</v>
      </c>
      <c r="L57" s="59"/>
      <c r="M57" s="59">
        <f>SUM(M50:M55)</f>
        <v>19295</v>
      </c>
      <c r="N57" s="59"/>
      <c r="O57" s="59">
        <f>SUM(O50:O55)</f>
        <v>19295</v>
      </c>
      <c r="P57" s="59"/>
      <c r="Q57" s="59">
        <f>SUM(Q50:Q55)</f>
        <v>19295</v>
      </c>
      <c r="R57" s="59"/>
      <c r="S57" s="59">
        <f>SUM(S50:S55)</f>
        <v>3290</v>
      </c>
      <c r="T57" s="42">
        <f>K57+M57+O57+Q57+S57</f>
        <v>64430</v>
      </c>
      <c r="U57" s="59">
        <f>SUM(U50:U55)</f>
        <v>0</v>
      </c>
      <c r="V57" s="43">
        <f>SUM(T57:U57)</f>
        <v>64430</v>
      </c>
    </row>
    <row r="58" spans="1:23" ht="17.649999999999999">
      <c r="A58" s="1"/>
      <c r="B58" s="1"/>
      <c r="C58" s="1"/>
      <c r="D58" s="1"/>
      <c r="E58" s="1"/>
      <c r="F58" s="101" t="s">
        <v>116</v>
      </c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</row>
    <row r="59" spans="1:23" ht="10.9" thickBot="1">
      <c r="A59" s="60"/>
      <c r="B59" s="60"/>
      <c r="C59" s="60"/>
      <c r="D59" s="60"/>
      <c r="E59" s="60"/>
      <c r="F59" s="60"/>
      <c r="G59" s="60"/>
      <c r="H59" s="61"/>
      <c r="I59" s="61"/>
      <c r="J59" s="62"/>
      <c r="K59" s="63"/>
      <c r="L59" s="63"/>
      <c r="M59" s="63"/>
      <c r="N59" s="63"/>
      <c r="O59" s="63"/>
      <c r="P59" s="63"/>
      <c r="Q59" s="63"/>
      <c r="R59" s="63"/>
      <c r="S59" s="63"/>
      <c r="T59" s="64"/>
      <c r="U59" s="63"/>
      <c r="V59" s="65"/>
    </row>
    <row r="60" spans="1:23" ht="10.5">
      <c r="A60" s="66"/>
      <c r="B60" s="66"/>
      <c r="C60" s="66"/>
      <c r="D60" s="66"/>
      <c r="E60" s="66"/>
      <c r="F60" s="66" t="s">
        <v>117</v>
      </c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2"/>
    </row>
    <row r="61" spans="1:23" ht="10.5">
      <c r="A61" s="68"/>
      <c r="B61" s="68"/>
      <c r="C61" s="68"/>
      <c r="D61" s="68"/>
      <c r="E61" s="68"/>
      <c r="F61" s="68" t="s">
        <v>118</v>
      </c>
      <c r="G61" s="69"/>
      <c r="H61" s="70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</row>
    <row r="62" spans="1:23" ht="10.15">
      <c r="A62" s="23"/>
      <c r="B62" s="23"/>
      <c r="C62" s="23"/>
      <c r="D62" s="23"/>
      <c r="E62" s="23"/>
      <c r="F62" s="23" t="s">
        <v>119</v>
      </c>
      <c r="G62" s="23" t="s">
        <v>120</v>
      </c>
      <c r="H62" s="45" t="s">
        <v>90</v>
      </c>
      <c r="I62" s="25">
        <f>$K$29</f>
        <v>55108.800000000003</v>
      </c>
      <c r="J62" s="33">
        <v>0.6</v>
      </c>
      <c r="K62" s="25">
        <f>I62*J62</f>
        <v>33065.279999999999</v>
      </c>
      <c r="L62" s="25">
        <f>$M$29</f>
        <v>275150.19599999994</v>
      </c>
      <c r="M62" s="25">
        <f t="shared" ref="M62:M65" si="21">L62*J62</f>
        <v>165090.11759999997</v>
      </c>
      <c r="N62" s="25">
        <f>$O$29</f>
        <v>284780.45285999996</v>
      </c>
      <c r="O62" s="25">
        <f t="shared" ref="O62:O65" si="22">N62*J62</f>
        <v>170868.27171599996</v>
      </c>
      <c r="P62" s="25">
        <f>$Q$29</f>
        <v>294747.76871009986</v>
      </c>
      <c r="Q62" s="25">
        <f>P62*J62</f>
        <v>176848.66122605992</v>
      </c>
      <c r="R62" s="25">
        <f>$S$29</f>
        <v>50843.990102492236</v>
      </c>
      <c r="S62" s="25">
        <f t="shared" ref="S62:S65" si="23">R62*J62</f>
        <v>30506.394061495339</v>
      </c>
      <c r="T62" s="25">
        <f t="shared" ref="T62:T65" si="24">K62+M62+O62+Q62+S62</f>
        <v>576378.72460355517</v>
      </c>
      <c r="U62" s="25">
        <v>0</v>
      </c>
      <c r="V62" s="25">
        <f t="shared" ref="V62:V65" si="25">SUM(T62:U62)</f>
        <v>576378.72460355517</v>
      </c>
    </row>
    <row r="63" spans="1:23" ht="10.15">
      <c r="A63" s="23"/>
      <c r="B63" s="23"/>
      <c r="C63" s="23"/>
      <c r="D63" s="23"/>
      <c r="E63" s="23"/>
      <c r="F63" s="23" t="s">
        <v>121</v>
      </c>
      <c r="G63" s="23" t="s">
        <v>120</v>
      </c>
      <c r="H63" s="45" t="s">
        <v>90</v>
      </c>
      <c r="I63" s="25">
        <f>$K$39</f>
        <v>6970</v>
      </c>
      <c r="J63" s="33">
        <v>0.6</v>
      </c>
      <c r="K63" s="25">
        <f>I63*J63</f>
        <v>4182</v>
      </c>
      <c r="L63" s="25">
        <f>$M$39</f>
        <v>20010</v>
      </c>
      <c r="M63" s="25">
        <f t="shared" si="21"/>
        <v>12006</v>
      </c>
      <c r="N63" s="25">
        <f>$O$39</f>
        <v>38550</v>
      </c>
      <c r="O63" s="25">
        <f t="shared" si="22"/>
        <v>23130</v>
      </c>
      <c r="P63" s="25">
        <f>$Q$39</f>
        <v>22500</v>
      </c>
      <c r="Q63" s="25">
        <f t="shared" ref="Q63:Q65" si="26">P63*J63</f>
        <v>13500</v>
      </c>
      <c r="R63" s="25">
        <f>$S$39</f>
        <v>3725</v>
      </c>
      <c r="S63" s="25">
        <f t="shared" si="23"/>
        <v>2235</v>
      </c>
      <c r="T63" s="25">
        <f t="shared" si="24"/>
        <v>55053</v>
      </c>
      <c r="U63" s="25">
        <v>0</v>
      </c>
      <c r="V63" s="25">
        <f t="shared" si="25"/>
        <v>55053</v>
      </c>
    </row>
    <row r="64" spans="1:23" ht="10.15">
      <c r="A64" s="23"/>
      <c r="B64" s="23"/>
      <c r="C64" s="23"/>
      <c r="D64" s="23"/>
      <c r="E64" s="23"/>
      <c r="F64" s="23" t="s">
        <v>122</v>
      </c>
      <c r="G64" s="23" t="s">
        <v>120</v>
      </c>
      <c r="H64" s="45" t="s">
        <v>90</v>
      </c>
      <c r="I64" s="25">
        <f>$K$48</f>
        <v>7382</v>
      </c>
      <c r="J64" s="33">
        <v>0.6</v>
      </c>
      <c r="K64" s="25">
        <f t="shared" ref="K64:K65" si="27">I64*J64</f>
        <v>4429.2</v>
      </c>
      <c r="L64" s="25">
        <f>$M$48</f>
        <v>7507</v>
      </c>
      <c r="M64" s="25">
        <f t="shared" si="21"/>
        <v>4504.2</v>
      </c>
      <c r="N64" s="25">
        <f>$O$48</f>
        <v>3100</v>
      </c>
      <c r="O64" s="25">
        <f t="shared" si="22"/>
        <v>1860</v>
      </c>
      <c r="P64" s="25">
        <f>$Q$48</f>
        <v>2500</v>
      </c>
      <c r="Q64" s="25">
        <f t="shared" si="26"/>
        <v>1500</v>
      </c>
      <c r="R64" s="25">
        <f>$S$48</f>
        <v>475</v>
      </c>
      <c r="S64" s="25">
        <f t="shared" si="23"/>
        <v>285</v>
      </c>
      <c r="T64" s="25">
        <f>K64+M64+O64+Q64+S64</f>
        <v>12578.4</v>
      </c>
      <c r="U64" s="25">
        <v>0</v>
      </c>
      <c r="V64" s="25">
        <f t="shared" si="25"/>
        <v>12578.4</v>
      </c>
    </row>
    <row r="65" spans="1:22" ht="10.15">
      <c r="A65" s="23"/>
      <c r="B65" s="23"/>
      <c r="C65" s="23"/>
      <c r="D65" s="23"/>
      <c r="E65" s="23"/>
      <c r="F65" s="23" t="s">
        <v>123</v>
      </c>
      <c r="G65" s="23" t="s">
        <v>120</v>
      </c>
      <c r="H65" s="45" t="s">
        <v>90</v>
      </c>
      <c r="I65" s="25">
        <f>$K$57</f>
        <v>3255</v>
      </c>
      <c r="J65" s="72">
        <v>0.6</v>
      </c>
      <c r="K65" s="25">
        <f t="shared" si="27"/>
        <v>1953</v>
      </c>
      <c r="L65" s="25">
        <f>$M$57</f>
        <v>19295</v>
      </c>
      <c r="M65" s="25">
        <f t="shared" si="21"/>
        <v>11577</v>
      </c>
      <c r="N65" s="25">
        <f>$O$57</f>
        <v>19295</v>
      </c>
      <c r="O65" s="25">
        <f t="shared" si="22"/>
        <v>11577</v>
      </c>
      <c r="P65" s="25">
        <f>$Q$57</f>
        <v>19295</v>
      </c>
      <c r="Q65" s="25">
        <f t="shared" si="26"/>
        <v>11577</v>
      </c>
      <c r="R65" s="25">
        <f>$S$57</f>
        <v>3290</v>
      </c>
      <c r="S65" s="25">
        <f t="shared" si="23"/>
        <v>1974</v>
      </c>
      <c r="T65" s="25">
        <f t="shared" si="24"/>
        <v>38658</v>
      </c>
      <c r="U65" s="25">
        <v>0</v>
      </c>
      <c r="V65" s="25">
        <f t="shared" si="25"/>
        <v>38658</v>
      </c>
    </row>
    <row r="66" spans="1:22" ht="10.15">
      <c r="A66" s="73"/>
      <c r="B66" s="73"/>
      <c r="C66" s="73"/>
      <c r="D66" s="73"/>
      <c r="E66" s="73"/>
      <c r="F66" s="73" t="s">
        <v>124</v>
      </c>
      <c r="G66" s="52" t="s">
        <v>120</v>
      </c>
      <c r="H66" s="74" t="s">
        <v>90</v>
      </c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</row>
    <row r="67" spans="1:22" ht="10.15">
      <c r="A67" s="20" t="s">
        <v>30</v>
      </c>
      <c r="B67" s="21">
        <v>89050</v>
      </c>
      <c r="C67" s="21" t="s">
        <v>31</v>
      </c>
      <c r="D67" s="22" t="s">
        <v>32</v>
      </c>
      <c r="E67" s="75" t="s">
        <v>125</v>
      </c>
      <c r="F67" s="23" t="s">
        <v>126</v>
      </c>
      <c r="G67" s="23" t="s">
        <v>120</v>
      </c>
      <c r="H67" s="24" t="s">
        <v>90</v>
      </c>
      <c r="I67" s="25">
        <v>0</v>
      </c>
      <c r="J67" s="25">
        <v>23337</v>
      </c>
      <c r="K67" s="25">
        <f>I67*J67</f>
        <v>0</v>
      </c>
      <c r="L67" s="25">
        <v>1</v>
      </c>
      <c r="M67" s="25">
        <f>L67*J67</f>
        <v>23337</v>
      </c>
      <c r="N67" s="25">
        <v>0</v>
      </c>
      <c r="O67" s="25">
        <f>J67*N67</f>
        <v>0</v>
      </c>
      <c r="P67" s="25">
        <v>0</v>
      </c>
      <c r="Q67" s="25">
        <f>J67*P67</f>
        <v>0</v>
      </c>
      <c r="R67" s="25">
        <v>0</v>
      </c>
      <c r="S67" s="25">
        <f>J67*R67</f>
        <v>0</v>
      </c>
      <c r="T67" s="25">
        <f>K67+M67+O67+Q67+S67</f>
        <v>23337</v>
      </c>
      <c r="U67" s="25">
        <v>0</v>
      </c>
      <c r="V67" s="25">
        <f t="shared" ref="V67" si="28">SUM(T67:U67)</f>
        <v>23337</v>
      </c>
    </row>
    <row r="68" spans="1:22" ht="10.15">
      <c r="A68" s="73"/>
      <c r="B68" s="73"/>
      <c r="C68" s="73"/>
      <c r="D68" s="73"/>
      <c r="E68" s="73"/>
      <c r="F68" s="73" t="s">
        <v>127</v>
      </c>
      <c r="G68" s="76"/>
      <c r="H68" s="76"/>
      <c r="I68" s="76"/>
      <c r="J68" s="76"/>
      <c r="K68" s="52"/>
      <c r="L68" s="76"/>
      <c r="M68" s="76"/>
      <c r="N68" s="76"/>
      <c r="O68" s="76"/>
      <c r="P68" s="52"/>
      <c r="Q68" s="76"/>
      <c r="R68" s="76"/>
      <c r="S68" s="76"/>
      <c r="T68" s="76"/>
      <c r="U68" s="52"/>
      <c r="V68" s="76"/>
    </row>
    <row r="69" spans="1:22" ht="10.15">
      <c r="A69" s="20" t="s">
        <v>30</v>
      </c>
      <c r="B69" s="21">
        <v>89050</v>
      </c>
      <c r="C69" s="21" t="s">
        <v>31</v>
      </c>
      <c r="D69" s="22" t="s">
        <v>32</v>
      </c>
      <c r="E69" s="75" t="s">
        <v>128</v>
      </c>
      <c r="F69" s="23" t="s">
        <v>129</v>
      </c>
      <c r="G69" s="23" t="s">
        <v>120</v>
      </c>
      <c r="H69" s="24" t="s">
        <v>90</v>
      </c>
      <c r="I69" s="25">
        <v>0</v>
      </c>
      <c r="J69" s="25">
        <v>36354</v>
      </c>
      <c r="K69" s="25">
        <f>I69*J69</f>
        <v>0</v>
      </c>
      <c r="L69" s="25">
        <v>0</v>
      </c>
      <c r="M69" s="25">
        <f>L69*J69</f>
        <v>0</v>
      </c>
      <c r="N69" s="25">
        <v>1</v>
      </c>
      <c r="O69" s="25">
        <f>J69*N69</f>
        <v>36354</v>
      </c>
      <c r="P69" s="25">
        <v>1</v>
      </c>
      <c r="Q69" s="25">
        <f>J69*P69</f>
        <v>36354</v>
      </c>
      <c r="R69" s="25">
        <v>0</v>
      </c>
      <c r="S69" s="25">
        <f>J69*R69</f>
        <v>0</v>
      </c>
      <c r="T69" s="25">
        <f>K69+M69+O69+Q69+S69</f>
        <v>72708</v>
      </c>
      <c r="U69" s="25">
        <v>0</v>
      </c>
      <c r="V69" s="25">
        <f>SUM(T69:U69)</f>
        <v>72708</v>
      </c>
    </row>
    <row r="70" spans="1:22" ht="10.15">
      <c r="A70" s="73"/>
      <c r="B70" s="73"/>
      <c r="C70" s="73"/>
      <c r="D70" s="73"/>
      <c r="E70" s="73"/>
      <c r="F70" s="73" t="s">
        <v>130</v>
      </c>
      <c r="G70" s="76"/>
      <c r="H70" s="76"/>
      <c r="I70" s="76"/>
      <c r="J70" s="76"/>
      <c r="K70" s="52"/>
      <c r="L70" s="76"/>
      <c r="M70" s="76"/>
      <c r="N70" s="76"/>
      <c r="O70" s="76"/>
      <c r="P70" s="52"/>
      <c r="Q70" s="76"/>
      <c r="R70" s="76"/>
      <c r="S70" s="76"/>
      <c r="T70" s="76"/>
      <c r="U70" s="52"/>
      <c r="V70" s="76"/>
    </row>
    <row r="71" spans="1:22" ht="10.15">
      <c r="A71" s="20" t="s">
        <v>30</v>
      </c>
      <c r="B71" s="21">
        <v>89050</v>
      </c>
      <c r="C71" s="21" t="s">
        <v>31</v>
      </c>
      <c r="D71" s="22" t="s">
        <v>32</v>
      </c>
      <c r="E71" s="75" t="s">
        <v>131</v>
      </c>
      <c r="F71" s="23" t="s">
        <v>132</v>
      </c>
      <c r="G71" s="23" t="s">
        <v>120</v>
      </c>
      <c r="H71" s="24" t="s">
        <v>90</v>
      </c>
      <c r="I71" s="25">
        <v>0</v>
      </c>
      <c r="J71" s="25">
        <f>80058/3</f>
        <v>26686</v>
      </c>
      <c r="K71" s="25">
        <f>I71*J71</f>
        <v>0</v>
      </c>
      <c r="L71" s="25">
        <v>0</v>
      </c>
      <c r="M71" s="25">
        <f>L71*J71</f>
        <v>0</v>
      </c>
      <c r="N71" s="25">
        <v>1</v>
      </c>
      <c r="O71" s="25">
        <f>J71*N71</f>
        <v>26686</v>
      </c>
      <c r="P71" s="25">
        <v>1</v>
      </c>
      <c r="Q71" s="25">
        <f>J71*P71</f>
        <v>26686</v>
      </c>
      <c r="R71" s="25">
        <v>1</v>
      </c>
      <c r="S71" s="25">
        <f>J71*R71</f>
        <v>26686</v>
      </c>
      <c r="T71" s="25">
        <f>K71+M71+O71+Q71+S71</f>
        <v>80058</v>
      </c>
      <c r="U71" s="25"/>
      <c r="V71" s="25">
        <f t="shared" ref="V71" si="29">SUM(T71:U71)</f>
        <v>80058</v>
      </c>
    </row>
    <row r="72" spans="1:22" ht="10.15">
      <c r="A72" s="73"/>
      <c r="B72" s="73"/>
      <c r="C72" s="73"/>
      <c r="D72" s="73"/>
      <c r="E72" s="73"/>
      <c r="F72" s="73" t="s">
        <v>133</v>
      </c>
      <c r="G72" s="76"/>
      <c r="H72" s="76"/>
      <c r="I72" s="77"/>
      <c r="J72" s="77"/>
      <c r="K72" s="76"/>
      <c r="L72" s="76"/>
      <c r="M72" s="77"/>
      <c r="N72" s="77"/>
      <c r="O72" s="76"/>
      <c r="P72" s="76"/>
      <c r="Q72" s="77"/>
      <c r="R72" s="77"/>
      <c r="S72" s="76"/>
      <c r="T72" s="76"/>
      <c r="U72" s="77"/>
      <c r="V72" s="77"/>
    </row>
    <row r="73" spans="1:22" ht="10.15">
      <c r="A73" s="20" t="s">
        <v>30</v>
      </c>
      <c r="B73" s="21">
        <v>89050</v>
      </c>
      <c r="C73" s="21" t="s">
        <v>31</v>
      </c>
      <c r="D73" s="22" t="s">
        <v>32</v>
      </c>
      <c r="E73" s="75" t="s">
        <v>134</v>
      </c>
      <c r="F73" s="23" t="s">
        <v>135</v>
      </c>
      <c r="G73" s="23" t="s">
        <v>120</v>
      </c>
      <c r="H73" s="24" t="s">
        <v>90</v>
      </c>
      <c r="I73" s="25">
        <v>0</v>
      </c>
      <c r="J73" s="25">
        <v>43614</v>
      </c>
      <c r="K73" s="25">
        <f>I73*J73</f>
        <v>0</v>
      </c>
      <c r="L73" s="25">
        <v>1</v>
      </c>
      <c r="M73" s="25">
        <f>L73*J73</f>
        <v>43614</v>
      </c>
      <c r="N73" s="25">
        <v>0</v>
      </c>
      <c r="O73" s="25">
        <f>J73*N73</f>
        <v>0</v>
      </c>
      <c r="P73" s="25">
        <v>0</v>
      </c>
      <c r="Q73" s="25">
        <f>J73*P73</f>
        <v>0</v>
      </c>
      <c r="R73" s="25">
        <v>0</v>
      </c>
      <c r="S73" s="25">
        <f>J73*R73</f>
        <v>0</v>
      </c>
      <c r="T73" s="25">
        <f>K73+M73+O73+Q73+S73</f>
        <v>43614</v>
      </c>
      <c r="U73" s="25">
        <v>0</v>
      </c>
      <c r="V73" s="25">
        <f>SUM(T73:U73)</f>
        <v>43614</v>
      </c>
    </row>
    <row r="74" spans="1:22" ht="20.45">
      <c r="A74" s="73"/>
      <c r="B74" s="73"/>
      <c r="C74" s="73"/>
      <c r="D74" s="73"/>
      <c r="E74" s="73"/>
      <c r="F74" s="73" t="s">
        <v>136</v>
      </c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</row>
    <row r="75" spans="1:22" ht="10.15">
      <c r="A75" s="20" t="s">
        <v>30</v>
      </c>
      <c r="B75" s="21">
        <v>89050</v>
      </c>
      <c r="C75" s="21" t="s">
        <v>31</v>
      </c>
      <c r="D75" s="22" t="s">
        <v>32</v>
      </c>
      <c r="E75" s="75" t="s">
        <v>137</v>
      </c>
      <c r="F75" s="23" t="s">
        <v>138</v>
      </c>
      <c r="G75" s="23" t="s">
        <v>120</v>
      </c>
      <c r="H75" s="24" t="s">
        <v>90</v>
      </c>
      <c r="I75" s="25">
        <v>0</v>
      </c>
      <c r="J75" s="25">
        <v>25170</v>
      </c>
      <c r="K75" s="25">
        <f>I75*J75</f>
        <v>0</v>
      </c>
      <c r="L75" s="25">
        <v>1</v>
      </c>
      <c r="M75" s="25">
        <f>L75*J75</f>
        <v>25170</v>
      </c>
      <c r="N75" s="25">
        <v>0</v>
      </c>
      <c r="O75" s="25">
        <f>J75*N75</f>
        <v>0</v>
      </c>
      <c r="P75" s="25">
        <v>0</v>
      </c>
      <c r="Q75" s="25">
        <f>J75*P75</f>
        <v>0</v>
      </c>
      <c r="R75" s="25">
        <v>0</v>
      </c>
      <c r="S75" s="25">
        <f>J75*R75</f>
        <v>0</v>
      </c>
      <c r="T75" s="25">
        <f>K75+M75+O75+Q75+S75</f>
        <v>25170</v>
      </c>
      <c r="U75" s="25">
        <v>0</v>
      </c>
      <c r="V75" s="25">
        <f>SUM(T75:U75)</f>
        <v>25170</v>
      </c>
    </row>
    <row r="76" spans="1:22" ht="10.15">
      <c r="A76" s="23"/>
      <c r="B76" s="23"/>
      <c r="C76" s="23"/>
      <c r="D76" s="23"/>
      <c r="E76" s="23"/>
      <c r="F76" s="23"/>
      <c r="G76" s="23"/>
      <c r="H76" s="55"/>
    </row>
    <row r="77" spans="1:22" ht="10.9" thickBot="1">
      <c r="A77" s="39"/>
      <c r="B77" s="39"/>
      <c r="C77" s="39"/>
      <c r="D77" s="39"/>
      <c r="E77" s="39"/>
      <c r="F77" s="39" t="s">
        <v>139</v>
      </c>
      <c r="G77" s="39"/>
      <c r="H77" s="39"/>
      <c r="I77" s="78"/>
      <c r="J77" s="78"/>
      <c r="K77" s="43">
        <f>SUM(K62:K75)</f>
        <v>43629.479999999996</v>
      </c>
      <c r="L77" s="43"/>
      <c r="M77" s="43">
        <f>SUM(M62:M75)</f>
        <v>285298.31759999995</v>
      </c>
      <c r="N77" s="43"/>
      <c r="O77" s="43">
        <f>SUM(O62:O75)</f>
        <v>270475.27171599993</v>
      </c>
      <c r="P77" s="43"/>
      <c r="Q77" s="43">
        <f>SUM(Q62:Q75)</f>
        <v>266465.66122605989</v>
      </c>
      <c r="R77" s="43"/>
      <c r="S77" s="43">
        <f>SUM(S62:S75)</f>
        <v>61686.394061495339</v>
      </c>
      <c r="T77" s="43">
        <f>K77+M77+O77+Q77+S77</f>
        <v>927555.12460355507</v>
      </c>
      <c r="U77" s="43">
        <f>SUM(U62:U69)</f>
        <v>0</v>
      </c>
      <c r="V77" s="43">
        <f>SUM(T77:U77)</f>
        <v>927555.12460355507</v>
      </c>
    </row>
    <row r="78" spans="1:22" ht="10.15">
      <c r="A78" s="23"/>
      <c r="B78" s="23"/>
      <c r="C78" s="23"/>
      <c r="D78" s="23"/>
      <c r="E78" s="23"/>
      <c r="F78" s="23"/>
      <c r="G78" s="23"/>
      <c r="H78" s="55"/>
    </row>
    <row r="79" spans="1:22" ht="20.65">
      <c r="A79" s="20" t="s">
        <v>30</v>
      </c>
      <c r="B79" s="21">
        <v>89050</v>
      </c>
      <c r="C79" s="21" t="s">
        <v>31</v>
      </c>
      <c r="D79" s="22" t="s">
        <v>32</v>
      </c>
      <c r="E79" s="75" t="s">
        <v>140</v>
      </c>
      <c r="F79" s="79" t="s">
        <v>141</v>
      </c>
      <c r="G79" s="34" t="s">
        <v>142</v>
      </c>
      <c r="H79" s="80"/>
      <c r="I79" s="80"/>
      <c r="J79" s="72">
        <v>0.1</v>
      </c>
      <c r="K79" s="81">
        <f>(K77)*J79</f>
        <v>4362.9479999999994</v>
      </c>
      <c r="L79" s="81"/>
      <c r="M79" s="81">
        <f>(M77)*J79</f>
        <v>28529.831759999997</v>
      </c>
      <c r="N79" s="81"/>
      <c r="O79" s="81">
        <f>(O77)*J79</f>
        <v>27047.527171599995</v>
      </c>
      <c r="Q79" s="81">
        <f>(Q77)*J79</f>
        <v>26646.566122605989</v>
      </c>
      <c r="S79" s="81">
        <f>(S77)*J79</f>
        <v>6168.6394061495339</v>
      </c>
      <c r="T79" s="81">
        <f>SUM(K79+M79+O79+Q79+S79)</f>
        <v>92755.512460355516</v>
      </c>
      <c r="U79" s="81">
        <v>0</v>
      </c>
      <c r="V79" s="81">
        <f>SUM(T79:U79)</f>
        <v>92755.512460355516</v>
      </c>
    </row>
    <row r="80" spans="1:22" ht="10.15">
      <c r="A80" s="23"/>
      <c r="B80" s="23"/>
      <c r="C80" s="23"/>
      <c r="D80" s="23"/>
      <c r="E80" s="23"/>
      <c r="F80" s="23"/>
      <c r="G80" s="23"/>
      <c r="H80" s="55"/>
    </row>
    <row r="81" spans="1:23" ht="10.9" thickBot="1">
      <c r="A81" s="39"/>
      <c r="B81" s="39"/>
      <c r="C81" s="39"/>
      <c r="D81" s="39"/>
      <c r="E81" s="39"/>
      <c r="F81" s="39" t="s">
        <v>143</v>
      </c>
      <c r="G81" s="39"/>
      <c r="H81" s="39"/>
      <c r="I81" s="78"/>
      <c r="J81" s="78"/>
      <c r="K81" s="43">
        <f>SUM(K77:K79)</f>
        <v>47992.427999999993</v>
      </c>
      <c r="L81" s="43"/>
      <c r="M81" s="43">
        <f>SUM(M77:M79)</f>
        <v>313828.14935999992</v>
      </c>
      <c r="N81" s="43"/>
      <c r="O81" s="43">
        <f>SUM(O77:O79)</f>
        <v>297522.7988875999</v>
      </c>
      <c r="P81" s="43"/>
      <c r="Q81" s="43">
        <f>SUM(Q77:Q79)</f>
        <v>293112.22734866588</v>
      </c>
      <c r="R81" s="43"/>
      <c r="S81" s="43">
        <f>SUM(S77:S79)</f>
        <v>67855.033467644869</v>
      </c>
      <c r="T81" s="43">
        <f>K81+M81+O81+Q81+S81</f>
        <v>1020310.6370639105</v>
      </c>
      <c r="U81" s="43">
        <f>SUM(U77:U80)</f>
        <v>0</v>
      </c>
      <c r="V81" s="43">
        <f>SUM(T81:U81)</f>
        <v>1020310.6370639105</v>
      </c>
    </row>
    <row r="82" spans="1:23" ht="10.5">
      <c r="A82" s="66"/>
      <c r="B82" s="66"/>
      <c r="C82" s="66"/>
      <c r="D82" s="66"/>
      <c r="E82" s="66"/>
      <c r="F82" s="66" t="s">
        <v>144</v>
      </c>
      <c r="G82" s="67"/>
      <c r="H82" s="67"/>
      <c r="I82" s="67"/>
      <c r="J82" s="67"/>
      <c r="K82" s="82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2"/>
    </row>
    <row r="83" spans="1:23" ht="10.5">
      <c r="A83" s="68"/>
      <c r="B83" s="68"/>
      <c r="C83" s="68"/>
      <c r="D83" s="68"/>
      <c r="E83" s="68"/>
      <c r="F83" s="68" t="s">
        <v>118</v>
      </c>
      <c r="G83" s="69"/>
      <c r="H83" s="70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</row>
    <row r="84" spans="1:23" ht="10.15">
      <c r="A84" s="23"/>
      <c r="B84" s="23"/>
      <c r="C84" s="23"/>
      <c r="D84" s="23"/>
      <c r="E84" s="23"/>
      <c r="F84" s="23" t="s">
        <v>145</v>
      </c>
      <c r="G84" s="23" t="s">
        <v>146</v>
      </c>
      <c r="H84" s="45" t="s">
        <v>90</v>
      </c>
      <c r="I84" s="25">
        <f>$K$29</f>
        <v>55108.800000000003</v>
      </c>
      <c r="J84" s="33">
        <v>0.35</v>
      </c>
      <c r="K84" s="25">
        <f>I84*J84</f>
        <v>19288.079999999998</v>
      </c>
      <c r="L84" s="25">
        <f>$M$29</f>
        <v>275150.19599999994</v>
      </c>
      <c r="M84" s="25">
        <f t="shared" ref="M84:M87" si="30">L84*J84</f>
        <v>96302.56859999997</v>
      </c>
      <c r="N84" s="25">
        <f>$O$29</f>
        <v>284780.45285999996</v>
      </c>
      <c r="O84" s="25">
        <f t="shared" ref="O84:O87" si="31">N84*J84</f>
        <v>99673.158500999984</v>
      </c>
      <c r="P84" s="25">
        <f>$Q$29</f>
        <v>294747.76871009986</v>
      </c>
      <c r="Q84" s="25">
        <f t="shared" ref="Q84:Q87" si="32">P84*J84</f>
        <v>103161.71904853494</v>
      </c>
      <c r="R84" s="25">
        <f>$S$29</f>
        <v>50843.990102492236</v>
      </c>
      <c r="S84" s="25">
        <f t="shared" ref="S84:S87" si="33">R84*J84</f>
        <v>17795.396535872282</v>
      </c>
      <c r="T84" s="25">
        <f t="shared" ref="T84:T87" si="34">K84+M84+O84+Q84+S84</f>
        <v>336220.92268540722</v>
      </c>
      <c r="U84" s="25">
        <v>0</v>
      </c>
      <c r="V84" s="25">
        <f t="shared" ref="V84:V87" si="35">SUM(T84:U84)</f>
        <v>336220.92268540722</v>
      </c>
    </row>
    <row r="85" spans="1:23" ht="10.15">
      <c r="A85" s="23"/>
      <c r="B85" s="23"/>
      <c r="C85" s="23"/>
      <c r="D85" s="23"/>
      <c r="E85" s="23"/>
      <c r="F85" s="23" t="s">
        <v>147</v>
      </c>
      <c r="G85" s="23" t="s">
        <v>146</v>
      </c>
      <c r="H85" s="45" t="s">
        <v>90</v>
      </c>
      <c r="I85" s="25">
        <f>$K$39</f>
        <v>6970</v>
      </c>
      <c r="J85" s="33">
        <v>0.35</v>
      </c>
      <c r="K85" s="25">
        <f t="shared" ref="K85:K86" si="36">I85*J85</f>
        <v>2439.5</v>
      </c>
      <c r="L85" s="25">
        <f>$M$39</f>
        <v>20010</v>
      </c>
      <c r="M85" s="25">
        <f t="shared" si="30"/>
        <v>7003.5</v>
      </c>
      <c r="N85" s="25">
        <f>$O$39</f>
        <v>38550</v>
      </c>
      <c r="O85" s="25">
        <f t="shared" si="31"/>
        <v>13492.5</v>
      </c>
      <c r="P85" s="25">
        <f>$Q$39</f>
        <v>22500</v>
      </c>
      <c r="Q85" s="25">
        <f t="shared" si="32"/>
        <v>7874.9999999999991</v>
      </c>
      <c r="R85" s="25">
        <f>$S$39</f>
        <v>3725</v>
      </c>
      <c r="S85" s="25">
        <f t="shared" si="33"/>
        <v>1303.75</v>
      </c>
      <c r="T85" s="25">
        <f t="shared" si="34"/>
        <v>32114.25</v>
      </c>
      <c r="U85" s="25">
        <v>0</v>
      </c>
      <c r="V85" s="25">
        <f t="shared" si="35"/>
        <v>32114.25</v>
      </c>
    </row>
    <row r="86" spans="1:23" ht="10.15">
      <c r="A86" s="23"/>
      <c r="B86" s="23"/>
      <c r="C86" s="23"/>
      <c r="D86" s="23"/>
      <c r="E86" s="23"/>
      <c r="F86" s="23" t="s">
        <v>148</v>
      </c>
      <c r="G86" s="23" t="s">
        <v>146</v>
      </c>
      <c r="H86" s="45" t="s">
        <v>90</v>
      </c>
      <c r="I86" s="25">
        <f>$K$48</f>
        <v>7382</v>
      </c>
      <c r="J86" s="33">
        <v>0.35</v>
      </c>
      <c r="K86" s="25">
        <f t="shared" si="36"/>
        <v>2583.6999999999998</v>
      </c>
      <c r="L86" s="25">
        <f>$M$48</f>
        <v>7507</v>
      </c>
      <c r="M86" s="25">
        <f t="shared" si="30"/>
        <v>2627.45</v>
      </c>
      <c r="N86" s="25">
        <f>$O$48</f>
        <v>3100</v>
      </c>
      <c r="O86" s="25">
        <f t="shared" si="31"/>
        <v>1085</v>
      </c>
      <c r="P86" s="25">
        <f>$Q$48</f>
        <v>2500</v>
      </c>
      <c r="Q86" s="25">
        <f t="shared" si="32"/>
        <v>875</v>
      </c>
      <c r="R86" s="25">
        <f>$S$48</f>
        <v>475</v>
      </c>
      <c r="S86" s="25">
        <f t="shared" si="33"/>
        <v>166.25</v>
      </c>
      <c r="T86" s="25">
        <f t="shared" si="34"/>
        <v>7337.4</v>
      </c>
      <c r="U86" s="25">
        <v>0</v>
      </c>
      <c r="V86" s="25">
        <f t="shared" si="35"/>
        <v>7337.4</v>
      </c>
    </row>
    <row r="87" spans="1:23" ht="10.15">
      <c r="A87" s="23"/>
      <c r="B87" s="23"/>
      <c r="C87" s="23"/>
      <c r="D87" s="23"/>
      <c r="E87" s="23"/>
      <c r="F87" s="23" t="s">
        <v>149</v>
      </c>
      <c r="G87" s="23" t="s">
        <v>146</v>
      </c>
      <c r="H87" s="45" t="s">
        <v>90</v>
      </c>
      <c r="I87" s="25">
        <f>$K$57</f>
        <v>3255</v>
      </c>
      <c r="J87" s="72">
        <v>0.35</v>
      </c>
      <c r="K87" s="25">
        <f>I87*J87</f>
        <v>1139.25</v>
      </c>
      <c r="L87" s="25">
        <f>$M$57</f>
        <v>19295</v>
      </c>
      <c r="M87" s="25">
        <f t="shared" si="30"/>
        <v>6753.25</v>
      </c>
      <c r="N87" s="25">
        <f>$O$57</f>
        <v>19295</v>
      </c>
      <c r="O87" s="25">
        <f t="shared" si="31"/>
        <v>6753.25</v>
      </c>
      <c r="P87" s="25">
        <f>$Q$57</f>
        <v>19295</v>
      </c>
      <c r="Q87" s="25">
        <f t="shared" si="32"/>
        <v>6753.25</v>
      </c>
      <c r="R87" s="25">
        <f>$S$57</f>
        <v>3290</v>
      </c>
      <c r="S87" s="25">
        <f t="shared" si="33"/>
        <v>1151.5</v>
      </c>
      <c r="T87" s="25">
        <f t="shared" si="34"/>
        <v>22550.5</v>
      </c>
      <c r="U87" s="25">
        <v>0</v>
      </c>
      <c r="V87" s="25">
        <f t="shared" si="35"/>
        <v>22550.5</v>
      </c>
    </row>
    <row r="88" spans="1:23" ht="20.45">
      <c r="A88" s="73"/>
      <c r="B88" s="73"/>
      <c r="C88" s="73"/>
      <c r="D88" s="73"/>
      <c r="E88" s="73"/>
      <c r="F88" s="73" t="s">
        <v>150</v>
      </c>
      <c r="G88" s="52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</row>
    <row r="89" spans="1:23" ht="20.45">
      <c r="A89" s="20" t="s">
        <v>30</v>
      </c>
      <c r="B89" s="21">
        <v>89050</v>
      </c>
      <c r="C89" s="21" t="s">
        <v>31</v>
      </c>
      <c r="D89" s="22" t="s">
        <v>32</v>
      </c>
      <c r="E89" s="75" t="s">
        <v>151</v>
      </c>
      <c r="F89" s="23" t="s">
        <v>152</v>
      </c>
      <c r="G89" s="23" t="s">
        <v>146</v>
      </c>
      <c r="H89" s="83" t="s">
        <v>90</v>
      </c>
      <c r="I89" s="25">
        <v>0</v>
      </c>
      <c r="J89" s="25">
        <v>62890</v>
      </c>
      <c r="K89" s="25">
        <f>I89*J89</f>
        <v>0</v>
      </c>
      <c r="L89" s="25">
        <v>0</v>
      </c>
      <c r="M89" s="25">
        <f>L89*J89</f>
        <v>0</v>
      </c>
      <c r="N89" s="25">
        <v>1</v>
      </c>
      <c r="O89" s="25">
        <f>N89*J89</f>
        <v>62890</v>
      </c>
      <c r="P89" s="25">
        <v>0</v>
      </c>
      <c r="Q89" s="25">
        <f>P89*J89</f>
        <v>0</v>
      </c>
      <c r="R89" s="25">
        <v>0</v>
      </c>
      <c r="S89" s="25">
        <f>R89*J89</f>
        <v>0</v>
      </c>
      <c r="T89" s="25">
        <f>K89+M89+O89+Q89+S89</f>
        <v>62890</v>
      </c>
      <c r="U89" s="25">
        <v>0</v>
      </c>
      <c r="V89" s="25">
        <f>SUM(T89:U89)</f>
        <v>62890</v>
      </c>
    </row>
    <row r="90" spans="1:23" ht="24.6" customHeight="1">
      <c r="A90" s="84"/>
      <c r="B90" s="84"/>
      <c r="C90" s="84"/>
      <c r="D90" s="84"/>
      <c r="E90" s="84"/>
      <c r="F90" s="84" t="s">
        <v>153</v>
      </c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</row>
    <row r="91" spans="1:23" ht="10.15">
      <c r="A91" s="20" t="s">
        <v>30</v>
      </c>
      <c r="B91" s="21">
        <v>89050</v>
      </c>
      <c r="C91" s="21" t="s">
        <v>31</v>
      </c>
      <c r="D91" s="22" t="s">
        <v>32</v>
      </c>
      <c r="E91" s="75" t="s">
        <v>154</v>
      </c>
      <c r="F91" s="23" t="s">
        <v>155</v>
      </c>
      <c r="G91" s="23" t="s">
        <v>146</v>
      </c>
      <c r="H91" s="83" t="s">
        <v>90</v>
      </c>
      <c r="I91" s="34">
        <v>1</v>
      </c>
      <c r="J91" s="32">
        <v>1000</v>
      </c>
      <c r="K91" s="25">
        <f>I91*J91</f>
        <v>1000</v>
      </c>
      <c r="L91" s="56">
        <v>1</v>
      </c>
      <c r="M91" s="25">
        <f>L91*J91</f>
        <v>1000</v>
      </c>
      <c r="N91" s="56">
        <v>1</v>
      </c>
      <c r="O91" s="25">
        <f>N91*J91</f>
        <v>1000</v>
      </c>
      <c r="P91" s="25">
        <v>0</v>
      </c>
      <c r="Q91" s="25">
        <f>P91*J91</f>
        <v>0</v>
      </c>
      <c r="R91" s="25">
        <v>0</v>
      </c>
      <c r="S91" s="25">
        <f>R91*J91</f>
        <v>0</v>
      </c>
      <c r="T91" s="25">
        <f>K91+M91+O91+Q91+S91</f>
        <v>3000</v>
      </c>
      <c r="U91" s="25">
        <v>0</v>
      </c>
      <c r="V91" s="25">
        <f>SUM(T91:U91)</f>
        <v>3000</v>
      </c>
    </row>
    <row r="92" spans="1:23" s="34" customFormat="1" ht="10.15">
      <c r="A92" s="20" t="s">
        <v>30</v>
      </c>
      <c r="B92" s="21">
        <v>89050</v>
      </c>
      <c r="C92" s="21" t="s">
        <v>31</v>
      </c>
      <c r="D92" s="22" t="s">
        <v>32</v>
      </c>
      <c r="E92" s="75" t="s">
        <v>156</v>
      </c>
      <c r="F92" s="23" t="s">
        <v>157</v>
      </c>
      <c r="G92" s="23" t="s">
        <v>146</v>
      </c>
      <c r="H92" s="83" t="s">
        <v>36</v>
      </c>
      <c r="I92" s="25">
        <v>4</v>
      </c>
      <c r="J92" s="25">
        <v>2000</v>
      </c>
      <c r="K92" s="25">
        <f>I92*J92</f>
        <v>8000</v>
      </c>
      <c r="L92" s="25">
        <v>24</v>
      </c>
      <c r="M92" s="25">
        <f>L92*J92</f>
        <v>48000</v>
      </c>
      <c r="N92" s="25">
        <v>0</v>
      </c>
      <c r="O92" s="25">
        <f>N92*J92</f>
        <v>0</v>
      </c>
      <c r="P92" s="25">
        <v>0</v>
      </c>
      <c r="Q92" s="25">
        <f>P92*J92</f>
        <v>0</v>
      </c>
      <c r="R92" s="25">
        <v>0</v>
      </c>
      <c r="S92" s="25">
        <f>R92*J92</f>
        <v>0</v>
      </c>
      <c r="T92" s="25">
        <f>K92+M92+O92+Q92+S92</f>
        <v>56000</v>
      </c>
      <c r="U92" s="25">
        <v>0</v>
      </c>
      <c r="V92" s="25">
        <f>SUM(T92:U92)</f>
        <v>56000</v>
      </c>
      <c r="W92" s="85"/>
    </row>
    <row r="93" spans="1:23" s="34" customFormat="1" ht="30.6">
      <c r="A93" s="20" t="s">
        <v>30</v>
      </c>
      <c r="B93" s="21">
        <v>89050</v>
      </c>
      <c r="C93" s="21" t="s">
        <v>31</v>
      </c>
      <c r="D93" s="22" t="s">
        <v>32</v>
      </c>
      <c r="E93" s="75" t="s">
        <v>158</v>
      </c>
      <c r="F93" s="23" t="s">
        <v>159</v>
      </c>
      <c r="G93" s="23" t="s">
        <v>146</v>
      </c>
      <c r="H93" s="83" t="s">
        <v>160</v>
      </c>
      <c r="I93" s="25"/>
      <c r="J93" s="25">
        <v>20862</v>
      </c>
      <c r="K93" s="25">
        <f>I93*J93</f>
        <v>0</v>
      </c>
      <c r="L93" s="25">
        <v>3</v>
      </c>
      <c r="M93" s="25">
        <f>L93*J93</f>
        <v>62586</v>
      </c>
      <c r="N93" s="25">
        <v>0</v>
      </c>
      <c r="O93" s="25">
        <f>N93*J93</f>
        <v>0</v>
      </c>
      <c r="P93" s="25">
        <v>0</v>
      </c>
      <c r="Q93" s="25">
        <f>P93*J93</f>
        <v>0</v>
      </c>
      <c r="R93" s="25">
        <v>0</v>
      </c>
      <c r="S93" s="25">
        <f>R93*J93</f>
        <v>0</v>
      </c>
      <c r="T93" s="25">
        <f>K93+M93+O93+Q93+S93</f>
        <v>62586</v>
      </c>
      <c r="U93" s="25">
        <v>0</v>
      </c>
      <c r="V93" s="25">
        <f>SUM(T93:U93)</f>
        <v>62586</v>
      </c>
      <c r="W93" s="85"/>
    </row>
    <row r="94" spans="1:23" ht="10.9" thickBot="1">
      <c r="A94" s="39"/>
      <c r="B94" s="39"/>
      <c r="C94" s="39"/>
      <c r="D94" s="39"/>
      <c r="E94" s="39"/>
      <c r="F94" s="39" t="s">
        <v>161</v>
      </c>
      <c r="G94" s="39"/>
      <c r="H94" s="39"/>
      <c r="I94" s="78"/>
      <c r="J94" s="78"/>
      <c r="K94" s="43">
        <f>SUM(K84:K93)</f>
        <v>34450.53</v>
      </c>
      <c r="L94" s="43"/>
      <c r="M94" s="43">
        <f>SUM(M84:M93)</f>
        <v>224272.76859999995</v>
      </c>
      <c r="N94" s="43"/>
      <c r="O94" s="43">
        <f>SUM(O84:O93)</f>
        <v>184893.90850099997</v>
      </c>
      <c r="P94" s="43"/>
      <c r="Q94" s="43">
        <f>SUM(Q84:Q93)</f>
        <v>118664.96904853494</v>
      </c>
      <c r="R94" s="43"/>
      <c r="S94" s="43">
        <f>SUM(S84:S93)</f>
        <v>20416.896535872282</v>
      </c>
      <c r="T94" s="43">
        <f>SUM(T84:T93)</f>
        <v>582699.07268540724</v>
      </c>
      <c r="U94" s="43">
        <f>SUM(U84:U93)</f>
        <v>0</v>
      </c>
      <c r="V94" s="43">
        <f>SUM(T94:U94)</f>
        <v>582699.07268540724</v>
      </c>
    </row>
    <row r="95" spans="1:23" ht="10.15">
      <c r="A95" s="23"/>
      <c r="B95" s="23"/>
      <c r="C95" s="23"/>
      <c r="D95" s="23"/>
      <c r="E95" s="23"/>
      <c r="F95" s="23"/>
      <c r="G95" s="23"/>
      <c r="H95" s="55"/>
    </row>
    <row r="96" spans="1:23" ht="20.65">
      <c r="A96" s="20" t="s">
        <v>30</v>
      </c>
      <c r="B96" s="21">
        <v>89050</v>
      </c>
      <c r="C96" s="21" t="s">
        <v>31</v>
      </c>
      <c r="D96" s="22" t="s">
        <v>32</v>
      </c>
      <c r="E96" s="75" t="s">
        <v>140</v>
      </c>
      <c r="F96" s="79" t="s">
        <v>162</v>
      </c>
      <c r="G96" s="34" t="s">
        <v>142</v>
      </c>
      <c r="H96" s="80"/>
      <c r="I96" s="80"/>
      <c r="J96" s="72">
        <v>0.1</v>
      </c>
      <c r="K96" s="81">
        <f>(K94)*J96</f>
        <v>3445.0529999999999</v>
      </c>
      <c r="L96" s="81"/>
      <c r="M96" s="81">
        <f>(M94)*J96</f>
        <v>22427.276859999998</v>
      </c>
      <c r="N96" s="81"/>
      <c r="O96" s="81">
        <f>(O94)*J96</f>
        <v>18489.390850099997</v>
      </c>
      <c r="Q96" s="81">
        <f>(Q94)*J96</f>
        <v>11866.496904853495</v>
      </c>
      <c r="S96" s="81">
        <f>(S94)*J96</f>
        <v>2041.6896535872283</v>
      </c>
      <c r="T96" s="81">
        <f>SUM(K96+M96+O96+Q96+S96)</f>
        <v>58269.907268540723</v>
      </c>
      <c r="U96" s="81">
        <v>0</v>
      </c>
      <c r="V96" s="81">
        <f>SUM(T96:U96)</f>
        <v>58269.907268540723</v>
      </c>
    </row>
    <row r="97" spans="1:23" ht="10.15">
      <c r="A97" s="23"/>
      <c r="B97" s="23"/>
      <c r="C97" s="23"/>
      <c r="D97" s="23"/>
      <c r="E97" s="23"/>
      <c r="F97" s="23"/>
      <c r="G97" s="23"/>
      <c r="H97" s="55"/>
    </row>
    <row r="98" spans="1:23" ht="10.9" thickBot="1">
      <c r="A98" s="39"/>
      <c r="B98" s="39"/>
      <c r="C98" s="39"/>
      <c r="D98" s="39"/>
      <c r="E98" s="39"/>
      <c r="F98" s="39" t="s">
        <v>163</v>
      </c>
      <c r="G98" s="39"/>
      <c r="H98" s="39"/>
      <c r="I98" s="78"/>
      <c r="J98" s="78"/>
      <c r="K98" s="43">
        <f>SUM(K94:K96)</f>
        <v>37895.582999999999</v>
      </c>
      <c r="L98" s="43"/>
      <c r="M98" s="43">
        <f>SUM(M94:M96)</f>
        <v>246700.04545999994</v>
      </c>
      <c r="N98" s="43"/>
      <c r="O98" s="43">
        <f>SUM(O94:O96)</f>
        <v>203383.29935109997</v>
      </c>
      <c r="P98" s="43"/>
      <c r="Q98" s="43">
        <f>SUM(Q94:Q96)</f>
        <v>130531.46595338844</v>
      </c>
      <c r="R98" s="43"/>
      <c r="S98" s="43">
        <f>SUM(S94:S96)</f>
        <v>22458.586189459511</v>
      </c>
      <c r="T98" s="43">
        <f>K98+M98+O98+Q98+S98</f>
        <v>640968.97995394794</v>
      </c>
      <c r="U98" s="43">
        <f>SUM(U89:U93)</f>
        <v>0</v>
      </c>
      <c r="V98" s="43">
        <f>SUM(T98:U98)</f>
        <v>640968.97995394794</v>
      </c>
    </row>
    <row r="99" spans="1:23" ht="10.5">
      <c r="A99" s="66"/>
      <c r="B99" s="66"/>
      <c r="C99" s="66"/>
      <c r="D99" s="66"/>
      <c r="E99" s="66"/>
      <c r="F99" s="66" t="s">
        <v>164</v>
      </c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2"/>
    </row>
    <row r="100" spans="1:23" ht="10.5">
      <c r="A100" s="68"/>
      <c r="B100" s="68"/>
      <c r="C100" s="68"/>
      <c r="D100" s="68"/>
      <c r="E100" s="68"/>
      <c r="F100" s="68" t="s">
        <v>118</v>
      </c>
      <c r="G100" s="69"/>
      <c r="H100" s="70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</row>
    <row r="101" spans="1:23" ht="10.15">
      <c r="A101" s="23"/>
      <c r="B101" s="23"/>
      <c r="C101" s="23"/>
      <c r="D101" s="23"/>
      <c r="E101" s="23"/>
      <c r="F101" s="23" t="s">
        <v>165</v>
      </c>
      <c r="G101" s="23" t="s">
        <v>166</v>
      </c>
      <c r="H101" s="45" t="s">
        <v>90</v>
      </c>
      <c r="I101" s="25">
        <f>K29</f>
        <v>55108.800000000003</v>
      </c>
      <c r="J101" s="33">
        <v>0.05</v>
      </c>
      <c r="K101" s="25">
        <f t="shared" ref="K101:K104" si="37">I101*J101</f>
        <v>2755.4400000000005</v>
      </c>
      <c r="L101" s="25">
        <f>$M$29</f>
        <v>275150.19599999994</v>
      </c>
      <c r="M101" s="25">
        <f t="shared" ref="M101:M104" si="38">L101*J101</f>
        <v>13757.509799999998</v>
      </c>
      <c r="N101" s="25">
        <f>$O$29</f>
        <v>284780.45285999996</v>
      </c>
      <c r="O101" s="25">
        <f t="shared" ref="O101:O104" si="39">N101*J101</f>
        <v>14239.022642999998</v>
      </c>
      <c r="P101" s="25">
        <f>$Q$29</f>
        <v>294747.76871009986</v>
      </c>
      <c r="Q101" s="25">
        <f t="shared" ref="Q101:Q104" si="40">P101*J101</f>
        <v>14737.388435504994</v>
      </c>
      <c r="R101" s="25">
        <f>$S$29</f>
        <v>50843.990102492236</v>
      </c>
      <c r="S101" s="25">
        <f t="shared" ref="S101:S104" si="41">R101*J101</f>
        <v>2542.1995051246122</v>
      </c>
      <c r="T101" s="25">
        <f t="shared" ref="T101:T107" si="42">K101+M101+O101+Q101+S101</f>
        <v>48031.560383629607</v>
      </c>
      <c r="U101" s="25">
        <v>0</v>
      </c>
      <c r="V101" s="25">
        <f t="shared" ref="V101:V107" si="43">SUM(T101:U101)</f>
        <v>48031.560383629607</v>
      </c>
    </row>
    <row r="102" spans="1:23" ht="10.15">
      <c r="A102" s="23"/>
      <c r="B102" s="23"/>
      <c r="C102" s="23"/>
      <c r="D102" s="23"/>
      <c r="E102" s="23"/>
      <c r="F102" s="23" t="s">
        <v>167</v>
      </c>
      <c r="G102" s="23" t="s">
        <v>166</v>
      </c>
      <c r="H102" s="45" t="s">
        <v>90</v>
      </c>
      <c r="I102" s="25">
        <f>$K$39</f>
        <v>6970</v>
      </c>
      <c r="J102" s="33">
        <v>0.05</v>
      </c>
      <c r="K102" s="25">
        <f t="shared" si="37"/>
        <v>348.5</v>
      </c>
      <c r="L102" s="25">
        <f>$M$39</f>
        <v>20010</v>
      </c>
      <c r="M102" s="25">
        <f t="shared" si="38"/>
        <v>1000.5</v>
      </c>
      <c r="N102" s="25">
        <f>$O$39</f>
        <v>38550</v>
      </c>
      <c r="O102" s="25">
        <f t="shared" si="39"/>
        <v>1927.5</v>
      </c>
      <c r="P102" s="25">
        <f>$Q$39</f>
        <v>22500</v>
      </c>
      <c r="Q102" s="25">
        <f t="shared" si="40"/>
        <v>1125</v>
      </c>
      <c r="R102" s="25">
        <f>$S$39</f>
        <v>3725</v>
      </c>
      <c r="S102" s="25">
        <f t="shared" si="41"/>
        <v>186.25</v>
      </c>
      <c r="T102" s="25">
        <f t="shared" si="42"/>
        <v>4587.75</v>
      </c>
      <c r="U102" s="25">
        <v>0</v>
      </c>
      <c r="V102" s="25">
        <f t="shared" si="43"/>
        <v>4587.75</v>
      </c>
    </row>
    <row r="103" spans="1:23" ht="10.15">
      <c r="A103" s="23"/>
      <c r="B103" s="23"/>
      <c r="C103" s="23"/>
      <c r="D103" s="23"/>
      <c r="E103" s="23"/>
      <c r="F103" s="23" t="s">
        <v>168</v>
      </c>
      <c r="G103" s="23" t="s">
        <v>166</v>
      </c>
      <c r="H103" s="45" t="s">
        <v>90</v>
      </c>
      <c r="I103" s="25">
        <f>$K$48</f>
        <v>7382</v>
      </c>
      <c r="J103" s="33">
        <v>0.05</v>
      </c>
      <c r="K103" s="25">
        <f t="shared" si="37"/>
        <v>369.1</v>
      </c>
      <c r="L103" s="25">
        <f>$M$48</f>
        <v>7507</v>
      </c>
      <c r="M103" s="25">
        <f t="shared" si="38"/>
        <v>375.35</v>
      </c>
      <c r="N103" s="25">
        <f>$O$48</f>
        <v>3100</v>
      </c>
      <c r="O103" s="25">
        <f t="shared" si="39"/>
        <v>155</v>
      </c>
      <c r="P103" s="25">
        <f>$Q$48</f>
        <v>2500</v>
      </c>
      <c r="Q103" s="25">
        <f t="shared" si="40"/>
        <v>125</v>
      </c>
      <c r="R103" s="25">
        <f>$S$48</f>
        <v>475</v>
      </c>
      <c r="S103" s="25">
        <f t="shared" si="41"/>
        <v>23.75</v>
      </c>
      <c r="T103" s="25">
        <f t="shared" si="42"/>
        <v>1048.2</v>
      </c>
      <c r="U103" s="25">
        <v>0</v>
      </c>
      <c r="V103" s="25">
        <f t="shared" si="43"/>
        <v>1048.2</v>
      </c>
    </row>
    <row r="104" spans="1:23" ht="10.15">
      <c r="A104" s="23"/>
      <c r="B104" s="23"/>
      <c r="C104" s="23"/>
      <c r="D104" s="23"/>
      <c r="E104" s="23"/>
      <c r="F104" s="23" t="s">
        <v>169</v>
      </c>
      <c r="G104" s="23" t="s">
        <v>166</v>
      </c>
      <c r="H104" s="45" t="s">
        <v>90</v>
      </c>
      <c r="I104" s="25">
        <f>$K$57</f>
        <v>3255</v>
      </c>
      <c r="J104" s="72">
        <v>0.05</v>
      </c>
      <c r="K104" s="25">
        <f t="shared" si="37"/>
        <v>162.75</v>
      </c>
      <c r="L104" s="25">
        <f>$M$57</f>
        <v>19295</v>
      </c>
      <c r="M104" s="25">
        <f t="shared" si="38"/>
        <v>964.75</v>
      </c>
      <c r="N104" s="25">
        <f>$O$57</f>
        <v>19295</v>
      </c>
      <c r="O104" s="25">
        <f t="shared" si="39"/>
        <v>964.75</v>
      </c>
      <c r="P104" s="25">
        <f>$Q$57</f>
        <v>19295</v>
      </c>
      <c r="Q104" s="25">
        <f t="shared" si="40"/>
        <v>964.75</v>
      </c>
      <c r="R104" s="25">
        <f>$S$57</f>
        <v>3290</v>
      </c>
      <c r="S104" s="25">
        <f t="shared" si="41"/>
        <v>164.5</v>
      </c>
      <c r="T104" s="25">
        <f t="shared" si="42"/>
        <v>3221.5</v>
      </c>
      <c r="U104" s="25">
        <v>0</v>
      </c>
      <c r="V104" s="25">
        <f t="shared" si="43"/>
        <v>3221.5</v>
      </c>
    </row>
    <row r="105" spans="1:23" ht="10.15">
      <c r="A105" s="20" t="s">
        <v>30</v>
      </c>
      <c r="B105" s="21">
        <v>89050</v>
      </c>
      <c r="C105" s="21" t="s">
        <v>31</v>
      </c>
      <c r="D105" s="22" t="s">
        <v>32</v>
      </c>
      <c r="E105" s="75" t="s">
        <v>170</v>
      </c>
      <c r="F105" s="23" t="s">
        <v>171</v>
      </c>
      <c r="G105" s="23" t="s">
        <v>166</v>
      </c>
      <c r="H105" s="45" t="s">
        <v>172</v>
      </c>
      <c r="I105" s="25">
        <v>4</v>
      </c>
      <c r="J105" s="25">
        <v>110</v>
      </c>
      <c r="K105" s="25">
        <f>I105*J105</f>
        <v>440</v>
      </c>
      <c r="L105" s="25">
        <v>6</v>
      </c>
      <c r="M105" s="25">
        <f>L105*J105</f>
        <v>660</v>
      </c>
      <c r="N105" s="25">
        <v>6</v>
      </c>
      <c r="O105" s="25">
        <f>N105*J105</f>
        <v>660</v>
      </c>
      <c r="P105" s="25">
        <v>6</v>
      </c>
      <c r="Q105" s="25">
        <f>P105*J105</f>
        <v>660</v>
      </c>
      <c r="R105" s="25">
        <v>4</v>
      </c>
      <c r="S105" s="25">
        <f>R105*J105</f>
        <v>440</v>
      </c>
      <c r="T105" s="25">
        <f t="shared" si="42"/>
        <v>2860</v>
      </c>
      <c r="U105" s="25">
        <v>0</v>
      </c>
      <c r="V105" s="25">
        <f t="shared" si="43"/>
        <v>2860</v>
      </c>
    </row>
    <row r="106" spans="1:23" ht="10.15">
      <c r="A106" s="20" t="s">
        <v>30</v>
      </c>
      <c r="B106" s="21">
        <v>89050</v>
      </c>
      <c r="C106" s="21" t="s">
        <v>31</v>
      </c>
      <c r="D106" s="22" t="s">
        <v>32</v>
      </c>
      <c r="E106" s="75" t="s">
        <v>173</v>
      </c>
      <c r="F106" s="23" t="s">
        <v>174</v>
      </c>
      <c r="G106" s="23" t="s">
        <v>166</v>
      </c>
      <c r="H106" s="45" t="s">
        <v>172</v>
      </c>
      <c r="I106" s="25">
        <v>4</v>
      </c>
      <c r="J106" s="25">
        <v>100</v>
      </c>
      <c r="K106" s="25">
        <f>I106*J106</f>
        <v>400</v>
      </c>
      <c r="L106" s="25">
        <v>6</v>
      </c>
      <c r="M106" s="25">
        <f>L106*J106</f>
        <v>600</v>
      </c>
      <c r="N106" s="25">
        <v>6</v>
      </c>
      <c r="O106" s="25">
        <f>N106*J106</f>
        <v>600</v>
      </c>
      <c r="P106" s="25">
        <v>6</v>
      </c>
      <c r="Q106" s="25">
        <f>P106*J106</f>
        <v>600</v>
      </c>
      <c r="R106" s="25">
        <v>4</v>
      </c>
      <c r="S106" s="25">
        <f>R106*J106</f>
        <v>400</v>
      </c>
      <c r="T106" s="25">
        <f t="shared" si="42"/>
        <v>2600</v>
      </c>
      <c r="U106" s="25">
        <v>0</v>
      </c>
      <c r="V106" s="25">
        <f t="shared" si="43"/>
        <v>2600</v>
      </c>
    </row>
    <row r="107" spans="1:23" ht="10.15">
      <c r="A107" s="20" t="s">
        <v>30</v>
      </c>
      <c r="B107" s="21">
        <v>89050</v>
      </c>
      <c r="C107" s="21" t="s">
        <v>31</v>
      </c>
      <c r="D107" s="22" t="s">
        <v>32</v>
      </c>
      <c r="E107" s="75" t="s">
        <v>175</v>
      </c>
      <c r="F107" s="23" t="s">
        <v>176</v>
      </c>
      <c r="G107" s="23" t="s">
        <v>166</v>
      </c>
      <c r="H107" s="45" t="s">
        <v>90</v>
      </c>
      <c r="I107" s="25">
        <v>1</v>
      </c>
      <c r="J107" s="25">
        <v>100</v>
      </c>
      <c r="K107" s="25">
        <f>I107*J107</f>
        <v>100</v>
      </c>
      <c r="L107" s="25">
        <v>1</v>
      </c>
      <c r="M107" s="25">
        <f>L107*J107</f>
        <v>100</v>
      </c>
      <c r="N107" s="25">
        <v>1</v>
      </c>
      <c r="O107" s="25">
        <f>N107*J107</f>
        <v>100</v>
      </c>
      <c r="P107" s="25">
        <v>1</v>
      </c>
      <c r="Q107" s="25">
        <f>P107*J107</f>
        <v>100</v>
      </c>
      <c r="R107" s="25">
        <v>1</v>
      </c>
      <c r="S107" s="25">
        <f>R107*J107</f>
        <v>100</v>
      </c>
      <c r="T107" s="25">
        <f t="shared" si="42"/>
        <v>500</v>
      </c>
      <c r="U107" s="25">
        <v>0</v>
      </c>
      <c r="V107" s="25">
        <f t="shared" si="43"/>
        <v>500</v>
      </c>
    </row>
    <row r="108" spans="1:23" ht="10.15">
      <c r="A108" s="23"/>
      <c r="B108" s="21"/>
      <c r="C108" s="21"/>
      <c r="D108" s="22"/>
      <c r="E108" s="22"/>
      <c r="F108" s="23"/>
      <c r="G108" s="23"/>
      <c r="H108" s="55"/>
    </row>
    <row r="109" spans="1:23" ht="10.9" thickBot="1">
      <c r="A109" s="39"/>
      <c r="B109" s="39"/>
      <c r="C109" s="39"/>
      <c r="D109" s="39"/>
      <c r="E109" s="39"/>
      <c r="F109" s="39" t="s">
        <v>177</v>
      </c>
      <c r="G109" s="39"/>
      <c r="H109" s="39"/>
      <c r="I109" s="78"/>
      <c r="J109" s="78"/>
      <c r="K109" s="43">
        <f>SUM(K101:K107)</f>
        <v>4575.7900000000009</v>
      </c>
      <c r="L109" s="43"/>
      <c r="M109" s="43">
        <f>SUM(M101:M107)</f>
        <v>17458.109799999998</v>
      </c>
      <c r="N109" s="43"/>
      <c r="O109" s="43">
        <f>SUM(O101:O107)</f>
        <v>18646.272642999997</v>
      </c>
      <c r="P109" s="43"/>
      <c r="Q109" s="43">
        <f>SUM(Q101:Q107)</f>
        <v>18312.138435504996</v>
      </c>
      <c r="R109" s="43"/>
      <c r="S109" s="43">
        <f>SUM(S101:S107)</f>
        <v>3856.6995051246122</v>
      </c>
      <c r="T109" s="43">
        <f>K109+M109+O109+Q109+S109</f>
        <v>62849.010383629604</v>
      </c>
      <c r="U109" s="43">
        <f>SUM(U101:U107)</f>
        <v>0</v>
      </c>
      <c r="V109" s="43">
        <f>SUM(T109:U109)</f>
        <v>62849.010383629604</v>
      </c>
    </row>
    <row r="110" spans="1:23" ht="10.15">
      <c r="A110" s="23"/>
      <c r="B110" s="23"/>
      <c r="C110" s="23"/>
      <c r="D110" s="23"/>
      <c r="E110" s="23"/>
      <c r="F110" s="23"/>
      <c r="G110" s="23"/>
      <c r="H110" s="55"/>
    </row>
    <row r="111" spans="1:23" ht="20.65">
      <c r="A111" s="20" t="s">
        <v>30</v>
      </c>
      <c r="B111" s="21">
        <v>89050</v>
      </c>
      <c r="C111" s="21" t="s">
        <v>31</v>
      </c>
      <c r="D111" s="22" t="s">
        <v>32</v>
      </c>
      <c r="E111" s="75" t="s">
        <v>140</v>
      </c>
      <c r="F111" s="79" t="s">
        <v>178</v>
      </c>
      <c r="G111" s="34" t="s">
        <v>142</v>
      </c>
      <c r="H111" s="80"/>
      <c r="I111" s="80"/>
      <c r="J111" s="72">
        <v>0.1</v>
      </c>
      <c r="K111" s="81">
        <f>(K109)*J111</f>
        <v>457.57900000000012</v>
      </c>
      <c r="L111" s="81"/>
      <c r="M111" s="81">
        <f>(M109)*J111</f>
        <v>1745.81098</v>
      </c>
      <c r="N111" s="81"/>
      <c r="O111" s="81">
        <f>(O109)*J111</f>
        <v>1864.6272642999998</v>
      </c>
      <c r="Q111" s="81">
        <f>(Q109)*J111</f>
        <v>1831.2138435504996</v>
      </c>
      <c r="S111" s="81">
        <f>(S109)*J111</f>
        <v>385.66995051246124</v>
      </c>
      <c r="T111" s="81">
        <f>SUM(K111+M111+O111+Q111+S111)</f>
        <v>6284.9010383629611</v>
      </c>
      <c r="U111" s="81">
        <v>0</v>
      </c>
      <c r="V111" s="81">
        <f>SUM(T111:U111)</f>
        <v>6284.9010383629611</v>
      </c>
    </row>
    <row r="112" spans="1:23" ht="10.15">
      <c r="A112" s="23"/>
      <c r="B112" s="23"/>
      <c r="C112" s="23"/>
      <c r="D112" s="23"/>
      <c r="E112" s="23"/>
      <c r="F112" s="23"/>
      <c r="G112" s="23"/>
      <c r="H112" s="55"/>
    </row>
    <row r="113" spans="1:22" ht="10.9" thickBot="1">
      <c r="A113" s="39"/>
      <c r="B113" s="39"/>
      <c r="C113" s="39"/>
      <c r="D113" s="39"/>
      <c r="E113" s="39"/>
      <c r="F113" s="39" t="s">
        <v>179</v>
      </c>
      <c r="G113" s="39"/>
      <c r="H113" s="39"/>
      <c r="I113" s="78"/>
      <c r="J113" s="78"/>
      <c r="K113" s="43">
        <f>SUM(K109:K111)</f>
        <v>5033.3690000000006</v>
      </c>
      <c r="L113" s="43"/>
      <c r="M113" s="43">
        <f>SUM(M109:M111)</f>
        <v>19203.920779999997</v>
      </c>
      <c r="N113" s="43"/>
      <c r="O113" s="43">
        <f>SUM(O109:O111)</f>
        <v>20510.899907299998</v>
      </c>
      <c r="P113" s="43"/>
      <c r="Q113" s="43">
        <f>SUM(Q109:Q111)</f>
        <v>20143.352279055496</v>
      </c>
      <c r="R113" s="43"/>
      <c r="S113" s="43">
        <f>SUM(S109:S111)</f>
        <v>4242.3694556370738</v>
      </c>
      <c r="T113" s="43">
        <f>K113+M113+O113+Q113+S113</f>
        <v>69133.911421992569</v>
      </c>
      <c r="U113" s="43">
        <f>SUM(U109:U111)</f>
        <v>0</v>
      </c>
      <c r="V113" s="43">
        <f>SUM(T113:U113)</f>
        <v>69133.911421992569</v>
      </c>
    </row>
    <row r="114" spans="1:22" ht="10.5">
      <c r="A114" s="86"/>
      <c r="B114" s="86"/>
      <c r="C114" s="86"/>
      <c r="D114" s="86"/>
      <c r="E114" s="86"/>
      <c r="F114" s="86"/>
      <c r="G114" s="86"/>
      <c r="H114" s="87"/>
      <c r="I114" s="2"/>
      <c r="J114" s="88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</row>
    <row r="115" spans="1:22" ht="10.9" thickBot="1">
      <c r="A115" s="90"/>
      <c r="B115" s="90"/>
      <c r="C115" s="90"/>
      <c r="D115" s="90"/>
      <c r="E115" s="90"/>
      <c r="F115" s="90" t="s">
        <v>180</v>
      </c>
      <c r="G115" s="90"/>
      <c r="H115" s="90"/>
      <c r="I115" s="90"/>
      <c r="J115" s="91"/>
      <c r="K115" s="92">
        <f>K113+K98+K81</f>
        <v>90921.37999999999</v>
      </c>
      <c r="L115" s="92"/>
      <c r="M115" s="92">
        <f>M113+M98+M81</f>
        <v>579732.1155999999</v>
      </c>
      <c r="N115" s="92"/>
      <c r="O115" s="92">
        <f>O113+O98+O81</f>
        <v>521416.99814599985</v>
      </c>
      <c r="P115" s="92"/>
      <c r="Q115" s="92">
        <f>Q113+Q98+Q81</f>
        <v>443787.04558110982</v>
      </c>
      <c r="R115" s="92"/>
      <c r="S115" s="92">
        <f>S113+S98+S81</f>
        <v>94555.989112741459</v>
      </c>
      <c r="T115" s="92">
        <f>S115+Q115+O115+M115+K115</f>
        <v>1730413.5284398508</v>
      </c>
      <c r="U115" s="92">
        <f>U113+U98+U81</f>
        <v>0</v>
      </c>
      <c r="V115" s="92">
        <f>SUM(T115:U115)</f>
        <v>1730413.5284398508</v>
      </c>
    </row>
    <row r="116" spans="1:22" ht="10.5" thickTop="1"/>
    <row r="117" spans="1:22" ht="10.15"/>
    <row r="118" spans="1:22" ht="10.15">
      <c r="T118" s="93"/>
    </row>
    <row r="119" spans="1:22" ht="10.15">
      <c r="J119" s="1"/>
      <c r="U119" s="94"/>
    </row>
    <row r="120" spans="1:22" ht="10.15">
      <c r="A120" s="95"/>
      <c r="B120" s="95"/>
      <c r="C120" s="95"/>
      <c r="D120" s="95"/>
      <c r="E120" s="95"/>
      <c r="F120" s="95"/>
      <c r="G120" s="95"/>
      <c r="H120" s="85"/>
    </row>
    <row r="121" spans="1:22" ht="10.15">
      <c r="A121" s="95"/>
      <c r="B121" s="95"/>
      <c r="C121" s="95"/>
      <c r="D121" s="95"/>
      <c r="E121" s="95"/>
      <c r="F121" s="95"/>
      <c r="G121" s="95"/>
      <c r="H121" s="96"/>
    </row>
    <row r="122" spans="1:22" ht="10.15"/>
    <row r="123" spans="1:22" ht="10.15">
      <c r="A123" s="95"/>
      <c r="B123" s="95"/>
      <c r="C123" s="95"/>
      <c r="D123" s="95"/>
      <c r="E123" s="95"/>
      <c r="F123" s="95"/>
      <c r="G123" s="95"/>
      <c r="H123" s="85"/>
    </row>
    <row r="124" spans="1:22" ht="10.15">
      <c r="A124" s="95"/>
      <c r="B124" s="95"/>
      <c r="C124" s="95"/>
      <c r="D124" s="95"/>
      <c r="E124" s="95"/>
      <c r="F124" s="95"/>
      <c r="G124" s="95"/>
      <c r="H124" s="96"/>
    </row>
    <row r="125" spans="1:22" ht="10.15"/>
    <row r="126" spans="1:22" ht="10.15">
      <c r="A126" s="95"/>
      <c r="B126" s="95"/>
      <c r="C126" s="95"/>
      <c r="D126" s="95"/>
      <c r="E126" s="95"/>
      <c r="F126" s="95"/>
      <c r="G126" s="95"/>
      <c r="H126" s="85"/>
    </row>
    <row r="127" spans="1:22" ht="10.15">
      <c r="A127" s="95"/>
      <c r="B127" s="95"/>
      <c r="C127" s="95"/>
      <c r="D127" s="95"/>
      <c r="E127" s="95"/>
      <c r="F127" s="95"/>
      <c r="G127" s="95"/>
      <c r="H127" s="96"/>
    </row>
    <row r="128" spans="1:22" ht="10.15"/>
    <row r="129" spans="1:22" ht="10.15">
      <c r="A129" s="95"/>
      <c r="B129" s="95"/>
      <c r="C129" s="95"/>
      <c r="D129" s="95"/>
      <c r="E129" s="95"/>
      <c r="F129" s="95"/>
      <c r="G129" s="95"/>
      <c r="H129" s="85"/>
    </row>
    <row r="130" spans="1:22" ht="10.15">
      <c r="A130" s="95"/>
      <c r="B130" s="95"/>
      <c r="C130" s="95"/>
      <c r="D130" s="95"/>
      <c r="E130" s="95"/>
      <c r="F130" s="95"/>
      <c r="G130" s="95"/>
      <c r="H130" s="96"/>
    </row>
    <row r="131" spans="1:22" ht="10.15"/>
    <row r="132" spans="1:22" ht="10.15">
      <c r="A132" s="95"/>
      <c r="B132" s="95"/>
      <c r="C132" s="95"/>
      <c r="D132" s="95"/>
      <c r="E132" s="95"/>
      <c r="F132" s="95"/>
      <c r="G132" s="95"/>
      <c r="H132" s="85"/>
    </row>
    <row r="133" spans="1:22" ht="10.15">
      <c r="A133" s="95"/>
      <c r="B133" s="95"/>
      <c r="C133" s="95"/>
      <c r="D133" s="95"/>
      <c r="E133" s="95"/>
      <c r="F133" s="95"/>
      <c r="G133" s="95"/>
      <c r="H133" s="96"/>
    </row>
    <row r="134" spans="1:22" ht="10.15"/>
    <row r="135" spans="1:22" ht="10.15"/>
    <row r="136" spans="1:22" ht="10.15"/>
    <row r="137" spans="1:22" ht="1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0.15"/>
    <row r="139" spans="1:22" ht="1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</sheetData>
  <mergeCells count="5">
    <mergeCell ref="F1:V1"/>
    <mergeCell ref="F2:V2"/>
    <mergeCell ref="F3:V3"/>
    <mergeCell ref="F4:G4"/>
    <mergeCell ref="F58:V58"/>
  </mergeCells>
  <pageMargins left="0.7" right="0.7" top="0.75" bottom="0.75" header="0.3" footer="0.3"/>
  <pageSetup scale="16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9" ma:contentTypeDescription="Create a new document." ma:contentTypeScope="" ma:versionID="a5577d833b9f28dcc6be37a04859b9a8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ae50cb7862d574a2d96b6910b4abdc85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Props1.xml><?xml version="1.0" encoding="utf-8"?>
<ds:datastoreItem xmlns:ds="http://schemas.openxmlformats.org/officeDocument/2006/customXml" ds:itemID="{7776E2EC-5ED3-4E39-8FDD-9CE0A5F58340}"/>
</file>

<file path=customXml/itemProps2.xml><?xml version="1.0" encoding="utf-8"?>
<ds:datastoreItem xmlns:ds="http://schemas.openxmlformats.org/officeDocument/2006/customXml" ds:itemID="{6BF2738C-14CD-435E-B2EE-368FECEF2E39}"/>
</file>

<file path=customXml/itemProps3.xml><?xml version="1.0" encoding="utf-8"?>
<ds:datastoreItem xmlns:ds="http://schemas.openxmlformats.org/officeDocument/2006/customXml" ds:itemID="{3378246D-86AB-4734-8924-FEE635DFC1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Danielle Martin</dc:creator>
  <cp:keywords/>
  <dc:description/>
  <cp:lastModifiedBy>Megan Ash</cp:lastModifiedBy>
  <cp:revision/>
  <dcterms:created xsi:type="dcterms:W3CDTF">2023-02-02T07:08:54Z</dcterms:created>
  <dcterms:modified xsi:type="dcterms:W3CDTF">2023-02-08T20:58:50Z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</Properties>
</file>