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Partners of the Americas\F&amp;A - Finance &amp; Operational\Grant Setups &amp; Valid Combinations\"/>
    </mc:Choice>
  </mc:AlternateContent>
  <xr:revisionPtr revIDLastSave="0" documentId="13_ncr:1_{DB121C3B-5FAF-4363-BF46-B1724E0A8B82}" xr6:coauthVersionLast="45" xr6:coauthVersionMax="45" xr10:uidLastSave="{00000000-0000-0000-0000-000000000000}"/>
  <bookViews>
    <workbookView xWindow="-96" yWindow="-96" windowWidth="23232" windowHeight="12552" tabRatio="792" activeTab="1" xr2:uid="{00000000-000D-0000-FFFF-FFFF00000000}"/>
  </bookViews>
  <sheets>
    <sheet name="1. Summary Budget" sheetId="3" r:id="rId1"/>
    <sheet name="2. Detailed Budget" sheetId="5" r:id="rId2"/>
  </sheets>
  <definedNames>
    <definedName name="_xlnm.Print_Area" localSheetId="0">'1. Summary Budget'!$A$1:$D$18</definedName>
    <definedName name="_xlnm.Print_Area" localSheetId="1">'2. Detailed Budget'!$D$1:$K$41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6" i="5" l="1"/>
  <c r="I11" i="5" l="1"/>
  <c r="I12" i="5" s="1"/>
  <c r="H23" i="5" l="1"/>
  <c r="I14" i="5"/>
  <c r="I15" i="5" s="1"/>
  <c r="K31" i="5" l="1"/>
  <c r="H24" i="5"/>
  <c r="H25" i="5"/>
  <c r="K13" i="5"/>
  <c r="K15" i="5"/>
  <c r="K10" i="5"/>
  <c r="K11" i="5"/>
  <c r="K14" i="5" l="1"/>
  <c r="K12" i="5"/>
  <c r="K25" i="5"/>
  <c r="K24" i="5"/>
  <c r="K23" i="5"/>
  <c r="K22" i="5"/>
  <c r="K18" i="5" l="1"/>
  <c r="D8" i="3" l="1"/>
  <c r="K37" i="5" l="1"/>
  <c r="K33" i="5"/>
  <c r="K34" i="5" s="1"/>
  <c r="D13" i="3" l="1"/>
  <c r="K26" i="5"/>
  <c r="D10" i="3" s="1"/>
  <c r="K38" i="5"/>
  <c r="D15" i="3" s="1"/>
  <c r="D9" i="3" l="1"/>
  <c r="K19" i="5" l="1"/>
  <c r="K39" i="5" l="1"/>
  <c r="D16" i="3" s="1"/>
  <c r="K40" i="5" l="1"/>
  <c r="D17" i="3" l="1"/>
  <c r="K41" i="5"/>
  <c r="D18" i="3" s="1"/>
</calcChain>
</file>

<file path=xl/sharedStrings.xml><?xml version="1.0" encoding="utf-8"?>
<sst xmlns="http://schemas.openxmlformats.org/spreadsheetml/2006/main" count="156" uniqueCount="123">
  <si>
    <t>SUMMARY BUDGET</t>
  </si>
  <si>
    <t>Partners of the Americas</t>
  </si>
  <si>
    <t>100,000 Strong in the Americas</t>
  </si>
  <si>
    <t>24 Months</t>
  </si>
  <si>
    <t xml:space="preserve">        </t>
  </si>
  <si>
    <t>Original Budget</t>
  </si>
  <si>
    <t>A</t>
  </si>
  <si>
    <t>Personnel</t>
  </si>
  <si>
    <t>B</t>
  </si>
  <si>
    <t>Fringe Benefits</t>
  </si>
  <si>
    <t>C</t>
  </si>
  <si>
    <t xml:space="preserve">Travel </t>
  </si>
  <si>
    <t>D</t>
  </si>
  <si>
    <t>Equipment</t>
  </si>
  <si>
    <t>E</t>
  </si>
  <si>
    <t>Supplies</t>
  </si>
  <si>
    <t>F</t>
  </si>
  <si>
    <t>Contractual</t>
  </si>
  <si>
    <t>G</t>
  </si>
  <si>
    <t>Construction</t>
  </si>
  <si>
    <t>H</t>
  </si>
  <si>
    <t>Other Direct Costs</t>
  </si>
  <si>
    <t>I</t>
  </si>
  <si>
    <t>Total Direct charges</t>
  </si>
  <si>
    <t>J</t>
  </si>
  <si>
    <t>Total Indirect costs</t>
  </si>
  <si>
    <t>K</t>
  </si>
  <si>
    <t xml:space="preserve">Total Project Cost </t>
  </si>
  <si>
    <t>L</t>
  </si>
  <si>
    <t>Cost Share (if applicable)</t>
  </si>
  <si>
    <t>* line item amounts auto-fill from "Detailed Grant Budget Template" tab</t>
  </si>
  <si>
    <t xml:space="preserve"> LINE-ITEM BUDGET</t>
  </si>
  <si>
    <t>Project Title</t>
  </si>
  <si>
    <t>Project Duration: 24 months</t>
  </si>
  <si>
    <t>Project duration</t>
  </si>
  <si>
    <t>Unit Cost</t>
  </si>
  <si>
    <t>Original Budget Federal Share</t>
  </si>
  <si>
    <t>Unit</t>
  </si>
  <si>
    <t>Number</t>
  </si>
  <si>
    <t xml:space="preserve"> Amount  </t>
  </si>
  <si>
    <t>Rate</t>
  </si>
  <si>
    <t>months or years</t>
  </si>
  <si>
    <t>salary           (monthly)</t>
  </si>
  <si>
    <r>
      <t xml:space="preserve">% effort for Personnel </t>
    </r>
    <r>
      <rPr>
        <u/>
        <sz val="8"/>
        <color theme="1"/>
        <rFont val="Times New Roman"/>
        <family val="1"/>
      </rPr>
      <t>only</t>
    </r>
    <r>
      <rPr>
        <sz val="8"/>
        <color theme="1"/>
        <rFont val="Times New Roman"/>
        <family val="1"/>
      </rPr>
      <t xml:space="preserve"> </t>
    </r>
  </si>
  <si>
    <t>A.1</t>
  </si>
  <si>
    <t>US-Based personnel</t>
  </si>
  <si>
    <t>A.1.1</t>
  </si>
  <si>
    <t>Vice President/Senior Director</t>
  </si>
  <si>
    <t>Month - (October 1, 2020 - December 31, 2020)</t>
  </si>
  <si>
    <t>Month - (January 1, 2021 - December 31, 2021)</t>
  </si>
  <si>
    <t>Month - (January 1, 2022 - Sept. 30, 2022)</t>
  </si>
  <si>
    <t>A.1.2</t>
  </si>
  <si>
    <t>Director of Partnerships</t>
  </si>
  <si>
    <t>Subtotal Personnel</t>
  </si>
  <si>
    <t>B.1</t>
  </si>
  <si>
    <t>US-Based Personnel Fringe Benefits</t>
  </si>
  <si>
    <t>Subtotal Fringe Benefits</t>
  </si>
  <si>
    <t># people</t>
  </si>
  <si>
    <t># units</t>
  </si>
  <si>
    <t>unit Cost</t>
  </si>
  <si>
    <t>C.1</t>
  </si>
  <si>
    <t>Staff/Consultant Travel</t>
  </si>
  <si>
    <t>C.1.1</t>
  </si>
  <si>
    <t>International Round Trip Airfare</t>
  </si>
  <si>
    <t>trips</t>
  </si>
  <si>
    <t>C.1.2</t>
  </si>
  <si>
    <t xml:space="preserve">International M&amp;IE </t>
  </si>
  <si>
    <t>days</t>
  </si>
  <si>
    <t>C.1.3</t>
  </si>
  <si>
    <t>International Lodging</t>
  </si>
  <si>
    <t>nights</t>
  </si>
  <si>
    <t>C.1.4</t>
  </si>
  <si>
    <t>International Local Transportation</t>
  </si>
  <si>
    <t>Subtotal Travel</t>
  </si>
  <si>
    <r>
      <t xml:space="preserve">Equipment  </t>
    </r>
    <r>
      <rPr>
        <b/>
        <sz val="8"/>
        <color theme="1"/>
        <rFont val="Times New Roman"/>
        <family val="1"/>
      </rPr>
      <t>(&gt; $5,000 per unit )</t>
    </r>
  </si>
  <si>
    <t>unit cost</t>
  </si>
  <si>
    <r>
      <t xml:space="preserve">Supplies </t>
    </r>
    <r>
      <rPr>
        <b/>
        <sz val="8"/>
        <color theme="1"/>
        <rFont val="Times New Roman"/>
        <family val="1"/>
      </rPr>
      <t xml:space="preserve"> (&lt; $5,000 per unit)</t>
    </r>
  </si>
  <si>
    <r>
      <t xml:space="preserve">Contractual </t>
    </r>
    <r>
      <rPr>
        <b/>
        <sz val="8"/>
        <color theme="1"/>
        <rFont val="Times New Roman"/>
        <family val="1"/>
      </rPr>
      <t>(Subrecipients, Subcontracts, and Consultant fees)</t>
    </r>
  </si>
  <si>
    <t>F.1</t>
  </si>
  <si>
    <t>Sub-grants</t>
  </si>
  <si>
    <t xml:space="preserve">     daily rate</t>
  </si>
  <si>
    <t>F.1.1</t>
  </si>
  <si>
    <t>HEI Sub-grants</t>
  </si>
  <si>
    <t>grants</t>
  </si>
  <si>
    <t>F.2</t>
  </si>
  <si>
    <t>Consultants</t>
  </si>
  <si>
    <t>F.2.1</t>
  </si>
  <si>
    <t>Fundraising Consultant</t>
  </si>
  <si>
    <t>months</t>
  </si>
  <si>
    <t>Subtotal Contractual</t>
  </si>
  <si>
    <t>H.6</t>
  </si>
  <si>
    <t>Translation Costs</t>
  </si>
  <si>
    <t>document</t>
  </si>
  <si>
    <t>Subtotal Other Direct Costs</t>
  </si>
  <si>
    <t>Total Direct Costs</t>
  </si>
  <si>
    <r>
      <t>Indirect Costs</t>
    </r>
    <r>
      <rPr>
        <b/>
        <sz val="8"/>
        <color theme="1"/>
        <rFont val="Times New Roman"/>
        <family val="1"/>
      </rPr>
      <t xml:space="preserve"> </t>
    </r>
  </si>
  <si>
    <t>Partners of the Americas,100,000 Strong in the Americas - EOY 2020 Funds PAS-Chile</t>
  </si>
  <si>
    <t>Activity Code</t>
  </si>
  <si>
    <t>Object Code</t>
  </si>
  <si>
    <t>Country Code</t>
  </si>
  <si>
    <t>Entity:</t>
  </si>
  <si>
    <t>P</t>
  </si>
  <si>
    <t>Program/Dept.:</t>
  </si>
  <si>
    <t>100K</t>
  </si>
  <si>
    <t>Funder-Grant:</t>
  </si>
  <si>
    <t>DOS261</t>
  </si>
  <si>
    <t>FRINGE</t>
  </si>
  <si>
    <t>STFTRAVEL</t>
  </si>
  <si>
    <t>7510</t>
  </si>
  <si>
    <t>0</t>
  </si>
  <si>
    <t>STFTRVCTS</t>
  </si>
  <si>
    <t>7520</t>
  </si>
  <si>
    <t>7320</t>
  </si>
  <si>
    <t>LOCAL TRVL</t>
  </si>
  <si>
    <t>7530</t>
  </si>
  <si>
    <t>GRANTS</t>
  </si>
  <si>
    <t>CONSULT</t>
  </si>
  <si>
    <t>TRANS</t>
  </si>
  <si>
    <t>7740</t>
  </si>
  <si>
    <t>IDC</t>
  </si>
  <si>
    <t>8400</t>
  </si>
  <si>
    <t>PERSNL</t>
  </si>
  <si>
    <t>Timesheets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</si>
</sst>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u/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Times New Roman"/>
      <family val="1"/>
    </font>
    <font>
      <sz val="8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 applyBorder="1"/>
    <xf numFmtId="0" fontId="5" fillId="0" borderId="5" xfId="0" applyFont="1" applyBorder="1" applyAlignment="1">
      <alignment wrapText="1"/>
    </xf>
    <xf numFmtId="49" fontId="9" fillId="0" borderId="0" xfId="0" applyNumberFormat="1" applyFont="1"/>
    <xf numFmtId="0" fontId="6" fillId="3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4" fillId="2" borderId="6" xfId="0" applyFont="1" applyFill="1" applyBorder="1" applyAlignment="1">
      <alignment wrapText="1"/>
    </xf>
    <xf numFmtId="0" fontId="4" fillId="2" borderId="6" xfId="0" applyFont="1" applyFill="1" applyBorder="1" applyAlignment="1">
      <alignment horizontal="right" wrapText="1"/>
    </xf>
    <xf numFmtId="0" fontId="5" fillId="2" borderId="6" xfId="0" applyFont="1" applyFill="1" applyBorder="1" applyAlignment="1">
      <alignment wrapText="1"/>
    </xf>
    <xf numFmtId="0" fontId="5" fillId="2" borderId="6" xfId="0" applyFont="1" applyFill="1" applyBorder="1" applyAlignment="1">
      <alignment horizontal="right" wrapText="1"/>
    </xf>
    <xf numFmtId="0" fontId="10" fillId="3" borderId="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49" fontId="1" fillId="3" borderId="2" xfId="0" applyNumberFormat="1" applyFont="1" applyFill="1" applyBorder="1" applyAlignment="1">
      <alignment vertical="center"/>
    </xf>
    <xf numFmtId="4" fontId="4" fillId="0" borderId="5" xfId="0" applyNumberFormat="1" applyFont="1" applyBorder="1" applyAlignment="1">
      <alignment wrapText="1"/>
    </xf>
    <xf numFmtId="4" fontId="6" fillId="3" borderId="6" xfId="0" applyNumberFormat="1" applyFont="1" applyFill="1" applyBorder="1" applyAlignment="1">
      <alignment horizontal="center" vertical="center" wrapText="1"/>
    </xf>
    <xf numFmtId="4" fontId="5" fillId="2" borderId="6" xfId="0" applyNumberFormat="1" applyFont="1" applyFill="1" applyBorder="1" applyAlignment="1">
      <alignment wrapText="1"/>
    </xf>
    <xf numFmtId="49" fontId="1" fillId="3" borderId="9" xfId="0" applyNumberFormat="1" applyFont="1" applyFill="1" applyBorder="1" applyAlignment="1">
      <alignment vertical="center"/>
    </xf>
    <xf numFmtId="0" fontId="10" fillId="3" borderId="10" xfId="0" applyFont="1" applyFill="1" applyBorder="1" applyAlignment="1">
      <alignment vertical="center" wrapText="1"/>
    </xf>
    <xf numFmtId="4" fontId="4" fillId="2" borderId="6" xfId="0" applyNumberFormat="1" applyFont="1" applyFill="1" applyBorder="1" applyAlignment="1">
      <alignment wrapText="1"/>
    </xf>
    <xf numFmtId="0" fontId="4" fillId="2" borderId="6" xfId="0" applyFont="1" applyFill="1" applyBorder="1"/>
    <xf numFmtId="4" fontId="4" fillId="2" borderId="6" xfId="0" applyNumberFormat="1" applyFont="1" applyFill="1" applyBorder="1"/>
    <xf numFmtId="0" fontId="10" fillId="3" borderId="0" xfId="0" applyFont="1" applyFill="1" applyBorder="1" applyAlignment="1">
      <alignment vertical="center" wrapText="1"/>
    </xf>
    <xf numFmtId="49" fontId="1" fillId="3" borderId="11" xfId="0" applyNumberFormat="1" applyFont="1" applyFill="1" applyBorder="1" applyAlignment="1">
      <alignment vertical="center"/>
    </xf>
    <xf numFmtId="0" fontId="5" fillId="2" borderId="6" xfId="0" applyFont="1" applyFill="1" applyBorder="1"/>
    <xf numFmtId="4" fontId="5" fillId="2" borderId="6" xfId="0" applyNumberFormat="1" applyFont="1" applyFill="1" applyBorder="1"/>
    <xf numFmtId="49" fontId="0" fillId="3" borderId="6" xfId="0" applyNumberFormat="1" applyFont="1" applyFill="1" applyBorder="1" applyAlignment="1">
      <alignment vertical="center"/>
    </xf>
    <xf numFmtId="49" fontId="1" fillId="3" borderId="10" xfId="0" applyNumberFormat="1" applyFont="1" applyFill="1" applyBorder="1" applyAlignment="1">
      <alignment vertical="center"/>
    </xf>
    <xf numFmtId="49" fontId="1" fillId="3" borderId="0" xfId="0" applyNumberFormat="1" applyFont="1" applyFill="1" applyBorder="1" applyAlignment="1">
      <alignment vertical="center"/>
    </xf>
    <xf numFmtId="49" fontId="1" fillId="3" borderId="6" xfId="0" applyNumberFormat="1" applyFont="1" applyFill="1" applyBorder="1" applyAlignment="1">
      <alignment vertical="center"/>
    </xf>
    <xf numFmtId="49" fontId="1" fillId="4" borderId="2" xfId="0" applyNumberFormat="1" applyFont="1" applyFill="1" applyBorder="1" applyAlignment="1">
      <alignment vertical="center"/>
    </xf>
    <xf numFmtId="49" fontId="1" fillId="4" borderId="6" xfId="0" applyNumberFormat="1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49" fontId="11" fillId="4" borderId="2" xfId="0" applyNumberFormat="1" applyFont="1" applyFill="1" applyBorder="1" applyAlignment="1">
      <alignment vertical="center"/>
    </xf>
    <xf numFmtId="49" fontId="11" fillId="4" borderId="6" xfId="0" applyNumberFormat="1" applyFont="1" applyFill="1" applyBorder="1" applyAlignment="1">
      <alignment vertical="center"/>
    </xf>
    <xf numFmtId="4" fontId="2" fillId="4" borderId="3" xfId="0" applyNumberFormat="1" applyFont="1" applyFill="1" applyBorder="1" applyAlignment="1">
      <alignment horizontal="right" vertical="center" wrapText="1"/>
    </xf>
    <xf numFmtId="0" fontId="14" fillId="0" borderId="0" xfId="0" applyFont="1"/>
    <xf numFmtId="0" fontId="10" fillId="3" borderId="3" xfId="0" applyFont="1" applyFill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0" fillId="0" borderId="0" xfId="0"/>
    <xf numFmtId="49" fontId="0" fillId="3" borderId="6" xfId="0" applyNumberFormat="1" applyFill="1" applyBorder="1" applyAlignment="1">
      <alignment vertical="center"/>
    </xf>
    <xf numFmtId="0" fontId="20" fillId="2" borderId="8" xfId="0" applyFont="1" applyFill="1" applyBorder="1" applyAlignment="1">
      <alignment wrapText="1"/>
    </xf>
    <xf numFmtId="0" fontId="21" fillId="0" borderId="0" xfId="0" applyFont="1"/>
    <xf numFmtId="44" fontId="19" fillId="0" borderId="1" xfId="1" applyFont="1" applyBorder="1" applyAlignment="1">
      <alignment horizontal="center"/>
    </xf>
    <xf numFmtId="9" fontId="19" fillId="0" borderId="1" xfId="0" applyNumberFormat="1" applyFont="1" applyBorder="1" applyAlignment="1">
      <alignment horizontal="center"/>
    </xf>
    <xf numFmtId="10" fontId="5" fillId="0" borderId="5" xfId="2" applyNumberFormat="1" applyFont="1" applyBorder="1" applyAlignment="1">
      <alignment horizontal="right" wrapText="1"/>
    </xf>
    <xf numFmtId="49" fontId="21" fillId="2" borderId="2" xfId="0" applyNumberFormat="1" applyFont="1" applyFill="1" applyBorder="1"/>
    <xf numFmtId="49" fontId="21" fillId="2" borderId="6" xfId="0" applyNumberFormat="1" applyFont="1" applyFill="1" applyBorder="1"/>
    <xf numFmtId="0" fontId="20" fillId="2" borderId="6" xfId="0" applyFont="1" applyFill="1" applyBorder="1" applyAlignment="1">
      <alignment wrapText="1"/>
    </xf>
    <xf numFmtId="49" fontId="21" fillId="5" borderId="9" xfId="0" applyNumberFormat="1" applyFont="1" applyFill="1" applyBorder="1" applyAlignment="1">
      <alignment vertical="center"/>
    </xf>
    <xf numFmtId="49" fontId="21" fillId="5" borderId="10" xfId="0" applyNumberFormat="1" applyFont="1" applyFill="1" applyBorder="1" applyAlignment="1">
      <alignment vertical="center"/>
    </xf>
    <xf numFmtId="0" fontId="19" fillId="0" borderId="13" xfId="0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44" fontId="5" fillId="0" borderId="5" xfId="1" applyFont="1" applyBorder="1" applyAlignment="1">
      <alignment wrapText="1"/>
    </xf>
    <xf numFmtId="49" fontId="21" fillId="5" borderId="2" xfId="0" applyNumberFormat="1" applyFont="1" applyFill="1" applyBorder="1" applyAlignment="1">
      <alignment vertical="center"/>
    </xf>
    <xf numFmtId="49" fontId="21" fillId="5" borderId="6" xfId="0" applyNumberFormat="1" applyFont="1" applyFill="1" applyBorder="1" applyAlignment="1">
      <alignment vertical="center"/>
    </xf>
    <xf numFmtId="0" fontId="19" fillId="0" borderId="3" xfId="0" applyFont="1" applyBorder="1" applyAlignment="1">
      <alignment wrapText="1"/>
    </xf>
    <xf numFmtId="49" fontId="21" fillId="5" borderId="2" xfId="0" applyNumberFormat="1" applyFont="1" applyFill="1" applyBorder="1"/>
    <xf numFmtId="49" fontId="21" fillId="5" borderId="6" xfId="0" applyNumberFormat="1" applyFont="1" applyFill="1" applyBorder="1"/>
    <xf numFmtId="0" fontId="19" fillId="0" borderId="6" xfId="0" applyFont="1" applyBorder="1" applyAlignment="1">
      <alignment vertical="center" wrapText="1"/>
    </xf>
    <xf numFmtId="49" fontId="22" fillId="5" borderId="2" xfId="0" applyNumberFormat="1" applyFont="1" applyFill="1" applyBorder="1"/>
    <xf numFmtId="49" fontId="22" fillId="5" borderId="6" xfId="0" applyNumberFormat="1" applyFont="1" applyFill="1" applyBorder="1"/>
    <xf numFmtId="0" fontId="19" fillId="0" borderId="3" xfId="0" applyFont="1" applyBorder="1" applyAlignment="1">
      <alignment vertical="center" wrapText="1"/>
    </xf>
    <xf numFmtId="49" fontId="1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4" fontId="6" fillId="3" borderId="0" xfId="0" applyNumberFormat="1" applyFont="1" applyFill="1" applyAlignment="1">
      <alignment horizontal="center" vertical="center" wrapText="1"/>
    </xf>
    <xf numFmtId="49" fontId="21" fillId="2" borderId="2" xfId="0" applyNumberFormat="1" applyFont="1" applyFill="1" applyBorder="1" applyAlignment="1">
      <alignment horizontal="left"/>
    </xf>
    <xf numFmtId="49" fontId="21" fillId="2" borderId="6" xfId="0" applyNumberFormat="1" applyFont="1" applyFill="1" applyBorder="1" applyAlignment="1">
      <alignment horizontal="left" indent="1"/>
    </xf>
    <xf numFmtId="0" fontId="20" fillId="2" borderId="6" xfId="0" applyFont="1" applyFill="1" applyBorder="1" applyAlignment="1">
      <alignment horizontal="left" indent="1"/>
    </xf>
    <xf numFmtId="0" fontId="19" fillId="2" borderId="9" xfId="0" applyFont="1" applyFill="1" applyBorder="1" applyAlignment="1">
      <alignment horizontal="left"/>
    </xf>
    <xf numFmtId="0" fontId="23" fillId="2" borderId="10" xfId="0" applyFont="1" applyFill="1" applyBorder="1" applyAlignment="1">
      <alignment horizontal="left"/>
    </xf>
    <xf numFmtId="0" fontId="20" fillId="2" borderId="12" xfId="0" applyFont="1" applyFill="1" applyBorder="1" applyAlignment="1">
      <alignment horizontal="left" indent="1"/>
    </xf>
    <xf numFmtId="0" fontId="5" fillId="5" borderId="3" xfId="0" applyFont="1" applyFill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/>
    </xf>
    <xf numFmtId="44" fontId="5" fillId="0" borderId="4" xfId="1" applyFont="1" applyBorder="1"/>
    <xf numFmtId="9" fontId="19" fillId="0" borderId="1" xfId="0" applyNumberFormat="1" applyFont="1" applyBorder="1" applyAlignment="1">
      <alignment horizontal="center" vertical="center"/>
    </xf>
    <xf numFmtId="44" fontId="19" fillId="0" borderId="1" xfId="1" applyFont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6" fillId="4" borderId="6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 wrapText="1"/>
    </xf>
    <xf numFmtId="4" fontId="6" fillId="4" borderId="6" xfId="0" applyNumberFormat="1" applyFont="1" applyFill="1" applyBorder="1" applyAlignment="1">
      <alignment horizontal="center" vertical="center" wrapText="1"/>
    </xf>
    <xf numFmtId="49" fontId="21" fillId="2" borderId="9" xfId="0" applyNumberFormat="1" applyFont="1" applyFill="1" applyBorder="1" applyAlignment="1">
      <alignment horizontal="left"/>
    </xf>
    <xf numFmtId="49" fontId="21" fillId="2" borderId="10" xfId="0" applyNumberFormat="1" applyFont="1" applyFill="1" applyBorder="1" applyAlignment="1">
      <alignment horizontal="left" indent="1"/>
    </xf>
    <xf numFmtId="0" fontId="4" fillId="2" borderId="10" xfId="0" applyFont="1" applyFill="1" applyBorder="1" applyAlignment="1">
      <alignment wrapText="1"/>
    </xf>
    <xf numFmtId="0" fontId="4" fillId="2" borderId="10" xfId="0" applyFont="1" applyFill="1" applyBorder="1" applyAlignment="1">
      <alignment horizontal="right" wrapText="1"/>
    </xf>
    <xf numFmtId="4" fontId="4" fillId="2" borderId="10" xfId="0" applyNumberFormat="1" applyFont="1" applyFill="1" applyBorder="1" applyAlignment="1">
      <alignment wrapText="1"/>
    </xf>
    <xf numFmtId="44" fontId="21" fillId="0" borderId="0" xfId="0" applyNumberFormat="1" applyFont="1"/>
    <xf numFmtId="0" fontId="5" fillId="5" borderId="1" xfId="0" applyFont="1" applyFill="1" applyBorder="1" applyAlignment="1">
      <alignment vertical="center" wrapText="1"/>
    </xf>
    <xf numFmtId="49" fontId="13" fillId="5" borderId="0" xfId="0" applyNumberFormat="1" applyFont="1" applyFill="1" applyAlignment="1">
      <alignment horizontal="center"/>
    </xf>
    <xf numFmtId="4" fontId="5" fillId="5" borderId="5" xfId="0" applyNumberFormat="1" applyFont="1" applyFill="1" applyBorder="1" applyAlignment="1">
      <alignment horizontal="right" wrapText="1"/>
    </xf>
    <xf numFmtId="44" fontId="5" fillId="5" borderId="5" xfId="1" applyFont="1" applyFill="1" applyBorder="1" applyAlignment="1">
      <alignment horizontal="right" wrapText="1"/>
    </xf>
    <xf numFmtId="44" fontId="5" fillId="5" borderId="1" xfId="1" applyFont="1" applyFill="1" applyBorder="1"/>
    <xf numFmtId="4" fontId="17" fillId="5" borderId="0" xfId="0" applyNumberFormat="1" applyFont="1" applyFill="1"/>
    <xf numFmtId="0" fontId="0" fillId="5" borderId="0" xfId="0" applyFill="1"/>
    <xf numFmtId="0" fontId="6" fillId="3" borderId="1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5" fillId="2" borderId="3" xfId="0" applyFont="1" applyFill="1" applyBorder="1"/>
    <xf numFmtId="0" fontId="5" fillId="2" borderId="3" xfId="0" applyFont="1" applyFill="1" applyBorder="1" applyAlignment="1">
      <alignment wrapText="1"/>
    </xf>
    <xf numFmtId="44" fontId="4" fillId="2" borderId="3" xfId="1" applyFont="1" applyFill="1" applyBorder="1"/>
    <xf numFmtId="4" fontId="4" fillId="2" borderId="3" xfId="0" applyNumberFormat="1" applyFont="1" applyFill="1" applyBorder="1"/>
    <xf numFmtId="0" fontId="5" fillId="2" borderId="12" xfId="0" applyFont="1" applyFill="1" applyBorder="1" applyAlignment="1">
      <alignment wrapText="1"/>
    </xf>
    <xf numFmtId="44" fontId="5" fillId="5" borderId="1" xfId="1" applyFont="1" applyFill="1" applyBorder="1" applyAlignment="1">
      <alignment horizontal="right" wrapText="1"/>
    </xf>
    <xf numFmtId="164" fontId="4" fillId="3" borderId="3" xfId="1" applyNumberFormat="1" applyFont="1" applyFill="1" applyBorder="1" applyAlignment="1">
      <alignment horizontal="right" vertical="center" wrapText="1"/>
    </xf>
    <xf numFmtId="164" fontId="10" fillId="4" borderId="3" xfId="1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right" vertical="center" wrapText="1"/>
    </xf>
    <xf numFmtId="164" fontId="5" fillId="5" borderId="1" xfId="1" applyNumberFormat="1" applyFont="1" applyFill="1" applyBorder="1" applyAlignment="1">
      <alignment horizontal="right"/>
    </xf>
    <xf numFmtId="164" fontId="15" fillId="5" borderId="1" xfId="1" applyNumberFormat="1" applyFont="1" applyFill="1" applyBorder="1" applyAlignment="1">
      <alignment horizontal="right" vertical="center" wrapText="1"/>
    </xf>
    <xf numFmtId="164" fontId="2" fillId="4" borderId="3" xfId="1" applyNumberFormat="1" applyFont="1" applyFill="1" applyBorder="1" applyAlignment="1">
      <alignment horizontal="right" vertical="center" wrapText="1"/>
    </xf>
    <xf numFmtId="0" fontId="19" fillId="0" borderId="1" xfId="0" applyFont="1" applyBorder="1" applyAlignment="1">
      <alignment horizontal="center" vertical="center"/>
    </xf>
    <xf numFmtId="49" fontId="13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49" fontId="1" fillId="3" borderId="2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1" xfId="0" applyFont="1" applyBorder="1"/>
    <xf numFmtId="49" fontId="21" fillId="5" borderId="9" xfId="0" applyNumberFormat="1" applyFont="1" applyFill="1" applyBorder="1" applyAlignment="1">
      <alignment horizontal="left" vertical="center"/>
    </xf>
    <xf numFmtId="49" fontId="21" fillId="5" borderId="2" xfId="0" applyNumberFormat="1" applyFont="1" applyFill="1" applyBorder="1" applyAlignment="1">
      <alignment horizontal="left" vertical="center"/>
    </xf>
    <xf numFmtId="49" fontId="21" fillId="5" borderId="2" xfId="0" applyNumberFormat="1" applyFont="1" applyFill="1" applyBorder="1" applyAlignment="1">
      <alignment horizontal="left"/>
    </xf>
    <xf numFmtId="49" fontId="22" fillId="5" borderId="2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49" fontId="11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21" fillId="0" borderId="4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49" fontId="21" fillId="5" borderId="1" xfId="0" applyNumberFormat="1" applyFont="1" applyFill="1" applyBorder="1" applyAlignment="1">
      <alignment vertical="center"/>
    </xf>
    <xf numFmtId="10" fontId="10" fillId="3" borderId="6" xfId="0" applyNumberFormat="1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 wrapText="1"/>
    </xf>
    <xf numFmtId="0" fontId="5" fillId="2" borderId="10" xfId="0" applyFont="1" applyFill="1" applyBorder="1" applyAlignment="1">
      <alignment horizontal="left" wrapText="1"/>
    </xf>
    <xf numFmtId="0" fontId="10" fillId="3" borderId="10" xfId="0" applyFont="1" applyFill="1" applyBorder="1" applyAlignment="1">
      <alignment horizontal="left" vertical="center" wrapText="1"/>
    </xf>
    <xf numFmtId="49" fontId="19" fillId="5" borderId="2" xfId="0" applyNumberFormat="1" applyFont="1" applyFill="1" applyBorder="1" applyAlignment="1">
      <alignment vertical="center"/>
    </xf>
    <xf numFmtId="49" fontId="19" fillId="5" borderId="6" xfId="0" applyNumberFormat="1" applyFont="1" applyFill="1" applyBorder="1" applyAlignment="1">
      <alignment vertical="center"/>
    </xf>
    <xf numFmtId="49" fontId="19" fillId="2" borderId="7" xfId="0" applyNumberFormat="1" applyFont="1" applyFill="1" applyBorder="1" applyAlignment="1"/>
    <xf numFmtId="49" fontId="19" fillId="2" borderId="8" xfId="0" applyNumberFormat="1" applyFont="1" applyFill="1" applyBorder="1" applyAlignment="1"/>
    <xf numFmtId="49" fontId="1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49" fontId="26" fillId="0" borderId="0" xfId="0" applyNumberFormat="1" applyFont="1" applyAlignment="1">
      <alignment horizontal="center"/>
    </xf>
    <xf numFmtId="49" fontId="25" fillId="0" borderId="0" xfId="0" applyNumberFormat="1" applyFont="1" applyFill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44" fontId="4" fillId="2" borderId="13" xfId="1" applyNumberFormat="1" applyFont="1" applyFill="1" applyBorder="1" applyAlignment="1">
      <alignment horizontal="right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F7" sqref="F7"/>
    </sheetView>
  </sheetViews>
  <sheetFormatPr defaultColWidth="8.68359375" defaultRowHeight="14.4" x14ac:dyDescent="0.55000000000000004"/>
  <cols>
    <col min="1" max="1" width="3.1015625" style="3" customWidth="1"/>
    <col min="2" max="2" width="0.68359375" style="3" customWidth="1"/>
    <col min="3" max="3" width="26.3125" style="1" customWidth="1"/>
    <col min="4" max="4" width="22.3125" style="1" customWidth="1"/>
  </cols>
  <sheetData>
    <row r="1" spans="1:4" s="38" customFormat="1" ht="15.6" x14ac:dyDescent="0.6">
      <c r="A1" s="128" t="s">
        <v>0</v>
      </c>
      <c r="B1" s="128"/>
      <c r="C1" s="128"/>
      <c r="D1" s="128"/>
    </row>
    <row r="2" spans="1:4" s="38" customFormat="1" ht="15.6" x14ac:dyDescent="0.6">
      <c r="A2" s="129" t="s">
        <v>1</v>
      </c>
      <c r="B2" s="129"/>
      <c r="C2" s="129"/>
      <c r="D2" s="129"/>
    </row>
    <row r="3" spans="1:4" s="38" customFormat="1" ht="15.6" x14ac:dyDescent="0.6">
      <c r="A3" s="129" t="s">
        <v>2</v>
      </c>
      <c r="B3" s="129"/>
      <c r="C3" s="129"/>
      <c r="D3" s="129"/>
    </row>
    <row r="4" spans="1:4" s="38" customFormat="1" ht="15.6" x14ac:dyDescent="0.6">
      <c r="A4" s="129" t="s">
        <v>3</v>
      </c>
      <c r="B4" s="129"/>
      <c r="C4" s="129"/>
      <c r="D4" s="129"/>
    </row>
    <row r="5" spans="1:4" ht="3.75" customHeight="1" x14ac:dyDescent="0.55000000000000004"/>
    <row r="6" spans="1:4" s="38" customFormat="1" ht="15" customHeight="1" x14ac:dyDescent="0.6">
      <c r="A6" s="126" t="s">
        <v>4</v>
      </c>
      <c r="B6" s="126"/>
      <c r="C6" s="126"/>
      <c r="D6" s="126" t="s">
        <v>5</v>
      </c>
    </row>
    <row r="7" spans="1:4" s="38" customFormat="1" ht="15.6" x14ac:dyDescent="0.6">
      <c r="A7" s="126"/>
      <c r="B7" s="126"/>
      <c r="C7" s="126"/>
      <c r="D7" s="127"/>
    </row>
    <row r="8" spans="1:4" s="13" customFormat="1" x14ac:dyDescent="0.55000000000000004">
      <c r="A8" s="18" t="s">
        <v>6</v>
      </c>
      <c r="B8" s="27"/>
      <c r="C8" s="12" t="s">
        <v>7</v>
      </c>
      <c r="D8" s="113">
        <f>'2. Detailed Budget'!K16</f>
        <v>19478</v>
      </c>
    </row>
    <row r="9" spans="1:4" s="13" customFormat="1" x14ac:dyDescent="0.55000000000000004">
      <c r="A9" s="18" t="s">
        <v>8</v>
      </c>
      <c r="B9" s="28"/>
      <c r="C9" s="19" t="s">
        <v>9</v>
      </c>
      <c r="D9" s="113">
        <f>'2. Detailed Budget'!K18</f>
        <v>4248</v>
      </c>
    </row>
    <row r="10" spans="1:4" ht="15.75" customHeight="1" x14ac:dyDescent="0.55000000000000004">
      <c r="A10" s="18" t="s">
        <v>10</v>
      </c>
      <c r="B10" s="28"/>
      <c r="C10" s="19" t="s">
        <v>11</v>
      </c>
      <c r="D10" s="113">
        <f>'2. Detailed Budget'!K26</f>
        <v>2540</v>
      </c>
    </row>
    <row r="11" spans="1:4" ht="17.25" customHeight="1" x14ac:dyDescent="0.55000000000000004">
      <c r="A11" s="18" t="s">
        <v>12</v>
      </c>
      <c r="B11" s="28"/>
      <c r="C11" s="19" t="s">
        <v>13</v>
      </c>
      <c r="D11" s="113">
        <v>0</v>
      </c>
    </row>
    <row r="12" spans="1:4" x14ac:dyDescent="0.55000000000000004">
      <c r="A12" s="18" t="s">
        <v>14</v>
      </c>
      <c r="B12" s="28"/>
      <c r="C12" s="19" t="s">
        <v>15</v>
      </c>
      <c r="D12" s="113">
        <v>0</v>
      </c>
    </row>
    <row r="13" spans="1:4" x14ac:dyDescent="0.55000000000000004">
      <c r="A13" s="24" t="s">
        <v>16</v>
      </c>
      <c r="B13" s="29"/>
      <c r="C13" s="23" t="s">
        <v>17</v>
      </c>
      <c r="D13" s="113">
        <f>'2. Detailed Budget'!K34</f>
        <v>167550</v>
      </c>
    </row>
    <row r="14" spans="1:4" ht="16.5" customHeight="1" x14ac:dyDescent="0.55000000000000004">
      <c r="A14" s="14" t="s">
        <v>18</v>
      </c>
      <c r="B14" s="30"/>
      <c r="C14" s="12" t="s">
        <v>19</v>
      </c>
      <c r="D14" s="113">
        <v>0</v>
      </c>
    </row>
    <row r="15" spans="1:4" x14ac:dyDescent="0.55000000000000004">
      <c r="A15" s="14" t="s">
        <v>20</v>
      </c>
      <c r="B15" s="30"/>
      <c r="C15" s="12" t="s">
        <v>21</v>
      </c>
      <c r="D15" s="113">
        <f>'2. Detailed Budget'!K38</f>
        <v>448.95000000000005</v>
      </c>
    </row>
    <row r="16" spans="1:4" x14ac:dyDescent="0.55000000000000004">
      <c r="A16" s="14" t="s">
        <v>22</v>
      </c>
      <c r="B16" s="30"/>
      <c r="C16" s="39" t="s">
        <v>23</v>
      </c>
      <c r="D16" s="113">
        <f>'2. Detailed Budget'!K39</f>
        <v>194264.95</v>
      </c>
    </row>
    <row r="17" spans="1:4" x14ac:dyDescent="0.55000000000000004">
      <c r="A17" s="24" t="s">
        <v>24</v>
      </c>
      <c r="B17" s="29"/>
      <c r="C17" s="23" t="s">
        <v>25</v>
      </c>
      <c r="D17" s="113">
        <f>'2. Detailed Budget'!K40</f>
        <v>55735</v>
      </c>
    </row>
    <row r="18" spans="1:4" s="38" customFormat="1" ht="15.6" x14ac:dyDescent="0.6">
      <c r="A18" s="35" t="s">
        <v>26</v>
      </c>
      <c r="B18" s="36"/>
      <c r="C18" s="33" t="s">
        <v>27</v>
      </c>
      <c r="D18" s="114">
        <f>'2. Detailed Budget'!K41</f>
        <v>249999.95</v>
      </c>
    </row>
    <row r="19" spans="1:4" s="38" customFormat="1" ht="15.6" x14ac:dyDescent="0.6">
      <c r="A19" s="35" t="s">
        <v>28</v>
      </c>
      <c r="B19" s="36"/>
      <c r="C19" s="33" t="s">
        <v>29</v>
      </c>
      <c r="D19" s="37"/>
    </row>
    <row r="20" spans="1:4" ht="12" customHeight="1" x14ac:dyDescent="0.55000000000000004"/>
    <row r="21" spans="1:4" ht="15.6" x14ac:dyDescent="0.6">
      <c r="A21" s="40" t="s">
        <v>30</v>
      </c>
    </row>
  </sheetData>
  <mergeCells count="6">
    <mergeCell ref="A6:C7"/>
    <mergeCell ref="D6:D7"/>
    <mergeCell ref="A1:D1"/>
    <mergeCell ref="A2:D2"/>
    <mergeCell ref="A4:D4"/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3502-6F25-4DA0-B47D-EB18F0E15673}">
  <dimension ref="A1:L46"/>
  <sheetViews>
    <sheetView tabSelected="1" topLeftCell="A9" zoomScale="80" zoomScaleNormal="80" workbookViewId="0">
      <selection activeCell="F28" sqref="F28"/>
    </sheetView>
  </sheetViews>
  <sheetFormatPr defaultColWidth="8.68359375" defaultRowHeight="14.4" x14ac:dyDescent="0.55000000000000004"/>
  <cols>
    <col min="1" max="1" width="14.5234375" style="3" bestFit="1" customWidth="1"/>
    <col min="2" max="2" width="10.578125" style="3" customWidth="1"/>
    <col min="3" max="3" width="11.7890625" style="3" customWidth="1"/>
    <col min="4" max="4" width="4.41796875" style="3" customWidth="1"/>
    <col min="5" max="5" width="1.41796875" style="3" customWidth="1"/>
    <col min="6" max="6" width="28.41796875" style="42" customWidth="1"/>
    <col min="7" max="7" width="38.41796875" style="42" customWidth="1"/>
    <col min="8" max="8" width="9.68359375" style="42" customWidth="1"/>
    <col min="9" max="9" width="11.3125" style="42" customWidth="1"/>
    <col min="10" max="10" width="7.68359375" style="42" customWidth="1"/>
    <col min="11" max="11" width="14.68359375" style="97" customWidth="1"/>
    <col min="12" max="12" width="12" style="42" bestFit="1" customWidth="1"/>
    <col min="13" max="16384" width="8.68359375" style="42"/>
  </cols>
  <sheetData>
    <row r="1" spans="1:12" x14ac:dyDescent="0.55000000000000004">
      <c r="A1" s="42"/>
      <c r="B1" s="42"/>
      <c r="C1" s="42"/>
      <c r="D1" s="150" t="s">
        <v>31</v>
      </c>
      <c r="E1" s="150"/>
      <c r="F1" s="150"/>
      <c r="G1" s="150"/>
      <c r="H1" s="150"/>
      <c r="I1" s="150"/>
      <c r="J1" s="150"/>
      <c r="K1" s="150"/>
    </row>
    <row r="2" spans="1:12" ht="15.6" x14ac:dyDescent="0.6">
      <c r="A2" s="119" t="s">
        <v>100</v>
      </c>
      <c r="B2" s="119" t="s">
        <v>101</v>
      </c>
      <c r="C2" s="42"/>
      <c r="D2" s="151"/>
      <c r="E2" s="151"/>
      <c r="F2" s="151"/>
      <c r="G2" s="151"/>
      <c r="H2" s="151"/>
      <c r="I2" s="151"/>
      <c r="J2" s="151"/>
      <c r="K2" s="151"/>
    </row>
    <row r="3" spans="1:12" ht="15.6" x14ac:dyDescent="0.6">
      <c r="A3" s="119" t="s">
        <v>102</v>
      </c>
      <c r="B3" s="119" t="s">
        <v>103</v>
      </c>
      <c r="C3" s="42"/>
      <c r="D3" s="152" t="s">
        <v>96</v>
      </c>
      <c r="E3" s="151"/>
      <c r="F3" s="151"/>
      <c r="G3" s="151"/>
      <c r="H3" s="151"/>
      <c r="I3" s="151" t="s">
        <v>32</v>
      </c>
      <c r="J3" s="151"/>
      <c r="K3" s="151"/>
    </row>
    <row r="4" spans="1:12" ht="15.6" x14ac:dyDescent="0.6">
      <c r="A4" s="119" t="s">
        <v>104</v>
      </c>
      <c r="B4" s="119" t="s">
        <v>105</v>
      </c>
      <c r="C4" s="42"/>
      <c r="D4" s="153" t="s">
        <v>33</v>
      </c>
      <c r="E4" s="153"/>
      <c r="F4" s="153"/>
      <c r="G4" s="153"/>
      <c r="H4" s="153"/>
      <c r="I4" s="153" t="s">
        <v>34</v>
      </c>
      <c r="J4" s="153"/>
      <c r="K4" s="153"/>
    </row>
    <row r="5" spans="1:12" ht="15" customHeight="1" x14ac:dyDescent="0.55000000000000004">
      <c r="A5" s="117"/>
      <c r="B5" s="117"/>
      <c r="C5" s="117"/>
      <c r="D5" s="116"/>
      <c r="E5" s="116"/>
      <c r="F5" s="116"/>
      <c r="G5" s="116"/>
      <c r="H5" s="116"/>
      <c r="I5" s="116"/>
      <c r="J5" s="116"/>
      <c r="K5" s="92"/>
    </row>
    <row r="6" spans="1:12" ht="14.7" customHeight="1" x14ac:dyDescent="0.55000000000000004">
      <c r="A6" s="42"/>
      <c r="B6" s="42"/>
      <c r="C6" s="42"/>
      <c r="D6" s="154" t="s">
        <v>4</v>
      </c>
      <c r="E6" s="154"/>
      <c r="F6" s="154"/>
      <c r="G6" s="155" t="s">
        <v>35</v>
      </c>
      <c r="H6" s="155"/>
      <c r="I6" s="155"/>
      <c r="J6" s="155"/>
      <c r="K6" s="156" t="s">
        <v>36</v>
      </c>
    </row>
    <row r="7" spans="1:12" x14ac:dyDescent="0.55000000000000004">
      <c r="A7" s="42"/>
      <c r="B7" s="42"/>
      <c r="C7" s="42"/>
      <c r="D7" s="154"/>
      <c r="E7" s="154"/>
      <c r="F7" s="154"/>
      <c r="G7" s="34" t="s">
        <v>37</v>
      </c>
      <c r="H7" s="34" t="s">
        <v>38</v>
      </c>
      <c r="I7" s="34" t="s">
        <v>39</v>
      </c>
      <c r="J7" s="34" t="s">
        <v>40</v>
      </c>
      <c r="K7" s="157"/>
    </row>
    <row r="8" spans="1:12" s="13" customFormat="1" ht="31.5" x14ac:dyDescent="0.55000000000000004">
      <c r="A8" s="118" t="s">
        <v>97</v>
      </c>
      <c r="B8" s="118" t="s">
        <v>98</v>
      </c>
      <c r="C8" s="118" t="s">
        <v>99</v>
      </c>
      <c r="D8" s="14" t="s">
        <v>6</v>
      </c>
      <c r="E8" s="43"/>
      <c r="F8" s="12" t="s">
        <v>7</v>
      </c>
      <c r="G8" s="4" t="s">
        <v>41</v>
      </c>
      <c r="H8" s="4"/>
      <c r="I8" s="4" t="s">
        <v>42</v>
      </c>
      <c r="J8" s="4" t="s">
        <v>43</v>
      </c>
      <c r="K8" s="99"/>
    </row>
    <row r="9" spans="1:12" s="45" customFormat="1" ht="12.9" x14ac:dyDescent="0.5">
      <c r="A9" s="121"/>
      <c r="B9" s="121"/>
      <c r="C9" s="121"/>
      <c r="D9" s="148" t="s">
        <v>44</v>
      </c>
      <c r="E9" s="149"/>
      <c r="F9" s="44" t="s">
        <v>45</v>
      </c>
      <c r="G9" s="5"/>
      <c r="H9" s="5"/>
      <c r="I9" s="5"/>
      <c r="J9" s="5"/>
      <c r="K9" s="105"/>
    </row>
    <row r="10" spans="1:12" s="45" customFormat="1" ht="22.95" customHeight="1" x14ac:dyDescent="0.5">
      <c r="A10" s="130" t="s">
        <v>121</v>
      </c>
      <c r="B10" s="130" t="s">
        <v>122</v>
      </c>
      <c r="C10" s="130">
        <v>0</v>
      </c>
      <c r="D10" s="134" t="s">
        <v>46</v>
      </c>
      <c r="E10" s="134"/>
      <c r="F10" s="133" t="s">
        <v>47</v>
      </c>
      <c r="G10" s="109" t="s">
        <v>48</v>
      </c>
      <c r="H10" s="109">
        <v>3</v>
      </c>
      <c r="I10" s="46">
        <v>9353.82</v>
      </c>
      <c r="J10" s="47">
        <v>0.05</v>
      </c>
      <c r="K10" s="106">
        <f>H10*I10*J10</f>
        <v>1403.0730000000001</v>
      </c>
    </row>
    <row r="11" spans="1:12" s="45" customFormat="1" ht="22.95" customHeight="1" x14ac:dyDescent="0.5">
      <c r="A11" s="131"/>
      <c r="B11" s="131"/>
      <c r="C11" s="131"/>
      <c r="D11" s="134"/>
      <c r="E11" s="134"/>
      <c r="F11" s="133"/>
      <c r="G11" s="109" t="s">
        <v>49</v>
      </c>
      <c r="H11" s="109">
        <v>12</v>
      </c>
      <c r="I11" s="46">
        <f>I10*1.035</f>
        <v>9681.2036999999982</v>
      </c>
      <c r="J11" s="47">
        <v>0.05</v>
      </c>
      <c r="K11" s="106">
        <f t="shared" ref="K11:K15" si="0">H11*I11*J11</f>
        <v>5808.7222199999997</v>
      </c>
    </row>
    <row r="12" spans="1:12" s="45" customFormat="1" ht="21" customHeight="1" x14ac:dyDescent="0.5">
      <c r="A12" s="132"/>
      <c r="B12" s="132"/>
      <c r="C12" s="132"/>
      <c r="D12" s="134"/>
      <c r="E12" s="134"/>
      <c r="F12" s="133"/>
      <c r="G12" s="110" t="s">
        <v>50</v>
      </c>
      <c r="H12" s="109">
        <v>9</v>
      </c>
      <c r="I12" s="46">
        <f>I11*1.035</f>
        <v>10020.045829499997</v>
      </c>
      <c r="J12" s="47">
        <v>0.05</v>
      </c>
      <c r="K12" s="106">
        <f t="shared" si="0"/>
        <v>4509.0206232749988</v>
      </c>
      <c r="L12" s="90"/>
    </row>
    <row r="13" spans="1:12" s="45" customFormat="1" ht="19.95" customHeight="1" x14ac:dyDescent="0.5">
      <c r="A13" s="130" t="s">
        <v>121</v>
      </c>
      <c r="B13" s="130" t="s">
        <v>122</v>
      </c>
      <c r="C13" s="130">
        <v>0</v>
      </c>
      <c r="D13" s="134" t="s">
        <v>51</v>
      </c>
      <c r="E13" s="134"/>
      <c r="F13" s="135" t="s">
        <v>52</v>
      </c>
      <c r="G13" s="109" t="s">
        <v>48</v>
      </c>
      <c r="H13" s="109">
        <v>3</v>
      </c>
      <c r="I13" s="46">
        <v>6190.53</v>
      </c>
      <c r="J13" s="47">
        <v>0.05</v>
      </c>
      <c r="K13" s="106">
        <f t="shared" si="0"/>
        <v>928.57950000000005</v>
      </c>
      <c r="L13" s="90"/>
    </row>
    <row r="14" spans="1:12" s="45" customFormat="1" ht="19.95" customHeight="1" x14ac:dyDescent="0.5">
      <c r="A14" s="131"/>
      <c r="B14" s="131"/>
      <c r="C14" s="131"/>
      <c r="D14" s="134"/>
      <c r="E14" s="134"/>
      <c r="F14" s="135"/>
      <c r="G14" s="109" t="s">
        <v>49</v>
      </c>
      <c r="H14" s="109">
        <v>12</v>
      </c>
      <c r="I14" s="46">
        <f>I13*1.035</f>
        <v>6407.1985499999992</v>
      </c>
      <c r="J14" s="47">
        <v>0.05</v>
      </c>
      <c r="K14" s="106">
        <f t="shared" si="0"/>
        <v>3844.3191299999994</v>
      </c>
      <c r="L14" s="90"/>
    </row>
    <row r="15" spans="1:12" s="45" customFormat="1" ht="19.95" customHeight="1" x14ac:dyDescent="0.5">
      <c r="A15" s="132"/>
      <c r="B15" s="132"/>
      <c r="C15" s="132"/>
      <c r="D15" s="134"/>
      <c r="E15" s="134"/>
      <c r="F15" s="135"/>
      <c r="G15" s="110" t="s">
        <v>50</v>
      </c>
      <c r="H15" s="109">
        <v>9</v>
      </c>
      <c r="I15" s="46">
        <f>I14*1.035</f>
        <v>6631.4504992499988</v>
      </c>
      <c r="J15" s="47">
        <v>0.05</v>
      </c>
      <c r="K15" s="106">
        <f t="shared" si="0"/>
        <v>2984.1527246624996</v>
      </c>
      <c r="L15" s="90"/>
    </row>
    <row r="16" spans="1:12" s="45" customFormat="1" ht="12.9" x14ac:dyDescent="0.5">
      <c r="A16" s="121"/>
      <c r="B16" s="121"/>
      <c r="C16" s="121"/>
      <c r="D16" s="143" t="s">
        <v>53</v>
      </c>
      <c r="E16" s="144"/>
      <c r="F16" s="144"/>
      <c r="G16" s="87"/>
      <c r="H16" s="88"/>
      <c r="I16" s="89"/>
      <c r="J16" s="87"/>
      <c r="K16" s="158">
        <f>ROUND(SUM(K10:K15),0)</f>
        <v>19478</v>
      </c>
    </row>
    <row r="17" spans="1:11" x14ac:dyDescent="0.55000000000000004">
      <c r="A17" s="14"/>
      <c r="B17" s="14"/>
      <c r="C17" s="14"/>
      <c r="D17" s="14" t="s">
        <v>8</v>
      </c>
      <c r="E17" s="30"/>
      <c r="F17" s="12" t="s">
        <v>9</v>
      </c>
      <c r="G17" s="4"/>
      <c r="H17" s="4"/>
      <c r="I17" s="16"/>
      <c r="J17" s="4"/>
      <c r="K17" s="99"/>
    </row>
    <row r="18" spans="1:11" s="45" customFormat="1" ht="12.9" x14ac:dyDescent="0.5">
      <c r="A18" s="120" t="s">
        <v>106</v>
      </c>
      <c r="B18" s="120">
        <v>6950</v>
      </c>
      <c r="C18" s="120">
        <v>0</v>
      </c>
      <c r="D18" s="138" t="s">
        <v>54</v>
      </c>
      <c r="E18" s="138"/>
      <c r="F18" s="91" t="s">
        <v>55</v>
      </c>
      <c r="G18" s="6"/>
      <c r="H18" s="7"/>
      <c r="I18" s="15"/>
      <c r="J18" s="48">
        <v>0.21809999999999999</v>
      </c>
      <c r="K18" s="93">
        <f>ROUND(K16*J18,0)</f>
        <v>4248</v>
      </c>
    </row>
    <row r="19" spans="1:11" s="45" customFormat="1" ht="12.9" x14ac:dyDescent="0.5">
      <c r="A19" s="121"/>
      <c r="B19" s="121"/>
      <c r="C19" s="121"/>
      <c r="D19" s="136" t="s">
        <v>56</v>
      </c>
      <c r="E19" s="137"/>
      <c r="F19" s="137"/>
      <c r="G19" s="8"/>
      <c r="H19" s="9"/>
      <c r="I19" s="20"/>
      <c r="J19" s="8"/>
      <c r="K19" s="103">
        <f>SUM(K18:K18)</f>
        <v>4248</v>
      </c>
    </row>
    <row r="20" spans="1:11" x14ac:dyDescent="0.55000000000000004">
      <c r="A20" s="14"/>
      <c r="B20" s="14"/>
      <c r="C20" s="14"/>
      <c r="D20" s="14" t="s">
        <v>10</v>
      </c>
      <c r="E20" s="30"/>
      <c r="F20" s="12" t="s">
        <v>11</v>
      </c>
      <c r="G20" s="4" t="s">
        <v>57</v>
      </c>
      <c r="H20" s="68" t="s">
        <v>58</v>
      </c>
      <c r="I20" s="16" t="s">
        <v>59</v>
      </c>
      <c r="J20" s="4"/>
      <c r="K20" s="99"/>
    </row>
    <row r="21" spans="1:11" s="45" customFormat="1" ht="12.9" x14ac:dyDescent="0.5">
      <c r="A21" s="49"/>
      <c r="B21" s="49"/>
      <c r="C21" s="49"/>
      <c r="D21" s="49" t="s">
        <v>60</v>
      </c>
      <c r="E21" s="50"/>
      <c r="F21" s="51" t="s">
        <v>61</v>
      </c>
      <c r="G21" s="10"/>
      <c r="H21" s="11"/>
      <c r="I21" s="17"/>
      <c r="J21" s="10"/>
      <c r="K21" s="102"/>
    </row>
    <row r="22" spans="1:11" s="45" customFormat="1" ht="12.9" x14ac:dyDescent="0.5">
      <c r="A22" s="122" t="s">
        <v>107</v>
      </c>
      <c r="B22" s="120" t="s">
        <v>108</v>
      </c>
      <c r="C22" s="122" t="s">
        <v>109</v>
      </c>
      <c r="D22" s="52" t="s">
        <v>62</v>
      </c>
      <c r="E22" s="53"/>
      <c r="F22" s="54" t="s">
        <v>63</v>
      </c>
      <c r="G22" s="55" t="s">
        <v>64</v>
      </c>
      <c r="H22" s="55">
        <v>1</v>
      </c>
      <c r="I22" s="56">
        <v>1400</v>
      </c>
      <c r="J22" s="2"/>
      <c r="K22" s="94">
        <f>H22*I22</f>
        <v>1400</v>
      </c>
    </row>
    <row r="23" spans="1:11" s="45" customFormat="1" ht="12.9" x14ac:dyDescent="0.5">
      <c r="A23" s="123" t="s">
        <v>110</v>
      </c>
      <c r="B23" s="120" t="s">
        <v>111</v>
      </c>
      <c r="C23" s="123" t="s">
        <v>109</v>
      </c>
      <c r="D23" s="57" t="s">
        <v>65</v>
      </c>
      <c r="E23" s="58"/>
      <c r="F23" s="59" t="s">
        <v>66</v>
      </c>
      <c r="G23" s="55" t="s">
        <v>67</v>
      </c>
      <c r="H23" s="55">
        <f>H22*4</f>
        <v>4</v>
      </c>
      <c r="I23" s="56">
        <v>75</v>
      </c>
      <c r="J23" s="2"/>
      <c r="K23" s="94">
        <f>H23*I23</f>
        <v>300</v>
      </c>
    </row>
    <row r="24" spans="1:11" s="45" customFormat="1" ht="12.9" x14ac:dyDescent="0.5">
      <c r="A24" s="124" t="s">
        <v>110</v>
      </c>
      <c r="B24" s="120" t="s">
        <v>112</v>
      </c>
      <c r="C24" s="124" t="s">
        <v>109</v>
      </c>
      <c r="D24" s="60" t="s">
        <v>68</v>
      </c>
      <c r="E24" s="61"/>
      <c r="F24" s="62" t="s">
        <v>69</v>
      </c>
      <c r="G24" s="55" t="s">
        <v>70</v>
      </c>
      <c r="H24" s="55">
        <f>H23-1</f>
        <v>3</v>
      </c>
      <c r="I24" s="56">
        <v>200</v>
      </c>
      <c r="J24" s="2"/>
      <c r="K24" s="94">
        <f>H24*I24</f>
        <v>600</v>
      </c>
    </row>
    <row r="25" spans="1:11" s="45" customFormat="1" ht="12.9" x14ac:dyDescent="0.5">
      <c r="A25" s="125" t="s">
        <v>113</v>
      </c>
      <c r="B25" s="120" t="s">
        <v>114</v>
      </c>
      <c r="C25" s="125" t="s">
        <v>109</v>
      </c>
      <c r="D25" s="63" t="s">
        <v>71</v>
      </c>
      <c r="E25" s="64"/>
      <c r="F25" s="65" t="s">
        <v>72</v>
      </c>
      <c r="G25" s="55" t="s">
        <v>67</v>
      </c>
      <c r="H25" s="55">
        <f>H23</f>
        <v>4</v>
      </c>
      <c r="I25" s="56">
        <v>60</v>
      </c>
      <c r="J25" s="2"/>
      <c r="K25" s="94">
        <f>H25*I25</f>
        <v>240</v>
      </c>
    </row>
    <row r="26" spans="1:11" x14ac:dyDescent="0.55000000000000004">
      <c r="A26" s="42"/>
      <c r="B26" s="42"/>
      <c r="C26" s="42"/>
      <c r="D26" s="136" t="s">
        <v>73</v>
      </c>
      <c r="E26" s="137"/>
      <c r="F26" s="137"/>
      <c r="G26" s="21"/>
      <c r="H26" s="21"/>
      <c r="I26" s="22"/>
      <c r="J26" s="21"/>
      <c r="K26" s="103">
        <f>SUM(K22:K25)</f>
        <v>2540</v>
      </c>
    </row>
    <row r="27" spans="1:11" x14ac:dyDescent="0.55000000000000004">
      <c r="A27" s="24"/>
      <c r="B27" s="24"/>
      <c r="C27" s="24"/>
      <c r="D27" s="24" t="s">
        <v>12</v>
      </c>
      <c r="E27" s="66"/>
      <c r="F27" s="67" t="s">
        <v>74</v>
      </c>
      <c r="G27" s="68"/>
      <c r="H27" s="68" t="s">
        <v>58</v>
      </c>
      <c r="I27" s="69" t="s">
        <v>75</v>
      </c>
      <c r="J27" s="68"/>
      <c r="K27" s="98"/>
    </row>
    <row r="28" spans="1:11" x14ac:dyDescent="0.55000000000000004">
      <c r="A28" s="14"/>
      <c r="B28" s="14"/>
      <c r="C28" s="14"/>
      <c r="D28" s="14" t="s">
        <v>14</v>
      </c>
      <c r="E28" s="30"/>
      <c r="F28" s="12" t="s">
        <v>76</v>
      </c>
      <c r="G28" s="4"/>
      <c r="H28" s="4" t="s">
        <v>58</v>
      </c>
      <c r="I28" s="16" t="s">
        <v>75</v>
      </c>
      <c r="J28" s="4"/>
      <c r="K28" s="99"/>
    </row>
    <row r="29" spans="1:11" x14ac:dyDescent="0.55000000000000004">
      <c r="A29" s="24"/>
      <c r="B29" s="24"/>
      <c r="C29" s="24"/>
      <c r="D29" s="24" t="s">
        <v>16</v>
      </c>
      <c r="E29" s="66"/>
      <c r="F29" s="145" t="s">
        <v>77</v>
      </c>
      <c r="G29" s="145"/>
      <c r="H29" s="145"/>
      <c r="I29" s="145"/>
      <c r="J29" s="68"/>
      <c r="K29" s="100"/>
    </row>
    <row r="30" spans="1:11" s="45" customFormat="1" ht="12.9" x14ac:dyDescent="0.5">
      <c r="A30" s="70"/>
      <c r="B30" s="70"/>
      <c r="C30" s="70"/>
      <c r="D30" s="70" t="s">
        <v>78</v>
      </c>
      <c r="E30" s="71"/>
      <c r="F30" s="72" t="s">
        <v>79</v>
      </c>
      <c r="G30" s="25"/>
      <c r="H30" s="25"/>
      <c r="I30" s="26" t="s">
        <v>80</v>
      </c>
      <c r="J30" s="25"/>
      <c r="K30" s="101"/>
    </row>
    <row r="31" spans="1:11" s="45" customFormat="1" ht="12.9" x14ac:dyDescent="0.5">
      <c r="A31" s="120" t="s">
        <v>115</v>
      </c>
      <c r="B31" s="120">
        <v>7370</v>
      </c>
      <c r="C31" s="120">
        <v>0</v>
      </c>
      <c r="D31" s="85" t="s">
        <v>81</v>
      </c>
      <c r="E31" s="86"/>
      <c r="F31" s="76" t="s">
        <v>82</v>
      </c>
      <c r="G31" s="77" t="s">
        <v>83</v>
      </c>
      <c r="H31" s="77">
        <v>6.6420000000000003</v>
      </c>
      <c r="I31" s="78">
        <v>25000</v>
      </c>
      <c r="J31" s="77"/>
      <c r="K31" s="94">
        <f>H31*I31</f>
        <v>166050</v>
      </c>
    </row>
    <row r="32" spans="1:11" s="45" customFormat="1" ht="12.9" x14ac:dyDescent="0.5">
      <c r="A32" s="73"/>
      <c r="B32" s="73"/>
      <c r="C32" s="73"/>
      <c r="D32" s="73" t="s">
        <v>84</v>
      </c>
      <c r="E32" s="74"/>
      <c r="F32" s="75" t="s">
        <v>85</v>
      </c>
      <c r="G32" s="21"/>
      <c r="H32" s="21"/>
      <c r="I32" s="22"/>
      <c r="J32" s="22"/>
      <c r="K32" s="104"/>
    </row>
    <row r="33" spans="1:11" s="45" customFormat="1" ht="12.9" x14ac:dyDescent="0.5">
      <c r="A33" s="120" t="s">
        <v>116</v>
      </c>
      <c r="B33" s="120">
        <v>7610</v>
      </c>
      <c r="C33" s="120">
        <v>0</v>
      </c>
      <c r="D33" s="146" t="s">
        <v>86</v>
      </c>
      <c r="E33" s="147"/>
      <c r="F33" s="76" t="s">
        <v>87</v>
      </c>
      <c r="G33" s="77" t="s">
        <v>88</v>
      </c>
      <c r="H33" s="77">
        <v>1</v>
      </c>
      <c r="I33" s="78">
        <v>1500</v>
      </c>
      <c r="J33" s="79"/>
      <c r="K33" s="95">
        <f>H33*I33</f>
        <v>1500</v>
      </c>
    </row>
    <row r="34" spans="1:11" s="45" customFormat="1" ht="12.9" x14ac:dyDescent="0.5">
      <c r="A34" s="121"/>
      <c r="B34" s="121"/>
      <c r="C34" s="121"/>
      <c r="D34" s="141" t="s">
        <v>89</v>
      </c>
      <c r="E34" s="142"/>
      <c r="F34" s="142"/>
      <c r="G34" s="21"/>
      <c r="H34" s="21"/>
      <c r="I34" s="22"/>
      <c r="J34" s="21"/>
      <c r="K34" s="103">
        <f>SUM(K31:K33)</f>
        <v>167550</v>
      </c>
    </row>
    <row r="35" spans="1:11" x14ac:dyDescent="0.55000000000000004">
      <c r="A35" s="24"/>
      <c r="B35" s="24"/>
      <c r="C35" s="24"/>
      <c r="D35" s="24" t="s">
        <v>18</v>
      </c>
      <c r="E35" s="66"/>
      <c r="F35" s="67" t="s">
        <v>19</v>
      </c>
      <c r="G35" s="68"/>
      <c r="H35" s="68"/>
      <c r="I35" s="69"/>
      <c r="J35" s="68"/>
      <c r="K35" s="98"/>
    </row>
    <row r="36" spans="1:11" x14ac:dyDescent="0.55000000000000004">
      <c r="A36" s="14"/>
      <c r="B36" s="14"/>
      <c r="C36" s="14"/>
      <c r="D36" s="14" t="s">
        <v>20</v>
      </c>
      <c r="E36" s="30"/>
      <c r="F36" s="12" t="s">
        <v>21</v>
      </c>
      <c r="G36" s="4"/>
      <c r="H36" s="4"/>
      <c r="I36" s="16"/>
      <c r="J36" s="4"/>
      <c r="K36" s="99"/>
    </row>
    <row r="37" spans="1:11" x14ac:dyDescent="0.55000000000000004">
      <c r="A37" s="123" t="s">
        <v>117</v>
      </c>
      <c r="B37" s="123" t="s">
        <v>118</v>
      </c>
      <c r="C37" s="123" t="s">
        <v>109</v>
      </c>
      <c r="D37" s="57" t="s">
        <v>90</v>
      </c>
      <c r="E37" s="58"/>
      <c r="F37" s="81" t="s">
        <v>91</v>
      </c>
      <c r="G37" s="115" t="s">
        <v>92</v>
      </c>
      <c r="H37" s="115">
        <v>3</v>
      </c>
      <c r="I37" s="80">
        <v>149.65</v>
      </c>
      <c r="J37" s="79"/>
      <c r="K37" s="112">
        <f t="shared" ref="K37" si="1">H37*I37</f>
        <v>448.95000000000005</v>
      </c>
    </row>
    <row r="38" spans="1:11" x14ac:dyDescent="0.55000000000000004">
      <c r="A38" s="42"/>
      <c r="B38" s="42"/>
      <c r="C38" s="42"/>
      <c r="D38" s="141" t="s">
        <v>93</v>
      </c>
      <c r="E38" s="142"/>
      <c r="F38" s="142"/>
      <c r="G38" s="21"/>
      <c r="H38" s="21"/>
      <c r="I38" s="22"/>
      <c r="J38" s="21"/>
      <c r="K38" s="111">
        <f>SUM(K37:K37)</f>
        <v>448.95000000000005</v>
      </c>
    </row>
    <row r="39" spans="1:11" x14ac:dyDescent="0.55000000000000004">
      <c r="A39" s="14"/>
      <c r="B39" s="14"/>
      <c r="C39" s="14"/>
      <c r="D39" s="14" t="s">
        <v>22</v>
      </c>
      <c r="E39" s="30"/>
      <c r="F39" s="12" t="s">
        <v>94</v>
      </c>
      <c r="G39" s="4"/>
      <c r="H39" s="4"/>
      <c r="I39" s="16"/>
      <c r="J39" s="4"/>
      <c r="K39" s="107">
        <f>K16+K19+K26+K34+K38</f>
        <v>194264.95</v>
      </c>
    </row>
    <row r="40" spans="1:11" x14ac:dyDescent="0.55000000000000004">
      <c r="A40" s="118" t="s">
        <v>119</v>
      </c>
      <c r="B40" s="118" t="s">
        <v>120</v>
      </c>
      <c r="C40" s="118" t="s">
        <v>109</v>
      </c>
      <c r="D40" s="14" t="s">
        <v>24</v>
      </c>
      <c r="E40" s="30"/>
      <c r="F40" s="12" t="s">
        <v>95</v>
      </c>
      <c r="G40" s="139">
        <v>0.28689999999999999</v>
      </c>
      <c r="H40" s="140"/>
      <c r="I40" s="140"/>
      <c r="J40" s="140"/>
      <c r="K40" s="107">
        <f>ROUND(K39*G40,0)</f>
        <v>55735</v>
      </c>
    </row>
    <row r="41" spans="1:11" ht="15" x14ac:dyDescent="0.55000000000000004">
      <c r="A41" s="31"/>
      <c r="B41" s="31"/>
      <c r="C41" s="31"/>
      <c r="D41" s="31" t="s">
        <v>26</v>
      </c>
      <c r="E41" s="32"/>
      <c r="F41" s="33" t="s">
        <v>27</v>
      </c>
      <c r="G41" s="82"/>
      <c r="H41" s="83"/>
      <c r="I41" s="84"/>
      <c r="J41" s="83"/>
      <c r="K41" s="108">
        <f>SUM(K39:K40)</f>
        <v>249999.95</v>
      </c>
    </row>
    <row r="46" spans="1:11" x14ac:dyDescent="0.55000000000000004">
      <c r="G46" s="41"/>
      <c r="H46" s="41"/>
      <c r="I46" s="41"/>
      <c r="J46" s="41"/>
      <c r="K46" s="96"/>
    </row>
  </sheetData>
  <mergeCells count="27">
    <mergeCell ref="D9:E9"/>
    <mergeCell ref="D1:K1"/>
    <mergeCell ref="D2:K2"/>
    <mergeCell ref="D3:K3"/>
    <mergeCell ref="D4:K4"/>
    <mergeCell ref="D6:F7"/>
    <mergeCell ref="G6:J6"/>
    <mergeCell ref="K6:K7"/>
    <mergeCell ref="G40:J40"/>
    <mergeCell ref="D38:F38"/>
    <mergeCell ref="D16:F16"/>
    <mergeCell ref="F29:I29"/>
    <mergeCell ref="D33:E33"/>
    <mergeCell ref="D34:F34"/>
    <mergeCell ref="F10:F12"/>
    <mergeCell ref="D10:E12"/>
    <mergeCell ref="D13:E15"/>
    <mergeCell ref="F13:F15"/>
    <mergeCell ref="D26:F26"/>
    <mergeCell ref="D18:E18"/>
    <mergeCell ref="D19:F19"/>
    <mergeCell ref="A10:A12"/>
    <mergeCell ref="B10:B12"/>
    <mergeCell ref="C10:C12"/>
    <mergeCell ref="A13:A15"/>
    <mergeCell ref="B13:B15"/>
    <mergeCell ref="C13:C15"/>
  </mergeCells>
  <phoneticPr fontId="24" type="noConversion"/>
  <pageMargins left="0.25" right="0.25" top="0.25" bottom="0.25" header="0.05" footer="0.0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12B46EBA-CC5A-4D3A-A948-EDE0270BDF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55A087-4803-4715-B1F2-A27D684C2AFB}"/>
</file>

<file path=customXml/itemProps3.xml><?xml version="1.0" encoding="utf-8"?>
<ds:datastoreItem xmlns:ds="http://schemas.openxmlformats.org/officeDocument/2006/customXml" ds:itemID="{3671461A-AAE4-4A65-8DF2-9702D1169F22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c808d36-874f-4b27-aec2-2fd649817929"/>
    <ds:schemaRef ds:uri="ca6f1b8b-2efb-4515-a316-20593799dc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1. Summary Budget</vt:lpstr>
      <vt:lpstr>2. Detailed Budget</vt:lpstr>
      <vt:lpstr>'1. Summary Budget'!Print_Area</vt:lpstr>
      <vt:lpstr>'2. Detailed Budget'!Print_Area</vt:lpstr>
    </vt:vector>
  </TitlesOfParts>
  <Manager/>
  <Company>U.S. Department of State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ThompsonLD</dc:creator>
  <cp:keywords/>
  <dc:description/>
  <cp:lastModifiedBy>Danielle Martin</cp:lastModifiedBy>
  <cp:revision/>
  <dcterms:created xsi:type="dcterms:W3CDTF">2011-04-25T16:36:39Z</dcterms:created>
  <dcterms:modified xsi:type="dcterms:W3CDTF">2020-10-22T06:20:08Z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iteId">
    <vt:lpwstr>66cf5074-5afe-48d1-a691-a12b2121f44b</vt:lpwstr>
  </property>
  <property fmtid="{D5CDD505-2E9C-101B-9397-08002B2CF9AE}" pid="4" name="MSIP_Label_1665d9ee-429a-4d5f-97cc-cfb56e044a6e_Owner">
    <vt:lpwstr>ProctorME@state.gov</vt:lpwstr>
  </property>
  <property fmtid="{D5CDD505-2E9C-101B-9397-08002B2CF9AE}" pid="5" name="MSIP_Label_1665d9ee-429a-4d5f-97cc-cfb56e044a6e_SetDate">
    <vt:lpwstr>2020-05-22T16:53:29.0373647Z</vt:lpwstr>
  </property>
  <property fmtid="{D5CDD505-2E9C-101B-9397-08002B2CF9AE}" pid="6" name="MSIP_Label_1665d9ee-429a-4d5f-97cc-cfb56e044a6e_Name">
    <vt:lpwstr>Unclassified</vt:lpwstr>
  </property>
  <property fmtid="{D5CDD505-2E9C-101B-9397-08002B2CF9AE}" pid="7" name="MSIP_Label_1665d9ee-429a-4d5f-97cc-cfb56e044a6e_Application">
    <vt:lpwstr>Microsoft Azure Information Protection</vt:lpwstr>
  </property>
  <property fmtid="{D5CDD505-2E9C-101B-9397-08002B2CF9AE}" pid="8" name="MSIP_Label_1665d9ee-429a-4d5f-97cc-cfb56e044a6e_ActionId">
    <vt:lpwstr>ac692d21-a394-4b6a-96e9-b3db398d30ac</vt:lpwstr>
  </property>
  <property fmtid="{D5CDD505-2E9C-101B-9397-08002B2CF9AE}" pid="9" name="MSIP_Label_1665d9ee-429a-4d5f-97cc-cfb56e044a6e_Extended_MSFT_Method">
    <vt:lpwstr>Manual</vt:lpwstr>
  </property>
  <property fmtid="{D5CDD505-2E9C-101B-9397-08002B2CF9AE}" pid="10" name="Sensitivity">
    <vt:lpwstr>Unclassified</vt:lpwstr>
  </property>
  <property fmtid="{D5CDD505-2E9C-101B-9397-08002B2CF9AE}" pid="11" name="ContentTypeId">
    <vt:lpwstr>0x0101003206C8355D678A459F2EF8957171B231</vt:lpwstr>
  </property>
  <property fmtid="{D5CDD505-2E9C-101B-9397-08002B2CF9AE}" pid="12" name="Order">
    <vt:r8>11866100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</Properties>
</file>